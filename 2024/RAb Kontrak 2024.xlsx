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kspor Ringkasan" sheetId="1" r:id="rId5"/>
    <sheet name="49013066" sheetId="2" r:id="rId6"/>
    <sheet name="49013206" sheetId="3" r:id="rId7"/>
    <sheet name="49013151" sheetId="4" r:id="rId8"/>
    <sheet name="49013260" sheetId="5" r:id="rId9"/>
    <sheet name="49015188" sheetId="6" r:id="rId10"/>
    <sheet name="49015289" sheetId="7" r:id="rId11"/>
    <sheet name="49013313" sheetId="8" r:id="rId12"/>
    <sheet name="49013354" sheetId="9" r:id="rId13"/>
    <sheet name="49013411" sheetId="10" r:id="rId14"/>
    <sheet name="49013538" sheetId="11" r:id="rId15"/>
    <sheet name="49978186" sheetId="12" r:id="rId16"/>
    <sheet name="49978825 _ " sheetId="13" r:id="rId17"/>
    <sheet name="49976430" sheetId="14" r:id="rId18"/>
    <sheet name="49976716" sheetId="15" r:id="rId19"/>
    <sheet name="49975362" sheetId="16" r:id="rId20"/>
    <sheet name="49974911" sheetId="17" r:id="rId21"/>
    <sheet name="49978186-1" sheetId="18" r:id="rId22"/>
    <sheet name="51309562" sheetId="19" r:id="rId23"/>
    <sheet name="49014437" sheetId="20" r:id="rId24"/>
    <sheet name="49014701" sheetId="21" r:id="rId25"/>
    <sheet name="49014897" sheetId="22" r:id="rId26"/>
    <sheet name="49014944" sheetId="23" r:id="rId27"/>
    <sheet name="49014993" sheetId="24" r:id="rId28"/>
    <sheet name="49015008" sheetId="25" r:id="rId29"/>
    <sheet name="49012327 - Tabel 1" sheetId="26" r:id="rId30"/>
    <sheet name="49012327 - Tabel 1-1" sheetId="27" r:id="rId31"/>
    <sheet name="49012446 - Tabel 1" sheetId="28" r:id="rId32"/>
    <sheet name="49012446 - Tabel 1-1" sheetId="29" r:id="rId33"/>
    <sheet name="49012568" sheetId="30" r:id="rId34"/>
    <sheet name="49012718" sheetId="31" r:id="rId35"/>
    <sheet name="49012954" sheetId="32" r:id="rId36"/>
    <sheet name="49011769" sheetId="33" r:id="rId37"/>
    <sheet name="49012815 - Tabel 1" sheetId="34" r:id="rId38"/>
    <sheet name="49012815 - Tabel 1-1" sheetId="35" r:id="rId39"/>
    <sheet name="49012180" sheetId="36" r:id="rId40"/>
    <sheet name="49726699" sheetId="37" r:id="rId41"/>
    <sheet name="49726735" sheetId="38" r:id="rId42"/>
    <sheet name="49726757" sheetId="39" r:id="rId43"/>
    <sheet name="49726831" sheetId="40" r:id="rId44"/>
    <sheet name="49726878" sheetId="41" r:id="rId45"/>
    <sheet name="49668973" sheetId="42" r:id="rId46"/>
    <sheet name="49668994" sheetId="43" r:id="rId47"/>
    <sheet name="49669032" sheetId="44" r:id="rId48"/>
    <sheet name="49015378" sheetId="45" r:id="rId49"/>
    <sheet name="49015457" sheetId="46" r:id="rId50"/>
    <sheet name="5516660" sheetId="47" r:id="rId51"/>
    <sheet name="5510660" sheetId="48" r:id="rId52"/>
    <sheet name="5508660" sheetId="49" r:id="rId53"/>
    <sheet name="5511660" sheetId="50" r:id="rId54"/>
    <sheet name="5512660" sheetId="51" r:id="rId55"/>
    <sheet name="5509660" sheetId="52" r:id="rId56"/>
    <sheet name="5507660" sheetId="53" r:id="rId57"/>
    <sheet name="50782722" sheetId="54" r:id="rId58"/>
    <sheet name="50782898" sheetId="55" r:id="rId59"/>
    <sheet name="50783071" sheetId="56" r:id="rId60"/>
    <sheet name="50783430" sheetId="57" r:id="rId61"/>
    <sheet name="51245546" sheetId="58" r:id="rId62"/>
    <sheet name="49974591" sheetId="59" r:id="rId63"/>
    <sheet name="50783564" sheetId="60" r:id="rId64"/>
    <sheet name="51221455" sheetId="61" r:id="rId65"/>
    <sheet name="50783707" sheetId="62" r:id="rId66"/>
    <sheet name="50783712" sheetId="63" r:id="rId67"/>
    <sheet name="51172569 perencana" sheetId="64" r:id="rId68"/>
    <sheet name="51173499" sheetId="65" r:id="rId69"/>
    <sheet name="5543660" sheetId="66" r:id="rId70"/>
    <sheet name="51173383" sheetId="67" r:id="rId71"/>
    <sheet name="5545660" sheetId="68" r:id="rId72"/>
    <sheet name="5546660" sheetId="69" r:id="rId73"/>
    <sheet name="alat lab - Tabel 1" sheetId="70" r:id="rId74"/>
    <sheet name="alat lab - Tabel 1-1" sheetId="71" r:id="rId75"/>
    <sheet name="PERALATAN LAB - NEGOISASI HARGA" sheetId="72" r:id="rId76"/>
    <sheet name="spek barang lab - DOKUMEN PERSI" sheetId="73" r:id="rId77"/>
    <sheet name="51024146" sheetId="74" r:id="rId78"/>
    <sheet name="51091700" sheetId="75" r:id="rId79"/>
    <sheet name="51023355" sheetId="76" r:id="rId80"/>
    <sheet name="51024298" sheetId="77" r:id="rId81"/>
    <sheet name="51367031" sheetId="78" r:id="rId82"/>
    <sheet name="49767242" sheetId="79" r:id="rId83"/>
    <sheet name="49975231" sheetId="80" r:id="rId84"/>
    <sheet name="51581417" sheetId="81" r:id="rId85"/>
    <sheet name="49949358" sheetId="82" r:id="rId86"/>
    <sheet name="49944383" sheetId="83" r:id="rId87"/>
    <sheet name="51581423" sheetId="84" r:id="rId88"/>
    <sheet name="49975815" sheetId="85" r:id="rId89"/>
    <sheet name="49977097" sheetId="86" r:id="rId90"/>
    <sheet name="50002531" sheetId="87" r:id="rId91"/>
    <sheet name="49767016" sheetId="88" r:id="rId92"/>
    <sheet name="49943495" sheetId="89" r:id="rId93"/>
    <sheet name="49944052" sheetId="90" r:id="rId94"/>
    <sheet name="49981901" sheetId="91" r:id="rId95"/>
    <sheet name="49975119" sheetId="92" r:id="rId96"/>
    <sheet name="51023923" sheetId="93" r:id="rId97"/>
    <sheet name="49977774" sheetId="94" r:id="rId98"/>
    <sheet name="49979513" sheetId="95" r:id="rId99"/>
    <sheet name="49979604" sheetId="96" r:id="rId100"/>
    <sheet name="49981784" sheetId="97" r:id="rId101"/>
    <sheet name="51245302" sheetId="98" r:id="rId102"/>
    <sheet name="51245324" sheetId="99" r:id="rId103"/>
    <sheet name="5575660" sheetId="100" r:id="rId104"/>
    <sheet name="5583660" sheetId="101" r:id="rId105"/>
    <sheet name="51309467" sheetId="102" r:id="rId106"/>
    <sheet name="51309517" sheetId="103" r:id="rId107"/>
    <sheet name="51861479" sheetId="104" r:id="rId108"/>
    <sheet name="51861480" sheetId="105" r:id="rId109"/>
    <sheet name="51309201" sheetId="106" r:id="rId110"/>
    <sheet name="51864970" sheetId="107" r:id="rId111"/>
    <sheet name="51309415" sheetId="108" r:id="rId112"/>
    <sheet name="51308914" sheetId="109" r:id="rId113"/>
    <sheet name="5574660" sheetId="110" r:id="rId114"/>
    <sheet name="5570660" sheetId="111" r:id="rId115"/>
    <sheet name="49975169" sheetId="112" r:id="rId116"/>
    <sheet name="5576660" sheetId="113" r:id="rId117"/>
    <sheet name="49975054" sheetId="114" r:id="rId118"/>
    <sheet name="5630660" sheetId="115" r:id="rId119"/>
    <sheet name="5629660" sheetId="116" r:id="rId120"/>
    <sheet name="5636660" sheetId="117" r:id="rId121"/>
    <sheet name="5638660" sheetId="118" r:id="rId122"/>
    <sheet name="5639660" sheetId="119" r:id="rId123"/>
    <sheet name="6694660" sheetId="120" r:id="rId124"/>
    <sheet name="6693660" sheetId="121" r:id="rId125"/>
    <sheet name="6691660" sheetId="122" r:id="rId126"/>
    <sheet name="6696660" sheetId="123" r:id="rId127"/>
    <sheet name="6699660" sheetId="124" r:id="rId128"/>
    <sheet name="6775660" sheetId="125" r:id="rId129"/>
    <sheet name="6698660" sheetId="126" r:id="rId130"/>
    <sheet name="5592660" sheetId="127" r:id="rId131"/>
    <sheet name="6749660" sheetId="128" r:id="rId132"/>
    <sheet name="5592660 add" sheetId="129" r:id="rId133"/>
    <sheet name="6855660" sheetId="130" r:id="rId134"/>
    <sheet name="49943775" sheetId="131" r:id="rId135"/>
    <sheet name="4.500.000" sheetId="132" r:id="rId136"/>
    <sheet name="51245390" sheetId="133" r:id="rId137"/>
    <sheet name="53440390" sheetId="134" r:id="rId138"/>
    <sheet name="53440479" sheetId="135" r:id="rId139"/>
    <sheet name="53444080" sheetId="136" r:id="rId140"/>
    <sheet name="53444102" sheetId="137" r:id="rId141"/>
    <sheet name="53444125" sheetId="138" r:id="rId142"/>
    <sheet name="53444147" sheetId="139" r:id="rId143"/>
    <sheet name="53444174" sheetId="140" r:id="rId144"/>
    <sheet name="53444184" sheetId="141" r:id="rId145"/>
    <sheet name="53444198" sheetId="142" r:id="rId146"/>
    <sheet name="53444215" sheetId="143" r:id="rId147"/>
    <sheet name="53444281" sheetId="144" r:id="rId148"/>
    <sheet name="53444288" sheetId="145" r:id="rId149"/>
    <sheet name="53444298" sheetId="146" r:id="rId150"/>
    <sheet name="53444319kk" sheetId="147" r:id="rId151"/>
    <sheet name="53444319gg" sheetId="148" r:id="rId152"/>
    <sheet name="53432709" sheetId="149" r:id="rId153"/>
    <sheet name="53432803" sheetId="150" r:id="rId154"/>
    <sheet name="53432850" sheetId="151" r:id="rId155"/>
    <sheet name="53432905" sheetId="152" r:id="rId156"/>
    <sheet name="53432965" sheetId="153" r:id="rId157"/>
    <sheet name="53433014" sheetId="154" r:id="rId158"/>
    <sheet name="53433062" sheetId="155" r:id="rId159"/>
    <sheet name="53433117" sheetId="156" r:id="rId160"/>
    <sheet name="53433274" sheetId="157" r:id="rId161"/>
    <sheet name="53433307" sheetId="158" r:id="rId162"/>
    <sheet name="53443779" sheetId="159" r:id="rId163"/>
    <sheet name="53433509" sheetId="160" r:id="rId164"/>
    <sheet name="53433696" sheetId="161" r:id="rId165"/>
    <sheet name="53433778" sheetId="162" r:id="rId166"/>
    <sheet name="53444344" sheetId="163" r:id="rId167"/>
    <sheet name="51304504" sheetId="164" r:id="rId168"/>
    <sheet name="51267063" sheetId="165" r:id="rId169"/>
    <sheet name="53445187" sheetId="166" r:id="rId170"/>
    <sheet name="53433778-1" sheetId="167" r:id="rId171"/>
    <sheet name="53557837" sheetId="168" r:id="rId172"/>
    <sheet name="6772660" sheetId="169" r:id="rId173"/>
    <sheet name="6771660" sheetId="170" r:id="rId174"/>
    <sheet name="6770660" sheetId="171" r:id="rId175"/>
    <sheet name="6770660-1" sheetId="172" r:id="rId176"/>
    <sheet name="49975743" sheetId="173" r:id="rId177"/>
    <sheet name="49978079" sheetId="174" r:id="rId178"/>
    <sheet name="49976805" sheetId="175" r:id="rId179"/>
  </sheets>
</workbook>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<sst xmlns="http://schemas.openxmlformats.org/spreadsheetml/2006/main" uniqueCount="664">
  <si>
    <t>Dokumen ini diekspor dari Numbers.  Setiap tabel dikonversi ke lembar kerja Excel. Semua objek lainnya pada setiap lembar Numbers ditempatkan pada lembar kerja terpisah. Harap diperhatikan bahwa kalkulasi formula itu mungkin berbeda di Excel.</t>
  </si>
  <si>
    <t>Nama Lembar Numbers</t>
  </si>
  <si>
    <t>Nama Tabel Numbers</t>
  </si>
  <si>
    <t>Nama Lembar Kerja Excel</t>
  </si>
  <si>
    <t>49013066</t>
  </si>
  <si>
    <t>Tabel 1</t>
  </si>
  <si>
    <t>No.</t>
  </si>
  <si>
    <t>Uraian Pekerjaan</t>
  </si>
  <si>
    <t>Kuantitas</t>
  </si>
  <si>
    <t>Satuan</t>
  </si>
  <si>
    <t>Harga Satuan</t>
  </si>
  <si>
    <t>PAJAK</t>
  </si>
  <si>
    <t>JUMLAH</t>
  </si>
  <si>
    <t>HPS</t>
  </si>
  <si>
    <t>Penawaran</t>
  </si>
  <si>
    <t>Negoisasi</t>
  </si>
  <si>
    <t>DIVISI 1. UMUM</t>
  </si>
  <si>
    <t>1.2</t>
  </si>
  <si>
    <t>Mobilisasi</t>
  </si>
  <si>
    <t>LS</t>
  </si>
  <si>
    <t>1.8.(1)</t>
  </si>
  <si>
    <t>Manajemen dan Keselamatan Lalu Lintas</t>
  </si>
  <si>
    <t>1.19</t>
  </si>
  <si>
    <t>Keselamatan dan Kesehatan Kerja</t>
  </si>
  <si>
    <t>DIVISI 2. DRAINASE</t>
  </si>
  <si>
    <t>2.1.(1)</t>
  </si>
  <si>
    <t>Galian untuk Selokan Drainase dan Saluran Air</t>
  </si>
  <si>
    <t>M3</t>
  </si>
  <si>
    <t>DIVISI  3.  PEKERJAAN  TANAH DAN GEOSINTETIK</t>
  </si>
  <si>
    <t>3.1.(1)</t>
  </si>
  <si>
    <t>Galian Biasa (Cuttingan)</t>
  </si>
  <si>
    <t>3.2.(1b)</t>
  </si>
  <si>
    <t>Timbunan Pilihan dari Sumber galian</t>
  </si>
  <si>
    <t>3.3.(1)</t>
  </si>
  <si>
    <t>Penyiapan Badan Jalan</t>
  </si>
  <si>
    <t>M2</t>
  </si>
  <si>
    <t xml:space="preserve"> Biaya BPJS Ketenaga Kerjaan</t>
  </si>
  <si>
    <t>JKK/JKM</t>
  </si>
  <si>
    <t>Jumlah Total (A)</t>
  </si>
  <si>
    <t>HIT BPJS</t>
  </si>
  <si>
    <t>Jumlah Terkena Pajak 11,00% (B)</t>
  </si>
  <si>
    <t>PPN (C) = 11,00% x B</t>
  </si>
  <si>
    <t>Jumlah Total (D) = (A) + ( C )</t>
  </si>
  <si>
    <t>Jumlah Total dibulatkan (E)</t>
  </si>
  <si>
    <t>49013206</t>
  </si>
  <si>
    <t>DIVISI  3.  PEKERJAAN  TANAH</t>
  </si>
  <si>
    <t>3.2.(1a)</t>
  </si>
  <si>
    <t>Timbunan Biasa dari sumber galian</t>
  </si>
  <si>
    <t>49013151</t>
  </si>
  <si>
    <t>49013260</t>
  </si>
  <si>
    <t>49015188</t>
  </si>
  <si>
    <t>A</t>
  </si>
  <si>
    <t>BIAYA LANGSUNG PERSONIL</t>
  </si>
  <si>
    <t>I</t>
  </si>
  <si>
    <t>PROFESIONAL STAFF/SUB PROFESIONAL STAFF</t>
  </si>
  <si>
    <t>Team Leader (Ahli Teknik Jalan)</t>
  </si>
  <si>
    <t>Orang/Bln</t>
  </si>
  <si>
    <t>Inspektur/pengawas Jalan ( 1 0rang)</t>
  </si>
  <si>
    <t>B</t>
  </si>
  <si>
    <t>BIAYA LANGSUNG NON PERSONIL</t>
  </si>
  <si>
    <t>KANTOR, AKOMODASI DAN PERALATAN</t>
  </si>
  <si>
    <t>Sewa Printer A4</t>
  </si>
  <si>
    <t>unit-Bulan</t>
  </si>
  <si>
    <t>ATK, Tinta Printer, akomodasi, listrik &amp; telepon/Internet</t>
  </si>
  <si>
    <t>Bulan</t>
  </si>
  <si>
    <t>Sewa Laptop</t>
  </si>
  <si>
    <t>BIAYA SMK3</t>
  </si>
  <si>
    <t>Helem Proyek</t>
  </si>
  <si>
    <t>buah</t>
  </si>
  <si>
    <t>Sepatu Safety</t>
  </si>
  <si>
    <t>BIAYA SEWA KENDARAAN/TRANSPORTASI</t>
  </si>
  <si>
    <t>II</t>
  </si>
  <si>
    <t>Sewa &amp; Ops. Kendaraan (1 unit)</t>
  </si>
  <si>
    <t>Unit Bulan</t>
  </si>
  <si>
    <t>Laporan Pendahuluan</t>
  </si>
  <si>
    <t>rangkap</t>
  </si>
  <si>
    <t>Laporan Bulanan</t>
  </si>
  <si>
    <t>Laporan Akhir</t>
  </si>
  <si>
    <t>SSD External 1 TB</t>
  </si>
  <si>
    <t>Buah</t>
  </si>
  <si>
    <t>V</t>
  </si>
  <si>
    <t>BPJS</t>
  </si>
  <si>
    <t>NKKK = 100.000.000,-</t>
  </si>
  <si>
    <t>49015289</t>
  </si>
  <si>
    <t>Team Leader/Inspektur/pengawas (Ahli Teknik Jalan)</t>
  </si>
  <si>
    <t>49013313</t>
  </si>
  <si>
    <t>3.1.(1a)</t>
  </si>
  <si>
    <t>49013354</t>
  </si>
  <si>
    <t>49013411</t>
  </si>
  <si>
    <t>49013538</t>
  </si>
  <si>
    <t>3.1.(4)</t>
  </si>
  <si>
    <t>Galian Struktur dengan kedalaman 0 - 2 meter</t>
  </si>
  <si>
    <t>DIVISI  7.  STRUKTUR</t>
  </si>
  <si>
    <t>7.1 (5a)</t>
  </si>
  <si>
    <t>Beton struktur, fc’30 Mpa Bangunan Bawah (Abutmen)</t>
  </si>
  <si>
    <t>7.1 (9)</t>
  </si>
  <si>
    <t>Beton Siklop, fc’15 Mpa</t>
  </si>
  <si>
    <t>7.1 (10)</t>
  </si>
  <si>
    <t>Beton, fc’10 Mpa (Lantai Kerja)</t>
  </si>
  <si>
    <t>7.3 (1)</t>
  </si>
  <si>
    <t>Baja Tulangan Polos-BjTP 280 (polos)</t>
  </si>
  <si>
    <t>kg</t>
  </si>
  <si>
    <t>7.9.(1)</t>
  </si>
  <si>
    <t>Pasangan Batu (Abutmen + Lenning)</t>
  </si>
  <si>
    <t>DIVISI  9.  PEKERJAAN  HARIAN &amp; PEKERJAAN LAIN-LAIN</t>
  </si>
  <si>
    <t>9.1.(19)</t>
  </si>
  <si>
    <t>Pompa Air 70 - 100 mm</t>
  </si>
  <si>
    <t>Jam</t>
  </si>
  <si>
    <t>49978186</t>
  </si>
  <si>
    <t>Biaya perencanaan teknis</t>
  </si>
  <si>
    <t>tahap konsepsi perancangan sebesar 10%</t>
  </si>
  <si>
    <t>tahap pra rancangan sebesar 20%</t>
  </si>
  <si>
    <t>tahap pengembangan rancangan sebesar 25%</t>
  </si>
  <si>
    <t xml:space="preserve">tahap rancangan detail meliputi penyusunan rancangan gambar detail dan penyusunan Rencana Kerja dan Syarat (RKS), serta Rencana Anggaran Biaya (RAB) sebesar 25% 
</t>
  </si>
  <si>
    <t>tahap pelelangan penyedia jasa pelaksanaan konstruksi sebesar 5%</t>
  </si>
  <si>
    <t>tahap pengawasan berkala sebesar 15%</t>
  </si>
  <si>
    <t>PAGU</t>
  </si>
  <si>
    <t xml:space="preserve">49978825 / </t>
  </si>
  <si>
    <t xml:space="preserve">49978825 _ </t>
  </si>
  <si>
    <t>Team Leader Inspektur/pengawas Bangunan Gedung ( 1 0rang)</t>
  </si>
  <si>
    <t>ATK, Sewa Kendaraan, Tinta Printer, akomodasi, listrik &amp; telepon/Internet</t>
  </si>
  <si>
    <t>Flash Disk</t>
  </si>
  <si>
    <t>49976430</t>
  </si>
  <si>
    <t>Team Leader/Inspektur/pengawas (Setara Pelaksana Bangunan Gedung)</t>
  </si>
  <si>
    <t>Sewa Komputer/Laptop dan Printer</t>
  </si>
  <si>
    <t>49976716</t>
  </si>
  <si>
    <t>49975362</t>
  </si>
  <si>
    <t>49974911</t>
  </si>
  <si>
    <t>49978186-1</t>
  </si>
  <si>
    <t>51309562</t>
  </si>
  <si>
    <t>49014437</t>
  </si>
  <si>
    <t>Pasangan Batu (Abutmen)</t>
  </si>
  <si>
    <t>49014701</t>
  </si>
  <si>
    <t>PEKERJAAN PERSIAPAN</t>
  </si>
  <si>
    <t>Pekerjaan Mobilisasi dan Demobilisasi</t>
  </si>
  <si>
    <t>Ls</t>
  </si>
  <si>
    <t>PEKERJAAN STRUKTUR BETON</t>
  </si>
  <si>
    <t>Pekerjaan Kubus Beton</t>
  </si>
  <si>
    <t>Penyusunan Kubus Beton</t>
  </si>
  <si>
    <t>Beton mutu f’c = 21,7 Mpa</t>
  </si>
  <si>
    <t>m3</t>
  </si>
  <si>
    <t>Pemasangan  bekisting</t>
  </si>
  <si>
    <t>m2</t>
  </si>
  <si>
    <t>49014897</t>
  </si>
  <si>
    <t>Pemasangan Bouwplank</t>
  </si>
  <si>
    <t>PEKERJAAN TANAH DAN PONDASI</t>
  </si>
  <si>
    <t>Pekerjaan Galain</t>
  </si>
  <si>
    <t>Penggalian 1 m3 Tanah Biasa Sedalam 1 M</t>
  </si>
  <si>
    <t>Pengurugan kembali galian tanah</t>
  </si>
  <si>
    <t>Pengurugan dengan Tanah Pilihan</t>
  </si>
  <si>
    <t>Pemasangan pondasi batu belah campuran 1SP : 4PP</t>
  </si>
  <si>
    <t>C</t>
  </si>
  <si>
    <t>Pek Box Culvert 2 Mata</t>
  </si>
  <si>
    <t>Pembesian dengan besi polos atau besi ulir</t>
  </si>
  <si>
    <t>Kg</t>
  </si>
  <si>
    <t>49014944</t>
  </si>
  <si>
    <t>Timbunan pilihan dari sumber galian (Timbunan Oprit)</t>
  </si>
  <si>
    <t>7.1 (7a)</t>
  </si>
  <si>
    <t>Beton strukur, fc’20 MPa</t>
  </si>
  <si>
    <t>Baja Tulangan Polos-BjTP 280</t>
  </si>
  <si>
    <t>DIVISI  10.  PEKERJAAN PEMELIHARAAN KINERJA</t>
  </si>
  <si>
    <t>10.1.(17)</t>
  </si>
  <si>
    <t>Pengecatan Kereb pada Trotoar atau Median</t>
  </si>
  <si>
    <t>49014993</t>
  </si>
  <si>
    <t>49015008</t>
  </si>
  <si>
    <t>49012327</t>
  </si>
  <si>
    <t>49012327 - Tabel 1</t>
  </si>
  <si>
    <t>Tabel 1-1</t>
  </si>
  <si>
    <t>49012327 - Tabel 1-1</t>
  </si>
  <si>
    <t>1.0</t>
  </si>
  <si>
    <t>Rp. 27.150.000,00</t>
  </si>
  <si>
    <t>Rp. 30.136.500,00</t>
  </si>
  <si>
    <t>DIVISI 3. PEKERJAAN TANAH</t>
  </si>
  <si>
    <t>1196.0</t>
  </si>
  <si>
    <t>Rp. 35.993,51</t>
  </si>
  <si>
    <t>Rp. 43.048.237,96</t>
  </si>
  <si>
    <t>Rp. 47.783.544,14</t>
  </si>
  <si>
    <t>472.0</t>
  </si>
  <si>
    <t>Rp. 210.664,02</t>
  </si>
  <si>
    <t>Rp. 99.433.417,44</t>
  </si>
  <si>
    <t>Rp. 110.371.093,36</t>
  </si>
  <si>
    <t>2655.0</t>
  </si>
  <si>
    <t>Rp. 1.817,45</t>
  </si>
  <si>
    <t>Rp. 4.825.329,75</t>
  </si>
  <si>
    <t>Rp. 5.356.116,02</t>
  </si>
  <si>
    <t>JKM+JKK</t>
  </si>
  <si>
    <t>Rp. 381.468,00</t>
  </si>
  <si>
    <t>49012446</t>
  </si>
  <si>
    <t>49012446 - Tabel 1</t>
  </si>
  <si>
    <t xml:space="preserve">Manajemen dan Keselamatan Lalu Lintas </t>
  </si>
  <si>
    <t>49012446 - Tabel 1-1</t>
  </si>
  <si>
    <t>Jenis Barang/Jasa</t>
  </si>
  <si>
    <t>Satuan Unit</t>
  </si>
  <si>
    <t>Volume</t>
  </si>
  <si>
    <t>Total sebelum Pajak</t>
  </si>
  <si>
    <t>Pajak (%)</t>
  </si>
  <si>
    <t>Total setelah Pajak</t>
  </si>
  <si>
    <t>Keterangan</t>
  </si>
  <si>
    <t>PDN?</t>
  </si>
  <si>
    <t>Rp. 12.793.750,00</t>
  </si>
  <si>
    <t>Rp. 14.201.062,50</t>
  </si>
  <si>
    <t>Rp. 560.000,00</t>
  </si>
  <si>
    <t>Rp. 621.600,00</t>
  </si>
  <si>
    <t>Rp. 5.289.000,00</t>
  </si>
  <si>
    <t>Rp. 5.870.790,00</t>
  </si>
  <si>
    <t>DIVISI 3. PEKERJAAN TANAH DAN GEOSINTETIK</t>
  </si>
  <si>
    <t>434.6</t>
  </si>
  <si>
    <t>Rp. 147.566.513,41</t>
  </si>
  <si>
    <t>Rp. 163.798.829,89</t>
  </si>
  <si>
    <t>2523.5</t>
  </si>
  <si>
    <t>Rp. 8.992.063,25</t>
  </si>
  <si>
    <t>Rp. 9.981.190,21</t>
  </si>
  <si>
    <t>Biaya BPJS Ketenaga Kerjaan</t>
  </si>
  <si>
    <t>Rp. 382.882,53</t>
  </si>
  <si>
    <t>49012568</t>
  </si>
  <si>
    <t>49012718</t>
  </si>
  <si>
    <t>49012954</t>
  </si>
  <si>
    <t>49011769</t>
  </si>
  <si>
    <t>Galian Biasa (cuttingan)</t>
  </si>
  <si>
    <t>49012815</t>
  </si>
  <si>
    <t>49012815 - Tabel 1</t>
  </si>
  <si>
    <t>49012815 - Tabel 1-1</t>
  </si>
  <si>
    <t>enis Barang/Jasa</t>
  </si>
  <si>
    <t>533.0</t>
  </si>
  <si>
    <t>Rp. 139.159.573,54</t>
  </si>
  <si>
    <t>Rp. 154.467.126,63</t>
  </si>
  <si>
    <t>4875.0</t>
  </si>
  <si>
    <t>Rp. 17.371.233,75</t>
  </si>
  <si>
    <t>Rp. 19.282.069,46</t>
  </si>
  <si>
    <t>Rp. 382.829,77</t>
  </si>
  <si>
    <t>Produk Dalam Negeri (PDN)</t>
  </si>
  <si>
    <t>Rp. 0,00</t>
  </si>
  <si>
    <t>Total Penawaran</t>
  </si>
  <si>
    <t>Rp. 194.825.478,36</t>
  </si>
  <si>
    <t>49012180</t>
  </si>
  <si>
    <t>49726699</t>
  </si>
  <si>
    <t>49726735</t>
  </si>
  <si>
    <t>49726757</t>
  </si>
  <si>
    <t>49726831</t>
  </si>
  <si>
    <t>49726878</t>
  </si>
  <si>
    <t>49668973</t>
  </si>
  <si>
    <t>49668994</t>
  </si>
  <si>
    <t>49669032</t>
  </si>
  <si>
    <t>49015378</t>
  </si>
  <si>
    <t>49015457</t>
  </si>
  <si>
    <t>5516660</t>
  </si>
  <si>
    <t>5510660</t>
  </si>
  <si>
    <t>5508660</t>
  </si>
  <si>
    <t>5511660</t>
  </si>
  <si>
    <t>5512660</t>
  </si>
  <si>
    <t>5509660</t>
  </si>
  <si>
    <t>5507660</t>
  </si>
  <si>
    <t>50782722</t>
  </si>
  <si>
    <t>50782898</t>
  </si>
  <si>
    <t>50783071</t>
  </si>
  <si>
    <t>50783430</t>
  </si>
  <si>
    <t>Galian Biasa</t>
  </si>
  <si>
    <t>3.4.(1)</t>
  </si>
  <si>
    <t>Pembersihan dan Pengupasan Lahan</t>
  </si>
  <si>
    <t>51245546</t>
  </si>
  <si>
    <t>49974591</t>
  </si>
  <si>
    <t>50783564</t>
  </si>
  <si>
    <t>51221455</t>
  </si>
  <si>
    <t>50783707</t>
  </si>
  <si>
    <t>50783712</t>
  </si>
  <si>
    <t>51172569 perencana</t>
  </si>
  <si>
    <t>51173499</t>
  </si>
  <si>
    <t>5543660</t>
  </si>
  <si>
    <t>51173383</t>
  </si>
  <si>
    <t>5545660</t>
  </si>
  <si>
    <t>5546660</t>
  </si>
  <si>
    <t>alat lab</t>
  </si>
  <si>
    <t>alat lab - Tabel 1</t>
  </si>
  <si>
    <t xml:space="preserve">Belanja Modal Alat Laboratorium Mekanika Tanah dan Batuan 
</t>
  </si>
  <si>
    <t xml:space="preserve">CORE DRILLING TEST SET Spesifikasi: Diamont bit 4" Hoffman </t>
  </si>
  <si>
    <t>UNIT</t>
  </si>
  <si>
    <t xml:space="preserve">INDOTEST COMPRESSION MACHINE HAND OPERATED, 2000 KN CAPACITY Spesifikasi: DIGITAL COMPRESSION MACHINE ASTM C - 39 Cap : Hard-chormed piston, 230 mm dia max working pressure 2.000 kN Overal dimension 300 mm dia x 320 mm height. Single action, gravity return Hydraulic Pump : Hand operated, single action 6.000 ml reservoir cap max working pressure 50.000 kPa. </t>
  </si>
  <si>
    <t xml:space="preserve">Sand cone test set Spesifikasi: ASTM D-1556, AASHTO T-191 For determining the density of compacted soil in place. SO-401 Sand Cone Bottle Plastic, 4 ltr cap. approx. 1 Pc SO-402 Sand Cone Funnel Seamless metal, turning stoper, 6 1/ 2 " </t>
  </si>
  <si>
    <t xml:space="preserve">SLUMP TEST SET / LAB BETON / ALAT LAB TEKNIK SIPIL Spesifikasi: ASTM C - 143, AASHTO T - 119, For determing slump/workability, of concrete both in the, laboratory and in the field. 
Slump Test set </t>
  </si>
  <si>
    <t xml:space="preserve">LABORATORY PENETRASI TEST SET Spesifikasi: ASTM D-5 AASHTHO T-49 </t>
  </si>
  <si>
    <t>Los angeles abration machine Spesifikasi: ASTM C-131 AASHTO T-96, For measuring degradation of abration,impact and griding. ASTM C-131/AASHTO T-96, For measuring the gradation of mineral aggregate form abrasion Impact and grinding kineral aggregates from</t>
  </si>
  <si>
    <t xml:space="preserve">Laboratory CBR test Spesifikasi: ASTM D-1883 AASHTO T-193 For determining the bearing ratio of soil. Electrical Loading Machine Electric, 220 V-AC, 1/2 HP, 1 Phase, speed 0.05/min reversing switch, 10.000 lbs capacity 1 Set </t>
  </si>
  <si>
    <t xml:space="preserve">BENKLEMAN BEAM Spesifikasi: MBT BENKLEMAN BEAM </t>
  </si>
  <si>
    <t xml:space="preserve">Length gauge / alat uji batuan / alat teknik sipil / aggregate Spesifikasi: For rapid measuring the length of aggregates. Hard wood base, steel base plate, distance : 89.0, 62.86, 39.9, 28.5, 20.1, 14.2 mm </t>
  </si>
  <si>
    <t xml:space="preserve">STANDARD PENETRASION TEST Spesifikasi: ASTM D-1586 AASHTO T-206. For driving a split barrel sampler to obtain a representative soil sample and measure the soil resistance to penetration. 
SO-131 Split Barrel Sampler Herdened machined steel, 1 3/ 8 " i.d., 18 " length 1 Set SO-132 Sampling Rod Steel pipe, 
1.5 m length 20 Pcs SO-133 Drive Weight Assembly </t>
  </si>
  <si>
    <t xml:space="preserve">AUTOMATIC COMPACTOR ASPHALT / AUTOMATIC ASPAL COMPACTOR Spesifikasi: Mounted on separate pedestal to prevent shock; power; start and counter : Push Button; Count Setting and push button reset Hammer 10 lb (4.54 kg) weight with 18” (457 mm) drop, circular face. Raising mechanism: lever with retaining pin; catches and 
lift hammer, separated quide pins for 4Inch (101 mm) </t>
  </si>
  <si>
    <t xml:space="preserve">DIGITAL CONCRETE HAMMER TEST SADT HT 225D + Calibration Report Spesifikasi: N/mm Impact energy : 0,225kgm (2,207Nm) Accuracy : 0,1R Communication : USB2,0 Memory Capacity : data for 4000 concrete structure Operating temperature : -40 ~ 60C Power : 3,7V Li-ion Rechargeable Dimensions : 280x75x60mm </t>
  </si>
  <si>
    <t>alat lab - Tabel 1-1</t>
  </si>
  <si>
    <r>
      <rPr>
        <u val="single"/>
        <sz val="13"/>
        <color indexed="18"/>
        <rFont val="Helvetica Neue"/>
      </rPr>
      <t xml:space="preserve">4826201999-B,A-197662283
</t>
    </r>
    <r>
      <rPr>
        <u val="single"/>
        <sz val="13"/>
        <color indexed="18"/>
        <rFont val="Helvetica Neue"/>
      </rPr>
      <t>CORE DRAILING TEST</t>
    </r>
  </si>
  <si>
    <t>IDR</t>
  </si>
  <si>
    <t>"Spesifikasi Layanan: Garansi selama 1 Tahun sejak Serah Terima Pekerjaan Termasuk pengiriman sampai ke lokasi Kantor Dinas Pekerjaan Umum dan Penataan Ruang Kab Pasangkayu dan Pelatihan Penggunaan dan Pemeliharaan tiap jenis barang"</t>
  </si>
  <si>
    <r>
      <rPr>
        <u val="single"/>
        <sz val="13"/>
        <color indexed="18"/>
        <rFont val="Helvetica Neue"/>
      </rPr>
      <t xml:space="preserve">4826201999-B,A-197662770
</t>
    </r>
    <r>
      <rPr>
        <u val="single"/>
        <sz val="13"/>
        <color indexed="18"/>
        <rFont val="Helvetica Neue"/>
      </rPr>
      <t>mesin indotes comprestion</t>
    </r>
  </si>
  <si>
    <r>
      <rPr>
        <u val="single"/>
        <sz val="13"/>
        <color indexed="18"/>
        <rFont val="Helvetica Neue"/>
      </rPr>
      <t xml:space="preserve">4826201999-B,A-197663000
</t>
    </r>
    <r>
      <rPr>
        <u val="single"/>
        <sz val="13"/>
        <color indexed="18"/>
        <rFont val="Helvetica Neue"/>
      </rPr>
      <t>ALAT TES SAND CONEE</t>
    </r>
  </si>
  <si>
    <r>
      <rPr>
        <u val="single"/>
        <sz val="13"/>
        <color indexed="18"/>
        <rFont val="Helvetica Neue"/>
      </rPr>
      <t xml:space="preserve">4826201999-B,A-197663212
</t>
    </r>
    <r>
      <rPr>
        <u val="single"/>
        <sz val="13"/>
        <color indexed="18"/>
        <rFont val="Helvetica Neue"/>
      </rPr>
      <t>TEST SLUMP SET</t>
    </r>
  </si>
  <si>
    <r>
      <rPr>
        <u val="single"/>
        <sz val="13"/>
        <color indexed="18"/>
        <rFont val="Helvetica Neue"/>
      </rPr>
      <t xml:space="preserve">4826201999-B,A-197099993
</t>
    </r>
    <r>
      <rPr>
        <u val="single"/>
        <sz val="13"/>
        <color indexed="18"/>
        <rFont val="Helvetica Neue"/>
      </rPr>
      <t>LABORATORY PENETRASI TEST SET</t>
    </r>
  </si>
  <si>
    <r>
      <rPr>
        <u val="single"/>
        <sz val="13"/>
        <color indexed="18"/>
        <rFont val="Helvetica Neue"/>
      </rPr>
      <t xml:space="preserve">4826201999-B,A-197370797
</t>
    </r>
    <r>
      <rPr>
        <u val="single"/>
        <sz val="13"/>
        <color indexed="18"/>
        <rFont val="Helvetica Neue"/>
      </rPr>
      <t>mesin los angeles abrasi</t>
    </r>
  </si>
  <si>
    <r>
      <rPr>
        <u val="single"/>
        <sz val="13"/>
        <color indexed="18"/>
        <rFont val="Helvetica Neue"/>
      </rPr>
      <t xml:space="preserve">4826201999-B,A-197098002
</t>
    </r>
    <r>
      <rPr>
        <u val="single"/>
        <sz val="13"/>
        <color indexed="18"/>
        <rFont val="Helvetica Neue"/>
      </rPr>
      <t>Laboratory CBR test</t>
    </r>
  </si>
  <si>
    <r>
      <rPr>
        <u val="single"/>
        <sz val="13"/>
        <color indexed="18"/>
        <rFont val="Helvetica Neue"/>
      </rPr>
      <t xml:space="preserve">4826201999-B,A-197087439
</t>
    </r>
    <r>
      <rPr>
        <u val="single"/>
        <sz val="13"/>
        <color indexed="18"/>
        <rFont val="Helvetica Neue"/>
      </rPr>
      <t>BENKLEMAN BEAM</t>
    </r>
  </si>
  <si>
    <r>
      <rPr>
        <u val="single"/>
        <sz val="13"/>
        <color indexed="18"/>
        <rFont val="Helvetica Neue"/>
      </rPr>
      <t xml:space="preserve">4826201999-B,A-197102352
</t>
    </r>
    <r>
      <rPr>
        <u val="single"/>
        <sz val="13"/>
        <color indexed="18"/>
        <rFont val="Helvetica Neue"/>
      </rPr>
      <t>Length gauge / alat uji batuan / alat teknik sipil / aggregate</t>
    </r>
  </si>
  <si>
    <r>
      <rPr>
        <u val="single"/>
        <sz val="13"/>
        <color indexed="18"/>
        <rFont val="Helvetica Neue"/>
      </rPr>
      <t xml:space="preserve">4826201999-B,A-197106916
</t>
    </r>
    <r>
      <rPr>
        <u val="single"/>
        <sz val="13"/>
        <color indexed="18"/>
        <rFont val="Helvetica Neue"/>
      </rPr>
      <t>STANDARD PENETRASION TEST</t>
    </r>
  </si>
  <si>
    <r>
      <rPr>
        <u val="single"/>
        <sz val="13"/>
        <color indexed="18"/>
        <rFont val="Helvetica Neue"/>
      </rPr>
      <t xml:space="preserve">4826201999-B,A-197084362
</t>
    </r>
    <r>
      <rPr>
        <u val="single"/>
        <sz val="13"/>
        <color indexed="18"/>
        <rFont val="Helvetica Neue"/>
      </rPr>
      <t>AUTOMATIC COMPACTOR ASPHALT</t>
    </r>
  </si>
  <si>
    <r>
      <rPr>
        <u val="single"/>
        <sz val="13"/>
        <color indexed="18"/>
        <rFont val="Helvetica Neue"/>
      </rPr>
      <t xml:space="preserve">4826201999-B,A-197092305
</t>
    </r>
    <r>
      <rPr>
        <u val="single"/>
        <sz val="13"/>
        <color indexed="18"/>
        <rFont val="Helvetica Neue"/>
      </rPr>
      <t>DIGITAL CONCRETE HAMMER TEST SADT HT 225D</t>
    </r>
  </si>
  <si>
    <t>PERALATAN LAB</t>
  </si>
  <si>
    <t>NEGOISASI HARGA</t>
  </si>
  <si>
    <t>PERALATAN LAB - NEGOISASI HARGA</t>
  </si>
  <si>
    <t>URAIAN</t>
  </si>
  <si>
    <t>VOLUME</t>
  </si>
  <si>
    <t>SATUAN</t>
  </si>
  <si>
    <t>PENAWARAN</t>
  </si>
  <si>
    <t>NEGOISASI</t>
  </si>
  <si>
    <t>SPESIFIKASI</t>
  </si>
  <si>
    <t>PELAYANAN</t>
  </si>
  <si>
    <t>4826201999-B,A-197662283
CORE DRAILING TEST</t>
  </si>
  <si>
    <t>4826201999-B,A-197662770
mesin indotes comprestion</t>
  </si>
  <si>
    <t>4826201999-B,A-197663000
ALAT TES SAND CONEE</t>
  </si>
  <si>
    <t>4826201999-B,A-197663212
TEST SLUMP SET</t>
  </si>
  <si>
    <t>4826201999-B,A-197099993
LABORATORY PENETRASI TEST SET</t>
  </si>
  <si>
    <t>4826201999-B,A-197370797
mesin los angeles abrasi</t>
  </si>
  <si>
    <t>4826201999-B,A-197098002
Laboratory CBR test</t>
  </si>
  <si>
    <t>4826201999-B,A-197087439
BENKLEMAN BEAM</t>
  </si>
  <si>
    <t>4826201999-B,A-197102352
Length gauge / alat uji batuan / alat teknik sipil / aggregate</t>
  </si>
  <si>
    <t>4826201999-B,A-197106916
STANDARD PENETRASION TEST</t>
  </si>
  <si>
    <t>4826201999-B,A-197084362
AUTOMATIC COMPACTOR ASPHALT</t>
  </si>
  <si>
    <t>4826201999-B,A-197092305
DIGITAL CONCRETE HAMMER TEST SADT HT 225D</t>
  </si>
  <si>
    <t>spek barang lab</t>
  </si>
  <si>
    <t>DOKUMEN PERSIAPAN</t>
  </si>
  <si>
    <t>spek barang lab - DOKUMEN PERSI</t>
  </si>
  <si>
    <t>Uraian Barong dan Spesifikasi</t>
  </si>
  <si>
    <t>GARANSI DAN KETENTUAN</t>
  </si>
  <si>
    <t>KETERANGAN</t>
  </si>
  <si>
    <t>HARGA TERMASUK PAJAK,GARANSI SELAMA SETAHUN SEJAK SERAH TERIMA PEKERJAAN DAN PELATIHAN PENGGUNAKAN KE OPD</t>
  </si>
  <si>
    <t>51024146</t>
  </si>
  <si>
    <t>A.2.3.1.1.</t>
  </si>
  <si>
    <t>51091700</t>
  </si>
  <si>
    <t>PEKERJAAN KAYU</t>
  </si>
  <si>
    <t>SNI</t>
  </si>
  <si>
    <t>Pek. Gelagar Memanjang kayu Klas II 6/12</t>
  </si>
  <si>
    <t>Pek. Gelagar Melintang kayu Klas II 6/12</t>
  </si>
  <si>
    <t>Pas. Lantai Papan kayu Klas II 3/20</t>
  </si>
  <si>
    <t>PEKERJAAN TALI SELING &amp; ACCESSORIES</t>
  </si>
  <si>
    <t>Pas. Sling Utama ø 1"</t>
  </si>
  <si>
    <t>M'</t>
  </si>
  <si>
    <t>Pas. Sling Bawah ø 1/2"</t>
  </si>
  <si>
    <t>Pas. Hanger  ø 12 mm (Besi Pengantung) ukrn 4,5 m s/d 2,5 m</t>
  </si>
  <si>
    <t>Bh</t>
  </si>
  <si>
    <t>Pas. Walter Mur/Span Skrup 1/2''</t>
  </si>
  <si>
    <t>Pas. Baut ø 10 mm</t>
  </si>
  <si>
    <t>Pas.Kuku Macan  ø 32 mm</t>
  </si>
  <si>
    <t>51023355</t>
  </si>
  <si>
    <t>Biaya Bongkaran</t>
  </si>
  <si>
    <t>51024298</t>
  </si>
  <si>
    <t>51367031</t>
  </si>
  <si>
    <t>49767242</t>
  </si>
  <si>
    <t xml:space="preserve">A.1 </t>
  </si>
  <si>
    <t>Pekerjaan Tanah</t>
  </si>
  <si>
    <t>A.1.1</t>
  </si>
  <si>
    <t>Pekerjaan tanah secara manual dan semi mekanis (Normatif)</t>
  </si>
  <si>
    <t>TM.04.a.1.a</t>
  </si>
  <si>
    <t>1 m3 Galian tanah biasa sedalam sd 2 m</t>
  </si>
  <si>
    <t>A.2</t>
  </si>
  <si>
    <t>Pekerjaan Pasangan</t>
  </si>
  <si>
    <t>A.2.1</t>
  </si>
  <si>
    <t>Koefisien untuk analisis harga satuan Pekerjaan pasangan (Normatif)</t>
  </si>
  <si>
    <t>P.06.a.7)</t>
  </si>
  <si>
    <t>Pasangan  bronjong  fabrikasi  (tenaga  kerja  untuk 1m3   batu bronjong)</t>
  </si>
  <si>
    <t>A.8</t>
  </si>
  <si>
    <t>Pekerjaan lain-lain (Normatif/Informatif)</t>
  </si>
  <si>
    <t>A.8.1</t>
  </si>
  <si>
    <t>AHSP Pekerjaan lain-lain (Normatif/Informatif)</t>
  </si>
  <si>
    <t>-</t>
  </si>
  <si>
    <t>Mobilisasi dan Demobilisasi</t>
  </si>
  <si>
    <t>Papan Proyek</t>
  </si>
  <si>
    <t>Manajemen Keselamatan dan Kesehatan Kerja (SMK3)</t>
  </si>
  <si>
    <t>49975231</t>
  </si>
  <si>
    <t>Pekerjaan Drainase Pasangan Batu</t>
  </si>
  <si>
    <t>Rabat beton mutu f’c = 16,9 Mpa</t>
  </si>
  <si>
    <t>Plesteran  1SP : 5PP tebal 15 mm</t>
  </si>
  <si>
    <t>Acian Semen</t>
  </si>
  <si>
    <t>51581417</t>
  </si>
  <si>
    <t>49949358</t>
  </si>
  <si>
    <t>49944383</t>
  </si>
  <si>
    <t>Konsepsi Perancangan 15%</t>
  </si>
  <si>
    <t>Pra Rancangan 20%</t>
  </si>
  <si>
    <t>Pengembangan Rancangan 25%</t>
  </si>
  <si>
    <t>Rancangan Detail Meliputi Penyusunan Rancangan Gambar detail dan penyusunan Rencana Kerja dan Syarat (RKS), serta Rencana Anggaran Biaya 30%</t>
  </si>
  <si>
    <t>Tender Penyedia Jasa Konstruksi 10 %</t>
  </si>
  <si>
    <t>51581423</t>
  </si>
  <si>
    <t>49975815</t>
  </si>
  <si>
    <t>49977097</t>
  </si>
  <si>
    <t>50002531</t>
  </si>
  <si>
    <t>49767016</t>
  </si>
  <si>
    <t>49943495</t>
  </si>
  <si>
    <t>49944052</t>
  </si>
  <si>
    <t>49981901</t>
  </si>
  <si>
    <t>Pengurugan 1 m3 sirtu padat</t>
  </si>
  <si>
    <t>49975119</t>
  </si>
  <si>
    <t>51023923</t>
  </si>
  <si>
    <t>49977774</t>
  </si>
  <si>
    <t>PEKERJAAN PERSIAPAN DAN UMUM</t>
  </si>
  <si>
    <t>Pek.</t>
  </si>
  <si>
    <t>RUANG SPM</t>
  </si>
  <si>
    <t>Pek. Pas. Partisi Multipleks 9 mm + Rangka Multipleks 12 Dan 15 mm Lapis HPL 2 Sisi</t>
  </si>
  <si>
    <t>M²</t>
  </si>
  <si>
    <t>Pekerjaan Pemasangan Pintu Multipleks 9 mm + Rangka Multipleks 12 mm Dan 15 mm Finishing HPL 2 Sisi</t>
  </si>
  <si>
    <t>Pekerjaan Pemasangan Kunci Tanam Biasa</t>
  </si>
  <si>
    <t>Set</t>
  </si>
  <si>
    <t>Pekerjaan Pemasangan Engsel Pintu</t>
  </si>
  <si>
    <t>Pekerjaan Pemasangan Door Closer</t>
  </si>
  <si>
    <t>Unit</t>
  </si>
  <si>
    <t>III</t>
  </si>
  <si>
    <t>RUANG KEPALA DINAS CIPTA KARYA</t>
  </si>
  <si>
    <t>Pek. Pas. Penambahan Dinding Backdrop Multipleks 9 mm dan WPC  + Rangka Multipleks 12 mm Dan 15 mm Lapis Finishing HPL 1 Sisi</t>
  </si>
  <si>
    <t>Pek. Pas. Penambahan Dinding Partisi R. Kadis Multipleks 9 mm + Rangka Multipleks 12 mm Lapis HPL 2 Sisi</t>
  </si>
  <si>
    <t>Pekerjaan Pemasangan Tempat Tidur Multipleks 9 mm + Rangka Multipleks 12 mm Dan 15 mm Finishing HPL</t>
  </si>
  <si>
    <t>Pegadaan Kursi Sofa Madison Cheers 3s+ 2s + 1s RC Brown</t>
  </si>
  <si>
    <t>Pegadaan Meja Eugene Coffee Table Rect Whte Walnut</t>
  </si>
  <si>
    <t>Pegadaan Kasur Ukuran  (90 x 200) cm</t>
  </si>
  <si>
    <t>IV</t>
  </si>
  <si>
    <t>PALANG PINTU KELUAR MASUK DINAS CIPTA KARYA</t>
  </si>
  <si>
    <t>Pengadaan Dan Pemasangan Portal Gate (Pipa Besi 3'' Include)</t>
  </si>
  <si>
    <t>BH</t>
  </si>
  <si>
    <t>PEKERJAAN AKHIR</t>
  </si>
  <si>
    <t>49979513</t>
  </si>
  <si>
    <t>Pengukuran dan Pemasangan Bouwplank</t>
  </si>
  <si>
    <t>Pembongkaran</t>
  </si>
  <si>
    <t>PEKERJAAN TANAH</t>
  </si>
  <si>
    <t>Pekerjaan Galian Tanah</t>
  </si>
  <si>
    <t>Memuat Tanah Hasil Galian</t>
  </si>
  <si>
    <t>Urugan Pasir</t>
  </si>
  <si>
    <t>Bekisting</t>
  </si>
  <si>
    <t>Rabat Beton</t>
  </si>
  <si>
    <t>PEKERJAAN TIANG BENDERA</t>
  </si>
  <si>
    <t>Pemasangan Tiang Bendera Pipa Gip Ø 4"</t>
  </si>
  <si>
    <t>m1</t>
  </si>
  <si>
    <t>Pemasangan Tiang Bendera Pipa Gip Ø 6"</t>
  </si>
  <si>
    <t>Pemasangan Tiang Bendera Pipa Gip Ø 8"</t>
  </si>
  <si>
    <t>Baut</t>
  </si>
  <si>
    <t>49979604</t>
  </si>
  <si>
    <t>PEKERJAAN ALUN-ALUN</t>
  </si>
  <si>
    <t>Pek. Mobilisasi</t>
  </si>
  <si>
    <t>SMK.3</t>
  </si>
  <si>
    <t>Pek. Pergantian Lampu Sorot Besar LED  bawah</t>
  </si>
  <si>
    <t>Pek. Pergantian Lampu Sorot Besar LED atas</t>
  </si>
  <si>
    <t>Pek. Pemasangan Lampu LED Keliling Warna</t>
  </si>
  <si>
    <t>Pek.Perbaikan  Dinamo dan alcon 3 inci 5 Kw</t>
  </si>
  <si>
    <t>Pek.Penanaman pohon Falem udan</t>
  </si>
  <si>
    <t>Pek.Pekerjaan perbaikan kolam smrat</t>
  </si>
  <si>
    <t>Pek.Pekerjaan  Pengecatan Batu Alam kolam smrat</t>
  </si>
  <si>
    <t>PEKERJAAN MASJID</t>
  </si>
  <si>
    <t>Pek.Perbaikan  Pompa Fountain Submersible Pump 1,5 Kw</t>
  </si>
  <si>
    <t>Pek. Pergantian Lampu Sorot Kecil Tunggal LED</t>
  </si>
  <si>
    <t>Pek. Pergantian Nossel Besar</t>
  </si>
  <si>
    <t>Pek. Pergantian Lampu Sorot Warna Tiga Mata LED</t>
  </si>
  <si>
    <t>Pek. Pergantian Lampu Sorot Warna 12 Mata LED</t>
  </si>
  <si>
    <t>49981784</t>
  </si>
  <si>
    <t>Sewa Stanpart Untuk Pemadatan</t>
  </si>
  <si>
    <t>Pek. Pasangan Lapisan Beton (Plastik Cor)</t>
  </si>
  <si>
    <t>51245302</t>
  </si>
  <si>
    <t>51245324</t>
  </si>
  <si>
    <t>5575660</t>
  </si>
  <si>
    <t>5583660</t>
  </si>
  <si>
    <t>51309467</t>
  </si>
  <si>
    <t>51309517</t>
  </si>
  <si>
    <t>51861479</t>
  </si>
  <si>
    <t>51861480</t>
  </si>
  <si>
    <t>51309201</t>
  </si>
  <si>
    <t>51864970</t>
  </si>
  <si>
    <t>Standar Operasional Prosedur (SOP) Bidang Pekerjaan Umum dan Penataan Ruang</t>
  </si>
  <si>
    <t>Persiapan dan Sosialisasi 5%</t>
  </si>
  <si>
    <t>Pembuatan Laporan Pendahuluan 10%</t>
  </si>
  <si>
    <t>Identifikasi Pengembangan SOP 10%</t>
  </si>
  <si>
    <t>Analisa 20%</t>
  </si>
  <si>
    <t>Pengembangan SOP 15%</t>
  </si>
  <si>
    <t>Tinjauan SOP 15%</t>
  </si>
  <si>
    <t>Pengesahan dan Penyusunan Laporan Akhir 25%</t>
  </si>
  <si>
    <t>51309415</t>
  </si>
  <si>
    <t>51308914</t>
  </si>
  <si>
    <t>5574660</t>
  </si>
  <si>
    <t>5570660</t>
  </si>
  <si>
    <t>A1</t>
  </si>
  <si>
    <t>A.1.2</t>
  </si>
  <si>
    <t>Pengadaan dan Pemasangan Patok</t>
  </si>
  <si>
    <t>T.05.a</t>
  </si>
  <si>
    <t>1 Buah Patok kayu (Kaso 5/7), panjang 0,5m'</t>
  </si>
  <si>
    <t>bh</t>
  </si>
  <si>
    <t>A.2.5</t>
  </si>
  <si>
    <t>Pekerjaan Galian</t>
  </si>
  <si>
    <t>T.06.a.1)</t>
  </si>
  <si>
    <t>- Menggali Saluran tanah biasa atau tanah liat berpasir kedalaman 0 - 2 m dan dimuat ke DT</t>
  </si>
  <si>
    <t>Batu Kosong dan Bronjong</t>
  </si>
  <si>
    <t>A8</t>
  </si>
  <si>
    <t>PEKERJAAN LAIN-LAIN</t>
  </si>
  <si>
    <t>La.04.d</t>
  </si>
  <si>
    <t>Mobilisasi dan Demobilisasi Personil dan Peralatan.</t>
  </si>
  <si>
    <t>La.09.a</t>
  </si>
  <si>
    <t>Biaya Penerapan SMKK * (masuk di Biaya Persiapan)</t>
  </si>
  <si>
    <t>49975169</t>
  </si>
  <si>
    <t>Pengurugan dengan pasir urug</t>
  </si>
  <si>
    <t>5576660</t>
  </si>
  <si>
    <t>49975054</t>
  </si>
  <si>
    <t>SMKK</t>
  </si>
  <si>
    <t>- Topi Pelindung (Safety Helmet)</t>
  </si>
  <si>
    <t>- Sarung Tangan (Safety Gloves)</t>
  </si>
  <si>
    <t>Psg</t>
  </si>
  <si>
    <t>- Sepatu Keamanan (Safety Shoes)</t>
  </si>
  <si>
    <t>Rompi Keselamatan (Safety Vast)</t>
  </si>
  <si>
    <t>Pembersihan Saluran</t>
  </si>
  <si>
    <t>5630660</t>
  </si>
  <si>
    <t>5629660</t>
  </si>
  <si>
    <t>5636660</t>
  </si>
  <si>
    <t>Biaya Langsiran Material</t>
  </si>
  <si>
    <t>5638660</t>
  </si>
  <si>
    <t>Site Engineering/Inspektur (SKKNI 2015-110)</t>
  </si>
  <si>
    <t>Sewa Printer A3</t>
  </si>
  <si>
    <t>Meter Roll</t>
  </si>
  <si>
    <t>ls</t>
  </si>
  <si>
    <t>5639660</t>
  </si>
  <si>
    <t>6694660</t>
  </si>
  <si>
    <t>Inspector/Pengawas Lapangan 1 (satu) Orang</t>
  </si>
  <si>
    <t>Fasilitas Kantor</t>
  </si>
  <si>
    <t>Alat Tulis Kantor</t>
  </si>
  <si>
    <t>Komputer (Sewa)</t>
  </si>
  <si>
    <t>Printer A3 (Sewa)</t>
  </si>
  <si>
    <t>Laporan Invoice</t>
  </si>
  <si>
    <t>6693660</t>
  </si>
  <si>
    <t>6691660</t>
  </si>
  <si>
    <t>6696660</t>
  </si>
  <si>
    <t xml:space="preserve"> Galian Biasa </t>
  </si>
  <si>
    <t xml:space="preserve"> M3 </t>
  </si>
  <si>
    <t xml:space="preserve"> Galian Batu </t>
  </si>
  <si>
    <t xml:space="preserve"> Timbunan Pilihan dari Sumber galian </t>
  </si>
  <si>
    <t>6699660</t>
  </si>
  <si>
    <t>6775660</t>
  </si>
  <si>
    <t>6698660</t>
  </si>
  <si>
    <t>5592660</t>
  </si>
  <si>
    <t>Sewa &amp; Ops. Kendaraan 2 roda (1 unit x 6 bln)</t>
  </si>
  <si>
    <t>SSD 1 Tera</t>
  </si>
  <si>
    <t>6749660</t>
  </si>
  <si>
    <t>Pembersihan Damija &amp; Penyiapan Badan Jalan</t>
  </si>
  <si>
    <t>5592660 add</t>
  </si>
  <si>
    <t>6855660</t>
  </si>
  <si>
    <t>DIVISI  11.  PEKERJAAN LAIN-LAIN</t>
  </si>
  <si>
    <t>Pas. Sling Utama dia - 1</t>
  </si>
  <si>
    <t>M</t>
  </si>
  <si>
    <t>Pas. Sling Bawah dia - 1/2</t>
  </si>
  <si>
    <t>Pas. Hanger dia 12 mm (Besi Pengantung) ukrn 4,5 m s/d 2,5 m</t>
  </si>
  <si>
    <t>Pas. Walter Mur/Span Skrup 1/2</t>
  </si>
  <si>
    <t>Pas. Baut dia 10 mm</t>
  </si>
  <si>
    <t>Pas.Kuku Macan dia 32 mm</t>
  </si>
  <si>
    <t>49943775</t>
  </si>
  <si>
    <t>Biaya Laporan</t>
  </si>
  <si>
    <t>4.500.000</t>
  </si>
  <si>
    <t>To be name (Inspector)</t>
  </si>
  <si>
    <t>OB</t>
  </si>
  <si>
    <t>Biaya ATK (office consumable)</t>
  </si>
  <si>
    <t>Biaya komunikasi</t>
  </si>
  <si>
    <t>Biaya Laporan Bulanan</t>
  </si>
  <si>
    <t>Biaya Laporan Akhir</t>
  </si>
  <si>
    <t>51245390</t>
  </si>
  <si>
    <t>53440390</t>
  </si>
  <si>
    <t>53440479</t>
  </si>
  <si>
    <t>53444080</t>
  </si>
  <si>
    <t>53444102</t>
  </si>
  <si>
    <t>53444125</t>
  </si>
  <si>
    <t>53444147</t>
  </si>
  <si>
    <t>53444174</t>
  </si>
  <si>
    <t>53444184</t>
  </si>
  <si>
    <t>53444198</t>
  </si>
  <si>
    <t>53444215</t>
  </si>
  <si>
    <t>53444281</t>
  </si>
  <si>
    <t>Pondasi rabat</t>
  </si>
  <si>
    <t>53444288</t>
  </si>
  <si>
    <t>53444298</t>
  </si>
  <si>
    <t>53444319kk</t>
  </si>
  <si>
    <t>53444319gg</t>
  </si>
  <si>
    <t>53432709</t>
  </si>
  <si>
    <t>53432803</t>
  </si>
  <si>
    <t>53432850</t>
  </si>
  <si>
    <t>53432905</t>
  </si>
  <si>
    <t>53432965</t>
  </si>
  <si>
    <t>53433014</t>
  </si>
  <si>
    <t>53433062</t>
  </si>
  <si>
    <t>53433117</t>
  </si>
  <si>
    <t>53433274</t>
  </si>
  <si>
    <t>53433307</t>
  </si>
  <si>
    <t>53443779</t>
  </si>
  <si>
    <t>53433509</t>
  </si>
  <si>
    <t>Biaya SMK3</t>
  </si>
  <si>
    <t>PEKERJAAN ARSITEKTUR</t>
  </si>
  <si>
    <t>Pekerjaan Rangka Kanal C.75</t>
  </si>
  <si>
    <t>Partisi gypsum 9mm</t>
  </si>
  <si>
    <t>Pengecatan Dengan Cat Tembok</t>
  </si>
  <si>
    <t>Pintu finishing HPL</t>
  </si>
  <si>
    <t>53433696</t>
  </si>
  <si>
    <t>53433778</t>
  </si>
  <si>
    <t>53444344</t>
  </si>
  <si>
    <t>51304504</t>
  </si>
  <si>
    <t>BIAYA SEWA KENDARAAN/TRANSPORTASI/LAPORAN</t>
  </si>
  <si>
    <t>Sewa &amp; Ops. Kendaraan (1 unit x 6 bln)</t>
  </si>
  <si>
    <t>Pengawasan Peningkatan jalan Samping Kodim Pasangkayu cs.</t>
  </si>
  <si>
    <t>Pengawas Jalan ( 1 0rang x 6 bln)</t>
  </si>
  <si>
    <t>51267063</t>
  </si>
  <si>
    <t>Team Leader/Inspector (Jembatan/Jalan)</t>
  </si>
  <si>
    <t>53445187</t>
  </si>
  <si>
    <t>Sewa Kamera Digital</t>
  </si>
  <si>
    <t>Sepatu Septi</t>
  </si>
  <si>
    <t>SSD 512 gb</t>
  </si>
  <si>
    <t>53433778-1</t>
  </si>
  <si>
    <t>Pengadaan Barang Kegiatan PENGADAAN BARANG MILIK DAERAH PENUNJANG URUSAN
PEMERINTAH DAERAH</t>
  </si>
  <si>
    <t>DRONE</t>
  </si>
  <si>
    <t>Spesifikasi: 20MP 5.1K Wide-Angle 4/3
CMOS Hasselblad, 12MP Telephoto with
28x Hybrid Zoom, 3-Axis Gimbal with
Dual Cameras, 46 Menit Waktu
Penerbangan, Rentang Transmisi Maks
15km, Advanced Return to Home, 8GB of
Storage Space, Paket Komplit.</t>
  </si>
  <si>
    <t>53557837</t>
  </si>
  <si>
    <t>I.</t>
  </si>
  <si>
    <t>Biaya Mobilisasi dan Demobilisasi</t>
  </si>
  <si>
    <t>II.</t>
  </si>
  <si>
    <t>PENGADAAN DAN PEMASANGAN  ACCESSORIES IKK</t>
  </si>
  <si>
    <t>Bahan Kimia</t>
  </si>
  <si>
    <t>a. PAC Winflock - 110 (Liquid)</t>
  </si>
  <si>
    <t>b. Kaporit Bikchlon 70% (Powder)</t>
  </si>
  <si>
    <t>Kran Air Ø 1/2''</t>
  </si>
  <si>
    <t>Stop Kran Giv Ø 1/2''</t>
  </si>
  <si>
    <t>Stop Kran PVC Ø 2''</t>
  </si>
  <si>
    <t>Stop Kran PVC Ø 3''</t>
  </si>
  <si>
    <t>Stop Kran PVC Ø 4''</t>
  </si>
  <si>
    <t>Klem Sadel Ø 10''</t>
  </si>
  <si>
    <t>Jibol Joing Ø 2''</t>
  </si>
  <si>
    <t>Jibol Joing Ø 3''</t>
  </si>
  <si>
    <t>Jibol Joing Ø 4''</t>
  </si>
  <si>
    <t>Jibol Joing Ø 6''</t>
  </si>
  <si>
    <t>Jibol Joing Ø 8''</t>
  </si>
  <si>
    <t>Jibol Joing Ø 10''</t>
  </si>
  <si>
    <t>Jibol Joing Ø 12''</t>
  </si>
  <si>
    <t>Pipa PVC aw Ø 8''</t>
  </si>
  <si>
    <t>Btg</t>
  </si>
  <si>
    <t>Pipa PVC aw Ø 10''</t>
  </si>
  <si>
    <t>Isolasi Pipa</t>
  </si>
  <si>
    <t>Lem Pipa PVC</t>
  </si>
  <si>
    <t>Kaleng</t>
  </si>
  <si>
    <t>Alat Kerja</t>
  </si>
  <si>
    <t>Bolam Lampu 20 Watt Let</t>
  </si>
  <si>
    <t>Bolam Lampu Jalan 50 Watt Let</t>
  </si>
  <si>
    <t>Selang Bahan Kimia</t>
  </si>
  <si>
    <t>Pembersihan Halaman Kantor IKK</t>
  </si>
  <si>
    <t>Pengelasan Pipa Transmisi</t>
  </si>
  <si>
    <t>Pembersihan Reservoar</t>
  </si>
  <si>
    <t>Perbaikan Nok Atap Ruang Pengolahan</t>
  </si>
  <si>
    <t>Gembok</t>
  </si>
  <si>
    <t>Grendel Jendela</t>
  </si>
  <si>
    <t>Klep Pompa Dosing</t>
  </si>
  <si>
    <t>Pengelasan Plat Gater IPA</t>
  </si>
  <si>
    <t>Pemasangan Seng SPC</t>
  </si>
  <si>
    <t>III.</t>
  </si>
  <si>
    <t>Pek. Akhir (Pembersihan)</t>
  </si>
  <si>
    <t>6772660</t>
  </si>
  <si>
    <t>0b</t>
  </si>
  <si>
    <t>Inspektur/pengawas Jalan ( 1 0rang x 5 bln)</t>
  </si>
  <si>
    <t>Sewa &amp; Ops. Kendaraan (1 unit x 5 bln)</t>
  </si>
  <si>
    <t>Hardish</t>
  </si>
  <si>
    <t>6771660</t>
  </si>
  <si>
    <t>6770660</t>
  </si>
  <si>
    <t>6770660-1</t>
  </si>
  <si>
    <t>49975743</t>
  </si>
  <si>
    <t>49978079</t>
  </si>
  <si>
    <t>49976805</t>
  </si>
</sst>
</file>

<file path=xl/styles.xml><?xml version="1.0" encoding="utf-8"?>
<styleSheet xmlns="http://schemas.openxmlformats.org/spreadsheetml/2006/main">
  <numFmts count="7">
    <numFmt numFmtId="0" formatCode="General"/>
    <numFmt numFmtId="59" formatCode="&quot; &quot;* #,##0&quot; &quot;;&quot;-&quot;* #,##0&quot; &quot;;&quot; &quot;* &quot;- &quot;"/>
    <numFmt numFmtId="60" formatCode="#,##0.0#"/>
    <numFmt numFmtId="61" formatCode="#,##0.0"/>
    <numFmt numFmtId="62" formatCode="[$Rp-421]#,##0.0#"/>
    <numFmt numFmtId="63" formatCode="[$Rp-421]#,##0.00"/>
    <numFmt numFmtId="64" formatCode="0.0000"/>
  </numFmts>
  <fonts count="21">
    <font>
      <sz val="10"/>
      <color indexed="8"/>
      <name val="Helvetica Neue"/>
    </font>
    <font>
      <sz val="12"/>
      <color indexed="8"/>
      <name val="Helvetica Neue"/>
    </font>
    <font>
      <sz val="14"/>
      <color indexed="8"/>
      <name val="Helvetica Neue"/>
    </font>
    <font>
      <sz val="12"/>
      <color indexed="8"/>
      <name val="Helvetica"/>
    </font>
    <font>
      <u val="single"/>
      <sz val="12"/>
      <color indexed="11"/>
      <name val="Helvetica Neue"/>
    </font>
    <font>
      <sz val="10"/>
      <color indexed="8"/>
      <name val="Helvetica"/>
    </font>
    <font>
      <b val="1"/>
      <sz val="10"/>
      <color indexed="8"/>
      <name val="Helvetica"/>
    </font>
    <font>
      <sz val="12"/>
      <color indexed="16"/>
      <name val="Helvetica Neue"/>
    </font>
    <font>
      <b val="1"/>
      <sz val="12"/>
      <color indexed="16"/>
      <name val="Helvetica Neue"/>
    </font>
    <font>
      <sz val="13"/>
      <color indexed="18"/>
      <name val="Helvetica Neue"/>
    </font>
    <font>
      <u val="single"/>
      <sz val="13"/>
      <color indexed="18"/>
      <name val="Helvetica Neue"/>
    </font>
    <font>
      <sz val="13"/>
      <color indexed="20"/>
      <name val="Helvetica Neue"/>
    </font>
    <font>
      <sz val="13"/>
      <color indexed="21"/>
      <name val="Helvetica Neue"/>
    </font>
    <font>
      <b val="1"/>
      <sz val="14"/>
      <color indexed="8"/>
      <name val="Helvetica Neue"/>
    </font>
    <font>
      <b val="1"/>
      <sz val="10"/>
      <color indexed="22"/>
      <name val="Helvetica Neue"/>
    </font>
    <font>
      <sz val="10"/>
      <color indexed="22"/>
      <name val="Helvetica Neue Medium"/>
    </font>
    <font>
      <sz val="10"/>
      <color indexed="8"/>
      <name val="Avenir Next Regular"/>
    </font>
    <font>
      <sz val="12"/>
      <color indexed="8"/>
      <name val="Avenir Next Regular"/>
    </font>
    <font>
      <sz val="10"/>
      <color indexed="29"/>
      <name val="Avenir Next Demi Bold"/>
    </font>
    <font>
      <sz val="10"/>
      <color indexed="8"/>
      <name val="Avenir Next Demi Bold"/>
    </font>
    <font>
      <sz val="10"/>
      <color indexed="8"/>
      <name val="Arial"/>
    </font>
  </fonts>
  <fills count="11">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4"/>
        <bgColor auto="1"/>
      </patternFill>
    </fill>
    <fill>
      <patternFill patternType="solid">
        <fgColor indexed="15"/>
        <bgColor auto="1"/>
      </patternFill>
    </fill>
    <fill>
      <patternFill patternType="solid">
        <fgColor indexed="19"/>
        <bgColor auto="1"/>
      </patternFill>
    </fill>
    <fill>
      <patternFill patternType="solid">
        <fgColor indexed="28"/>
        <bgColor auto="1"/>
      </patternFill>
    </fill>
    <fill>
      <patternFill patternType="solid">
        <fgColor indexed="30"/>
        <bgColor auto="1"/>
      </patternFill>
    </fill>
    <fill>
      <patternFill patternType="solid">
        <fgColor indexed="33"/>
        <bgColor auto="1"/>
      </patternFill>
    </fill>
    <fill>
      <patternFill patternType="solid">
        <fgColor indexed="34"/>
        <bgColor auto="1"/>
      </patternFill>
    </fill>
  </fills>
  <borders count="62">
    <border>
      <left/>
      <right/>
      <top/>
      <bottom/>
      <diagonal/>
    </border>
    <border>
      <left/>
      <right/>
      <top/>
      <bottom>
        <color indexed="8"/>
      </bottom>
      <diagonal/>
    </border>
    <border>
      <left/>
      <right/>
      <top>
        <color indexed="8"/>
      </top>
      <bottom style="thin">
        <color indexed="12"/>
      </bottom>
      <diagonal/>
    </border>
    <border>
      <left/>
      <right>
        <color indexed="8"/>
      </right>
      <top style="thin">
        <color indexed="12"/>
      </top>
      <bottom/>
      <diagonal/>
    </border>
    <border>
      <left>
        <color indexed="8"/>
      </left>
      <right style="thin">
        <color indexed="12"/>
      </right>
      <top style="thin">
        <color indexed="12"/>
      </top>
      <bottom/>
      <diagonal/>
    </border>
    <border>
      <left style="thin">
        <color indexed="12"/>
      </left>
      <right style="dotted">
        <color indexed="13"/>
      </right>
      <top style="thin">
        <color indexed="12"/>
      </top>
      <bottom style="dotted">
        <color indexed="13"/>
      </bottom>
      <diagonal/>
    </border>
    <border>
      <left style="dotted">
        <color indexed="13"/>
      </left>
      <right style="dotted">
        <color indexed="13"/>
      </right>
      <top style="thin">
        <color indexed="12"/>
      </top>
      <bottom style="dotted">
        <color indexed="13"/>
      </bottom>
      <diagonal/>
    </border>
    <border>
      <left style="dotted">
        <color indexed="13"/>
      </left>
      <right/>
      <top style="thin">
        <color indexed="12"/>
      </top>
      <bottom style="dotted">
        <color indexed="13"/>
      </bottom>
      <diagonal/>
    </border>
    <border>
      <left/>
      <right>
        <color indexed="8"/>
      </right>
      <top/>
      <bottom/>
      <diagonal/>
    </border>
    <border>
      <left>
        <color indexed="8"/>
      </left>
      <right style="thin">
        <color indexed="12"/>
      </right>
      <top/>
      <bottom/>
      <diagonal/>
    </border>
    <border>
      <left style="thin">
        <color indexed="12"/>
      </left>
      <right style="dotted">
        <color indexed="13"/>
      </right>
      <top style="dotted">
        <color indexed="13"/>
      </top>
      <bottom style="dotted">
        <color indexed="13"/>
      </bottom>
      <diagonal/>
    </border>
    <border>
      <left style="dotted">
        <color indexed="13"/>
      </left>
      <right style="dotted">
        <color indexed="13"/>
      </right>
      <top style="dotted">
        <color indexed="13"/>
      </top>
      <bottom style="dotted">
        <color indexed="13"/>
      </bottom>
      <diagonal/>
    </border>
    <border>
      <left style="dotted">
        <color indexed="13"/>
      </left>
      <right/>
      <top style="dotted">
        <color indexed="13"/>
      </top>
      <bottom style="dotted">
        <color indexed="13"/>
      </bottom>
      <diagonal/>
    </border>
    <border>
      <left/>
      <right>
        <color indexed="8"/>
      </right>
      <top/>
      <bottom style="thin">
        <color indexed="12"/>
      </bottom>
      <diagonal/>
    </border>
    <border>
      <left>
        <color indexed="8"/>
      </left>
      <right style="thin">
        <color indexed="12"/>
      </right>
      <top/>
      <bottom style="thin">
        <color indexed="12"/>
      </bottom>
      <diagonal/>
    </border>
    <border>
      <left style="thin">
        <color indexed="12"/>
      </left>
      <right style="dotted">
        <color indexed="13"/>
      </right>
      <top style="dotted">
        <color indexed="13"/>
      </top>
      <bottom style="thin">
        <color indexed="12"/>
      </bottom>
      <diagonal/>
    </border>
    <border>
      <left style="dotted">
        <color indexed="13"/>
      </left>
      <right style="dotted">
        <color indexed="13"/>
      </right>
      <top style="dotted">
        <color indexed="13"/>
      </top>
      <bottom style="thin">
        <color indexed="12"/>
      </bottom>
      <diagonal/>
    </border>
    <border>
      <left style="dotted">
        <color indexed="13"/>
      </left>
      <right/>
      <top style="dotted">
        <color indexed="13"/>
      </top>
      <bottom style="thin">
        <color indexed="12"/>
      </bottom>
      <diagonal/>
    </border>
    <border>
      <left/>
      <right>
        <color indexed="8"/>
      </right>
      <top style="thin">
        <color indexed="12"/>
      </top>
      <bottom style="thin">
        <color indexed="12"/>
      </bottom>
      <diagonal/>
    </border>
    <border>
      <left>
        <color indexed="8"/>
      </left>
      <right style="thin">
        <color indexed="12"/>
      </right>
      <top style="thin">
        <color indexed="12"/>
      </top>
      <bottom style="thin">
        <color indexed="12"/>
      </bottom>
      <diagonal/>
    </border>
    <border>
      <left style="thin">
        <color indexed="12"/>
      </left>
      <right style="dotted">
        <color indexed="13"/>
      </right>
      <top style="thin">
        <color indexed="12"/>
      </top>
      <bottom style="thin">
        <color indexed="12"/>
      </bottom>
      <diagonal/>
    </border>
    <border>
      <left style="dotted">
        <color indexed="13"/>
      </left>
      <right style="dotted">
        <color indexed="13"/>
      </right>
      <top style="thin">
        <color indexed="12"/>
      </top>
      <bottom style="thin">
        <color indexed="12"/>
      </bottom>
      <diagonal/>
    </border>
    <border>
      <left style="dotted">
        <color indexed="13"/>
      </left>
      <right/>
      <top style="thin">
        <color indexed="12"/>
      </top>
      <bottom style="thin">
        <color indexed="12"/>
      </bottom>
      <diagonal/>
    </border>
    <border>
      <left/>
      <right/>
      <top style="thin">
        <color indexed="12"/>
      </top>
      <bottom>
        <color indexed="8"/>
      </bottom>
      <diagonal/>
    </border>
    <border>
      <left/>
      <right/>
      <top style="thin">
        <color indexed="12"/>
      </top>
      <bottom style="hair">
        <color indexed="8"/>
      </bottom>
      <diagonal/>
    </border>
    <border>
      <left/>
      <right/>
      <top>
        <color indexed="8"/>
      </top>
      <bottom/>
      <diagonal/>
    </border>
    <border>
      <left/>
      <right style="hair">
        <color indexed="8"/>
      </right>
      <top style="hair">
        <color indexed="8"/>
      </top>
      <bottom/>
      <diagonal/>
    </border>
    <border>
      <left style="hair">
        <color indexed="8"/>
      </left>
      <right style="hair">
        <color indexed="8"/>
      </right>
      <top style="hair">
        <color indexed="8"/>
      </top>
      <bottom/>
      <diagonal/>
    </border>
    <border>
      <left style="hair">
        <color indexed="8"/>
      </left>
      <right/>
      <top>
        <color indexed="8"/>
      </top>
      <bottom/>
      <diagonal/>
    </border>
    <border>
      <left/>
      <right/>
      <top>
        <color indexed="8"/>
      </top>
      <bottom>
        <color indexed="8"/>
      </bottom>
      <diagonal/>
    </border>
    <border>
      <left/>
      <right/>
      <top/>
      <bottom/>
      <diagonal/>
    </border>
    <border>
      <left style="thin">
        <color indexed="17"/>
      </left>
      <right style="thin">
        <color indexed="17"/>
      </right>
      <top style="thin">
        <color indexed="17"/>
      </top>
      <bottom style="thin">
        <color indexed="17"/>
      </bottom>
      <diagonal/>
    </border>
    <border>
      <left style="thin">
        <color indexed="23"/>
      </left>
      <right style="thin">
        <color indexed="24"/>
      </right>
      <top style="thin">
        <color indexed="23"/>
      </top>
      <bottom style="thin">
        <color indexed="25"/>
      </bottom>
      <diagonal/>
    </border>
    <border>
      <left style="thin">
        <color indexed="24"/>
      </left>
      <right style="thin">
        <color indexed="24"/>
      </right>
      <top style="thin">
        <color indexed="23"/>
      </top>
      <bottom style="thin">
        <color indexed="25"/>
      </bottom>
      <diagonal/>
    </border>
    <border>
      <left style="thin">
        <color indexed="24"/>
      </left>
      <right style="thin">
        <color indexed="23"/>
      </right>
      <top style="thin">
        <color indexed="23"/>
      </top>
      <bottom style="thin">
        <color indexed="25"/>
      </bottom>
      <diagonal/>
    </border>
    <border>
      <left style="thin">
        <color indexed="23"/>
      </left>
      <right style="thin">
        <color indexed="26"/>
      </right>
      <top style="thin">
        <color indexed="25"/>
      </top>
      <bottom style="thin">
        <color indexed="27"/>
      </bottom>
      <diagonal/>
    </border>
    <border>
      <left style="thin">
        <color indexed="26"/>
      </left>
      <right style="thin">
        <color indexed="27"/>
      </right>
      <top style="thin">
        <color indexed="25"/>
      </top>
      <bottom style="thin">
        <color indexed="27"/>
      </bottom>
      <diagonal/>
    </border>
    <border>
      <left style="thin">
        <color indexed="27"/>
      </left>
      <right style="thin">
        <color indexed="27"/>
      </right>
      <top style="thin">
        <color indexed="25"/>
      </top>
      <bottom style="thin">
        <color indexed="27"/>
      </bottom>
      <diagonal/>
    </border>
    <border>
      <left style="thin">
        <color indexed="27"/>
      </left>
      <right style="thin">
        <color indexed="23"/>
      </right>
      <top style="thin">
        <color indexed="25"/>
      </top>
      <bottom style="thin">
        <color indexed="27"/>
      </bottom>
      <diagonal/>
    </border>
    <border>
      <left style="thin">
        <color indexed="23"/>
      </left>
      <right style="thin">
        <color indexed="26"/>
      </right>
      <top style="thin">
        <color indexed="27"/>
      </top>
      <bottom style="thin">
        <color indexed="27"/>
      </bottom>
      <diagonal/>
    </border>
    <border>
      <left style="thin">
        <color indexed="26"/>
      </left>
      <right style="thin">
        <color indexed="27"/>
      </right>
      <top style="thin">
        <color indexed="27"/>
      </top>
      <bottom style="thin">
        <color indexed="27"/>
      </bottom>
      <diagonal/>
    </border>
    <border>
      <left style="thin">
        <color indexed="27"/>
      </left>
      <right style="thin">
        <color indexed="27"/>
      </right>
      <top style="thin">
        <color indexed="27"/>
      </top>
      <bottom style="thin">
        <color indexed="27"/>
      </bottom>
      <diagonal/>
    </border>
    <border>
      <left style="thin">
        <color indexed="27"/>
      </left>
      <right style="thin">
        <color indexed="23"/>
      </right>
      <top style="thin">
        <color indexed="27"/>
      </top>
      <bottom style="thin">
        <color indexed="27"/>
      </bottom>
      <diagonal/>
    </border>
    <border>
      <left style="thin">
        <color indexed="23"/>
      </left>
      <right style="thin">
        <color indexed="26"/>
      </right>
      <top style="thin">
        <color indexed="27"/>
      </top>
      <bottom style="thin">
        <color indexed="25"/>
      </bottom>
      <diagonal/>
    </border>
    <border>
      <left style="thin">
        <color indexed="26"/>
      </left>
      <right style="thin">
        <color indexed="27"/>
      </right>
      <top style="thin">
        <color indexed="27"/>
      </top>
      <bottom style="thin">
        <color indexed="25"/>
      </bottom>
      <diagonal/>
    </border>
    <border>
      <left style="thin">
        <color indexed="27"/>
      </left>
      <right style="thin">
        <color indexed="27"/>
      </right>
      <top style="thin">
        <color indexed="27"/>
      </top>
      <bottom style="thin">
        <color indexed="25"/>
      </bottom>
      <diagonal/>
    </border>
    <border>
      <left style="thin">
        <color indexed="27"/>
      </left>
      <right style="thin">
        <color indexed="23"/>
      </right>
      <top style="thin">
        <color indexed="27"/>
      </top>
      <bottom style="thin">
        <color indexed="25"/>
      </bottom>
      <diagonal/>
    </border>
    <border>
      <left style="thin">
        <color indexed="23"/>
      </left>
      <right style="thin">
        <color indexed="27"/>
      </right>
      <top style="thin">
        <color indexed="25"/>
      </top>
      <bottom style="thin">
        <color indexed="23"/>
      </bottom>
      <diagonal/>
    </border>
    <border>
      <left style="thin">
        <color indexed="27"/>
      </left>
      <right style="thin">
        <color indexed="27"/>
      </right>
      <top style="thin">
        <color indexed="25"/>
      </top>
      <bottom style="thin">
        <color indexed="23"/>
      </bottom>
      <diagonal/>
    </border>
    <border>
      <left style="thin">
        <color indexed="27"/>
      </left>
      <right style="thin">
        <color indexed="23"/>
      </right>
      <top style="thin">
        <color indexed="25"/>
      </top>
      <bottom style="thin">
        <color indexed="23"/>
      </bottom>
      <diagonal/>
    </border>
    <border>
      <left style="thin">
        <color indexed="31"/>
      </left>
      <right/>
      <top style="thin">
        <color indexed="31"/>
      </top>
      <bottom style="thin">
        <color indexed="32"/>
      </bottom>
      <diagonal/>
    </border>
    <border>
      <left/>
      <right/>
      <top style="thin">
        <color indexed="31"/>
      </top>
      <bottom style="thin">
        <color indexed="32"/>
      </bottom>
      <diagonal/>
    </border>
    <border>
      <left/>
      <right style="thin">
        <color indexed="31"/>
      </right>
      <top style="thin">
        <color indexed="31"/>
      </top>
      <bottom style="thin">
        <color indexed="32"/>
      </bottom>
      <diagonal/>
    </border>
    <border>
      <left style="thin">
        <color indexed="31"/>
      </left>
      <right style="thin">
        <color indexed="32"/>
      </right>
      <top style="thin">
        <color indexed="32"/>
      </top>
      <bottom style="thin">
        <color indexed="32"/>
      </bottom>
      <diagonal/>
    </border>
    <border>
      <left style="thin">
        <color indexed="32"/>
      </left>
      <right style="thin">
        <color indexed="32"/>
      </right>
      <top style="thin">
        <color indexed="32"/>
      </top>
      <bottom style="thin">
        <color indexed="32"/>
      </bottom>
      <diagonal/>
    </border>
    <border>
      <left style="thin">
        <color indexed="32"/>
      </left>
      <right style="thin">
        <color indexed="31"/>
      </right>
      <top style="thin">
        <color indexed="32"/>
      </top>
      <bottom style="thin">
        <color indexed="32"/>
      </bottom>
      <diagonal/>
    </border>
    <border>
      <left style="thin">
        <color indexed="31"/>
      </left>
      <right style="thin">
        <color indexed="32"/>
      </right>
      <top style="thin">
        <color indexed="32"/>
      </top>
      <bottom style="thin">
        <color indexed="35"/>
      </bottom>
      <diagonal/>
    </border>
    <border>
      <left style="thin">
        <color indexed="32"/>
      </left>
      <right style="thin">
        <color indexed="32"/>
      </right>
      <top style="thin">
        <color indexed="32"/>
      </top>
      <bottom style="thin">
        <color indexed="35"/>
      </bottom>
      <diagonal/>
    </border>
    <border>
      <left style="thin">
        <color indexed="32"/>
      </left>
      <right style="thin">
        <color indexed="31"/>
      </right>
      <top style="thin">
        <color indexed="32"/>
      </top>
      <bottom style="thin">
        <color indexed="35"/>
      </bottom>
      <diagonal/>
    </border>
    <border>
      <left style="thin">
        <color indexed="31"/>
      </left>
      <right style="thin">
        <color indexed="32"/>
      </right>
      <top style="thin">
        <color indexed="35"/>
      </top>
      <bottom style="thin">
        <color indexed="31"/>
      </bottom>
      <diagonal/>
    </border>
    <border>
      <left style="thin">
        <color indexed="32"/>
      </left>
      <right style="thin">
        <color indexed="32"/>
      </right>
      <top style="thin">
        <color indexed="35"/>
      </top>
      <bottom style="thin">
        <color indexed="31"/>
      </bottom>
      <diagonal/>
    </border>
    <border>
      <left style="thin">
        <color indexed="32"/>
      </left>
      <right style="thin">
        <color indexed="31"/>
      </right>
      <top style="thin">
        <color indexed="35"/>
      </top>
      <bottom style="thin">
        <color indexed="31"/>
      </bottom>
      <diagonal/>
    </border>
  </borders>
  <cellStyleXfs count="1">
    <xf numFmtId="0" fontId="0" applyNumberFormat="0" applyFont="1" applyFill="0" applyBorder="0" applyAlignment="1" applyProtection="0">
      <alignment vertical="top" wrapText="1"/>
    </xf>
  </cellStyleXfs>
  <cellXfs count="376">
    <xf numFmtId="0" fontId="0" applyNumberFormat="0" applyFont="1" applyFill="0" applyBorder="0" applyAlignment="1" applyProtection="0">
      <alignment vertical="top" wrapText="1"/>
    </xf>
    <xf numFmtId="0" fontId="1" applyNumberFormat="0" applyFont="1" applyFill="0" applyBorder="0" applyAlignment="1" applyProtection="0">
      <alignment horizontal="left" vertical="top" wrapText="1"/>
    </xf>
    <xf numFmtId="0" fontId="2" applyNumberFormat="0" applyFont="1" applyFill="0" applyBorder="0" applyAlignment="1" applyProtection="0">
      <alignment horizontal="left" vertical="top" wrapText="1"/>
    </xf>
    <xf numFmtId="0" fontId="1" fillId="2" applyNumberFormat="0" applyFont="1" applyFill="1" applyBorder="0" applyAlignment="1" applyProtection="0">
      <alignment horizontal="left" vertical="top" wrapText="1"/>
    </xf>
    <xf numFmtId="0" fontId="1" fillId="3" applyNumberFormat="0" applyFont="1" applyFill="1" applyBorder="0" applyAlignment="1" applyProtection="0">
      <alignment horizontal="left" vertical="top" wrapText="1"/>
    </xf>
    <xf numFmtId="0" fontId="4" fillId="3" applyNumberFormat="0" applyFont="1" applyFill="1" applyBorder="0" applyAlignment="1" applyProtection="0">
      <alignment horizontal="left" vertical="top" wrapText="1"/>
    </xf>
    <xf numFmtId="0" fontId="5" applyNumberFormat="1" applyFont="1" applyFill="0" applyBorder="0" applyAlignment="1" applyProtection="0">
      <alignment vertical="top" wrapText="1"/>
    </xf>
    <xf numFmtId="49" fontId="6" borderId="1" applyNumberFormat="1" applyFont="1" applyFill="0" applyBorder="1" applyAlignment="1" applyProtection="0">
      <alignment horizontal="center" vertical="center" wrapText="1"/>
    </xf>
    <xf numFmtId="0" fontId="6" borderId="1" applyNumberFormat="0" applyFont="1" applyFill="0" applyBorder="1" applyAlignment="1" applyProtection="0">
      <alignment vertical="top" wrapText="1"/>
    </xf>
    <xf numFmtId="0" fontId="6" borderId="2" applyNumberFormat="0" applyFont="1" applyFill="0" applyBorder="1" applyAlignment="1" applyProtection="0">
      <alignment vertical="top" wrapText="1"/>
    </xf>
    <xf numFmtId="49" fontId="6" borderId="2" applyNumberFormat="1" applyFont="1" applyFill="0" applyBorder="1" applyAlignment="1" applyProtection="0">
      <alignment horizontal="center" vertical="center" wrapText="1"/>
    </xf>
    <xf numFmtId="0" fontId="6" borderId="3" applyNumberFormat="0" applyFont="1" applyFill="0" applyBorder="1" applyAlignment="1" applyProtection="0">
      <alignment vertical="top" wrapText="1"/>
    </xf>
    <xf numFmtId="49" fontId="6" borderId="4" applyNumberFormat="1" applyFont="1" applyFill="0" applyBorder="1" applyAlignment="1" applyProtection="0">
      <alignment vertical="top" wrapText="1"/>
    </xf>
    <xf numFmtId="0" fontId="5" borderId="5" applyNumberFormat="0" applyFont="1" applyFill="0" applyBorder="1" applyAlignment="1" applyProtection="0">
      <alignment vertical="top" wrapText="1"/>
    </xf>
    <xf numFmtId="4" fontId="5" borderId="6" applyNumberFormat="1" applyFont="1" applyFill="0" applyBorder="1" applyAlignment="1" applyProtection="0">
      <alignment vertical="top" wrapText="1"/>
    </xf>
    <xf numFmtId="59" fontId="5" borderId="6" applyNumberFormat="1" applyFont="1" applyFill="0" applyBorder="1" applyAlignment="1" applyProtection="0">
      <alignment vertical="top" wrapText="1"/>
    </xf>
    <xf numFmtId="0" fontId="5" borderId="6" applyNumberFormat="0" applyFont="1" applyFill="0" applyBorder="1" applyAlignment="1" applyProtection="0">
      <alignment vertical="top" wrapText="1"/>
    </xf>
    <xf numFmtId="0" fontId="5" borderId="7" applyNumberFormat="0" applyFont="1" applyFill="0" applyBorder="1" applyAlignment="1" applyProtection="0">
      <alignment vertical="top" wrapText="1"/>
    </xf>
    <xf numFmtId="49" fontId="6" borderId="8" applyNumberFormat="1" applyFont="1" applyFill="0" applyBorder="1" applyAlignment="1" applyProtection="0">
      <alignment horizontal="center" vertical="top" wrapText="1"/>
    </xf>
    <xf numFmtId="49" fontId="6" borderId="9" applyNumberFormat="1" applyFont="1" applyFill="0" applyBorder="1" applyAlignment="1" applyProtection="0">
      <alignment vertical="top" wrapText="1"/>
    </xf>
    <xf numFmtId="0" fontId="5" fillId="4" borderId="10" applyNumberFormat="0" applyFont="1" applyFill="1" applyBorder="1" applyAlignment="1" applyProtection="0">
      <alignment vertical="top" wrapText="1"/>
    </xf>
    <xf numFmtId="4" fontId="5" fillId="4" borderId="11" applyNumberFormat="1" applyFont="1" applyFill="1" applyBorder="1" applyAlignment="1" applyProtection="0">
      <alignment vertical="top" wrapText="1"/>
    </xf>
    <xf numFmtId="49" fontId="5" fillId="4" borderId="11" applyNumberFormat="1" applyFont="1" applyFill="1" applyBorder="1" applyAlignment="1" applyProtection="0">
      <alignment vertical="top" wrapText="1"/>
    </xf>
    <xf numFmtId="4" fontId="5" fillId="4" borderId="12" applyNumberFormat="1" applyFont="1" applyFill="1" applyBorder="1" applyAlignment="1" applyProtection="0">
      <alignment vertical="top" wrapText="1"/>
    </xf>
    <xf numFmtId="0" fontId="5" borderId="10" applyNumberFormat="0" applyFont="1" applyFill="0" applyBorder="1" applyAlignment="1" applyProtection="0">
      <alignment vertical="top" wrapText="1"/>
    </xf>
    <xf numFmtId="0" fontId="5" borderId="11" applyNumberFormat="1" applyFont="1" applyFill="0" applyBorder="1" applyAlignment="1" applyProtection="0">
      <alignment vertical="top" wrapText="1"/>
    </xf>
    <xf numFmtId="4" fontId="5" borderId="11" applyNumberFormat="1" applyFont="1" applyFill="0" applyBorder="1" applyAlignment="1" applyProtection="0">
      <alignment vertical="top" wrapText="1"/>
    </xf>
    <xf numFmtId="49" fontId="5" borderId="11" applyNumberFormat="1" applyFont="1" applyFill="0" applyBorder="1" applyAlignment="1" applyProtection="0">
      <alignment vertical="top" wrapText="1"/>
    </xf>
    <xf numFmtId="4" fontId="5" borderId="12" applyNumberFormat="1" applyFont="1" applyFill="0" applyBorder="1" applyAlignment="1" applyProtection="0">
      <alignment vertical="top" wrapText="1"/>
    </xf>
    <xf numFmtId="0" fontId="6" borderId="8" applyNumberFormat="0" applyFont="1" applyFill="0" applyBorder="1" applyAlignment="1" applyProtection="0">
      <alignment horizontal="center" vertical="top" wrapText="1"/>
    </xf>
    <xf numFmtId="0" fontId="5" borderId="11" applyNumberFormat="0" applyFont="1" applyFill="0" applyBorder="1" applyAlignment="1" applyProtection="0">
      <alignment vertical="top" wrapText="1"/>
    </xf>
    <xf numFmtId="0" fontId="5" borderId="12" applyNumberFormat="0" applyFont="1" applyFill="0" applyBorder="1" applyAlignment="1" applyProtection="0">
      <alignment vertical="top" wrapText="1"/>
    </xf>
    <xf numFmtId="60" fontId="5" fillId="4" borderId="11" applyNumberFormat="1" applyFont="1" applyFill="1" applyBorder="1" applyAlignment="1" applyProtection="0">
      <alignment vertical="top" wrapText="1"/>
    </xf>
    <xf numFmtId="0" fontId="6" borderId="13" applyNumberFormat="1" applyFont="1" applyFill="0" applyBorder="1" applyAlignment="1" applyProtection="0">
      <alignment horizontal="center" vertical="top" wrapText="1"/>
    </xf>
    <xf numFmtId="49" fontId="6" borderId="14" applyNumberFormat="1" applyFont="1" applyFill="0" applyBorder="1" applyAlignment="1" applyProtection="0">
      <alignment vertical="top" wrapText="1"/>
    </xf>
    <xf numFmtId="0" fontId="5" fillId="4" borderId="15" applyNumberFormat="0" applyFont="1" applyFill="1" applyBorder="1" applyAlignment="1" applyProtection="0">
      <alignment vertical="top" wrapText="1"/>
    </xf>
    <xf numFmtId="4" fontId="5" fillId="4" borderId="16" applyNumberFormat="1" applyFont="1" applyFill="1" applyBorder="1" applyAlignment="1" applyProtection="0">
      <alignment vertical="top" wrapText="1"/>
    </xf>
    <xf numFmtId="49" fontId="5" fillId="4" borderId="16" applyNumberFormat="1" applyFont="1" applyFill="1" applyBorder="1" applyAlignment="1" applyProtection="0">
      <alignment vertical="top" wrapText="1"/>
    </xf>
    <xf numFmtId="4" fontId="5" fillId="4" borderId="17" applyNumberFormat="1" applyFont="1" applyFill="1" applyBorder="1" applyAlignment="1" applyProtection="0">
      <alignment vertical="top" wrapText="1"/>
    </xf>
    <xf numFmtId="0" fontId="6" borderId="18" applyNumberFormat="0" applyFont="1" applyFill="0" applyBorder="1" applyAlignment="1" applyProtection="0">
      <alignment horizontal="center" vertical="top" wrapText="1"/>
    </xf>
    <xf numFmtId="0" fontId="6" borderId="19" applyNumberFormat="0" applyFont="1" applyFill="0" applyBorder="1" applyAlignment="1" applyProtection="0">
      <alignment vertical="top" wrapText="1"/>
    </xf>
    <xf numFmtId="0" fontId="5" borderId="20" applyNumberFormat="0" applyFont="1" applyFill="0" applyBorder="1" applyAlignment="1" applyProtection="0">
      <alignment vertical="top" wrapText="1"/>
    </xf>
    <xf numFmtId="4" fontId="5" borderId="21" applyNumberFormat="1" applyFont="1" applyFill="0" applyBorder="1" applyAlignment="1" applyProtection="0">
      <alignment vertical="top" wrapText="1"/>
    </xf>
    <xf numFmtId="0" fontId="5" borderId="21" applyNumberFormat="0" applyFont="1" applyFill="0" applyBorder="1" applyAlignment="1" applyProtection="0">
      <alignment vertical="top" wrapText="1"/>
    </xf>
    <xf numFmtId="4" fontId="5" borderId="22" applyNumberFormat="1" applyFont="1" applyFill="0" applyBorder="1" applyAlignment="1" applyProtection="0">
      <alignment vertical="top" wrapText="1"/>
    </xf>
    <xf numFmtId="0" fontId="5" fillId="4" borderId="20" applyNumberFormat="0" applyFont="1" applyFill="1" applyBorder="1" applyAlignment="1" applyProtection="0">
      <alignment vertical="top" wrapText="1"/>
    </xf>
    <xf numFmtId="4" fontId="5" fillId="4" borderId="21" applyNumberFormat="1" applyFont="1" applyFill="1" applyBorder="1" applyAlignment="1" applyProtection="0">
      <alignment vertical="top" wrapText="1"/>
    </xf>
    <xf numFmtId="0" fontId="5" fillId="4" borderId="21" applyNumberFormat="0" applyFont="1" applyFill="1" applyBorder="1" applyAlignment="1" applyProtection="0">
      <alignment vertical="top" wrapText="1"/>
    </xf>
    <xf numFmtId="4" fontId="5" fillId="4" borderId="22" applyNumberFormat="1" applyFont="1" applyFill="1" applyBorder="1" applyAlignment="1" applyProtection="0">
      <alignment vertical="top" wrapText="1"/>
    </xf>
    <xf numFmtId="0" fontId="5" borderId="22" applyNumberFormat="0" applyFont="1" applyFill="0" applyBorder="1" applyAlignment="1" applyProtection="0">
      <alignment vertical="top" wrapText="1"/>
    </xf>
    <xf numFmtId="3" fontId="5" fillId="4" borderId="21" applyNumberFormat="1" applyFont="1" applyFill="1" applyBorder="1" applyAlignment="1" applyProtection="0">
      <alignment vertical="top" wrapText="1"/>
    </xf>
    <xf numFmtId="0" fontId="6" borderId="18" applyNumberFormat="1" applyFont="1" applyFill="0" applyBorder="1" applyAlignment="1" applyProtection="0">
      <alignment horizontal="center" vertical="top" wrapText="1"/>
    </xf>
    <xf numFmtId="0" fontId="5" fillId="4" borderId="22" applyNumberFormat="0" applyFont="1" applyFill="1" applyBorder="1" applyAlignment="1" applyProtection="0">
      <alignment vertical="top" wrapText="1"/>
    </xf>
    <xf numFmtId="0" fontId="6" borderId="23" applyNumberFormat="0" applyFont="1" applyFill="0" applyBorder="1" applyAlignment="1" applyProtection="0">
      <alignment horizontal="center" vertical="top" wrapText="1"/>
    </xf>
    <xf numFmtId="0" fontId="6" borderId="23" applyNumberFormat="0" applyFont="1" applyFill="0" applyBorder="1" applyAlignment="1" applyProtection="0">
      <alignment vertical="top" wrapText="1"/>
    </xf>
    <xf numFmtId="59" fontId="6" borderId="24" applyNumberFormat="1" applyFont="1" applyFill="0" applyBorder="1" applyAlignment="1" applyProtection="0">
      <alignment vertical="top" wrapText="1"/>
    </xf>
    <xf numFmtId="59" fontId="6" borderId="23" applyNumberFormat="1" applyFont="1" applyFill="0" applyBorder="1" applyAlignment="1" applyProtection="0">
      <alignment vertical="top" wrapText="1"/>
    </xf>
    <xf numFmtId="0" fontId="6" borderId="23" applyNumberFormat="0" applyFont="1" applyFill="0" applyBorder="1" applyAlignment="1" applyProtection="0">
      <alignment horizontal="right" vertical="top"/>
    </xf>
    <xf numFmtId="49" fontId="6" borderId="23" applyNumberFormat="1" applyFont="1" applyFill="0" applyBorder="1" applyAlignment="1" applyProtection="0">
      <alignment horizontal="right" vertical="top"/>
    </xf>
    <xf numFmtId="4" fontId="6" borderId="23" applyNumberFormat="1" applyFont="1" applyFill="0" applyBorder="1" applyAlignment="1" applyProtection="0">
      <alignment vertical="top" wrapText="1"/>
    </xf>
    <xf numFmtId="0" fontId="6" borderId="25" applyNumberFormat="0" applyFont="1" applyFill="0" applyBorder="1" applyAlignment="1" applyProtection="0">
      <alignment horizontal="center" vertical="top" wrapText="1"/>
    </xf>
    <xf numFmtId="49" fontId="6" borderId="25" applyNumberFormat="1" applyFont="1" applyFill="0" applyBorder="1" applyAlignment="1" applyProtection="0">
      <alignment vertical="top" wrapText="1"/>
    </xf>
    <xf numFmtId="0" fontId="6" borderId="25" applyNumberFormat="0" applyFont="1" applyFill="0" applyBorder="1" applyAlignment="1" applyProtection="0">
      <alignment vertical="top" wrapText="1"/>
    </xf>
    <xf numFmtId="4" fontId="6" fillId="5" borderId="26" applyNumberFormat="1" applyFont="1" applyFill="1" applyBorder="1" applyAlignment="1" applyProtection="0">
      <alignment vertical="top" wrapText="1"/>
    </xf>
    <xf numFmtId="4" fontId="6" fillId="5" borderId="27" applyNumberFormat="1" applyFont="1" applyFill="1" applyBorder="1" applyAlignment="1" applyProtection="0">
      <alignment vertical="top" wrapText="1"/>
    </xf>
    <xf numFmtId="59" fontId="6" borderId="28" applyNumberFormat="1" applyFont="1" applyFill="0" applyBorder="1" applyAlignment="1" applyProtection="0">
      <alignment vertical="top" wrapText="1"/>
    </xf>
    <xf numFmtId="59" fontId="6" borderId="25" applyNumberFormat="1" applyFont="1" applyFill="0" applyBorder="1" applyAlignment="1" applyProtection="0">
      <alignment vertical="top" wrapText="1"/>
    </xf>
    <xf numFmtId="0" fontId="6" borderId="25" applyNumberFormat="0" applyFont="1" applyFill="0" applyBorder="1" applyAlignment="1" applyProtection="0">
      <alignment horizontal="right" vertical="top"/>
    </xf>
    <xf numFmtId="4" fontId="6" borderId="25" applyNumberFormat="1" applyFont="1" applyFill="0" applyBorder="1" applyAlignment="1" applyProtection="0">
      <alignment vertical="top" wrapText="1"/>
    </xf>
    <xf numFmtId="4" fontId="6" borderId="29" applyNumberFormat="1" applyFont="1" applyFill="0" applyBorder="1" applyAlignment="1" applyProtection="0">
      <alignment vertical="top" wrapText="1"/>
    </xf>
    <xf numFmtId="0" fontId="6" borderId="30" applyNumberFormat="0" applyFont="1" applyFill="0" applyBorder="1" applyAlignment="1" applyProtection="0">
      <alignment horizontal="center" vertical="top" wrapText="1"/>
    </xf>
    <xf numFmtId="0" fontId="6" borderId="30" applyNumberFormat="0" applyFont="1" applyFill="0" applyBorder="1" applyAlignment="1" applyProtection="0">
      <alignment vertical="top" wrapText="1"/>
    </xf>
    <xf numFmtId="59" fontId="6" borderId="30" applyNumberFormat="1" applyFont="1" applyFill="0" applyBorder="1" applyAlignment="1" applyProtection="0">
      <alignment vertical="top" wrapText="1"/>
    </xf>
    <xf numFmtId="0" fontId="6" borderId="30" applyNumberFormat="0" applyFont="1" applyFill="0" applyBorder="1" applyAlignment="1" applyProtection="0">
      <alignment horizontal="right" vertical="top"/>
    </xf>
    <xf numFmtId="4" fontId="6" borderId="30" applyNumberFormat="1" applyFont="1" applyFill="0" applyBorder="1" applyAlignment="1" applyProtection="0">
      <alignment vertical="top" wrapText="1"/>
    </xf>
    <xf numFmtId="49" fontId="6" borderId="30" applyNumberFormat="1" applyFont="1" applyFill="0" applyBorder="1" applyAlignment="1" applyProtection="0">
      <alignment horizontal="right" vertical="top"/>
    </xf>
    <xf numFmtId="4" fontId="6" borderId="1" applyNumberFormat="1" applyFont="1" applyFill="0" applyBorder="1" applyAlignment="1" applyProtection="0">
      <alignment vertical="top" wrapText="1"/>
    </xf>
    <xf numFmtId="0" fontId="5" applyNumberFormat="1" applyFont="1" applyFill="0" applyBorder="0" applyAlignment="1" applyProtection="0">
      <alignment vertical="top" wrapText="1"/>
    </xf>
    <xf numFmtId="0" fontId="5" fillId="4" borderId="11" applyNumberFormat="1" applyFont="1" applyFill="1" applyBorder="1" applyAlignment="1" applyProtection="0">
      <alignment vertical="top" wrapText="1"/>
    </xf>
    <xf numFmtId="0" fontId="5" fillId="4" borderId="11" applyNumberFormat="0" applyFont="1" applyFill="1" applyBorder="1" applyAlignment="1" applyProtection="0">
      <alignment vertical="top" wrapText="1"/>
    </xf>
    <xf numFmtId="0" fontId="5" borderId="15" applyNumberFormat="0" applyFont="1" applyFill="0" applyBorder="1" applyAlignment="1" applyProtection="0">
      <alignment vertical="top" wrapText="1"/>
    </xf>
    <xf numFmtId="4" fontId="5" borderId="16" applyNumberFormat="1" applyFont="1" applyFill="0" applyBorder="1" applyAlignment="1" applyProtection="0">
      <alignment vertical="top" wrapText="1"/>
    </xf>
    <xf numFmtId="49" fontId="5" borderId="16" applyNumberFormat="1" applyFont="1" applyFill="0" applyBorder="1" applyAlignment="1" applyProtection="0">
      <alignment vertical="top" wrapText="1"/>
    </xf>
    <xf numFmtId="4" fontId="5" borderId="17" applyNumberFormat="1" applyFont="1" applyFill="0" applyBorder="1" applyAlignment="1" applyProtection="0">
      <alignment vertical="top" wrapText="1"/>
    </xf>
    <xf numFmtId="3" fontId="5" borderId="21" applyNumberFormat="1" applyFont="1" applyFill="0" applyBorder="1"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6" borderId="1" applyNumberFormat="0" applyFont="1" applyFill="0" applyBorder="1" applyAlignment="1" applyProtection="0">
      <alignment horizontal="center" vertical="center" wrapText="1"/>
    </xf>
    <xf numFmtId="0" fontId="6" borderId="2" applyNumberFormat="0" applyFont="1" applyFill="0" applyBorder="1" applyAlignment="1" applyProtection="0">
      <alignment horizontal="center" vertical="center" wrapText="1"/>
    </xf>
    <xf numFmtId="49" fontId="6" borderId="3" applyNumberFormat="1" applyFont="1" applyFill="0" applyBorder="1" applyAlignment="1" applyProtection="0">
      <alignment vertical="top" wrapText="1"/>
    </xf>
    <xf numFmtId="0" fontId="5" fillId="4" borderId="12" applyNumberFormat="0" applyFont="1" applyFill="1" applyBorder="1" applyAlignment="1" applyProtection="0">
      <alignment vertical="top" wrapText="1"/>
    </xf>
    <xf numFmtId="1" fontId="6" borderId="8" applyNumberFormat="1" applyFont="1" applyFill="0" applyBorder="1" applyAlignment="1" applyProtection="0">
      <alignment vertical="top" wrapText="1"/>
    </xf>
    <xf numFmtId="49" fontId="6" borderId="8" applyNumberFormat="1" applyFont="1" applyFill="0" applyBorder="1" applyAlignment="1" applyProtection="0">
      <alignment vertical="top" wrapText="1"/>
    </xf>
    <xf numFmtId="1" fontId="6" borderId="8" applyNumberFormat="1" applyFont="1" applyFill="0" applyBorder="1" applyAlignment="1" applyProtection="0">
      <alignment horizontal="center" vertical="top" wrapText="1"/>
    </xf>
    <xf numFmtId="0" fontId="6" borderId="8" applyNumberFormat="1" applyFont="1" applyFill="0" applyBorder="1" applyAlignment="1" applyProtection="0">
      <alignment horizontal="center" vertical="top" wrapText="1"/>
    </xf>
    <xf numFmtId="0" fontId="6" borderId="13" applyNumberFormat="0" applyFont="1" applyFill="0" applyBorder="1" applyAlignment="1" applyProtection="0">
      <alignment horizontal="center" vertical="top" wrapText="1"/>
    </xf>
    <xf numFmtId="0" fontId="6" borderId="14" applyNumberFormat="0" applyFont="1" applyFill="0" applyBorder="1" applyAlignment="1" applyProtection="0">
      <alignment vertical="top" wrapText="1"/>
    </xf>
    <xf numFmtId="0" fontId="5" borderId="16" applyNumberFormat="0" applyFont="1" applyFill="0" applyBorder="1" applyAlignment="1" applyProtection="0">
      <alignment vertical="top" wrapText="1"/>
    </xf>
    <xf numFmtId="0" fontId="5" borderId="17" applyNumberFormat="0" applyFont="1" applyFill="0" applyBorder="1" applyAlignment="1" applyProtection="0">
      <alignment vertical="top" wrapText="1"/>
    </xf>
    <xf numFmtId="0" fontId="5" applyNumberFormat="1" applyFont="1" applyFill="0" applyBorder="0" applyAlignment="1" applyProtection="0">
      <alignment vertical="top" wrapText="1"/>
    </xf>
    <xf numFmtId="0" fontId="5" fillId="4" borderId="16" applyNumberFormat="0" applyFont="1" applyFill="1" applyBorder="1" applyAlignment="1" applyProtection="0">
      <alignment vertical="top" wrapText="1"/>
    </xf>
    <xf numFmtId="0" fontId="5" fillId="4" borderId="17" applyNumberFormat="0" applyFont="1" applyFill="1" applyBorder="1"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6" borderId="24" applyNumberFormat="0" applyFont="1" applyFill="0" applyBorder="1" applyAlignment="1" applyProtection="0">
      <alignment horizontal="center" vertical="top" wrapText="1"/>
    </xf>
    <xf numFmtId="49" fontId="6" borderId="28" applyNumberFormat="1" applyFont="1" applyFill="0" applyBorder="1" applyAlignment="1" applyProtection="0">
      <alignment vertical="top" wrapText="1"/>
    </xf>
    <xf numFmtId="49" fontId="6" borderId="30" applyNumberFormat="1" applyFont="1" applyFill="0" applyBorder="1" applyAlignment="1" applyProtection="0">
      <alignment vertical="top" wrapText="1"/>
    </xf>
    <xf numFmtId="0" fontId="6" borderId="30" applyNumberFormat="1" applyFont="1" applyFill="0" applyBorder="1" applyAlignment="1" applyProtection="0">
      <alignment vertical="top" wrapText="1"/>
    </xf>
    <xf numFmtId="3" fontId="6" borderId="30" applyNumberFormat="1" applyFont="1" applyFill="0" applyBorder="1" applyAlignment="1" applyProtection="0">
      <alignment vertical="top" wrapText="1"/>
    </xf>
    <xf numFmtId="60" fontId="6" borderId="30" applyNumberFormat="1" applyFont="1" applyFill="0" applyBorder="1"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60" fontId="5" borderId="11" applyNumberFormat="1" applyFont="1" applyFill="0" applyBorder="1"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49" fontId="6" borderId="3" applyNumberFormat="1" applyFont="1" applyFill="0" applyBorder="1" applyAlignment="1" applyProtection="0">
      <alignment horizontal="left" vertical="top" wrapText="1"/>
    </xf>
    <xf numFmtId="49" fontId="6" borderId="8" applyNumberFormat="1" applyFont="1" applyFill="0" applyBorder="1" applyAlignment="1" applyProtection="0">
      <alignment horizontal="lef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fillId="4" borderId="16" applyNumberFormat="1" applyFont="1" applyFill="1" applyBorder="1" applyAlignment="1" applyProtection="0">
      <alignment vertical="top" wrapText="1"/>
    </xf>
    <xf numFmtId="0" fontId="0" applyNumberFormat="1" applyFont="1" applyFill="0" applyBorder="0" applyAlignment="1" applyProtection="0">
      <alignment vertical="top" wrapText="1"/>
    </xf>
    <xf numFmtId="49" fontId="7" borderId="31" applyNumberFormat="1" applyFont="1" applyFill="0" applyBorder="1" applyAlignment="1" applyProtection="0">
      <alignment horizontal="left" vertical="top" wrapText="1" readingOrder="1"/>
    </xf>
    <xf numFmtId="0" fontId="0" borderId="31" applyNumberFormat="0" applyFont="1" applyFill="0" applyBorder="1" applyAlignment="1" applyProtection="0">
      <alignment vertical="top" wrapText="1"/>
    </xf>
    <xf numFmtId="0" fontId="7" borderId="31" applyNumberFormat="1" applyFont="1" applyFill="0" applyBorder="1" applyAlignment="1" applyProtection="0">
      <alignment vertical="top" wrapText="1" readingOrder="1"/>
    </xf>
    <xf numFmtId="0" fontId="5" applyNumberFormat="1" applyFont="1" applyFill="0" applyBorder="0" applyAlignment="1" applyProtection="0">
      <alignment vertical="top" wrapText="1"/>
    </xf>
    <xf numFmtId="0" fontId="5" borderId="16" applyNumberFormat="1" applyFont="1" applyFill="0" applyBorder="1" applyAlignment="1" applyProtection="0">
      <alignment vertical="top" wrapText="1"/>
    </xf>
    <xf numFmtId="60" fontId="5" borderId="16" applyNumberFormat="1" applyFont="1" applyFill="0" applyBorder="1" applyAlignment="1" applyProtection="0">
      <alignment vertical="top" wrapText="1"/>
    </xf>
    <xf numFmtId="0" fontId="0" applyNumberFormat="1" applyFont="1" applyFill="0" applyBorder="0" applyAlignment="1" applyProtection="0">
      <alignment vertical="top" wrapText="1"/>
    </xf>
    <xf numFmtId="49" fontId="8" borderId="31" applyNumberFormat="1" applyFont="1" applyFill="0" applyBorder="1" applyAlignment="1" applyProtection="0">
      <alignment horizontal="left" vertical="top" wrapText="1" readingOrder="1"/>
    </xf>
    <xf numFmtId="4" fontId="7" borderId="31" applyNumberFormat="1" applyFont="1" applyFill="0" applyBorder="1" applyAlignment="1" applyProtection="0">
      <alignment horizontal="left" vertical="top" wrapText="1" readingOrder="1"/>
    </xf>
    <xf numFmtId="60" fontId="7" borderId="31" applyNumberFormat="1" applyFont="1" applyFill="0" applyBorder="1" applyAlignment="1" applyProtection="0">
      <alignment horizontal="left" vertical="top" wrapText="1" readingOrder="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0" applyNumberFormat="1" applyFont="1" applyFill="0" applyBorder="0" applyAlignment="1" applyProtection="0">
      <alignment vertical="top" wrapText="1"/>
    </xf>
    <xf numFmtId="49" fontId="8" borderId="31" applyNumberFormat="1" applyFont="1" applyFill="0" applyBorder="1" applyAlignment="1" applyProtection="0">
      <alignment horizontal="right" vertical="top" wrapText="1" readingOrder="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61" fontId="5" borderId="11" applyNumberFormat="1" applyFont="1" applyFill="0" applyBorder="1"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61" fontId="6" borderId="30" applyNumberFormat="1" applyFont="1" applyFill="0" applyBorder="1"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0" applyNumberFormat="1" applyFont="1" applyFill="0" applyBorder="0" applyAlignment="1" applyProtection="0">
      <alignment vertical="top" wrapText="1"/>
    </xf>
    <xf numFmtId="49" fontId="9" fillId="6" borderId="31" applyNumberFormat="1" applyFont="1" applyFill="1" applyBorder="1" applyAlignment="1" applyProtection="0">
      <alignment horizontal="center" vertical="center" wrapText="1" readingOrder="1"/>
    </xf>
    <xf numFmtId="0" fontId="11" fillId="6" borderId="31" applyNumberFormat="1" applyFont="1" applyFill="1" applyBorder="1" applyAlignment="1" applyProtection="0">
      <alignment vertical="center" wrapText="1" readingOrder="1"/>
    </xf>
    <xf numFmtId="49" fontId="11" fillId="6" borderId="31" applyNumberFormat="1" applyFont="1" applyFill="1" applyBorder="1" applyAlignment="1" applyProtection="0">
      <alignment horizontal="center" vertical="center" wrapText="1" readingOrder="1"/>
    </xf>
    <xf numFmtId="3" fontId="12" fillId="6" borderId="31" applyNumberFormat="1" applyFont="1" applyFill="1" applyBorder="1" applyAlignment="1" applyProtection="0">
      <alignment vertical="center" wrapText="1" readingOrder="1"/>
    </xf>
    <xf numFmtId="0" fontId="0" fillId="6" borderId="31" applyNumberFormat="0" applyFont="1" applyFill="1" applyBorder="1" applyAlignment="1" applyProtection="0">
      <alignment vertical="center" wrapText="1"/>
    </xf>
    <xf numFmtId="49" fontId="12" fillId="6" borderId="31" applyNumberFormat="1" applyFont="1" applyFill="1" applyBorder="1" applyAlignment="1" applyProtection="0">
      <alignment horizontal="left" vertical="center" wrapText="1" readingOrder="1"/>
    </xf>
    <xf numFmtId="49" fontId="9" borderId="31" applyNumberFormat="1" applyFont="1" applyFill="0" applyBorder="1" applyAlignment="1" applyProtection="0">
      <alignment horizontal="center" vertical="center" wrapText="1" readingOrder="1"/>
    </xf>
    <xf numFmtId="0" fontId="11" borderId="31" applyNumberFormat="1" applyFont="1" applyFill="0" applyBorder="1" applyAlignment="1" applyProtection="0">
      <alignment vertical="center" wrapText="1" readingOrder="1"/>
    </xf>
    <xf numFmtId="49" fontId="11" borderId="31" applyNumberFormat="1" applyFont="1" applyFill="0" applyBorder="1" applyAlignment="1" applyProtection="0">
      <alignment horizontal="center" vertical="center" wrapText="1" readingOrder="1"/>
    </xf>
    <xf numFmtId="3" fontId="12" borderId="31" applyNumberFormat="1" applyFont="1" applyFill="0" applyBorder="1" applyAlignment="1" applyProtection="0">
      <alignment vertical="center" wrapText="1" readingOrder="1"/>
    </xf>
    <xf numFmtId="0" fontId="0" borderId="31" applyNumberFormat="0" applyFont="1" applyFill="0" applyBorder="1" applyAlignment="1" applyProtection="0">
      <alignment vertical="center" wrapText="1"/>
    </xf>
    <xf numFmtId="49" fontId="12" borderId="31" applyNumberFormat="1" applyFont="1" applyFill="0" applyBorder="1" applyAlignment="1" applyProtection="0">
      <alignment horizontal="left" vertical="center" wrapText="1" readingOrder="1"/>
    </xf>
    <xf numFmtId="0" fontId="0" applyNumberFormat="1" applyFont="1" applyFill="0" applyBorder="0" applyAlignment="1" applyProtection="0">
      <alignment vertical="top" wrapText="1"/>
    </xf>
    <xf numFmtId="0" fontId="13" applyNumberFormat="0" applyFont="1" applyFill="0" applyBorder="0" applyAlignment="1" applyProtection="0">
      <alignment horizontal="center" vertical="center"/>
    </xf>
    <xf numFmtId="49" fontId="14" borderId="32" applyNumberFormat="1" applyFont="1" applyFill="0" applyBorder="1" applyAlignment="1" applyProtection="0">
      <alignment horizontal="center" vertical="center" wrapText="1"/>
    </xf>
    <xf numFmtId="49" fontId="14" borderId="33" applyNumberFormat="1" applyFont="1" applyFill="0" applyBorder="1" applyAlignment="1" applyProtection="0">
      <alignment horizontal="center" vertical="center" wrapText="1"/>
    </xf>
    <xf numFmtId="0" fontId="14" borderId="33" applyNumberFormat="0" applyFont="1" applyFill="0" applyBorder="1" applyAlignment="1" applyProtection="0">
      <alignment horizontal="center" vertical="center" wrapText="1"/>
    </xf>
    <xf numFmtId="49" fontId="14" borderId="34" applyNumberFormat="1" applyFont="1" applyFill="0" applyBorder="1" applyAlignment="1" applyProtection="0">
      <alignment horizontal="center" vertical="center" wrapText="1"/>
    </xf>
    <xf numFmtId="49" fontId="15" borderId="35" applyNumberFormat="1" applyFont="1" applyFill="0" applyBorder="1" applyAlignment="1" applyProtection="0">
      <alignment vertical="top" wrapText="1"/>
    </xf>
    <xf numFmtId="0" fontId="0" borderId="36" applyNumberFormat="1" applyFont="1" applyFill="0" applyBorder="1" applyAlignment="1" applyProtection="0">
      <alignment vertical="top" wrapText="1"/>
    </xf>
    <xf numFmtId="49" fontId="0" borderId="37" applyNumberFormat="1" applyFont="1" applyFill="0" applyBorder="1" applyAlignment="1" applyProtection="0">
      <alignment vertical="top" wrapText="1"/>
    </xf>
    <xf numFmtId="0" fontId="0" borderId="37" applyNumberFormat="0" applyFont="1" applyFill="0" applyBorder="1" applyAlignment="1" applyProtection="0">
      <alignment vertical="top" wrapText="1"/>
    </xf>
    <xf numFmtId="3" fontId="0" borderId="37" applyNumberFormat="1" applyFont="1" applyFill="0" applyBorder="1" applyAlignment="1" applyProtection="0">
      <alignment vertical="top" wrapText="1"/>
    </xf>
    <xf numFmtId="60" fontId="0" borderId="37" applyNumberFormat="1" applyFont="1" applyFill="0" applyBorder="1" applyAlignment="1" applyProtection="0">
      <alignment vertical="top" wrapText="1"/>
    </xf>
    <xf numFmtId="49" fontId="0" borderId="38" applyNumberFormat="1" applyFont="1" applyFill="0" applyBorder="1" applyAlignment="1" applyProtection="0">
      <alignment vertical="top" wrapText="1"/>
    </xf>
    <xf numFmtId="49" fontId="15" borderId="39" applyNumberFormat="1" applyFont="1" applyFill="0" applyBorder="1" applyAlignment="1" applyProtection="0">
      <alignment vertical="top" wrapText="1"/>
    </xf>
    <xf numFmtId="0" fontId="0" fillId="7" borderId="40" applyNumberFormat="1" applyFont="1" applyFill="1" applyBorder="1" applyAlignment="1" applyProtection="0">
      <alignment vertical="top" wrapText="1"/>
    </xf>
    <xf numFmtId="49" fontId="0" fillId="7" borderId="41" applyNumberFormat="1" applyFont="1" applyFill="1" applyBorder="1" applyAlignment="1" applyProtection="0">
      <alignment vertical="top" wrapText="1"/>
    </xf>
    <xf numFmtId="0" fontId="0" fillId="7" borderId="41" applyNumberFormat="0" applyFont="1" applyFill="1" applyBorder="1" applyAlignment="1" applyProtection="0">
      <alignment vertical="top" wrapText="1"/>
    </xf>
    <xf numFmtId="3" fontId="0" fillId="7" borderId="41" applyNumberFormat="1" applyFont="1" applyFill="1" applyBorder="1" applyAlignment="1" applyProtection="0">
      <alignment vertical="top" wrapText="1"/>
    </xf>
    <xf numFmtId="60" fontId="0" fillId="7" borderId="41" applyNumberFormat="1" applyFont="1" applyFill="1" applyBorder="1" applyAlignment="1" applyProtection="0">
      <alignment vertical="top" wrapText="1"/>
    </xf>
    <xf numFmtId="49" fontId="0" fillId="7" borderId="42" applyNumberFormat="1" applyFont="1" applyFill="1" applyBorder="1" applyAlignment="1" applyProtection="0">
      <alignment vertical="top" wrapText="1"/>
    </xf>
    <xf numFmtId="0" fontId="0" borderId="40" applyNumberFormat="1" applyFont="1" applyFill="0" applyBorder="1" applyAlignment="1" applyProtection="0">
      <alignment vertical="top" wrapText="1"/>
    </xf>
    <xf numFmtId="49" fontId="0" borderId="41" applyNumberFormat="1" applyFont="1" applyFill="0" applyBorder="1" applyAlignment="1" applyProtection="0">
      <alignment vertical="top" wrapText="1"/>
    </xf>
    <xf numFmtId="0" fontId="0" borderId="41" applyNumberFormat="0" applyFont="1" applyFill="0" applyBorder="1" applyAlignment="1" applyProtection="0">
      <alignment vertical="top" wrapText="1"/>
    </xf>
    <xf numFmtId="3" fontId="0" borderId="41" applyNumberFormat="1" applyFont="1" applyFill="0" applyBorder="1" applyAlignment="1" applyProtection="0">
      <alignment vertical="top" wrapText="1"/>
    </xf>
    <xf numFmtId="60" fontId="0" borderId="41" applyNumberFormat="1" applyFont="1" applyFill="0" applyBorder="1" applyAlignment="1" applyProtection="0">
      <alignment vertical="top" wrapText="1"/>
    </xf>
    <xf numFmtId="49" fontId="0" borderId="42" applyNumberFormat="1" applyFont="1" applyFill="0" applyBorder="1" applyAlignment="1" applyProtection="0">
      <alignment vertical="top" wrapText="1"/>
    </xf>
    <xf numFmtId="49" fontId="15" borderId="43" applyNumberFormat="1" applyFont="1" applyFill="0" applyBorder="1" applyAlignment="1" applyProtection="0">
      <alignment vertical="top" wrapText="1"/>
    </xf>
    <xf numFmtId="0" fontId="0" fillId="7" borderId="44" applyNumberFormat="1" applyFont="1" applyFill="1" applyBorder="1" applyAlignment="1" applyProtection="0">
      <alignment vertical="top" wrapText="1"/>
    </xf>
    <xf numFmtId="49" fontId="0" fillId="7" borderId="45" applyNumberFormat="1" applyFont="1" applyFill="1" applyBorder="1" applyAlignment="1" applyProtection="0">
      <alignment vertical="top" wrapText="1"/>
    </xf>
    <xf numFmtId="0" fontId="0" fillId="7" borderId="45" applyNumberFormat="0" applyFont="1" applyFill="1" applyBorder="1" applyAlignment="1" applyProtection="0">
      <alignment vertical="top" wrapText="1"/>
    </xf>
    <xf numFmtId="3" fontId="0" fillId="7" borderId="45" applyNumberFormat="1" applyFont="1" applyFill="1" applyBorder="1" applyAlignment="1" applyProtection="0">
      <alignment vertical="top" wrapText="1"/>
    </xf>
    <xf numFmtId="60" fontId="0" fillId="7" borderId="45" applyNumberFormat="1" applyFont="1" applyFill="1" applyBorder="1" applyAlignment="1" applyProtection="0">
      <alignment vertical="top" wrapText="1"/>
    </xf>
    <xf numFmtId="49" fontId="0" fillId="7" borderId="46" applyNumberFormat="1" applyFont="1" applyFill="1" applyBorder="1" applyAlignment="1" applyProtection="0">
      <alignment vertical="top" wrapText="1"/>
    </xf>
    <xf numFmtId="0" fontId="14" borderId="47" applyNumberFormat="0" applyFont="1" applyFill="0" applyBorder="1" applyAlignment="1" applyProtection="0">
      <alignment vertical="top" wrapText="1"/>
    </xf>
    <xf numFmtId="0" fontId="14" borderId="48" applyNumberFormat="0" applyFont="1" applyFill="0" applyBorder="1" applyAlignment="1" applyProtection="0">
      <alignment vertical="top" wrapText="1"/>
    </xf>
    <xf numFmtId="3" fontId="14" borderId="48" applyNumberFormat="1" applyFont="1" applyFill="0" applyBorder="1" applyAlignment="1" applyProtection="0">
      <alignment vertical="top" wrapText="1"/>
    </xf>
    <xf numFmtId="60" fontId="14" borderId="48" applyNumberFormat="1" applyFont="1" applyFill="0" applyBorder="1" applyAlignment="1" applyProtection="0">
      <alignment vertical="top" wrapText="1"/>
    </xf>
    <xf numFmtId="0" fontId="14" borderId="49" applyNumberFormat="0" applyFont="1" applyFill="0" applyBorder="1" applyAlignment="1" applyProtection="0">
      <alignment vertical="top" wrapText="1"/>
    </xf>
    <xf numFmtId="0" fontId="16" applyNumberFormat="1" applyFont="1" applyFill="0" applyBorder="0" applyAlignment="1" applyProtection="0">
      <alignment vertical="top" wrapText="1"/>
    </xf>
    <xf numFmtId="0" fontId="17" applyNumberFormat="0" applyFont="1" applyFill="0" applyBorder="0" applyAlignment="1" applyProtection="0">
      <alignment horizontal="center" vertical="center"/>
    </xf>
    <xf numFmtId="49" fontId="18" fillId="8" borderId="50" applyNumberFormat="1" applyFont="1" applyFill="1" applyBorder="1" applyAlignment="1" applyProtection="0">
      <alignment vertical="top" wrapText="1"/>
    </xf>
    <xf numFmtId="49" fontId="18" fillId="8" borderId="51" applyNumberFormat="1" applyFont="1" applyFill="1" applyBorder="1" applyAlignment="1" applyProtection="0">
      <alignment vertical="top" wrapText="1"/>
    </xf>
    <xf numFmtId="49" fontId="18" fillId="8" borderId="52" applyNumberFormat="1" applyFont="1" applyFill="1" applyBorder="1" applyAlignment="1" applyProtection="0">
      <alignment vertical="top" wrapText="1"/>
    </xf>
    <xf numFmtId="0" fontId="19" fillId="9" borderId="53" applyNumberFormat="0" applyFont="1" applyFill="1" applyBorder="1" applyAlignment="1" applyProtection="0">
      <alignment vertical="top" wrapText="1"/>
    </xf>
    <xf numFmtId="0" fontId="16" borderId="54" applyNumberFormat="0" applyFont="1" applyFill="0" applyBorder="1" applyAlignment="1" applyProtection="0">
      <alignment vertical="top" wrapText="1"/>
    </xf>
    <xf numFmtId="0" fontId="16" borderId="55" applyNumberFormat="0" applyFont="1" applyFill="0" applyBorder="1" applyAlignment="1" applyProtection="0">
      <alignment vertical="top" wrapText="1"/>
    </xf>
    <xf numFmtId="49" fontId="16" fillId="10" borderId="54" applyNumberFormat="1" applyFont="1" applyFill="1" applyBorder="1" applyAlignment="1" applyProtection="0">
      <alignment vertical="top" wrapText="1"/>
    </xf>
    <xf numFmtId="0" fontId="16" fillId="10" borderId="54" applyNumberFormat="0" applyFont="1" applyFill="1" applyBorder="1" applyAlignment="1" applyProtection="0">
      <alignment vertical="top" wrapText="1"/>
    </xf>
    <xf numFmtId="0" fontId="16" fillId="10" borderId="55" applyNumberFormat="0" applyFont="1" applyFill="1" applyBorder="1" applyAlignment="1" applyProtection="0">
      <alignment vertical="top" wrapText="1"/>
    </xf>
    <xf numFmtId="0" fontId="19" fillId="9" borderId="53" applyNumberFormat="1" applyFont="1" applyFill="1" applyBorder="1" applyAlignment="1" applyProtection="0">
      <alignment vertical="top" wrapText="1"/>
    </xf>
    <xf numFmtId="49" fontId="16" borderId="54" applyNumberFormat="1" applyFont="1" applyFill="0" applyBorder="1" applyAlignment="1" applyProtection="0">
      <alignment vertical="top" wrapText="1"/>
    </xf>
    <xf numFmtId="0" fontId="19" fillId="9" borderId="56" applyNumberFormat="1" applyFont="1" applyFill="1" applyBorder="1" applyAlignment="1" applyProtection="0">
      <alignment vertical="top" wrapText="1"/>
    </xf>
    <xf numFmtId="49" fontId="16" fillId="10" borderId="57" applyNumberFormat="1" applyFont="1" applyFill="1" applyBorder="1" applyAlignment="1" applyProtection="0">
      <alignment vertical="top" wrapText="1"/>
    </xf>
    <xf numFmtId="0" fontId="16" fillId="10" borderId="58" applyNumberFormat="0" applyFont="1" applyFill="1" applyBorder="1" applyAlignment="1" applyProtection="0">
      <alignment vertical="top" wrapText="1"/>
    </xf>
    <xf numFmtId="0" fontId="19" borderId="59" applyNumberFormat="0" applyFont="1" applyFill="0" applyBorder="1" applyAlignment="1" applyProtection="0">
      <alignment vertical="top" wrapText="1"/>
    </xf>
    <xf numFmtId="0" fontId="19" borderId="60" applyNumberFormat="0" applyFont="1" applyFill="0" applyBorder="1" applyAlignment="1" applyProtection="0">
      <alignment vertical="top" wrapText="1"/>
    </xf>
    <xf numFmtId="0" fontId="19" borderId="61" applyNumberFormat="0" applyFont="1" applyFill="0" applyBorder="1"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59" fontId="5" fillId="4" borderId="11" applyNumberFormat="1" applyFont="1" applyFill="1" applyBorder="1" applyAlignment="1" applyProtection="0">
      <alignment vertical="top" wrapText="1"/>
    </xf>
    <xf numFmtId="59" fontId="5" borderId="11" applyNumberFormat="1" applyFont="1" applyFill="0" applyBorder="1"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62" fontId="5" borderId="11" applyNumberFormat="1" applyFont="1" applyFill="0" applyBorder="1" applyAlignment="1" applyProtection="0">
      <alignment vertical="top" wrapText="1"/>
    </xf>
    <xf numFmtId="62" fontId="5" fillId="4" borderId="11" applyNumberFormat="1" applyFont="1" applyFill="1" applyBorder="1" applyAlignment="1" applyProtection="0">
      <alignment vertical="top" wrapText="1"/>
    </xf>
    <xf numFmtId="63" fontId="5" borderId="11" applyNumberFormat="1" applyFont="1" applyFill="0" applyBorder="1" applyAlignment="1" applyProtection="0">
      <alignment vertical="top" wrapText="1"/>
    </xf>
    <xf numFmtId="3" fontId="5" fillId="4" borderId="11" applyNumberFormat="1" applyFont="1" applyFill="1" applyBorder="1" applyAlignment="1" applyProtection="0">
      <alignment vertical="top" wrapText="1"/>
    </xf>
    <xf numFmtId="3" fontId="5" borderId="11" applyNumberFormat="1" applyFont="1" applyFill="0" applyBorder="1" applyAlignment="1" applyProtection="0">
      <alignment vertical="top" wrapText="1"/>
    </xf>
    <xf numFmtId="0" fontId="5" applyNumberFormat="1" applyFont="1" applyFill="0" applyBorder="0" applyAlignment="1" applyProtection="0">
      <alignment vertical="top" wrapText="1"/>
    </xf>
    <xf numFmtId="0" fontId="6" borderId="8" applyNumberFormat="0" applyFont="1" applyFill="0" applyBorder="1"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64" fontId="5" borderId="11" applyNumberFormat="1" applyFont="1" applyFill="0" applyBorder="1"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4" fontId="20" borderId="16" applyNumberFormat="1" applyFont="1" applyFill="0" applyBorder="1"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49" fontId="6" borderId="13" applyNumberFormat="1" applyFont="1" applyFill="0" applyBorder="1" applyAlignment="1" applyProtection="0">
      <alignment horizontal="center"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60" fontId="5" fillId="4" borderId="16" applyNumberFormat="1" applyFont="1" applyFill="1" applyBorder="1"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63" fontId="5" fillId="4" borderId="11" applyNumberFormat="1" applyFont="1" applyFill="1" applyBorder="1" applyAlignment="1" applyProtection="0">
      <alignment vertical="top" wrapText="1"/>
    </xf>
    <xf numFmtId="0" fontId="5" applyNumberFormat="1" applyFont="1" applyFill="0" applyBorder="0" applyAlignment="1" applyProtection="0">
      <alignment vertical="top" wrapText="1"/>
    </xf>
    <xf numFmtId="0" fontId="6" borderId="8" applyNumberFormat="1" applyFont="1" applyFill="0" applyBorder="1"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xf numFmtId="49" fontId="6" borderId="12" applyNumberFormat="1" applyFont="1" applyFill="0" applyBorder="1" applyAlignment="1" applyProtection="0">
      <alignment horizontal="center" vertical="top" wrapText="1"/>
    </xf>
    <xf numFmtId="3" fontId="5" fillId="4" borderId="16" applyNumberFormat="1" applyFont="1" applyFill="1" applyBorder="1" applyAlignment="1" applyProtection="0">
      <alignment vertical="top" wrapText="1"/>
    </xf>
    <xf numFmtId="0" fontId="6" fillId="4" borderId="17" applyNumberFormat="0" applyFont="1" applyFill="1" applyBorder="1" applyAlignment="1" applyProtection="0">
      <alignment horizontal="center" vertical="top" wrapText="1"/>
    </xf>
    <xf numFmtId="0" fontId="5" applyNumberFormat="1" applyFont="1" applyFill="0" applyBorder="0" applyAlignment="1" applyProtection="0">
      <alignment vertical="top" wrapText="1"/>
    </xf>
    <xf numFmtId="0" fontId="5" applyNumberFormat="1" applyFont="1" applyFill="0" applyBorder="0"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3f3f3f"/>
      <rgbColor rgb="ff7f7f7f"/>
      <rgbColor rgb="ffeeeeee"/>
      <rgbColor rgb="ffbfbfbf"/>
      <rgbColor rgb="ff202528"/>
      <rgbColor rgb="ffa5a5a5"/>
      <rgbColor rgb="ffce3b4c"/>
      <rgbColor rgb="fff8f8f8"/>
      <rgbColor rgb="ff3a3a3a"/>
      <rgbColor rgb="ff545454"/>
      <rgbColor rgb="ff323232"/>
      <rgbColor rgb="ffadadad"/>
      <rgbColor rgb="ffd6d6d6"/>
      <rgbColor rgb="ff89847f"/>
      <rgbColor rgb="ffa6a29f"/>
      <rgbColor rgb="ffe3e3e3"/>
      <rgbColor rgb="fff4f9f8"/>
      <rgbColor rgb="fffefffe"/>
      <rgbColor rgb="ff227aae"/>
      <rgbColor rgb="ffb3afaa"/>
      <rgbColor rgb="ffcccac6"/>
      <rgbColor rgb="ffe4e2de"/>
      <rgbColor rgb="fff0ebe2"/>
      <rgbColor rgb="ff9a958e"/>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 Id="rId10" Type="http://schemas.openxmlformats.org/officeDocument/2006/relationships/worksheet" Target="worksheets/sheet6.xml"/><Relationship Id="rId11" Type="http://schemas.openxmlformats.org/officeDocument/2006/relationships/worksheet" Target="worksheets/sheet7.xml"/><Relationship Id="rId12" Type="http://schemas.openxmlformats.org/officeDocument/2006/relationships/worksheet" Target="worksheets/sheet8.xml"/><Relationship Id="rId13" Type="http://schemas.openxmlformats.org/officeDocument/2006/relationships/worksheet" Target="worksheets/sheet9.xml"/><Relationship Id="rId14" Type="http://schemas.openxmlformats.org/officeDocument/2006/relationships/worksheet" Target="worksheets/sheet10.xml"/><Relationship Id="rId15" Type="http://schemas.openxmlformats.org/officeDocument/2006/relationships/worksheet" Target="worksheets/sheet11.xml"/><Relationship Id="rId16" Type="http://schemas.openxmlformats.org/officeDocument/2006/relationships/worksheet" Target="worksheets/sheet12.xml"/><Relationship Id="rId17" Type="http://schemas.openxmlformats.org/officeDocument/2006/relationships/worksheet" Target="worksheets/sheet13.xml"/><Relationship Id="rId18" Type="http://schemas.openxmlformats.org/officeDocument/2006/relationships/worksheet" Target="worksheets/sheet14.xml"/><Relationship Id="rId19" Type="http://schemas.openxmlformats.org/officeDocument/2006/relationships/worksheet" Target="worksheets/sheet15.xml"/><Relationship Id="rId20" Type="http://schemas.openxmlformats.org/officeDocument/2006/relationships/worksheet" Target="worksheets/sheet16.xml"/><Relationship Id="rId21" Type="http://schemas.openxmlformats.org/officeDocument/2006/relationships/worksheet" Target="worksheets/sheet17.xml"/><Relationship Id="rId22" Type="http://schemas.openxmlformats.org/officeDocument/2006/relationships/worksheet" Target="worksheets/sheet18.xml"/><Relationship Id="rId23" Type="http://schemas.openxmlformats.org/officeDocument/2006/relationships/worksheet" Target="worksheets/sheet19.xml"/><Relationship Id="rId24" Type="http://schemas.openxmlformats.org/officeDocument/2006/relationships/worksheet" Target="worksheets/sheet20.xml"/><Relationship Id="rId25" Type="http://schemas.openxmlformats.org/officeDocument/2006/relationships/worksheet" Target="worksheets/sheet21.xml"/><Relationship Id="rId26" Type="http://schemas.openxmlformats.org/officeDocument/2006/relationships/worksheet" Target="worksheets/sheet22.xml"/><Relationship Id="rId27" Type="http://schemas.openxmlformats.org/officeDocument/2006/relationships/worksheet" Target="worksheets/sheet23.xml"/><Relationship Id="rId28" Type="http://schemas.openxmlformats.org/officeDocument/2006/relationships/worksheet" Target="worksheets/sheet24.xml"/><Relationship Id="rId29" Type="http://schemas.openxmlformats.org/officeDocument/2006/relationships/worksheet" Target="worksheets/sheet25.xml"/><Relationship Id="rId30" Type="http://schemas.openxmlformats.org/officeDocument/2006/relationships/worksheet" Target="worksheets/sheet26.xml"/><Relationship Id="rId31" Type="http://schemas.openxmlformats.org/officeDocument/2006/relationships/worksheet" Target="worksheets/sheet27.xml"/><Relationship Id="rId32" Type="http://schemas.openxmlformats.org/officeDocument/2006/relationships/worksheet" Target="worksheets/sheet28.xml"/><Relationship Id="rId33" Type="http://schemas.openxmlformats.org/officeDocument/2006/relationships/worksheet" Target="worksheets/sheet29.xml"/><Relationship Id="rId34" Type="http://schemas.openxmlformats.org/officeDocument/2006/relationships/worksheet" Target="worksheets/sheet30.xml"/><Relationship Id="rId35" Type="http://schemas.openxmlformats.org/officeDocument/2006/relationships/worksheet" Target="worksheets/sheet31.xml"/><Relationship Id="rId36" Type="http://schemas.openxmlformats.org/officeDocument/2006/relationships/worksheet" Target="worksheets/sheet32.xml"/><Relationship Id="rId37" Type="http://schemas.openxmlformats.org/officeDocument/2006/relationships/worksheet" Target="worksheets/sheet33.xml"/><Relationship Id="rId38" Type="http://schemas.openxmlformats.org/officeDocument/2006/relationships/worksheet" Target="worksheets/sheet34.xml"/><Relationship Id="rId39" Type="http://schemas.openxmlformats.org/officeDocument/2006/relationships/worksheet" Target="worksheets/sheet35.xml"/><Relationship Id="rId40" Type="http://schemas.openxmlformats.org/officeDocument/2006/relationships/worksheet" Target="worksheets/sheet36.xml"/><Relationship Id="rId41" Type="http://schemas.openxmlformats.org/officeDocument/2006/relationships/worksheet" Target="worksheets/sheet37.xml"/><Relationship Id="rId42" Type="http://schemas.openxmlformats.org/officeDocument/2006/relationships/worksheet" Target="worksheets/sheet38.xml"/><Relationship Id="rId43" Type="http://schemas.openxmlformats.org/officeDocument/2006/relationships/worksheet" Target="worksheets/sheet39.xml"/><Relationship Id="rId44" Type="http://schemas.openxmlformats.org/officeDocument/2006/relationships/worksheet" Target="worksheets/sheet40.xml"/><Relationship Id="rId45" Type="http://schemas.openxmlformats.org/officeDocument/2006/relationships/worksheet" Target="worksheets/sheet41.xml"/><Relationship Id="rId46" Type="http://schemas.openxmlformats.org/officeDocument/2006/relationships/worksheet" Target="worksheets/sheet42.xml"/><Relationship Id="rId47" Type="http://schemas.openxmlformats.org/officeDocument/2006/relationships/worksheet" Target="worksheets/sheet43.xml"/><Relationship Id="rId48" Type="http://schemas.openxmlformats.org/officeDocument/2006/relationships/worksheet" Target="worksheets/sheet44.xml"/><Relationship Id="rId49" Type="http://schemas.openxmlformats.org/officeDocument/2006/relationships/worksheet" Target="worksheets/sheet45.xml"/><Relationship Id="rId50" Type="http://schemas.openxmlformats.org/officeDocument/2006/relationships/worksheet" Target="worksheets/sheet46.xml"/><Relationship Id="rId51" Type="http://schemas.openxmlformats.org/officeDocument/2006/relationships/worksheet" Target="worksheets/sheet47.xml"/><Relationship Id="rId52" Type="http://schemas.openxmlformats.org/officeDocument/2006/relationships/worksheet" Target="worksheets/sheet48.xml"/><Relationship Id="rId53" Type="http://schemas.openxmlformats.org/officeDocument/2006/relationships/worksheet" Target="worksheets/sheet49.xml"/><Relationship Id="rId54" Type="http://schemas.openxmlformats.org/officeDocument/2006/relationships/worksheet" Target="worksheets/sheet50.xml"/><Relationship Id="rId55" Type="http://schemas.openxmlformats.org/officeDocument/2006/relationships/worksheet" Target="worksheets/sheet51.xml"/><Relationship Id="rId56" Type="http://schemas.openxmlformats.org/officeDocument/2006/relationships/worksheet" Target="worksheets/sheet52.xml"/><Relationship Id="rId57" Type="http://schemas.openxmlformats.org/officeDocument/2006/relationships/worksheet" Target="worksheets/sheet53.xml"/><Relationship Id="rId58" Type="http://schemas.openxmlformats.org/officeDocument/2006/relationships/worksheet" Target="worksheets/sheet54.xml"/><Relationship Id="rId59" Type="http://schemas.openxmlformats.org/officeDocument/2006/relationships/worksheet" Target="worksheets/sheet55.xml"/><Relationship Id="rId60" Type="http://schemas.openxmlformats.org/officeDocument/2006/relationships/worksheet" Target="worksheets/sheet56.xml"/><Relationship Id="rId61" Type="http://schemas.openxmlformats.org/officeDocument/2006/relationships/worksheet" Target="worksheets/sheet57.xml"/><Relationship Id="rId62" Type="http://schemas.openxmlformats.org/officeDocument/2006/relationships/worksheet" Target="worksheets/sheet58.xml"/><Relationship Id="rId63" Type="http://schemas.openxmlformats.org/officeDocument/2006/relationships/worksheet" Target="worksheets/sheet59.xml"/><Relationship Id="rId64" Type="http://schemas.openxmlformats.org/officeDocument/2006/relationships/worksheet" Target="worksheets/sheet60.xml"/><Relationship Id="rId65" Type="http://schemas.openxmlformats.org/officeDocument/2006/relationships/worksheet" Target="worksheets/sheet61.xml"/><Relationship Id="rId66" Type="http://schemas.openxmlformats.org/officeDocument/2006/relationships/worksheet" Target="worksheets/sheet62.xml"/><Relationship Id="rId67" Type="http://schemas.openxmlformats.org/officeDocument/2006/relationships/worksheet" Target="worksheets/sheet63.xml"/><Relationship Id="rId68" Type="http://schemas.openxmlformats.org/officeDocument/2006/relationships/worksheet" Target="worksheets/sheet64.xml"/><Relationship Id="rId69" Type="http://schemas.openxmlformats.org/officeDocument/2006/relationships/worksheet" Target="worksheets/sheet65.xml"/><Relationship Id="rId70" Type="http://schemas.openxmlformats.org/officeDocument/2006/relationships/worksheet" Target="worksheets/sheet66.xml"/><Relationship Id="rId71" Type="http://schemas.openxmlformats.org/officeDocument/2006/relationships/worksheet" Target="worksheets/sheet67.xml"/><Relationship Id="rId72" Type="http://schemas.openxmlformats.org/officeDocument/2006/relationships/worksheet" Target="worksheets/sheet68.xml"/><Relationship Id="rId73" Type="http://schemas.openxmlformats.org/officeDocument/2006/relationships/worksheet" Target="worksheets/sheet69.xml"/><Relationship Id="rId74" Type="http://schemas.openxmlformats.org/officeDocument/2006/relationships/worksheet" Target="worksheets/sheet70.xml"/><Relationship Id="rId75" Type="http://schemas.openxmlformats.org/officeDocument/2006/relationships/worksheet" Target="worksheets/sheet71.xml"/><Relationship Id="rId76" Type="http://schemas.openxmlformats.org/officeDocument/2006/relationships/worksheet" Target="worksheets/sheet72.xml"/><Relationship Id="rId77" Type="http://schemas.openxmlformats.org/officeDocument/2006/relationships/worksheet" Target="worksheets/sheet73.xml"/><Relationship Id="rId78" Type="http://schemas.openxmlformats.org/officeDocument/2006/relationships/worksheet" Target="worksheets/sheet74.xml"/><Relationship Id="rId79" Type="http://schemas.openxmlformats.org/officeDocument/2006/relationships/worksheet" Target="worksheets/sheet75.xml"/><Relationship Id="rId80" Type="http://schemas.openxmlformats.org/officeDocument/2006/relationships/worksheet" Target="worksheets/sheet76.xml"/><Relationship Id="rId81" Type="http://schemas.openxmlformats.org/officeDocument/2006/relationships/worksheet" Target="worksheets/sheet77.xml"/><Relationship Id="rId82" Type="http://schemas.openxmlformats.org/officeDocument/2006/relationships/worksheet" Target="worksheets/sheet78.xml"/><Relationship Id="rId83" Type="http://schemas.openxmlformats.org/officeDocument/2006/relationships/worksheet" Target="worksheets/sheet79.xml"/><Relationship Id="rId84" Type="http://schemas.openxmlformats.org/officeDocument/2006/relationships/worksheet" Target="worksheets/sheet80.xml"/><Relationship Id="rId85" Type="http://schemas.openxmlformats.org/officeDocument/2006/relationships/worksheet" Target="worksheets/sheet81.xml"/><Relationship Id="rId86" Type="http://schemas.openxmlformats.org/officeDocument/2006/relationships/worksheet" Target="worksheets/sheet82.xml"/><Relationship Id="rId87" Type="http://schemas.openxmlformats.org/officeDocument/2006/relationships/worksheet" Target="worksheets/sheet83.xml"/><Relationship Id="rId88" Type="http://schemas.openxmlformats.org/officeDocument/2006/relationships/worksheet" Target="worksheets/sheet84.xml"/><Relationship Id="rId89" Type="http://schemas.openxmlformats.org/officeDocument/2006/relationships/worksheet" Target="worksheets/sheet85.xml"/><Relationship Id="rId90" Type="http://schemas.openxmlformats.org/officeDocument/2006/relationships/worksheet" Target="worksheets/sheet86.xml"/><Relationship Id="rId91" Type="http://schemas.openxmlformats.org/officeDocument/2006/relationships/worksheet" Target="worksheets/sheet87.xml"/><Relationship Id="rId92" Type="http://schemas.openxmlformats.org/officeDocument/2006/relationships/worksheet" Target="worksheets/sheet88.xml"/><Relationship Id="rId93" Type="http://schemas.openxmlformats.org/officeDocument/2006/relationships/worksheet" Target="worksheets/sheet89.xml"/><Relationship Id="rId94" Type="http://schemas.openxmlformats.org/officeDocument/2006/relationships/worksheet" Target="worksheets/sheet90.xml"/><Relationship Id="rId95" Type="http://schemas.openxmlformats.org/officeDocument/2006/relationships/worksheet" Target="worksheets/sheet91.xml"/><Relationship Id="rId96" Type="http://schemas.openxmlformats.org/officeDocument/2006/relationships/worksheet" Target="worksheets/sheet92.xml"/><Relationship Id="rId97" Type="http://schemas.openxmlformats.org/officeDocument/2006/relationships/worksheet" Target="worksheets/sheet93.xml"/><Relationship Id="rId98" Type="http://schemas.openxmlformats.org/officeDocument/2006/relationships/worksheet" Target="worksheets/sheet94.xml"/><Relationship Id="rId99" Type="http://schemas.openxmlformats.org/officeDocument/2006/relationships/worksheet" Target="worksheets/sheet95.xml"/><Relationship Id="rId100" Type="http://schemas.openxmlformats.org/officeDocument/2006/relationships/worksheet" Target="worksheets/sheet96.xml"/><Relationship Id="rId101" Type="http://schemas.openxmlformats.org/officeDocument/2006/relationships/worksheet" Target="worksheets/sheet97.xml"/><Relationship Id="rId102" Type="http://schemas.openxmlformats.org/officeDocument/2006/relationships/worksheet" Target="worksheets/sheet98.xml"/><Relationship Id="rId103" Type="http://schemas.openxmlformats.org/officeDocument/2006/relationships/worksheet" Target="worksheets/sheet99.xml"/><Relationship Id="rId104" Type="http://schemas.openxmlformats.org/officeDocument/2006/relationships/worksheet" Target="worksheets/sheet100.xml"/><Relationship Id="rId105" Type="http://schemas.openxmlformats.org/officeDocument/2006/relationships/worksheet" Target="worksheets/sheet101.xml"/><Relationship Id="rId106" Type="http://schemas.openxmlformats.org/officeDocument/2006/relationships/worksheet" Target="worksheets/sheet102.xml"/><Relationship Id="rId107" Type="http://schemas.openxmlformats.org/officeDocument/2006/relationships/worksheet" Target="worksheets/sheet103.xml"/><Relationship Id="rId108" Type="http://schemas.openxmlformats.org/officeDocument/2006/relationships/worksheet" Target="worksheets/sheet104.xml"/><Relationship Id="rId109" Type="http://schemas.openxmlformats.org/officeDocument/2006/relationships/worksheet" Target="worksheets/sheet105.xml"/><Relationship Id="rId110" Type="http://schemas.openxmlformats.org/officeDocument/2006/relationships/worksheet" Target="worksheets/sheet106.xml"/><Relationship Id="rId111" Type="http://schemas.openxmlformats.org/officeDocument/2006/relationships/worksheet" Target="worksheets/sheet107.xml"/><Relationship Id="rId112" Type="http://schemas.openxmlformats.org/officeDocument/2006/relationships/worksheet" Target="worksheets/sheet108.xml"/><Relationship Id="rId113" Type="http://schemas.openxmlformats.org/officeDocument/2006/relationships/worksheet" Target="worksheets/sheet109.xml"/><Relationship Id="rId114" Type="http://schemas.openxmlformats.org/officeDocument/2006/relationships/worksheet" Target="worksheets/sheet110.xml"/><Relationship Id="rId115" Type="http://schemas.openxmlformats.org/officeDocument/2006/relationships/worksheet" Target="worksheets/sheet111.xml"/><Relationship Id="rId116" Type="http://schemas.openxmlformats.org/officeDocument/2006/relationships/worksheet" Target="worksheets/sheet112.xml"/><Relationship Id="rId117" Type="http://schemas.openxmlformats.org/officeDocument/2006/relationships/worksheet" Target="worksheets/sheet113.xml"/><Relationship Id="rId118" Type="http://schemas.openxmlformats.org/officeDocument/2006/relationships/worksheet" Target="worksheets/sheet114.xml"/><Relationship Id="rId119" Type="http://schemas.openxmlformats.org/officeDocument/2006/relationships/worksheet" Target="worksheets/sheet115.xml"/><Relationship Id="rId120" Type="http://schemas.openxmlformats.org/officeDocument/2006/relationships/worksheet" Target="worksheets/sheet116.xml"/><Relationship Id="rId121" Type="http://schemas.openxmlformats.org/officeDocument/2006/relationships/worksheet" Target="worksheets/sheet117.xml"/><Relationship Id="rId122" Type="http://schemas.openxmlformats.org/officeDocument/2006/relationships/worksheet" Target="worksheets/sheet118.xml"/><Relationship Id="rId123" Type="http://schemas.openxmlformats.org/officeDocument/2006/relationships/worksheet" Target="worksheets/sheet119.xml"/><Relationship Id="rId124" Type="http://schemas.openxmlformats.org/officeDocument/2006/relationships/worksheet" Target="worksheets/sheet120.xml"/><Relationship Id="rId125" Type="http://schemas.openxmlformats.org/officeDocument/2006/relationships/worksheet" Target="worksheets/sheet121.xml"/><Relationship Id="rId126" Type="http://schemas.openxmlformats.org/officeDocument/2006/relationships/worksheet" Target="worksheets/sheet122.xml"/><Relationship Id="rId127" Type="http://schemas.openxmlformats.org/officeDocument/2006/relationships/worksheet" Target="worksheets/sheet123.xml"/><Relationship Id="rId128" Type="http://schemas.openxmlformats.org/officeDocument/2006/relationships/worksheet" Target="worksheets/sheet124.xml"/><Relationship Id="rId129" Type="http://schemas.openxmlformats.org/officeDocument/2006/relationships/worksheet" Target="worksheets/sheet125.xml"/><Relationship Id="rId130" Type="http://schemas.openxmlformats.org/officeDocument/2006/relationships/worksheet" Target="worksheets/sheet126.xml"/><Relationship Id="rId131" Type="http://schemas.openxmlformats.org/officeDocument/2006/relationships/worksheet" Target="worksheets/sheet127.xml"/><Relationship Id="rId132" Type="http://schemas.openxmlformats.org/officeDocument/2006/relationships/worksheet" Target="worksheets/sheet128.xml"/><Relationship Id="rId133" Type="http://schemas.openxmlformats.org/officeDocument/2006/relationships/worksheet" Target="worksheets/sheet129.xml"/><Relationship Id="rId134" Type="http://schemas.openxmlformats.org/officeDocument/2006/relationships/worksheet" Target="worksheets/sheet130.xml"/><Relationship Id="rId135" Type="http://schemas.openxmlformats.org/officeDocument/2006/relationships/worksheet" Target="worksheets/sheet131.xml"/><Relationship Id="rId136" Type="http://schemas.openxmlformats.org/officeDocument/2006/relationships/worksheet" Target="worksheets/sheet132.xml"/><Relationship Id="rId137" Type="http://schemas.openxmlformats.org/officeDocument/2006/relationships/worksheet" Target="worksheets/sheet133.xml"/><Relationship Id="rId138" Type="http://schemas.openxmlformats.org/officeDocument/2006/relationships/worksheet" Target="worksheets/sheet134.xml"/><Relationship Id="rId139" Type="http://schemas.openxmlformats.org/officeDocument/2006/relationships/worksheet" Target="worksheets/sheet135.xml"/><Relationship Id="rId140" Type="http://schemas.openxmlformats.org/officeDocument/2006/relationships/worksheet" Target="worksheets/sheet136.xml"/><Relationship Id="rId141" Type="http://schemas.openxmlformats.org/officeDocument/2006/relationships/worksheet" Target="worksheets/sheet137.xml"/><Relationship Id="rId142" Type="http://schemas.openxmlformats.org/officeDocument/2006/relationships/worksheet" Target="worksheets/sheet138.xml"/><Relationship Id="rId143" Type="http://schemas.openxmlformats.org/officeDocument/2006/relationships/worksheet" Target="worksheets/sheet139.xml"/><Relationship Id="rId144" Type="http://schemas.openxmlformats.org/officeDocument/2006/relationships/worksheet" Target="worksheets/sheet140.xml"/><Relationship Id="rId145" Type="http://schemas.openxmlformats.org/officeDocument/2006/relationships/worksheet" Target="worksheets/sheet141.xml"/><Relationship Id="rId146" Type="http://schemas.openxmlformats.org/officeDocument/2006/relationships/worksheet" Target="worksheets/sheet142.xml"/><Relationship Id="rId147" Type="http://schemas.openxmlformats.org/officeDocument/2006/relationships/worksheet" Target="worksheets/sheet143.xml"/><Relationship Id="rId148" Type="http://schemas.openxmlformats.org/officeDocument/2006/relationships/worksheet" Target="worksheets/sheet144.xml"/><Relationship Id="rId149" Type="http://schemas.openxmlformats.org/officeDocument/2006/relationships/worksheet" Target="worksheets/sheet145.xml"/><Relationship Id="rId150" Type="http://schemas.openxmlformats.org/officeDocument/2006/relationships/worksheet" Target="worksheets/sheet146.xml"/><Relationship Id="rId151" Type="http://schemas.openxmlformats.org/officeDocument/2006/relationships/worksheet" Target="worksheets/sheet147.xml"/><Relationship Id="rId152" Type="http://schemas.openxmlformats.org/officeDocument/2006/relationships/worksheet" Target="worksheets/sheet148.xml"/><Relationship Id="rId153" Type="http://schemas.openxmlformats.org/officeDocument/2006/relationships/worksheet" Target="worksheets/sheet149.xml"/><Relationship Id="rId154" Type="http://schemas.openxmlformats.org/officeDocument/2006/relationships/worksheet" Target="worksheets/sheet150.xml"/><Relationship Id="rId155" Type="http://schemas.openxmlformats.org/officeDocument/2006/relationships/worksheet" Target="worksheets/sheet151.xml"/><Relationship Id="rId156" Type="http://schemas.openxmlformats.org/officeDocument/2006/relationships/worksheet" Target="worksheets/sheet152.xml"/><Relationship Id="rId157" Type="http://schemas.openxmlformats.org/officeDocument/2006/relationships/worksheet" Target="worksheets/sheet153.xml"/><Relationship Id="rId158" Type="http://schemas.openxmlformats.org/officeDocument/2006/relationships/worksheet" Target="worksheets/sheet154.xml"/><Relationship Id="rId159" Type="http://schemas.openxmlformats.org/officeDocument/2006/relationships/worksheet" Target="worksheets/sheet155.xml"/><Relationship Id="rId160" Type="http://schemas.openxmlformats.org/officeDocument/2006/relationships/worksheet" Target="worksheets/sheet156.xml"/><Relationship Id="rId161" Type="http://schemas.openxmlformats.org/officeDocument/2006/relationships/worksheet" Target="worksheets/sheet157.xml"/><Relationship Id="rId162" Type="http://schemas.openxmlformats.org/officeDocument/2006/relationships/worksheet" Target="worksheets/sheet158.xml"/><Relationship Id="rId163" Type="http://schemas.openxmlformats.org/officeDocument/2006/relationships/worksheet" Target="worksheets/sheet159.xml"/><Relationship Id="rId164" Type="http://schemas.openxmlformats.org/officeDocument/2006/relationships/worksheet" Target="worksheets/sheet160.xml"/><Relationship Id="rId165" Type="http://schemas.openxmlformats.org/officeDocument/2006/relationships/worksheet" Target="worksheets/sheet161.xml"/><Relationship Id="rId166" Type="http://schemas.openxmlformats.org/officeDocument/2006/relationships/worksheet" Target="worksheets/sheet162.xml"/><Relationship Id="rId167" Type="http://schemas.openxmlformats.org/officeDocument/2006/relationships/worksheet" Target="worksheets/sheet163.xml"/><Relationship Id="rId168" Type="http://schemas.openxmlformats.org/officeDocument/2006/relationships/worksheet" Target="worksheets/sheet164.xml"/><Relationship Id="rId169" Type="http://schemas.openxmlformats.org/officeDocument/2006/relationships/worksheet" Target="worksheets/sheet165.xml"/><Relationship Id="rId170" Type="http://schemas.openxmlformats.org/officeDocument/2006/relationships/worksheet" Target="worksheets/sheet166.xml"/><Relationship Id="rId171" Type="http://schemas.openxmlformats.org/officeDocument/2006/relationships/worksheet" Target="worksheets/sheet167.xml"/><Relationship Id="rId172" Type="http://schemas.openxmlformats.org/officeDocument/2006/relationships/worksheet" Target="worksheets/sheet168.xml"/><Relationship Id="rId173" Type="http://schemas.openxmlformats.org/officeDocument/2006/relationships/worksheet" Target="worksheets/sheet169.xml"/><Relationship Id="rId174" Type="http://schemas.openxmlformats.org/officeDocument/2006/relationships/worksheet" Target="worksheets/sheet170.xml"/><Relationship Id="rId175" Type="http://schemas.openxmlformats.org/officeDocument/2006/relationships/worksheet" Target="worksheets/sheet171.xml"/><Relationship Id="rId176" Type="http://schemas.openxmlformats.org/officeDocument/2006/relationships/worksheet" Target="worksheets/sheet172.xml"/><Relationship Id="rId177" Type="http://schemas.openxmlformats.org/officeDocument/2006/relationships/worksheet" Target="worksheets/sheet173.xml"/><Relationship Id="rId178" Type="http://schemas.openxmlformats.org/officeDocument/2006/relationships/worksheet" Target="worksheets/sheet174.xml"/><Relationship Id="rId179" Type="http://schemas.openxmlformats.org/officeDocument/2006/relationships/worksheet" Target="worksheets/sheet175.xml"/></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13</xdr:col>
      <xdr:colOff>855309</xdr:colOff>
      <xdr:row>80</xdr:row>
      <xdr:rowOff>220463</xdr:rowOff>
    </xdr:from>
    <xdr:to>
      <xdr:col>13</xdr:col>
      <xdr:colOff>995009</xdr:colOff>
      <xdr:row>83</xdr:row>
      <xdr:rowOff>84337</xdr:rowOff>
    </xdr:to>
    <xdr:sp>
      <xdr:nvSpPr>
        <xdr:cNvPr id="2" name="Teks"/>
        <xdr:cNvSpPr txBox="1"/>
      </xdr:nvSpPr>
      <xdr:spPr>
        <a:xfrm>
          <a:off x="14609409" y="15732243"/>
          <a:ext cx="139701" cy="549675"/>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none" lIns="50800" tIns="50800" rIns="50800" bIns="50800" numCol="1" anchor="t">
          <a:spAutoFit/>
        </a:bodyPr>
        <a:lstStyle/>
        <a:p>
          <a:pPr marL="0" marR="0" indent="0" algn="l" defTabSz="457200" rtl="0" latinLnBrk="0">
            <a:lnSpc>
              <a:spcPct val="100000"/>
            </a:lnSpc>
            <a:spcBef>
              <a:spcPts val="0"/>
            </a:spcBef>
            <a:spcAft>
              <a:spcPts val="0"/>
            </a:spcAft>
            <a:buClrTx/>
            <a:buSzTx/>
            <a:buFontTx/>
            <a:buNone/>
            <a:defRPr b="0" baseline="0" cap="none" i="0" spc="0" strike="noStrike" sz="1300" u="none">
              <a:solidFill>
                <a:srgbClr val="3B3B3B"/>
              </a:solidFill>
              <a:uFillTx/>
              <a:latin typeface="+mn-lt"/>
              <a:ea typeface="+mn-ea"/>
              <a:cs typeface="+mn-cs"/>
              <a:sym typeface="Helvetica Neue"/>
            </a:defRPr>
          </a:pPr>
          <a:endParaRPr b="0" baseline="0" cap="none" i="0" spc="0" strike="noStrike" sz="1300" u="none">
            <a:solidFill>
              <a:srgbClr val="3B3B3B"/>
            </a:solidFill>
            <a:uFillTx/>
            <a:latin typeface="+mn-lt"/>
            <a:ea typeface="+mn-ea"/>
            <a:cs typeface="+mn-cs"/>
            <a:sym typeface="Helvetica Neue"/>
          </a:endParaRPr>
        </a:p>
      </xdr:txBody>
    </xdr:sp>
    <xdr:clientData/>
  </xdr:twoCellAnchor>
</xdr:wsDr>
</file>

<file path=xl/drawings/drawing2.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13</xdr:col>
      <xdr:colOff>855309</xdr:colOff>
      <xdr:row>81</xdr:row>
      <xdr:rowOff>220463</xdr:rowOff>
    </xdr:from>
    <xdr:to>
      <xdr:col>13</xdr:col>
      <xdr:colOff>995009</xdr:colOff>
      <xdr:row>84</xdr:row>
      <xdr:rowOff>84337</xdr:rowOff>
    </xdr:to>
    <xdr:sp>
      <xdr:nvSpPr>
        <xdr:cNvPr id="4" name="Teks"/>
        <xdr:cNvSpPr txBox="1"/>
      </xdr:nvSpPr>
      <xdr:spPr>
        <a:xfrm>
          <a:off x="14609409" y="20990043"/>
          <a:ext cx="139701" cy="549675"/>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none" lIns="50800" tIns="50800" rIns="50800" bIns="50800" numCol="1" anchor="t">
          <a:spAutoFit/>
        </a:bodyPr>
        <a:lstStyle/>
        <a:p>
          <a:pPr marL="0" marR="0" indent="0" algn="l" defTabSz="457200" rtl="0" latinLnBrk="0">
            <a:lnSpc>
              <a:spcPct val="100000"/>
            </a:lnSpc>
            <a:spcBef>
              <a:spcPts val="0"/>
            </a:spcBef>
            <a:spcAft>
              <a:spcPts val="0"/>
            </a:spcAft>
            <a:buClrTx/>
            <a:buSzTx/>
            <a:buFontTx/>
            <a:buNone/>
            <a:defRPr b="0" baseline="0" cap="none" i="0" spc="0" strike="noStrike" sz="1300" u="none">
              <a:solidFill>
                <a:srgbClr val="3B3B3B"/>
              </a:solidFill>
              <a:uFillTx/>
              <a:latin typeface="+mn-lt"/>
              <a:ea typeface="+mn-ea"/>
              <a:cs typeface="+mn-cs"/>
              <a:sym typeface="Helvetica Neue"/>
            </a:defRPr>
          </a:pPr>
          <a:endParaRPr b="0" baseline="0" cap="none" i="0" spc="0" strike="noStrike" sz="1300" u="none">
            <a:solidFill>
              <a:srgbClr val="3B3B3B"/>
            </a:solidFill>
            <a:uFillTx/>
            <a:latin typeface="+mn-lt"/>
            <a:ea typeface="+mn-ea"/>
            <a:cs typeface="+mn-cs"/>
            <a:sym typeface="Helvetica Neue"/>
          </a:endParaRPr>
        </a:p>
      </xdr:txBody>
    </xdr:sp>
    <xdr:clientData/>
  </xdr:twoCellAnchor>
</xdr:wsDr>
</file>

<file path=xl/drawings/drawing3.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13</xdr:col>
      <xdr:colOff>855309</xdr:colOff>
      <xdr:row>81</xdr:row>
      <xdr:rowOff>220463</xdr:rowOff>
    </xdr:from>
    <xdr:to>
      <xdr:col>13</xdr:col>
      <xdr:colOff>995009</xdr:colOff>
      <xdr:row>84</xdr:row>
      <xdr:rowOff>84337</xdr:rowOff>
    </xdr:to>
    <xdr:sp>
      <xdr:nvSpPr>
        <xdr:cNvPr id="6" name="Teks"/>
        <xdr:cNvSpPr txBox="1"/>
      </xdr:nvSpPr>
      <xdr:spPr>
        <a:xfrm>
          <a:off x="14609409" y="15992593"/>
          <a:ext cx="139701" cy="549675"/>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none" lIns="50800" tIns="50800" rIns="50800" bIns="50800" numCol="1" anchor="t">
          <a:spAutoFit/>
        </a:bodyPr>
        <a:lstStyle/>
        <a:p>
          <a:pPr marL="0" marR="0" indent="0" algn="l" defTabSz="457200" rtl="0" latinLnBrk="0">
            <a:lnSpc>
              <a:spcPct val="100000"/>
            </a:lnSpc>
            <a:spcBef>
              <a:spcPts val="0"/>
            </a:spcBef>
            <a:spcAft>
              <a:spcPts val="0"/>
            </a:spcAft>
            <a:buClrTx/>
            <a:buSzTx/>
            <a:buFontTx/>
            <a:buNone/>
            <a:defRPr b="0" baseline="0" cap="none" i="0" spc="0" strike="noStrike" sz="1300" u="none">
              <a:solidFill>
                <a:srgbClr val="3B3B3B"/>
              </a:solidFill>
              <a:uFillTx/>
              <a:latin typeface="+mn-lt"/>
              <a:ea typeface="+mn-ea"/>
              <a:cs typeface="+mn-cs"/>
              <a:sym typeface="Helvetica Neue"/>
            </a:defRPr>
          </a:pPr>
          <a:endParaRPr b="0" baseline="0" cap="none" i="0" spc="0" strike="noStrike" sz="1300" u="none">
            <a:solidFill>
              <a:srgbClr val="3B3B3B"/>
            </a:solidFill>
            <a:uFillTx/>
            <a:latin typeface="+mn-lt"/>
            <a:ea typeface="+mn-ea"/>
            <a:cs typeface="+mn-cs"/>
            <a:sym typeface="Helvetica Neue"/>
          </a:endParaRPr>
        </a:p>
      </xdr:txBody>
    </xdr:sp>
    <xdr:clientData/>
  </xdr:twoCellAnchor>
</xdr:wsDr>
</file>

<file path=xl/drawings/drawing4.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13</xdr:col>
      <xdr:colOff>855309</xdr:colOff>
      <xdr:row>80</xdr:row>
      <xdr:rowOff>220463</xdr:rowOff>
    </xdr:from>
    <xdr:to>
      <xdr:col>13</xdr:col>
      <xdr:colOff>995009</xdr:colOff>
      <xdr:row>83</xdr:row>
      <xdr:rowOff>84337</xdr:rowOff>
    </xdr:to>
    <xdr:sp>
      <xdr:nvSpPr>
        <xdr:cNvPr id="8" name="Teks"/>
        <xdr:cNvSpPr txBox="1"/>
      </xdr:nvSpPr>
      <xdr:spPr>
        <a:xfrm>
          <a:off x="14609409" y="15732243"/>
          <a:ext cx="139701" cy="549675"/>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none" lIns="50800" tIns="50800" rIns="50800" bIns="50800" numCol="1" anchor="t">
          <a:spAutoFit/>
        </a:bodyPr>
        <a:lstStyle/>
        <a:p>
          <a:pPr marL="0" marR="0" indent="0" algn="l" defTabSz="457200" rtl="0" latinLnBrk="0">
            <a:lnSpc>
              <a:spcPct val="100000"/>
            </a:lnSpc>
            <a:spcBef>
              <a:spcPts val="0"/>
            </a:spcBef>
            <a:spcAft>
              <a:spcPts val="0"/>
            </a:spcAft>
            <a:buClrTx/>
            <a:buSzTx/>
            <a:buFontTx/>
            <a:buNone/>
            <a:defRPr b="0" baseline="0" cap="none" i="0" spc="0" strike="noStrike" sz="1300" u="none">
              <a:solidFill>
                <a:srgbClr val="3B3B3B"/>
              </a:solidFill>
              <a:uFillTx/>
              <a:latin typeface="+mn-lt"/>
              <a:ea typeface="+mn-ea"/>
              <a:cs typeface="+mn-cs"/>
              <a:sym typeface="Helvetica Neue"/>
            </a:defRPr>
          </a:pPr>
          <a:endParaRPr b="0" baseline="0" cap="none" i="0" spc="0" strike="noStrike" sz="1300" u="none">
            <a:solidFill>
              <a:srgbClr val="3B3B3B"/>
            </a:solidFill>
            <a:uFillTx/>
            <a:latin typeface="+mn-lt"/>
            <a:ea typeface="+mn-ea"/>
            <a:cs typeface="+mn-cs"/>
            <a:sym typeface="Helvetica Neue"/>
          </a:endParaRPr>
        </a:p>
      </xdr:txBody>
    </xdr:sp>
    <xdr:clientData/>
  </xdr:twoCellAnchor>
</xdr:wsDr>
</file>

<file path=xl/drawings/drawing5.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13</xdr:col>
      <xdr:colOff>855309</xdr:colOff>
      <xdr:row>76</xdr:row>
      <xdr:rowOff>220463</xdr:rowOff>
    </xdr:from>
    <xdr:to>
      <xdr:col>13</xdr:col>
      <xdr:colOff>995009</xdr:colOff>
      <xdr:row>79</xdr:row>
      <xdr:rowOff>84337</xdr:rowOff>
    </xdr:to>
    <xdr:sp>
      <xdr:nvSpPr>
        <xdr:cNvPr id="10" name="Teks"/>
        <xdr:cNvSpPr txBox="1"/>
      </xdr:nvSpPr>
      <xdr:spPr>
        <a:xfrm>
          <a:off x="14609409" y="14843243"/>
          <a:ext cx="139701" cy="549675"/>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none" lIns="50800" tIns="50800" rIns="50800" bIns="50800" numCol="1" anchor="t">
          <a:spAutoFit/>
        </a:bodyPr>
        <a:lstStyle/>
        <a:p>
          <a:pPr marL="0" marR="0" indent="0" algn="l" defTabSz="457200" rtl="0" latinLnBrk="0">
            <a:lnSpc>
              <a:spcPct val="100000"/>
            </a:lnSpc>
            <a:spcBef>
              <a:spcPts val="0"/>
            </a:spcBef>
            <a:spcAft>
              <a:spcPts val="0"/>
            </a:spcAft>
            <a:buClrTx/>
            <a:buSzTx/>
            <a:buFontTx/>
            <a:buNone/>
            <a:defRPr b="0" baseline="0" cap="none" i="0" spc="0" strike="noStrike" sz="1300" u="none">
              <a:solidFill>
                <a:srgbClr val="3B3B3B"/>
              </a:solidFill>
              <a:uFillTx/>
              <a:latin typeface="+mn-lt"/>
              <a:ea typeface="+mn-ea"/>
              <a:cs typeface="+mn-cs"/>
              <a:sym typeface="Helvetica Neue"/>
            </a:defRPr>
          </a:pPr>
          <a:endParaRPr b="0" baseline="0" cap="none" i="0" spc="0" strike="noStrike" sz="1300" u="none">
            <a:solidFill>
              <a:srgbClr val="3B3B3B"/>
            </a:solidFill>
            <a:uFillTx/>
            <a:latin typeface="+mn-lt"/>
            <a:ea typeface="+mn-ea"/>
            <a:cs typeface="+mn-cs"/>
            <a:sym typeface="Helvetica Neue"/>
          </a:endParaRPr>
        </a:p>
      </xdr:txBody>
    </xdr:sp>
    <xdr:clientData/>
  </xdr:twoCellAnchor>
</xdr:wsDr>
</file>

<file path=xl/drawings/drawing6.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13</xdr:col>
      <xdr:colOff>855309</xdr:colOff>
      <xdr:row>77</xdr:row>
      <xdr:rowOff>220463</xdr:rowOff>
    </xdr:from>
    <xdr:to>
      <xdr:col>13</xdr:col>
      <xdr:colOff>995009</xdr:colOff>
      <xdr:row>80</xdr:row>
      <xdr:rowOff>84337</xdr:rowOff>
    </xdr:to>
    <xdr:sp>
      <xdr:nvSpPr>
        <xdr:cNvPr id="12" name="Teks"/>
        <xdr:cNvSpPr txBox="1"/>
      </xdr:nvSpPr>
      <xdr:spPr>
        <a:xfrm>
          <a:off x="14609409" y="14798793"/>
          <a:ext cx="139701" cy="549675"/>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none" lIns="50800" tIns="50800" rIns="50800" bIns="50800" numCol="1" anchor="t">
          <a:spAutoFit/>
        </a:bodyPr>
        <a:lstStyle/>
        <a:p>
          <a:pPr marL="0" marR="0" indent="0" algn="l" defTabSz="457200" rtl="0" latinLnBrk="0">
            <a:lnSpc>
              <a:spcPct val="100000"/>
            </a:lnSpc>
            <a:spcBef>
              <a:spcPts val="0"/>
            </a:spcBef>
            <a:spcAft>
              <a:spcPts val="0"/>
            </a:spcAft>
            <a:buClrTx/>
            <a:buSzTx/>
            <a:buFontTx/>
            <a:buNone/>
            <a:defRPr b="0" baseline="0" cap="none" i="0" spc="0" strike="noStrike" sz="1300" u="none">
              <a:solidFill>
                <a:srgbClr val="3B3B3B"/>
              </a:solidFill>
              <a:uFillTx/>
              <a:latin typeface="+mn-lt"/>
              <a:ea typeface="+mn-ea"/>
              <a:cs typeface="+mn-cs"/>
              <a:sym typeface="Helvetica Neue"/>
            </a:defRPr>
          </a:pPr>
          <a:endParaRPr b="0" baseline="0" cap="none" i="0" spc="0" strike="noStrike" sz="1300" u="none">
            <a:solidFill>
              <a:srgbClr val="3B3B3B"/>
            </a:solidFill>
            <a:uFillTx/>
            <a:latin typeface="+mn-lt"/>
            <a:ea typeface="+mn-ea"/>
            <a:cs typeface="+mn-cs"/>
            <a:sym typeface="Helvetica Neue"/>
          </a:endParaRPr>
        </a:p>
      </xdr:txBody>
    </xdr:sp>
    <xdr:clientData/>
  </xdr:twoCellAnchor>
</xdr:wsDr>
</file>

<file path=xl/drawings/drawing7.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13</xdr:col>
      <xdr:colOff>855309</xdr:colOff>
      <xdr:row>81</xdr:row>
      <xdr:rowOff>220463</xdr:rowOff>
    </xdr:from>
    <xdr:to>
      <xdr:col>13</xdr:col>
      <xdr:colOff>995009</xdr:colOff>
      <xdr:row>84</xdr:row>
      <xdr:rowOff>84337</xdr:rowOff>
    </xdr:to>
    <xdr:sp>
      <xdr:nvSpPr>
        <xdr:cNvPr id="14" name="Teks"/>
        <xdr:cNvSpPr txBox="1"/>
      </xdr:nvSpPr>
      <xdr:spPr>
        <a:xfrm>
          <a:off x="14609409" y="15471893"/>
          <a:ext cx="139701" cy="549675"/>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none" lIns="50800" tIns="50800" rIns="50800" bIns="50800" numCol="1" anchor="t">
          <a:spAutoFit/>
        </a:bodyPr>
        <a:lstStyle/>
        <a:p>
          <a:pPr marL="0" marR="0" indent="0" algn="l" defTabSz="457200" rtl="0" latinLnBrk="0">
            <a:lnSpc>
              <a:spcPct val="100000"/>
            </a:lnSpc>
            <a:spcBef>
              <a:spcPts val="0"/>
            </a:spcBef>
            <a:spcAft>
              <a:spcPts val="0"/>
            </a:spcAft>
            <a:buClrTx/>
            <a:buSzTx/>
            <a:buFontTx/>
            <a:buNone/>
            <a:defRPr b="0" baseline="0" cap="none" i="0" spc="0" strike="noStrike" sz="1300" u="none">
              <a:solidFill>
                <a:srgbClr val="3B3B3B"/>
              </a:solidFill>
              <a:uFillTx/>
              <a:latin typeface="+mn-lt"/>
              <a:ea typeface="+mn-ea"/>
              <a:cs typeface="+mn-cs"/>
              <a:sym typeface="Helvetica Neue"/>
            </a:defRPr>
          </a:pPr>
          <a:endParaRPr b="0" baseline="0" cap="none" i="0" spc="0" strike="noStrike" sz="1300" u="none">
            <a:solidFill>
              <a:srgbClr val="3B3B3B"/>
            </a:solidFill>
            <a:uFillTx/>
            <a:latin typeface="+mn-lt"/>
            <a:ea typeface="+mn-ea"/>
            <a:cs typeface="+mn-cs"/>
            <a:sym typeface="Helvetica Neue"/>
          </a:endParaRPr>
        </a:p>
      </xdr:txBody>
    </xdr:sp>
    <xdr:clientData/>
  </xdr:twoCellAnchor>
</xdr:wsDr>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71.xml.rels><?xml version="1.0" encoding="UTF-8"?>
<Relationships xmlns="http://schemas.openxmlformats.org/package/2006/relationships"><Relationship Id="rId1" Type="http://schemas.openxmlformats.org/officeDocument/2006/relationships/hyperlink" Target="https://e-katalog.lkpp.go.id/katalog/produk/detail/78518958?type=general" TargetMode="External"/><Relationship Id="rId2" Type="http://schemas.openxmlformats.org/officeDocument/2006/relationships/hyperlink" Target="https://e-katalog.lkpp.go.id/katalog/produk/detail/78519044?type=general" TargetMode="External"/><Relationship Id="rId3" Type="http://schemas.openxmlformats.org/officeDocument/2006/relationships/hyperlink" Target="https://e-katalog.lkpp.go.id/katalog/produk/detail/78519075?type=general" TargetMode="External"/><Relationship Id="rId4" Type="http://schemas.openxmlformats.org/officeDocument/2006/relationships/hyperlink" Target="https://e-katalog.lkpp.go.id/katalog/produk/detail/78519126?type=general" TargetMode="External"/><Relationship Id="rId5" Type="http://schemas.openxmlformats.org/officeDocument/2006/relationships/hyperlink" Target="https://e-katalog.lkpp.go.id/katalog/produk/detail/78421075?type=general" TargetMode="External"/><Relationship Id="rId6" Type="http://schemas.openxmlformats.org/officeDocument/2006/relationships/hyperlink" Target="https://e-katalog.lkpp.go.id/katalog/produk/detail/78467873?type=general" TargetMode="External"/><Relationship Id="rId7" Type="http://schemas.openxmlformats.org/officeDocument/2006/relationships/hyperlink" Target="https://e-katalog.lkpp.go.id/katalog/produk/detail/78420729?type=general" TargetMode="External"/><Relationship Id="rId8" Type="http://schemas.openxmlformats.org/officeDocument/2006/relationships/hyperlink" Target="https://e-katalog.lkpp.go.id/katalog/produk/detail/78418948?type=general" TargetMode="External"/><Relationship Id="rId9" Type="http://schemas.openxmlformats.org/officeDocument/2006/relationships/hyperlink" Target="https://e-katalog.lkpp.go.id/katalog/produk/detail/78421456?type=general" TargetMode="External"/><Relationship Id="rId10" Type="http://schemas.openxmlformats.org/officeDocument/2006/relationships/hyperlink" Target="https://e-katalog.lkpp.go.id/katalog/produk/detail/78422253?type=general" TargetMode="External"/><Relationship Id="rId11" Type="http://schemas.openxmlformats.org/officeDocument/2006/relationships/hyperlink" Target="https://e-katalog.lkpp.go.id/katalog/produk/detail/78418446?type=general" TargetMode="External"/><Relationship Id="rId12" Type="http://schemas.openxmlformats.org/officeDocument/2006/relationships/hyperlink" Target="https://e-katalog.lkpp.go.id/katalog/produk/detail/78419780?type=general" TargetMode="External"/></Relationships>

</file>

<file path=xl/worksheets/_rels/sheet93.xml.rels><?xml version="1.0" encoding="UTF-8"?>
<Relationships xmlns="http://schemas.openxmlformats.org/package/2006/relationships"><Relationship Id="rId1" Type="http://schemas.openxmlformats.org/officeDocument/2006/relationships/drawing" Target="../drawings/drawing1.xml"/></Relationships>

</file>

<file path=xl/worksheets/_rels/sheet94.xml.rels><?xml version="1.0" encoding="UTF-8"?>
<Relationships xmlns="http://schemas.openxmlformats.org/package/2006/relationships"><Relationship Id="rId1" Type="http://schemas.openxmlformats.org/officeDocument/2006/relationships/drawing" Target="../drawings/drawing2.xml"/></Relationships>

</file>

<file path=xl/worksheets/_rels/sheet96.xml.rels><?xml version="1.0" encoding="UTF-8"?>
<Relationships xmlns="http://schemas.openxmlformats.org/package/2006/relationships"><Relationship Id="rId1" Type="http://schemas.openxmlformats.org/officeDocument/2006/relationships/drawing" Target="../drawings/drawing3.xml"/></Relationships>

</file>

<file path=xl/worksheets/_rels/sheet110.xml.rels><?xml version="1.0" encoding="UTF-8"?>
<Relationships xmlns="http://schemas.openxmlformats.org/package/2006/relationships"><Relationship Id="rId1" Type="http://schemas.openxmlformats.org/officeDocument/2006/relationships/drawing" Target="../drawings/drawing4.xml"/></Relationships>

</file>

<file path=xl/worksheets/_rels/sheet111.xml.rels><?xml version="1.0" encoding="UTF-8"?>
<Relationships xmlns="http://schemas.openxmlformats.org/package/2006/relationships"><Relationship Id="rId1" Type="http://schemas.openxmlformats.org/officeDocument/2006/relationships/drawing" Target="../drawings/drawing5.xml"/></Relationships>

</file>

<file path=xl/worksheets/_rels/sheet113.xml.rels><?xml version="1.0" encoding="UTF-8"?>
<Relationships xmlns="http://schemas.openxmlformats.org/package/2006/relationships"><Relationship Id="rId1" Type="http://schemas.openxmlformats.org/officeDocument/2006/relationships/drawing" Target="../drawings/drawing6.xml"/></Relationships>

</file>

<file path=xl/worksheets/_rels/sheet117.xml.rels><?xml version="1.0" encoding="UTF-8"?>
<Relationships xmlns="http://schemas.openxmlformats.org/package/2006/relationships"><Relationship Id="rId1" Type="http://schemas.openxmlformats.org/officeDocument/2006/relationships/drawing" Target="../drawings/drawing7.xm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3.6016"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44</v>
      </c>
      <c r="C11" s="3"/>
      <c r="D11" s="3"/>
    </row>
    <row r="12">
      <c r="B12" s="4"/>
      <c r="C12" t="s" s="4">
        <v>5</v>
      </c>
      <c r="D12" t="s" s="5">
        <v>44</v>
      </c>
    </row>
    <row r="13">
      <c r="B13" t="s" s="3">
        <v>48</v>
      </c>
      <c r="C13" s="3"/>
      <c r="D13" s="3"/>
    </row>
    <row r="14">
      <c r="B14" s="4"/>
      <c r="C14" t="s" s="4">
        <v>5</v>
      </c>
      <c r="D14" t="s" s="5">
        <v>48</v>
      </c>
    </row>
    <row r="15">
      <c r="B15" t="s" s="3">
        <v>49</v>
      </c>
      <c r="C15" s="3"/>
      <c r="D15" s="3"/>
    </row>
    <row r="16">
      <c r="B16" s="4"/>
      <c r="C16" t="s" s="4">
        <v>5</v>
      </c>
      <c r="D16" t="s" s="5">
        <v>49</v>
      </c>
    </row>
    <row r="17">
      <c r="B17" t="s" s="3">
        <v>50</v>
      </c>
      <c r="C17" s="3"/>
      <c r="D17" s="3"/>
    </row>
    <row r="18">
      <c r="B18" s="4"/>
      <c r="C18" t="s" s="4">
        <v>5</v>
      </c>
      <c r="D18" t="s" s="5">
        <v>50</v>
      </c>
    </row>
    <row r="19">
      <c r="B19" t="s" s="3">
        <v>83</v>
      </c>
      <c r="C19" s="3"/>
      <c r="D19" s="3"/>
    </row>
    <row r="20">
      <c r="B20" s="4"/>
      <c r="C20" t="s" s="4">
        <v>5</v>
      </c>
      <c r="D20" t="s" s="5">
        <v>83</v>
      </c>
    </row>
    <row r="21">
      <c r="B21" t="s" s="3">
        <v>85</v>
      </c>
      <c r="C21" s="3"/>
      <c r="D21" s="3"/>
    </row>
    <row r="22">
      <c r="B22" s="4"/>
      <c r="C22" t="s" s="4">
        <v>5</v>
      </c>
      <c r="D22" t="s" s="5">
        <v>85</v>
      </c>
    </row>
    <row r="23">
      <c r="B23" t="s" s="3">
        <v>87</v>
      </c>
      <c r="C23" s="3"/>
      <c r="D23" s="3"/>
    </row>
    <row r="24">
      <c r="B24" s="4"/>
      <c r="C24" t="s" s="4">
        <v>5</v>
      </c>
      <c r="D24" t="s" s="5">
        <v>87</v>
      </c>
    </row>
    <row r="25">
      <c r="B25" t="s" s="3">
        <v>88</v>
      </c>
      <c r="C25" s="3"/>
      <c r="D25" s="3"/>
    </row>
    <row r="26">
      <c r="B26" s="4"/>
      <c r="C26" t="s" s="4">
        <v>5</v>
      </c>
      <c r="D26" t="s" s="5">
        <v>88</v>
      </c>
    </row>
    <row r="27">
      <c r="B27" t="s" s="3">
        <v>89</v>
      </c>
      <c r="C27" s="3"/>
      <c r="D27" s="3"/>
    </row>
    <row r="28">
      <c r="B28" s="4"/>
      <c r="C28" t="s" s="4">
        <v>5</v>
      </c>
      <c r="D28" t="s" s="5">
        <v>89</v>
      </c>
    </row>
    <row r="29">
      <c r="B29" t="s" s="3">
        <v>108</v>
      </c>
      <c r="C29" s="3"/>
      <c r="D29" s="3"/>
    </row>
    <row r="30">
      <c r="B30" s="4"/>
      <c r="C30" t="s" s="4">
        <v>5</v>
      </c>
      <c r="D30" t="s" s="5">
        <v>108</v>
      </c>
    </row>
    <row r="31">
      <c r="B31" t="s" s="3">
        <v>117</v>
      </c>
      <c r="C31" s="3"/>
      <c r="D31" s="3"/>
    </row>
    <row r="32">
      <c r="B32" s="4"/>
      <c r="C32" t="s" s="4">
        <v>5</v>
      </c>
      <c r="D32" t="s" s="5">
        <v>118</v>
      </c>
    </row>
    <row r="33">
      <c r="B33" t="s" s="3">
        <v>122</v>
      </c>
      <c r="C33" s="3"/>
      <c r="D33" s="3"/>
    </row>
    <row r="34">
      <c r="B34" s="4"/>
      <c r="C34" t="s" s="4">
        <v>5</v>
      </c>
      <c r="D34" t="s" s="5">
        <v>122</v>
      </c>
    </row>
    <row r="35">
      <c r="B35" t="s" s="3">
        <v>125</v>
      </c>
      <c r="C35" s="3"/>
      <c r="D35" s="3"/>
    </row>
    <row r="36">
      <c r="B36" s="4"/>
      <c r="C36" t="s" s="4">
        <v>5</v>
      </c>
      <c r="D36" t="s" s="5">
        <v>125</v>
      </c>
    </row>
    <row r="37">
      <c r="B37" t="s" s="3">
        <v>126</v>
      </c>
      <c r="C37" s="3"/>
      <c r="D37" s="3"/>
    </row>
    <row r="38">
      <c r="B38" s="4"/>
      <c r="C38" t="s" s="4">
        <v>5</v>
      </c>
      <c r="D38" t="s" s="5">
        <v>126</v>
      </c>
    </row>
    <row r="39">
      <c r="B39" t="s" s="3">
        <v>127</v>
      </c>
      <c r="C39" s="3"/>
      <c r="D39" s="3"/>
    </row>
    <row r="40">
      <c r="B40" s="4"/>
      <c r="C40" t="s" s="4">
        <v>5</v>
      </c>
      <c r="D40" t="s" s="5">
        <v>127</v>
      </c>
    </row>
    <row r="41">
      <c r="B41" t="s" s="3">
        <v>128</v>
      </c>
      <c r="C41" s="3"/>
      <c r="D41" s="3"/>
    </row>
    <row r="42">
      <c r="B42" s="4"/>
      <c r="C42" t="s" s="4">
        <v>5</v>
      </c>
      <c r="D42" t="s" s="5">
        <v>128</v>
      </c>
    </row>
    <row r="43">
      <c r="B43" t="s" s="3">
        <v>129</v>
      </c>
      <c r="C43" s="3"/>
      <c r="D43" s="3"/>
    </row>
    <row r="44">
      <c r="B44" s="4"/>
      <c r="C44" t="s" s="4">
        <v>5</v>
      </c>
      <c r="D44" t="s" s="5">
        <v>129</v>
      </c>
    </row>
    <row r="45">
      <c r="B45" t="s" s="3">
        <v>130</v>
      </c>
      <c r="C45" s="3"/>
      <c r="D45" s="3"/>
    </row>
    <row r="46">
      <c r="B46" s="4"/>
      <c r="C46" t="s" s="4">
        <v>5</v>
      </c>
      <c r="D46" t="s" s="5">
        <v>130</v>
      </c>
    </row>
    <row r="47">
      <c r="B47" t="s" s="3">
        <v>132</v>
      </c>
      <c r="C47" s="3"/>
      <c r="D47" s="3"/>
    </row>
    <row r="48">
      <c r="B48" s="4"/>
      <c r="C48" t="s" s="4">
        <v>5</v>
      </c>
      <c r="D48" t="s" s="5">
        <v>132</v>
      </c>
    </row>
    <row r="49">
      <c r="B49" t="s" s="3">
        <v>143</v>
      </c>
      <c r="C49" s="3"/>
      <c r="D49" s="3"/>
    </row>
    <row r="50">
      <c r="B50" s="4"/>
      <c r="C50" t="s" s="4">
        <v>5</v>
      </c>
      <c r="D50" t="s" s="5">
        <v>143</v>
      </c>
    </row>
    <row r="51">
      <c r="B51" t="s" s="3">
        <v>155</v>
      </c>
      <c r="C51" s="3"/>
      <c r="D51" s="3"/>
    </row>
    <row r="52">
      <c r="B52" s="4"/>
      <c r="C52" t="s" s="4">
        <v>5</v>
      </c>
      <c r="D52" t="s" s="5">
        <v>155</v>
      </c>
    </row>
    <row r="53">
      <c r="B53" t="s" s="3">
        <v>163</v>
      </c>
      <c r="C53" s="3"/>
      <c r="D53" s="3"/>
    </row>
    <row r="54">
      <c r="B54" s="4"/>
      <c r="C54" t="s" s="4">
        <v>5</v>
      </c>
      <c r="D54" t="s" s="5">
        <v>163</v>
      </c>
    </row>
    <row r="55">
      <c r="B55" t="s" s="3">
        <v>164</v>
      </c>
      <c r="C55" s="3"/>
      <c r="D55" s="3"/>
    </row>
    <row r="56">
      <c r="B56" s="4"/>
      <c r="C56" t="s" s="4">
        <v>5</v>
      </c>
      <c r="D56" t="s" s="5">
        <v>164</v>
      </c>
    </row>
    <row r="57">
      <c r="B57" t="s" s="3">
        <v>165</v>
      </c>
      <c r="C57" s="3"/>
      <c r="D57" s="3"/>
    </row>
    <row r="58">
      <c r="B58" s="4"/>
      <c r="C58" t="s" s="4">
        <v>5</v>
      </c>
      <c r="D58" t="s" s="5">
        <v>166</v>
      </c>
    </row>
    <row r="59">
      <c r="B59" s="4"/>
      <c r="C59" t="s" s="4">
        <v>167</v>
      </c>
      <c r="D59" t="s" s="5">
        <v>168</v>
      </c>
    </row>
    <row r="60">
      <c r="B60" t="s" s="3">
        <v>187</v>
      </c>
      <c r="C60" s="3"/>
      <c r="D60" s="3"/>
    </row>
    <row r="61">
      <c r="B61" s="4"/>
      <c r="C61" t="s" s="4">
        <v>5</v>
      </c>
      <c r="D61" t="s" s="5">
        <v>188</v>
      </c>
    </row>
    <row r="62">
      <c r="B62" s="4"/>
      <c r="C62" t="s" s="4">
        <v>167</v>
      </c>
      <c r="D62" t="s" s="5">
        <v>190</v>
      </c>
    </row>
    <row r="63">
      <c r="B63" t="s" s="3">
        <v>214</v>
      </c>
      <c r="C63" s="3"/>
      <c r="D63" s="3"/>
    </row>
    <row r="64">
      <c r="B64" s="4"/>
      <c r="C64" t="s" s="4">
        <v>5</v>
      </c>
      <c r="D64" t="s" s="5">
        <v>214</v>
      </c>
    </row>
    <row r="65">
      <c r="B65" t="s" s="3">
        <v>215</v>
      </c>
      <c r="C65" s="3"/>
      <c r="D65" s="3"/>
    </row>
    <row r="66">
      <c r="B66" s="4"/>
      <c r="C66" t="s" s="4">
        <v>5</v>
      </c>
      <c r="D66" t="s" s="5">
        <v>215</v>
      </c>
    </row>
    <row r="67">
      <c r="B67" t="s" s="3">
        <v>216</v>
      </c>
      <c r="C67" s="3"/>
      <c r="D67" s="3"/>
    </row>
    <row r="68">
      <c r="B68" s="4"/>
      <c r="C68" t="s" s="4">
        <v>5</v>
      </c>
      <c r="D68" t="s" s="5">
        <v>216</v>
      </c>
    </row>
    <row r="69">
      <c r="B69" t="s" s="3">
        <v>217</v>
      </c>
      <c r="C69" s="3"/>
      <c r="D69" s="3"/>
    </row>
    <row r="70">
      <c r="B70" s="4"/>
      <c r="C70" t="s" s="4">
        <v>5</v>
      </c>
      <c r="D70" t="s" s="5">
        <v>217</v>
      </c>
    </row>
    <row r="71">
      <c r="B71" t="s" s="3">
        <v>219</v>
      </c>
      <c r="C71" s="3"/>
      <c r="D71" s="3"/>
    </row>
    <row r="72">
      <c r="B72" s="4"/>
      <c r="C72" t="s" s="4">
        <v>5</v>
      </c>
      <c r="D72" t="s" s="5">
        <v>220</v>
      </c>
    </row>
    <row r="73">
      <c r="B73" s="4"/>
      <c r="C73" t="s" s="4">
        <v>167</v>
      </c>
      <c r="D73" t="s" s="5">
        <v>221</v>
      </c>
    </row>
    <row r="74">
      <c r="B74" t="s" s="3">
        <v>234</v>
      </c>
      <c r="C74" s="3"/>
      <c r="D74" s="3"/>
    </row>
    <row r="75">
      <c r="B75" s="4"/>
      <c r="C75" t="s" s="4">
        <v>5</v>
      </c>
      <c r="D75" t="s" s="5">
        <v>234</v>
      </c>
    </row>
    <row r="76">
      <c r="B76" t="s" s="3">
        <v>235</v>
      </c>
      <c r="C76" s="3"/>
      <c r="D76" s="3"/>
    </row>
    <row r="77">
      <c r="B77" s="4"/>
      <c r="C77" t="s" s="4">
        <v>5</v>
      </c>
      <c r="D77" t="s" s="5">
        <v>235</v>
      </c>
    </row>
    <row r="78">
      <c r="B78" t="s" s="3">
        <v>236</v>
      </c>
      <c r="C78" s="3"/>
      <c r="D78" s="3"/>
    </row>
    <row r="79">
      <c r="B79" s="4"/>
      <c r="C79" t="s" s="4">
        <v>5</v>
      </c>
      <c r="D79" t="s" s="5">
        <v>236</v>
      </c>
    </row>
    <row r="80">
      <c r="B80" t="s" s="3">
        <v>237</v>
      </c>
      <c r="C80" s="3"/>
      <c r="D80" s="3"/>
    </row>
    <row r="81">
      <c r="B81" s="4"/>
      <c r="C81" t="s" s="4">
        <v>5</v>
      </c>
      <c r="D81" t="s" s="5">
        <v>237</v>
      </c>
    </row>
    <row r="82">
      <c r="B82" t="s" s="3">
        <v>238</v>
      </c>
      <c r="C82" s="3"/>
      <c r="D82" s="3"/>
    </row>
    <row r="83">
      <c r="B83" s="4"/>
      <c r="C83" t="s" s="4">
        <v>5</v>
      </c>
      <c r="D83" t="s" s="5">
        <v>238</v>
      </c>
    </row>
    <row r="84">
      <c r="B84" t="s" s="3">
        <v>239</v>
      </c>
      <c r="C84" s="3"/>
      <c r="D84" s="3"/>
    </row>
    <row r="85">
      <c r="B85" s="4"/>
      <c r="C85" t="s" s="4">
        <v>5</v>
      </c>
      <c r="D85" t="s" s="5">
        <v>239</v>
      </c>
    </row>
    <row r="86">
      <c r="B86" t="s" s="3">
        <v>240</v>
      </c>
      <c r="C86" s="3"/>
      <c r="D86" s="3"/>
    </row>
    <row r="87">
      <c r="B87" s="4"/>
      <c r="C87" t="s" s="4">
        <v>5</v>
      </c>
      <c r="D87" t="s" s="5">
        <v>240</v>
      </c>
    </row>
    <row r="88">
      <c r="B88" t="s" s="3">
        <v>241</v>
      </c>
      <c r="C88" s="3"/>
      <c r="D88" s="3"/>
    </row>
    <row r="89">
      <c r="B89" s="4"/>
      <c r="C89" t="s" s="4">
        <v>5</v>
      </c>
      <c r="D89" t="s" s="5">
        <v>241</v>
      </c>
    </row>
    <row r="90">
      <c r="B90" t="s" s="3">
        <v>242</v>
      </c>
      <c r="C90" s="3"/>
      <c r="D90" s="3"/>
    </row>
    <row r="91">
      <c r="B91" s="4"/>
      <c r="C91" t="s" s="4">
        <v>5</v>
      </c>
      <c r="D91" t="s" s="5">
        <v>242</v>
      </c>
    </row>
    <row r="92">
      <c r="B92" t="s" s="3">
        <v>243</v>
      </c>
      <c r="C92" s="3"/>
      <c r="D92" s="3"/>
    </row>
    <row r="93">
      <c r="B93" s="4"/>
      <c r="C93" t="s" s="4">
        <v>5</v>
      </c>
      <c r="D93" t="s" s="5">
        <v>243</v>
      </c>
    </row>
    <row r="94">
      <c r="B94" t="s" s="3">
        <v>244</v>
      </c>
      <c r="C94" s="3"/>
      <c r="D94" s="3"/>
    </row>
    <row r="95">
      <c r="B95" s="4"/>
      <c r="C95" t="s" s="4">
        <v>5</v>
      </c>
      <c r="D95" t="s" s="5">
        <v>244</v>
      </c>
    </row>
    <row r="96">
      <c r="B96" t="s" s="3">
        <v>245</v>
      </c>
      <c r="C96" s="3"/>
      <c r="D96" s="3"/>
    </row>
    <row r="97">
      <c r="B97" s="4"/>
      <c r="C97" t="s" s="4">
        <v>5</v>
      </c>
      <c r="D97" t="s" s="5">
        <v>245</v>
      </c>
    </row>
    <row r="98">
      <c r="B98" t="s" s="3">
        <v>246</v>
      </c>
      <c r="C98" s="3"/>
      <c r="D98" s="3"/>
    </row>
    <row r="99">
      <c r="B99" s="4"/>
      <c r="C99" t="s" s="4">
        <v>5</v>
      </c>
      <c r="D99" t="s" s="5">
        <v>246</v>
      </c>
    </row>
    <row r="100">
      <c r="B100" t="s" s="3">
        <v>247</v>
      </c>
      <c r="C100" s="3"/>
      <c r="D100" s="3"/>
    </row>
    <row r="101">
      <c r="B101" s="4"/>
      <c r="C101" t="s" s="4">
        <v>5</v>
      </c>
      <c r="D101" t="s" s="5">
        <v>247</v>
      </c>
    </row>
    <row r="102">
      <c r="B102" t="s" s="3">
        <v>248</v>
      </c>
      <c r="C102" s="3"/>
      <c r="D102" s="3"/>
    </row>
    <row r="103">
      <c r="B103" s="4"/>
      <c r="C103" t="s" s="4">
        <v>5</v>
      </c>
      <c r="D103" t="s" s="5">
        <v>248</v>
      </c>
    </row>
    <row r="104">
      <c r="B104" t="s" s="3">
        <v>249</v>
      </c>
      <c r="C104" s="3"/>
      <c r="D104" s="3"/>
    </row>
    <row r="105">
      <c r="B105" s="4"/>
      <c r="C105" t="s" s="4">
        <v>5</v>
      </c>
      <c r="D105" t="s" s="5">
        <v>249</v>
      </c>
    </row>
    <row r="106">
      <c r="B106" t="s" s="3">
        <v>250</v>
      </c>
      <c r="C106" s="3"/>
      <c r="D106" s="3"/>
    </row>
    <row r="107">
      <c r="B107" s="4"/>
      <c r="C107" t="s" s="4">
        <v>5</v>
      </c>
      <c r="D107" t="s" s="5">
        <v>250</v>
      </c>
    </row>
    <row r="108">
      <c r="B108" t="s" s="3">
        <v>251</v>
      </c>
      <c r="C108" s="3"/>
      <c r="D108" s="3"/>
    </row>
    <row r="109">
      <c r="B109" s="4"/>
      <c r="C109" t="s" s="4">
        <v>5</v>
      </c>
      <c r="D109" t="s" s="5">
        <v>251</v>
      </c>
    </row>
    <row r="110">
      <c r="B110" t="s" s="3">
        <v>252</v>
      </c>
      <c r="C110" s="3"/>
      <c r="D110" s="3"/>
    </row>
    <row r="111">
      <c r="B111" s="4"/>
      <c r="C111" t="s" s="4">
        <v>5</v>
      </c>
      <c r="D111" t="s" s="5">
        <v>252</v>
      </c>
    </row>
    <row r="112">
      <c r="B112" t="s" s="3">
        <v>253</v>
      </c>
      <c r="C112" s="3"/>
      <c r="D112" s="3"/>
    </row>
    <row r="113">
      <c r="B113" s="4"/>
      <c r="C113" t="s" s="4">
        <v>5</v>
      </c>
      <c r="D113" t="s" s="5">
        <v>253</v>
      </c>
    </row>
    <row r="114">
      <c r="B114" t="s" s="3">
        <v>254</v>
      </c>
      <c r="C114" s="3"/>
      <c r="D114" s="3"/>
    </row>
    <row r="115">
      <c r="B115" s="4"/>
      <c r="C115" t="s" s="4">
        <v>5</v>
      </c>
      <c r="D115" t="s" s="5">
        <v>254</v>
      </c>
    </row>
    <row r="116">
      <c r="B116" t="s" s="3">
        <v>255</v>
      </c>
      <c r="C116" s="3"/>
      <c r="D116" s="3"/>
    </row>
    <row r="117">
      <c r="B117" s="4"/>
      <c r="C117" t="s" s="4">
        <v>5</v>
      </c>
      <c r="D117" t="s" s="5">
        <v>255</v>
      </c>
    </row>
    <row r="118">
      <c r="B118" t="s" s="3">
        <v>259</v>
      </c>
      <c r="C118" s="3"/>
      <c r="D118" s="3"/>
    </row>
    <row r="119">
      <c r="B119" s="4"/>
      <c r="C119" t="s" s="4">
        <v>5</v>
      </c>
      <c r="D119" t="s" s="5">
        <v>259</v>
      </c>
    </row>
    <row r="120">
      <c r="B120" t="s" s="3">
        <v>260</v>
      </c>
      <c r="C120" s="3"/>
      <c r="D120" s="3"/>
    </row>
    <row r="121">
      <c r="B121" s="4"/>
      <c r="C121" t="s" s="4">
        <v>5</v>
      </c>
      <c r="D121" t="s" s="5">
        <v>260</v>
      </c>
    </row>
    <row r="122">
      <c r="B122" t="s" s="3">
        <v>261</v>
      </c>
      <c r="C122" s="3"/>
      <c r="D122" s="3"/>
    </row>
    <row r="123">
      <c r="B123" s="4"/>
      <c r="C123" t="s" s="4">
        <v>5</v>
      </c>
      <c r="D123" t="s" s="5">
        <v>261</v>
      </c>
    </row>
    <row r="124">
      <c r="B124" t="s" s="3">
        <v>262</v>
      </c>
      <c r="C124" s="3"/>
      <c r="D124" s="3"/>
    </row>
    <row r="125">
      <c r="B125" s="4"/>
      <c r="C125" t="s" s="4">
        <v>5</v>
      </c>
      <c r="D125" t="s" s="5">
        <v>262</v>
      </c>
    </row>
    <row r="126">
      <c r="B126" t="s" s="3">
        <v>263</v>
      </c>
      <c r="C126" s="3"/>
      <c r="D126" s="3"/>
    </row>
    <row r="127">
      <c r="B127" s="4"/>
      <c r="C127" t="s" s="4">
        <v>5</v>
      </c>
      <c r="D127" t="s" s="5">
        <v>263</v>
      </c>
    </row>
    <row r="128">
      <c r="B128" t="s" s="3">
        <v>264</v>
      </c>
      <c r="C128" s="3"/>
      <c r="D128" s="3"/>
    </row>
    <row r="129">
      <c r="B129" s="4"/>
      <c r="C129" t="s" s="4">
        <v>5</v>
      </c>
      <c r="D129" t="s" s="5">
        <v>264</v>
      </c>
    </row>
    <row r="130">
      <c r="B130" t="s" s="3">
        <v>265</v>
      </c>
      <c r="C130" s="3"/>
      <c r="D130" s="3"/>
    </row>
    <row r="131">
      <c r="B131" s="4"/>
      <c r="C131" t="s" s="4">
        <v>5</v>
      </c>
      <c r="D131" t="s" s="5">
        <v>265</v>
      </c>
    </row>
    <row r="132">
      <c r="B132" t="s" s="3">
        <v>266</v>
      </c>
      <c r="C132" s="3"/>
      <c r="D132" s="3"/>
    </row>
    <row r="133">
      <c r="B133" s="4"/>
      <c r="C133" t="s" s="4">
        <v>5</v>
      </c>
      <c r="D133" t="s" s="5">
        <v>266</v>
      </c>
    </row>
    <row r="134">
      <c r="B134" t="s" s="3">
        <v>267</v>
      </c>
      <c r="C134" s="3"/>
      <c r="D134" s="3"/>
    </row>
    <row r="135">
      <c r="B135" s="4"/>
      <c r="C135" t="s" s="4">
        <v>5</v>
      </c>
      <c r="D135" t="s" s="5">
        <v>267</v>
      </c>
    </row>
    <row r="136">
      <c r="B136" t="s" s="3">
        <v>268</v>
      </c>
      <c r="C136" s="3"/>
      <c r="D136" s="3"/>
    </row>
    <row r="137">
      <c r="B137" s="4"/>
      <c r="C137" t="s" s="4">
        <v>5</v>
      </c>
      <c r="D137" t="s" s="5">
        <v>268</v>
      </c>
    </row>
    <row r="138">
      <c r="B138" t="s" s="3">
        <v>269</v>
      </c>
      <c r="C138" s="3"/>
      <c r="D138" s="3"/>
    </row>
    <row r="139">
      <c r="B139" s="4"/>
      <c r="C139" t="s" s="4">
        <v>5</v>
      </c>
      <c r="D139" t="s" s="5">
        <v>269</v>
      </c>
    </row>
    <row r="140">
      <c r="B140" t="s" s="3">
        <v>270</v>
      </c>
      <c r="C140" s="3"/>
      <c r="D140" s="3"/>
    </row>
    <row r="141">
      <c r="B141" s="4"/>
      <c r="C141" t="s" s="4">
        <v>5</v>
      </c>
      <c r="D141" t="s" s="5">
        <v>270</v>
      </c>
    </row>
    <row r="142">
      <c r="B142" t="s" s="3">
        <v>271</v>
      </c>
      <c r="C142" s="3"/>
      <c r="D142" s="3"/>
    </row>
    <row r="143">
      <c r="B143" s="4"/>
      <c r="C143" t="s" s="4">
        <v>5</v>
      </c>
      <c r="D143" t="s" s="5">
        <v>272</v>
      </c>
    </row>
    <row r="144">
      <c r="B144" s="4"/>
      <c r="C144" t="s" s="4">
        <v>167</v>
      </c>
      <c r="D144" t="s" s="5">
        <v>287</v>
      </c>
    </row>
    <row r="145">
      <c r="B145" t="s" s="3">
        <v>302</v>
      </c>
      <c r="C145" s="3"/>
      <c r="D145" s="3"/>
    </row>
    <row r="146">
      <c r="B146" s="4"/>
      <c r="C146" t="s" s="4">
        <v>303</v>
      </c>
      <c r="D146" t="s" s="5">
        <v>304</v>
      </c>
    </row>
    <row r="147">
      <c r="B147" t="s" s="3">
        <v>324</v>
      </c>
      <c r="C147" s="3"/>
      <c r="D147" s="3"/>
    </row>
    <row r="148">
      <c r="B148" s="4"/>
      <c r="C148" t="s" s="4">
        <v>325</v>
      </c>
      <c r="D148" t="s" s="5">
        <v>326</v>
      </c>
    </row>
    <row r="149">
      <c r="B149" t="s" s="3">
        <v>331</v>
      </c>
      <c r="C149" s="3"/>
      <c r="D149" s="3"/>
    </row>
    <row r="150">
      <c r="B150" s="4"/>
      <c r="C150" t="s" s="4">
        <v>5</v>
      </c>
      <c r="D150" t="s" s="5">
        <v>331</v>
      </c>
    </row>
    <row r="151">
      <c r="B151" t="s" s="3">
        <v>333</v>
      </c>
      <c r="C151" s="3"/>
      <c r="D151" s="3"/>
    </row>
    <row r="152">
      <c r="B152" s="4"/>
      <c r="C152" t="s" s="4">
        <v>5</v>
      </c>
      <c r="D152" t="s" s="5">
        <v>333</v>
      </c>
    </row>
    <row r="153">
      <c r="B153" t="s" s="3">
        <v>348</v>
      </c>
      <c r="C153" s="3"/>
      <c r="D153" s="3"/>
    </row>
    <row r="154">
      <c r="B154" s="4"/>
      <c r="C154" t="s" s="4">
        <v>5</v>
      </c>
      <c r="D154" t="s" s="5">
        <v>348</v>
      </c>
    </row>
    <row r="155">
      <c r="B155" t="s" s="3">
        <v>350</v>
      </c>
      <c r="C155" s="3"/>
      <c r="D155" s="3"/>
    </row>
    <row r="156">
      <c r="B156" s="4"/>
      <c r="C156" t="s" s="4">
        <v>5</v>
      </c>
      <c r="D156" t="s" s="5">
        <v>350</v>
      </c>
    </row>
    <row r="157">
      <c r="B157" t="s" s="3">
        <v>351</v>
      </c>
      <c r="C157" s="3"/>
      <c r="D157" s="3"/>
    </row>
    <row r="158">
      <c r="B158" s="4"/>
      <c r="C158" t="s" s="4">
        <v>5</v>
      </c>
      <c r="D158" t="s" s="5">
        <v>351</v>
      </c>
    </row>
    <row r="159">
      <c r="B159" t="s" s="3">
        <v>352</v>
      </c>
      <c r="C159" s="3"/>
      <c r="D159" s="3"/>
    </row>
    <row r="160">
      <c r="B160" s="4"/>
      <c r="C160" t="s" s="4">
        <v>5</v>
      </c>
      <c r="D160" t="s" s="5">
        <v>352</v>
      </c>
    </row>
    <row r="161">
      <c r="B161" t="s" s="3">
        <v>373</v>
      </c>
      <c r="C161" s="3"/>
      <c r="D161" s="3"/>
    </row>
    <row r="162">
      <c r="B162" s="4"/>
      <c r="C162" t="s" s="4">
        <v>5</v>
      </c>
      <c r="D162" t="s" s="5">
        <v>373</v>
      </c>
    </row>
    <row r="163">
      <c r="B163" t="s" s="3">
        <v>378</v>
      </c>
      <c r="C163" s="3"/>
      <c r="D163" s="3"/>
    </row>
    <row r="164">
      <c r="B164" s="4"/>
      <c r="C164" t="s" s="4">
        <v>5</v>
      </c>
      <c r="D164" t="s" s="5">
        <v>378</v>
      </c>
    </row>
    <row r="165">
      <c r="B165" t="s" s="3">
        <v>379</v>
      </c>
      <c r="C165" s="3"/>
      <c r="D165" s="3"/>
    </row>
    <row r="166">
      <c r="B166" s="4"/>
      <c r="C166" t="s" s="4">
        <v>5</v>
      </c>
      <c r="D166" t="s" s="5">
        <v>379</v>
      </c>
    </row>
    <row r="167">
      <c r="B167" t="s" s="3">
        <v>380</v>
      </c>
      <c r="C167" s="3"/>
      <c r="D167" s="3"/>
    </row>
    <row r="168">
      <c r="B168" s="4"/>
      <c r="C168" t="s" s="4">
        <v>5</v>
      </c>
      <c r="D168" t="s" s="5">
        <v>380</v>
      </c>
    </row>
    <row r="169">
      <c r="B169" t="s" s="3">
        <v>386</v>
      </c>
      <c r="C169" s="3"/>
      <c r="D169" s="3"/>
    </row>
    <row r="170">
      <c r="B170" s="4"/>
      <c r="C170" t="s" s="4">
        <v>5</v>
      </c>
      <c r="D170" t="s" s="5">
        <v>386</v>
      </c>
    </row>
    <row r="171">
      <c r="B171" t="s" s="3">
        <v>387</v>
      </c>
      <c r="C171" s="3"/>
      <c r="D171" s="3"/>
    </row>
    <row r="172">
      <c r="B172" s="4"/>
      <c r="C172" t="s" s="4">
        <v>5</v>
      </c>
      <c r="D172" t="s" s="5">
        <v>387</v>
      </c>
    </row>
    <row r="173">
      <c r="B173" t="s" s="3">
        <v>388</v>
      </c>
      <c r="C173" s="3"/>
      <c r="D173" s="3"/>
    </row>
    <row r="174">
      <c r="B174" s="4"/>
      <c r="C174" t="s" s="4">
        <v>5</v>
      </c>
      <c r="D174" t="s" s="5">
        <v>388</v>
      </c>
    </row>
    <row r="175">
      <c r="B175" t="s" s="3">
        <v>389</v>
      </c>
      <c r="C175" s="3"/>
      <c r="D175" s="3"/>
    </row>
    <row r="176">
      <c r="B176" s="4"/>
      <c r="C176" t="s" s="4">
        <v>5</v>
      </c>
      <c r="D176" t="s" s="5">
        <v>389</v>
      </c>
    </row>
    <row r="177">
      <c r="B177" t="s" s="3">
        <v>390</v>
      </c>
      <c r="C177" s="3"/>
      <c r="D177" s="3"/>
    </row>
    <row r="178">
      <c r="B178" s="4"/>
      <c r="C178" t="s" s="4">
        <v>5</v>
      </c>
      <c r="D178" t="s" s="5">
        <v>390</v>
      </c>
    </row>
    <row r="179">
      <c r="B179" t="s" s="3">
        <v>391</v>
      </c>
      <c r="C179" s="3"/>
      <c r="D179" s="3"/>
    </row>
    <row r="180">
      <c r="B180" s="4"/>
      <c r="C180" t="s" s="4">
        <v>5</v>
      </c>
      <c r="D180" t="s" s="5">
        <v>391</v>
      </c>
    </row>
    <row r="181">
      <c r="B181" t="s" s="3">
        <v>392</v>
      </c>
      <c r="C181" s="3"/>
      <c r="D181" s="3"/>
    </row>
    <row r="182">
      <c r="B182" s="4"/>
      <c r="C182" t="s" s="4">
        <v>5</v>
      </c>
      <c r="D182" t="s" s="5">
        <v>392</v>
      </c>
    </row>
    <row r="183">
      <c r="B183" t="s" s="3">
        <v>393</v>
      </c>
      <c r="C183" s="3"/>
      <c r="D183" s="3"/>
    </row>
    <row r="184">
      <c r="B184" s="4"/>
      <c r="C184" t="s" s="4">
        <v>5</v>
      </c>
      <c r="D184" t="s" s="5">
        <v>393</v>
      </c>
    </row>
    <row r="185">
      <c r="B185" t="s" s="3">
        <v>395</v>
      </c>
      <c r="C185" s="3"/>
      <c r="D185" s="3"/>
    </row>
    <row r="186">
      <c r="B186" s="4"/>
      <c r="C186" t="s" s="4">
        <v>5</v>
      </c>
      <c r="D186" t="s" s="5">
        <v>395</v>
      </c>
    </row>
    <row r="187">
      <c r="B187" t="s" s="3">
        <v>396</v>
      </c>
      <c r="C187" s="3"/>
      <c r="D187" s="3"/>
    </row>
    <row r="188">
      <c r="B188" s="4"/>
      <c r="C188" t="s" s="4">
        <v>5</v>
      </c>
      <c r="D188" t="s" s="5">
        <v>396</v>
      </c>
    </row>
    <row r="189">
      <c r="B189" t="s" s="3">
        <v>397</v>
      </c>
      <c r="C189" s="3"/>
      <c r="D189" s="3"/>
    </row>
    <row r="190">
      <c r="B190" s="4"/>
      <c r="C190" t="s" s="4">
        <v>5</v>
      </c>
      <c r="D190" t="s" s="5">
        <v>397</v>
      </c>
    </row>
    <row r="191">
      <c r="B191" t="s" s="3">
        <v>422</v>
      </c>
      <c r="C191" s="3"/>
      <c r="D191" s="3"/>
    </row>
    <row r="192">
      <c r="B192" s="4"/>
      <c r="C192" t="s" s="4">
        <v>5</v>
      </c>
      <c r="D192" t="s" s="5">
        <v>422</v>
      </c>
    </row>
    <row r="193">
      <c r="B193" t="s" s="3">
        <v>437</v>
      </c>
      <c r="C193" s="3"/>
      <c r="D193" s="3"/>
    </row>
    <row r="194">
      <c r="B194" s="4"/>
      <c r="C194" t="s" s="4">
        <v>5</v>
      </c>
      <c r="D194" t="s" s="5">
        <v>437</v>
      </c>
    </row>
    <row r="195">
      <c r="B195" t="s" s="3">
        <v>454</v>
      </c>
      <c r="C195" s="3"/>
      <c r="D195" s="3"/>
    </row>
    <row r="196">
      <c r="B196" s="4"/>
      <c r="C196" t="s" s="4">
        <v>5</v>
      </c>
      <c r="D196" t="s" s="5">
        <v>454</v>
      </c>
    </row>
    <row r="197">
      <c r="B197" t="s" s="3">
        <v>457</v>
      </c>
      <c r="C197" s="3"/>
      <c r="D197" s="3"/>
    </row>
    <row r="198">
      <c r="B198" s="4"/>
      <c r="C198" t="s" s="4">
        <v>5</v>
      </c>
      <c r="D198" t="s" s="5">
        <v>457</v>
      </c>
    </row>
    <row r="199">
      <c r="B199" t="s" s="3">
        <v>458</v>
      </c>
      <c r="C199" s="3"/>
      <c r="D199" s="3"/>
    </row>
    <row r="200">
      <c r="B200" s="4"/>
      <c r="C200" t="s" s="4">
        <v>5</v>
      </c>
      <c r="D200" t="s" s="5">
        <v>458</v>
      </c>
    </row>
    <row r="201">
      <c r="B201" t="s" s="3">
        <v>459</v>
      </c>
      <c r="C201" s="3"/>
      <c r="D201" s="3"/>
    </row>
    <row r="202">
      <c r="B202" s="4"/>
      <c r="C202" t="s" s="4">
        <v>5</v>
      </c>
      <c r="D202" t="s" s="5">
        <v>459</v>
      </c>
    </row>
    <row r="203">
      <c r="B203" t="s" s="3">
        <v>460</v>
      </c>
      <c r="C203" s="3"/>
      <c r="D203" s="3"/>
    </row>
    <row r="204">
      <c r="B204" s="4"/>
      <c r="C204" t="s" s="4">
        <v>5</v>
      </c>
      <c r="D204" t="s" s="5">
        <v>460</v>
      </c>
    </row>
    <row r="205">
      <c r="B205" t="s" s="3">
        <v>461</v>
      </c>
      <c r="C205" s="3"/>
      <c r="D205" s="3"/>
    </row>
    <row r="206">
      <c r="B206" s="4"/>
      <c r="C206" t="s" s="4">
        <v>5</v>
      </c>
      <c r="D206" t="s" s="5">
        <v>461</v>
      </c>
    </row>
    <row r="207">
      <c r="B207" t="s" s="3">
        <v>462</v>
      </c>
      <c r="C207" s="3"/>
      <c r="D207" s="3"/>
    </row>
    <row r="208">
      <c r="B208" s="4"/>
      <c r="C208" t="s" s="4">
        <v>5</v>
      </c>
      <c r="D208" t="s" s="5">
        <v>462</v>
      </c>
    </row>
    <row r="209">
      <c r="B209" t="s" s="3">
        <v>463</v>
      </c>
      <c r="C209" s="3"/>
      <c r="D209" s="3"/>
    </row>
    <row r="210">
      <c r="B210" s="4"/>
      <c r="C210" t="s" s="4">
        <v>5</v>
      </c>
      <c r="D210" t="s" s="5">
        <v>463</v>
      </c>
    </row>
    <row r="211">
      <c r="B211" t="s" s="3">
        <v>464</v>
      </c>
      <c r="C211" s="3"/>
      <c r="D211" s="3"/>
    </row>
    <row r="212">
      <c r="B212" s="4"/>
      <c r="C212" t="s" s="4">
        <v>5</v>
      </c>
      <c r="D212" t="s" s="5">
        <v>464</v>
      </c>
    </row>
    <row r="213">
      <c r="B213" t="s" s="3">
        <v>465</v>
      </c>
      <c r="C213" s="3"/>
      <c r="D213" s="3"/>
    </row>
    <row r="214">
      <c r="B214" s="4"/>
      <c r="C214" t="s" s="4">
        <v>5</v>
      </c>
      <c r="D214" t="s" s="5">
        <v>465</v>
      </c>
    </row>
    <row r="215">
      <c r="B215" t="s" s="3">
        <v>466</v>
      </c>
      <c r="C215" s="3"/>
      <c r="D215" s="3"/>
    </row>
    <row r="216">
      <c r="B216" s="4"/>
      <c r="C216" t="s" s="4">
        <v>5</v>
      </c>
      <c r="D216" t="s" s="5">
        <v>466</v>
      </c>
    </row>
    <row r="217">
      <c r="B217" t="s" s="3">
        <v>475</v>
      </c>
      <c r="C217" s="3"/>
      <c r="D217" s="3"/>
    </row>
    <row r="218">
      <c r="B218" s="4"/>
      <c r="C218" t="s" s="4">
        <v>5</v>
      </c>
      <c r="D218" t="s" s="5">
        <v>475</v>
      </c>
    </row>
    <row r="219">
      <c r="B219" t="s" s="3">
        <v>476</v>
      </c>
      <c r="C219" s="3"/>
      <c r="D219" s="3"/>
    </row>
    <row r="220">
      <c r="B220" s="4"/>
      <c r="C220" t="s" s="4">
        <v>5</v>
      </c>
      <c r="D220" t="s" s="5">
        <v>476</v>
      </c>
    </row>
    <row r="221">
      <c r="B221" t="s" s="3">
        <v>477</v>
      </c>
      <c r="C221" s="3"/>
      <c r="D221" s="3"/>
    </row>
    <row r="222">
      <c r="B222" s="4"/>
      <c r="C222" t="s" s="4">
        <v>5</v>
      </c>
      <c r="D222" t="s" s="5">
        <v>477</v>
      </c>
    </row>
    <row r="223">
      <c r="B223" t="s" s="3">
        <v>478</v>
      </c>
      <c r="C223" s="3"/>
      <c r="D223" s="3"/>
    </row>
    <row r="224">
      <c r="B224" s="4"/>
      <c r="C224" t="s" s="4">
        <v>5</v>
      </c>
      <c r="D224" t="s" s="5">
        <v>478</v>
      </c>
    </row>
    <row r="225">
      <c r="B225" t="s" s="3">
        <v>496</v>
      </c>
      <c r="C225" s="3"/>
      <c r="D225" s="3"/>
    </row>
    <row r="226">
      <c r="B226" s="4"/>
      <c r="C226" t="s" s="4">
        <v>5</v>
      </c>
      <c r="D226" t="s" s="5">
        <v>496</v>
      </c>
    </row>
    <row r="227">
      <c r="B227" t="s" s="3">
        <v>498</v>
      </c>
      <c r="C227" s="3"/>
      <c r="D227" s="3"/>
    </row>
    <row r="228">
      <c r="B228" s="4"/>
      <c r="C228" t="s" s="4">
        <v>5</v>
      </c>
      <c r="D228" t="s" s="5">
        <v>498</v>
      </c>
    </row>
    <row r="229">
      <c r="B229" t="s" s="3">
        <v>499</v>
      </c>
      <c r="C229" s="3"/>
      <c r="D229" s="3"/>
    </row>
    <row r="230">
      <c r="B230" s="4"/>
      <c r="C230" t="s" s="4">
        <v>5</v>
      </c>
      <c r="D230" t="s" s="5">
        <v>499</v>
      </c>
    </row>
    <row r="231">
      <c r="B231" t="s" s="3">
        <v>507</v>
      </c>
      <c r="C231" s="3"/>
      <c r="D231" s="3"/>
    </row>
    <row r="232">
      <c r="B232" s="4"/>
      <c r="C232" t="s" s="4">
        <v>5</v>
      </c>
      <c r="D232" t="s" s="5">
        <v>507</v>
      </c>
    </row>
    <row r="233">
      <c r="B233" t="s" s="3">
        <v>508</v>
      </c>
      <c r="C233" s="3"/>
      <c r="D233" s="3"/>
    </row>
    <row r="234">
      <c r="B234" s="4"/>
      <c r="C234" t="s" s="4">
        <v>5</v>
      </c>
      <c r="D234" t="s" s="5">
        <v>508</v>
      </c>
    </row>
    <row r="235">
      <c r="B235" t="s" s="3">
        <v>509</v>
      </c>
      <c r="C235" s="3"/>
      <c r="D235" s="3"/>
    </row>
    <row r="236">
      <c r="B236" s="4"/>
      <c r="C236" t="s" s="4">
        <v>5</v>
      </c>
      <c r="D236" t="s" s="5">
        <v>509</v>
      </c>
    </row>
    <row r="237">
      <c r="B237" t="s" s="3">
        <v>511</v>
      </c>
      <c r="C237" s="3"/>
      <c r="D237" s="3"/>
    </row>
    <row r="238">
      <c r="B238" s="4"/>
      <c r="C238" t="s" s="4">
        <v>5</v>
      </c>
      <c r="D238" t="s" s="5">
        <v>511</v>
      </c>
    </row>
    <row r="239">
      <c r="B239" t="s" s="3">
        <v>516</v>
      </c>
      <c r="C239" s="3"/>
      <c r="D239" s="3"/>
    </row>
    <row r="240">
      <c r="B240" s="4"/>
      <c r="C240" t="s" s="4">
        <v>5</v>
      </c>
      <c r="D240" t="s" s="5">
        <v>516</v>
      </c>
    </row>
    <row r="241">
      <c r="B241" t="s" s="3">
        <v>517</v>
      </c>
      <c r="C241" s="3"/>
      <c r="D241" s="3"/>
    </row>
    <row r="242">
      <c r="B242" s="4"/>
      <c r="C242" t="s" s="4">
        <v>5</v>
      </c>
      <c r="D242" t="s" s="5">
        <v>517</v>
      </c>
    </row>
    <row r="243">
      <c r="B243" t="s" s="3">
        <v>524</v>
      </c>
      <c r="C243" s="3"/>
      <c r="D243" s="3"/>
    </row>
    <row r="244">
      <c r="B244" s="4"/>
      <c r="C244" t="s" s="4">
        <v>5</v>
      </c>
      <c r="D244" t="s" s="5">
        <v>524</v>
      </c>
    </row>
    <row r="245">
      <c r="B245" t="s" s="3">
        <v>525</v>
      </c>
      <c r="C245" s="3"/>
      <c r="D245" s="3"/>
    </row>
    <row r="246">
      <c r="B246" s="4"/>
      <c r="C246" t="s" s="4">
        <v>5</v>
      </c>
      <c r="D246" t="s" s="5">
        <v>525</v>
      </c>
    </row>
    <row r="247">
      <c r="B247" t="s" s="3">
        <v>526</v>
      </c>
      <c r="C247" s="3"/>
      <c r="D247" s="3"/>
    </row>
    <row r="248">
      <c r="B248" s="4"/>
      <c r="C248" t="s" s="4">
        <v>5</v>
      </c>
      <c r="D248" t="s" s="5">
        <v>526</v>
      </c>
    </row>
    <row r="249">
      <c r="B249" t="s" s="3">
        <v>531</v>
      </c>
      <c r="C249" s="3"/>
      <c r="D249" s="3"/>
    </row>
    <row r="250">
      <c r="B250" s="4"/>
      <c r="C250" t="s" s="4">
        <v>5</v>
      </c>
      <c r="D250" t="s" s="5">
        <v>531</v>
      </c>
    </row>
    <row r="251">
      <c r="B251" t="s" s="3">
        <v>532</v>
      </c>
      <c r="C251" s="3"/>
      <c r="D251" s="3"/>
    </row>
    <row r="252">
      <c r="B252" s="4"/>
      <c r="C252" t="s" s="4">
        <v>5</v>
      </c>
      <c r="D252" t="s" s="5">
        <v>532</v>
      </c>
    </row>
    <row r="253">
      <c r="B253" t="s" s="3">
        <v>533</v>
      </c>
      <c r="C253" s="3"/>
      <c r="D253" s="3"/>
    </row>
    <row r="254">
      <c r="B254" s="4"/>
      <c r="C254" t="s" s="4">
        <v>5</v>
      </c>
      <c r="D254" t="s" s="5">
        <v>533</v>
      </c>
    </row>
    <row r="255">
      <c r="B255" t="s" s="3">
        <v>534</v>
      </c>
      <c r="C255" s="3"/>
      <c r="D255" s="3"/>
    </row>
    <row r="256">
      <c r="B256" s="4"/>
      <c r="C256" t="s" s="4">
        <v>5</v>
      </c>
      <c r="D256" t="s" s="5">
        <v>534</v>
      </c>
    </row>
    <row r="257">
      <c r="B257" t="s" s="3">
        <v>537</v>
      </c>
      <c r="C257" s="3"/>
      <c r="D257" s="3"/>
    </row>
    <row r="258">
      <c r="B258" s="4"/>
      <c r="C258" t="s" s="4">
        <v>5</v>
      </c>
      <c r="D258" t="s" s="5">
        <v>537</v>
      </c>
    </row>
    <row r="259">
      <c r="B259" t="s" s="3">
        <v>539</v>
      </c>
      <c r="C259" s="3"/>
      <c r="D259" s="3"/>
    </row>
    <row r="260">
      <c r="B260" s="4"/>
      <c r="C260" t="s" s="4">
        <v>5</v>
      </c>
      <c r="D260" t="s" s="5">
        <v>539</v>
      </c>
    </row>
    <row r="261">
      <c r="B261" t="s" s="3">
        <v>540</v>
      </c>
      <c r="C261" s="3"/>
      <c r="D261" s="3"/>
    </row>
    <row r="262">
      <c r="B262" s="4"/>
      <c r="C262" t="s" s="4">
        <v>5</v>
      </c>
      <c r="D262" t="s" s="5">
        <v>540</v>
      </c>
    </row>
    <row r="263">
      <c r="B263" t="s" s="3">
        <v>549</v>
      </c>
      <c r="C263" s="3"/>
      <c r="D263" s="3"/>
    </row>
    <row r="264">
      <c r="B264" s="4"/>
      <c r="C264" t="s" s="4">
        <v>5</v>
      </c>
      <c r="D264" t="s" s="5">
        <v>549</v>
      </c>
    </row>
    <row r="265">
      <c r="B265" t="s" s="3">
        <v>551</v>
      </c>
      <c r="C265" s="3"/>
      <c r="D265" s="3"/>
    </row>
    <row r="266">
      <c r="B266" s="4"/>
      <c r="C266" t="s" s="4">
        <v>5</v>
      </c>
      <c r="D266" t="s" s="5">
        <v>551</v>
      </c>
    </row>
    <row r="267">
      <c r="B267" t="s" s="3">
        <v>558</v>
      </c>
      <c r="C267" s="3"/>
      <c r="D267" s="3"/>
    </row>
    <row r="268">
      <c r="B268" s="4"/>
      <c r="C268" t="s" s="4">
        <v>5</v>
      </c>
      <c r="D268" t="s" s="5">
        <v>558</v>
      </c>
    </row>
    <row r="269">
      <c r="B269" t="s" s="3">
        <v>559</v>
      </c>
      <c r="C269" s="3"/>
      <c r="D269" s="3"/>
    </row>
    <row r="270">
      <c r="B270" s="4"/>
      <c r="C270" t="s" s="4">
        <v>5</v>
      </c>
      <c r="D270" t="s" s="5">
        <v>559</v>
      </c>
    </row>
    <row r="271">
      <c r="B271" t="s" s="3">
        <v>560</v>
      </c>
      <c r="C271" s="3"/>
      <c r="D271" s="3"/>
    </row>
    <row r="272">
      <c r="B272" s="4"/>
      <c r="C272" t="s" s="4">
        <v>5</v>
      </c>
      <c r="D272" t="s" s="5">
        <v>560</v>
      </c>
    </row>
    <row r="273">
      <c r="B273" t="s" s="3">
        <v>561</v>
      </c>
      <c r="C273" s="3"/>
      <c r="D273" s="3"/>
    </row>
    <row r="274">
      <c r="B274" s="4"/>
      <c r="C274" t="s" s="4">
        <v>5</v>
      </c>
      <c r="D274" t="s" s="5">
        <v>561</v>
      </c>
    </row>
    <row r="275">
      <c r="B275" t="s" s="3">
        <v>562</v>
      </c>
      <c r="C275" s="3"/>
      <c r="D275" s="3"/>
    </row>
    <row r="276">
      <c r="B276" s="4"/>
      <c r="C276" t="s" s="4">
        <v>5</v>
      </c>
      <c r="D276" t="s" s="5">
        <v>562</v>
      </c>
    </row>
    <row r="277">
      <c r="B277" t="s" s="3">
        <v>563</v>
      </c>
      <c r="C277" s="3"/>
      <c r="D277" s="3"/>
    </row>
    <row r="278">
      <c r="B278" s="4"/>
      <c r="C278" t="s" s="4">
        <v>5</v>
      </c>
      <c r="D278" t="s" s="5">
        <v>563</v>
      </c>
    </row>
    <row r="279">
      <c r="B279" t="s" s="3">
        <v>564</v>
      </c>
      <c r="C279" s="3"/>
      <c r="D279" s="3"/>
    </row>
    <row r="280">
      <c r="B280" s="4"/>
      <c r="C280" t="s" s="4">
        <v>5</v>
      </c>
      <c r="D280" t="s" s="5">
        <v>564</v>
      </c>
    </row>
    <row r="281">
      <c r="B281" t="s" s="3">
        <v>565</v>
      </c>
      <c r="C281" s="3"/>
      <c r="D281" s="3"/>
    </row>
    <row r="282">
      <c r="B282" s="4"/>
      <c r="C282" t="s" s="4">
        <v>5</v>
      </c>
      <c r="D282" t="s" s="5">
        <v>565</v>
      </c>
    </row>
    <row r="283">
      <c r="B283" t="s" s="3">
        <v>566</v>
      </c>
      <c r="C283" s="3"/>
      <c r="D283" s="3"/>
    </row>
    <row r="284">
      <c r="B284" s="4"/>
      <c r="C284" t="s" s="4">
        <v>5</v>
      </c>
      <c r="D284" t="s" s="5">
        <v>566</v>
      </c>
    </row>
    <row r="285">
      <c r="B285" t="s" s="3">
        <v>567</v>
      </c>
      <c r="C285" s="3"/>
      <c r="D285" s="3"/>
    </row>
    <row r="286">
      <c r="B286" s="4"/>
      <c r="C286" t="s" s="4">
        <v>5</v>
      </c>
      <c r="D286" t="s" s="5">
        <v>567</v>
      </c>
    </row>
    <row r="287">
      <c r="B287" t="s" s="3">
        <v>568</v>
      </c>
      <c r="C287" s="3"/>
      <c r="D287" s="3"/>
    </row>
    <row r="288">
      <c r="B288" s="4"/>
      <c r="C288" t="s" s="4">
        <v>5</v>
      </c>
      <c r="D288" t="s" s="5">
        <v>568</v>
      </c>
    </row>
    <row r="289">
      <c r="B289" t="s" s="3">
        <v>569</v>
      </c>
      <c r="C289" s="3"/>
      <c r="D289" s="3"/>
    </row>
    <row r="290">
      <c r="B290" s="4"/>
      <c r="C290" t="s" s="4">
        <v>5</v>
      </c>
      <c r="D290" t="s" s="5">
        <v>569</v>
      </c>
    </row>
    <row r="291">
      <c r="B291" t="s" s="3">
        <v>571</v>
      </c>
      <c r="C291" s="3"/>
      <c r="D291" s="3"/>
    </row>
    <row r="292">
      <c r="B292" s="4"/>
      <c r="C292" t="s" s="4">
        <v>5</v>
      </c>
      <c r="D292" t="s" s="5">
        <v>571</v>
      </c>
    </row>
    <row r="293">
      <c r="B293" t="s" s="3">
        <v>572</v>
      </c>
      <c r="C293" s="3"/>
      <c r="D293" s="3"/>
    </row>
    <row r="294">
      <c r="B294" s="4"/>
      <c r="C294" t="s" s="4">
        <v>5</v>
      </c>
      <c r="D294" t="s" s="5">
        <v>572</v>
      </c>
    </row>
    <row r="295">
      <c r="B295" t="s" s="3">
        <v>573</v>
      </c>
      <c r="C295" s="3"/>
      <c r="D295" s="3"/>
    </row>
    <row r="296">
      <c r="B296" s="4"/>
      <c r="C296" t="s" s="4">
        <v>5</v>
      </c>
      <c r="D296" t="s" s="5">
        <v>573</v>
      </c>
    </row>
    <row r="297">
      <c r="B297" t="s" s="3">
        <v>574</v>
      </c>
      <c r="C297" s="3"/>
      <c r="D297" s="3"/>
    </row>
    <row r="298">
      <c r="B298" s="4"/>
      <c r="C298" t="s" s="4">
        <v>5</v>
      </c>
      <c r="D298" t="s" s="5">
        <v>574</v>
      </c>
    </row>
    <row r="299">
      <c r="B299" t="s" s="3">
        <v>575</v>
      </c>
      <c r="C299" s="3"/>
      <c r="D299" s="3"/>
    </row>
    <row r="300">
      <c r="B300" s="4"/>
      <c r="C300" t="s" s="4">
        <v>5</v>
      </c>
      <c r="D300" t="s" s="5">
        <v>575</v>
      </c>
    </row>
    <row r="301">
      <c r="B301" t="s" s="3">
        <v>576</v>
      </c>
      <c r="C301" s="3"/>
      <c r="D301" s="3"/>
    </row>
    <row r="302">
      <c r="B302" s="4"/>
      <c r="C302" t="s" s="4">
        <v>5</v>
      </c>
      <c r="D302" t="s" s="5">
        <v>576</v>
      </c>
    </row>
    <row r="303">
      <c r="B303" t="s" s="3">
        <v>577</v>
      </c>
      <c r="C303" s="3"/>
      <c r="D303" s="3"/>
    </row>
    <row r="304">
      <c r="B304" s="4"/>
      <c r="C304" t="s" s="4">
        <v>5</v>
      </c>
      <c r="D304" t="s" s="5">
        <v>577</v>
      </c>
    </row>
    <row r="305">
      <c r="B305" t="s" s="3">
        <v>578</v>
      </c>
      <c r="C305" s="3"/>
      <c r="D305" s="3"/>
    </row>
    <row r="306">
      <c r="B306" s="4"/>
      <c r="C306" t="s" s="4">
        <v>5</v>
      </c>
      <c r="D306" t="s" s="5">
        <v>578</v>
      </c>
    </row>
    <row r="307">
      <c r="B307" t="s" s="3">
        <v>579</v>
      </c>
      <c r="C307" s="3"/>
      <c r="D307" s="3"/>
    </row>
    <row r="308">
      <c r="B308" s="4"/>
      <c r="C308" t="s" s="4">
        <v>5</v>
      </c>
      <c r="D308" t="s" s="5">
        <v>579</v>
      </c>
    </row>
    <row r="309">
      <c r="B309" t="s" s="3">
        <v>580</v>
      </c>
      <c r="C309" s="3"/>
      <c r="D309" s="3"/>
    </row>
    <row r="310">
      <c r="B310" s="4"/>
      <c r="C310" t="s" s="4">
        <v>5</v>
      </c>
      <c r="D310" t="s" s="5">
        <v>580</v>
      </c>
    </row>
    <row r="311">
      <c r="B311" t="s" s="3">
        <v>581</v>
      </c>
      <c r="C311" s="3"/>
      <c r="D311" s="3"/>
    </row>
    <row r="312">
      <c r="B312" s="4"/>
      <c r="C312" t="s" s="4">
        <v>5</v>
      </c>
      <c r="D312" t="s" s="5">
        <v>581</v>
      </c>
    </row>
    <row r="313">
      <c r="B313" t="s" s="3">
        <v>582</v>
      </c>
      <c r="C313" s="3"/>
      <c r="D313" s="3"/>
    </row>
    <row r="314">
      <c r="B314" s="4"/>
      <c r="C314" t="s" s="4">
        <v>5</v>
      </c>
      <c r="D314" t="s" s="5">
        <v>582</v>
      </c>
    </row>
    <row r="315">
      <c r="B315" t="s" s="3">
        <v>583</v>
      </c>
      <c r="C315" s="3"/>
      <c r="D315" s="3"/>
    </row>
    <row r="316">
      <c r="B316" s="4"/>
      <c r="C316" t="s" s="4">
        <v>5</v>
      </c>
      <c r="D316" t="s" s="5">
        <v>583</v>
      </c>
    </row>
    <row r="317">
      <c r="B317" t="s" s="3">
        <v>584</v>
      </c>
      <c r="C317" s="3"/>
      <c r="D317" s="3"/>
    </row>
    <row r="318">
      <c r="B318" s="4"/>
      <c r="C318" t="s" s="4">
        <v>5</v>
      </c>
      <c r="D318" t="s" s="5">
        <v>584</v>
      </c>
    </row>
    <row r="319">
      <c r="B319" t="s" s="3">
        <v>585</v>
      </c>
      <c r="C319" s="3"/>
      <c r="D319" s="3"/>
    </row>
    <row r="320">
      <c r="B320" s="4"/>
      <c r="C320" t="s" s="4">
        <v>5</v>
      </c>
      <c r="D320" t="s" s="5">
        <v>585</v>
      </c>
    </row>
    <row r="321">
      <c r="B321" t="s" s="3">
        <v>586</v>
      </c>
      <c r="C321" s="3"/>
      <c r="D321" s="3"/>
    </row>
    <row r="322">
      <c r="B322" s="4"/>
      <c r="C322" t="s" s="4">
        <v>5</v>
      </c>
      <c r="D322" t="s" s="5">
        <v>586</v>
      </c>
    </row>
    <row r="323">
      <c r="B323" t="s" s="3">
        <v>593</v>
      </c>
      <c r="C323" s="3"/>
      <c r="D323" s="3"/>
    </row>
    <row r="324">
      <c r="B324" s="4"/>
      <c r="C324" t="s" s="4">
        <v>5</v>
      </c>
      <c r="D324" t="s" s="5">
        <v>593</v>
      </c>
    </row>
    <row r="325">
      <c r="B325" t="s" s="3">
        <v>594</v>
      </c>
      <c r="C325" s="3"/>
      <c r="D325" s="3"/>
    </row>
    <row r="326">
      <c r="B326" s="4"/>
      <c r="C326" t="s" s="4">
        <v>5</v>
      </c>
      <c r="D326" t="s" s="5">
        <v>594</v>
      </c>
    </row>
    <row r="327">
      <c r="B327" t="s" s="3">
        <v>595</v>
      </c>
      <c r="C327" s="3"/>
      <c r="D327" s="3"/>
    </row>
    <row r="328">
      <c r="B328" s="4"/>
      <c r="C328" t="s" s="4">
        <v>5</v>
      </c>
      <c r="D328" t="s" s="5">
        <v>595</v>
      </c>
    </row>
    <row r="329">
      <c r="B329" t="s" s="3">
        <v>596</v>
      </c>
      <c r="C329" s="3"/>
      <c r="D329" s="3"/>
    </row>
    <row r="330">
      <c r="B330" s="4"/>
      <c r="C330" t="s" s="4">
        <v>5</v>
      </c>
      <c r="D330" t="s" s="5">
        <v>596</v>
      </c>
    </row>
    <row r="331">
      <c r="B331" t="s" s="3">
        <v>601</v>
      </c>
      <c r="C331" s="3"/>
      <c r="D331" s="3"/>
    </row>
    <row r="332">
      <c r="B332" s="4"/>
      <c r="C332" t="s" s="4">
        <v>5</v>
      </c>
      <c r="D332" t="s" s="5">
        <v>601</v>
      </c>
    </row>
    <row r="333">
      <c r="B333" t="s" s="3">
        <v>603</v>
      </c>
      <c r="C333" s="3"/>
      <c r="D333" s="3"/>
    </row>
    <row r="334">
      <c r="B334" s="4"/>
      <c r="C334" t="s" s="4">
        <v>5</v>
      </c>
      <c r="D334" t="s" s="5">
        <v>603</v>
      </c>
    </row>
    <row r="335">
      <c r="B335" t="s" s="3">
        <v>607</v>
      </c>
      <c r="C335" s="3"/>
      <c r="D335" s="3"/>
    </row>
    <row r="336">
      <c r="B336" s="4"/>
      <c r="C336" t="s" s="4">
        <v>5</v>
      </c>
      <c r="D336" t="s" s="5">
        <v>607</v>
      </c>
    </row>
    <row r="337">
      <c r="B337" t="s" s="3">
        <v>611</v>
      </c>
      <c r="C337" s="3"/>
      <c r="D337" s="3"/>
    </row>
    <row r="338">
      <c r="B338" s="4"/>
      <c r="C338" t="s" s="4">
        <v>5</v>
      </c>
      <c r="D338" t="s" s="5">
        <v>611</v>
      </c>
    </row>
    <row r="339">
      <c r="B339" t="s" s="3">
        <v>653</v>
      </c>
      <c r="C339" s="3"/>
      <c r="D339" s="3"/>
    </row>
    <row r="340">
      <c r="B340" s="4"/>
      <c r="C340" t="s" s="4">
        <v>5</v>
      </c>
      <c r="D340" t="s" s="5">
        <v>653</v>
      </c>
    </row>
    <row r="341">
      <c r="B341" t="s" s="3">
        <v>658</v>
      </c>
      <c r="C341" s="3"/>
      <c r="D341" s="3"/>
    </row>
    <row r="342">
      <c r="B342" s="4"/>
      <c r="C342" t="s" s="4">
        <v>5</v>
      </c>
      <c r="D342" t="s" s="5">
        <v>658</v>
      </c>
    </row>
    <row r="343">
      <c r="B343" t="s" s="3">
        <v>659</v>
      </c>
      <c r="C343" s="3"/>
      <c r="D343" s="3"/>
    </row>
    <row r="344">
      <c r="B344" s="4"/>
      <c r="C344" t="s" s="4">
        <v>5</v>
      </c>
      <c r="D344" t="s" s="5">
        <v>659</v>
      </c>
    </row>
    <row r="345">
      <c r="B345" t="s" s="3">
        <v>660</v>
      </c>
      <c r="C345" s="3"/>
      <c r="D345" s="3"/>
    </row>
    <row r="346">
      <c r="B346" s="4"/>
      <c r="C346" t="s" s="4">
        <v>5</v>
      </c>
      <c r="D346" t="s" s="5">
        <v>660</v>
      </c>
    </row>
    <row r="347">
      <c r="B347" t="s" s="3">
        <v>661</v>
      </c>
      <c r="C347" s="3"/>
      <c r="D347" s="3"/>
    </row>
    <row r="348">
      <c r="B348" s="4"/>
      <c r="C348" t="s" s="4">
        <v>5</v>
      </c>
      <c r="D348" t="s" s="5">
        <v>661</v>
      </c>
    </row>
    <row r="349">
      <c r="B349" t="s" s="3">
        <v>662</v>
      </c>
      <c r="C349" s="3"/>
      <c r="D349" s="3"/>
    </row>
    <row r="350">
      <c r="B350" s="4"/>
      <c r="C350" t="s" s="4">
        <v>5</v>
      </c>
      <c r="D350" t="s" s="5">
        <v>662</v>
      </c>
    </row>
    <row r="351">
      <c r="B351" t="s" s="3">
        <v>663</v>
      </c>
      <c r="C351" s="3"/>
      <c r="D351" s="3"/>
    </row>
    <row r="352">
      <c r="B352" s="4"/>
      <c r="C352" t="s" s="4">
        <v>5</v>
      </c>
      <c r="D352" t="s" s="5">
        <v>663</v>
      </c>
    </row>
  </sheetData>
  <mergeCells count="1">
    <mergeCell ref="B3:D3"/>
  </mergeCells>
  <hyperlinks>
    <hyperlink ref="D10" location="'49013066'!R1C1" tooltip="" display="49013066"/>
    <hyperlink ref="D12" location="'49013206'!R1C1" tooltip="" display="49013206"/>
    <hyperlink ref="D14" location="'49013151'!R1C1" tooltip="" display="49013151"/>
    <hyperlink ref="D16" location="'49013260'!R1C1" tooltip="" display="49013260"/>
    <hyperlink ref="D18" location="'49015188'!R1C1" tooltip="" display="49015188"/>
    <hyperlink ref="D20" location="'49015289'!R1C1" tooltip="" display="49015289"/>
    <hyperlink ref="D22" location="'49013313'!R1C1" tooltip="" display="49013313"/>
    <hyperlink ref="D24" location="'49013354'!R1C1" tooltip="" display="49013354"/>
    <hyperlink ref="D26" location="'49013411'!R1C1" tooltip="" display="49013411"/>
    <hyperlink ref="D28" location="'49013538'!R1C1" tooltip="" display="49013538"/>
    <hyperlink ref="D30" location="'49978186'!R1C1" tooltip="" display="49978186"/>
    <hyperlink ref="D32" location="'49978825 _ '!R1C1" tooltip="" display="49978825 _ "/>
    <hyperlink ref="D34" location="'49976430'!R1C1" tooltip="" display="49976430"/>
    <hyperlink ref="D36" location="'49976716'!R1C1" tooltip="" display="49976716"/>
    <hyperlink ref="D38" location="'49975362'!R1C1" tooltip="" display="49975362"/>
    <hyperlink ref="D40" location="'49974911'!R1C1" tooltip="" display="49974911"/>
    <hyperlink ref="D42" location="'49978186-1'!R1C1" tooltip="" display="49978186-1"/>
    <hyperlink ref="D44" location="'51309562'!R1C1" tooltip="" display="51309562"/>
    <hyperlink ref="D46" location="'49014437'!R1C1" tooltip="" display="49014437"/>
    <hyperlink ref="D48" location="'49014701'!R1C1" tooltip="" display="49014701"/>
    <hyperlink ref="D50" location="'49014897'!R1C1" tooltip="" display="49014897"/>
    <hyperlink ref="D52" location="'49014944'!R1C1" tooltip="" display="49014944"/>
    <hyperlink ref="D54" location="'49014993'!R1C1" tooltip="" display="49014993"/>
    <hyperlink ref="D56" location="'49015008'!R1C1" tooltip="" display="49015008"/>
    <hyperlink ref="D58" location="'49012327 - Tabel 1'!R1C1" tooltip="" display="49012327 - Tabel 1"/>
    <hyperlink ref="D59" location="'49012327 - Tabel 1-1'!R1C1" tooltip="" display="49012327 - Tabel 1-1"/>
    <hyperlink ref="D61" location="'49012446 - Tabel 1'!R1C1" tooltip="" display="49012446 - Tabel 1"/>
    <hyperlink ref="D62" location="'49012446 - Tabel 1-1'!R1C1" tooltip="" display="49012446 - Tabel 1-1"/>
    <hyperlink ref="D64" location="'49012568'!R1C1" tooltip="" display="49012568"/>
    <hyperlink ref="D66" location="'49012718'!R1C1" tooltip="" display="49012718"/>
    <hyperlink ref="D68" location="'49012954'!R1C1" tooltip="" display="49012954"/>
    <hyperlink ref="D70" location="'49011769'!R1C1" tooltip="" display="49011769"/>
    <hyperlink ref="D72" location="'49012815 - Tabel 1'!R1C1" tooltip="" display="49012815 - Tabel 1"/>
    <hyperlink ref="D73" location="'49012815 - Tabel 1-1'!R1C1" tooltip="" display="49012815 - Tabel 1-1"/>
    <hyperlink ref="D75" location="'49012180'!R1C1" tooltip="" display="49012180"/>
    <hyperlink ref="D77" location="'49726699'!R1C1" tooltip="" display="49726699"/>
    <hyperlink ref="D79" location="'49726735'!R1C1" tooltip="" display="49726735"/>
    <hyperlink ref="D81" location="'49726757'!R1C1" tooltip="" display="49726757"/>
    <hyperlink ref="D83" location="'49726831'!R1C1" tooltip="" display="49726831"/>
    <hyperlink ref="D85" location="'49726878'!R1C1" tooltip="" display="49726878"/>
    <hyperlink ref="D87" location="'49668973'!R1C1" tooltip="" display="49668973"/>
    <hyperlink ref="D89" location="'49668994'!R1C1" tooltip="" display="49668994"/>
    <hyperlink ref="D91" location="'49669032'!R1C1" tooltip="" display="49669032"/>
    <hyperlink ref="D93" location="'49015378'!R1C1" tooltip="" display="49015378"/>
    <hyperlink ref="D95" location="'49015457'!R1C1" tooltip="" display="49015457"/>
    <hyperlink ref="D97" location="'5516660'!R1C1" tooltip="" display="5516660"/>
    <hyperlink ref="D99" location="'5510660'!R1C1" tooltip="" display="5510660"/>
    <hyperlink ref="D101" location="'5508660'!R1C1" tooltip="" display="5508660"/>
    <hyperlink ref="D103" location="'5511660'!R1C1" tooltip="" display="5511660"/>
    <hyperlink ref="D105" location="'5512660'!R1C1" tooltip="" display="5512660"/>
    <hyperlink ref="D107" location="'5509660'!R1C1" tooltip="" display="5509660"/>
    <hyperlink ref="D109" location="'5507660'!R1C1" tooltip="" display="5507660"/>
    <hyperlink ref="D111" location="'50782722'!R1C1" tooltip="" display="50782722"/>
    <hyperlink ref="D113" location="'50782898'!R1C1" tooltip="" display="50782898"/>
    <hyperlink ref="D115" location="'50783071'!R1C1" tooltip="" display="50783071"/>
    <hyperlink ref="D117" location="'50783430'!R1C1" tooltip="" display="50783430"/>
    <hyperlink ref="D119" location="'51245546'!R1C1" tooltip="" display="51245546"/>
    <hyperlink ref="D121" location="'49974591'!R1C1" tooltip="" display="49974591"/>
    <hyperlink ref="D123" location="'50783564'!R1C1" tooltip="" display="50783564"/>
    <hyperlink ref="D125" location="'51221455'!R1C1" tooltip="" display="51221455"/>
    <hyperlink ref="D127" location="'50783707'!R1C1" tooltip="" display="50783707"/>
    <hyperlink ref="D129" location="'50783712'!R1C1" tooltip="" display="50783712"/>
    <hyperlink ref="D131" location="'51172569 perencana'!R1C1" tooltip="" display="51172569 perencana"/>
    <hyperlink ref="D133" location="'51173499'!R1C1" tooltip="" display="51173499"/>
    <hyperlink ref="D135" location="'5543660'!R1C1" tooltip="" display="5543660"/>
    <hyperlink ref="D137" location="'51173383'!R1C1" tooltip="" display="51173383"/>
    <hyperlink ref="D139" location="'5545660'!R1C1" tooltip="" display="5545660"/>
    <hyperlink ref="D141" location="'5546660'!R1C1" tooltip="" display="5546660"/>
    <hyperlink ref="D143" location="'alat lab - Tabel 1'!R1C1" tooltip="" display="alat lab - Tabel 1"/>
    <hyperlink ref="D144" location="'alat lab - Tabel 1-1'!R1C1" tooltip="" display="alat lab - Tabel 1-1"/>
    <hyperlink ref="D146" location="'PERALATAN LAB - NEGOISASI HARGA'!R2C1" tooltip="" display="PERALATAN LAB - NEGOISASI HARGA"/>
    <hyperlink ref="D148" location="'spek barang lab - DOKUMEN PERSI'!R2C1" tooltip="" display="spek barang lab - DOKUMEN PERSI"/>
    <hyperlink ref="D150" location="'51024146'!R1C1" tooltip="" display="51024146"/>
    <hyperlink ref="D152" location="'51091700'!R1C1" tooltip="" display="51091700"/>
    <hyperlink ref="D154" location="'51023355'!R1C1" tooltip="" display="51023355"/>
    <hyperlink ref="D156" location="'51024298'!R1C1" tooltip="" display="51024298"/>
    <hyperlink ref="D158" location="'51367031'!R1C1" tooltip="" display="51367031"/>
    <hyperlink ref="D160" location="'49767242'!R1C1" tooltip="" display="49767242"/>
    <hyperlink ref="D162" location="'49975231'!R1C1" tooltip="" display="49975231"/>
    <hyperlink ref="D164" location="'51581417'!R1C1" tooltip="" display="51581417"/>
    <hyperlink ref="D166" location="'49949358'!R1C1" tooltip="" display="49949358"/>
    <hyperlink ref="D168" location="'49944383'!R1C1" tooltip="" display="49944383"/>
    <hyperlink ref="D170" location="'51581423'!R1C1" tooltip="" display="51581423"/>
    <hyperlink ref="D172" location="'49975815'!R1C1" tooltip="" display="49975815"/>
    <hyperlink ref="D174" location="'49977097'!R1C1" tooltip="" display="49977097"/>
    <hyperlink ref="D176" location="'50002531'!R1C1" tooltip="" display="50002531"/>
    <hyperlink ref="D178" location="'49767016'!R1C1" tooltip="" display="49767016"/>
    <hyperlink ref="D180" location="'49943495'!R1C1" tooltip="" display="49943495"/>
    <hyperlink ref="D182" location="'49944052'!R1C1" tooltip="" display="49944052"/>
    <hyperlink ref="D184" location="'49981901'!R1C1" tooltip="" display="49981901"/>
    <hyperlink ref="D186" location="'49975119'!R1C1" tooltip="" display="49975119"/>
    <hyperlink ref="D188" location="'51023923'!R1C1" tooltip="" display="51023923"/>
    <hyperlink ref="D190" location="'49977774'!R1C1" tooltip="" display="49977774"/>
    <hyperlink ref="D192" location="'49979513'!R1C1" tooltip="" display="49979513"/>
    <hyperlink ref="D194" location="'49979604'!R1C1" tooltip="" display="49979604"/>
    <hyperlink ref="D196" location="'49981784'!R1C1" tooltip="" display="49981784"/>
    <hyperlink ref="D198" location="'51245302'!R1C1" tooltip="" display="51245302"/>
    <hyperlink ref="D200" location="'51245324'!R1C1" tooltip="" display="51245324"/>
    <hyperlink ref="D202" location="'5575660'!R1C1" tooltip="" display="5575660"/>
    <hyperlink ref="D204" location="'5583660'!R1C1" tooltip="" display="5583660"/>
    <hyperlink ref="D206" location="'51309467'!R1C1" tooltip="" display="51309467"/>
    <hyperlink ref="D208" location="'51309517'!R1C1" tooltip="" display="51309517"/>
    <hyperlink ref="D210" location="'51861479'!R1C1" tooltip="" display="51861479"/>
    <hyperlink ref="D212" location="'51861480'!R1C1" tooltip="" display="51861480"/>
    <hyperlink ref="D214" location="'51309201'!R1C1" tooltip="" display="51309201"/>
    <hyperlink ref="D216" location="'51864970'!R1C1" tooltip="" display="51864970"/>
    <hyperlink ref="D218" location="'51309415'!R1C1" tooltip="" display="51309415"/>
    <hyperlink ref="D220" location="'51308914'!R1C1" tooltip="" display="51308914"/>
    <hyperlink ref="D222" location="'5574660'!R1C1" tooltip="" display="5574660"/>
    <hyperlink ref="D224" location="'5570660'!R1C1" tooltip="" display="5570660"/>
    <hyperlink ref="D226" location="'49975169'!R1C1" tooltip="" display="49975169"/>
    <hyperlink ref="D228" location="'5576660'!R1C1" tooltip="" display="5576660"/>
    <hyperlink ref="D230" location="'49975054'!R1C1" tooltip="" display="49975054"/>
    <hyperlink ref="D232" location="'5630660'!R1C1" tooltip="" display="5630660"/>
    <hyperlink ref="D234" location="'5629660'!R1C1" tooltip="" display="5629660"/>
    <hyperlink ref="D236" location="'5636660'!R1C1" tooltip="" display="5636660"/>
    <hyperlink ref="D238" location="'5638660'!R1C1" tooltip="" display="5638660"/>
    <hyperlink ref="D240" location="'5639660'!R1C1" tooltip="" display="5639660"/>
    <hyperlink ref="D242" location="'6694660'!R1C1" tooltip="" display="6694660"/>
    <hyperlink ref="D244" location="'6693660'!R1C1" tooltip="" display="6693660"/>
    <hyperlink ref="D246" location="'6691660'!R1C1" tooltip="" display="6691660"/>
    <hyperlink ref="D248" location="'6696660'!R1C1" tooltip="" display="6696660"/>
    <hyperlink ref="D250" location="'6699660'!R1C1" tooltip="" display="6699660"/>
    <hyperlink ref="D252" location="'6775660'!R1C1" tooltip="" display="6775660"/>
    <hyperlink ref="D254" location="'6698660'!R1C1" tooltip="" display="6698660"/>
    <hyperlink ref="D256" location="'5592660'!R1C1" tooltip="" display="5592660"/>
    <hyperlink ref="D258" location="'6749660'!R1C1" tooltip="" display="6749660"/>
    <hyperlink ref="D260" location="'5592660 add'!R1C1" tooltip="" display="5592660 add"/>
    <hyperlink ref="D262" location="'6855660'!R1C1" tooltip="" display="6855660"/>
    <hyperlink ref="D264" location="'49943775'!R1C1" tooltip="" display="49943775"/>
    <hyperlink ref="D266" location="'4.500.000'!R1C1" tooltip="" display="4.500.000"/>
    <hyperlink ref="D268" location="'51245390'!R1C1" tooltip="" display="51245390"/>
    <hyperlink ref="D270" location="'53440390'!R1C1" tooltip="" display="53440390"/>
    <hyperlink ref="D272" location="'53440479'!R1C1" tooltip="" display="53440479"/>
    <hyperlink ref="D274" location="'53444080'!R1C1" tooltip="" display="53444080"/>
    <hyperlink ref="D276" location="'53444102'!R1C1" tooltip="" display="53444102"/>
    <hyperlink ref="D278" location="'53444125'!R1C1" tooltip="" display="53444125"/>
    <hyperlink ref="D280" location="'53444147'!R1C1" tooltip="" display="53444147"/>
    <hyperlink ref="D282" location="'53444174'!R1C1" tooltip="" display="53444174"/>
    <hyperlink ref="D284" location="'53444184'!R1C1" tooltip="" display="53444184"/>
    <hyperlink ref="D286" location="'53444198'!R1C1" tooltip="" display="53444198"/>
    <hyperlink ref="D288" location="'53444215'!R1C1" tooltip="" display="53444215"/>
    <hyperlink ref="D290" location="'53444281'!R1C1" tooltip="" display="53444281"/>
    <hyperlink ref="D292" location="'53444288'!R1C1" tooltip="" display="53444288"/>
    <hyperlink ref="D294" location="'53444298'!R1C1" tooltip="" display="53444298"/>
    <hyperlink ref="D296" location="'53444319kk'!R1C1" tooltip="" display="53444319kk"/>
    <hyperlink ref="D298" location="'53444319gg'!R1C1" tooltip="" display="53444319gg"/>
    <hyperlink ref="D300" location="'53432709'!R1C1" tooltip="" display="53432709"/>
    <hyperlink ref="D302" location="'53432803'!R1C1" tooltip="" display="53432803"/>
    <hyperlink ref="D304" location="'53432850'!R1C1" tooltip="" display="53432850"/>
    <hyperlink ref="D306" location="'53432905'!R1C1" tooltip="" display="53432905"/>
    <hyperlink ref="D308" location="'53432965'!R1C1" tooltip="" display="53432965"/>
    <hyperlink ref="D310" location="'53433014'!R1C1" tooltip="" display="53433014"/>
    <hyperlink ref="D312" location="'53433062'!R1C1" tooltip="" display="53433062"/>
    <hyperlink ref="D314" location="'53433117'!R1C1" tooltip="" display="53433117"/>
    <hyperlink ref="D316" location="'53433274'!R1C1" tooltip="" display="53433274"/>
    <hyperlink ref="D318" location="'53433307'!R1C1" tooltip="" display="53433307"/>
    <hyperlink ref="D320" location="'53443779'!R1C1" tooltip="" display="53443779"/>
    <hyperlink ref="D322" location="'53433509'!R1C1" tooltip="" display="53433509"/>
    <hyperlink ref="D324" location="'53433696'!R1C1" tooltip="" display="53433696"/>
    <hyperlink ref="D326" location="'53433778'!R1C1" tooltip="" display="53433778"/>
    <hyperlink ref="D328" location="'53444344'!R1C1" tooltip="" display="53444344"/>
    <hyperlink ref="D330" location="'51304504'!R1C1" tooltip="" display="51304504"/>
    <hyperlink ref="D332" location="'51267063'!R1C1" tooltip="" display="51267063"/>
    <hyperlink ref="D334" location="'53445187'!R1C1" tooltip="" display="53445187"/>
    <hyperlink ref="D336" location="'53433778-1'!R1C1" tooltip="" display="53433778-1"/>
    <hyperlink ref="D338" location="'53557837'!R1C1" tooltip="" display="53557837"/>
    <hyperlink ref="D340" location="'6772660'!R1C1" tooltip="" display="6772660"/>
    <hyperlink ref="D342" location="'6771660'!R1C1" tooltip="" display="6771660"/>
    <hyperlink ref="D344" location="'6770660'!R1C1" tooltip="" display="6770660"/>
    <hyperlink ref="D346" location="'6770660-1'!R1C1" tooltip="" display="6770660-1"/>
    <hyperlink ref="D348" location="'49975743'!R1C1" tooltip="" display="49975743"/>
    <hyperlink ref="D350" location="'49978079'!R1C1" tooltip="" display="49978079"/>
    <hyperlink ref="D352" location="'49976805'!R1C1" tooltip="" display="49976805"/>
  </hyperlinks>
</worksheet>
</file>

<file path=xl/worksheets/sheet2.xml><?xml version="1.0" encoding="utf-8"?>
<worksheet xmlns:r="http://schemas.openxmlformats.org/officeDocument/2006/relationships" xmlns="http://schemas.openxmlformats.org/spreadsheetml/2006/main">
  <sheetPr>
    <pageSetUpPr fitToPage="1"/>
  </sheetPr>
  <dimension ref="A1:N35"/>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6" customWidth="1"/>
    <col min="2" max="2" width="43.0312" style="6" customWidth="1"/>
    <col min="3" max="3" width="2.75" style="6" customWidth="1"/>
    <col min="4" max="6" width="10.3672" style="6" customWidth="1"/>
    <col min="7" max="7" width="11.6875" style="6" customWidth="1"/>
    <col min="8" max="11" width="13.5156" style="6" customWidth="1"/>
    <col min="12" max="14" width="14.2344" style="6" customWidth="1"/>
    <col min="15" max="16384" width="16.3516" style="6"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16</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t="s" s="18">
        <v>17</v>
      </c>
      <c r="B4" t="s" s="19">
        <v>18</v>
      </c>
      <c r="C4" s="20"/>
      <c r="D4" s="21">
        <v>1</v>
      </c>
      <c r="E4" s="21" cm="1">
        <f t="array" ref="E4">D4</f>
        <v>1</v>
      </c>
      <c r="F4" s="21" cm="1">
        <f t="array" ref="F4">D4</f>
        <v>1</v>
      </c>
      <c r="G4" t="s" s="22">
        <v>19</v>
      </c>
      <c r="H4" s="21">
        <v>12793750</v>
      </c>
      <c r="I4" s="21">
        <v>12770750</v>
      </c>
      <c r="J4" s="21">
        <v>12770750</v>
      </c>
      <c r="K4" s="21">
        <v>11</v>
      </c>
      <c r="L4" s="21" cm="1">
        <f t="array" ref="L4">IF(D4&gt;0,IF($D4&lt;=0,0,D4*H4),"")</f>
        <v>12793750</v>
      </c>
      <c r="M4" s="21" cm="1">
        <f t="array" ref="M4">IF(E4&gt;0,IF($D4&lt;=0,0,ROUND(E4*I4,2)),"")</f>
        <v>12770750</v>
      </c>
      <c r="N4" s="23" cm="1">
        <f t="array" ref="N4">IF(F4&gt;0,IF($D4&lt;=0,0,ROUND(F4*J4,2)),"")</f>
        <v>12770750</v>
      </c>
    </row>
    <row r="5" ht="20.5" customHeight="1">
      <c r="A5" t="s" s="18">
        <v>20</v>
      </c>
      <c r="B5" t="s" s="19">
        <v>21</v>
      </c>
      <c r="C5" s="24"/>
      <c r="D5" s="25">
        <v>1</v>
      </c>
      <c r="E5" s="26" cm="1">
        <f t="array" ref="E5">D5</f>
        <v>1</v>
      </c>
      <c r="F5" s="26" cm="1">
        <f t="array" ref="F5">D5</f>
        <v>1</v>
      </c>
      <c r="G5" t="s" s="27">
        <v>19</v>
      </c>
      <c r="H5" s="26">
        <v>660000</v>
      </c>
      <c r="I5" s="26">
        <v>638000</v>
      </c>
      <c r="J5" s="26">
        <v>638000</v>
      </c>
      <c r="K5" s="26">
        <v>11</v>
      </c>
      <c r="L5" s="26" cm="1">
        <f t="array" ref="L5">IF(D5&gt;0,IF($D5&lt;=0,0,D5*H5),"")</f>
        <v>660000</v>
      </c>
      <c r="M5" s="26" cm="1">
        <f t="array" ref="M5">IF(E5&gt;0,IF($D5&lt;=0,0,ROUND(E5*I5,2)),"")</f>
        <v>638000</v>
      </c>
      <c r="N5" s="28" cm="1">
        <f t="array" ref="N5">IF(F5&gt;0,IF($D5&lt;=0,0,ROUND(F5*J5,2)),"")</f>
        <v>638000</v>
      </c>
    </row>
    <row r="6" ht="20.5" customHeight="1">
      <c r="A6" t="s" s="18">
        <v>22</v>
      </c>
      <c r="B6" t="s" s="19">
        <v>23</v>
      </c>
      <c r="C6" s="20"/>
      <c r="D6" s="21">
        <v>1</v>
      </c>
      <c r="E6" s="21" cm="1">
        <f t="array" ref="E6">D6</f>
        <v>1</v>
      </c>
      <c r="F6" s="21" cm="1">
        <f t="array" ref="F6">D6</f>
        <v>1</v>
      </c>
      <c r="G6" t="s" s="22">
        <v>19</v>
      </c>
      <c r="H6" s="21">
        <v>5289000</v>
      </c>
      <c r="I6" s="21">
        <v>5279000</v>
      </c>
      <c r="J6" s="21">
        <v>5279000</v>
      </c>
      <c r="K6" s="21">
        <v>11</v>
      </c>
      <c r="L6" s="21" cm="1">
        <f t="array" ref="L6">IF(D6&gt;0,IF($D6&lt;=0,0,D6*H6),"")</f>
        <v>5289000</v>
      </c>
      <c r="M6" s="21" cm="1">
        <f t="array" ref="M6">IF(E6&gt;0,IF($D6&lt;=0,0,ROUND(E6*I6,2)),"")</f>
        <v>5279000</v>
      </c>
      <c r="N6" s="23" cm="1">
        <f t="array" ref="N6">IF(F6&gt;0,IF($D6&lt;=0,0,ROUND(F6*J6,2)),"")</f>
        <v>5279000</v>
      </c>
    </row>
    <row r="7" ht="20.5" customHeight="1">
      <c r="A7" s="29"/>
      <c r="B7" t="s" s="19">
        <v>24</v>
      </c>
      <c r="C7" s="24"/>
      <c r="D7" s="30"/>
      <c r="E7" s="26"/>
      <c r="F7" s="26"/>
      <c r="G7" s="30"/>
      <c r="H7" s="26"/>
      <c r="I7" s="30"/>
      <c r="J7" s="30"/>
      <c r="K7" s="26"/>
      <c r="L7" t="str" s="30" cm="1">
        <f t="array" ref="L7">IF(D7&gt;0,IF($D7&lt;=0,0,D7*H7),"")</f>
      </c>
      <c r="M7" t="str" s="30" cm="1">
        <f t="array" ref="M7">IF(E7&gt;0,IF($D7&lt;=0,0,ROUND(E7*I7,2)),"")</f>
      </c>
      <c r="N7" t="str" s="31" cm="1">
        <f t="array" ref="N7">IF(F7&gt;0,IF($D7&lt;=0,0,ROUND(F7*J7,2)),"")</f>
      </c>
    </row>
    <row r="8" ht="20.5" customHeight="1">
      <c r="A8" t="s" s="18">
        <v>25</v>
      </c>
      <c r="B8" t="s" s="19">
        <v>26</v>
      </c>
      <c r="C8" s="20"/>
      <c r="D8" s="21">
        <v>118.8</v>
      </c>
      <c r="E8" s="21" cm="1">
        <f t="array" ref="E8">D8</f>
        <v>118.8</v>
      </c>
      <c r="F8" s="21" cm="1">
        <f t="array" ref="F8">D8</f>
        <v>118.8</v>
      </c>
      <c r="G8" t="s" s="22">
        <v>27</v>
      </c>
      <c r="H8" s="21">
        <v>35065.04</v>
      </c>
      <c r="I8" s="21">
        <v>35018.61</v>
      </c>
      <c r="J8" s="21">
        <v>35018.61</v>
      </c>
      <c r="K8" s="21">
        <v>11</v>
      </c>
      <c r="L8" s="21" cm="1">
        <f t="array" ref="L8">IF(D8&gt;0,IF($D8&lt;=0,0,D8*H8),"")</f>
        <v>4165726.752</v>
      </c>
      <c r="M8" s="21" cm="1">
        <f t="array" ref="M8">IF(E8&gt;0,IF($D8&lt;=0,0,ROUND(E8*I8,2)),"")</f>
        <v>4160210.87</v>
      </c>
      <c r="N8" s="23" cm="1">
        <f t="array" ref="N8">IF(F8&gt;0,IF($D8&lt;=0,0,ROUND(F8*J8,2)),"")</f>
        <v>4160210.87</v>
      </c>
    </row>
    <row r="9" ht="20.5" customHeight="1">
      <c r="A9" s="29"/>
      <c r="B9" t="s" s="19">
        <v>28</v>
      </c>
      <c r="C9" s="24"/>
      <c r="D9" s="30"/>
      <c r="E9" s="26"/>
      <c r="F9" s="26"/>
      <c r="G9" s="30"/>
      <c r="H9" s="26"/>
      <c r="I9" s="30"/>
      <c r="J9" s="30"/>
      <c r="K9" s="26"/>
      <c r="L9" t="str" s="30" cm="1">
        <f t="array" ref="L9">IF(D9&gt;0,IF($D9&lt;=0,0,D9*H9),"")</f>
      </c>
      <c r="M9" t="str" s="30" cm="1">
        <f t="array" ref="M9">IF(E9&gt;0,IF($D9&lt;=0,0,ROUND(E9*I9,2)),"")</f>
      </c>
      <c r="N9" t="str" s="31" cm="1">
        <f t="array" ref="N9">IF(F9&gt;0,IF($D9&lt;=0,0,ROUND(F9*J9,2)),"")</f>
      </c>
    </row>
    <row r="10" ht="20.5" customHeight="1">
      <c r="A10" t="s" s="18">
        <v>29</v>
      </c>
      <c r="B10" t="s" s="19">
        <v>30</v>
      </c>
      <c r="C10" s="20"/>
      <c r="D10" s="21">
        <v>2185</v>
      </c>
      <c r="E10" s="21" cm="1">
        <f t="array" ref="E10">D10</f>
        <v>2185</v>
      </c>
      <c r="F10" s="21" cm="1">
        <f t="array" ref="F10">D10</f>
        <v>2185</v>
      </c>
      <c r="G10" t="s" s="22">
        <v>27</v>
      </c>
      <c r="H10" s="21">
        <v>44543.07</v>
      </c>
      <c r="I10" s="21">
        <v>44495.18</v>
      </c>
      <c r="J10" s="21">
        <v>44495.18</v>
      </c>
      <c r="K10" s="21">
        <v>11</v>
      </c>
      <c r="L10" s="21" cm="1">
        <f t="array" ref="L10">IF(D10&gt;0,IF($D10&lt;=0,0,D10*H10),"")</f>
        <v>97326607.95</v>
      </c>
      <c r="M10" s="21" cm="1">
        <f t="array" ref="M10">IF(E10&gt;0,IF($D10&lt;=0,0,ROUND(E10*I10,2)),"")</f>
        <v>97221968.3</v>
      </c>
      <c r="N10" s="23" cm="1">
        <f t="array" ref="N10">IF(F10&gt;0,IF($D10&lt;=0,0,ROUND(F10*J10,2)),"")</f>
        <v>97221968.3</v>
      </c>
    </row>
    <row r="11" ht="20.5" customHeight="1">
      <c r="A11" t="s" s="18">
        <v>31</v>
      </c>
      <c r="B11" t="s" s="19">
        <v>32</v>
      </c>
      <c r="C11" s="24"/>
      <c r="D11" s="25">
        <v>310.5</v>
      </c>
      <c r="E11" s="26" cm="1">
        <f t="array" ref="E11">D11</f>
        <v>310.5</v>
      </c>
      <c r="F11" s="26" cm="1">
        <f t="array" ref="F11">D11</f>
        <v>310.5</v>
      </c>
      <c r="G11" t="s" s="27">
        <v>27</v>
      </c>
      <c r="H11" s="26">
        <v>156986.36</v>
      </c>
      <c r="I11" s="26">
        <v>156981.81</v>
      </c>
      <c r="J11" s="26">
        <v>156981.81</v>
      </c>
      <c r="K11" s="26">
        <v>11</v>
      </c>
      <c r="L11" s="26" cm="1">
        <f t="array" ref="L11">IF(D11&gt;0,IF($D11&lt;=0,0,D11*H11),"")</f>
        <v>48744264.78</v>
      </c>
      <c r="M11" s="26" cm="1">
        <f t="array" ref="M11">IF(E11&gt;0,IF($D11&lt;=0,0,ROUND(E11*I11,2)),"")</f>
        <v>48742852.01</v>
      </c>
      <c r="N11" s="28" cm="1">
        <f t="array" ref="N11">IF(F11&gt;0,IF($D11&lt;=0,0,ROUND(F11*J11,2)),"")</f>
        <v>48742852.01</v>
      </c>
    </row>
    <row r="12" ht="20.5" customHeight="1">
      <c r="A12" t="s" s="18">
        <v>33</v>
      </c>
      <c r="B12" t="s" s="19">
        <v>34</v>
      </c>
      <c r="C12" s="20"/>
      <c r="D12" s="21">
        <v>2115</v>
      </c>
      <c r="E12" s="21" cm="1">
        <f t="array" ref="E12">D12</f>
        <v>2115</v>
      </c>
      <c r="F12" s="21" cm="1">
        <f t="array" ref="F12">D12</f>
        <v>2115</v>
      </c>
      <c r="G12" t="s" s="22">
        <v>35</v>
      </c>
      <c r="H12" s="21">
        <v>2996.59</v>
      </c>
      <c r="I12" s="32">
        <v>2994.89</v>
      </c>
      <c r="J12" s="32">
        <v>2994.89</v>
      </c>
      <c r="K12" s="21">
        <v>11</v>
      </c>
      <c r="L12" s="21" cm="1">
        <f t="array" ref="L12">IF(D12&gt;0,IF($D12&lt;=0,0,D12*H12),"")</f>
        <v>6337787.85</v>
      </c>
      <c r="M12" s="21" cm="1">
        <f t="array" ref="M12">IF(E12&gt;0,IF($D12&lt;=0,0,ROUND(E12*I12,2)),"")</f>
        <v>6334192.35</v>
      </c>
      <c r="N12" s="23" cm="1">
        <f t="array" ref="N12">IF(F12&gt;0,IF($D12&lt;=0,0,ROUND(F12*J12,2)),"")</f>
        <v>6334192.35</v>
      </c>
    </row>
    <row r="13" ht="20.5" customHeight="1">
      <c r="A13" s="29"/>
      <c r="B13" t="s" s="19">
        <v>36</v>
      </c>
      <c r="C13" s="24"/>
      <c r="D13" s="26"/>
      <c r="E13" s="26"/>
      <c r="F13" s="26"/>
      <c r="G13" s="30"/>
      <c r="H13" s="30"/>
      <c r="I13" s="30"/>
      <c r="J13" s="30"/>
      <c r="K13" s="26"/>
      <c r="L13" t="str" s="30" cm="1">
        <f t="array" ref="L13">IF(D13&gt;0,IF($D13&lt;=0,0,D13*H13),"")</f>
      </c>
      <c r="M13" s="26"/>
      <c r="N13" s="28"/>
    </row>
    <row r="14" ht="20.6" customHeight="1">
      <c r="A14" s="33">
        <v>1</v>
      </c>
      <c r="B14" t="s" s="34">
        <v>37</v>
      </c>
      <c r="C14" s="35"/>
      <c r="D14" s="36">
        <v>1</v>
      </c>
      <c r="E14" s="36" cm="1">
        <f t="array" ref="E14">D14</f>
        <v>1</v>
      </c>
      <c r="F14" s="36" cm="1">
        <f t="array" ref="F14">D14</f>
        <v>1</v>
      </c>
      <c r="G14" t="s" s="37">
        <v>19</v>
      </c>
      <c r="H14" s="36">
        <v>383102.54</v>
      </c>
      <c r="I14" s="36">
        <v>382779.25</v>
      </c>
      <c r="J14" s="36">
        <v>382779.25</v>
      </c>
      <c r="K14" s="36">
        <v>0</v>
      </c>
      <c r="L14" s="36" cm="1">
        <f t="array" ref="L14">IF(D14&gt;0,IF($D14&lt;=0,0,D14*H14),"")</f>
        <v>383102.54</v>
      </c>
      <c r="M14" s="36" cm="1">
        <f t="array" ref="M14">IF(E14&gt;0,IF($D14&lt;=0,0,ROUND(E14*I14,2)),"")</f>
        <v>382779.25</v>
      </c>
      <c r="N14" s="38" cm="1">
        <f t="array" ref="N14">IF(F14&gt;0,IF($D14&lt;=0,0,ROUND(F14*J14,2)),"")</f>
        <v>382779.25</v>
      </c>
    </row>
    <row r="15" ht="8.75" customHeight="1" hidden="1">
      <c r="A15" s="39"/>
      <c r="B15" s="40"/>
      <c r="C15" s="41"/>
      <c r="D15" s="42"/>
      <c r="E15" s="42"/>
      <c r="F15" s="42"/>
      <c r="G15" s="43"/>
      <c r="H15" s="42"/>
      <c r="I15" s="42"/>
      <c r="J15" s="42"/>
      <c r="K15" s="42"/>
      <c r="L15" s="42"/>
      <c r="M15" s="42"/>
      <c r="N15" s="44"/>
    </row>
    <row r="16" ht="8.75" customHeight="1" hidden="1">
      <c r="A16" s="39"/>
      <c r="B16" s="40"/>
      <c r="C16" s="45"/>
      <c r="D16" s="46"/>
      <c r="E16" s="46"/>
      <c r="F16" s="46"/>
      <c r="G16" s="47"/>
      <c r="H16" s="46"/>
      <c r="I16" s="46"/>
      <c r="J16" s="46"/>
      <c r="K16" s="46"/>
      <c r="L16" s="46"/>
      <c r="M16" s="46"/>
      <c r="N16" s="48"/>
    </row>
    <row r="17" ht="8.75" customHeight="1" hidden="1">
      <c r="A17" s="39"/>
      <c r="B17" s="40"/>
      <c r="C17" s="41"/>
      <c r="D17" s="42"/>
      <c r="E17" s="42"/>
      <c r="F17" s="42"/>
      <c r="G17" s="43"/>
      <c r="H17" s="42"/>
      <c r="I17" s="42"/>
      <c r="J17" s="42"/>
      <c r="K17" s="42"/>
      <c r="L17" s="42"/>
      <c r="M17" s="42"/>
      <c r="N17" s="44"/>
    </row>
    <row r="18" ht="8.75" customHeight="1" hidden="1">
      <c r="A18" s="39"/>
      <c r="B18" s="40"/>
      <c r="C18" s="45"/>
      <c r="D18" s="46"/>
      <c r="E18" s="46"/>
      <c r="F18" s="46"/>
      <c r="G18" s="47"/>
      <c r="H18" s="46"/>
      <c r="I18" s="46"/>
      <c r="J18" s="46"/>
      <c r="K18" s="46"/>
      <c r="L18" s="46"/>
      <c r="M18" s="46"/>
      <c r="N18" s="48"/>
    </row>
    <row r="19" ht="8.75" customHeight="1" hidden="1">
      <c r="A19" s="39"/>
      <c r="B19" s="40"/>
      <c r="C19" s="41"/>
      <c r="D19" s="42"/>
      <c r="E19" s="42"/>
      <c r="F19" s="42"/>
      <c r="G19" s="43"/>
      <c r="H19" s="42"/>
      <c r="I19" s="42"/>
      <c r="J19" s="42"/>
      <c r="K19" s="42"/>
      <c r="L19" s="42"/>
      <c r="M19" s="42"/>
      <c r="N19" s="44"/>
    </row>
    <row r="20" ht="8.75" customHeight="1" hidden="1">
      <c r="A20" s="39"/>
      <c r="B20" s="40"/>
      <c r="C20" s="45"/>
      <c r="D20" s="46"/>
      <c r="E20" s="46"/>
      <c r="F20" s="46"/>
      <c r="G20" s="47"/>
      <c r="H20" s="46"/>
      <c r="I20" s="46"/>
      <c r="J20" s="46"/>
      <c r="K20" s="46"/>
      <c r="L20" s="46"/>
      <c r="M20" s="46"/>
      <c r="N20" s="48"/>
    </row>
    <row r="21" ht="8.75" customHeight="1" hidden="1">
      <c r="A21" s="39"/>
      <c r="B21" s="40"/>
      <c r="C21" s="41"/>
      <c r="D21" s="42"/>
      <c r="E21" s="42"/>
      <c r="F21" s="42"/>
      <c r="G21" s="43"/>
      <c r="H21" s="43"/>
      <c r="I21" s="43"/>
      <c r="J21" s="43"/>
      <c r="K21" s="42"/>
      <c r="L21" s="43"/>
      <c r="M21" s="43"/>
      <c r="N21" s="49"/>
    </row>
    <row r="22" ht="8.75" customHeight="1" hidden="1">
      <c r="A22" s="39"/>
      <c r="B22" s="40"/>
      <c r="C22" s="45"/>
      <c r="D22" s="46"/>
      <c r="E22" s="46"/>
      <c r="F22" s="46"/>
      <c r="G22" s="47"/>
      <c r="H22" s="50"/>
      <c r="I22" s="50"/>
      <c r="J22" s="50"/>
      <c r="K22" s="46"/>
      <c r="L22" s="46"/>
      <c r="M22" s="46"/>
      <c r="N22" s="48"/>
    </row>
    <row r="23" ht="8.75" customHeight="1" hidden="1">
      <c r="A23" s="39"/>
      <c r="B23" s="40"/>
      <c r="C23" s="41"/>
      <c r="D23" s="42"/>
      <c r="E23" s="42"/>
      <c r="F23" s="42"/>
      <c r="G23" s="43"/>
      <c r="H23" s="43"/>
      <c r="I23" s="43"/>
      <c r="J23" s="43"/>
      <c r="K23" s="42"/>
      <c r="L23" s="43"/>
      <c r="M23" s="43"/>
      <c r="N23" s="49"/>
    </row>
    <row r="24" ht="8.75" customHeight="1" hidden="1">
      <c r="A24" s="39"/>
      <c r="B24" s="40"/>
      <c r="C24" s="45"/>
      <c r="D24" s="46"/>
      <c r="E24" s="46"/>
      <c r="F24" s="46"/>
      <c r="G24" s="47"/>
      <c r="H24" s="46"/>
      <c r="I24" s="46"/>
      <c r="J24" s="46"/>
      <c r="K24" s="46"/>
      <c r="L24" s="46"/>
      <c r="M24" s="46"/>
      <c r="N24" s="48"/>
    </row>
    <row r="25" ht="8.75" customHeight="1" hidden="1">
      <c r="A25" s="39"/>
      <c r="B25" s="40"/>
      <c r="C25" s="41"/>
      <c r="D25" s="42"/>
      <c r="E25" s="42"/>
      <c r="F25" s="42"/>
      <c r="G25" s="43"/>
      <c r="H25" s="42"/>
      <c r="I25" s="42"/>
      <c r="J25" s="42"/>
      <c r="K25" s="42"/>
      <c r="L25" s="42"/>
      <c r="M25" s="42"/>
      <c r="N25" s="44"/>
    </row>
    <row r="26" ht="8.75" customHeight="1" hidden="1">
      <c r="A26" s="51"/>
      <c r="B26" s="40"/>
      <c r="C26" s="45"/>
      <c r="D26" s="46"/>
      <c r="E26" s="46"/>
      <c r="F26" s="46"/>
      <c r="G26" s="47"/>
      <c r="H26" s="46"/>
      <c r="I26" s="46"/>
      <c r="J26" s="46"/>
      <c r="K26" s="46"/>
      <c r="L26" s="46"/>
      <c r="M26" s="46"/>
      <c r="N26" s="48"/>
    </row>
    <row r="27" ht="8.75" customHeight="1" hidden="1">
      <c r="A27" s="51"/>
      <c r="B27" s="40"/>
      <c r="C27" s="41"/>
      <c r="D27" s="42"/>
      <c r="E27" s="42"/>
      <c r="F27" s="42"/>
      <c r="G27" s="43"/>
      <c r="H27" s="42"/>
      <c r="I27" s="42"/>
      <c r="J27" s="42"/>
      <c r="K27" s="42"/>
      <c r="L27" s="42"/>
      <c r="M27" s="42"/>
      <c r="N27" s="44"/>
    </row>
    <row r="28" ht="8.75" customHeight="1" hidden="1">
      <c r="A28" s="39"/>
      <c r="B28" s="40"/>
      <c r="C28" s="45"/>
      <c r="D28" s="46"/>
      <c r="E28" s="46"/>
      <c r="F28" s="46"/>
      <c r="G28" s="47"/>
      <c r="H28" s="46"/>
      <c r="I28" s="46"/>
      <c r="J28" s="46"/>
      <c r="K28" s="46"/>
      <c r="L28" s="47"/>
      <c r="M28" s="47"/>
      <c r="N28" s="52"/>
    </row>
    <row r="29" ht="8.75" customHeight="1" hidden="1">
      <c r="A29" s="39"/>
      <c r="B29" s="40"/>
      <c r="C29" s="41"/>
      <c r="D29" s="42"/>
      <c r="E29" s="42"/>
      <c r="F29" s="42"/>
      <c r="G29" s="43"/>
      <c r="H29" s="42"/>
      <c r="I29" s="42"/>
      <c r="J29" s="42"/>
      <c r="K29" s="42"/>
      <c r="L29" s="42"/>
      <c r="M29" s="42"/>
      <c r="N29" s="44"/>
    </row>
    <row r="30" ht="8.75" customHeight="1" hidden="1">
      <c r="A30" s="39"/>
      <c r="B30" s="40"/>
      <c r="C30" s="45"/>
      <c r="D30" s="46"/>
      <c r="E30" s="46"/>
      <c r="F30" s="46"/>
      <c r="G30" s="47"/>
      <c r="H30" s="46"/>
      <c r="I30" s="46"/>
      <c r="J30" s="46"/>
      <c r="K30" s="46"/>
      <c r="L30" s="47"/>
      <c r="M30" s="47"/>
      <c r="N30" s="52"/>
    </row>
    <row r="31" ht="20.85" customHeight="1">
      <c r="A31" s="53"/>
      <c r="B31" s="54"/>
      <c r="C31" s="54"/>
      <c r="D31" s="55"/>
      <c r="E31" s="55"/>
      <c r="F31" s="55"/>
      <c r="G31" s="56"/>
      <c r="H31" s="56"/>
      <c r="I31" s="54"/>
      <c r="J31" s="57"/>
      <c r="K31" t="s" s="58">
        <v>38</v>
      </c>
      <c r="L31" s="59" cm="1">
        <f t="array" ref="L31">SUM(L1:L30)</f>
        <v>175700239.872</v>
      </c>
      <c r="M31" s="59" cm="1">
        <f t="array" ref="M31">SUM(M1:M30)</f>
        <v>175529752.78</v>
      </c>
      <c r="N31" s="59" cm="1">
        <f t="array" ref="N31">SUM(N1:N30)</f>
        <v>175529752.78</v>
      </c>
    </row>
    <row r="32" ht="21" customHeight="1">
      <c r="A32" s="60"/>
      <c r="B32" t="s" s="61">
        <v>39</v>
      </c>
      <c r="C32" s="62"/>
      <c r="D32" s="63" cm="1">
        <f t="array" ref="D32">ROUND(IF(L32&lt;=100000000,L32*0.24%,IF(AND(L32&gt;100000000,L32&lt;=500000000),100000000*0.24%+(L32-100000000)*0.19%,IF(AND(L32&gt;500000000,L32&lt;=1000000000),100000000*0.24%+400000000*0.19%+(L32-500000000)*0.15%,IF(AND(L32&gt;1000000000,L32&lt;=5000000000),100000000*0.24%+400000000*0.19%+500000000*0.15%+(L32-1000000000)*0.12%,IF(L32&gt;5000000000,100000000*0.24%+400000000*0.19%+500000000*0.15%+4000000000*0.12%+(L32-5000000000)*0.1%,"Bingung komputer"))))),2)</f>
        <v>383102.56</v>
      </c>
      <c r="E32" s="64" cm="1">
        <f t="array" ref="E32">ROUND(IF(M32&lt;=100000000,M32*0.24%,IF(AND(M32&gt;100000000,M32&lt;=500000000),100000000*0.24%+(M32-100000000)*0.19%,IF(AND(M32&gt;500000000,M32&lt;=1000000000),100000000*0.24%+400000000*0.19%+(M32-500000000)*0.15%,IF(AND(M32&gt;1000000000,M32&lt;=5000000000),100000000*0.24%+400000000*0.19%+500000000*0.15%+(M32-1000000000)*0.12%,IF(M32&gt;5000000000,100000000*0.24%+400000000*0.19%+500000000*0.15%+4000000000*0.12%+(M32-5000000000)*0.1%,"Bingung komputer"))))),2)</f>
        <v>382779.25</v>
      </c>
      <c r="F32" s="64" cm="1">
        <f t="array" ref="F32">ROUND(IF(N32&lt;=100000000,N32*0.24%,IF(AND(N32&gt;100000000,N32&lt;=500000000),100000000*0.24%+(N32-100000000)*0.19%,IF(AND(N32&gt;500000000,N32&lt;=1000000000),100000000*0.24%+400000000*0.19%+(N32-500000000)*0.15%,IF(AND(N32&gt;1000000000,N32&lt;=5000000000),100000000*0.24%+400000000*0.19%+500000000*0.15%+(N32-1000000000)*0.12%,IF(N32&gt;5000000000,100000000*0.24%+400000000*0.19%+500000000*0.15%+4000000000*0.12%+(N32-5000000000)*0.1%,"Bingung komputer"))))),2)</f>
        <v>382779.25</v>
      </c>
      <c r="G32" s="65"/>
      <c r="H32" s="66"/>
      <c r="I32" s="62"/>
      <c r="J32" s="67"/>
      <c r="K32" t="str" s="67" cm="1">
        <f t="array" ref="K32">"Jumlah Terkena Pajak "&amp;MAX(K3:K30)&amp;"% (B)"</f>
        <v>Jumlah Terkena Pajak 11,00% (B)</v>
      </c>
      <c r="L32" s="68" cm="1">
        <f t="array" ref="L32">SUMIF($K3:$K30,"&gt;0",L3:L30)</f>
        <v>175317137.332</v>
      </c>
      <c r="M32" s="69" cm="1">
        <f t="array" ref="M32">SUMIF($K3:$K30,"&gt;0",M3:M30)</f>
        <v>175146973.53</v>
      </c>
      <c r="N32" s="69" cm="1">
        <f t="array" ref="N32">SUMIF($K3:$K30,"&gt;0",N3:N30)</f>
        <v>175146973.53</v>
      </c>
    </row>
    <row r="33" ht="21" customHeight="1">
      <c r="A33" s="70"/>
      <c r="B33" s="71"/>
      <c r="C33" s="71"/>
      <c r="D33" s="72"/>
      <c r="E33" s="72"/>
      <c r="F33" s="71"/>
      <c r="G33" s="72"/>
      <c r="H33" s="72"/>
      <c r="I33" s="71"/>
      <c r="J33" s="73"/>
      <c r="K33" t="str" s="73" cm="1">
        <f t="array" ref="K33">"PPN (C) = "&amp;MAX(K3:K30)&amp;"% x B"</f>
        <v>PPN (C) = 11,00% x B</v>
      </c>
      <c r="L33" s="74" cm="1">
        <f t="array" ref="L33">L32*MAX($K3:$K30)%</f>
        <v>19284885.10652</v>
      </c>
      <c r="M33" s="69" cm="1">
        <f t="array" ref="M33">M32*MAX($K3:$K30)%</f>
        <v>19266167.0883</v>
      </c>
      <c r="N33" s="69" cm="1">
        <f t="array" ref="N33">N32*MAX($K3:$K30)%</f>
        <v>19266167.0883</v>
      </c>
    </row>
    <row r="34" ht="21" customHeight="1">
      <c r="A34" s="70"/>
      <c r="B34" s="71"/>
      <c r="C34" s="71"/>
      <c r="D34" s="72"/>
      <c r="E34" s="72"/>
      <c r="F34" s="72"/>
      <c r="G34" s="72"/>
      <c r="H34" s="72"/>
      <c r="I34" s="71"/>
      <c r="J34" s="73"/>
      <c r="K34" t="s" s="75">
        <v>42</v>
      </c>
      <c r="L34" s="76" cm="1">
        <f t="array" ref="L34">L31+L33</f>
        <v>194985124.97852</v>
      </c>
      <c r="M34" s="69" cm="1">
        <f t="array" ref="M34">M31+M33</f>
        <v>194795919.8683</v>
      </c>
      <c r="N34" s="69" cm="1">
        <f t="array" ref="N34">N31+N33</f>
        <v>194795919.8683</v>
      </c>
    </row>
    <row r="35" ht="20.5" customHeight="1">
      <c r="A35" s="70"/>
      <c r="B35" s="71"/>
      <c r="C35" s="71"/>
      <c r="D35" s="72"/>
      <c r="E35" s="72"/>
      <c r="F35" s="72"/>
      <c r="G35" s="72"/>
      <c r="H35" s="72"/>
      <c r="I35" s="71"/>
      <c r="J35" s="73"/>
      <c r="K35" t="s" s="75">
        <v>43</v>
      </c>
      <c r="L35" s="68" cm="1">
        <f t="array" ref="L35">ROUNDDOWN(L34,2)</f>
        <v>194985124.97</v>
      </c>
      <c r="M35" s="68" cm="1">
        <f t="array" ref="M35">ROUNDDOWN(M34,2)</f>
        <v>194795919.86</v>
      </c>
      <c r="N35" s="68" cm="1">
        <f t="array" ref="N35">ROUNDDOWN(N34,-3)</f>
        <v>194795000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N30"/>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77" customWidth="1"/>
    <col min="2" max="2" width="43.0312" style="77" customWidth="1"/>
    <col min="3" max="3" width="2.75" style="77" customWidth="1"/>
    <col min="4" max="6" width="10.3672" style="77" customWidth="1"/>
    <col min="7" max="7" width="11.6875" style="77" customWidth="1"/>
    <col min="8" max="11" width="13.5156" style="77" customWidth="1"/>
    <col min="12" max="14" width="14.2344" style="77" customWidth="1"/>
    <col min="15" max="16384" width="16.3516" style="77"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16</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t="s" s="18">
        <v>17</v>
      </c>
      <c r="B4" t="s" s="19">
        <v>18</v>
      </c>
      <c r="C4" s="20"/>
      <c r="D4" s="21">
        <v>1</v>
      </c>
      <c r="E4" s="21" cm="1">
        <f t="array" ref="E4">D4</f>
        <v>1</v>
      </c>
      <c r="F4" s="21" cm="1">
        <f t="array" ref="F4">D4</f>
        <v>1</v>
      </c>
      <c r="G4" t="s" s="22">
        <v>19</v>
      </c>
      <c r="H4" s="21">
        <v>27750000</v>
      </c>
      <c r="I4" s="21">
        <v>27710000</v>
      </c>
      <c r="J4" s="21">
        <v>27710000</v>
      </c>
      <c r="K4" s="21">
        <v>11</v>
      </c>
      <c r="L4" s="21" cm="1">
        <f t="array" ref="L4">IF(D4&gt;0,IF($D4&lt;=0,0,D4*H4),"")</f>
        <v>27750000</v>
      </c>
      <c r="M4" s="21" cm="1">
        <f t="array" ref="M4">IF(E4&gt;0,IF($D4&lt;=0,0,ROUND(E4*I4,2)),"")</f>
        <v>27710000</v>
      </c>
      <c r="N4" s="23" cm="1">
        <f t="array" ref="N4">IF(F4&gt;0,IF($D4&lt;=0,0,ROUND(F4*J4,2)),"")</f>
        <v>27710000</v>
      </c>
    </row>
    <row r="5" ht="20.5" customHeight="1">
      <c r="A5" s="29"/>
      <c r="B5" t="s" s="19">
        <v>45</v>
      </c>
      <c r="C5" s="24"/>
      <c r="D5" s="30"/>
      <c r="E5" s="26"/>
      <c r="F5" s="26"/>
      <c r="G5" s="30"/>
      <c r="H5" s="26"/>
      <c r="I5" s="30"/>
      <c r="J5" s="30"/>
      <c r="K5" s="26"/>
      <c r="L5" t="str" s="30" cm="1">
        <f t="array" ref="L5">IF(D5&gt;0,IF($D5&lt;=0,0,D5*H5),"")</f>
      </c>
      <c r="M5" t="str" s="30" cm="1">
        <f t="array" ref="M5">IF(E5&gt;0,IF($D5&lt;=0,0,ROUND(E5*I5,2)),"")</f>
      </c>
      <c r="N5" t="str" s="31" cm="1">
        <f t="array" ref="N5">IF(F5&gt;0,IF($D5&lt;=0,0,ROUND(F5*J5,2)),"")</f>
      </c>
    </row>
    <row r="6" ht="20.5" customHeight="1">
      <c r="A6" t="s" s="18">
        <v>46</v>
      </c>
      <c r="B6" t="s" s="19">
        <v>47</v>
      </c>
      <c r="C6" s="20"/>
      <c r="D6" s="78">
        <v>508</v>
      </c>
      <c r="E6" s="21" cm="1">
        <f t="array" ref="E6">D6</f>
        <v>508</v>
      </c>
      <c r="F6" s="21" cm="1">
        <f t="array" ref="F6">D6</f>
        <v>508</v>
      </c>
      <c r="G6" t="s" s="22">
        <v>27</v>
      </c>
      <c r="H6" s="21">
        <v>278997.31</v>
      </c>
      <c r="I6" s="21">
        <v>278997.31</v>
      </c>
      <c r="J6" s="21">
        <v>278997.31</v>
      </c>
      <c r="K6" s="21">
        <v>11</v>
      </c>
      <c r="L6" s="21" cm="1">
        <f t="array" ref="L6">IF(D6&gt;0,IF($D6&lt;=0,0,D6*H6),"")</f>
        <v>141730633.48</v>
      </c>
      <c r="M6" s="21" cm="1">
        <f t="array" ref="M6">IF(E6&gt;0,IF($D6&lt;=0,0,ROUND(E6*I6,2)),"")</f>
        <v>141730633.48</v>
      </c>
      <c r="N6" s="23" cm="1">
        <f t="array" ref="N6">IF(F6&gt;0,IF($D6&lt;=0,0,ROUND(F6*J6,2)),"")</f>
        <v>141730633.48</v>
      </c>
    </row>
    <row r="7" ht="20.5" customHeight="1">
      <c r="A7" t="s" s="18">
        <v>33</v>
      </c>
      <c r="B7" t="s" s="19">
        <v>34</v>
      </c>
      <c r="C7" s="24"/>
      <c r="D7" s="26">
        <v>3175</v>
      </c>
      <c r="E7" s="26" cm="1">
        <f t="array" ref="E7">D7</f>
        <v>3175</v>
      </c>
      <c r="F7" s="26" cm="1">
        <f t="array" ref="F7">D7</f>
        <v>3175</v>
      </c>
      <c r="G7" t="s" s="27">
        <v>27</v>
      </c>
      <c r="H7" s="26">
        <v>1817.45</v>
      </c>
      <c r="I7" s="26">
        <v>1816.25</v>
      </c>
      <c r="J7" s="26">
        <v>1816.25</v>
      </c>
      <c r="K7" s="26">
        <v>11</v>
      </c>
      <c r="L7" s="26" cm="1">
        <f t="array" ref="L7">IF(D7&gt;0,IF($D7&lt;=0,0,D7*H7),"")</f>
        <v>5770403.75</v>
      </c>
      <c r="M7" s="26" cm="1">
        <f t="array" ref="M7">IF(E7&gt;0,IF($D7&lt;=0,0,ROUND(E7*I7,2)),"")</f>
        <v>5766593.75</v>
      </c>
      <c r="N7" s="28" cm="1">
        <f t="array" ref="N7">IF(F7&gt;0,IF($D7&lt;=0,0,ROUND(F7*J7,2)),"")</f>
        <v>5766593.75</v>
      </c>
    </row>
    <row r="8" ht="20.5" customHeight="1">
      <c r="A8" s="29"/>
      <c r="B8" t="s" s="19">
        <v>36</v>
      </c>
      <c r="C8" s="20"/>
      <c r="D8" s="21"/>
      <c r="E8" s="21"/>
      <c r="F8" s="21"/>
      <c r="G8" s="79"/>
      <c r="H8" s="79"/>
      <c r="I8" s="79"/>
      <c r="J8" s="79"/>
      <c r="K8" s="21"/>
      <c r="L8" t="str" s="79" cm="1">
        <f t="array" ref="L8">IF(D8&gt;0,IF($D8&lt;=0,0,D8*H8),"")</f>
      </c>
      <c r="M8" s="21"/>
      <c r="N8" s="23"/>
    </row>
    <row r="9" ht="20.6" customHeight="1">
      <c r="A9" s="33">
        <v>1</v>
      </c>
      <c r="B9" t="s" s="34">
        <v>37</v>
      </c>
      <c r="C9" s="80"/>
      <c r="D9" s="81">
        <v>1</v>
      </c>
      <c r="E9" s="81" cm="1">
        <f t="array" ref="E9">D9</f>
        <v>1</v>
      </c>
      <c r="F9" s="81" cm="1">
        <f t="array" ref="F9">D9</f>
        <v>1</v>
      </c>
      <c r="G9" t="s" s="82">
        <v>19</v>
      </c>
      <c r="H9" s="81">
        <v>382977</v>
      </c>
      <c r="I9" s="81">
        <v>382894</v>
      </c>
      <c r="J9" s="81">
        <v>382894</v>
      </c>
      <c r="K9" s="81">
        <v>0</v>
      </c>
      <c r="L9" s="81" cm="1">
        <f t="array" ref="L9">IF(D9&gt;0,IF($D9&lt;=0,0,D9*H9),"")</f>
        <v>382977</v>
      </c>
      <c r="M9" s="81" cm="1">
        <f t="array" ref="M9">IF(E9&gt;0,IF($D9&lt;=0,0,ROUND(E9*I9,2)),"")</f>
        <v>382894</v>
      </c>
      <c r="N9" s="83" cm="1">
        <f t="array" ref="N9">IF(F9&gt;0,IF($D9&lt;=0,0,ROUND(F9*J9,2)),"")</f>
        <v>382894</v>
      </c>
    </row>
    <row r="10" ht="8.75" customHeight="1" hidden="1">
      <c r="A10" s="39"/>
      <c r="B10" s="40"/>
      <c r="C10" s="45"/>
      <c r="D10" s="46"/>
      <c r="E10" s="46"/>
      <c r="F10" s="46"/>
      <c r="G10" s="47"/>
      <c r="H10" s="46"/>
      <c r="I10" s="46"/>
      <c r="J10" s="46"/>
      <c r="K10" s="46"/>
      <c r="L10" s="46"/>
      <c r="M10" s="46"/>
      <c r="N10" s="48"/>
    </row>
    <row r="11" ht="8.75" customHeight="1" hidden="1">
      <c r="A11" s="39"/>
      <c r="B11" s="40"/>
      <c r="C11" s="41"/>
      <c r="D11" s="42"/>
      <c r="E11" s="42"/>
      <c r="F11" s="42"/>
      <c r="G11" s="43"/>
      <c r="H11" s="42"/>
      <c r="I11" s="42"/>
      <c r="J11" s="42"/>
      <c r="K11" s="42"/>
      <c r="L11" s="42"/>
      <c r="M11" s="42"/>
      <c r="N11" s="44"/>
    </row>
    <row r="12" ht="8.75" customHeight="1" hidden="1">
      <c r="A12" s="39"/>
      <c r="B12" s="40"/>
      <c r="C12" s="45"/>
      <c r="D12" s="46"/>
      <c r="E12" s="46"/>
      <c r="F12" s="46"/>
      <c r="G12" s="47"/>
      <c r="H12" s="46"/>
      <c r="I12" s="46"/>
      <c r="J12" s="46"/>
      <c r="K12" s="46"/>
      <c r="L12" s="46"/>
      <c r="M12" s="46"/>
      <c r="N12" s="48"/>
    </row>
    <row r="13" ht="8.75" customHeight="1" hidden="1">
      <c r="A13" s="39"/>
      <c r="B13" s="40"/>
      <c r="C13" s="41"/>
      <c r="D13" s="42"/>
      <c r="E13" s="42"/>
      <c r="F13" s="42"/>
      <c r="G13" s="43"/>
      <c r="H13" s="42"/>
      <c r="I13" s="42"/>
      <c r="J13" s="42"/>
      <c r="K13" s="42"/>
      <c r="L13" s="42"/>
      <c r="M13" s="42"/>
      <c r="N13" s="44"/>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2"/>
      <c r="I15" s="42"/>
      <c r="J15" s="42"/>
      <c r="K15" s="42"/>
      <c r="L15" s="42"/>
      <c r="M15" s="42"/>
      <c r="N15" s="44"/>
    </row>
    <row r="16" ht="8.75" customHeight="1" hidden="1">
      <c r="A16" s="39"/>
      <c r="B16" s="40"/>
      <c r="C16" s="45"/>
      <c r="D16" s="46"/>
      <c r="E16" s="46"/>
      <c r="F16" s="46"/>
      <c r="G16" s="47"/>
      <c r="H16" s="47"/>
      <c r="I16" s="47"/>
      <c r="J16" s="47"/>
      <c r="K16" s="46"/>
      <c r="L16" s="47"/>
      <c r="M16" s="47"/>
      <c r="N16" s="52"/>
    </row>
    <row r="17" ht="8.75" customHeight="1" hidden="1">
      <c r="A17" s="39"/>
      <c r="B17" s="40"/>
      <c r="C17" s="41"/>
      <c r="D17" s="42"/>
      <c r="E17" s="42"/>
      <c r="F17" s="42"/>
      <c r="G17" s="43"/>
      <c r="H17" s="84"/>
      <c r="I17" s="84"/>
      <c r="J17" s="84"/>
      <c r="K17" s="42"/>
      <c r="L17" s="42"/>
      <c r="M17" s="42"/>
      <c r="N17" s="44"/>
    </row>
    <row r="18" ht="8.75" customHeight="1" hidden="1">
      <c r="A18" s="39"/>
      <c r="B18" s="40"/>
      <c r="C18" s="45"/>
      <c r="D18" s="46"/>
      <c r="E18" s="46"/>
      <c r="F18" s="46"/>
      <c r="G18" s="47"/>
      <c r="H18" s="47"/>
      <c r="I18" s="47"/>
      <c r="J18" s="47"/>
      <c r="K18" s="46"/>
      <c r="L18" s="47"/>
      <c r="M18" s="47"/>
      <c r="N18" s="52"/>
    </row>
    <row r="19" ht="8.75" customHeight="1" hidden="1">
      <c r="A19" s="39"/>
      <c r="B19" s="40"/>
      <c r="C19" s="41"/>
      <c r="D19" s="42"/>
      <c r="E19" s="42"/>
      <c r="F19" s="42"/>
      <c r="G19" s="43"/>
      <c r="H19" s="42"/>
      <c r="I19" s="42"/>
      <c r="J19" s="42"/>
      <c r="K19" s="42"/>
      <c r="L19" s="42"/>
      <c r="M19" s="42"/>
      <c r="N19" s="44"/>
    </row>
    <row r="20" ht="8.75" customHeight="1" hidden="1">
      <c r="A20" s="39"/>
      <c r="B20" s="40"/>
      <c r="C20" s="45"/>
      <c r="D20" s="46"/>
      <c r="E20" s="46"/>
      <c r="F20" s="46"/>
      <c r="G20" s="47"/>
      <c r="H20" s="46"/>
      <c r="I20" s="46"/>
      <c r="J20" s="46"/>
      <c r="K20" s="46"/>
      <c r="L20" s="46"/>
      <c r="M20" s="46"/>
      <c r="N20" s="48"/>
    </row>
    <row r="21" ht="8.75" customHeight="1" hidden="1">
      <c r="A21" s="51"/>
      <c r="B21" s="40"/>
      <c r="C21" s="41"/>
      <c r="D21" s="42"/>
      <c r="E21" s="42"/>
      <c r="F21" s="42"/>
      <c r="G21" s="43"/>
      <c r="H21" s="42"/>
      <c r="I21" s="42"/>
      <c r="J21" s="42"/>
      <c r="K21" s="42"/>
      <c r="L21" s="42"/>
      <c r="M21" s="42"/>
      <c r="N21" s="44"/>
    </row>
    <row r="22" ht="8.75" customHeight="1" hidden="1">
      <c r="A22" s="51"/>
      <c r="B22" s="40"/>
      <c r="C22" s="45"/>
      <c r="D22" s="46"/>
      <c r="E22" s="46"/>
      <c r="F22" s="46"/>
      <c r="G22" s="47"/>
      <c r="H22" s="46"/>
      <c r="I22" s="46"/>
      <c r="J22" s="46"/>
      <c r="K22" s="46"/>
      <c r="L22" s="46"/>
      <c r="M22" s="46"/>
      <c r="N22" s="48"/>
    </row>
    <row r="23" ht="8.75" customHeight="1" hidden="1">
      <c r="A23" s="39"/>
      <c r="B23" s="40"/>
      <c r="C23" s="41"/>
      <c r="D23" s="42"/>
      <c r="E23" s="42"/>
      <c r="F23" s="42"/>
      <c r="G23" s="43"/>
      <c r="H23" s="42"/>
      <c r="I23" s="42"/>
      <c r="J23" s="42"/>
      <c r="K23" s="42"/>
      <c r="L23" s="43"/>
      <c r="M23" s="43"/>
      <c r="N23" s="49"/>
    </row>
    <row r="24" ht="8.75" customHeight="1" hidden="1">
      <c r="A24" s="39"/>
      <c r="B24" s="40"/>
      <c r="C24" s="45"/>
      <c r="D24" s="46"/>
      <c r="E24" s="46"/>
      <c r="F24" s="46"/>
      <c r="G24" s="47"/>
      <c r="H24" s="46"/>
      <c r="I24" s="46"/>
      <c r="J24" s="46"/>
      <c r="K24" s="46"/>
      <c r="L24" s="46"/>
      <c r="M24" s="46"/>
      <c r="N24" s="48"/>
    </row>
    <row r="25" ht="8.75" customHeight="1" hidden="1">
      <c r="A25" s="39"/>
      <c r="B25" s="40"/>
      <c r="C25" s="41"/>
      <c r="D25" s="42"/>
      <c r="E25" s="42"/>
      <c r="F25" s="42"/>
      <c r="G25" s="43"/>
      <c r="H25" s="42"/>
      <c r="I25" s="42"/>
      <c r="J25" s="42"/>
      <c r="K25" s="42"/>
      <c r="L25" s="43"/>
      <c r="M25" s="43"/>
      <c r="N25" s="49"/>
    </row>
    <row r="26" ht="20.85" customHeight="1">
      <c r="A26" s="53"/>
      <c r="B26" s="54"/>
      <c r="C26" s="54"/>
      <c r="D26" s="55"/>
      <c r="E26" s="55"/>
      <c r="F26" s="55"/>
      <c r="G26" s="56"/>
      <c r="H26" s="56"/>
      <c r="I26" s="54"/>
      <c r="J26" s="57"/>
      <c r="K26" t="s" s="58">
        <v>38</v>
      </c>
      <c r="L26" s="59" cm="1">
        <f t="array" ref="L26">SUM(L1:L25)</f>
        <v>175634014.23</v>
      </c>
      <c r="M26" s="59" cm="1">
        <f t="array" ref="M26">SUM(M1:M25)</f>
        <v>175590121.23</v>
      </c>
      <c r="N26" s="59" cm="1">
        <f t="array" ref="N26">SUM(N1:N25)</f>
        <v>175590121.23</v>
      </c>
    </row>
    <row r="27" ht="21" customHeight="1">
      <c r="A27" s="60"/>
      <c r="B27" t="s" s="61">
        <v>39</v>
      </c>
      <c r="C27" s="62"/>
      <c r="D27" s="63" cm="1">
        <f t="array" ref="D27">ROUND(IF(L27&lt;=100000000,L27*0.24%,IF(AND(L27&gt;100000000,L27&lt;=500000000),100000000*0.24%+(L27-100000000)*0.19%,IF(AND(L27&gt;500000000,L27&lt;=1000000000),100000000*0.24%+400000000*0.19%+(L27-500000000)*0.15%,IF(AND(L27&gt;1000000000,L27&lt;=5000000000),100000000*0.24%+400000000*0.19%+500000000*0.15%+(L27-1000000000)*0.12%,IF(L27&gt;5000000000,100000000*0.24%+400000000*0.19%+500000000*0.15%+4000000000*0.12%+(L27-5000000000)*0.1%,"Bingung komputer"))))),2)</f>
        <v>382976.97</v>
      </c>
      <c r="E27" s="64" cm="1">
        <f t="array" ref="E27">ROUND(IF(M27&lt;=100000000,M27*0.24%,IF(AND(M27&gt;100000000,M27&lt;=500000000),100000000*0.24%+(M27-100000000)*0.19%,IF(AND(M27&gt;500000000,M27&lt;=1000000000),100000000*0.24%+400000000*0.19%+(M27-500000000)*0.15%,IF(AND(M27&gt;1000000000,M27&lt;=5000000000),100000000*0.24%+400000000*0.19%+500000000*0.15%+(M27-1000000000)*0.12%,IF(M27&gt;5000000000,100000000*0.24%+400000000*0.19%+500000000*0.15%+4000000000*0.12%+(M27-5000000000)*0.1%,"Bingung komputer"))))),2)</f>
        <v>382893.73</v>
      </c>
      <c r="F27" s="64" cm="1">
        <f t="array" ref="F27">ROUND(IF(N27&lt;=100000000,N27*0.24%,IF(AND(N27&gt;100000000,N27&lt;=500000000),100000000*0.24%+(N27-100000000)*0.19%,IF(AND(N27&gt;500000000,N27&lt;=1000000000),100000000*0.24%+400000000*0.19%+(N27-500000000)*0.15%,IF(AND(N27&gt;1000000000,N27&lt;=5000000000),100000000*0.24%+400000000*0.19%+500000000*0.15%+(N27-1000000000)*0.12%,IF(N27&gt;5000000000,100000000*0.24%+400000000*0.19%+500000000*0.15%+4000000000*0.12%+(N27-5000000000)*0.1%,"Bingung komputer"))))),2)</f>
        <v>382893.73</v>
      </c>
      <c r="G27" s="65"/>
      <c r="H27" s="66"/>
      <c r="I27" s="62"/>
      <c r="J27" s="67"/>
      <c r="K27" t="str" s="67" cm="1">
        <f t="array" ref="K27">"Jumlah Terkena Pajak "&amp;MAX(K3:K25)&amp;"% (B)"</f>
        <v>Jumlah Terkena Pajak 11,00% (B)</v>
      </c>
      <c r="L27" s="68" cm="1">
        <f t="array" ref="L27">SUMIF($K3:$K25,"&gt;0",L3:L25)</f>
        <v>175251037.23</v>
      </c>
      <c r="M27" s="69" cm="1">
        <f t="array" ref="M27">SUMIF($K3:$K25,"&gt;0",M3:M25)</f>
        <v>175207227.23</v>
      </c>
      <c r="N27" s="69" cm="1">
        <f t="array" ref="N27">SUMIF($K3:$K25,"&gt;0",N3:N25)</f>
        <v>175207227.23</v>
      </c>
    </row>
    <row r="28" ht="21" customHeight="1">
      <c r="A28" s="70"/>
      <c r="B28" s="71"/>
      <c r="C28" s="71"/>
      <c r="D28" s="72"/>
      <c r="E28" s="72"/>
      <c r="F28" s="71"/>
      <c r="G28" s="72"/>
      <c r="H28" s="72"/>
      <c r="I28" s="71"/>
      <c r="J28" s="73"/>
      <c r="K28" t="str" s="73" cm="1">
        <f t="array" ref="K28">"PPN (C) = "&amp;MAX(K3:K25)&amp;"% x B"</f>
        <v>PPN (C) = 11,00% x B</v>
      </c>
      <c r="L28" s="74" cm="1">
        <f t="array" ref="L28">L27*MAX($K3:$K25)%</f>
        <v>19277614.0953</v>
      </c>
      <c r="M28" s="69" cm="1">
        <f t="array" ref="M28">M27*MAX($K3:$K25)%</f>
        <v>19272794.9953</v>
      </c>
      <c r="N28" s="69" cm="1">
        <f t="array" ref="N28">N27*MAX($K3:$K25)%</f>
        <v>19272794.9953</v>
      </c>
    </row>
    <row r="29" ht="21" customHeight="1">
      <c r="A29" s="70"/>
      <c r="B29" s="71"/>
      <c r="C29" s="71"/>
      <c r="D29" s="72"/>
      <c r="E29" s="72"/>
      <c r="F29" s="72"/>
      <c r="G29" s="72"/>
      <c r="H29" s="72"/>
      <c r="I29" s="71"/>
      <c r="J29" s="73"/>
      <c r="K29" t="s" s="75">
        <v>42</v>
      </c>
      <c r="L29" s="76" cm="1">
        <f t="array" ref="L29">L26+L28</f>
        <v>194911628.3253</v>
      </c>
      <c r="M29" s="69" cm="1">
        <f t="array" ref="M29">M26+M28</f>
        <v>194862916.2253</v>
      </c>
      <c r="N29" s="69" cm="1">
        <f t="array" ref="N29">N26+N28</f>
        <v>194862916.2253</v>
      </c>
    </row>
    <row r="30" ht="20.5" customHeight="1">
      <c r="A30" s="70"/>
      <c r="B30" s="71"/>
      <c r="C30" s="71"/>
      <c r="D30" s="72"/>
      <c r="E30" s="72"/>
      <c r="F30" s="72"/>
      <c r="G30" s="72"/>
      <c r="H30" s="72"/>
      <c r="I30" s="71"/>
      <c r="J30" s="73"/>
      <c r="K30" t="s" s="75">
        <v>43</v>
      </c>
      <c r="L30" s="68" cm="1">
        <f t="array" ref="L30">ROUNDDOWN(L29,2)</f>
        <v>194911628.32</v>
      </c>
      <c r="M30" s="68" cm="1">
        <f t="array" ref="M30">ROUNDDOWN(M29,2)</f>
        <v>194862916.22</v>
      </c>
      <c r="N30" s="68" cm="1">
        <f t="array" ref="N30">ROUNDDOWN(N29,-3)</f>
        <v>194862000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N30"/>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85" customWidth="1"/>
    <col min="2" max="2" width="43.0312" style="85" customWidth="1"/>
    <col min="3" max="3" width="2.75" style="85" customWidth="1"/>
    <col min="4" max="6" width="10.3672" style="85" customWidth="1"/>
    <col min="7" max="7" width="11.6875" style="85" customWidth="1"/>
    <col min="8" max="11" width="13.5156" style="85" customWidth="1"/>
    <col min="12" max="14" width="14.2344" style="85" customWidth="1"/>
    <col min="15" max="16384" width="16.3516" style="85"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16</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t="s" s="18">
        <v>17</v>
      </c>
      <c r="B4" t="s" s="19">
        <v>18</v>
      </c>
      <c r="C4" s="20"/>
      <c r="D4" s="21">
        <v>1</v>
      </c>
      <c r="E4" s="21" cm="1">
        <f t="array" ref="E4">D4</f>
        <v>1</v>
      </c>
      <c r="F4" s="21" cm="1">
        <f t="array" ref="F4">D4</f>
        <v>1</v>
      </c>
      <c r="G4" t="s" s="22">
        <v>19</v>
      </c>
      <c r="H4" s="21">
        <v>27750000</v>
      </c>
      <c r="I4" s="21">
        <v>27670000</v>
      </c>
      <c r="J4" s="21">
        <v>27670000</v>
      </c>
      <c r="K4" s="21">
        <v>11</v>
      </c>
      <c r="L4" s="21" cm="1">
        <f t="array" ref="L4">IF(D4&gt;0,IF($D4&lt;=0,0,D4*H4),"")</f>
        <v>27750000</v>
      </c>
      <c r="M4" s="21" cm="1">
        <f t="array" ref="M4">IF(E4&gt;0,IF($D4&lt;=0,0,ROUND(E4*I4,2)),"")</f>
        <v>27670000</v>
      </c>
      <c r="N4" s="23" cm="1">
        <f t="array" ref="N4">IF(F4&gt;0,IF($D4&lt;=0,0,ROUND(F4*J4,2)),"")</f>
        <v>27670000</v>
      </c>
    </row>
    <row r="5" ht="20.5" customHeight="1">
      <c r="A5" s="29"/>
      <c r="B5" t="s" s="19">
        <v>45</v>
      </c>
      <c r="C5" s="24"/>
      <c r="D5" s="30"/>
      <c r="E5" s="26"/>
      <c r="F5" s="26"/>
      <c r="G5" s="30"/>
      <c r="H5" s="26"/>
      <c r="I5" s="30"/>
      <c r="J5" s="30"/>
      <c r="K5" s="26"/>
      <c r="L5" t="str" s="30" cm="1">
        <f t="array" ref="L5">IF(D5&gt;0,IF($D5&lt;=0,0,D5*H5),"")</f>
      </c>
      <c r="M5" t="str" s="30" cm="1">
        <f t="array" ref="M5">IF(E5&gt;0,IF($D5&lt;=0,0,ROUND(E5*I5,2)),"")</f>
      </c>
      <c r="N5" t="str" s="31" cm="1">
        <f t="array" ref="N5">IF(F5&gt;0,IF($D5&lt;=0,0,ROUND(F5*J5,2)),"")</f>
      </c>
    </row>
    <row r="6" ht="20.5" customHeight="1">
      <c r="A6" t="s" s="18">
        <v>46</v>
      </c>
      <c r="B6" t="s" s="19">
        <v>47</v>
      </c>
      <c r="C6" s="20"/>
      <c r="D6" s="78">
        <v>600</v>
      </c>
      <c r="E6" s="21" cm="1">
        <f t="array" ref="E6">D6</f>
        <v>600</v>
      </c>
      <c r="F6" s="21" cm="1">
        <f t="array" ref="F6">D6</f>
        <v>600</v>
      </c>
      <c r="G6" t="s" s="22">
        <v>27</v>
      </c>
      <c r="H6" s="21">
        <v>236046.98</v>
      </c>
      <c r="I6" s="21">
        <v>236046.98</v>
      </c>
      <c r="J6" s="21">
        <v>236046.98</v>
      </c>
      <c r="K6" s="21">
        <v>11</v>
      </c>
      <c r="L6" s="21" cm="1">
        <f t="array" ref="L6">IF(D6&gt;0,IF($D6&lt;=0,0,D6*H6),"")</f>
        <v>141628188</v>
      </c>
      <c r="M6" s="21" cm="1">
        <f t="array" ref="M6">IF(E6&gt;0,IF($D6&lt;=0,0,ROUND(E6*I6,2)),"")</f>
        <v>141628188</v>
      </c>
      <c r="N6" s="23" cm="1">
        <f t="array" ref="N6">IF(F6&gt;0,IF($D6&lt;=0,0,ROUND(F6*J6,2)),"")</f>
        <v>141628188</v>
      </c>
    </row>
    <row r="7" ht="20.5" customHeight="1">
      <c r="A7" t="s" s="18">
        <v>33</v>
      </c>
      <c r="B7" t="s" s="19">
        <v>34</v>
      </c>
      <c r="C7" s="24"/>
      <c r="D7" s="26">
        <v>2700</v>
      </c>
      <c r="E7" s="26" cm="1">
        <f t="array" ref="E7">D7</f>
        <v>2700</v>
      </c>
      <c r="F7" s="26" cm="1">
        <f t="array" ref="F7">D7</f>
        <v>2700</v>
      </c>
      <c r="G7" t="s" s="27">
        <v>27</v>
      </c>
      <c r="H7" s="26">
        <v>2136.32</v>
      </c>
      <c r="I7" s="26">
        <v>2135.5</v>
      </c>
      <c r="J7" s="26">
        <v>2135.5</v>
      </c>
      <c r="K7" s="26">
        <v>11</v>
      </c>
      <c r="L7" s="26" cm="1">
        <f t="array" ref="L7">IF(D7&gt;0,IF($D7&lt;=0,0,D7*H7),"")</f>
        <v>5768064</v>
      </c>
      <c r="M7" s="26" cm="1">
        <f t="array" ref="M7">IF(E7&gt;0,IF($D7&lt;=0,0,ROUND(E7*I7,2)),"")</f>
        <v>5765850</v>
      </c>
      <c r="N7" s="28" cm="1">
        <f t="array" ref="N7">IF(F7&gt;0,IF($D7&lt;=0,0,ROUND(F7*J7,2)),"")</f>
        <v>5765850</v>
      </c>
    </row>
    <row r="8" ht="20.5" customHeight="1">
      <c r="A8" s="29"/>
      <c r="B8" t="s" s="19">
        <v>36</v>
      </c>
      <c r="C8" s="20"/>
      <c r="D8" s="21"/>
      <c r="E8" s="21"/>
      <c r="F8" s="21"/>
      <c r="G8" s="79"/>
      <c r="H8" s="79"/>
      <c r="I8" s="79"/>
      <c r="J8" s="79"/>
      <c r="K8" s="21"/>
      <c r="L8" t="str" s="79" cm="1">
        <f t="array" ref="L8">IF(D8&gt;0,IF($D8&lt;=0,0,D8*H8),"")</f>
      </c>
      <c r="M8" s="21"/>
      <c r="N8" s="23"/>
    </row>
    <row r="9" ht="20.6" customHeight="1">
      <c r="A9" s="33">
        <v>1</v>
      </c>
      <c r="B9" t="s" s="34">
        <v>37</v>
      </c>
      <c r="C9" s="80"/>
      <c r="D9" s="81">
        <v>1</v>
      </c>
      <c r="E9" s="81" cm="1">
        <f t="array" ref="E9">D9</f>
        <v>1</v>
      </c>
      <c r="F9" s="81" cm="1">
        <f t="array" ref="F9">D9</f>
        <v>1</v>
      </c>
      <c r="G9" t="s" s="82">
        <v>19</v>
      </c>
      <c r="H9" s="81">
        <v>382778</v>
      </c>
      <c r="I9" s="81">
        <v>382622</v>
      </c>
      <c r="J9" s="81">
        <v>382622</v>
      </c>
      <c r="K9" s="81">
        <v>0</v>
      </c>
      <c r="L9" s="81" cm="1">
        <f t="array" ref="L9">IF(D9&gt;0,IF($D9&lt;=0,0,D9*H9),"")</f>
        <v>382778</v>
      </c>
      <c r="M9" s="81" cm="1">
        <f t="array" ref="M9">IF(E9&gt;0,IF($D9&lt;=0,0,ROUND(E9*I9,2)),"")</f>
        <v>382622</v>
      </c>
      <c r="N9" s="83" cm="1">
        <f t="array" ref="N9">IF(F9&gt;0,IF($D9&lt;=0,0,ROUND(F9*J9,2)),"")</f>
        <v>382622</v>
      </c>
    </row>
    <row r="10" ht="8.75" customHeight="1" hidden="1">
      <c r="A10" s="39"/>
      <c r="B10" s="40"/>
      <c r="C10" s="45"/>
      <c r="D10" s="46"/>
      <c r="E10" s="46"/>
      <c r="F10" s="46"/>
      <c r="G10" s="47"/>
      <c r="H10" s="46"/>
      <c r="I10" s="46"/>
      <c r="J10" s="46"/>
      <c r="K10" s="46"/>
      <c r="L10" s="46"/>
      <c r="M10" s="46"/>
      <c r="N10" s="48"/>
    </row>
    <row r="11" ht="8.75" customHeight="1" hidden="1">
      <c r="A11" s="39"/>
      <c r="B11" s="40"/>
      <c r="C11" s="41"/>
      <c r="D11" s="42"/>
      <c r="E11" s="42"/>
      <c r="F11" s="42"/>
      <c r="G11" s="43"/>
      <c r="H11" s="42"/>
      <c r="I11" s="42"/>
      <c r="J11" s="42"/>
      <c r="K11" s="42"/>
      <c r="L11" s="42"/>
      <c r="M11" s="42"/>
      <c r="N11" s="44"/>
    </row>
    <row r="12" ht="8.75" customHeight="1" hidden="1">
      <c r="A12" s="39"/>
      <c r="B12" s="40"/>
      <c r="C12" s="45"/>
      <c r="D12" s="46"/>
      <c r="E12" s="46"/>
      <c r="F12" s="46"/>
      <c r="G12" s="47"/>
      <c r="H12" s="46"/>
      <c r="I12" s="46"/>
      <c r="J12" s="46"/>
      <c r="K12" s="46"/>
      <c r="L12" s="46"/>
      <c r="M12" s="46"/>
      <c r="N12" s="48"/>
    </row>
    <row r="13" ht="8.75" customHeight="1" hidden="1">
      <c r="A13" s="39"/>
      <c r="B13" s="40"/>
      <c r="C13" s="41"/>
      <c r="D13" s="42"/>
      <c r="E13" s="42"/>
      <c r="F13" s="42"/>
      <c r="G13" s="43"/>
      <c r="H13" s="42"/>
      <c r="I13" s="42"/>
      <c r="J13" s="42"/>
      <c r="K13" s="42"/>
      <c r="L13" s="42"/>
      <c r="M13" s="42"/>
      <c r="N13" s="44"/>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2"/>
      <c r="I15" s="42"/>
      <c r="J15" s="42"/>
      <c r="K15" s="42"/>
      <c r="L15" s="42"/>
      <c r="M15" s="42"/>
      <c r="N15" s="44"/>
    </row>
    <row r="16" ht="8.75" customHeight="1" hidden="1">
      <c r="A16" s="39"/>
      <c r="B16" s="40"/>
      <c r="C16" s="45"/>
      <c r="D16" s="46"/>
      <c r="E16" s="46"/>
      <c r="F16" s="46"/>
      <c r="G16" s="47"/>
      <c r="H16" s="47"/>
      <c r="I16" s="47"/>
      <c r="J16" s="47"/>
      <c r="K16" s="46"/>
      <c r="L16" s="47"/>
      <c r="M16" s="47"/>
      <c r="N16" s="52"/>
    </row>
    <row r="17" ht="8.75" customHeight="1" hidden="1">
      <c r="A17" s="39"/>
      <c r="B17" s="40"/>
      <c r="C17" s="41"/>
      <c r="D17" s="42"/>
      <c r="E17" s="42"/>
      <c r="F17" s="42"/>
      <c r="G17" s="43"/>
      <c r="H17" s="84"/>
      <c r="I17" s="84"/>
      <c r="J17" s="84"/>
      <c r="K17" s="42"/>
      <c r="L17" s="42"/>
      <c r="M17" s="42"/>
      <c r="N17" s="44"/>
    </row>
    <row r="18" ht="8.75" customHeight="1" hidden="1">
      <c r="A18" s="39"/>
      <c r="B18" s="40"/>
      <c r="C18" s="45"/>
      <c r="D18" s="46"/>
      <c r="E18" s="46"/>
      <c r="F18" s="46"/>
      <c r="G18" s="47"/>
      <c r="H18" s="47"/>
      <c r="I18" s="47"/>
      <c r="J18" s="47"/>
      <c r="K18" s="46"/>
      <c r="L18" s="47"/>
      <c r="M18" s="47"/>
      <c r="N18" s="52"/>
    </row>
    <row r="19" ht="8.75" customHeight="1" hidden="1">
      <c r="A19" s="39"/>
      <c r="B19" s="40"/>
      <c r="C19" s="41"/>
      <c r="D19" s="42"/>
      <c r="E19" s="42"/>
      <c r="F19" s="42"/>
      <c r="G19" s="43"/>
      <c r="H19" s="42"/>
      <c r="I19" s="42"/>
      <c r="J19" s="42"/>
      <c r="K19" s="42"/>
      <c r="L19" s="42"/>
      <c r="M19" s="42"/>
      <c r="N19" s="44"/>
    </row>
    <row r="20" ht="8.75" customHeight="1" hidden="1">
      <c r="A20" s="39"/>
      <c r="B20" s="40"/>
      <c r="C20" s="45"/>
      <c r="D20" s="46"/>
      <c r="E20" s="46"/>
      <c r="F20" s="46"/>
      <c r="G20" s="47"/>
      <c r="H20" s="46"/>
      <c r="I20" s="46"/>
      <c r="J20" s="46"/>
      <c r="K20" s="46"/>
      <c r="L20" s="46"/>
      <c r="M20" s="46"/>
      <c r="N20" s="48"/>
    </row>
    <row r="21" ht="8.75" customHeight="1" hidden="1">
      <c r="A21" s="51"/>
      <c r="B21" s="40"/>
      <c r="C21" s="41"/>
      <c r="D21" s="42"/>
      <c r="E21" s="42"/>
      <c r="F21" s="42"/>
      <c r="G21" s="43"/>
      <c r="H21" s="42"/>
      <c r="I21" s="42"/>
      <c r="J21" s="42"/>
      <c r="K21" s="42"/>
      <c r="L21" s="42"/>
      <c r="M21" s="42"/>
      <c r="N21" s="44"/>
    </row>
    <row r="22" ht="8.75" customHeight="1" hidden="1">
      <c r="A22" s="51"/>
      <c r="B22" s="40"/>
      <c r="C22" s="45"/>
      <c r="D22" s="46"/>
      <c r="E22" s="46"/>
      <c r="F22" s="46"/>
      <c r="G22" s="47"/>
      <c r="H22" s="46"/>
      <c r="I22" s="46"/>
      <c r="J22" s="46"/>
      <c r="K22" s="46"/>
      <c r="L22" s="46"/>
      <c r="M22" s="46"/>
      <c r="N22" s="48"/>
    </row>
    <row r="23" ht="8.75" customHeight="1" hidden="1">
      <c r="A23" s="39"/>
      <c r="B23" s="40"/>
      <c r="C23" s="41"/>
      <c r="D23" s="42"/>
      <c r="E23" s="42"/>
      <c r="F23" s="42"/>
      <c r="G23" s="43"/>
      <c r="H23" s="42"/>
      <c r="I23" s="42"/>
      <c r="J23" s="42"/>
      <c r="K23" s="42"/>
      <c r="L23" s="43"/>
      <c r="M23" s="43"/>
      <c r="N23" s="49"/>
    </row>
    <row r="24" ht="8.75" customHeight="1" hidden="1">
      <c r="A24" s="39"/>
      <c r="B24" s="40"/>
      <c r="C24" s="45"/>
      <c r="D24" s="46"/>
      <c r="E24" s="46"/>
      <c r="F24" s="46"/>
      <c r="G24" s="47"/>
      <c r="H24" s="46"/>
      <c r="I24" s="46"/>
      <c r="J24" s="46"/>
      <c r="K24" s="46"/>
      <c r="L24" s="46"/>
      <c r="M24" s="46"/>
      <c r="N24" s="48"/>
    </row>
    <row r="25" ht="8.75" customHeight="1" hidden="1">
      <c r="A25" s="39"/>
      <c r="B25" s="40"/>
      <c r="C25" s="41"/>
      <c r="D25" s="42"/>
      <c r="E25" s="42"/>
      <c r="F25" s="42"/>
      <c r="G25" s="43"/>
      <c r="H25" s="42"/>
      <c r="I25" s="42"/>
      <c r="J25" s="42"/>
      <c r="K25" s="42"/>
      <c r="L25" s="43"/>
      <c r="M25" s="43"/>
      <c r="N25" s="49"/>
    </row>
    <row r="26" ht="20.85" customHeight="1">
      <c r="A26" s="53"/>
      <c r="B26" s="54"/>
      <c r="C26" s="54"/>
      <c r="D26" s="55"/>
      <c r="E26" s="55"/>
      <c r="F26" s="55"/>
      <c r="G26" s="56"/>
      <c r="H26" s="56"/>
      <c r="I26" s="54"/>
      <c r="J26" s="57"/>
      <c r="K26" t="s" s="58">
        <v>38</v>
      </c>
      <c r="L26" s="59" cm="1">
        <f t="array" ref="L26">SUM(L1:L25)</f>
        <v>175529030</v>
      </c>
      <c r="M26" s="59" cm="1">
        <f t="array" ref="M26">SUM(M1:M25)</f>
        <v>175446660</v>
      </c>
      <c r="N26" s="59" cm="1">
        <f t="array" ref="N26">SUM(N1:N25)</f>
        <v>175446660</v>
      </c>
    </row>
    <row r="27" ht="21" customHeight="1">
      <c r="A27" s="60"/>
      <c r="B27" t="s" s="61">
        <v>39</v>
      </c>
      <c r="C27" s="62"/>
      <c r="D27" s="63" cm="1">
        <f t="array" ref="D27">ROUND(IF(L27&lt;=100000000,L27*0.24%,IF(AND(L27&gt;100000000,L27&lt;=500000000),100000000*0.24%+(L27-100000000)*0.19%,IF(AND(L27&gt;500000000,L27&lt;=1000000000),100000000*0.24%+400000000*0.19%+(L27-500000000)*0.15%,IF(AND(L27&gt;1000000000,L27&lt;=5000000000),100000000*0.24%+400000000*0.19%+500000000*0.15%+(L27-1000000000)*0.12%,IF(L27&gt;5000000000,100000000*0.24%+400000000*0.19%+500000000*0.15%+4000000000*0.12%+(L27-5000000000)*0.1%,"Bingung komputer"))))),2)</f>
        <v>382777.88</v>
      </c>
      <c r="E27" s="64" cm="1">
        <f t="array" ref="E27">ROUND(IF(M27&lt;=100000000,M27*0.24%,IF(AND(M27&gt;100000000,M27&lt;=500000000),100000000*0.24%+(M27-100000000)*0.19%,IF(AND(M27&gt;500000000,M27&lt;=1000000000),100000000*0.24%+400000000*0.19%+(M27-500000000)*0.15%,IF(AND(M27&gt;1000000000,M27&lt;=5000000000),100000000*0.24%+400000000*0.19%+500000000*0.15%+(M27-1000000000)*0.12%,IF(M27&gt;5000000000,100000000*0.24%+400000000*0.19%+500000000*0.15%+4000000000*0.12%+(M27-5000000000)*0.1%,"Bingung komputer"))))),2)</f>
        <v>382621.67</v>
      </c>
      <c r="F27" s="64" cm="1">
        <f t="array" ref="F27">ROUND(IF(N27&lt;=100000000,N27*0.24%,IF(AND(N27&gt;100000000,N27&lt;=500000000),100000000*0.24%+(N27-100000000)*0.19%,IF(AND(N27&gt;500000000,N27&lt;=1000000000),100000000*0.24%+400000000*0.19%+(N27-500000000)*0.15%,IF(AND(N27&gt;1000000000,N27&lt;=5000000000),100000000*0.24%+400000000*0.19%+500000000*0.15%+(N27-1000000000)*0.12%,IF(N27&gt;5000000000,100000000*0.24%+400000000*0.19%+500000000*0.15%+4000000000*0.12%+(N27-5000000000)*0.1%,"Bingung komputer"))))),2)</f>
        <v>382621.67</v>
      </c>
      <c r="G27" s="65"/>
      <c r="H27" s="66"/>
      <c r="I27" s="62"/>
      <c r="J27" s="67"/>
      <c r="K27" t="str" s="67" cm="1">
        <f t="array" ref="K27">"Jumlah Terkena Pajak "&amp;MAX(K3:K25)&amp;"% (B)"</f>
        <v>Jumlah Terkena Pajak 11,00% (B)</v>
      </c>
      <c r="L27" s="68" cm="1">
        <f t="array" ref="L27">SUMIF($K3:$K25,"&gt;0",L3:L25)</f>
        <v>175146252</v>
      </c>
      <c r="M27" s="69" cm="1">
        <f t="array" ref="M27">SUMIF($K3:$K25,"&gt;0",M3:M25)</f>
        <v>175064038</v>
      </c>
      <c r="N27" s="69" cm="1">
        <f t="array" ref="N27">SUMIF($K3:$K25,"&gt;0",N3:N25)</f>
        <v>175064038</v>
      </c>
    </row>
    <row r="28" ht="21" customHeight="1">
      <c r="A28" s="70"/>
      <c r="B28" s="71"/>
      <c r="C28" s="71"/>
      <c r="D28" s="72"/>
      <c r="E28" s="72"/>
      <c r="F28" s="71"/>
      <c r="G28" s="72"/>
      <c r="H28" s="72"/>
      <c r="I28" s="71"/>
      <c r="J28" s="73"/>
      <c r="K28" t="str" s="73" cm="1">
        <f t="array" ref="K28">"PPN (C) = "&amp;MAX(K3:K25)&amp;"% x B"</f>
        <v>PPN (C) = 11,00% x B</v>
      </c>
      <c r="L28" s="74" cm="1">
        <f t="array" ref="L28">L27*MAX($K3:$K25)%</f>
        <v>19266087.72</v>
      </c>
      <c r="M28" s="69" cm="1">
        <f t="array" ref="M28">M27*MAX($K3:$K25)%</f>
        <v>19257044.18</v>
      </c>
      <c r="N28" s="69" cm="1">
        <f t="array" ref="N28">N27*MAX($K3:$K25)%</f>
        <v>19257044.18</v>
      </c>
    </row>
    <row r="29" ht="21" customHeight="1">
      <c r="A29" s="70"/>
      <c r="B29" s="71"/>
      <c r="C29" s="71"/>
      <c r="D29" s="72"/>
      <c r="E29" s="72"/>
      <c r="F29" s="72"/>
      <c r="G29" s="72"/>
      <c r="H29" s="72"/>
      <c r="I29" s="71"/>
      <c r="J29" s="73"/>
      <c r="K29" t="s" s="75">
        <v>42</v>
      </c>
      <c r="L29" s="76" cm="1">
        <f t="array" ref="L29">L26+L28</f>
        <v>194795117.72</v>
      </c>
      <c r="M29" s="69" cm="1">
        <f t="array" ref="M29">M26+M28</f>
        <v>194703704.18</v>
      </c>
      <c r="N29" s="69" cm="1">
        <f t="array" ref="N29">N26+N28</f>
        <v>194703704.18</v>
      </c>
    </row>
    <row r="30" ht="20.5" customHeight="1">
      <c r="A30" s="70"/>
      <c r="B30" s="71"/>
      <c r="C30" s="71"/>
      <c r="D30" s="72"/>
      <c r="E30" s="72"/>
      <c r="F30" s="72"/>
      <c r="G30" s="72"/>
      <c r="H30" s="72"/>
      <c r="I30" s="71"/>
      <c r="J30" s="73"/>
      <c r="K30" t="s" s="75">
        <v>43</v>
      </c>
      <c r="L30" s="68" cm="1">
        <f t="array" ref="L30">ROUNDDOWN(L29,2)</f>
        <v>194795117.72</v>
      </c>
      <c r="M30" s="68" cm="1">
        <f t="array" ref="M30">ROUNDDOWN(M29,2)</f>
        <v>194703704.18</v>
      </c>
      <c r="N30" s="68" cm="1">
        <f t="array" ref="N30">ROUNDDOWN(N29,-3)</f>
        <v>194703000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N30"/>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86" customWidth="1"/>
    <col min="2" max="2" width="43.0312" style="86" customWidth="1"/>
    <col min="3" max="3" width="2.75" style="86" customWidth="1"/>
    <col min="4" max="6" width="10.3672" style="86" customWidth="1"/>
    <col min="7" max="7" width="11.6875" style="86" customWidth="1"/>
    <col min="8" max="11" width="13.5156" style="86" customWidth="1"/>
    <col min="12" max="14" width="14.2344" style="86" customWidth="1"/>
    <col min="15" max="16384" width="16.3516" style="86"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16</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t="s" s="18">
        <v>17</v>
      </c>
      <c r="B4" t="s" s="19">
        <v>18</v>
      </c>
      <c r="C4" s="20"/>
      <c r="D4" s="21">
        <v>1</v>
      </c>
      <c r="E4" s="21" cm="1">
        <f t="array" ref="E4">D4</f>
        <v>1</v>
      </c>
      <c r="F4" s="21" cm="1">
        <f t="array" ref="F4">D4</f>
        <v>1</v>
      </c>
      <c r="G4" t="s" s="22">
        <v>19</v>
      </c>
      <c r="H4" s="21">
        <v>27550000</v>
      </c>
      <c r="I4" s="21">
        <v>27510000</v>
      </c>
      <c r="J4" s="21">
        <v>27510000</v>
      </c>
      <c r="K4" s="21">
        <v>11</v>
      </c>
      <c r="L4" s="21" cm="1">
        <f t="array" ref="L4">IF(D4&gt;0,IF($D4&lt;=0,0,D4*H4),"")</f>
        <v>27550000</v>
      </c>
      <c r="M4" s="21" cm="1">
        <f t="array" ref="M4">IF(E4&gt;0,IF($D4&lt;=0,0,ROUND(E4*I4,2)),"")</f>
        <v>27510000</v>
      </c>
      <c r="N4" s="23" cm="1">
        <f t="array" ref="N4">IF(F4&gt;0,IF($D4&lt;=0,0,ROUND(F4*J4,2)),"")</f>
        <v>27510000</v>
      </c>
    </row>
    <row r="5" ht="20.5" customHeight="1">
      <c r="A5" s="29"/>
      <c r="B5" t="s" s="19">
        <v>45</v>
      </c>
      <c r="C5" s="24"/>
      <c r="D5" s="30"/>
      <c r="E5" s="26"/>
      <c r="F5" s="26"/>
      <c r="G5" s="30"/>
      <c r="H5" s="26"/>
      <c r="I5" s="30"/>
      <c r="J5" s="30"/>
      <c r="K5" s="26"/>
      <c r="L5" t="str" s="30" cm="1">
        <f t="array" ref="L5">IF(D5&gt;0,IF($D5&lt;=0,0,D5*H5),"")</f>
      </c>
      <c r="M5" t="str" s="30" cm="1">
        <f t="array" ref="M5">IF(E5&gt;0,IF($D5&lt;=0,0,ROUND(E5*I5,2)),"")</f>
      </c>
      <c r="N5" t="str" s="31" cm="1">
        <f t="array" ref="N5">IF(F5&gt;0,IF($D5&lt;=0,0,ROUND(F5*J5,2)),"")</f>
      </c>
    </row>
    <row r="6" ht="20.5" customHeight="1">
      <c r="A6" t="s" s="18">
        <v>46</v>
      </c>
      <c r="B6" t="s" s="19">
        <v>47</v>
      </c>
      <c r="C6" s="20"/>
      <c r="D6" s="78">
        <v>557.12</v>
      </c>
      <c r="E6" s="21" cm="1">
        <f t="array" ref="E6">D6</f>
        <v>557.12</v>
      </c>
      <c r="F6" s="21" cm="1">
        <f t="array" ref="F6">D6</f>
        <v>557.12</v>
      </c>
      <c r="G6" t="s" s="22">
        <v>27</v>
      </c>
      <c r="H6" s="21">
        <v>254663.92</v>
      </c>
      <c r="I6" s="21">
        <v>254663.92</v>
      </c>
      <c r="J6" s="21">
        <v>254663.92</v>
      </c>
      <c r="K6" s="21">
        <v>11</v>
      </c>
      <c r="L6" s="21" cm="1">
        <f t="array" ref="L6">IF(D6&gt;0,IF($D6&lt;=0,0,D6*H6),"")</f>
        <v>141878363.1104</v>
      </c>
      <c r="M6" s="21" cm="1">
        <f t="array" ref="M6">IF(E6&gt;0,IF($D6&lt;=0,0,ROUND(E6*I6,2)),"")</f>
        <v>141878363.11</v>
      </c>
      <c r="N6" s="23" cm="1">
        <f t="array" ref="N6">IF(F6&gt;0,IF($D6&lt;=0,0,ROUND(F6*J6,2)),"")</f>
        <v>141878363.11</v>
      </c>
    </row>
    <row r="7" ht="20.5" customHeight="1">
      <c r="A7" t="s" s="18">
        <v>33</v>
      </c>
      <c r="B7" t="s" s="19">
        <v>34</v>
      </c>
      <c r="C7" s="24"/>
      <c r="D7" s="26">
        <v>3133.8</v>
      </c>
      <c r="E7" s="26" cm="1">
        <f t="array" ref="E7">D7</f>
        <v>3133.8</v>
      </c>
      <c r="F7" s="26" cm="1">
        <f t="array" ref="F7">D7</f>
        <v>3133.8</v>
      </c>
      <c r="G7" t="s" s="27">
        <v>35</v>
      </c>
      <c r="H7" s="26">
        <v>1816.48</v>
      </c>
      <c r="I7" s="26">
        <v>1816.07</v>
      </c>
      <c r="J7" s="26">
        <v>1816.07</v>
      </c>
      <c r="K7" s="26">
        <v>11</v>
      </c>
      <c r="L7" s="26" cm="1">
        <f t="array" ref="L7">IF(D7&gt;0,IF($D7&lt;=0,0,D7*H7),"")</f>
        <v>5692485.024</v>
      </c>
      <c r="M7" s="26" cm="1">
        <f t="array" ref="M7">IF(E7&gt;0,IF($D7&lt;=0,0,ROUND(E7*I7,2)),"")</f>
        <v>5691200.17</v>
      </c>
      <c r="N7" s="28" cm="1">
        <f t="array" ref="N7">IF(F7&gt;0,IF($D7&lt;=0,0,ROUND(F7*J7,2)),"")</f>
        <v>5691200.17</v>
      </c>
    </row>
    <row r="8" ht="20.5" customHeight="1">
      <c r="A8" s="29"/>
      <c r="B8" t="s" s="19">
        <v>36</v>
      </c>
      <c r="C8" s="20"/>
      <c r="D8" s="21"/>
      <c r="E8" s="21"/>
      <c r="F8" s="21"/>
      <c r="G8" s="79"/>
      <c r="H8" s="79"/>
      <c r="I8" s="79"/>
      <c r="J8" s="79"/>
      <c r="K8" s="21"/>
      <c r="L8" t="str" s="79" cm="1">
        <f t="array" ref="L8">IF(D8&gt;0,IF($D8&lt;=0,0,D8*H8),"")</f>
      </c>
      <c r="M8" s="21"/>
      <c r="N8" s="23"/>
    </row>
    <row r="9" ht="20.6" customHeight="1">
      <c r="A9" s="33">
        <v>1</v>
      </c>
      <c r="B9" t="s" s="34">
        <v>37</v>
      </c>
      <c r="C9" s="80"/>
      <c r="D9" s="81">
        <v>1</v>
      </c>
      <c r="E9" s="81" cm="1">
        <f t="array" ref="E9">D9</f>
        <v>1</v>
      </c>
      <c r="F9" s="81" cm="1">
        <f t="array" ref="F9">D9</f>
        <v>1</v>
      </c>
      <c r="G9" t="s" s="82">
        <v>19</v>
      </c>
      <c r="H9" s="81">
        <v>382730</v>
      </c>
      <c r="I9" s="81">
        <v>382651</v>
      </c>
      <c r="J9" s="81">
        <v>382651</v>
      </c>
      <c r="K9" s="81">
        <v>0</v>
      </c>
      <c r="L9" s="81" cm="1">
        <f t="array" ref="L9">IF(D9&gt;0,IF($D9&lt;=0,0,D9*H9),"")</f>
        <v>382730</v>
      </c>
      <c r="M9" s="81" cm="1">
        <f t="array" ref="M9">IF(E9&gt;0,IF($D9&lt;=0,0,ROUND(E9*I9,2)),"")</f>
        <v>382651</v>
      </c>
      <c r="N9" s="83" cm="1">
        <f t="array" ref="N9">IF(F9&gt;0,IF($D9&lt;=0,0,ROUND(F9*J9,2)),"")</f>
        <v>382651</v>
      </c>
    </row>
    <row r="10" ht="8.75" customHeight="1" hidden="1">
      <c r="A10" s="39"/>
      <c r="B10" s="40"/>
      <c r="C10" s="45"/>
      <c r="D10" s="46"/>
      <c r="E10" s="46"/>
      <c r="F10" s="46"/>
      <c r="G10" s="47"/>
      <c r="H10" s="46"/>
      <c r="I10" s="46"/>
      <c r="J10" s="46"/>
      <c r="K10" s="46"/>
      <c r="L10" s="46"/>
      <c r="M10" s="46"/>
      <c r="N10" s="48"/>
    </row>
    <row r="11" ht="8.75" customHeight="1" hidden="1">
      <c r="A11" s="39"/>
      <c r="B11" s="40"/>
      <c r="C11" s="41"/>
      <c r="D11" s="42"/>
      <c r="E11" s="42"/>
      <c r="F11" s="42"/>
      <c r="G11" s="43"/>
      <c r="H11" s="42"/>
      <c r="I11" s="42"/>
      <c r="J11" s="42"/>
      <c r="K11" s="42"/>
      <c r="L11" s="42"/>
      <c r="M11" s="42"/>
      <c r="N11" s="44"/>
    </row>
    <row r="12" ht="8.75" customHeight="1" hidden="1">
      <c r="A12" s="39"/>
      <c r="B12" s="40"/>
      <c r="C12" s="45"/>
      <c r="D12" s="46"/>
      <c r="E12" s="46"/>
      <c r="F12" s="46"/>
      <c r="G12" s="47"/>
      <c r="H12" s="46"/>
      <c r="I12" s="46"/>
      <c r="J12" s="46"/>
      <c r="K12" s="46"/>
      <c r="L12" s="46"/>
      <c r="M12" s="46"/>
      <c r="N12" s="48"/>
    </row>
    <row r="13" ht="8.75" customHeight="1" hidden="1">
      <c r="A13" s="39"/>
      <c r="B13" s="40"/>
      <c r="C13" s="41"/>
      <c r="D13" s="42"/>
      <c r="E13" s="42"/>
      <c r="F13" s="42"/>
      <c r="G13" s="43"/>
      <c r="H13" s="42"/>
      <c r="I13" s="42"/>
      <c r="J13" s="42"/>
      <c r="K13" s="42"/>
      <c r="L13" s="42"/>
      <c r="M13" s="42"/>
      <c r="N13" s="44"/>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2"/>
      <c r="I15" s="42"/>
      <c r="J15" s="42"/>
      <c r="K15" s="42"/>
      <c r="L15" s="42"/>
      <c r="M15" s="42"/>
      <c r="N15" s="44"/>
    </row>
    <row r="16" ht="8.75" customHeight="1" hidden="1">
      <c r="A16" s="39"/>
      <c r="B16" s="40"/>
      <c r="C16" s="45"/>
      <c r="D16" s="46"/>
      <c r="E16" s="46"/>
      <c r="F16" s="46"/>
      <c r="G16" s="47"/>
      <c r="H16" s="47"/>
      <c r="I16" s="47"/>
      <c r="J16" s="47"/>
      <c r="K16" s="46"/>
      <c r="L16" s="47"/>
      <c r="M16" s="47"/>
      <c r="N16" s="52"/>
    </row>
    <row r="17" ht="8.75" customHeight="1" hidden="1">
      <c r="A17" s="39"/>
      <c r="B17" s="40"/>
      <c r="C17" s="41"/>
      <c r="D17" s="42"/>
      <c r="E17" s="42"/>
      <c r="F17" s="42"/>
      <c r="G17" s="43"/>
      <c r="H17" s="84"/>
      <c r="I17" s="84"/>
      <c r="J17" s="84"/>
      <c r="K17" s="42"/>
      <c r="L17" s="42"/>
      <c r="M17" s="42"/>
      <c r="N17" s="44"/>
    </row>
    <row r="18" ht="8.75" customHeight="1" hidden="1">
      <c r="A18" s="39"/>
      <c r="B18" s="40"/>
      <c r="C18" s="45"/>
      <c r="D18" s="46"/>
      <c r="E18" s="46"/>
      <c r="F18" s="46"/>
      <c r="G18" s="47"/>
      <c r="H18" s="47"/>
      <c r="I18" s="47"/>
      <c r="J18" s="47"/>
      <c r="K18" s="46"/>
      <c r="L18" s="47"/>
      <c r="M18" s="47"/>
      <c r="N18" s="52"/>
    </row>
    <row r="19" ht="8.75" customHeight="1" hidden="1">
      <c r="A19" s="39"/>
      <c r="B19" s="40"/>
      <c r="C19" s="41"/>
      <c r="D19" s="42"/>
      <c r="E19" s="42"/>
      <c r="F19" s="42"/>
      <c r="G19" s="43"/>
      <c r="H19" s="42"/>
      <c r="I19" s="42"/>
      <c r="J19" s="42"/>
      <c r="K19" s="42"/>
      <c r="L19" s="42"/>
      <c r="M19" s="42"/>
      <c r="N19" s="44"/>
    </row>
    <row r="20" ht="8.75" customHeight="1" hidden="1">
      <c r="A20" s="39"/>
      <c r="B20" s="40"/>
      <c r="C20" s="45"/>
      <c r="D20" s="46"/>
      <c r="E20" s="46"/>
      <c r="F20" s="46"/>
      <c r="G20" s="47"/>
      <c r="H20" s="46"/>
      <c r="I20" s="46"/>
      <c r="J20" s="46"/>
      <c r="K20" s="46"/>
      <c r="L20" s="46"/>
      <c r="M20" s="46"/>
      <c r="N20" s="48"/>
    </row>
    <row r="21" ht="8.75" customHeight="1" hidden="1">
      <c r="A21" s="51"/>
      <c r="B21" s="40"/>
      <c r="C21" s="41"/>
      <c r="D21" s="42"/>
      <c r="E21" s="42"/>
      <c r="F21" s="42"/>
      <c r="G21" s="43"/>
      <c r="H21" s="42"/>
      <c r="I21" s="42"/>
      <c r="J21" s="42"/>
      <c r="K21" s="42"/>
      <c r="L21" s="42"/>
      <c r="M21" s="42"/>
      <c r="N21" s="44"/>
    </row>
    <row r="22" ht="8.75" customHeight="1" hidden="1">
      <c r="A22" s="51"/>
      <c r="B22" s="40"/>
      <c r="C22" s="45"/>
      <c r="D22" s="46"/>
      <c r="E22" s="46"/>
      <c r="F22" s="46"/>
      <c r="G22" s="47"/>
      <c r="H22" s="46"/>
      <c r="I22" s="46"/>
      <c r="J22" s="46"/>
      <c r="K22" s="46"/>
      <c r="L22" s="46"/>
      <c r="M22" s="46"/>
      <c r="N22" s="48"/>
    </row>
    <row r="23" ht="8.75" customHeight="1" hidden="1">
      <c r="A23" s="39"/>
      <c r="B23" s="40"/>
      <c r="C23" s="41"/>
      <c r="D23" s="42"/>
      <c r="E23" s="42"/>
      <c r="F23" s="42"/>
      <c r="G23" s="43"/>
      <c r="H23" s="42"/>
      <c r="I23" s="42"/>
      <c r="J23" s="42"/>
      <c r="K23" s="42"/>
      <c r="L23" s="43"/>
      <c r="M23" s="43"/>
      <c r="N23" s="49"/>
    </row>
    <row r="24" ht="8.75" customHeight="1" hidden="1">
      <c r="A24" s="39"/>
      <c r="B24" s="40"/>
      <c r="C24" s="45"/>
      <c r="D24" s="46"/>
      <c r="E24" s="46"/>
      <c r="F24" s="46"/>
      <c r="G24" s="47"/>
      <c r="H24" s="46"/>
      <c r="I24" s="46"/>
      <c r="J24" s="46"/>
      <c r="K24" s="46"/>
      <c r="L24" s="46"/>
      <c r="M24" s="46"/>
      <c r="N24" s="48"/>
    </row>
    <row r="25" ht="8.75" customHeight="1" hidden="1">
      <c r="A25" s="39"/>
      <c r="B25" s="40"/>
      <c r="C25" s="41"/>
      <c r="D25" s="42"/>
      <c r="E25" s="42"/>
      <c r="F25" s="42"/>
      <c r="G25" s="43"/>
      <c r="H25" s="42"/>
      <c r="I25" s="42"/>
      <c r="J25" s="42"/>
      <c r="K25" s="42"/>
      <c r="L25" s="43"/>
      <c r="M25" s="43"/>
      <c r="N25" s="49"/>
    </row>
    <row r="26" ht="20.85" customHeight="1">
      <c r="A26" s="53"/>
      <c r="B26" s="54"/>
      <c r="C26" s="54"/>
      <c r="D26" s="55"/>
      <c r="E26" s="55"/>
      <c r="F26" s="55"/>
      <c r="G26" s="56"/>
      <c r="H26" s="56"/>
      <c r="I26" s="54"/>
      <c r="J26" s="57"/>
      <c r="K26" t="s" s="58">
        <v>38</v>
      </c>
      <c r="L26" s="59" cm="1">
        <f t="array" ref="L26">SUM(L1:L25)</f>
        <v>175503578.1344</v>
      </c>
      <c r="M26" s="59" cm="1">
        <f t="array" ref="M26">SUM(M1:M25)</f>
        <v>175462214.28</v>
      </c>
      <c r="N26" s="59" cm="1">
        <f t="array" ref="N26">SUM(N1:N25)</f>
        <v>175462214.28</v>
      </c>
    </row>
    <row r="27" ht="21" customHeight="1">
      <c r="A27" s="60"/>
      <c r="B27" t="s" s="61">
        <v>39</v>
      </c>
      <c r="C27" s="62"/>
      <c r="D27" s="63" cm="1">
        <f t="array" ref="D27">ROUND(IF(L27&lt;=100000000,L27*0.24%,IF(AND(L27&gt;100000000,L27&lt;=500000000),100000000*0.24%+(L27-100000000)*0.19%,IF(AND(L27&gt;500000000,L27&lt;=1000000000),100000000*0.24%+400000000*0.19%+(L27-500000000)*0.15%,IF(AND(L27&gt;1000000000,L27&lt;=5000000000),100000000*0.24%+400000000*0.19%+500000000*0.15%+(L27-1000000000)*0.12%,IF(L27&gt;5000000000,100000000*0.24%+400000000*0.19%+500000000*0.15%+4000000000*0.12%+(L27-5000000000)*0.1%,"Bingung komputer"))))),2)</f>
        <v>382729.61</v>
      </c>
      <c r="E27" s="64" cm="1">
        <f t="array" ref="E27">ROUND(IF(M27&lt;=100000000,M27*0.24%,IF(AND(M27&gt;100000000,M27&lt;=500000000),100000000*0.24%+(M27-100000000)*0.19%,IF(AND(M27&gt;500000000,M27&lt;=1000000000),100000000*0.24%+400000000*0.19%+(M27-500000000)*0.15%,IF(AND(M27&gt;1000000000,M27&lt;=5000000000),100000000*0.24%+400000000*0.19%+500000000*0.15%+(M27-1000000000)*0.12%,IF(M27&gt;5000000000,100000000*0.24%+400000000*0.19%+500000000*0.15%+4000000000*0.12%+(M27-5000000000)*0.1%,"Bingung komputer"))))),2)</f>
        <v>382651.17</v>
      </c>
      <c r="F27" s="64" cm="1">
        <f t="array" ref="F27">ROUND(IF(N27&lt;=100000000,N27*0.24%,IF(AND(N27&gt;100000000,N27&lt;=500000000),100000000*0.24%+(N27-100000000)*0.19%,IF(AND(N27&gt;500000000,N27&lt;=1000000000),100000000*0.24%+400000000*0.19%+(N27-500000000)*0.15%,IF(AND(N27&gt;1000000000,N27&lt;=5000000000),100000000*0.24%+400000000*0.19%+500000000*0.15%+(N27-1000000000)*0.12%,IF(N27&gt;5000000000,100000000*0.24%+400000000*0.19%+500000000*0.15%+4000000000*0.12%+(N27-5000000000)*0.1%,"Bingung komputer"))))),2)</f>
        <v>382651.17</v>
      </c>
      <c r="G27" s="65"/>
      <c r="H27" s="66"/>
      <c r="I27" s="62"/>
      <c r="J27" s="67"/>
      <c r="K27" t="str" s="67" cm="1">
        <f t="array" ref="K27">"Jumlah Terkena Pajak "&amp;MAX(K3:K25)&amp;"% (B)"</f>
        <v>Jumlah Terkena Pajak 11,00% (B)</v>
      </c>
      <c r="L27" s="68" cm="1">
        <f t="array" ref="L27">SUMIF($K3:$K25,"&gt;0",L3:L25)</f>
        <v>175120848.1344</v>
      </c>
      <c r="M27" s="69" cm="1">
        <f t="array" ref="M27">SUMIF($K3:$K25,"&gt;0",M3:M25)</f>
        <v>175079563.28</v>
      </c>
      <c r="N27" s="69" cm="1">
        <f t="array" ref="N27">SUMIF($K3:$K25,"&gt;0",N3:N25)</f>
        <v>175079563.28</v>
      </c>
    </row>
    <row r="28" ht="21" customHeight="1">
      <c r="A28" s="70"/>
      <c r="B28" s="71"/>
      <c r="C28" s="71"/>
      <c r="D28" s="72"/>
      <c r="E28" s="72"/>
      <c r="F28" s="71"/>
      <c r="G28" s="72"/>
      <c r="H28" s="72"/>
      <c r="I28" s="71"/>
      <c r="J28" s="73"/>
      <c r="K28" t="str" s="73" cm="1">
        <f t="array" ref="K28">"PPN (C) = "&amp;MAX(K3:K25)&amp;"% x B"</f>
        <v>PPN (C) = 11,00% x B</v>
      </c>
      <c r="L28" s="74" cm="1">
        <f t="array" ref="L28">L27*MAX($K3:$K25)%</f>
        <v>19263293.294784</v>
      </c>
      <c r="M28" s="69" cm="1">
        <f t="array" ref="M28">M27*MAX($K3:$K25)%</f>
        <v>19258751.9608</v>
      </c>
      <c r="N28" s="69" cm="1">
        <f t="array" ref="N28">N27*MAX($K3:$K25)%</f>
        <v>19258751.9608</v>
      </c>
    </row>
    <row r="29" ht="21" customHeight="1">
      <c r="A29" s="70"/>
      <c r="B29" s="71"/>
      <c r="C29" s="71"/>
      <c r="D29" s="72"/>
      <c r="E29" s="72"/>
      <c r="F29" s="72"/>
      <c r="G29" s="72"/>
      <c r="H29" s="72"/>
      <c r="I29" s="71"/>
      <c r="J29" s="73"/>
      <c r="K29" t="s" s="75">
        <v>42</v>
      </c>
      <c r="L29" s="76" cm="1">
        <f t="array" ref="L29">L26+L28</f>
        <v>194766871.429184</v>
      </c>
      <c r="M29" s="69" cm="1">
        <f t="array" ref="M29">M26+M28</f>
        <v>194720966.2408</v>
      </c>
      <c r="N29" s="69" cm="1">
        <f t="array" ref="N29">N26+N28</f>
        <v>194720966.2408</v>
      </c>
    </row>
    <row r="30" ht="20.5" customHeight="1">
      <c r="A30" s="70"/>
      <c r="B30" s="71"/>
      <c r="C30" s="71"/>
      <c r="D30" s="72"/>
      <c r="E30" s="72"/>
      <c r="F30" s="72"/>
      <c r="G30" s="72"/>
      <c r="H30" s="72"/>
      <c r="I30" s="71"/>
      <c r="J30" s="73"/>
      <c r="K30" t="s" s="75">
        <v>43</v>
      </c>
      <c r="L30" s="68" cm="1">
        <f t="array" ref="L30">ROUNDDOWN(L29,2)</f>
        <v>194766871.42</v>
      </c>
      <c r="M30" s="68" cm="1">
        <f t="array" ref="M30">ROUNDDOWN(M29,2)</f>
        <v>194720966.24</v>
      </c>
      <c r="N30" s="68" cm="1">
        <f t="array" ref="N30">ROUNDDOWN(N29,-3)</f>
        <v>194720000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O28"/>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7.17188" style="87" customWidth="1"/>
    <col min="2" max="2" width="43.0312" style="87" customWidth="1"/>
    <col min="3" max="3" width="2.75" style="87" customWidth="1"/>
    <col min="4" max="6" width="10.3672" style="87" customWidth="1"/>
    <col min="7" max="7" width="11.6875" style="87" customWidth="1"/>
    <col min="8" max="11" width="13.5156" style="87" customWidth="1"/>
    <col min="12" max="15" width="14.2344" style="87" customWidth="1"/>
    <col min="16" max="16384" width="16.3516" style="87" customWidth="1"/>
  </cols>
  <sheetData>
    <row r="1" ht="20.5" customHeight="1">
      <c r="A1" t="s" s="7">
        <v>6</v>
      </c>
      <c r="B1" t="s" s="7">
        <v>7</v>
      </c>
      <c r="C1" s="8"/>
      <c r="D1" t="s" s="7">
        <v>8</v>
      </c>
      <c r="E1" s="8"/>
      <c r="F1" s="8"/>
      <c r="G1" t="s" s="7">
        <v>9</v>
      </c>
      <c r="H1" t="s" s="7">
        <v>10</v>
      </c>
      <c r="I1" s="8"/>
      <c r="J1" s="8"/>
      <c r="K1" t="s" s="7">
        <v>11</v>
      </c>
      <c r="L1" t="s" s="7">
        <v>12</v>
      </c>
      <c r="M1" s="8"/>
      <c r="N1" s="8"/>
      <c r="O1" s="88"/>
    </row>
    <row r="2" ht="20.85" customHeight="1">
      <c r="A2" s="9"/>
      <c r="B2" s="9"/>
      <c r="C2" s="9"/>
      <c r="D2" t="s" s="10">
        <v>13</v>
      </c>
      <c r="E2" t="s" s="10">
        <v>14</v>
      </c>
      <c r="F2" t="s" s="10">
        <v>15</v>
      </c>
      <c r="G2" s="9"/>
      <c r="H2" t="s" s="10">
        <v>13</v>
      </c>
      <c r="I2" t="s" s="10">
        <v>14</v>
      </c>
      <c r="J2" t="s" s="10">
        <v>15</v>
      </c>
      <c r="K2" s="9"/>
      <c r="L2" t="s" s="10">
        <v>13</v>
      </c>
      <c r="M2" t="s" s="10">
        <v>14</v>
      </c>
      <c r="N2" t="s" s="10">
        <v>15</v>
      </c>
      <c r="O2" s="89"/>
    </row>
    <row r="3" ht="20.6" customHeight="1">
      <c r="A3" t="s" s="90">
        <v>51</v>
      </c>
      <c r="B3" t="s" s="12">
        <v>52</v>
      </c>
      <c r="C3" s="13"/>
      <c r="D3" s="14"/>
      <c r="E3" s="14"/>
      <c r="F3" s="14"/>
      <c r="G3" s="15"/>
      <c r="H3" s="15"/>
      <c r="I3" s="15"/>
      <c r="J3" s="15"/>
      <c r="K3" s="15"/>
      <c r="L3" t="str" s="16" cm="1">
        <f t="array" ref="L3">IF(D3&gt;0,IF($D3&lt;=0,0,D3*H3),"")</f>
      </c>
      <c r="M3" t="str" s="16" cm="1">
        <f t="array" ref="M3">IF(E3&gt;0,IF($D3&lt;=0,0,ROUND(E3*I3,2)),"")</f>
      </c>
      <c r="N3" t="str" s="16" cm="1">
        <f t="array" ref="N3">IF(F3&gt;0,IF($D3&lt;=0,0,ROUND(F3*J3,2)),"")</f>
      </c>
      <c r="O3" s="17"/>
    </row>
    <row r="4" ht="20.5" customHeight="1">
      <c r="A4" t="s" s="18">
        <v>53</v>
      </c>
      <c r="B4" t="s" s="19">
        <v>54</v>
      </c>
      <c r="C4" s="20"/>
      <c r="D4" s="21"/>
      <c r="E4" s="21"/>
      <c r="F4" s="21"/>
      <c r="G4" s="79"/>
      <c r="H4" s="21"/>
      <c r="I4" s="79"/>
      <c r="J4" s="21"/>
      <c r="K4" s="21"/>
      <c r="L4" t="str" s="79" cm="1">
        <f t="array" ref="L4">IF(D4&gt;0,IF($D4&lt;=0,0,D4*H4),"")</f>
      </c>
      <c r="M4" t="str" s="79" cm="1">
        <f t="array" ref="M4">IF(E4&gt;0,IF($D4&lt;=0,0,ROUND(E4*I4,2)),"")</f>
      </c>
      <c r="N4" t="str" s="79" cm="1">
        <f t="array" ref="N4">IF(F4&gt;0,IF($D4&lt;=0,0,ROUND(F4*J4,2)),"")</f>
      </c>
      <c r="O4" s="91"/>
    </row>
    <row r="5" ht="20.5" customHeight="1">
      <c r="A5" s="92">
        <v>1</v>
      </c>
      <c r="B5" t="s" s="19">
        <v>55</v>
      </c>
      <c r="C5" s="24"/>
      <c r="D5" s="26">
        <v>4.5</v>
      </c>
      <c r="E5" s="26" cm="1">
        <f t="array" ref="E5">D5</f>
        <v>4.5</v>
      </c>
      <c r="F5" s="26" cm="1">
        <f t="array" ref="F5">D5</f>
        <v>4.5</v>
      </c>
      <c r="G5" t="s" s="27">
        <v>56</v>
      </c>
      <c r="H5" s="26">
        <v>9000000</v>
      </c>
      <c r="I5" s="26">
        <v>8980000</v>
      </c>
      <c r="J5" s="26">
        <v>8980000</v>
      </c>
      <c r="K5" s="26">
        <v>11</v>
      </c>
      <c r="L5" s="26" cm="1">
        <f t="array" ref="L5">IF(D5&gt;0,IF($D5&lt;=0,0,D5*H5),"")</f>
        <v>40500000</v>
      </c>
      <c r="M5" s="26" cm="1">
        <f t="array" ref="M5">IF(E5&gt;0,IF($D5&lt;=0,0,ROUND(E5*I5,2)),"")</f>
        <v>40410000</v>
      </c>
      <c r="N5" s="26" cm="1">
        <f t="array" ref="N5">IF(F5&gt;0,IF($D5&lt;=0,0,ROUND(F5*J5,2)),"")</f>
        <v>40410000</v>
      </c>
      <c r="O5" s="28"/>
    </row>
    <row r="6" ht="20.5" customHeight="1">
      <c r="A6" s="92">
        <v>2</v>
      </c>
      <c r="B6" t="s" s="19">
        <v>57</v>
      </c>
      <c r="C6" s="20"/>
      <c r="D6" s="21">
        <v>4.5</v>
      </c>
      <c r="E6" s="21" cm="1">
        <f t="array" ref="E6">D6</f>
        <v>4.5</v>
      </c>
      <c r="F6" s="21" cm="1">
        <f t="array" ref="F6">D6</f>
        <v>4.5</v>
      </c>
      <c r="G6" t="s" s="22">
        <v>56</v>
      </c>
      <c r="H6" s="21">
        <v>2500000</v>
      </c>
      <c r="I6" s="21">
        <v>2500000</v>
      </c>
      <c r="J6" s="21">
        <v>2500000</v>
      </c>
      <c r="K6" s="21">
        <v>11</v>
      </c>
      <c r="L6" s="21" cm="1">
        <f t="array" ref="L6">IF(D6&gt;0,IF($D6&lt;=0,0,D6*H6),"")</f>
        <v>11250000</v>
      </c>
      <c r="M6" s="21" cm="1">
        <f t="array" ref="M6">IF(E6&gt;0,IF($D6&lt;=0,0,ROUND(E6*I6,2)),"")</f>
        <v>11250000</v>
      </c>
      <c r="N6" s="21" cm="1">
        <f t="array" ref="N6">IF(F6&gt;0,IF($D6&lt;=0,0,ROUND(F6*J6,2)),"")</f>
        <v>11250000</v>
      </c>
      <c r="O6" s="23"/>
    </row>
    <row r="7" ht="20.5" customHeight="1">
      <c r="A7" t="s" s="93">
        <v>58</v>
      </c>
      <c r="B7" t="s" s="19">
        <v>59</v>
      </c>
      <c r="C7" s="24"/>
      <c r="D7" s="26"/>
      <c r="E7" s="26"/>
      <c r="F7" s="26"/>
      <c r="G7" s="30"/>
      <c r="H7" s="26"/>
      <c r="I7" s="26"/>
      <c r="J7" s="26"/>
      <c r="K7" s="26"/>
      <c r="L7" t="str" s="30" cm="1">
        <f t="array" ref="L7">IF(D7&gt;0,IF($D7&lt;=0,0,D7*H7),"")</f>
      </c>
      <c r="M7" t="str" s="30" cm="1">
        <f t="array" ref="M7">IF(E7&gt;0,IF($D7&lt;=0,0,ROUND(E7*I7,2)),"")</f>
      </c>
      <c r="N7" t="str" s="30" cm="1">
        <f t="array" ref="N7">IF(F7&gt;0,IF($D7&lt;=0,0,ROUND(F7*J7,2)),"")</f>
      </c>
      <c r="O7" s="31"/>
    </row>
    <row r="8" ht="20.5" customHeight="1">
      <c r="A8" t="s" s="18">
        <v>53</v>
      </c>
      <c r="B8" t="s" s="19">
        <v>60</v>
      </c>
      <c r="C8" s="20"/>
      <c r="D8" s="21"/>
      <c r="E8" s="21"/>
      <c r="F8" s="21"/>
      <c r="G8" s="79"/>
      <c r="H8" s="21"/>
      <c r="I8" s="21"/>
      <c r="J8" s="21"/>
      <c r="K8" s="21"/>
      <c r="L8" t="str" s="79" cm="1">
        <f t="array" ref="L8">IF(D8&gt;0,IF($D8&lt;=0,0,D8*H8),"")</f>
      </c>
      <c r="M8" t="str" s="79" cm="1">
        <f t="array" ref="M8">IF(E8&gt;0,IF($D8&lt;=0,0,ROUND(E8*I8,2)),"")</f>
      </c>
      <c r="N8" t="str" s="79" cm="1">
        <f t="array" ref="N8">IF(F8&gt;0,IF($D8&lt;=0,0,ROUND(F8*J8,2)),"")</f>
      </c>
      <c r="O8" s="91"/>
    </row>
    <row r="9" ht="20.5" customHeight="1">
      <c r="A9" s="94">
        <v>1</v>
      </c>
      <c r="B9" t="s" s="19">
        <v>61</v>
      </c>
      <c r="C9" s="24"/>
      <c r="D9" s="26">
        <v>4.5</v>
      </c>
      <c r="E9" s="26" cm="1">
        <f t="array" ref="E9">D9</f>
        <v>4.5</v>
      </c>
      <c r="F9" s="26" cm="1">
        <f t="array" ref="F9">D9</f>
        <v>4.5</v>
      </c>
      <c r="G9" t="s" s="27">
        <v>62</v>
      </c>
      <c r="H9" s="26">
        <v>200000</v>
      </c>
      <c r="I9" s="26">
        <v>200000</v>
      </c>
      <c r="J9" s="26">
        <v>200000</v>
      </c>
      <c r="K9" s="26">
        <v>11</v>
      </c>
      <c r="L9" s="26" cm="1">
        <f t="array" ref="L9">IF(D9&gt;0,IF($D9&lt;=0,0,D9*H9),"")</f>
        <v>900000</v>
      </c>
      <c r="M9" s="26" cm="1">
        <f t="array" ref="M9">IF(E9&gt;0,IF($D9&lt;=0,0,ROUND(E9*I9,2)),"")</f>
        <v>900000</v>
      </c>
      <c r="N9" s="26" cm="1">
        <f t="array" ref="N9">IF(F9&gt;0,IF($D9&lt;=0,0,ROUND(F9*J9,2)),"")</f>
        <v>900000</v>
      </c>
      <c r="O9" s="28"/>
    </row>
    <row r="10" ht="32.5" customHeight="1">
      <c r="A10" s="95">
        <v>2</v>
      </c>
      <c r="B10" t="s" s="19">
        <v>63</v>
      </c>
      <c r="C10" s="20"/>
      <c r="D10" s="21">
        <v>4.5</v>
      </c>
      <c r="E10" s="21" cm="1">
        <f t="array" ref="E10">D10</f>
        <v>4.5</v>
      </c>
      <c r="F10" s="21" cm="1">
        <f t="array" ref="F10">D10</f>
        <v>4.5</v>
      </c>
      <c r="G10" t="s" s="22">
        <v>64</v>
      </c>
      <c r="H10" s="21">
        <v>1000000</v>
      </c>
      <c r="I10" s="21">
        <v>1000000</v>
      </c>
      <c r="J10" s="21">
        <v>1000000</v>
      </c>
      <c r="K10" s="21">
        <v>11</v>
      </c>
      <c r="L10" s="21" cm="1">
        <f t="array" ref="L10">IF(D10&gt;0,IF($D10&lt;=0,0,D10*H10),"")</f>
        <v>4500000</v>
      </c>
      <c r="M10" s="21" cm="1">
        <f t="array" ref="M10">IF(E10&gt;0,IF($D10&lt;=0,0,ROUND(E10*I10,2)),"")</f>
        <v>4500000</v>
      </c>
      <c r="N10" s="21" cm="1">
        <f t="array" ref="N10">IF(F10&gt;0,IF($D10&lt;=0,0,ROUND(F10*J10,2)),"")</f>
        <v>4500000</v>
      </c>
      <c r="O10" s="23"/>
    </row>
    <row r="11" ht="20.5" customHeight="1">
      <c r="A11" s="94">
        <v>3</v>
      </c>
      <c r="B11" t="s" s="19">
        <v>65</v>
      </c>
      <c r="C11" s="24"/>
      <c r="D11" s="26">
        <v>4.5</v>
      </c>
      <c r="E11" s="26" cm="1">
        <f t="array" ref="E11">D11</f>
        <v>4.5</v>
      </c>
      <c r="F11" s="26" cm="1">
        <f t="array" ref="F11">D11</f>
        <v>4.5</v>
      </c>
      <c r="G11" t="s" s="27">
        <v>62</v>
      </c>
      <c r="H11" s="26">
        <v>500000</v>
      </c>
      <c r="I11" s="26">
        <v>500000</v>
      </c>
      <c r="J11" s="26">
        <v>500000</v>
      </c>
      <c r="K11" s="26">
        <v>11</v>
      </c>
      <c r="L11" s="26" cm="1">
        <f t="array" ref="L11">IF(D11&gt;0,IF($D11&lt;=0,0,D11*H11),"")</f>
        <v>2250000</v>
      </c>
      <c r="M11" s="26" cm="1">
        <f t="array" ref="M11">IF(E11&gt;0,IF($D11&lt;=0,0,ROUND(E11*I11,2)),"")</f>
        <v>2250000</v>
      </c>
      <c r="N11" s="26" cm="1">
        <f t="array" ref="N11">IF(F11&gt;0,IF($D11&lt;=0,0,ROUND(F11*J11,2)),"")</f>
        <v>2250000</v>
      </c>
      <c r="O11" s="28"/>
    </row>
    <row r="12" ht="20.5" customHeight="1">
      <c r="A12" s="94"/>
      <c r="B12" t="s" s="19">
        <v>66</v>
      </c>
      <c r="C12" s="20"/>
      <c r="D12" s="21"/>
      <c r="E12" s="21"/>
      <c r="F12" s="21"/>
      <c r="G12" s="79"/>
      <c r="H12" s="21"/>
      <c r="I12" s="21"/>
      <c r="J12" s="21"/>
      <c r="K12" s="21"/>
      <c r="L12" t="str" s="79" cm="1">
        <f t="array" ref="L12">IF(D12&gt;0,IF($D12&lt;=0,0,D12*H12),"")</f>
      </c>
      <c r="M12" t="str" s="79" cm="1">
        <f t="array" ref="M12">IF(E12&gt;0,IF($D12&lt;=0,0,ROUND(E12*I12,2)),"")</f>
      </c>
      <c r="N12" t="str" s="79" cm="1">
        <f t="array" ref="N12">IF(F12&gt;0,IF($D12&lt;=0,0,ROUND(F12*J12,2)),"")</f>
      </c>
      <c r="O12" s="23"/>
    </row>
    <row r="13" ht="20.5" customHeight="1">
      <c r="A13" s="94">
        <v>4</v>
      </c>
      <c r="B13" t="s" s="19">
        <v>67</v>
      </c>
      <c r="C13" s="24"/>
      <c r="D13" s="26">
        <v>2</v>
      </c>
      <c r="E13" s="26" cm="1">
        <f t="array" ref="E13">D13</f>
        <v>2</v>
      </c>
      <c r="F13" s="26" cm="1">
        <f t="array" ref="F13">D13</f>
        <v>2</v>
      </c>
      <c r="G13" t="s" s="27">
        <v>68</v>
      </c>
      <c r="H13" s="26">
        <v>77000</v>
      </c>
      <c r="I13" s="26">
        <v>70000</v>
      </c>
      <c r="J13" s="26">
        <v>70000</v>
      </c>
      <c r="K13" s="26">
        <v>11</v>
      </c>
      <c r="L13" s="26" cm="1">
        <f t="array" ref="L13">IF(D13&gt;0,IF($D13&lt;=0,0,D13*H13),"")</f>
        <v>154000</v>
      </c>
      <c r="M13" s="26" cm="1">
        <f t="array" ref="M13">IF(E13&gt;0,IF($D13&lt;=0,0,ROUND(E13*I13,2)),"")</f>
        <v>140000</v>
      </c>
      <c r="N13" s="26" cm="1">
        <f t="array" ref="N13">IF(F13&gt;0,IF($D13&lt;=0,0,ROUND(F13*J13,2)),"")</f>
        <v>140000</v>
      </c>
      <c r="O13" s="28"/>
    </row>
    <row r="14" ht="20.5" customHeight="1">
      <c r="A14" s="94">
        <v>5</v>
      </c>
      <c r="B14" t="s" s="19">
        <v>69</v>
      </c>
      <c r="C14" s="20"/>
      <c r="D14" s="21">
        <v>2</v>
      </c>
      <c r="E14" s="21" cm="1">
        <f t="array" ref="E14">D14</f>
        <v>2</v>
      </c>
      <c r="F14" s="21" cm="1">
        <f t="array" ref="F14">D14</f>
        <v>2</v>
      </c>
      <c r="G14" t="s" s="22">
        <v>68</v>
      </c>
      <c r="H14" s="21">
        <v>250000</v>
      </c>
      <c r="I14" s="21">
        <v>250000</v>
      </c>
      <c r="J14" s="21">
        <v>250000</v>
      </c>
      <c r="K14" s="21">
        <v>11</v>
      </c>
      <c r="L14" s="21" cm="1">
        <f t="array" ref="L14">IF(D14&gt;0,IF($D14&lt;=0,0,D14*H14),"")</f>
        <v>500000</v>
      </c>
      <c r="M14" s="21" cm="1">
        <f t="array" ref="M14">IF(E14&gt;0,IF($D14&lt;=0,0,ROUND(E14*I14,2)),"")</f>
        <v>500000</v>
      </c>
      <c r="N14" s="21" cm="1">
        <f t="array" ref="N14">IF(F14&gt;0,IF($D14&lt;=0,0,ROUND(F14*J14,2)),"")</f>
        <v>500000</v>
      </c>
      <c r="O14" s="23"/>
    </row>
    <row r="15" ht="20.5" customHeight="1">
      <c r="A15" s="29"/>
      <c r="B15" t="s" s="19">
        <v>70</v>
      </c>
      <c r="C15" s="24"/>
      <c r="D15" s="26"/>
      <c r="E15" s="26"/>
      <c r="F15" s="26"/>
      <c r="G15" s="30"/>
      <c r="H15" s="26"/>
      <c r="I15" s="26"/>
      <c r="J15" s="26"/>
      <c r="K15" s="26"/>
      <c r="L15" t="str" s="30" cm="1">
        <f t="array" ref="L15">IF(D15&gt;0,IF($D15&lt;=0,0,D15*H15),"")</f>
      </c>
      <c r="M15" t="str" s="30" cm="1">
        <f t="array" ref="M15">IF(E15&gt;0,IF($D15&lt;=0,0,ROUND(E15*I15,2)),"")</f>
      </c>
      <c r="N15" t="str" s="30" cm="1">
        <f t="array" ref="N15">IF(F15&gt;0,IF($D15&lt;=0,0,ROUND(F15*J15,2)),"")</f>
      </c>
      <c r="O15" s="31"/>
    </row>
    <row r="16" ht="20.5" customHeight="1">
      <c r="A16" t="s" s="18">
        <v>71</v>
      </c>
      <c r="B16" t="s" s="19">
        <v>72</v>
      </c>
      <c r="C16" s="20"/>
      <c r="D16" s="21">
        <v>4.5</v>
      </c>
      <c r="E16" s="21" cm="1">
        <f t="array" ref="E16">D16</f>
        <v>4.5</v>
      </c>
      <c r="F16" s="21" cm="1">
        <f t="array" ref="F16">D16</f>
        <v>4.5</v>
      </c>
      <c r="G16" t="s" s="22">
        <v>73</v>
      </c>
      <c r="H16" s="21">
        <v>625000</v>
      </c>
      <c r="I16" s="21">
        <v>610000</v>
      </c>
      <c r="J16" s="21">
        <v>610000</v>
      </c>
      <c r="K16" s="21">
        <v>11</v>
      </c>
      <c r="L16" s="21" cm="1">
        <f t="array" ref="L16">IF(D16&gt;0,IF($D16&lt;=0,0,D16*H16),"")</f>
        <v>2812500</v>
      </c>
      <c r="M16" s="21" cm="1">
        <f t="array" ref="M16">IF(E16&gt;0,IF($D16&lt;=0,0,ROUND(E16*I16,2)),"")</f>
        <v>2745000</v>
      </c>
      <c r="N16" s="21" cm="1">
        <f t="array" ref="N16">IF(F16&gt;0,IF($D16&lt;=0,0,ROUND(F16*J16,2)),"")</f>
        <v>2745000</v>
      </c>
      <c r="O16" s="91"/>
    </row>
    <row r="17" ht="20.5" customHeight="1">
      <c r="A17" s="95">
        <v>1</v>
      </c>
      <c r="B17" t="s" s="19">
        <v>74</v>
      </c>
      <c r="C17" s="24"/>
      <c r="D17" s="26">
        <v>3</v>
      </c>
      <c r="E17" s="26" cm="1">
        <f t="array" ref="E17">D17</f>
        <v>3</v>
      </c>
      <c r="F17" s="26" cm="1">
        <f t="array" ref="F17">D17</f>
        <v>3</v>
      </c>
      <c r="G17" t="s" s="27">
        <v>75</v>
      </c>
      <c r="H17" s="26">
        <v>200000</v>
      </c>
      <c r="I17" s="26">
        <v>200000</v>
      </c>
      <c r="J17" s="26">
        <v>200000</v>
      </c>
      <c r="K17" s="26">
        <v>11</v>
      </c>
      <c r="L17" s="26" cm="1">
        <f t="array" ref="L17">IF(D17&gt;0,IF($D17&lt;=0,0,D17*H17),"")</f>
        <v>600000</v>
      </c>
      <c r="M17" s="26" cm="1">
        <f t="array" ref="M17">IF(E17&gt;0,IF($D17&lt;=0,0,ROUND(E17*I17,2)),"")</f>
        <v>600000</v>
      </c>
      <c r="N17" s="26" cm="1">
        <f t="array" ref="N17">IF(F17&gt;0,IF($D17&lt;=0,0,ROUND(F17*J17,2)),"")</f>
        <v>600000</v>
      </c>
      <c r="O17" s="28"/>
    </row>
    <row r="18" ht="20.5" customHeight="1">
      <c r="A18" s="95">
        <v>2</v>
      </c>
      <c r="B18" t="s" s="19">
        <v>76</v>
      </c>
      <c r="C18" s="20"/>
      <c r="D18" s="21">
        <v>9</v>
      </c>
      <c r="E18" s="21" cm="1">
        <f t="array" ref="E18">D18</f>
        <v>9</v>
      </c>
      <c r="F18" s="21" cm="1">
        <f t="array" ref="F18">D18</f>
        <v>9</v>
      </c>
      <c r="G18" t="s" s="22">
        <v>75</v>
      </c>
      <c r="H18" s="21">
        <v>150000</v>
      </c>
      <c r="I18" s="21">
        <v>150000</v>
      </c>
      <c r="J18" s="21">
        <v>150000</v>
      </c>
      <c r="K18" s="21">
        <v>11</v>
      </c>
      <c r="L18" s="21" cm="1">
        <f t="array" ref="L18">IF(D18&gt;0,IF($D18&lt;=0,0,D18*H18),"")</f>
        <v>1350000</v>
      </c>
      <c r="M18" s="21" cm="1">
        <f t="array" ref="M18">IF(E18&gt;0,IF($D18&lt;=0,0,ROUND(E18*I18,2)),"")</f>
        <v>1350000</v>
      </c>
      <c r="N18" s="21" cm="1">
        <f t="array" ref="N18">IF(F18&gt;0,IF($D18&lt;=0,0,ROUND(F18*J18,2)),"")</f>
        <v>1350000</v>
      </c>
      <c r="O18" s="23"/>
    </row>
    <row r="19" ht="20.5" customHeight="1">
      <c r="A19" s="95">
        <v>3</v>
      </c>
      <c r="B19" t="s" s="19">
        <v>77</v>
      </c>
      <c r="C19" s="24"/>
      <c r="D19" s="26">
        <v>3</v>
      </c>
      <c r="E19" s="26" cm="1">
        <f t="array" ref="E19">D19</f>
        <v>3</v>
      </c>
      <c r="F19" s="26" cm="1">
        <f t="array" ref="F19">D19</f>
        <v>3</v>
      </c>
      <c r="G19" t="s" s="27">
        <v>75</v>
      </c>
      <c r="H19" s="26">
        <v>200000</v>
      </c>
      <c r="I19" s="26">
        <v>200000</v>
      </c>
      <c r="J19" s="26">
        <v>200000</v>
      </c>
      <c r="K19" s="26">
        <v>11</v>
      </c>
      <c r="L19" s="26" cm="1">
        <f t="array" ref="L19">IF(D19&gt;0,IF($D19&lt;=0,0,D19*H19),"")</f>
        <v>600000</v>
      </c>
      <c r="M19" s="26" cm="1">
        <f t="array" ref="M19">IF(E19&gt;0,IF($D19&lt;=0,0,ROUND(E19*I19,2)),"")</f>
        <v>600000</v>
      </c>
      <c r="N19" s="26" cm="1">
        <f t="array" ref="N19">IF(F19&gt;0,IF($D19&lt;=0,0,ROUND(F19*J19,2)),"")</f>
        <v>600000</v>
      </c>
      <c r="O19" s="28"/>
    </row>
    <row r="20" ht="20.5" customHeight="1">
      <c r="A20" s="95">
        <v>4</v>
      </c>
      <c r="B20" t="s" s="19">
        <v>78</v>
      </c>
      <c r="C20" s="20"/>
      <c r="D20" s="21">
        <v>1</v>
      </c>
      <c r="E20" s="21" cm="1">
        <f t="array" ref="E20">D20</f>
        <v>1</v>
      </c>
      <c r="F20" s="21" cm="1">
        <f t="array" ref="F20">D20</f>
        <v>1</v>
      </c>
      <c r="G20" t="s" s="22">
        <v>79</v>
      </c>
      <c r="H20" s="21">
        <v>2000000</v>
      </c>
      <c r="I20" s="21">
        <v>2000000</v>
      </c>
      <c r="J20" s="21">
        <v>2000000</v>
      </c>
      <c r="K20" s="21">
        <v>11</v>
      </c>
      <c r="L20" s="21" cm="1">
        <f t="array" ref="L20">IF(D20&gt;0,IF($D20&lt;=0,0,D20*H20),"")</f>
        <v>2000000</v>
      </c>
      <c r="M20" s="21" cm="1">
        <f t="array" ref="M20">IF(E20&gt;0,IF($D20&lt;=0,0,ROUND(E20*I20,2)),"")</f>
        <v>2000000</v>
      </c>
      <c r="N20" s="21" cm="1">
        <f t="array" ref="N20">IF(F20&gt;0,IF($D20&lt;=0,0,ROUND(F20*J20,2)),"")</f>
        <v>2000000</v>
      </c>
      <c r="O20" s="91"/>
    </row>
    <row r="21" ht="20.5" customHeight="1">
      <c r="A21" t="s" s="18">
        <v>80</v>
      </c>
      <c r="B21" t="s" s="19">
        <v>81</v>
      </c>
      <c r="C21" s="24"/>
      <c r="D21" s="26"/>
      <c r="E21" s="26"/>
      <c r="F21" s="26"/>
      <c r="G21" s="30"/>
      <c r="H21" s="26"/>
      <c r="I21" s="26"/>
      <c r="J21" s="26"/>
      <c r="K21" s="26"/>
      <c r="L21" t="str" s="30" cm="1">
        <f t="array" ref="L21">IF(D21&gt;0,IF($D21&lt;=0,0,D21*H21),"")</f>
      </c>
      <c r="M21" t="str" s="30" cm="1">
        <f t="array" ref="M21">IF(E21&gt;0,IF($D21&lt;=0,0,ROUND(E21*I21,2)),"")</f>
      </c>
      <c r="N21" t="str" s="30" cm="1">
        <f t="array" ref="N21">IF(F21&gt;0,IF($D21&lt;=0,0,ROUND(F21*J21,2)),"")</f>
      </c>
      <c r="O21" s="31"/>
    </row>
    <row r="22" ht="20.5" customHeight="1">
      <c r="A22" s="29"/>
      <c r="B22" t="s" s="19">
        <v>82</v>
      </c>
      <c r="C22" s="20"/>
      <c r="D22" s="21">
        <v>1</v>
      </c>
      <c r="E22" s="21" cm="1">
        <f t="array" ref="E22">D22</f>
        <v>1</v>
      </c>
      <c r="F22" s="21" cm="1">
        <f t="array" ref="F22">D22</f>
        <v>1</v>
      </c>
      <c r="G22" t="s" s="22">
        <v>19</v>
      </c>
      <c r="H22" s="21">
        <v>161799.6</v>
      </c>
      <c r="I22" s="21">
        <v>161388</v>
      </c>
      <c r="J22" s="21">
        <v>161388</v>
      </c>
      <c r="K22" s="21">
        <v>0</v>
      </c>
      <c r="L22" s="21" cm="1">
        <f t="array" ref="L22">IF(D22&gt;0,IF($D22&lt;=0,0,D22*H22),"")</f>
        <v>161799.6</v>
      </c>
      <c r="M22" s="21" cm="1">
        <f t="array" ref="M22">IF(E22&gt;0,IF($D22&lt;=0,0,ROUND(E22*I22,2)),"")</f>
        <v>161388</v>
      </c>
      <c r="N22" s="21" cm="1">
        <f t="array" ref="N22">IF(F22&gt;0,IF($D22&lt;=0,0,ROUND(F22*J22,2)),"")</f>
        <v>161388</v>
      </c>
      <c r="O22" s="23"/>
    </row>
    <row r="23" ht="20.6" customHeight="1">
      <c r="A23" s="96"/>
      <c r="B23" s="97"/>
      <c r="C23" s="80"/>
      <c r="D23" s="81"/>
      <c r="E23" s="81"/>
      <c r="F23" s="81"/>
      <c r="G23" s="98"/>
      <c r="H23" s="81"/>
      <c r="I23" s="81"/>
      <c r="J23" s="81"/>
      <c r="K23" s="81"/>
      <c r="L23" t="str" s="98" cm="1">
        <f t="array" ref="L23">IF(D23&gt;0,IF($D23&lt;=0,0,D23*H23),"")</f>
      </c>
      <c r="M23" t="str" s="98" cm="1">
        <f t="array" ref="M23">IF(E23&gt;0,IF($D23&lt;=0,0,ROUND(E23*I23,2)),"")</f>
      </c>
      <c r="N23" t="str" s="98" cm="1">
        <f t="array" ref="N23">IF(F23&gt;0,IF($D23&lt;=0,0,ROUND(F23*J23,2)),"")</f>
      </c>
      <c r="O23" s="99"/>
    </row>
    <row r="24" ht="20.85" customHeight="1">
      <c r="A24" s="54"/>
      <c r="B24" s="54"/>
      <c r="C24" s="54"/>
      <c r="D24" s="55"/>
      <c r="E24" s="55"/>
      <c r="F24" s="55"/>
      <c r="G24" s="56"/>
      <c r="H24" s="56"/>
      <c r="I24" s="54"/>
      <c r="J24" s="57"/>
      <c r="K24" t="s" s="58">
        <v>38</v>
      </c>
      <c r="L24" s="59" cm="1">
        <f t="array" ref="L24">SUM(L1:L23)</f>
        <v>67578299.59999999</v>
      </c>
      <c r="M24" s="59" cm="1">
        <f t="array" ref="M24">SUM(M1:M23)</f>
        <v>67406388</v>
      </c>
      <c r="N24" s="59" cm="1">
        <f t="array" ref="N24">SUM(N1:N23)</f>
        <v>67406388</v>
      </c>
      <c r="O24" s="59"/>
    </row>
    <row r="25" ht="21" customHeight="1">
      <c r="A25" s="62"/>
      <c r="B25" t="s" s="61">
        <v>39</v>
      </c>
      <c r="C25" s="62"/>
      <c r="D25" s="63" cm="1">
        <f t="array" ref="D25">ROUND(IF(L25&lt;=100000000,L25*0.24%,IF(AND(L25&gt;100000000,L25&lt;=500000000),100000000*0.24%+(L25-100000000)*0.19%,IF(AND(L25&gt;500000000,L25&lt;=1000000000),100000000*0.24%+400000000*0.19%+(L25-500000000)*0.15%,IF(AND(L25&gt;1000000000,L25&lt;=5000000000),100000000*0.24%+400000000*0.19%+500000000*0.15%+(L25-1000000000)*0.12%,IF(L25&gt;5000000000,100000000*0.24%+400000000*0.19%+500000000*0.15%+4000000000*0.12%+(L25-5000000000)*0.1%,"Bingung komputer"))))),2)</f>
        <v>161799.6</v>
      </c>
      <c r="E25" s="64" cm="1">
        <f t="array" ref="E25">ROUND(IF(M25&lt;=100000000,M25*0.24%,IF(AND(M25&gt;100000000,M25&lt;=500000000),100000000*0.24%+(M25-100000000)*0.19%,IF(AND(M25&gt;500000000,M25&lt;=1000000000),100000000*0.24%+400000000*0.19%+(M25-500000000)*0.15%,IF(AND(M25&gt;1000000000,M25&lt;=5000000000),100000000*0.24%+400000000*0.19%+500000000*0.15%+(M25-1000000000)*0.12%,IF(M25&gt;5000000000,100000000*0.24%+400000000*0.19%+500000000*0.15%+4000000000*0.12%+(M25-5000000000)*0.1%,"Bingung komputer"))))),2)</f>
        <v>161388</v>
      </c>
      <c r="F25" s="64" cm="1">
        <f t="array" ref="F25">ROUND(IF(N25&lt;=100000000,N25*0.24%,IF(AND(N25&gt;100000000,N25&lt;=500000000),100000000*0.24%+(N25-100000000)*0.19%,IF(AND(N25&gt;500000000,N25&lt;=1000000000),100000000*0.24%+400000000*0.19%+(N25-500000000)*0.15%,IF(AND(N25&gt;1000000000,N25&lt;=5000000000),100000000*0.24%+400000000*0.19%+500000000*0.15%+(N25-1000000000)*0.12%,IF(N25&gt;5000000000,100000000*0.24%+400000000*0.19%+500000000*0.15%+4000000000*0.12%+(N25-5000000000)*0.1%,"Bingung komputer"))))),2)</f>
        <v>161388</v>
      </c>
      <c r="G25" s="65"/>
      <c r="H25" s="66"/>
      <c r="I25" s="62"/>
      <c r="J25" s="67"/>
      <c r="K25" t="str" s="67" cm="1">
        <f t="array" ref="K25">"Jumlah Terkena Pajak "&amp;MAX(K3:K23)&amp;"% (B)"</f>
        <v>Jumlah Terkena Pajak 11,00% (B)</v>
      </c>
      <c r="L25" s="68" cm="1">
        <f t="array" ref="L25">SUMIF($K3:$K23,"&gt;0",L3:L23)</f>
        <v>67416500</v>
      </c>
      <c r="M25" s="68" cm="1">
        <f t="array" ref="M25">SUMIF($K3:$K23,"&gt;0",M3:M23)</f>
        <v>67245000</v>
      </c>
      <c r="N25" s="68" cm="1">
        <f t="array" ref="N25">SUMIF($K3:$K23,"&gt;0",N3:N23)</f>
        <v>67245000</v>
      </c>
      <c r="O25" s="69"/>
    </row>
    <row r="26" ht="21" customHeight="1">
      <c r="A26" s="71"/>
      <c r="B26" s="71"/>
      <c r="C26" s="71"/>
      <c r="D26" s="72"/>
      <c r="E26" s="72"/>
      <c r="F26" s="71"/>
      <c r="G26" s="72"/>
      <c r="H26" s="72"/>
      <c r="I26" s="71"/>
      <c r="J26" s="73"/>
      <c r="K26" t="str" s="73" cm="1">
        <f t="array" ref="K26">"PPN (C) = "&amp;MAX(K3:K23)&amp;"% x B"</f>
        <v>PPN (C) = 11,00% x B</v>
      </c>
      <c r="L26" s="74" cm="1">
        <f t="array" ref="L26">L25*MAX($K3:$K23)%</f>
        <v>7415815</v>
      </c>
      <c r="M26" s="74" cm="1">
        <f t="array" ref="M26">M25*MAX($K3:$K23)%</f>
        <v>7396950</v>
      </c>
      <c r="N26" s="74" cm="1">
        <f t="array" ref="N26">N25*MAX($K3:$K23)%</f>
        <v>7396950</v>
      </c>
      <c r="O26" s="69"/>
    </row>
    <row r="27" ht="21" customHeight="1">
      <c r="A27" s="71"/>
      <c r="B27" s="71"/>
      <c r="C27" s="71"/>
      <c r="D27" s="72"/>
      <c r="E27" s="72"/>
      <c r="F27" s="72"/>
      <c r="G27" s="72"/>
      <c r="H27" s="72"/>
      <c r="I27" s="71"/>
      <c r="J27" s="73"/>
      <c r="K27" t="s" s="75">
        <v>42</v>
      </c>
      <c r="L27" s="74" cm="1">
        <f t="array" ref="L27">L24+L26</f>
        <v>74994114.59999999</v>
      </c>
      <c r="M27" s="74" cm="1">
        <f t="array" ref="M27">M24+M26</f>
        <v>74803338</v>
      </c>
      <c r="N27" s="74" cm="1">
        <f t="array" ref="N27">N24+N26</f>
        <v>74803338</v>
      </c>
      <c r="O27" s="69"/>
    </row>
    <row r="28" ht="20.5" customHeight="1">
      <c r="A28" s="71"/>
      <c r="B28" s="71"/>
      <c r="C28" s="71"/>
      <c r="D28" s="72"/>
      <c r="E28" s="72"/>
      <c r="F28" s="72"/>
      <c r="G28" s="72"/>
      <c r="H28" s="72"/>
      <c r="I28" s="71"/>
      <c r="J28" s="73"/>
      <c r="K28" t="s" s="75">
        <v>43</v>
      </c>
      <c r="L28" s="74" cm="1">
        <f t="array" ref="L28">ROUNDDOWN(L27,2)</f>
        <v>74994114.59999999</v>
      </c>
      <c r="M28" s="74" cm="1">
        <f t="array" ref="M28">ROUNDDOWN(M27,2)</f>
        <v>74803338</v>
      </c>
      <c r="N28" s="74" cm="1">
        <f t="array" ref="N28">ROUNDDOWN(N27,-3)</f>
        <v>74803000</v>
      </c>
      <c r="O28" s="68"/>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O27"/>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7.17188" style="100" customWidth="1"/>
    <col min="2" max="2" width="43.0312" style="100" customWidth="1"/>
    <col min="3" max="3" width="2.75" style="100" customWidth="1"/>
    <col min="4" max="6" width="10.3672" style="100" customWidth="1"/>
    <col min="7" max="7" width="11.6875" style="100" customWidth="1"/>
    <col min="8" max="11" width="13.5156" style="100" customWidth="1"/>
    <col min="12" max="15" width="14.2344" style="100" customWidth="1"/>
    <col min="16" max="16384" width="16.3516" style="100" customWidth="1"/>
  </cols>
  <sheetData>
    <row r="1" ht="20.5" customHeight="1">
      <c r="A1" t="s" s="7">
        <v>6</v>
      </c>
      <c r="B1" t="s" s="7">
        <v>7</v>
      </c>
      <c r="C1" s="8"/>
      <c r="D1" t="s" s="7">
        <v>8</v>
      </c>
      <c r="E1" s="8"/>
      <c r="F1" s="8"/>
      <c r="G1" t="s" s="7">
        <v>9</v>
      </c>
      <c r="H1" t="s" s="7">
        <v>10</v>
      </c>
      <c r="I1" s="8"/>
      <c r="J1" s="8"/>
      <c r="K1" t="s" s="7">
        <v>11</v>
      </c>
      <c r="L1" t="s" s="7">
        <v>12</v>
      </c>
      <c r="M1" s="8"/>
      <c r="N1" s="8"/>
      <c r="O1" s="88"/>
    </row>
    <row r="2" ht="20.85" customHeight="1">
      <c r="A2" s="9"/>
      <c r="B2" s="9"/>
      <c r="C2" s="9"/>
      <c r="D2" t="s" s="10">
        <v>13</v>
      </c>
      <c r="E2" t="s" s="10">
        <v>14</v>
      </c>
      <c r="F2" t="s" s="10">
        <v>15</v>
      </c>
      <c r="G2" s="9"/>
      <c r="H2" t="s" s="10">
        <v>13</v>
      </c>
      <c r="I2" t="s" s="10">
        <v>14</v>
      </c>
      <c r="J2" t="s" s="10">
        <v>15</v>
      </c>
      <c r="K2" s="9"/>
      <c r="L2" t="s" s="10">
        <v>13</v>
      </c>
      <c r="M2" t="s" s="10">
        <v>14</v>
      </c>
      <c r="N2" t="s" s="10">
        <v>15</v>
      </c>
      <c r="O2" s="89"/>
    </row>
    <row r="3" ht="20.6" customHeight="1">
      <c r="A3" t="s" s="90">
        <v>51</v>
      </c>
      <c r="B3" t="s" s="12">
        <v>52</v>
      </c>
      <c r="C3" s="13"/>
      <c r="D3" s="14"/>
      <c r="E3" s="14"/>
      <c r="F3" s="14"/>
      <c r="G3" s="15"/>
      <c r="H3" s="15"/>
      <c r="I3" s="15"/>
      <c r="J3" s="15"/>
      <c r="K3" s="15"/>
      <c r="L3" t="str" s="16" cm="1">
        <f t="array" ref="L3">IF(D3&gt;0,IF($D3&lt;=0,0,D3*H3),"")</f>
      </c>
      <c r="M3" t="str" s="16" cm="1">
        <f t="array" ref="M3">IF(E3&gt;0,IF($D3&lt;=0,0,ROUND(E3*I3,2)),"")</f>
      </c>
      <c r="N3" t="str" s="16" cm="1">
        <f t="array" ref="N3">IF(F3&gt;0,IF($D3&lt;=0,0,ROUND(F3*J3,2)),"")</f>
      </c>
      <c r="O3" s="17"/>
    </row>
    <row r="4" ht="20.5" customHeight="1">
      <c r="A4" t="s" s="18">
        <v>53</v>
      </c>
      <c r="B4" t="s" s="19">
        <v>54</v>
      </c>
      <c r="C4" s="20"/>
      <c r="D4" s="21"/>
      <c r="E4" s="21"/>
      <c r="F4" s="21"/>
      <c r="G4" s="79"/>
      <c r="H4" s="21"/>
      <c r="I4" s="79"/>
      <c r="J4" s="21"/>
      <c r="K4" s="21"/>
      <c r="L4" t="str" s="79" cm="1">
        <f t="array" ref="L4">IF(D4&gt;0,IF($D4&lt;=0,0,D4*H4),"")</f>
      </c>
      <c r="M4" t="str" s="79" cm="1">
        <f t="array" ref="M4">IF(E4&gt;0,IF($D4&lt;=0,0,ROUND(E4*I4,2)),"")</f>
      </c>
      <c r="N4" t="str" s="79" cm="1">
        <f t="array" ref="N4">IF(F4&gt;0,IF($D4&lt;=0,0,ROUND(F4*J4,2)),"")</f>
      </c>
      <c r="O4" s="91"/>
    </row>
    <row r="5" ht="32.5" customHeight="1">
      <c r="A5" s="92">
        <v>1</v>
      </c>
      <c r="B5" t="s" s="19">
        <v>84</v>
      </c>
      <c r="C5" s="24"/>
      <c r="D5" s="26">
        <v>5</v>
      </c>
      <c r="E5" s="26" cm="1">
        <f t="array" ref="E5">D5</f>
        <v>5</v>
      </c>
      <c r="F5" s="26" cm="1">
        <f t="array" ref="F5">D5</f>
        <v>5</v>
      </c>
      <c r="G5" t="s" s="27">
        <v>56</v>
      </c>
      <c r="H5" s="26">
        <v>6500000</v>
      </c>
      <c r="I5" s="26">
        <v>6470000</v>
      </c>
      <c r="J5" s="26">
        <v>6470000</v>
      </c>
      <c r="K5" s="26">
        <v>11</v>
      </c>
      <c r="L5" s="26" cm="1">
        <f t="array" ref="L5">IF(D5&gt;0,IF($D5&lt;=0,0,D5*H5),"")</f>
        <v>32500000</v>
      </c>
      <c r="M5" s="26" cm="1">
        <f t="array" ref="M5">IF(E5&gt;0,IF($D5&lt;=0,0,ROUND(E5*I5,2)),"")</f>
        <v>32350000</v>
      </c>
      <c r="N5" s="26" cm="1">
        <f t="array" ref="N5">IF(F5&gt;0,IF($D5&lt;=0,0,ROUND(F5*J5,2)),"")</f>
        <v>32350000</v>
      </c>
      <c r="O5" s="28"/>
    </row>
    <row r="6" ht="20.5" customHeight="1">
      <c r="A6" t="s" s="93">
        <v>58</v>
      </c>
      <c r="B6" t="s" s="19">
        <v>59</v>
      </c>
      <c r="C6" s="20"/>
      <c r="D6" s="21"/>
      <c r="E6" s="21"/>
      <c r="F6" s="21"/>
      <c r="G6" s="79"/>
      <c r="H6" s="21"/>
      <c r="I6" s="21"/>
      <c r="J6" s="21"/>
      <c r="K6" s="21"/>
      <c r="L6" t="str" s="79" cm="1">
        <f t="array" ref="L6">IF(D6&gt;0,IF($D6&lt;=0,0,D6*H6),"")</f>
      </c>
      <c r="M6" t="str" s="79" cm="1">
        <f t="array" ref="M6">IF(E6&gt;0,IF($D6&lt;=0,0,ROUND(E6*I6,2)),"")</f>
      </c>
      <c r="N6" t="str" s="79" cm="1">
        <f t="array" ref="N6">IF(F6&gt;0,IF($D6&lt;=0,0,ROUND(F6*J6,2)),"")</f>
      </c>
      <c r="O6" s="91"/>
    </row>
    <row r="7" ht="20.5" customHeight="1">
      <c r="A7" t="s" s="18">
        <v>53</v>
      </c>
      <c r="B7" t="s" s="19">
        <v>60</v>
      </c>
      <c r="C7" s="24"/>
      <c r="D7" s="26"/>
      <c r="E7" s="26"/>
      <c r="F7" s="26"/>
      <c r="G7" s="30"/>
      <c r="H7" s="26"/>
      <c r="I7" s="26"/>
      <c r="J7" s="26"/>
      <c r="K7" s="26"/>
      <c r="L7" t="str" s="30" cm="1">
        <f t="array" ref="L7">IF(D7&gt;0,IF($D7&lt;=0,0,D7*H7),"")</f>
      </c>
      <c r="M7" t="str" s="30" cm="1">
        <f t="array" ref="M7">IF(E7&gt;0,IF($D7&lt;=0,0,ROUND(E7*I7,2)),"")</f>
      </c>
      <c r="N7" t="str" s="30" cm="1">
        <f t="array" ref="N7">IF(F7&gt;0,IF($D7&lt;=0,0,ROUND(F7*J7,2)),"")</f>
      </c>
      <c r="O7" s="31"/>
    </row>
    <row r="8" ht="20.5" customHeight="1">
      <c r="A8" s="94">
        <v>1</v>
      </c>
      <c r="B8" t="s" s="19">
        <v>61</v>
      </c>
      <c r="C8" s="20"/>
      <c r="D8" s="21">
        <v>1</v>
      </c>
      <c r="E8" s="21" cm="1">
        <f t="array" ref="E8">D8</f>
        <v>1</v>
      </c>
      <c r="F8" s="21" cm="1">
        <f t="array" ref="F8">D8</f>
        <v>1</v>
      </c>
      <c r="G8" t="s" s="22">
        <v>19</v>
      </c>
      <c r="H8" s="21">
        <v>1270000</v>
      </c>
      <c r="I8" s="21">
        <v>1250000</v>
      </c>
      <c r="J8" s="21">
        <v>1250000</v>
      </c>
      <c r="K8" s="21">
        <v>11</v>
      </c>
      <c r="L8" s="21" cm="1">
        <f t="array" ref="L8">IF(D8&gt;0,IF($D8&lt;=0,0,D8*H8),"")</f>
        <v>1270000</v>
      </c>
      <c r="M8" s="21" cm="1">
        <f t="array" ref="M8">IF(E8&gt;0,IF($D8&lt;=0,0,ROUND(E8*I8,2)),"")</f>
        <v>1250000</v>
      </c>
      <c r="N8" s="21" cm="1">
        <f t="array" ref="N8">IF(F8&gt;0,IF($D8&lt;=0,0,ROUND(F8*J8,2)),"")</f>
        <v>1250000</v>
      </c>
      <c r="O8" s="23"/>
    </row>
    <row r="9" ht="32.5" customHeight="1">
      <c r="A9" s="95">
        <v>2</v>
      </c>
      <c r="B9" t="s" s="19">
        <v>63</v>
      </c>
      <c r="C9" s="24"/>
      <c r="D9" s="26">
        <v>1</v>
      </c>
      <c r="E9" s="26" cm="1">
        <f t="array" ref="E9">D9</f>
        <v>1</v>
      </c>
      <c r="F9" s="26" cm="1">
        <f t="array" ref="F9">D9</f>
        <v>1</v>
      </c>
      <c r="G9" t="s" s="27">
        <v>19</v>
      </c>
      <c r="H9" s="26">
        <v>3000000</v>
      </c>
      <c r="I9" s="26">
        <v>3000000</v>
      </c>
      <c r="J9" s="26">
        <v>3000000</v>
      </c>
      <c r="K9" s="26">
        <v>11</v>
      </c>
      <c r="L9" s="26" cm="1">
        <f t="array" ref="L9">IF(D9&gt;0,IF($D9&lt;=0,0,D9*H9),"")</f>
        <v>3000000</v>
      </c>
      <c r="M9" s="26" cm="1">
        <f t="array" ref="M9">IF(E9&gt;0,IF($D9&lt;=0,0,ROUND(E9*I9,2)),"")</f>
        <v>3000000</v>
      </c>
      <c r="N9" s="26" cm="1">
        <f t="array" ref="N9">IF(F9&gt;0,IF($D9&lt;=0,0,ROUND(F9*J9,2)),"")</f>
        <v>3000000</v>
      </c>
      <c r="O9" s="28"/>
    </row>
    <row r="10" ht="20.5" customHeight="1">
      <c r="A10" s="94">
        <v>3</v>
      </c>
      <c r="B10" t="s" s="19">
        <v>65</v>
      </c>
      <c r="C10" s="20"/>
      <c r="D10" s="21">
        <v>1</v>
      </c>
      <c r="E10" s="21" cm="1">
        <f t="array" ref="E10">D10</f>
        <v>1</v>
      </c>
      <c r="F10" s="21" cm="1">
        <f t="array" ref="F10">D10</f>
        <v>1</v>
      </c>
      <c r="G10" t="s" s="22">
        <v>19</v>
      </c>
      <c r="H10" s="21">
        <v>1000000</v>
      </c>
      <c r="I10" s="21">
        <v>1000000</v>
      </c>
      <c r="J10" s="21">
        <v>1000000</v>
      </c>
      <c r="K10" s="21">
        <v>11</v>
      </c>
      <c r="L10" s="21" cm="1">
        <f t="array" ref="L10">IF(D10&gt;0,IF($D10&lt;=0,0,D10*H10),"")</f>
        <v>1000000</v>
      </c>
      <c r="M10" s="21" cm="1">
        <f t="array" ref="M10">IF(E10&gt;0,IF($D10&lt;=0,0,ROUND(E10*I10,2)),"")</f>
        <v>1000000</v>
      </c>
      <c r="N10" s="21" cm="1">
        <f t="array" ref="N10">IF(F10&gt;0,IF($D10&lt;=0,0,ROUND(F10*J10,2)),"")</f>
        <v>1000000</v>
      </c>
      <c r="O10" s="23"/>
    </row>
    <row r="11" ht="20.5" customHeight="1">
      <c r="A11" s="94"/>
      <c r="B11" t="s" s="19">
        <v>66</v>
      </c>
      <c r="C11" s="24"/>
      <c r="D11" s="26"/>
      <c r="E11" s="26"/>
      <c r="F11" s="26"/>
      <c r="G11" s="30"/>
      <c r="H11" s="26"/>
      <c r="I11" s="26"/>
      <c r="J11" s="26"/>
      <c r="K11" s="26"/>
      <c r="L11" t="str" s="30" cm="1">
        <f t="array" ref="L11">IF(D11&gt;0,IF($D11&lt;=0,0,D11*H11),"")</f>
      </c>
      <c r="M11" t="str" s="30" cm="1">
        <f t="array" ref="M11">IF(E11&gt;0,IF($D11&lt;=0,0,ROUND(E11*I11,2)),"")</f>
      </c>
      <c r="N11" t="str" s="30" cm="1">
        <f t="array" ref="N11">IF(F11&gt;0,IF($D11&lt;=0,0,ROUND(F11*J11,2)),"")</f>
      </c>
      <c r="O11" s="28"/>
    </row>
    <row r="12" ht="20.5" customHeight="1">
      <c r="A12" s="94">
        <v>4</v>
      </c>
      <c r="B12" t="s" s="19">
        <v>67</v>
      </c>
      <c r="C12" s="20"/>
      <c r="D12" s="21">
        <v>1</v>
      </c>
      <c r="E12" s="21" cm="1">
        <f t="array" ref="E12">D12</f>
        <v>1</v>
      </c>
      <c r="F12" s="21" cm="1">
        <f t="array" ref="F12">D12</f>
        <v>1</v>
      </c>
      <c r="G12" t="s" s="22">
        <v>68</v>
      </c>
      <c r="H12" s="21">
        <v>77000</v>
      </c>
      <c r="I12" s="21">
        <v>70000</v>
      </c>
      <c r="J12" s="21">
        <v>70000</v>
      </c>
      <c r="K12" s="21">
        <v>11</v>
      </c>
      <c r="L12" s="21" cm="1">
        <f t="array" ref="L12">IF(D12&gt;0,IF($D12&lt;=0,0,D12*H12),"")</f>
        <v>77000</v>
      </c>
      <c r="M12" s="21" cm="1">
        <f t="array" ref="M12">IF(E12&gt;0,IF($D12&lt;=0,0,ROUND(E12*I12,2)),"")</f>
        <v>70000</v>
      </c>
      <c r="N12" s="21" cm="1">
        <f t="array" ref="N12">IF(F12&gt;0,IF($D12&lt;=0,0,ROUND(F12*J12,2)),"")</f>
        <v>70000</v>
      </c>
      <c r="O12" s="23"/>
    </row>
    <row r="13" ht="20.5" customHeight="1">
      <c r="A13" s="94">
        <v>5</v>
      </c>
      <c r="B13" t="s" s="19">
        <v>69</v>
      </c>
      <c r="C13" s="24"/>
      <c r="D13" s="26">
        <v>1</v>
      </c>
      <c r="E13" s="26" cm="1">
        <f t="array" ref="E13">D13</f>
        <v>1</v>
      </c>
      <c r="F13" s="26" cm="1">
        <f t="array" ref="F13">D13</f>
        <v>1</v>
      </c>
      <c r="G13" t="s" s="27">
        <v>68</v>
      </c>
      <c r="H13" s="26">
        <v>250000</v>
      </c>
      <c r="I13" s="26">
        <v>250000</v>
      </c>
      <c r="J13" s="26">
        <v>250000</v>
      </c>
      <c r="K13" s="26">
        <v>11</v>
      </c>
      <c r="L13" s="26" cm="1">
        <f t="array" ref="L13">IF(D13&gt;0,IF($D13&lt;=0,0,D13*H13),"")</f>
        <v>250000</v>
      </c>
      <c r="M13" s="26" cm="1">
        <f t="array" ref="M13">IF(E13&gt;0,IF($D13&lt;=0,0,ROUND(E13*I13,2)),"")</f>
        <v>250000</v>
      </c>
      <c r="N13" s="26" cm="1">
        <f t="array" ref="N13">IF(F13&gt;0,IF($D13&lt;=0,0,ROUND(F13*J13,2)),"")</f>
        <v>250000</v>
      </c>
      <c r="O13" s="28"/>
    </row>
    <row r="14" ht="20.5" customHeight="1">
      <c r="A14" s="29"/>
      <c r="B14" t="s" s="19">
        <v>70</v>
      </c>
      <c r="C14" s="20"/>
      <c r="D14" s="21"/>
      <c r="E14" s="21"/>
      <c r="F14" s="21"/>
      <c r="G14" s="79"/>
      <c r="H14" s="21"/>
      <c r="I14" s="21"/>
      <c r="J14" s="21"/>
      <c r="K14" s="21"/>
      <c r="L14" t="str" s="79" cm="1">
        <f t="array" ref="L14">IF(D14&gt;0,IF($D14&lt;=0,0,D14*H14),"")</f>
      </c>
      <c r="M14" t="str" s="79" cm="1">
        <f t="array" ref="M14">IF(E14&gt;0,IF($D14&lt;=0,0,ROUND(E14*I14,2)),"")</f>
      </c>
      <c r="N14" t="str" s="79" cm="1">
        <f t="array" ref="N14">IF(F14&gt;0,IF($D14&lt;=0,0,ROUND(F14*J14,2)),"")</f>
      </c>
      <c r="O14" s="91"/>
    </row>
    <row r="15" ht="20.5" customHeight="1">
      <c r="A15" s="95">
        <v>1</v>
      </c>
      <c r="B15" t="s" s="19">
        <v>72</v>
      </c>
      <c r="C15" s="24"/>
      <c r="D15" s="26">
        <v>1</v>
      </c>
      <c r="E15" s="26" cm="1">
        <f t="array" ref="E15">D15</f>
        <v>1</v>
      </c>
      <c r="F15" s="26" cm="1">
        <f t="array" ref="F15">D15</f>
        <v>1</v>
      </c>
      <c r="G15" t="s" s="27">
        <v>19</v>
      </c>
      <c r="H15" s="26">
        <v>2500000</v>
      </c>
      <c r="I15" s="26">
        <v>2500000</v>
      </c>
      <c r="J15" s="26">
        <v>2500000</v>
      </c>
      <c r="K15" s="26">
        <v>11</v>
      </c>
      <c r="L15" s="26" cm="1">
        <f t="array" ref="L15">IF(D15&gt;0,IF($D15&lt;=0,0,D15*H15),"")</f>
        <v>2500000</v>
      </c>
      <c r="M15" s="26" cm="1">
        <f t="array" ref="M15">IF(E15&gt;0,IF($D15&lt;=0,0,ROUND(E15*I15,2)),"")</f>
        <v>2500000</v>
      </c>
      <c r="N15" s="26" cm="1">
        <f t="array" ref="N15">IF(F15&gt;0,IF($D15&lt;=0,0,ROUND(F15*J15,2)),"")</f>
        <v>2500000</v>
      </c>
      <c r="O15" s="31"/>
    </row>
    <row r="16" ht="20.5" customHeight="1">
      <c r="A16" s="95">
        <v>2</v>
      </c>
      <c r="B16" t="s" s="19">
        <v>74</v>
      </c>
      <c r="C16" s="20"/>
      <c r="D16" s="21">
        <v>3</v>
      </c>
      <c r="E16" s="21" cm="1">
        <f t="array" ref="E16">D16</f>
        <v>3</v>
      </c>
      <c r="F16" s="21" cm="1">
        <f t="array" ref="F16">D16</f>
        <v>3</v>
      </c>
      <c r="G16" t="s" s="22">
        <v>75</v>
      </c>
      <c r="H16" s="21">
        <v>200000</v>
      </c>
      <c r="I16" s="21">
        <v>200000</v>
      </c>
      <c r="J16" s="21">
        <v>200000</v>
      </c>
      <c r="K16" s="21">
        <v>11</v>
      </c>
      <c r="L16" s="21" cm="1">
        <f t="array" ref="L16">IF(D16&gt;0,IF($D16&lt;=0,0,D16*H16),"")</f>
        <v>600000</v>
      </c>
      <c r="M16" s="21" cm="1">
        <f t="array" ref="M16">IF(E16&gt;0,IF($D16&lt;=0,0,ROUND(E16*I16,2)),"")</f>
        <v>600000</v>
      </c>
      <c r="N16" s="21" cm="1">
        <f t="array" ref="N16">IF(F16&gt;0,IF($D16&lt;=0,0,ROUND(F16*J16,2)),"")</f>
        <v>600000</v>
      </c>
      <c r="O16" s="23"/>
    </row>
    <row r="17" ht="20.5" customHeight="1">
      <c r="A17" s="95">
        <v>3</v>
      </c>
      <c r="B17" t="s" s="19">
        <v>76</v>
      </c>
      <c r="C17" s="24"/>
      <c r="D17" s="26">
        <v>9</v>
      </c>
      <c r="E17" s="26" cm="1">
        <f t="array" ref="E17">D17</f>
        <v>9</v>
      </c>
      <c r="F17" s="26" cm="1">
        <f t="array" ref="F17">D17</f>
        <v>9</v>
      </c>
      <c r="G17" t="s" s="27">
        <v>75</v>
      </c>
      <c r="H17" s="26">
        <v>150000</v>
      </c>
      <c r="I17" s="26">
        <v>150000</v>
      </c>
      <c r="J17" s="26">
        <v>150000</v>
      </c>
      <c r="K17" s="26">
        <v>11</v>
      </c>
      <c r="L17" s="26" cm="1">
        <f t="array" ref="L17">IF(D17&gt;0,IF($D17&lt;=0,0,D17*H17),"")</f>
        <v>1350000</v>
      </c>
      <c r="M17" s="26" cm="1">
        <f t="array" ref="M17">IF(E17&gt;0,IF($D17&lt;=0,0,ROUND(E17*I17,2)),"")</f>
        <v>1350000</v>
      </c>
      <c r="N17" s="26" cm="1">
        <f t="array" ref="N17">IF(F17&gt;0,IF($D17&lt;=0,0,ROUND(F17*J17,2)),"")</f>
        <v>1350000</v>
      </c>
      <c r="O17" s="28"/>
    </row>
    <row r="18" ht="20.5" customHeight="1">
      <c r="A18" s="95">
        <v>4</v>
      </c>
      <c r="B18" t="s" s="19">
        <v>77</v>
      </c>
      <c r="C18" s="20"/>
      <c r="D18" s="21">
        <v>3</v>
      </c>
      <c r="E18" s="21" cm="1">
        <f t="array" ref="E18">D18</f>
        <v>3</v>
      </c>
      <c r="F18" s="21" cm="1">
        <f t="array" ref="F18">D18</f>
        <v>3</v>
      </c>
      <c r="G18" t="s" s="22">
        <v>75</v>
      </c>
      <c r="H18" s="21">
        <v>200000</v>
      </c>
      <c r="I18" s="21">
        <v>200000</v>
      </c>
      <c r="J18" s="21">
        <v>200000</v>
      </c>
      <c r="K18" s="21">
        <v>11</v>
      </c>
      <c r="L18" s="21" cm="1">
        <f t="array" ref="L18">IF(D18&gt;0,IF($D18&lt;=0,0,D18*H18),"")</f>
        <v>600000</v>
      </c>
      <c r="M18" s="21" cm="1">
        <f t="array" ref="M18">IF(E18&gt;0,IF($D18&lt;=0,0,ROUND(E18*I18,2)),"")</f>
        <v>600000</v>
      </c>
      <c r="N18" s="21" cm="1">
        <f t="array" ref="N18">IF(F18&gt;0,IF($D18&lt;=0,0,ROUND(F18*J18,2)),"")</f>
        <v>600000</v>
      </c>
      <c r="O18" s="23"/>
    </row>
    <row r="19" ht="20.5" customHeight="1">
      <c r="A19" s="95">
        <v>5</v>
      </c>
      <c r="B19" t="s" s="19">
        <v>78</v>
      </c>
      <c r="C19" s="24"/>
      <c r="D19" s="26">
        <v>1</v>
      </c>
      <c r="E19" s="26" cm="1">
        <f t="array" ref="E19">D19</f>
        <v>1</v>
      </c>
      <c r="F19" s="26" cm="1">
        <f t="array" ref="F19">D19</f>
        <v>1</v>
      </c>
      <c r="G19" t="s" s="27">
        <v>79</v>
      </c>
      <c r="H19" s="26">
        <v>1800000</v>
      </c>
      <c r="I19" s="26">
        <v>1800000</v>
      </c>
      <c r="J19" s="26">
        <v>1800000</v>
      </c>
      <c r="K19" s="26">
        <v>11</v>
      </c>
      <c r="L19" s="26" cm="1">
        <f t="array" ref="L19">IF(D19&gt;0,IF($D19&lt;=0,0,D19*H19),"")</f>
        <v>1800000</v>
      </c>
      <c r="M19" s="26" cm="1">
        <f t="array" ref="M19">IF(E19&gt;0,IF($D19&lt;=0,0,ROUND(E19*I19,2)),"")</f>
        <v>1800000</v>
      </c>
      <c r="N19" s="26" cm="1">
        <f t="array" ref="N19">IF(F19&gt;0,IF($D19&lt;=0,0,ROUND(F19*J19,2)),"")</f>
        <v>1800000</v>
      </c>
      <c r="O19" s="31"/>
    </row>
    <row r="20" ht="20.5" customHeight="1">
      <c r="A20" t="s" s="18">
        <v>80</v>
      </c>
      <c r="B20" t="s" s="19">
        <v>81</v>
      </c>
      <c r="C20" s="20"/>
      <c r="D20" s="21"/>
      <c r="E20" s="21"/>
      <c r="F20" s="21"/>
      <c r="G20" s="79"/>
      <c r="H20" s="21"/>
      <c r="I20" s="21"/>
      <c r="J20" s="21"/>
      <c r="K20" s="21"/>
      <c r="L20" t="str" s="79" cm="1">
        <f t="array" ref="L20">IF(D20&gt;0,IF($D20&lt;=0,0,D20*H20),"")</f>
      </c>
      <c r="M20" t="str" s="79" cm="1">
        <f t="array" ref="M20">IF(E20&gt;0,IF($D20&lt;=0,0,ROUND(E20*I20,2)),"")</f>
      </c>
      <c r="N20" t="str" s="79" cm="1">
        <f t="array" ref="N20">IF(F20&gt;0,IF($D20&lt;=0,0,ROUND(F20*J20,2)),"")</f>
      </c>
      <c r="O20" s="91"/>
    </row>
    <row r="21" ht="20.5" customHeight="1">
      <c r="A21" s="29"/>
      <c r="B21" t="s" s="19">
        <v>82</v>
      </c>
      <c r="C21" s="24"/>
      <c r="D21" s="26">
        <v>1</v>
      </c>
      <c r="E21" s="26" cm="1">
        <f t="array" ref="E21">D21</f>
        <v>1</v>
      </c>
      <c r="F21" s="26" cm="1">
        <f t="array" ref="F21">D21</f>
        <v>1</v>
      </c>
      <c r="G21" t="s" s="27">
        <v>19</v>
      </c>
      <c r="H21" s="26">
        <v>107872.8</v>
      </c>
      <c r="I21" s="26">
        <v>107448</v>
      </c>
      <c r="J21" s="26">
        <v>107448</v>
      </c>
      <c r="K21" s="26">
        <v>0</v>
      </c>
      <c r="L21" s="26" cm="1">
        <f t="array" ref="L21">IF(D21&gt;0,IF($D21&lt;=0,0,D21*H21),"")</f>
        <v>107872.8</v>
      </c>
      <c r="M21" s="26" cm="1">
        <f t="array" ref="M21">IF(E21&gt;0,IF($D21&lt;=0,0,ROUND(E21*I21,2)),"")</f>
        <v>107448</v>
      </c>
      <c r="N21" s="26" cm="1">
        <f t="array" ref="N21">IF(F21&gt;0,IF($D21&lt;=0,0,ROUND(F21*J21,2)),"")</f>
        <v>107448</v>
      </c>
      <c r="O21" s="28"/>
    </row>
    <row r="22" ht="20.6" customHeight="1">
      <c r="A22" s="96"/>
      <c r="B22" s="97"/>
      <c r="C22" s="35"/>
      <c r="D22" s="36"/>
      <c r="E22" s="36"/>
      <c r="F22" s="36"/>
      <c r="G22" s="101"/>
      <c r="H22" s="36"/>
      <c r="I22" s="36"/>
      <c r="J22" s="36"/>
      <c r="K22" s="36"/>
      <c r="L22" t="str" s="101" cm="1">
        <f t="array" ref="L22">IF(D22&gt;0,IF($D22&lt;=0,0,D22*H22),"")</f>
      </c>
      <c r="M22" t="str" s="101" cm="1">
        <f t="array" ref="M22">IF(E22&gt;0,IF($D22&lt;=0,0,ROUND(E22*I22,2)),"")</f>
      </c>
      <c r="N22" t="str" s="101" cm="1">
        <f t="array" ref="N22">IF(F22&gt;0,IF($D22&lt;=0,0,ROUND(F22*J22,2)),"")</f>
      </c>
      <c r="O22" s="102"/>
    </row>
    <row r="23" ht="20.85" customHeight="1">
      <c r="A23" s="54"/>
      <c r="B23" s="54"/>
      <c r="C23" s="54"/>
      <c r="D23" s="55"/>
      <c r="E23" s="55"/>
      <c r="F23" s="55"/>
      <c r="G23" s="56"/>
      <c r="H23" s="56"/>
      <c r="I23" s="54"/>
      <c r="J23" s="57"/>
      <c r="K23" t="s" s="58">
        <v>38</v>
      </c>
      <c r="L23" s="59" cm="1">
        <f t="array" ref="L23">SUM(L1:L22)</f>
        <v>45054872.8</v>
      </c>
      <c r="M23" s="59" cm="1">
        <f t="array" ref="M23">SUM(M1:M22)</f>
        <v>44877448</v>
      </c>
      <c r="N23" s="59" cm="1">
        <f t="array" ref="N23">SUM(N1:N22)</f>
        <v>44877448</v>
      </c>
      <c r="O23" s="59"/>
    </row>
    <row r="24" ht="21" customHeight="1">
      <c r="A24" s="62"/>
      <c r="B24" t="s" s="61">
        <v>39</v>
      </c>
      <c r="C24" s="62"/>
      <c r="D24" s="63" cm="1">
        <f t="array" ref="D24">ROUND(IF(L24&lt;=100000000,L24*0.24%,IF(AND(L24&gt;100000000,L24&lt;=500000000),100000000*0.24%+(L24-100000000)*0.19%,IF(AND(L24&gt;500000000,L24&lt;=1000000000),100000000*0.24%+400000000*0.19%+(L24-500000000)*0.15%,IF(AND(L24&gt;1000000000,L24&lt;=5000000000),100000000*0.24%+400000000*0.19%+500000000*0.15%+(L24-1000000000)*0.12%,IF(L24&gt;5000000000,100000000*0.24%+400000000*0.19%+500000000*0.15%+4000000000*0.12%+(L24-5000000000)*0.1%,"Bingung komputer"))))),2)</f>
        <v>107872.8</v>
      </c>
      <c r="E24" s="64" cm="1">
        <f t="array" ref="E24">ROUND(IF(M24&lt;=100000000,M24*0.24%,IF(AND(M24&gt;100000000,M24&lt;=500000000),100000000*0.24%+(M24-100000000)*0.19%,IF(AND(M24&gt;500000000,M24&lt;=1000000000),100000000*0.24%+400000000*0.19%+(M24-500000000)*0.15%,IF(AND(M24&gt;1000000000,M24&lt;=5000000000),100000000*0.24%+400000000*0.19%+500000000*0.15%+(M24-1000000000)*0.12%,IF(M24&gt;5000000000,100000000*0.24%+400000000*0.19%+500000000*0.15%+4000000000*0.12%+(M24-5000000000)*0.1%,"Bingung komputer"))))),2)</f>
        <v>107448</v>
      </c>
      <c r="F24" s="64" cm="1">
        <f t="array" ref="F24">ROUND(IF(N24&lt;=100000000,N24*0.24%,IF(AND(N24&gt;100000000,N24&lt;=500000000),100000000*0.24%+(N24-100000000)*0.19%,IF(AND(N24&gt;500000000,N24&lt;=1000000000),100000000*0.24%+400000000*0.19%+(N24-500000000)*0.15%,IF(AND(N24&gt;1000000000,N24&lt;=5000000000),100000000*0.24%+400000000*0.19%+500000000*0.15%+(N24-1000000000)*0.12%,IF(N24&gt;5000000000,100000000*0.24%+400000000*0.19%+500000000*0.15%+4000000000*0.12%+(N24-5000000000)*0.1%,"Bingung komputer"))))),2)</f>
        <v>107448</v>
      </c>
      <c r="G24" s="65"/>
      <c r="H24" s="66"/>
      <c r="I24" s="62"/>
      <c r="J24" s="67"/>
      <c r="K24" t="str" s="67" cm="1">
        <f t="array" ref="K24">"Jumlah Terkena Pajak "&amp;MAX(K3:K22)&amp;"% (B)"</f>
        <v>Jumlah Terkena Pajak 11,00% (B)</v>
      </c>
      <c r="L24" s="68" cm="1">
        <f t="array" ref="L24">SUMIF($K3:$K22,"&gt;0",L3:L22)</f>
        <v>44947000</v>
      </c>
      <c r="M24" s="68" cm="1">
        <f t="array" ref="M24">SUMIF($K3:$K22,"&gt;0",M3:M22)</f>
        <v>44770000</v>
      </c>
      <c r="N24" s="68" cm="1">
        <f t="array" ref="N24">SUMIF($K3:$K22,"&gt;0",N3:N22)</f>
        <v>44770000</v>
      </c>
      <c r="O24" s="69"/>
    </row>
    <row r="25" ht="21" customHeight="1">
      <c r="A25" s="71"/>
      <c r="B25" s="71"/>
      <c r="C25" s="71"/>
      <c r="D25" s="72"/>
      <c r="E25" s="72"/>
      <c r="F25" s="71"/>
      <c r="G25" s="72"/>
      <c r="H25" s="72"/>
      <c r="I25" s="71"/>
      <c r="J25" s="73"/>
      <c r="K25" t="str" s="73" cm="1">
        <f t="array" ref="K25">"PPN (C) = "&amp;MAX(K3:K22)&amp;"% x B"</f>
        <v>PPN (C) = 11,00% x B</v>
      </c>
      <c r="L25" s="74" cm="1">
        <f t="array" ref="L25">L24*MAX($K3:$K22)%</f>
        <v>4944170</v>
      </c>
      <c r="M25" s="74" cm="1">
        <f t="array" ref="M25">M24*MAX($K3:$K22)%</f>
        <v>4924700</v>
      </c>
      <c r="N25" s="74" cm="1">
        <f t="array" ref="N25">N24*MAX($K3:$K22)%</f>
        <v>4924700</v>
      </c>
      <c r="O25" s="69"/>
    </row>
    <row r="26" ht="21" customHeight="1">
      <c r="A26" s="71"/>
      <c r="B26" s="71"/>
      <c r="C26" s="71"/>
      <c r="D26" s="72"/>
      <c r="E26" s="72"/>
      <c r="F26" s="72"/>
      <c r="G26" s="72"/>
      <c r="H26" s="72"/>
      <c r="I26" s="71"/>
      <c r="J26" s="73"/>
      <c r="K26" t="s" s="75">
        <v>42</v>
      </c>
      <c r="L26" s="74" cm="1">
        <f t="array" ref="L26">L23+L25</f>
        <v>49999042.8</v>
      </c>
      <c r="M26" s="74" cm="1">
        <f t="array" ref="M26">M23+M25</f>
        <v>49802148</v>
      </c>
      <c r="N26" s="74" cm="1">
        <f t="array" ref="N26">N23+N25</f>
        <v>49802148</v>
      </c>
      <c r="O26" s="69"/>
    </row>
    <row r="27" ht="20.5" customHeight="1">
      <c r="A27" s="71"/>
      <c r="B27" s="71"/>
      <c r="C27" s="71"/>
      <c r="D27" s="72"/>
      <c r="E27" s="72"/>
      <c r="F27" s="72"/>
      <c r="G27" s="72"/>
      <c r="H27" s="72"/>
      <c r="I27" s="71"/>
      <c r="J27" s="73"/>
      <c r="K27" t="s" s="75">
        <v>43</v>
      </c>
      <c r="L27" s="74" cm="1">
        <f t="array" ref="L27">ROUNDDOWN(L26,2)</f>
        <v>49999042.8</v>
      </c>
      <c r="M27" s="74" cm="1">
        <f t="array" ref="M27">ROUNDDOWN(M26,2)</f>
        <v>49802148</v>
      </c>
      <c r="N27" s="74" cm="1">
        <f t="array" ref="N27">ROUNDDOWN(N26,-3)</f>
        <v>49802000</v>
      </c>
      <c r="O27" s="68"/>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N31"/>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103" customWidth="1"/>
    <col min="2" max="2" width="43.0312" style="103" customWidth="1"/>
    <col min="3" max="3" width="2.75" style="103" customWidth="1"/>
    <col min="4" max="6" width="10.3672" style="103" customWidth="1"/>
    <col min="7" max="7" width="11.6875" style="103" customWidth="1"/>
    <col min="8" max="11" width="13.5156" style="103" customWidth="1"/>
    <col min="12" max="14" width="14.2344" style="103" customWidth="1"/>
    <col min="15" max="16384" width="16.3516" style="103"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16</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t="s" s="18">
        <v>17</v>
      </c>
      <c r="B4" t="s" s="19">
        <v>18</v>
      </c>
      <c r="C4" s="20"/>
      <c r="D4" s="21">
        <v>1</v>
      </c>
      <c r="E4" s="21" cm="1">
        <f t="array" ref="E4">D4</f>
        <v>1</v>
      </c>
      <c r="F4" s="21" cm="1">
        <f t="array" ref="F4">D4</f>
        <v>1</v>
      </c>
      <c r="G4" t="s" s="22">
        <v>19</v>
      </c>
      <c r="H4" s="21">
        <v>27550000</v>
      </c>
      <c r="I4" s="21">
        <v>27470000</v>
      </c>
      <c r="J4" s="21">
        <v>27470000</v>
      </c>
      <c r="K4" s="21">
        <v>11</v>
      </c>
      <c r="L4" s="21" cm="1">
        <f t="array" ref="L4">IF(D4&gt;0,IF($D4&lt;=0,0,D4*H4),"")</f>
        <v>27550000</v>
      </c>
      <c r="M4" s="21" cm="1">
        <f t="array" ref="M4">IF(E4&gt;0,IF($D4&lt;=0,0,ROUND(E4*I4,2)),"")</f>
        <v>27470000</v>
      </c>
      <c r="N4" s="23" cm="1">
        <f t="array" ref="N4">IF(F4&gt;0,IF($D4&lt;=0,0,ROUND(F4*J4,2)),"")</f>
        <v>27470000</v>
      </c>
    </row>
    <row r="5" ht="20.5" customHeight="1">
      <c r="A5" s="29"/>
      <c r="B5" t="s" s="19">
        <v>45</v>
      </c>
      <c r="C5" s="24"/>
      <c r="D5" s="30"/>
      <c r="E5" s="26"/>
      <c r="F5" s="26"/>
      <c r="G5" s="30"/>
      <c r="H5" s="26"/>
      <c r="I5" s="30"/>
      <c r="J5" s="30"/>
      <c r="K5" s="26"/>
      <c r="L5" t="str" s="30" cm="1">
        <f t="array" ref="L5">IF(D5&gt;0,IF($D5&lt;=0,0,D5*H5),"")</f>
      </c>
      <c r="M5" t="str" s="30" cm="1">
        <f t="array" ref="M5">IF(E5&gt;0,IF($D5&lt;=0,0,ROUND(E5*I5,2)),"")</f>
      </c>
      <c r="N5" t="str" s="31" cm="1">
        <f t="array" ref="N5">IF(F5&gt;0,IF($D5&lt;=0,0,ROUND(F5*J5,2)),"")</f>
      </c>
    </row>
    <row r="6" ht="20.5" customHeight="1">
      <c r="A6" t="s" s="18">
        <v>86</v>
      </c>
      <c r="B6" t="s" s="19">
        <v>30</v>
      </c>
      <c r="C6" s="20"/>
      <c r="D6" s="21">
        <v>1196</v>
      </c>
      <c r="E6" s="21" cm="1">
        <f t="array" ref="E6">D6</f>
        <v>1196</v>
      </c>
      <c r="F6" s="21" cm="1">
        <f t="array" ref="F6">D6</f>
        <v>1196</v>
      </c>
      <c r="G6" t="s" s="22">
        <v>27</v>
      </c>
      <c r="H6" s="21">
        <v>36207.05</v>
      </c>
      <c r="I6" s="21">
        <v>36198.66</v>
      </c>
      <c r="J6" s="21">
        <v>36198.66</v>
      </c>
      <c r="K6" s="21">
        <v>11</v>
      </c>
      <c r="L6" s="21" cm="1">
        <f t="array" ref="L6">IF(D6&gt;0,IF($D6&lt;=0,0,D6*H6),"")</f>
        <v>43303631.8</v>
      </c>
      <c r="M6" s="21" cm="1">
        <f t="array" ref="M6">IF(E6&gt;0,IF($D6&lt;=0,0,ROUND(E6*I6,2)),"")</f>
        <v>43293597.36</v>
      </c>
      <c r="N6" s="23" cm="1">
        <f t="array" ref="N6">IF(F6&gt;0,IF($D6&lt;=0,0,ROUND(F6*J6,2)),"")</f>
        <v>43293597.36</v>
      </c>
    </row>
    <row r="7" ht="20.5" customHeight="1">
      <c r="A7" t="s" s="18">
        <v>46</v>
      </c>
      <c r="B7" t="s" s="19">
        <v>47</v>
      </c>
      <c r="C7" s="24"/>
      <c r="D7" s="25">
        <v>564.8</v>
      </c>
      <c r="E7" s="26" cm="1">
        <f t="array" ref="E7">D7</f>
        <v>564.8</v>
      </c>
      <c r="F7" s="26" cm="1">
        <f t="array" ref="F7">D7</f>
        <v>564.8</v>
      </c>
      <c r="G7" t="s" s="27">
        <v>27</v>
      </c>
      <c r="H7" s="26">
        <v>174503.35</v>
      </c>
      <c r="I7" s="26">
        <v>174503.35</v>
      </c>
      <c r="J7" s="26">
        <v>174503.35</v>
      </c>
      <c r="K7" s="26">
        <v>11</v>
      </c>
      <c r="L7" s="26" cm="1">
        <f t="array" ref="L7">IF(D7&gt;0,IF($D7&lt;=0,0,D7*H7),"")</f>
        <v>98559492.08</v>
      </c>
      <c r="M7" s="26" cm="1">
        <f t="array" ref="M7">IF(E7&gt;0,IF($D7&lt;=0,0,ROUND(E7*I7,2)),"")</f>
        <v>98559492.08</v>
      </c>
      <c r="N7" s="28" cm="1">
        <f t="array" ref="N7">IF(F7&gt;0,IF($D7&lt;=0,0,ROUND(F7*J7,2)),"")</f>
        <v>98559492.08</v>
      </c>
    </row>
    <row r="8" ht="20.5" customHeight="1">
      <c r="A8" t="s" s="18">
        <v>33</v>
      </c>
      <c r="B8" t="s" s="19">
        <v>34</v>
      </c>
      <c r="C8" s="20"/>
      <c r="D8" s="21">
        <v>3177</v>
      </c>
      <c r="E8" s="21" cm="1">
        <f t="array" ref="E8">D8</f>
        <v>3177</v>
      </c>
      <c r="F8" s="21" cm="1">
        <f t="array" ref="F8">D8</f>
        <v>3177</v>
      </c>
      <c r="G8" t="s" s="22">
        <v>35</v>
      </c>
      <c r="H8" s="21">
        <v>1816.48</v>
      </c>
      <c r="I8" s="21">
        <v>1816.07</v>
      </c>
      <c r="J8" s="21">
        <v>1816.07</v>
      </c>
      <c r="K8" s="21">
        <v>11</v>
      </c>
      <c r="L8" s="21" cm="1">
        <f t="array" ref="L8">IF(D8&gt;0,IF($D8&lt;=0,0,D8*H8),"")</f>
        <v>5770956.96</v>
      </c>
      <c r="M8" s="21" cm="1">
        <f t="array" ref="M8">IF(E8&gt;0,IF($D8&lt;=0,0,ROUND(E8*I8,2)),"")</f>
        <v>5769654.39</v>
      </c>
      <c r="N8" s="23" cm="1">
        <f t="array" ref="N8">IF(F8&gt;0,IF($D8&lt;=0,0,ROUND(F8*J8,2)),"")</f>
        <v>5769654.39</v>
      </c>
    </row>
    <row r="9" ht="20.5" customHeight="1">
      <c r="A9" s="29"/>
      <c r="B9" t="s" s="19">
        <v>36</v>
      </c>
      <c r="C9" s="24"/>
      <c r="D9" s="26"/>
      <c r="E9" s="26"/>
      <c r="F9" s="26"/>
      <c r="G9" s="30"/>
      <c r="H9" s="30"/>
      <c r="I9" s="30"/>
      <c r="J9" s="30"/>
      <c r="K9" s="26"/>
      <c r="L9" t="str" s="30" cm="1">
        <f t="array" ref="L9">IF(D9&gt;0,IF($D9&lt;=0,0,D9*H9),"")</f>
      </c>
      <c r="M9" s="26"/>
      <c r="N9" s="28"/>
    </row>
    <row r="10" ht="20.6" customHeight="1">
      <c r="A10" s="33">
        <v>1</v>
      </c>
      <c r="B10" t="s" s="34">
        <v>37</v>
      </c>
      <c r="C10" s="35"/>
      <c r="D10" s="36">
        <v>1</v>
      </c>
      <c r="E10" s="36" cm="1">
        <f t="array" ref="E10">D10</f>
        <v>1</v>
      </c>
      <c r="F10" s="36" cm="1">
        <f t="array" ref="F10">D10</f>
        <v>1</v>
      </c>
      <c r="G10" t="s" s="37">
        <v>19</v>
      </c>
      <c r="H10" s="36">
        <v>382850</v>
      </c>
      <c r="I10" s="36">
        <v>382676</v>
      </c>
      <c r="J10" s="36">
        <v>382676</v>
      </c>
      <c r="K10" s="36">
        <v>0</v>
      </c>
      <c r="L10" s="36" cm="1">
        <f t="array" ref="L10">IF(D10&gt;0,IF($D10&lt;=0,0,D10*H10),"")</f>
        <v>382850</v>
      </c>
      <c r="M10" s="36" cm="1">
        <f t="array" ref="M10">IF(E10&gt;0,IF($D10&lt;=0,0,ROUND(E10*I10,2)),"")</f>
        <v>382676</v>
      </c>
      <c r="N10" s="38" cm="1">
        <f t="array" ref="N10">IF(F10&gt;0,IF($D10&lt;=0,0,ROUND(F10*J10,2)),"")</f>
        <v>382676</v>
      </c>
    </row>
    <row r="11" ht="8.75" customHeight="1" hidden="1">
      <c r="A11" s="39"/>
      <c r="B11" s="40"/>
      <c r="C11" s="41"/>
      <c r="D11" s="42"/>
      <c r="E11" s="42"/>
      <c r="F11" s="42"/>
      <c r="G11" s="43"/>
      <c r="H11" s="42"/>
      <c r="I11" s="42"/>
      <c r="J11" s="42"/>
      <c r="K11" s="42"/>
      <c r="L11" s="42"/>
      <c r="M11" s="42"/>
      <c r="N11" s="44"/>
    </row>
    <row r="12" ht="8.75" customHeight="1" hidden="1">
      <c r="A12" s="39"/>
      <c r="B12" s="40"/>
      <c r="C12" s="45"/>
      <c r="D12" s="46"/>
      <c r="E12" s="46"/>
      <c r="F12" s="46"/>
      <c r="G12" s="47"/>
      <c r="H12" s="46"/>
      <c r="I12" s="46"/>
      <c r="J12" s="46"/>
      <c r="K12" s="46"/>
      <c r="L12" s="46"/>
      <c r="M12" s="46"/>
      <c r="N12" s="48"/>
    </row>
    <row r="13" ht="8.75" customHeight="1" hidden="1">
      <c r="A13" s="39"/>
      <c r="B13" s="40"/>
      <c r="C13" s="41"/>
      <c r="D13" s="42"/>
      <c r="E13" s="42"/>
      <c r="F13" s="42"/>
      <c r="G13" s="43"/>
      <c r="H13" s="42"/>
      <c r="I13" s="42"/>
      <c r="J13" s="42"/>
      <c r="K13" s="42"/>
      <c r="L13" s="42"/>
      <c r="M13" s="42"/>
      <c r="N13" s="44"/>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2"/>
      <c r="I15" s="42"/>
      <c r="J15" s="42"/>
      <c r="K15" s="42"/>
      <c r="L15" s="42"/>
      <c r="M15" s="42"/>
      <c r="N15" s="44"/>
    </row>
    <row r="16" ht="8.75" customHeight="1" hidden="1">
      <c r="A16" s="39"/>
      <c r="B16" s="40"/>
      <c r="C16" s="45"/>
      <c r="D16" s="46"/>
      <c r="E16" s="46"/>
      <c r="F16" s="46"/>
      <c r="G16" s="47"/>
      <c r="H16" s="46"/>
      <c r="I16" s="46"/>
      <c r="J16" s="46"/>
      <c r="K16" s="46"/>
      <c r="L16" s="46"/>
      <c r="M16" s="46"/>
      <c r="N16" s="48"/>
    </row>
    <row r="17" ht="8.75" customHeight="1" hidden="1">
      <c r="A17" s="39"/>
      <c r="B17" s="40"/>
      <c r="C17" s="41"/>
      <c r="D17" s="42"/>
      <c r="E17" s="42"/>
      <c r="F17" s="42"/>
      <c r="G17" s="43"/>
      <c r="H17" s="43"/>
      <c r="I17" s="43"/>
      <c r="J17" s="43"/>
      <c r="K17" s="42"/>
      <c r="L17" s="43"/>
      <c r="M17" s="43"/>
      <c r="N17" s="49"/>
    </row>
    <row r="18" ht="8.75" customHeight="1" hidden="1">
      <c r="A18" s="39"/>
      <c r="B18" s="40"/>
      <c r="C18" s="45"/>
      <c r="D18" s="46"/>
      <c r="E18" s="46"/>
      <c r="F18" s="46"/>
      <c r="G18" s="47"/>
      <c r="H18" s="50"/>
      <c r="I18" s="50"/>
      <c r="J18" s="50"/>
      <c r="K18" s="46"/>
      <c r="L18" s="46"/>
      <c r="M18" s="46"/>
      <c r="N18" s="48"/>
    </row>
    <row r="19" ht="8.75" customHeight="1" hidden="1">
      <c r="A19" s="39"/>
      <c r="B19" s="40"/>
      <c r="C19" s="41"/>
      <c r="D19" s="42"/>
      <c r="E19" s="42"/>
      <c r="F19" s="42"/>
      <c r="G19" s="43"/>
      <c r="H19" s="43"/>
      <c r="I19" s="43"/>
      <c r="J19" s="43"/>
      <c r="K19" s="42"/>
      <c r="L19" s="43"/>
      <c r="M19" s="43"/>
      <c r="N19" s="49"/>
    </row>
    <row r="20" ht="8.75" customHeight="1" hidden="1">
      <c r="A20" s="39"/>
      <c r="B20" s="40"/>
      <c r="C20" s="45"/>
      <c r="D20" s="46"/>
      <c r="E20" s="46"/>
      <c r="F20" s="46"/>
      <c r="G20" s="47"/>
      <c r="H20" s="46"/>
      <c r="I20" s="46"/>
      <c r="J20" s="46"/>
      <c r="K20" s="46"/>
      <c r="L20" s="46"/>
      <c r="M20" s="46"/>
      <c r="N20" s="48"/>
    </row>
    <row r="21" ht="8.75" customHeight="1" hidden="1">
      <c r="A21" s="39"/>
      <c r="B21" s="40"/>
      <c r="C21" s="41"/>
      <c r="D21" s="42"/>
      <c r="E21" s="42"/>
      <c r="F21" s="42"/>
      <c r="G21" s="43"/>
      <c r="H21" s="42"/>
      <c r="I21" s="42"/>
      <c r="J21" s="42"/>
      <c r="K21" s="42"/>
      <c r="L21" s="42"/>
      <c r="M21" s="42"/>
      <c r="N21" s="44"/>
    </row>
    <row r="22" ht="8.75" customHeight="1" hidden="1">
      <c r="A22" s="51"/>
      <c r="B22" s="40"/>
      <c r="C22" s="45"/>
      <c r="D22" s="46"/>
      <c r="E22" s="46"/>
      <c r="F22" s="46"/>
      <c r="G22" s="47"/>
      <c r="H22" s="46"/>
      <c r="I22" s="46"/>
      <c r="J22" s="46"/>
      <c r="K22" s="46"/>
      <c r="L22" s="46"/>
      <c r="M22" s="46"/>
      <c r="N22" s="48"/>
    </row>
    <row r="23" ht="8.75" customHeight="1" hidden="1">
      <c r="A23" s="51"/>
      <c r="B23" s="40"/>
      <c r="C23" s="41"/>
      <c r="D23" s="42"/>
      <c r="E23" s="42"/>
      <c r="F23" s="42"/>
      <c r="G23" s="43"/>
      <c r="H23" s="42"/>
      <c r="I23" s="42"/>
      <c r="J23" s="42"/>
      <c r="K23" s="42"/>
      <c r="L23" s="42"/>
      <c r="M23" s="42"/>
      <c r="N23" s="44"/>
    </row>
    <row r="24" ht="8.75" customHeight="1" hidden="1">
      <c r="A24" s="39"/>
      <c r="B24" s="40"/>
      <c r="C24" s="45"/>
      <c r="D24" s="46"/>
      <c r="E24" s="46"/>
      <c r="F24" s="46"/>
      <c r="G24" s="47"/>
      <c r="H24" s="46"/>
      <c r="I24" s="46"/>
      <c r="J24" s="46"/>
      <c r="K24" s="46"/>
      <c r="L24" s="47"/>
      <c r="M24" s="47"/>
      <c r="N24" s="52"/>
    </row>
    <row r="25" ht="8.75" customHeight="1" hidden="1">
      <c r="A25" s="39"/>
      <c r="B25" s="40"/>
      <c r="C25" s="41"/>
      <c r="D25" s="42"/>
      <c r="E25" s="42"/>
      <c r="F25" s="42"/>
      <c r="G25" s="43"/>
      <c r="H25" s="42"/>
      <c r="I25" s="42"/>
      <c r="J25" s="42"/>
      <c r="K25" s="42"/>
      <c r="L25" s="42"/>
      <c r="M25" s="42"/>
      <c r="N25" s="44"/>
    </row>
    <row r="26" ht="8.75" customHeight="1" hidden="1">
      <c r="A26" s="39"/>
      <c r="B26" s="40"/>
      <c r="C26" s="45"/>
      <c r="D26" s="46"/>
      <c r="E26" s="46"/>
      <c r="F26" s="46"/>
      <c r="G26" s="47"/>
      <c r="H26" s="46"/>
      <c r="I26" s="46"/>
      <c r="J26" s="46"/>
      <c r="K26" s="46"/>
      <c r="L26" s="47"/>
      <c r="M26" s="47"/>
      <c r="N26" s="52"/>
    </row>
    <row r="27" ht="20.85" customHeight="1">
      <c r="A27" s="53"/>
      <c r="B27" s="54"/>
      <c r="C27" s="54"/>
      <c r="D27" s="55"/>
      <c r="E27" s="55"/>
      <c r="F27" s="55"/>
      <c r="G27" s="56"/>
      <c r="H27" s="56"/>
      <c r="I27" s="54"/>
      <c r="J27" s="57"/>
      <c r="K27" t="s" s="58">
        <v>38</v>
      </c>
      <c r="L27" s="59" cm="1">
        <f t="array" ref="L27">SUM(L1:L26)</f>
        <v>175566930.84</v>
      </c>
      <c r="M27" s="59" cm="1">
        <f t="array" ref="M27">SUM(M1:M26)</f>
        <v>175475419.83</v>
      </c>
      <c r="N27" s="59" cm="1">
        <f t="array" ref="N27">SUM(N1:N26)</f>
        <v>175475419.83</v>
      </c>
    </row>
    <row r="28" ht="21" customHeight="1">
      <c r="A28" s="60"/>
      <c r="B28" t="s" s="61">
        <v>39</v>
      </c>
      <c r="C28" s="62"/>
      <c r="D28" s="63" cm="1">
        <f t="array" ref="D28">ROUND(IF(L28&lt;=100000000,L28*0.24%,IF(AND(L28&gt;100000000,L28&lt;=500000000),100000000*0.24%+(L28-100000000)*0.19%,IF(AND(L28&gt;500000000,L28&lt;=1000000000),100000000*0.24%+400000000*0.19%+(L28-500000000)*0.15%,IF(AND(L28&gt;1000000000,L28&lt;=5000000000),100000000*0.24%+400000000*0.19%+500000000*0.15%+(L28-1000000000)*0.12%,IF(L28&gt;5000000000,100000000*0.24%+400000000*0.19%+500000000*0.15%+4000000000*0.12%+(L28-5000000000)*0.1%,"Bingung komputer"))))),2)</f>
        <v>382849.75</v>
      </c>
      <c r="E28" s="64" cm="1">
        <f t="array" ref="E28">ROUND(IF(M28&lt;=100000000,M28*0.24%,IF(AND(M28&gt;100000000,M28&lt;=500000000),100000000*0.24%+(M28-100000000)*0.19%,IF(AND(M28&gt;500000000,M28&lt;=1000000000),100000000*0.24%+400000000*0.19%+(M28-500000000)*0.15%,IF(AND(M28&gt;1000000000,M28&lt;=5000000000),100000000*0.24%+400000000*0.19%+500000000*0.15%+(M28-1000000000)*0.12%,IF(M28&gt;5000000000,100000000*0.24%+400000000*0.19%+500000000*0.15%+4000000000*0.12%+(M28-5000000000)*0.1%,"Bingung komputer"))))),2)</f>
        <v>382676.21</v>
      </c>
      <c r="F28" s="64" cm="1">
        <f t="array" ref="F28">ROUND(IF(N28&lt;=100000000,N28*0.24%,IF(AND(N28&gt;100000000,N28&lt;=500000000),100000000*0.24%+(N28-100000000)*0.19%,IF(AND(N28&gt;500000000,N28&lt;=1000000000),100000000*0.24%+400000000*0.19%+(N28-500000000)*0.15%,IF(AND(N28&gt;1000000000,N28&lt;=5000000000),100000000*0.24%+400000000*0.19%+500000000*0.15%+(N28-1000000000)*0.12%,IF(N28&gt;5000000000,100000000*0.24%+400000000*0.19%+500000000*0.15%+4000000000*0.12%+(N28-5000000000)*0.1%,"Bingung komputer"))))),2)</f>
        <v>382676.21</v>
      </c>
      <c r="G28" s="65"/>
      <c r="H28" s="66"/>
      <c r="I28" s="62"/>
      <c r="J28" s="67"/>
      <c r="K28" t="str" s="67" cm="1">
        <f t="array" ref="K28">"Jumlah Terkena Pajak "&amp;MAX(K3:K26)&amp;"% (B)"</f>
        <v>Jumlah Terkena Pajak 11,00% (B)</v>
      </c>
      <c r="L28" s="68" cm="1">
        <f t="array" ref="L28">SUMIF($K3:$K26,"&gt;0",L3:L26)</f>
        <v>175184080.84</v>
      </c>
      <c r="M28" s="69" cm="1">
        <f t="array" ref="M28">SUMIF($K3:$K26,"&gt;0",M3:M26)</f>
        <v>175092743.83</v>
      </c>
      <c r="N28" s="69" cm="1">
        <f t="array" ref="N28">SUMIF($K3:$K26,"&gt;0",N3:N26)</f>
        <v>175092743.83</v>
      </c>
    </row>
    <row r="29" ht="21" customHeight="1">
      <c r="A29" s="70"/>
      <c r="B29" s="71"/>
      <c r="C29" s="71"/>
      <c r="D29" s="72"/>
      <c r="E29" s="72"/>
      <c r="F29" s="71"/>
      <c r="G29" s="72"/>
      <c r="H29" s="72"/>
      <c r="I29" s="71"/>
      <c r="J29" s="73"/>
      <c r="K29" t="str" s="73" cm="1">
        <f t="array" ref="K29">"PPN (C) = "&amp;MAX(K3:K26)&amp;"% x B"</f>
        <v>PPN (C) = 11,00% x B</v>
      </c>
      <c r="L29" s="74" cm="1">
        <f t="array" ref="L29">L28*MAX($K3:$K26)%</f>
        <v>19270248.8924</v>
      </c>
      <c r="M29" s="69" cm="1">
        <f t="array" ref="M29">M28*MAX($K3:$K26)%</f>
        <v>19260201.8213</v>
      </c>
      <c r="N29" s="69" cm="1">
        <f t="array" ref="N29">N28*MAX($K3:$K26)%</f>
        <v>19260201.8213</v>
      </c>
    </row>
    <row r="30" ht="21" customHeight="1">
      <c r="A30" s="70"/>
      <c r="B30" s="71"/>
      <c r="C30" s="71"/>
      <c r="D30" s="72"/>
      <c r="E30" s="72"/>
      <c r="F30" s="72"/>
      <c r="G30" s="72"/>
      <c r="H30" s="72"/>
      <c r="I30" s="71"/>
      <c r="J30" s="73"/>
      <c r="K30" t="s" s="75">
        <v>42</v>
      </c>
      <c r="L30" s="76" cm="1">
        <f t="array" ref="L30">L27+L29</f>
        <v>194837179.7324</v>
      </c>
      <c r="M30" s="69" cm="1">
        <f t="array" ref="M30">M27+M29</f>
        <v>194735621.6513</v>
      </c>
      <c r="N30" s="69" cm="1">
        <f t="array" ref="N30">N27+N29</f>
        <v>194735621.6513</v>
      </c>
    </row>
    <row r="31" ht="20.5" customHeight="1">
      <c r="A31" s="70"/>
      <c r="B31" s="71"/>
      <c r="C31" s="71"/>
      <c r="D31" s="72"/>
      <c r="E31" s="72"/>
      <c r="F31" s="72"/>
      <c r="G31" s="72"/>
      <c r="H31" s="72"/>
      <c r="I31" s="71"/>
      <c r="J31" s="73"/>
      <c r="K31" t="s" s="75">
        <v>43</v>
      </c>
      <c r="L31" s="68" cm="1">
        <f t="array" ref="L31">ROUNDDOWN(L30,2)</f>
        <v>194837179.73</v>
      </c>
      <c r="M31" s="68" cm="1">
        <f t="array" ref="M31">ROUNDDOWN(M30,2)</f>
        <v>194735621.65</v>
      </c>
      <c r="N31" s="68" cm="1">
        <f t="array" ref="N31">ROUNDDOWN(N30,-3)</f>
        <v>194735000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N30"/>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104" customWidth="1"/>
    <col min="2" max="2" width="43.0312" style="104" customWidth="1"/>
    <col min="3" max="3" width="2.75" style="104" customWidth="1"/>
    <col min="4" max="6" width="10.3672" style="104" customWidth="1"/>
    <col min="7" max="7" width="11.6875" style="104" customWidth="1"/>
    <col min="8" max="11" width="13.5156" style="104" customWidth="1"/>
    <col min="12" max="14" width="14.2344" style="104" customWidth="1"/>
    <col min="15" max="16384" width="16.3516" style="104"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16</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t="s" s="18">
        <v>17</v>
      </c>
      <c r="B4" t="s" s="19">
        <v>18</v>
      </c>
      <c r="C4" s="20"/>
      <c r="D4" s="21">
        <v>1</v>
      </c>
      <c r="E4" s="21" cm="1">
        <f t="array" ref="E4">D4</f>
        <v>1</v>
      </c>
      <c r="F4" s="21" cm="1">
        <f t="array" ref="F4">D4</f>
        <v>1</v>
      </c>
      <c r="G4" t="s" s="22">
        <v>19</v>
      </c>
      <c r="H4" s="21">
        <v>27510000</v>
      </c>
      <c r="I4" s="21">
        <v>27430000</v>
      </c>
      <c r="J4" s="21">
        <v>27430000</v>
      </c>
      <c r="K4" s="21">
        <v>11</v>
      </c>
      <c r="L4" s="21" cm="1">
        <f t="array" ref="L4">IF(D4&gt;0,IF($D4&lt;=0,0,D4*H4),"")</f>
        <v>27510000</v>
      </c>
      <c r="M4" s="21" cm="1">
        <f t="array" ref="M4">IF(E4&gt;0,IF($D4&lt;=0,0,ROUND(E4*I4,2)),"")</f>
        <v>27430000</v>
      </c>
      <c r="N4" s="23" cm="1">
        <f t="array" ref="N4">IF(F4&gt;0,IF($D4&lt;=0,0,ROUND(F4*J4,2)),"")</f>
        <v>27430000</v>
      </c>
    </row>
    <row r="5" ht="20.5" customHeight="1">
      <c r="A5" s="29"/>
      <c r="B5" t="s" s="19">
        <v>45</v>
      </c>
      <c r="C5" s="24"/>
      <c r="D5" s="30"/>
      <c r="E5" s="26"/>
      <c r="F5" s="26"/>
      <c r="G5" s="30"/>
      <c r="H5" s="26"/>
      <c r="I5" s="30"/>
      <c r="J5" s="30"/>
      <c r="K5" s="26"/>
      <c r="L5" t="str" s="30" cm="1">
        <f t="array" ref="L5">IF(D5&gt;0,IF($D5&lt;=0,0,D5*H5),"")</f>
      </c>
      <c r="M5" t="str" s="30" cm="1">
        <f t="array" ref="M5">IF(E5&gt;0,IF($D5&lt;=0,0,ROUND(E5*I5,2)),"")</f>
      </c>
      <c r="N5" t="str" s="31" cm="1">
        <f t="array" ref="N5">IF(F5&gt;0,IF($D5&lt;=0,0,ROUND(F5*J5,2)),"")</f>
      </c>
    </row>
    <row r="6" ht="20.5" customHeight="1">
      <c r="A6" t="s" s="18">
        <v>46</v>
      </c>
      <c r="B6" t="s" s="19">
        <v>47</v>
      </c>
      <c r="C6" s="20"/>
      <c r="D6" s="78">
        <v>675.75</v>
      </c>
      <c r="E6" s="21" cm="1">
        <f t="array" ref="E6">D6</f>
        <v>675.75</v>
      </c>
      <c r="F6" s="21" cm="1">
        <f t="array" ref="F6">D6</f>
        <v>675.75</v>
      </c>
      <c r="G6" t="s" s="22">
        <v>27</v>
      </c>
      <c r="H6" s="21">
        <v>207735.24</v>
      </c>
      <c r="I6" s="21">
        <v>207735.24</v>
      </c>
      <c r="J6" s="21">
        <v>207735.24</v>
      </c>
      <c r="K6" s="21">
        <v>11</v>
      </c>
      <c r="L6" s="21" cm="1">
        <f t="array" ref="L6">IF(D6&gt;0,IF($D6&lt;=0,0,D6*H6),"")</f>
        <v>140377088.43</v>
      </c>
      <c r="M6" s="21" cm="1">
        <f t="array" ref="M6">IF(E6&gt;0,IF($D6&lt;=0,0,ROUND(E6*I6,2)),"")</f>
        <v>140377088.43</v>
      </c>
      <c r="N6" s="23" cm="1">
        <f t="array" ref="N6">IF(F6&gt;0,IF($D6&lt;=0,0,ROUND(F6*J6,2)),"")</f>
        <v>140377088.43</v>
      </c>
    </row>
    <row r="7" ht="20.5" customHeight="1">
      <c r="A7" t="s" s="18">
        <v>33</v>
      </c>
      <c r="B7" t="s" s="19">
        <v>34</v>
      </c>
      <c r="C7" s="24"/>
      <c r="D7" s="26">
        <v>3975</v>
      </c>
      <c r="E7" s="26" cm="1">
        <f t="array" ref="E7">D7</f>
        <v>3975</v>
      </c>
      <c r="F7" s="26" cm="1">
        <f t="array" ref="F7">D7</f>
        <v>3975</v>
      </c>
      <c r="G7" t="s" s="27">
        <v>35</v>
      </c>
      <c r="H7" s="26">
        <v>1816.48</v>
      </c>
      <c r="I7" s="26">
        <v>1815.92</v>
      </c>
      <c r="J7" s="26">
        <v>1815.92</v>
      </c>
      <c r="K7" s="26">
        <v>11</v>
      </c>
      <c r="L7" s="26" cm="1">
        <f t="array" ref="L7">IF(D7&gt;0,IF($D7&lt;=0,0,D7*H7),"")</f>
        <v>7220508</v>
      </c>
      <c r="M7" s="26" cm="1">
        <f t="array" ref="M7">IF(E7&gt;0,IF($D7&lt;=0,0,ROUND(E7*I7,2)),"")</f>
        <v>7218282</v>
      </c>
      <c r="N7" s="28" cm="1">
        <f t="array" ref="N7">IF(F7&gt;0,IF($D7&lt;=0,0,ROUND(F7*J7,2)),"")</f>
        <v>7218282</v>
      </c>
    </row>
    <row r="8" ht="20.5" customHeight="1">
      <c r="A8" s="29"/>
      <c r="B8" t="s" s="19">
        <v>36</v>
      </c>
      <c r="C8" s="20"/>
      <c r="D8" s="21"/>
      <c r="E8" s="21"/>
      <c r="F8" s="21"/>
      <c r="G8" s="79"/>
      <c r="H8" s="79"/>
      <c r="I8" s="79"/>
      <c r="J8" s="79"/>
      <c r="K8" s="21"/>
      <c r="L8" t="str" s="79" cm="1">
        <f t="array" ref="L8">IF(D8&gt;0,IF($D8&lt;=0,0,D8*H8),"")</f>
      </c>
      <c r="M8" s="21"/>
      <c r="N8" s="23"/>
    </row>
    <row r="9" ht="20.6" customHeight="1">
      <c r="A9" s="33">
        <v>1</v>
      </c>
      <c r="B9" t="s" s="34">
        <v>37</v>
      </c>
      <c r="C9" s="80"/>
      <c r="D9" s="81">
        <v>1</v>
      </c>
      <c r="E9" s="81" cm="1">
        <f t="array" ref="E9">D9</f>
        <v>1</v>
      </c>
      <c r="F9" s="81" cm="1">
        <f t="array" ref="F9">D9</f>
        <v>1</v>
      </c>
      <c r="G9" t="s" s="82">
        <v>19</v>
      </c>
      <c r="H9" s="81">
        <v>382704</v>
      </c>
      <c r="I9" s="81">
        <v>382548</v>
      </c>
      <c r="J9" s="81">
        <v>382548</v>
      </c>
      <c r="K9" s="81">
        <v>0</v>
      </c>
      <c r="L9" s="81" cm="1">
        <f t="array" ref="L9">IF(D9&gt;0,IF($D9&lt;=0,0,D9*H9),"")</f>
        <v>382704</v>
      </c>
      <c r="M9" s="81" cm="1">
        <f t="array" ref="M9">IF(E9&gt;0,IF($D9&lt;=0,0,ROUND(E9*I9,2)),"")</f>
        <v>382548</v>
      </c>
      <c r="N9" s="83" cm="1">
        <f t="array" ref="N9">IF(F9&gt;0,IF($D9&lt;=0,0,ROUND(F9*J9,2)),"")</f>
        <v>382548</v>
      </c>
    </row>
    <row r="10" ht="8.75" customHeight="1" hidden="1">
      <c r="A10" s="39"/>
      <c r="B10" s="40"/>
      <c r="C10" s="45"/>
      <c r="D10" s="46"/>
      <c r="E10" s="46"/>
      <c r="F10" s="46"/>
      <c r="G10" s="47"/>
      <c r="H10" s="46"/>
      <c r="I10" s="46"/>
      <c r="J10" s="46"/>
      <c r="K10" s="46"/>
      <c r="L10" s="46"/>
      <c r="M10" s="46"/>
      <c r="N10" s="48"/>
    </row>
    <row r="11" ht="8.75" customHeight="1" hidden="1">
      <c r="A11" s="39"/>
      <c r="B11" s="40"/>
      <c r="C11" s="41"/>
      <c r="D11" s="42"/>
      <c r="E11" s="42"/>
      <c r="F11" s="42"/>
      <c r="G11" s="43"/>
      <c r="H11" s="42"/>
      <c r="I11" s="42"/>
      <c r="J11" s="42"/>
      <c r="K11" s="42"/>
      <c r="L11" s="42"/>
      <c r="M11" s="42"/>
      <c r="N11" s="44"/>
    </row>
    <row r="12" ht="8.75" customHeight="1" hidden="1">
      <c r="A12" s="39"/>
      <c r="B12" s="40"/>
      <c r="C12" s="45"/>
      <c r="D12" s="46"/>
      <c r="E12" s="46"/>
      <c r="F12" s="46"/>
      <c r="G12" s="47"/>
      <c r="H12" s="46"/>
      <c r="I12" s="46"/>
      <c r="J12" s="46"/>
      <c r="K12" s="46"/>
      <c r="L12" s="46"/>
      <c r="M12" s="46"/>
      <c r="N12" s="48"/>
    </row>
    <row r="13" ht="8.75" customHeight="1" hidden="1">
      <c r="A13" s="39"/>
      <c r="B13" s="40"/>
      <c r="C13" s="41"/>
      <c r="D13" s="42"/>
      <c r="E13" s="42"/>
      <c r="F13" s="42"/>
      <c r="G13" s="43"/>
      <c r="H13" s="42"/>
      <c r="I13" s="42"/>
      <c r="J13" s="42"/>
      <c r="K13" s="42"/>
      <c r="L13" s="42"/>
      <c r="M13" s="42"/>
      <c r="N13" s="44"/>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2"/>
      <c r="I15" s="42"/>
      <c r="J15" s="42"/>
      <c r="K15" s="42"/>
      <c r="L15" s="42"/>
      <c r="M15" s="42"/>
      <c r="N15" s="44"/>
    </row>
    <row r="16" ht="8.75" customHeight="1" hidden="1">
      <c r="A16" s="39"/>
      <c r="B16" s="40"/>
      <c r="C16" s="45"/>
      <c r="D16" s="46"/>
      <c r="E16" s="46"/>
      <c r="F16" s="46"/>
      <c r="G16" s="47"/>
      <c r="H16" s="47"/>
      <c r="I16" s="47"/>
      <c r="J16" s="47"/>
      <c r="K16" s="46"/>
      <c r="L16" s="47"/>
      <c r="M16" s="47"/>
      <c r="N16" s="52"/>
    </row>
    <row r="17" ht="8.75" customHeight="1" hidden="1">
      <c r="A17" s="39"/>
      <c r="B17" s="40"/>
      <c r="C17" s="41"/>
      <c r="D17" s="42"/>
      <c r="E17" s="42"/>
      <c r="F17" s="42"/>
      <c r="G17" s="43"/>
      <c r="H17" s="84"/>
      <c r="I17" s="84"/>
      <c r="J17" s="84"/>
      <c r="K17" s="42"/>
      <c r="L17" s="42"/>
      <c r="M17" s="42"/>
      <c r="N17" s="44"/>
    </row>
    <row r="18" ht="8.75" customHeight="1" hidden="1">
      <c r="A18" s="39"/>
      <c r="B18" s="40"/>
      <c r="C18" s="45"/>
      <c r="D18" s="46"/>
      <c r="E18" s="46"/>
      <c r="F18" s="46"/>
      <c r="G18" s="47"/>
      <c r="H18" s="47"/>
      <c r="I18" s="47"/>
      <c r="J18" s="47"/>
      <c r="K18" s="46"/>
      <c r="L18" s="47"/>
      <c r="M18" s="47"/>
      <c r="N18" s="52"/>
    </row>
    <row r="19" ht="8.75" customHeight="1" hidden="1">
      <c r="A19" s="39"/>
      <c r="B19" s="40"/>
      <c r="C19" s="41"/>
      <c r="D19" s="42"/>
      <c r="E19" s="42"/>
      <c r="F19" s="42"/>
      <c r="G19" s="43"/>
      <c r="H19" s="42"/>
      <c r="I19" s="42"/>
      <c r="J19" s="42"/>
      <c r="K19" s="42"/>
      <c r="L19" s="42"/>
      <c r="M19" s="42"/>
      <c r="N19" s="44"/>
    </row>
    <row r="20" ht="8.75" customHeight="1" hidden="1">
      <c r="A20" s="39"/>
      <c r="B20" s="40"/>
      <c r="C20" s="45"/>
      <c r="D20" s="46"/>
      <c r="E20" s="46"/>
      <c r="F20" s="46"/>
      <c r="G20" s="47"/>
      <c r="H20" s="46"/>
      <c r="I20" s="46"/>
      <c r="J20" s="46"/>
      <c r="K20" s="46"/>
      <c r="L20" s="46"/>
      <c r="M20" s="46"/>
      <c r="N20" s="48"/>
    </row>
    <row r="21" ht="8.75" customHeight="1" hidden="1">
      <c r="A21" s="51"/>
      <c r="B21" s="40"/>
      <c r="C21" s="41"/>
      <c r="D21" s="42"/>
      <c r="E21" s="42"/>
      <c r="F21" s="42"/>
      <c r="G21" s="43"/>
      <c r="H21" s="42"/>
      <c r="I21" s="42"/>
      <c r="J21" s="42"/>
      <c r="K21" s="42"/>
      <c r="L21" s="42"/>
      <c r="M21" s="42"/>
      <c r="N21" s="44"/>
    </row>
    <row r="22" ht="8.75" customHeight="1" hidden="1">
      <c r="A22" s="51"/>
      <c r="B22" s="40"/>
      <c r="C22" s="45"/>
      <c r="D22" s="46"/>
      <c r="E22" s="46"/>
      <c r="F22" s="46"/>
      <c r="G22" s="47"/>
      <c r="H22" s="46"/>
      <c r="I22" s="46"/>
      <c r="J22" s="46"/>
      <c r="K22" s="46"/>
      <c r="L22" s="46"/>
      <c r="M22" s="46"/>
      <c r="N22" s="48"/>
    </row>
    <row r="23" ht="8.75" customHeight="1" hidden="1">
      <c r="A23" s="39"/>
      <c r="B23" s="40"/>
      <c r="C23" s="41"/>
      <c r="D23" s="42"/>
      <c r="E23" s="42"/>
      <c r="F23" s="42"/>
      <c r="G23" s="43"/>
      <c r="H23" s="42"/>
      <c r="I23" s="42"/>
      <c r="J23" s="42"/>
      <c r="K23" s="42"/>
      <c r="L23" s="43"/>
      <c r="M23" s="43"/>
      <c r="N23" s="49"/>
    </row>
    <row r="24" ht="8.75" customHeight="1" hidden="1">
      <c r="A24" s="39"/>
      <c r="B24" s="40"/>
      <c r="C24" s="45"/>
      <c r="D24" s="46"/>
      <c r="E24" s="46"/>
      <c r="F24" s="46"/>
      <c r="G24" s="47"/>
      <c r="H24" s="46"/>
      <c r="I24" s="46"/>
      <c r="J24" s="46"/>
      <c r="K24" s="46"/>
      <c r="L24" s="46"/>
      <c r="M24" s="46"/>
      <c r="N24" s="48"/>
    </row>
    <row r="25" ht="8.75" customHeight="1" hidden="1">
      <c r="A25" s="39"/>
      <c r="B25" s="40"/>
      <c r="C25" s="41"/>
      <c r="D25" s="42"/>
      <c r="E25" s="42"/>
      <c r="F25" s="42"/>
      <c r="G25" s="43"/>
      <c r="H25" s="42"/>
      <c r="I25" s="42"/>
      <c r="J25" s="42"/>
      <c r="K25" s="42"/>
      <c r="L25" s="43"/>
      <c r="M25" s="43"/>
      <c r="N25" s="49"/>
    </row>
    <row r="26" ht="20.85" customHeight="1">
      <c r="A26" s="53"/>
      <c r="B26" s="54"/>
      <c r="C26" s="54"/>
      <c r="D26" s="55"/>
      <c r="E26" s="55"/>
      <c r="F26" s="55"/>
      <c r="G26" s="56"/>
      <c r="H26" s="56"/>
      <c r="I26" s="54"/>
      <c r="J26" s="57"/>
      <c r="K26" t="s" s="58">
        <v>38</v>
      </c>
      <c r="L26" s="59" cm="1">
        <f t="array" ref="L26">SUM(L1:L25)</f>
        <v>175490300.43</v>
      </c>
      <c r="M26" s="59" cm="1">
        <f t="array" ref="M26">SUM(M1:M25)</f>
        <v>175407918.43</v>
      </c>
      <c r="N26" s="59" cm="1">
        <f t="array" ref="N26">SUM(N1:N25)</f>
        <v>175407918.43</v>
      </c>
    </row>
    <row r="27" ht="21" customHeight="1">
      <c r="A27" s="60"/>
      <c r="B27" t="s" s="61">
        <v>39</v>
      </c>
      <c r="C27" s="62"/>
      <c r="D27" s="63" cm="1">
        <f t="array" ref="D27">ROUND(IF(L27&lt;=100000000,L27*0.24%,IF(AND(L27&gt;100000000,L27&lt;=500000000),100000000*0.24%+(L27-100000000)*0.19%,IF(AND(L27&gt;500000000,L27&lt;=1000000000),100000000*0.24%+400000000*0.19%+(L27-500000000)*0.15%,IF(AND(L27&gt;1000000000,L27&lt;=5000000000),100000000*0.24%+400000000*0.19%+500000000*0.15%+(L27-1000000000)*0.12%,IF(L27&gt;5000000000,100000000*0.24%+400000000*0.19%+500000000*0.15%+4000000000*0.12%+(L27-5000000000)*0.1%,"Bingung komputer"))))),2)</f>
        <v>382704.43</v>
      </c>
      <c r="E27" s="64" cm="1">
        <f t="array" ref="E27">ROUND(IF(M27&lt;=100000000,M27*0.24%,IF(AND(M27&gt;100000000,M27&lt;=500000000),100000000*0.24%+(M27-100000000)*0.19%,IF(AND(M27&gt;500000000,M27&lt;=1000000000),100000000*0.24%+400000000*0.19%+(M27-500000000)*0.15%,IF(AND(M27&gt;1000000000,M27&lt;=5000000000),100000000*0.24%+400000000*0.19%+500000000*0.15%+(M27-1000000000)*0.12%,IF(M27&gt;5000000000,100000000*0.24%+400000000*0.19%+500000000*0.15%+4000000000*0.12%+(M27-5000000000)*0.1%,"Bingung komputer"))))),2)</f>
        <v>382548.2</v>
      </c>
      <c r="F27" s="64" cm="1">
        <f t="array" ref="F27">ROUND(IF(N27&lt;=100000000,N27*0.24%,IF(AND(N27&gt;100000000,N27&lt;=500000000),100000000*0.24%+(N27-100000000)*0.19%,IF(AND(N27&gt;500000000,N27&lt;=1000000000),100000000*0.24%+400000000*0.19%+(N27-500000000)*0.15%,IF(AND(N27&gt;1000000000,N27&lt;=5000000000),100000000*0.24%+400000000*0.19%+500000000*0.15%+(N27-1000000000)*0.12%,IF(N27&gt;5000000000,100000000*0.24%+400000000*0.19%+500000000*0.15%+4000000000*0.12%+(N27-5000000000)*0.1%,"Bingung komputer"))))),2)</f>
        <v>382548.2</v>
      </c>
      <c r="G27" s="65"/>
      <c r="H27" s="66"/>
      <c r="I27" s="62"/>
      <c r="J27" s="67"/>
      <c r="K27" t="str" s="67" cm="1">
        <f t="array" ref="K27">"Jumlah Terkena Pajak "&amp;MAX(K3:K25)&amp;"% (B)"</f>
        <v>Jumlah Terkena Pajak 11,00% (B)</v>
      </c>
      <c r="L27" s="68" cm="1">
        <f t="array" ref="L27">SUMIF($K3:$K25,"&gt;0",L3:L25)</f>
        <v>175107596.43</v>
      </c>
      <c r="M27" s="69" cm="1">
        <f t="array" ref="M27">SUMIF($K3:$K25,"&gt;0",M3:M25)</f>
        <v>175025370.43</v>
      </c>
      <c r="N27" s="69" cm="1">
        <f t="array" ref="N27">SUMIF($K3:$K25,"&gt;0",N3:N25)</f>
        <v>175025370.43</v>
      </c>
    </row>
    <row r="28" ht="21" customHeight="1">
      <c r="A28" s="70"/>
      <c r="B28" s="71"/>
      <c r="C28" s="71"/>
      <c r="D28" s="72"/>
      <c r="E28" s="72"/>
      <c r="F28" s="71"/>
      <c r="G28" s="72"/>
      <c r="H28" s="72"/>
      <c r="I28" s="71"/>
      <c r="J28" s="73"/>
      <c r="K28" t="str" s="73" cm="1">
        <f t="array" ref="K28">"PPN (C) = "&amp;MAX(K3:K25)&amp;"% x B"</f>
        <v>PPN (C) = 11,00% x B</v>
      </c>
      <c r="L28" s="74" cm="1">
        <f t="array" ref="L28">L27*MAX($K3:$K25)%</f>
        <v>19261835.6073</v>
      </c>
      <c r="M28" s="69" cm="1">
        <f t="array" ref="M28">M27*MAX($K3:$K25)%</f>
        <v>19252790.7473</v>
      </c>
      <c r="N28" s="69" cm="1">
        <f t="array" ref="N28">N27*MAX($K3:$K25)%</f>
        <v>19252790.7473</v>
      </c>
    </row>
    <row r="29" ht="21" customHeight="1">
      <c r="A29" s="70"/>
      <c r="B29" s="71"/>
      <c r="C29" s="71"/>
      <c r="D29" s="72"/>
      <c r="E29" s="72"/>
      <c r="F29" s="72"/>
      <c r="G29" s="72"/>
      <c r="H29" s="72"/>
      <c r="I29" s="71"/>
      <c r="J29" s="73"/>
      <c r="K29" t="s" s="75">
        <v>42</v>
      </c>
      <c r="L29" s="76" cm="1">
        <f t="array" ref="L29">L26+L28</f>
        <v>194752136.0373</v>
      </c>
      <c r="M29" s="69" cm="1">
        <f t="array" ref="M29">M26+M28</f>
        <v>194660709.1773</v>
      </c>
      <c r="N29" s="69" cm="1">
        <f t="array" ref="N29">N26+N28</f>
        <v>194660709.1773</v>
      </c>
    </row>
    <row r="30" ht="20.5" customHeight="1">
      <c r="A30" s="70"/>
      <c r="B30" s="71"/>
      <c r="C30" s="71"/>
      <c r="D30" s="72"/>
      <c r="E30" s="72"/>
      <c r="F30" s="72"/>
      <c r="G30" s="72"/>
      <c r="H30" s="72"/>
      <c r="I30" s="71"/>
      <c r="J30" s="73"/>
      <c r="K30" t="s" s="75">
        <v>43</v>
      </c>
      <c r="L30" s="68" cm="1">
        <f t="array" ref="L30">ROUNDDOWN(L29,2)</f>
        <v>194752136.03</v>
      </c>
      <c r="M30" s="68" cm="1">
        <f t="array" ref="M30">ROUNDDOWN(M29,2)</f>
        <v>194660709.17</v>
      </c>
      <c r="N30" s="68" cm="1">
        <f t="array" ref="N30">ROUNDDOWN(N29,-3)</f>
        <v>194660000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N30"/>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105" customWidth="1"/>
    <col min="2" max="2" width="43.0312" style="105" customWidth="1"/>
    <col min="3" max="3" width="2.75" style="105" customWidth="1"/>
    <col min="4" max="6" width="10.3672" style="105" customWidth="1"/>
    <col min="7" max="7" width="11.6875" style="105" customWidth="1"/>
    <col min="8" max="11" width="13.5156" style="105" customWidth="1"/>
    <col min="12" max="14" width="14.2344" style="105" customWidth="1"/>
    <col min="15" max="16384" width="16.3516" style="105"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16</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t="s" s="18">
        <v>17</v>
      </c>
      <c r="B4" t="s" s="19">
        <v>18</v>
      </c>
      <c r="C4" s="20"/>
      <c r="D4" s="21">
        <v>1</v>
      </c>
      <c r="E4" s="21" cm="1">
        <f t="array" ref="E4">D4</f>
        <v>1</v>
      </c>
      <c r="F4" s="21" cm="1">
        <f t="array" ref="F4">D4</f>
        <v>1</v>
      </c>
      <c r="G4" t="s" s="22">
        <v>19</v>
      </c>
      <c r="H4" s="21">
        <v>27062000</v>
      </c>
      <c r="I4" s="21">
        <v>27002000</v>
      </c>
      <c r="J4" s="21">
        <v>27002000</v>
      </c>
      <c r="K4" s="21">
        <v>11</v>
      </c>
      <c r="L4" s="21" cm="1">
        <f t="array" ref="L4">IF(D4&gt;0,IF($D4&lt;=0,0,D4*H4),"")</f>
        <v>27062000</v>
      </c>
      <c r="M4" s="21" cm="1">
        <f t="array" ref="M4">IF(E4&gt;0,IF($D4&lt;=0,0,ROUND(E4*I4,2)),"")</f>
        <v>27002000</v>
      </c>
      <c r="N4" s="23" cm="1">
        <f t="array" ref="N4">IF(F4&gt;0,IF($D4&lt;=0,0,ROUND(F4*J4,2)),"")</f>
        <v>27002000</v>
      </c>
    </row>
    <row r="5" ht="20.5" customHeight="1">
      <c r="A5" s="29"/>
      <c r="B5" t="s" s="19">
        <v>45</v>
      </c>
      <c r="C5" s="24"/>
      <c r="D5" s="30"/>
      <c r="E5" s="26"/>
      <c r="F5" s="26"/>
      <c r="G5" s="30"/>
      <c r="H5" s="26"/>
      <c r="I5" s="30"/>
      <c r="J5" s="30"/>
      <c r="K5" s="26"/>
      <c r="L5" t="str" s="30" cm="1">
        <f t="array" ref="L5">IF(D5&gt;0,IF($D5&lt;=0,0,D5*H5),"")</f>
      </c>
      <c r="M5" t="str" s="30" cm="1">
        <f t="array" ref="M5">IF(E5&gt;0,IF($D5&lt;=0,0,ROUND(E5*I5,2)),"")</f>
      </c>
      <c r="N5" t="str" s="31" cm="1">
        <f t="array" ref="N5">IF(F5&gt;0,IF($D5&lt;=0,0,ROUND(F5*J5,2)),"")</f>
      </c>
    </row>
    <row r="6" ht="20.5" customHeight="1">
      <c r="A6" t="s" s="18">
        <v>46</v>
      </c>
      <c r="B6" t="s" s="19">
        <v>47</v>
      </c>
      <c r="C6" s="20"/>
      <c r="D6" s="78">
        <v>537.63</v>
      </c>
      <c r="E6" s="21" cm="1">
        <f t="array" ref="E6">D6</f>
        <v>537.63</v>
      </c>
      <c r="F6" s="21" cm="1">
        <f t="array" ref="F6">D6</f>
        <v>537.63</v>
      </c>
      <c r="G6" t="s" s="22">
        <v>27</v>
      </c>
      <c r="H6" s="21">
        <v>266830.61</v>
      </c>
      <c r="I6" s="21">
        <v>266816.81</v>
      </c>
      <c r="J6" s="21">
        <v>266816.81</v>
      </c>
      <c r="K6" s="21">
        <v>11</v>
      </c>
      <c r="L6" s="21" cm="1">
        <f t="array" ref="L6">IF(D6&gt;0,IF($D6&lt;=0,0,D6*H6),"")</f>
        <v>143456140.8543</v>
      </c>
      <c r="M6" s="21" cm="1">
        <f t="array" ref="M6">IF(E6&gt;0,IF($D6&lt;=0,0,ROUND(E6*I6,2)),"")</f>
        <v>143448721.56</v>
      </c>
      <c r="N6" s="23" cm="1">
        <f t="array" ref="N6">IF(F6&gt;0,IF($D6&lt;=0,0,ROUND(F6*J6,2)),"")</f>
        <v>143448721.56</v>
      </c>
    </row>
    <row r="7" ht="20.5" customHeight="1">
      <c r="A7" t="s" s="18">
        <v>33</v>
      </c>
      <c r="B7" t="s" s="19">
        <v>34</v>
      </c>
      <c r="C7" s="24"/>
      <c r="D7" s="26">
        <v>2530</v>
      </c>
      <c r="E7" s="26" cm="1">
        <f t="array" ref="E7">D7</f>
        <v>2530</v>
      </c>
      <c r="F7" s="26" cm="1">
        <f t="array" ref="F7">D7</f>
        <v>2530</v>
      </c>
      <c r="G7" t="s" s="27">
        <v>35</v>
      </c>
      <c r="H7" s="26">
        <v>1816.48</v>
      </c>
      <c r="I7" s="26">
        <v>1815.99</v>
      </c>
      <c r="J7" s="26">
        <v>1815.99</v>
      </c>
      <c r="K7" s="26">
        <v>11</v>
      </c>
      <c r="L7" s="26" cm="1">
        <f t="array" ref="L7">IF(D7&gt;0,IF($D7&lt;=0,0,D7*H7),"")</f>
        <v>4595694.4</v>
      </c>
      <c r="M7" s="26" cm="1">
        <f t="array" ref="M7">IF(E7&gt;0,IF($D7&lt;=0,0,ROUND(E7*I7,2)),"")</f>
        <v>4594454.7</v>
      </c>
      <c r="N7" s="28" cm="1">
        <f t="array" ref="N7">IF(F7&gt;0,IF($D7&lt;=0,0,ROUND(F7*J7,2)),"")</f>
        <v>4594454.7</v>
      </c>
    </row>
    <row r="8" ht="20.5" customHeight="1">
      <c r="A8" s="29"/>
      <c r="B8" t="s" s="19">
        <v>36</v>
      </c>
      <c r="C8" s="20"/>
      <c r="D8" s="21"/>
      <c r="E8" s="21"/>
      <c r="F8" s="21"/>
      <c r="G8" s="79"/>
      <c r="H8" s="79"/>
      <c r="I8" s="79"/>
      <c r="J8" s="79"/>
      <c r="K8" s="21"/>
      <c r="L8" t="str" s="79" cm="1">
        <f t="array" ref="L8">IF(D8&gt;0,IF($D8&lt;=0,0,D8*H8),"")</f>
      </c>
      <c r="M8" s="21"/>
      <c r="N8" s="23"/>
    </row>
    <row r="9" ht="20.6" customHeight="1">
      <c r="A9" s="33">
        <v>1</v>
      </c>
      <c r="B9" t="s" s="34">
        <v>37</v>
      </c>
      <c r="C9" s="80"/>
      <c r="D9" s="81">
        <v>1</v>
      </c>
      <c r="E9" s="81" cm="1">
        <f t="array" ref="E9">D9</f>
        <v>1</v>
      </c>
      <c r="F9" s="81" cm="1">
        <f t="array" ref="F9">D9</f>
        <v>1</v>
      </c>
      <c r="G9" t="s" s="82">
        <v>19</v>
      </c>
      <c r="H9" s="81">
        <v>382714</v>
      </c>
      <c r="I9" s="81">
        <v>382583</v>
      </c>
      <c r="J9" s="81">
        <v>382583</v>
      </c>
      <c r="K9" s="81">
        <v>0</v>
      </c>
      <c r="L9" s="81" cm="1">
        <f t="array" ref="L9">IF(D9&gt;0,IF($D9&lt;=0,0,D9*H9),"")</f>
        <v>382714</v>
      </c>
      <c r="M9" s="81" cm="1">
        <f t="array" ref="M9">IF(E9&gt;0,IF($D9&lt;=0,0,ROUND(E9*I9,2)),"")</f>
        <v>382583</v>
      </c>
      <c r="N9" s="83" cm="1">
        <f t="array" ref="N9">IF(F9&gt;0,IF($D9&lt;=0,0,ROUND(F9*J9,2)),"")</f>
        <v>382583</v>
      </c>
    </row>
    <row r="10" ht="8.75" customHeight="1" hidden="1">
      <c r="A10" s="39"/>
      <c r="B10" s="40"/>
      <c r="C10" s="45"/>
      <c r="D10" s="46"/>
      <c r="E10" s="46"/>
      <c r="F10" s="46"/>
      <c r="G10" s="47"/>
      <c r="H10" s="46"/>
      <c r="I10" s="46"/>
      <c r="J10" s="46"/>
      <c r="K10" s="46"/>
      <c r="L10" s="46"/>
      <c r="M10" s="46"/>
      <c r="N10" s="48"/>
    </row>
    <row r="11" ht="8.75" customHeight="1" hidden="1">
      <c r="A11" s="39"/>
      <c r="B11" s="40"/>
      <c r="C11" s="41"/>
      <c r="D11" s="42"/>
      <c r="E11" s="42"/>
      <c r="F11" s="42"/>
      <c r="G11" s="43"/>
      <c r="H11" s="42"/>
      <c r="I11" s="42"/>
      <c r="J11" s="42"/>
      <c r="K11" s="42"/>
      <c r="L11" s="42"/>
      <c r="M11" s="42"/>
      <c r="N11" s="44"/>
    </row>
    <row r="12" ht="8.75" customHeight="1" hidden="1">
      <c r="A12" s="39"/>
      <c r="B12" s="40"/>
      <c r="C12" s="45"/>
      <c r="D12" s="46"/>
      <c r="E12" s="46"/>
      <c r="F12" s="46"/>
      <c r="G12" s="47"/>
      <c r="H12" s="46"/>
      <c r="I12" s="46"/>
      <c r="J12" s="46"/>
      <c r="K12" s="46"/>
      <c r="L12" s="46"/>
      <c r="M12" s="46"/>
      <c r="N12" s="48"/>
    </row>
    <row r="13" ht="8.75" customHeight="1" hidden="1">
      <c r="A13" s="39"/>
      <c r="B13" s="40"/>
      <c r="C13" s="41"/>
      <c r="D13" s="42"/>
      <c r="E13" s="42"/>
      <c r="F13" s="42"/>
      <c r="G13" s="43"/>
      <c r="H13" s="42"/>
      <c r="I13" s="42"/>
      <c r="J13" s="42"/>
      <c r="K13" s="42"/>
      <c r="L13" s="42"/>
      <c r="M13" s="42"/>
      <c r="N13" s="44"/>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2"/>
      <c r="I15" s="42"/>
      <c r="J15" s="42"/>
      <c r="K15" s="42"/>
      <c r="L15" s="42"/>
      <c r="M15" s="42"/>
      <c r="N15" s="44"/>
    </row>
    <row r="16" ht="8.75" customHeight="1" hidden="1">
      <c r="A16" s="39"/>
      <c r="B16" s="40"/>
      <c r="C16" s="45"/>
      <c r="D16" s="46"/>
      <c r="E16" s="46"/>
      <c r="F16" s="46"/>
      <c r="G16" s="47"/>
      <c r="H16" s="47"/>
      <c r="I16" s="47"/>
      <c r="J16" s="47"/>
      <c r="K16" s="46"/>
      <c r="L16" s="47"/>
      <c r="M16" s="47"/>
      <c r="N16" s="52"/>
    </row>
    <row r="17" ht="8.75" customHeight="1" hidden="1">
      <c r="A17" s="39"/>
      <c r="B17" s="40"/>
      <c r="C17" s="41"/>
      <c r="D17" s="42"/>
      <c r="E17" s="42"/>
      <c r="F17" s="42"/>
      <c r="G17" s="43"/>
      <c r="H17" s="84"/>
      <c r="I17" s="84"/>
      <c r="J17" s="84"/>
      <c r="K17" s="42"/>
      <c r="L17" s="42"/>
      <c r="M17" s="42"/>
      <c r="N17" s="44"/>
    </row>
    <row r="18" ht="8.75" customHeight="1" hidden="1">
      <c r="A18" s="39"/>
      <c r="B18" s="40"/>
      <c r="C18" s="45"/>
      <c r="D18" s="46"/>
      <c r="E18" s="46"/>
      <c r="F18" s="46"/>
      <c r="G18" s="47"/>
      <c r="H18" s="47"/>
      <c r="I18" s="47"/>
      <c r="J18" s="47"/>
      <c r="K18" s="46"/>
      <c r="L18" s="47"/>
      <c r="M18" s="47"/>
      <c r="N18" s="52"/>
    </row>
    <row r="19" ht="8.75" customHeight="1" hidden="1">
      <c r="A19" s="39"/>
      <c r="B19" s="40"/>
      <c r="C19" s="41"/>
      <c r="D19" s="42"/>
      <c r="E19" s="42"/>
      <c r="F19" s="42"/>
      <c r="G19" s="43"/>
      <c r="H19" s="42"/>
      <c r="I19" s="42"/>
      <c r="J19" s="42"/>
      <c r="K19" s="42"/>
      <c r="L19" s="42"/>
      <c r="M19" s="42"/>
      <c r="N19" s="44"/>
    </row>
    <row r="20" ht="8.75" customHeight="1" hidden="1">
      <c r="A20" s="39"/>
      <c r="B20" s="40"/>
      <c r="C20" s="45"/>
      <c r="D20" s="46"/>
      <c r="E20" s="46"/>
      <c r="F20" s="46"/>
      <c r="G20" s="47"/>
      <c r="H20" s="46"/>
      <c r="I20" s="46"/>
      <c r="J20" s="46"/>
      <c r="K20" s="46"/>
      <c r="L20" s="46"/>
      <c r="M20" s="46"/>
      <c r="N20" s="48"/>
    </row>
    <row r="21" ht="8.75" customHeight="1" hidden="1">
      <c r="A21" s="51"/>
      <c r="B21" s="40"/>
      <c r="C21" s="41"/>
      <c r="D21" s="42"/>
      <c r="E21" s="42"/>
      <c r="F21" s="42"/>
      <c r="G21" s="43"/>
      <c r="H21" s="42"/>
      <c r="I21" s="42"/>
      <c r="J21" s="42"/>
      <c r="K21" s="42"/>
      <c r="L21" s="42"/>
      <c r="M21" s="42"/>
      <c r="N21" s="44"/>
    </row>
    <row r="22" ht="8.75" customHeight="1" hidden="1">
      <c r="A22" s="51"/>
      <c r="B22" s="40"/>
      <c r="C22" s="45"/>
      <c r="D22" s="46"/>
      <c r="E22" s="46"/>
      <c r="F22" s="46"/>
      <c r="G22" s="47"/>
      <c r="H22" s="46"/>
      <c r="I22" s="46"/>
      <c r="J22" s="46"/>
      <c r="K22" s="46"/>
      <c r="L22" s="46"/>
      <c r="M22" s="46"/>
      <c r="N22" s="48"/>
    </row>
    <row r="23" ht="8.75" customHeight="1" hidden="1">
      <c r="A23" s="39"/>
      <c r="B23" s="40"/>
      <c r="C23" s="41"/>
      <c r="D23" s="42"/>
      <c r="E23" s="42"/>
      <c r="F23" s="42"/>
      <c r="G23" s="43"/>
      <c r="H23" s="42"/>
      <c r="I23" s="42"/>
      <c r="J23" s="42"/>
      <c r="K23" s="42"/>
      <c r="L23" s="43"/>
      <c r="M23" s="43"/>
      <c r="N23" s="49"/>
    </row>
    <row r="24" ht="8.75" customHeight="1" hidden="1">
      <c r="A24" s="39"/>
      <c r="B24" s="40"/>
      <c r="C24" s="45"/>
      <c r="D24" s="46"/>
      <c r="E24" s="46"/>
      <c r="F24" s="46"/>
      <c r="G24" s="47"/>
      <c r="H24" s="46"/>
      <c r="I24" s="46"/>
      <c r="J24" s="46"/>
      <c r="K24" s="46"/>
      <c r="L24" s="46"/>
      <c r="M24" s="46"/>
      <c r="N24" s="48"/>
    </row>
    <row r="25" ht="8.75" customHeight="1" hidden="1">
      <c r="A25" s="39"/>
      <c r="B25" s="40"/>
      <c r="C25" s="41"/>
      <c r="D25" s="42"/>
      <c r="E25" s="42"/>
      <c r="F25" s="42"/>
      <c r="G25" s="43"/>
      <c r="H25" s="42"/>
      <c r="I25" s="42"/>
      <c r="J25" s="42"/>
      <c r="K25" s="42"/>
      <c r="L25" s="43"/>
      <c r="M25" s="43"/>
      <c r="N25" s="49"/>
    </row>
    <row r="26" ht="20.85" customHeight="1">
      <c r="A26" s="53"/>
      <c r="B26" s="54"/>
      <c r="C26" s="54"/>
      <c r="D26" s="55"/>
      <c r="E26" s="55"/>
      <c r="F26" s="55"/>
      <c r="G26" s="56"/>
      <c r="H26" s="56"/>
      <c r="I26" s="54"/>
      <c r="J26" s="57"/>
      <c r="K26" t="s" s="58">
        <v>38</v>
      </c>
      <c r="L26" s="59" cm="1">
        <f t="array" ref="L26">SUM(L1:L25)</f>
        <v>175496549.2543</v>
      </c>
      <c r="M26" s="59" cm="1">
        <f t="array" ref="M26">SUM(M1:M25)</f>
        <v>175427759.26</v>
      </c>
      <c r="N26" s="59" cm="1">
        <f t="array" ref="N26">SUM(N1:N25)</f>
        <v>175427759.26</v>
      </c>
    </row>
    <row r="27" ht="21" customHeight="1">
      <c r="A27" s="60"/>
      <c r="B27" t="s" s="61">
        <v>39</v>
      </c>
      <c r="C27" s="62"/>
      <c r="D27" s="63" cm="1">
        <f t="array" ref="D27">ROUND(IF(L27&lt;=100000000,L27*0.24%,IF(AND(L27&gt;100000000,L27&lt;=500000000),100000000*0.24%+(L27-100000000)*0.19%,IF(AND(L27&gt;500000000,L27&lt;=1000000000),100000000*0.24%+400000000*0.19%+(L27-500000000)*0.15%,IF(AND(L27&gt;1000000000,L27&lt;=5000000000),100000000*0.24%+400000000*0.19%+500000000*0.15%+(L27-1000000000)*0.12%,IF(L27&gt;5000000000,100000000*0.24%+400000000*0.19%+500000000*0.15%+4000000000*0.12%+(L27-5000000000)*0.1%,"Bingung komputer"))))),2)</f>
        <v>382716.29</v>
      </c>
      <c r="E27" s="64" cm="1">
        <f t="array" ref="E27">ROUND(IF(M27&lt;=100000000,M27*0.24%,IF(AND(M27&gt;100000000,M27&lt;=500000000),100000000*0.24%+(M27-100000000)*0.19%,IF(AND(M27&gt;500000000,M27&lt;=1000000000),100000000*0.24%+400000000*0.19%+(M27-500000000)*0.15%,IF(AND(M27&gt;1000000000,M27&lt;=5000000000),100000000*0.24%+400000000*0.19%+500000000*0.15%+(M27-1000000000)*0.12%,IF(M27&gt;5000000000,100000000*0.24%+400000000*0.19%+500000000*0.15%+4000000000*0.12%+(M27-5000000000)*0.1%,"Bingung komputer"))))),2)</f>
        <v>382585.83</v>
      </c>
      <c r="F27" s="64" cm="1">
        <f t="array" ref="F27">ROUND(IF(N27&lt;=100000000,N27*0.24%,IF(AND(N27&gt;100000000,N27&lt;=500000000),100000000*0.24%+(N27-100000000)*0.19%,IF(AND(N27&gt;500000000,N27&lt;=1000000000),100000000*0.24%+400000000*0.19%+(N27-500000000)*0.15%,IF(AND(N27&gt;1000000000,N27&lt;=5000000000),100000000*0.24%+400000000*0.19%+500000000*0.15%+(N27-1000000000)*0.12%,IF(N27&gt;5000000000,100000000*0.24%+400000000*0.19%+500000000*0.15%+4000000000*0.12%+(N27-5000000000)*0.1%,"Bingung komputer"))))),2)</f>
        <v>382585.83</v>
      </c>
      <c r="G27" s="65"/>
      <c r="H27" s="66"/>
      <c r="I27" s="62"/>
      <c r="J27" s="67"/>
      <c r="K27" t="str" s="67" cm="1">
        <f t="array" ref="K27">"Jumlah Terkena Pajak "&amp;MAX(K3:K25)&amp;"% (B)"</f>
        <v>Jumlah Terkena Pajak 11,00% (B)</v>
      </c>
      <c r="L27" s="68" cm="1">
        <f t="array" ref="L27">SUMIF($K3:$K25,"&gt;0",L3:L25)</f>
        <v>175113835.2543</v>
      </c>
      <c r="M27" s="69" cm="1">
        <f t="array" ref="M27">SUMIF($K3:$K25,"&gt;0",M3:M25)</f>
        <v>175045176.26</v>
      </c>
      <c r="N27" s="69" cm="1">
        <f t="array" ref="N27">SUMIF($K3:$K25,"&gt;0",N3:N25)</f>
        <v>175045176.26</v>
      </c>
    </row>
    <row r="28" ht="21" customHeight="1">
      <c r="A28" s="70"/>
      <c r="B28" s="71"/>
      <c r="C28" s="71"/>
      <c r="D28" s="72"/>
      <c r="E28" s="72"/>
      <c r="F28" s="71"/>
      <c r="G28" s="72"/>
      <c r="H28" s="72"/>
      <c r="I28" s="71"/>
      <c r="J28" s="73"/>
      <c r="K28" t="str" s="73" cm="1">
        <f t="array" ref="K28">"PPN (C) = "&amp;MAX(K3:K25)&amp;"% x B"</f>
        <v>PPN (C) = 11,00% x B</v>
      </c>
      <c r="L28" s="74" cm="1">
        <f t="array" ref="L28">L27*MAX($K3:$K25)%</f>
        <v>19262521.877973</v>
      </c>
      <c r="M28" s="69" cm="1">
        <f t="array" ref="M28">M27*MAX($K3:$K25)%</f>
        <v>19254969.3886</v>
      </c>
      <c r="N28" s="69" cm="1">
        <f t="array" ref="N28">N27*MAX($K3:$K25)%</f>
        <v>19254969.3886</v>
      </c>
    </row>
    <row r="29" ht="21" customHeight="1">
      <c r="A29" s="70"/>
      <c r="B29" s="71"/>
      <c r="C29" s="71"/>
      <c r="D29" s="72"/>
      <c r="E29" s="72"/>
      <c r="F29" s="72"/>
      <c r="G29" s="72"/>
      <c r="H29" s="72"/>
      <c r="I29" s="71"/>
      <c r="J29" s="73"/>
      <c r="K29" t="s" s="75">
        <v>42</v>
      </c>
      <c r="L29" s="76" cm="1">
        <f t="array" ref="L29">L26+L28</f>
        <v>194759071.132273</v>
      </c>
      <c r="M29" s="69" cm="1">
        <f t="array" ref="M29">M26+M28</f>
        <v>194682728.6486</v>
      </c>
      <c r="N29" s="69" cm="1">
        <f t="array" ref="N29">N26+N28</f>
        <v>194682728.6486</v>
      </c>
    </row>
    <row r="30" ht="20.5" customHeight="1">
      <c r="A30" s="70"/>
      <c r="B30" s="71"/>
      <c r="C30" s="71"/>
      <c r="D30" s="72"/>
      <c r="E30" s="72"/>
      <c r="F30" s="72"/>
      <c r="G30" s="72"/>
      <c r="H30" s="72"/>
      <c r="I30" s="71"/>
      <c r="J30" s="73"/>
      <c r="K30" t="s" s="75">
        <v>43</v>
      </c>
      <c r="L30" s="68" cm="1">
        <f t="array" ref="L30">ROUNDDOWN(L29,2)</f>
        <v>194759071.13</v>
      </c>
      <c r="M30" s="68" cm="1">
        <f t="array" ref="M30">ROUNDDOWN(M29,2)</f>
        <v>194682728.64</v>
      </c>
      <c r="N30" s="68" cm="1">
        <f t="array" ref="N30">ROUNDDOWN(N29,-3)</f>
        <v>194682000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N39"/>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106" customWidth="1"/>
    <col min="2" max="2" width="43.0312" style="106" customWidth="1"/>
    <col min="3" max="3" width="2.75" style="106" customWidth="1"/>
    <col min="4" max="6" width="10.3672" style="106" customWidth="1"/>
    <col min="7" max="7" width="11.6875" style="106" customWidth="1"/>
    <col min="8" max="11" width="13.5156" style="106" customWidth="1"/>
    <col min="12" max="14" width="14.2344" style="106" customWidth="1"/>
    <col min="15" max="16384" width="16.3516" style="106"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16</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t="s" s="18">
        <v>17</v>
      </c>
      <c r="B4" t="s" s="19">
        <v>18</v>
      </c>
      <c r="C4" s="20"/>
      <c r="D4" s="21">
        <v>1</v>
      </c>
      <c r="E4" s="21" cm="1">
        <f t="array" ref="E4">D4</f>
        <v>1</v>
      </c>
      <c r="F4" s="21" cm="1">
        <f t="array" ref="F4">D4</f>
        <v>1</v>
      </c>
      <c r="G4" t="s" s="22">
        <v>19</v>
      </c>
      <c r="H4" s="21">
        <v>7760000</v>
      </c>
      <c r="I4" s="21">
        <v>7727500</v>
      </c>
      <c r="J4" s="21">
        <v>7727500</v>
      </c>
      <c r="K4" s="21">
        <v>11</v>
      </c>
      <c r="L4" s="21" cm="1">
        <f t="array" ref="L4">IF(D4&gt;0,IF($D4&lt;=0,0,D4*H4),"")</f>
        <v>7760000</v>
      </c>
      <c r="M4" s="21" cm="1">
        <f t="array" ref="M4">IF(E4&gt;0,IF($D4&lt;=0,0,ROUND(E4*I4,2)),"")</f>
        <v>7727500</v>
      </c>
      <c r="N4" s="23" cm="1">
        <f t="array" ref="N4">IF(F4&gt;0,IF($D4&lt;=0,0,ROUND(F4*J4,2)),"")</f>
        <v>7727500</v>
      </c>
    </row>
    <row r="5" ht="20.5" customHeight="1">
      <c r="A5" t="s" s="18">
        <v>20</v>
      </c>
      <c r="B5" t="s" s="19">
        <v>21</v>
      </c>
      <c r="C5" s="24"/>
      <c r="D5" s="25">
        <v>1</v>
      </c>
      <c r="E5" s="26" cm="1">
        <f t="array" ref="E5">D5</f>
        <v>1</v>
      </c>
      <c r="F5" s="26" cm="1">
        <f t="array" ref="F5">D5</f>
        <v>1</v>
      </c>
      <c r="G5" t="s" s="27">
        <v>19</v>
      </c>
      <c r="H5" s="26">
        <v>775000</v>
      </c>
      <c r="I5" s="26">
        <v>745000</v>
      </c>
      <c r="J5" s="26">
        <v>745000</v>
      </c>
      <c r="K5" s="26">
        <v>11</v>
      </c>
      <c r="L5" s="26" cm="1">
        <f t="array" ref="L5">IF(D5&gt;0,IF($D5&lt;=0,0,D5*H5),"")</f>
        <v>775000</v>
      </c>
      <c r="M5" s="26" cm="1">
        <f t="array" ref="M5">IF(E5&gt;0,IF($D5&lt;=0,0,ROUND(E5*I5,2)),"")</f>
        <v>745000</v>
      </c>
      <c r="N5" s="28" cm="1">
        <f t="array" ref="N5">IF(F5&gt;0,IF($D5&lt;=0,0,ROUND(F5*J5,2)),"")</f>
        <v>745000</v>
      </c>
    </row>
    <row r="6" ht="20.5" customHeight="1">
      <c r="A6" t="s" s="18">
        <v>22</v>
      </c>
      <c r="B6" t="s" s="19">
        <v>23</v>
      </c>
      <c r="C6" s="20"/>
      <c r="D6" s="21">
        <v>1</v>
      </c>
      <c r="E6" s="21" cm="1">
        <f t="array" ref="E6">D6</f>
        <v>1</v>
      </c>
      <c r="F6" s="21" cm="1">
        <f t="array" ref="F6">D6</f>
        <v>1</v>
      </c>
      <c r="G6" t="s" s="22">
        <v>19</v>
      </c>
      <c r="H6" s="21">
        <v>3503000</v>
      </c>
      <c r="I6" s="21">
        <v>3478000</v>
      </c>
      <c r="J6" s="21">
        <v>3478000</v>
      </c>
      <c r="K6" s="21">
        <v>11</v>
      </c>
      <c r="L6" s="21" cm="1">
        <f t="array" ref="L6">IF(D6&gt;0,IF($D6&lt;=0,0,D6*H6),"")</f>
        <v>3503000</v>
      </c>
      <c r="M6" s="21" cm="1">
        <f t="array" ref="M6">IF(E6&gt;0,IF($D6&lt;=0,0,ROUND(E6*I6,2)),"")</f>
        <v>3478000</v>
      </c>
      <c r="N6" s="23" cm="1">
        <f t="array" ref="N6">IF(F6&gt;0,IF($D6&lt;=0,0,ROUND(F6*J6,2)),"")</f>
        <v>3478000</v>
      </c>
    </row>
    <row r="7" ht="20.5" customHeight="1">
      <c r="A7" s="29"/>
      <c r="B7" t="s" s="19">
        <v>28</v>
      </c>
      <c r="C7" s="24"/>
      <c r="D7" s="30"/>
      <c r="E7" s="26"/>
      <c r="F7" s="26"/>
      <c r="G7" s="30"/>
      <c r="H7" s="26"/>
      <c r="I7" s="30"/>
      <c r="J7" s="30"/>
      <c r="K7" s="26"/>
      <c r="L7" t="str" s="30" cm="1">
        <f t="array" ref="L7">IF(D7&gt;0,IF($D7&lt;=0,0,D7*H7),"")</f>
      </c>
      <c r="M7" t="str" s="30" cm="1">
        <f t="array" ref="M7">IF(E7&gt;0,IF($D7&lt;=0,0,ROUND(E7*I7,2)),"")</f>
      </c>
      <c r="N7" t="str" s="31" cm="1">
        <f t="array" ref="N7">IF(F7&gt;0,IF($D7&lt;=0,0,ROUND(F7*J7,2)),"")</f>
      </c>
    </row>
    <row r="8" ht="20.5" customHeight="1">
      <c r="A8" t="s" s="18">
        <v>90</v>
      </c>
      <c r="B8" t="s" s="19">
        <v>91</v>
      </c>
      <c r="C8" s="20"/>
      <c r="D8" s="78">
        <v>81.70999999999999</v>
      </c>
      <c r="E8" s="21" cm="1">
        <f t="array" ref="E8">D8</f>
        <v>81.70999999999999</v>
      </c>
      <c r="F8" s="21" cm="1">
        <f t="array" ref="F8">D8</f>
        <v>81.70999999999999</v>
      </c>
      <c r="G8" t="s" s="22">
        <v>27</v>
      </c>
      <c r="H8" s="21">
        <v>37558.16</v>
      </c>
      <c r="I8" s="21">
        <v>37554.14</v>
      </c>
      <c r="J8" s="21">
        <v>37554.14</v>
      </c>
      <c r="K8" s="21">
        <v>11</v>
      </c>
      <c r="L8" s="21" cm="1">
        <f t="array" ref="L8">IF(D8&gt;0,IF($D8&lt;=0,0,D8*H8),"")</f>
        <v>3068877.2536</v>
      </c>
      <c r="M8" s="21" cm="1">
        <f t="array" ref="M8">IF(E8&gt;0,IF($D8&lt;=0,0,ROUND(E8*I8,2)),"")</f>
        <v>3068548.78</v>
      </c>
      <c r="N8" s="23" cm="1">
        <f t="array" ref="N8">IF(F8&gt;0,IF($D8&lt;=0,0,ROUND(F8*J8,2)),"")</f>
        <v>3068548.78</v>
      </c>
    </row>
    <row r="9" ht="20.5" customHeight="1">
      <c r="A9" s="29"/>
      <c r="B9" t="s" s="19">
        <v>92</v>
      </c>
      <c r="C9" s="24"/>
      <c r="D9" s="30"/>
      <c r="E9" s="26"/>
      <c r="F9" s="26"/>
      <c r="G9" s="30"/>
      <c r="H9" s="26"/>
      <c r="I9" s="30"/>
      <c r="J9" s="30"/>
      <c r="K9" s="26"/>
      <c r="L9" t="str" s="30" cm="1">
        <f t="array" ref="L9">IF(D9&gt;0,IF($D9&lt;=0,0,D9*H9),"")</f>
      </c>
      <c r="M9" t="str" s="30" cm="1">
        <f t="array" ref="M9">IF(E9&gt;0,IF($D9&lt;=0,0,ROUND(E9*I9,2)),"")</f>
      </c>
      <c r="N9" t="str" s="31" cm="1">
        <f t="array" ref="N9">IF(F9&gt;0,IF($D9&lt;=0,0,ROUND(F9*J9,2)),"")</f>
      </c>
    </row>
    <row r="10" ht="32.5" customHeight="1">
      <c r="A10" t="s" s="18">
        <v>93</v>
      </c>
      <c r="B10" t="s" s="19">
        <v>94</v>
      </c>
      <c r="C10" s="20"/>
      <c r="D10" s="78">
        <v>31.28</v>
      </c>
      <c r="E10" s="21" cm="1">
        <f t="array" ref="E10">D10</f>
        <v>31.28</v>
      </c>
      <c r="F10" s="21" cm="1">
        <f t="array" ref="F10">D10</f>
        <v>31.28</v>
      </c>
      <c r="G10" t="s" s="22">
        <v>27</v>
      </c>
      <c r="H10" s="21">
        <v>1768272.6</v>
      </c>
      <c r="I10" s="21">
        <v>1768211.24</v>
      </c>
      <c r="J10" s="21">
        <v>1768211.24</v>
      </c>
      <c r="K10" s="21">
        <v>11</v>
      </c>
      <c r="L10" s="21" cm="1">
        <f t="array" ref="L10">IF(D10&gt;0,IF($D10&lt;=0,0,D10*H10),"")</f>
        <v>55311566.928</v>
      </c>
      <c r="M10" s="21" cm="1">
        <f t="array" ref="M10">IF(E10&gt;0,IF($D10&lt;=0,0,ROUND(E10*I10,2)),"")</f>
        <v>55309647.59</v>
      </c>
      <c r="N10" s="23" cm="1">
        <f t="array" ref="N10">IF(F10&gt;0,IF($D10&lt;=0,0,ROUND(F10*J10,2)),"")</f>
        <v>55309647.59</v>
      </c>
    </row>
    <row r="11" ht="20.5" customHeight="1">
      <c r="A11" t="s" s="18">
        <v>95</v>
      </c>
      <c r="B11" t="s" s="19">
        <v>96</v>
      </c>
      <c r="C11" s="24"/>
      <c r="D11" s="25">
        <v>6.28</v>
      </c>
      <c r="E11" s="26" cm="1">
        <f t="array" ref="E11">D11</f>
        <v>6.28</v>
      </c>
      <c r="F11" s="26" cm="1">
        <f t="array" ref="F11">D11</f>
        <v>6.28</v>
      </c>
      <c r="G11" t="s" s="27">
        <v>27</v>
      </c>
      <c r="H11" s="26">
        <v>1002584.41</v>
      </c>
      <c r="I11" s="26">
        <v>1002584.41</v>
      </c>
      <c r="J11" s="26">
        <v>1002584.41</v>
      </c>
      <c r="K11" s="26">
        <v>11</v>
      </c>
      <c r="L11" s="26" cm="1">
        <f t="array" ref="L11">IF(D11&gt;0,IF($D11&lt;=0,0,D11*H11),"")</f>
        <v>6296230.0948</v>
      </c>
      <c r="M11" s="26" cm="1">
        <f t="array" ref="M11">IF(E11&gt;0,IF($D11&lt;=0,0,ROUND(E11*I11,2)),"")</f>
        <v>6296230.09</v>
      </c>
      <c r="N11" s="28" cm="1">
        <f t="array" ref="N11">IF(F11&gt;0,IF($D11&lt;=0,0,ROUND(F11*J11,2)),"")</f>
        <v>6296230.09</v>
      </c>
    </row>
    <row r="12" ht="20.5" customHeight="1">
      <c r="A12" t="s" s="18">
        <v>97</v>
      </c>
      <c r="B12" t="s" s="19">
        <v>98</v>
      </c>
      <c r="C12" s="20"/>
      <c r="D12" s="21">
        <v>2.5</v>
      </c>
      <c r="E12" s="21" cm="1">
        <f t="array" ref="E12">D12</f>
        <v>2.5</v>
      </c>
      <c r="F12" s="21" cm="1">
        <f t="array" ref="F12">D12</f>
        <v>2.5</v>
      </c>
      <c r="G12" t="s" s="22">
        <v>27</v>
      </c>
      <c r="H12" s="21">
        <v>1542982.08</v>
      </c>
      <c r="I12" s="32">
        <v>1542982.08</v>
      </c>
      <c r="J12" s="32">
        <v>1542982.08</v>
      </c>
      <c r="K12" s="21">
        <v>11</v>
      </c>
      <c r="L12" s="21" cm="1">
        <f t="array" ref="L12">IF(D12&gt;0,IF($D12&lt;=0,0,D12*H12),"")</f>
        <v>3857455.2</v>
      </c>
      <c r="M12" s="21" cm="1">
        <f t="array" ref="M12">IF(E12&gt;0,IF($D12&lt;=0,0,ROUND(E12*I12,2)),"")</f>
        <v>3857455.2</v>
      </c>
      <c r="N12" s="23" cm="1">
        <f t="array" ref="N12">IF(F12&gt;0,IF($D12&lt;=0,0,ROUND(F12*J12,2)),"")</f>
        <v>3857455.2</v>
      </c>
    </row>
    <row r="13" ht="20.5" customHeight="1">
      <c r="A13" t="s" s="18">
        <v>99</v>
      </c>
      <c r="B13" t="s" s="19">
        <v>100</v>
      </c>
      <c r="C13" s="24"/>
      <c r="D13" s="26">
        <v>2411.07</v>
      </c>
      <c r="E13" s="26" cm="1">
        <f t="array" ref="E13">D13</f>
        <v>2411.07</v>
      </c>
      <c r="F13" s="26" cm="1">
        <f t="array" ref="F13">D13</f>
        <v>2411.07</v>
      </c>
      <c r="G13" t="s" s="27">
        <v>101</v>
      </c>
      <c r="H13" s="26">
        <v>23089.13</v>
      </c>
      <c r="I13" s="26">
        <v>23080.5</v>
      </c>
      <c r="J13" s="26">
        <v>23080.5</v>
      </c>
      <c r="K13" s="26">
        <v>11</v>
      </c>
      <c r="L13" s="26" cm="1">
        <f t="array" ref="L13">IF(D13&gt;0,IF($D13&lt;=0,0,D13*H13),"")</f>
        <v>55669508.6691</v>
      </c>
      <c r="M13" s="26" cm="1">
        <f t="array" ref="M13">IF(E13&gt;0,IF($D13&lt;=0,0,ROUND(E13*I13,2)),"")</f>
        <v>55648701.14</v>
      </c>
      <c r="N13" s="28" cm="1">
        <f t="array" ref="N13">IF(F13&gt;0,IF($D13&lt;=0,0,ROUND(F13*J13,2)),"")</f>
        <v>55648701.14</v>
      </c>
    </row>
    <row r="14" ht="20.5" customHeight="1">
      <c r="A14" t="s" s="18">
        <v>102</v>
      </c>
      <c r="B14" t="s" s="19">
        <v>103</v>
      </c>
      <c r="C14" s="20"/>
      <c r="D14" s="21">
        <v>49.79</v>
      </c>
      <c r="E14" s="21" cm="1">
        <f t="array" ref="E14">D14</f>
        <v>49.79</v>
      </c>
      <c r="F14" s="21" cm="1">
        <f t="array" ref="F14">D14</f>
        <v>49.79</v>
      </c>
      <c r="G14" t="s" s="22">
        <v>27</v>
      </c>
      <c r="H14" s="21">
        <v>805260.4300000001</v>
      </c>
      <c r="I14" s="21">
        <v>805125.5</v>
      </c>
      <c r="J14" s="21">
        <v>805125.5</v>
      </c>
      <c r="K14" s="21">
        <v>11</v>
      </c>
      <c r="L14" s="21" cm="1">
        <f t="array" ref="L14">IF(D14&gt;0,IF($D14&lt;=0,0,D14*H14),"")</f>
        <v>40093916.8097</v>
      </c>
      <c r="M14" s="21" cm="1">
        <f t="array" ref="M14">IF(E14&gt;0,IF($D14&lt;=0,0,ROUND(E14*I14,2)),"")</f>
        <v>40087198.65</v>
      </c>
      <c r="N14" s="23" cm="1">
        <f t="array" ref="N14">IF(F14&gt;0,IF($D14&lt;=0,0,ROUND(F14*J14,2)),"")</f>
        <v>40087198.65</v>
      </c>
    </row>
    <row r="15" ht="32.5" customHeight="1">
      <c r="A15" s="29"/>
      <c r="B15" t="s" s="19">
        <v>104</v>
      </c>
      <c r="C15" s="24"/>
      <c r="D15" s="30"/>
      <c r="E15" s="26"/>
      <c r="F15" s="26"/>
      <c r="G15" s="30"/>
      <c r="H15" s="26"/>
      <c r="I15" s="30"/>
      <c r="J15" s="30"/>
      <c r="K15" s="26"/>
      <c r="L15" t="str" s="30" cm="1">
        <f t="array" ref="L15">IF(D15&gt;0,IF($D15&lt;=0,0,D15*H15),"")</f>
      </c>
      <c r="M15" t="str" s="30" cm="1">
        <f t="array" ref="M15">IF(E15&gt;0,IF($D15&lt;=0,0,ROUND(E15*I15,2)),"")</f>
      </c>
      <c r="N15" t="str" s="31" cm="1">
        <f t="array" ref="N15">IF(F15&gt;0,IF($D15&lt;=0,0,ROUND(F15*J15,2)),"")</f>
      </c>
    </row>
    <row r="16" ht="20.5" customHeight="1">
      <c r="A16" t="s" s="18">
        <v>105</v>
      </c>
      <c r="B16" t="s" s="19">
        <v>106</v>
      </c>
      <c r="C16" s="20"/>
      <c r="D16" s="78">
        <v>70</v>
      </c>
      <c r="E16" s="21" cm="1">
        <f t="array" ref="E16">D16</f>
        <v>70</v>
      </c>
      <c r="F16" s="21" cm="1">
        <f t="array" ref="F16">D16</f>
        <v>70</v>
      </c>
      <c r="G16" t="s" s="22">
        <v>107</v>
      </c>
      <c r="H16" s="21">
        <v>49007.67</v>
      </c>
      <c r="I16" s="21">
        <v>49007.67</v>
      </c>
      <c r="J16" s="21">
        <v>49007.67</v>
      </c>
      <c r="K16" s="21">
        <v>11</v>
      </c>
      <c r="L16" s="21" cm="1">
        <f t="array" ref="L16">IF(D16&gt;0,IF($D16&lt;=0,0,D16*H16),"")</f>
        <v>3430536.9</v>
      </c>
      <c r="M16" s="21" cm="1">
        <f t="array" ref="M16">IF(E16&gt;0,IF($D16&lt;=0,0,ROUND(E16*I16,2)),"")</f>
        <v>3430536.9</v>
      </c>
      <c r="N16" s="23" cm="1">
        <f t="array" ref="N16">IF(F16&gt;0,IF($D16&lt;=0,0,ROUND(F16*J16,2)),"")</f>
        <v>3430536.9</v>
      </c>
    </row>
    <row r="17" ht="20.5" customHeight="1">
      <c r="A17" s="29"/>
      <c r="B17" t="s" s="19">
        <v>36</v>
      </c>
      <c r="C17" s="24"/>
      <c r="D17" s="26"/>
      <c r="E17" s="26"/>
      <c r="F17" s="26"/>
      <c r="G17" s="30"/>
      <c r="H17" s="30"/>
      <c r="I17" s="30"/>
      <c r="J17" s="30"/>
      <c r="K17" s="26"/>
      <c r="L17" t="str" s="30" cm="1">
        <f t="array" ref="L17">IF(D17&gt;0,IF($D17&lt;=0,0,D17*H17),"")</f>
      </c>
      <c r="M17" s="26"/>
      <c r="N17" s="28"/>
    </row>
    <row r="18" ht="20.6" customHeight="1">
      <c r="A18" s="33">
        <v>1</v>
      </c>
      <c r="B18" t="s" s="34">
        <v>37</v>
      </c>
      <c r="C18" s="35"/>
      <c r="D18" s="36">
        <v>1</v>
      </c>
      <c r="E18" s="36" cm="1">
        <f t="array" ref="E18">D18</f>
        <v>1</v>
      </c>
      <c r="F18" s="36" cm="1">
        <f t="array" ref="F18">D18</f>
        <v>1</v>
      </c>
      <c r="G18" t="s" s="37">
        <v>19</v>
      </c>
      <c r="H18" s="36">
        <v>391555.22</v>
      </c>
      <c r="I18" s="36">
        <v>391332.42</v>
      </c>
      <c r="J18" s="36">
        <v>391332.42</v>
      </c>
      <c r="K18" s="36">
        <v>0</v>
      </c>
      <c r="L18" s="36" cm="1">
        <f t="array" ref="L18">IF(D18&gt;0,IF($D18&lt;=0,0,D18*H18),"")</f>
        <v>391555.22</v>
      </c>
      <c r="M18" s="36" cm="1">
        <f t="array" ref="M18">IF(E18&gt;0,IF($D18&lt;=0,0,ROUND(E18*I18,2)),"")</f>
        <v>391332.42</v>
      </c>
      <c r="N18" s="38" cm="1">
        <f t="array" ref="N18">IF(F18&gt;0,IF($D18&lt;=0,0,ROUND(F18*J18,2)),"")</f>
        <v>391332.42</v>
      </c>
    </row>
    <row r="19" ht="8.75" customHeight="1" hidden="1">
      <c r="A19" s="39"/>
      <c r="B19" s="40"/>
      <c r="C19" s="41"/>
      <c r="D19" s="42"/>
      <c r="E19" s="42"/>
      <c r="F19" s="42"/>
      <c r="G19" s="43"/>
      <c r="H19" s="42"/>
      <c r="I19" s="42"/>
      <c r="J19" s="42"/>
      <c r="K19" s="42"/>
      <c r="L19" s="42"/>
      <c r="M19" s="42"/>
      <c r="N19" s="44"/>
    </row>
    <row r="20" ht="8.75" customHeight="1" hidden="1">
      <c r="A20" s="39"/>
      <c r="B20" s="40"/>
      <c r="C20" s="45"/>
      <c r="D20" s="46"/>
      <c r="E20" s="46"/>
      <c r="F20" s="46"/>
      <c r="G20" s="47"/>
      <c r="H20" s="46"/>
      <c r="I20" s="46"/>
      <c r="J20" s="46"/>
      <c r="K20" s="46"/>
      <c r="L20" s="46"/>
      <c r="M20" s="46"/>
      <c r="N20" s="48"/>
    </row>
    <row r="21" ht="8.75" customHeight="1" hidden="1">
      <c r="A21" s="39"/>
      <c r="B21" s="40"/>
      <c r="C21" s="41"/>
      <c r="D21" s="42"/>
      <c r="E21" s="42"/>
      <c r="F21" s="42"/>
      <c r="G21" s="43"/>
      <c r="H21" s="42"/>
      <c r="I21" s="42"/>
      <c r="J21" s="42"/>
      <c r="K21" s="42"/>
      <c r="L21" s="42"/>
      <c r="M21" s="42"/>
      <c r="N21" s="44"/>
    </row>
    <row r="22" ht="8.75" customHeight="1" hidden="1">
      <c r="A22" s="39"/>
      <c r="B22" s="40"/>
      <c r="C22" s="45"/>
      <c r="D22" s="46"/>
      <c r="E22" s="46"/>
      <c r="F22" s="46"/>
      <c r="G22" s="47"/>
      <c r="H22" s="46"/>
      <c r="I22" s="46"/>
      <c r="J22" s="46"/>
      <c r="K22" s="46"/>
      <c r="L22" s="46"/>
      <c r="M22" s="46"/>
      <c r="N22" s="48"/>
    </row>
    <row r="23" ht="8.75" customHeight="1" hidden="1">
      <c r="A23" s="39"/>
      <c r="B23" s="40"/>
      <c r="C23" s="41"/>
      <c r="D23" s="42"/>
      <c r="E23" s="42"/>
      <c r="F23" s="42"/>
      <c r="G23" s="43"/>
      <c r="H23" s="42"/>
      <c r="I23" s="42"/>
      <c r="J23" s="42"/>
      <c r="K23" s="42"/>
      <c r="L23" s="42"/>
      <c r="M23" s="42"/>
      <c r="N23" s="44"/>
    </row>
    <row r="24" ht="8.75" customHeight="1" hidden="1">
      <c r="A24" s="39"/>
      <c r="B24" s="40"/>
      <c r="C24" s="45"/>
      <c r="D24" s="46"/>
      <c r="E24" s="46"/>
      <c r="F24" s="46"/>
      <c r="G24" s="47"/>
      <c r="H24" s="46"/>
      <c r="I24" s="46"/>
      <c r="J24" s="46"/>
      <c r="K24" s="46"/>
      <c r="L24" s="46"/>
      <c r="M24" s="46"/>
      <c r="N24" s="48"/>
    </row>
    <row r="25" ht="8.75" customHeight="1" hidden="1">
      <c r="A25" s="39"/>
      <c r="B25" s="40"/>
      <c r="C25" s="41"/>
      <c r="D25" s="42"/>
      <c r="E25" s="42"/>
      <c r="F25" s="42"/>
      <c r="G25" s="43"/>
      <c r="H25" s="43"/>
      <c r="I25" s="43"/>
      <c r="J25" s="43"/>
      <c r="K25" s="42"/>
      <c r="L25" s="43"/>
      <c r="M25" s="43"/>
      <c r="N25" s="49"/>
    </row>
    <row r="26" ht="8.75" customHeight="1" hidden="1">
      <c r="A26" s="39"/>
      <c r="B26" s="40"/>
      <c r="C26" s="45"/>
      <c r="D26" s="46"/>
      <c r="E26" s="46"/>
      <c r="F26" s="46"/>
      <c r="G26" s="47"/>
      <c r="H26" s="50"/>
      <c r="I26" s="50"/>
      <c r="J26" s="50"/>
      <c r="K26" s="46"/>
      <c r="L26" s="46"/>
      <c r="M26" s="46"/>
      <c r="N26" s="48"/>
    </row>
    <row r="27" ht="8.75" customHeight="1" hidden="1">
      <c r="A27" s="39"/>
      <c r="B27" s="40"/>
      <c r="C27" s="41"/>
      <c r="D27" s="42"/>
      <c r="E27" s="42"/>
      <c r="F27" s="42"/>
      <c r="G27" s="43"/>
      <c r="H27" s="43"/>
      <c r="I27" s="43"/>
      <c r="J27" s="43"/>
      <c r="K27" s="42"/>
      <c r="L27" s="43"/>
      <c r="M27" s="43"/>
      <c r="N27" s="49"/>
    </row>
    <row r="28" ht="8.75" customHeight="1" hidden="1">
      <c r="A28" s="39"/>
      <c r="B28" s="40"/>
      <c r="C28" s="45"/>
      <c r="D28" s="46"/>
      <c r="E28" s="46"/>
      <c r="F28" s="46"/>
      <c r="G28" s="47"/>
      <c r="H28" s="46"/>
      <c r="I28" s="46"/>
      <c r="J28" s="46"/>
      <c r="K28" s="46"/>
      <c r="L28" s="46"/>
      <c r="M28" s="46"/>
      <c r="N28" s="48"/>
    </row>
    <row r="29" ht="8.75" customHeight="1" hidden="1">
      <c r="A29" s="39"/>
      <c r="B29" s="40"/>
      <c r="C29" s="41"/>
      <c r="D29" s="42"/>
      <c r="E29" s="42"/>
      <c r="F29" s="42"/>
      <c r="G29" s="43"/>
      <c r="H29" s="42"/>
      <c r="I29" s="42"/>
      <c r="J29" s="42"/>
      <c r="K29" s="42"/>
      <c r="L29" s="42"/>
      <c r="M29" s="42"/>
      <c r="N29" s="44"/>
    </row>
    <row r="30" ht="8.75" customHeight="1" hidden="1">
      <c r="A30" s="51"/>
      <c r="B30" s="40"/>
      <c r="C30" s="45"/>
      <c r="D30" s="46"/>
      <c r="E30" s="46"/>
      <c r="F30" s="46"/>
      <c r="G30" s="47"/>
      <c r="H30" s="46"/>
      <c r="I30" s="46"/>
      <c r="J30" s="46"/>
      <c r="K30" s="46"/>
      <c r="L30" s="46"/>
      <c r="M30" s="46"/>
      <c r="N30" s="48"/>
    </row>
    <row r="31" ht="8.75" customHeight="1" hidden="1">
      <c r="A31" s="51"/>
      <c r="B31" s="40"/>
      <c r="C31" s="41"/>
      <c r="D31" s="42"/>
      <c r="E31" s="42"/>
      <c r="F31" s="42"/>
      <c r="G31" s="43"/>
      <c r="H31" s="42"/>
      <c r="I31" s="42"/>
      <c r="J31" s="42"/>
      <c r="K31" s="42"/>
      <c r="L31" s="42"/>
      <c r="M31" s="42"/>
      <c r="N31" s="44"/>
    </row>
    <row r="32" ht="8.75" customHeight="1" hidden="1">
      <c r="A32" s="39"/>
      <c r="B32" s="40"/>
      <c r="C32" s="45"/>
      <c r="D32" s="46"/>
      <c r="E32" s="46"/>
      <c r="F32" s="46"/>
      <c r="G32" s="47"/>
      <c r="H32" s="46"/>
      <c r="I32" s="46"/>
      <c r="J32" s="46"/>
      <c r="K32" s="46"/>
      <c r="L32" s="47"/>
      <c r="M32" s="47"/>
      <c r="N32" s="52"/>
    </row>
    <row r="33" ht="8.75" customHeight="1" hidden="1">
      <c r="A33" s="39"/>
      <c r="B33" s="40"/>
      <c r="C33" s="41"/>
      <c r="D33" s="42"/>
      <c r="E33" s="42"/>
      <c r="F33" s="42"/>
      <c r="G33" s="43"/>
      <c r="H33" s="42"/>
      <c r="I33" s="42"/>
      <c r="J33" s="42"/>
      <c r="K33" s="42"/>
      <c r="L33" s="42"/>
      <c r="M33" s="42"/>
      <c r="N33" s="44"/>
    </row>
    <row r="34" ht="8.75" customHeight="1" hidden="1">
      <c r="A34" s="39"/>
      <c r="B34" s="40"/>
      <c r="C34" s="45"/>
      <c r="D34" s="46"/>
      <c r="E34" s="46"/>
      <c r="F34" s="46"/>
      <c r="G34" s="47"/>
      <c r="H34" s="46"/>
      <c r="I34" s="46"/>
      <c r="J34" s="46"/>
      <c r="K34" s="46"/>
      <c r="L34" s="47"/>
      <c r="M34" s="47"/>
      <c r="N34" s="52"/>
    </row>
    <row r="35" ht="20.85" customHeight="1">
      <c r="A35" s="53"/>
      <c r="B35" s="54"/>
      <c r="C35" s="54"/>
      <c r="D35" s="55"/>
      <c r="E35" s="55"/>
      <c r="F35" s="55"/>
      <c r="G35" s="56"/>
      <c r="H35" s="56"/>
      <c r="I35" s="54"/>
      <c r="J35" s="57"/>
      <c r="K35" t="s" s="58">
        <v>38</v>
      </c>
      <c r="L35" s="59" cm="1">
        <f t="array" ref="L35">SUM(L1:L34)</f>
        <v>180157647.0752</v>
      </c>
      <c r="M35" s="59" cm="1">
        <f t="array" ref="M35">SUM(M1:M34)</f>
        <v>180040150.77</v>
      </c>
      <c r="N35" s="59" cm="1">
        <f t="array" ref="N35">SUM(N1:N34)</f>
        <v>180040150.77</v>
      </c>
    </row>
    <row r="36" ht="21" customHeight="1">
      <c r="A36" s="60"/>
      <c r="B36" t="s" s="61">
        <v>39</v>
      </c>
      <c r="C36" s="62"/>
      <c r="D36" s="63" cm="1">
        <f t="array" ref="D36">ROUND(IF(L36&lt;=100000000,L36*0.24%,IF(AND(L36&gt;100000000,L36&lt;=500000000),100000000*0.24%+(L36-100000000)*0.19%,IF(AND(L36&gt;500000000,L36&lt;=1000000000),100000000*0.24%+400000000*0.19%+(L36-500000000)*0.15%,IF(AND(L36&gt;1000000000,L36&lt;=5000000000),100000000*0.24%+400000000*0.19%+500000000*0.15%+(L36-1000000000)*0.12%,IF(L36&gt;5000000000,100000000*0.24%+400000000*0.19%+500000000*0.15%+4000000000*0.12%+(L36-5000000000)*0.1%,"Bingung komputer"))))),2)</f>
        <v>391555.57</v>
      </c>
      <c r="E36" s="64" cm="1">
        <f t="array" ref="E36">ROUND(IF(M36&lt;=100000000,M36*0.24%,IF(AND(M36&gt;100000000,M36&lt;=500000000),100000000*0.24%+(M36-100000000)*0.19%,IF(AND(M36&gt;500000000,M36&lt;=1000000000),100000000*0.24%+400000000*0.19%+(M36-500000000)*0.15%,IF(AND(M36&gt;1000000000,M36&lt;=5000000000),100000000*0.24%+400000000*0.19%+500000000*0.15%+(M36-1000000000)*0.12%,IF(M36&gt;5000000000,100000000*0.24%+400000000*0.19%+500000000*0.15%+4000000000*0.12%+(M36-5000000000)*0.1%,"Bingung komputer"))))),2)</f>
        <v>391332.75</v>
      </c>
      <c r="F36" s="64" cm="1">
        <f t="array" ref="F36">ROUND(IF(N36&lt;=100000000,N36*0.24%,IF(AND(N36&gt;100000000,N36&lt;=500000000),100000000*0.24%+(N36-100000000)*0.19%,IF(AND(N36&gt;500000000,N36&lt;=1000000000),100000000*0.24%+400000000*0.19%+(N36-500000000)*0.15%,IF(AND(N36&gt;1000000000,N36&lt;=5000000000),100000000*0.24%+400000000*0.19%+500000000*0.15%+(N36-1000000000)*0.12%,IF(N36&gt;5000000000,100000000*0.24%+400000000*0.19%+500000000*0.15%+4000000000*0.12%+(N36-5000000000)*0.1%,"Bingung komputer"))))),2)</f>
        <v>391332.75</v>
      </c>
      <c r="G36" s="65"/>
      <c r="H36" s="66"/>
      <c r="I36" s="62"/>
      <c r="J36" s="67"/>
      <c r="K36" t="str" s="67" cm="1">
        <f t="array" ref="K36">"Jumlah Terkena Pajak "&amp;MAX(K3:K34)&amp;"% (B)"</f>
        <v>Jumlah Terkena Pajak 11,00% (B)</v>
      </c>
      <c r="L36" s="68" cm="1">
        <f t="array" ref="L36">SUMIF($K3:$K34,"&gt;0",L3:L34)</f>
        <v>179766091.8552</v>
      </c>
      <c r="M36" s="69" cm="1">
        <f t="array" ref="M36">SUMIF($K3:$K34,"&gt;0",M3:M34)</f>
        <v>179648818.35</v>
      </c>
      <c r="N36" s="69" cm="1">
        <f t="array" ref="N36">SUMIF($K3:$K34,"&gt;0",N3:N34)</f>
        <v>179648818.35</v>
      </c>
    </row>
    <row r="37" ht="21" customHeight="1">
      <c r="A37" s="70"/>
      <c r="B37" s="71"/>
      <c r="C37" s="71"/>
      <c r="D37" s="72"/>
      <c r="E37" s="72"/>
      <c r="F37" s="71"/>
      <c r="G37" s="72"/>
      <c r="H37" s="72"/>
      <c r="I37" s="71"/>
      <c r="J37" s="73"/>
      <c r="K37" t="str" s="73" cm="1">
        <f t="array" ref="K37">"PPN (C) = "&amp;MAX(K3:K34)&amp;"% x B"</f>
        <v>PPN (C) = 11,00% x B</v>
      </c>
      <c r="L37" s="74" cm="1">
        <f t="array" ref="L37">L36*MAX($K3:$K34)%</f>
        <v>19774270.104072</v>
      </c>
      <c r="M37" s="69" cm="1">
        <f t="array" ref="M37">M36*MAX($K3:$K34)%</f>
        <v>19761370.0185</v>
      </c>
      <c r="N37" s="69" cm="1">
        <f t="array" ref="N37">N36*MAX($K3:$K34)%</f>
        <v>19761370.0185</v>
      </c>
    </row>
    <row r="38" ht="21" customHeight="1">
      <c r="A38" s="70"/>
      <c r="B38" s="71"/>
      <c r="C38" s="71"/>
      <c r="D38" s="72"/>
      <c r="E38" s="72"/>
      <c r="F38" s="72"/>
      <c r="G38" s="72"/>
      <c r="H38" s="72"/>
      <c r="I38" s="71"/>
      <c r="J38" s="73"/>
      <c r="K38" t="s" s="75">
        <v>42</v>
      </c>
      <c r="L38" s="76" cm="1">
        <f t="array" ref="L38">L35+L37</f>
        <v>199931917.179272</v>
      </c>
      <c r="M38" s="69" cm="1">
        <f t="array" ref="M38">M35+M37</f>
        <v>199801520.7885</v>
      </c>
      <c r="N38" s="69" cm="1">
        <f t="array" ref="N38">N35+N37</f>
        <v>199801520.7885</v>
      </c>
    </row>
    <row r="39" ht="20.5" customHeight="1">
      <c r="A39" s="70"/>
      <c r="B39" s="71"/>
      <c r="C39" s="71"/>
      <c r="D39" s="72"/>
      <c r="E39" s="72"/>
      <c r="F39" s="72"/>
      <c r="G39" s="72"/>
      <c r="H39" s="72"/>
      <c r="I39" s="71"/>
      <c r="J39" s="73"/>
      <c r="K39" t="s" s="75">
        <v>43</v>
      </c>
      <c r="L39" s="68" cm="1">
        <f t="array" ref="L39">ROUNDDOWN(L38,2)</f>
        <v>199931917.17</v>
      </c>
      <c r="M39" s="68" cm="1">
        <f t="array" ref="M39">ROUNDDOWN(M38,2)</f>
        <v>199801520.78</v>
      </c>
      <c r="N39" s="68" cm="1">
        <f t="array" ref="N39">ROUNDDOWN(N38,-3)</f>
        <v>199801000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N31"/>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107" customWidth="1"/>
    <col min="2" max="2" width="43.0312" style="107" customWidth="1"/>
    <col min="3" max="3" width="2.75" style="107" customWidth="1"/>
    <col min="4" max="6" width="10.3672" style="107" customWidth="1"/>
    <col min="7" max="7" width="11.6875" style="107" customWidth="1"/>
    <col min="8" max="11" width="13.5156" style="107" customWidth="1"/>
    <col min="12" max="14" width="14.2344" style="107" customWidth="1"/>
    <col min="15" max="16384" width="16.3516" style="107"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109</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s="95">
        <v>1</v>
      </c>
      <c r="B4" t="s" s="19">
        <v>110</v>
      </c>
      <c r="C4" s="20"/>
      <c r="D4" s="21">
        <v>1</v>
      </c>
      <c r="E4" s="21" cm="1">
        <f t="array" ref="E4">D4</f>
        <v>1</v>
      </c>
      <c r="F4" s="21" cm="1">
        <f t="array" ref="F4">D4</f>
        <v>1</v>
      </c>
      <c r="G4" t="s" s="22">
        <v>19</v>
      </c>
      <c r="H4" s="21" cm="1">
        <f t="array" ref="H4">ROUNDDOWN((F$30*0.1)*100/111,-2)</f>
        <v>2247300</v>
      </c>
      <c r="I4" s="21">
        <v>2230000</v>
      </c>
      <c r="J4" s="21">
        <v>2230000</v>
      </c>
      <c r="K4" s="21">
        <v>11</v>
      </c>
      <c r="L4" s="21" cm="1">
        <f t="array" ref="L4">IF(D4&gt;0,IF($D4&lt;=0,0,D4*H4),"")</f>
        <v>2247300</v>
      </c>
      <c r="M4" s="21" cm="1">
        <f t="array" ref="M4">IF(E4&gt;0,IF($D4&lt;=0,0,ROUND(E4*I4,2)),"")</f>
        <v>2230000</v>
      </c>
      <c r="N4" s="23" cm="1">
        <f t="array" ref="N4">IF(F4&gt;0,IF($D4&lt;=0,0,ROUND(F4*J4,2)),"")</f>
        <v>2230000</v>
      </c>
    </row>
    <row r="5" ht="20.5" customHeight="1">
      <c r="A5" s="95">
        <v>2</v>
      </c>
      <c r="B5" t="s" s="19">
        <v>111</v>
      </c>
      <c r="C5" s="24"/>
      <c r="D5" s="26">
        <v>1</v>
      </c>
      <c r="E5" s="26" cm="1">
        <f t="array" ref="E5">D5</f>
        <v>1</v>
      </c>
      <c r="F5" s="26" cm="1">
        <f t="array" ref="F5">D5</f>
        <v>1</v>
      </c>
      <c r="G5" t="s" s="27">
        <v>19</v>
      </c>
      <c r="H5" s="26" cm="1">
        <f t="array" ref="H5">ROUNDDOWN((F$30*0.2)*100/111,-2)</f>
        <v>4494700</v>
      </c>
      <c r="I5" s="26">
        <v>4490000</v>
      </c>
      <c r="J5" s="26">
        <v>4490000</v>
      </c>
      <c r="K5" s="26">
        <v>11</v>
      </c>
      <c r="L5" s="26" cm="1">
        <f t="array" ref="L5">IF(D5&gt;0,IF($D5&lt;=0,0,D5*H5),"")</f>
        <v>4494700</v>
      </c>
      <c r="M5" s="26" cm="1">
        <f t="array" ref="M5">IF(E5&gt;0,IF($D5&lt;=0,0,ROUND(E5*I5,2)),"")</f>
        <v>4490000</v>
      </c>
      <c r="N5" s="28" cm="1">
        <f t="array" ref="N5">IF(F5&gt;0,IF($D5&lt;=0,0,ROUND(F5*J5,2)),"")</f>
        <v>4490000</v>
      </c>
    </row>
    <row r="6" ht="20.5" customHeight="1">
      <c r="A6" s="95">
        <v>3</v>
      </c>
      <c r="B6" t="s" s="19">
        <v>112</v>
      </c>
      <c r="C6" s="20"/>
      <c r="D6" s="21">
        <v>1</v>
      </c>
      <c r="E6" s="21" cm="1">
        <f t="array" ref="E6">D6</f>
        <v>1</v>
      </c>
      <c r="F6" s="21" cm="1">
        <f t="array" ref="F6">D6</f>
        <v>1</v>
      </c>
      <c r="G6" t="s" s="22">
        <v>19</v>
      </c>
      <c r="H6" s="21" cm="1">
        <f t="array" ref="H6">ROUNDDOWN((F$30*0.25)*100/111,-2)</f>
        <v>5618400</v>
      </c>
      <c r="I6" s="21">
        <v>5600000</v>
      </c>
      <c r="J6" s="21">
        <v>5600000</v>
      </c>
      <c r="K6" s="21">
        <v>11</v>
      </c>
      <c r="L6" s="21" cm="1">
        <f t="array" ref="L6">IF(D6&gt;0,IF($D6&lt;=0,0,D6*H6),"")</f>
        <v>5618400</v>
      </c>
      <c r="M6" s="21" cm="1">
        <f t="array" ref="M6">IF(E6&gt;0,IF($D6&lt;=0,0,ROUND(E6*I6,2)),"")</f>
        <v>5600000</v>
      </c>
      <c r="N6" s="23" cm="1">
        <f t="array" ref="N6">IF(F6&gt;0,IF($D6&lt;=0,0,ROUND(F6*J6,2)),"")</f>
        <v>5600000</v>
      </c>
    </row>
    <row r="7" ht="68.5" customHeight="1">
      <c r="A7" s="95">
        <v>5</v>
      </c>
      <c r="B7" t="s" s="19">
        <v>113</v>
      </c>
      <c r="C7" s="24"/>
      <c r="D7" s="26">
        <v>1</v>
      </c>
      <c r="E7" s="26" cm="1">
        <f t="array" ref="E7">D7</f>
        <v>1</v>
      </c>
      <c r="F7" s="26" cm="1">
        <f t="array" ref="F7">D7</f>
        <v>1</v>
      </c>
      <c r="G7" t="s" s="27">
        <v>19</v>
      </c>
      <c r="H7" s="26" cm="1">
        <f t="array" ref="H7">ROUNDDOWN((F$30*0.25)*100/111,-2)</f>
        <v>5618400</v>
      </c>
      <c r="I7" s="26">
        <v>5600000</v>
      </c>
      <c r="J7" s="26">
        <v>5600000</v>
      </c>
      <c r="K7" s="26">
        <v>11</v>
      </c>
      <c r="L7" s="26" cm="1">
        <f t="array" ref="L7">IF(D7&gt;0,IF($D7&lt;=0,0,D7*H7),"")</f>
        <v>5618400</v>
      </c>
      <c r="M7" s="26" cm="1">
        <f t="array" ref="M7">IF(E7&gt;0,IF($D7&lt;=0,0,ROUND(E7*I7,2)),"")</f>
        <v>5600000</v>
      </c>
      <c r="N7" s="28" cm="1">
        <f t="array" ref="N7">IF(F7&gt;0,IF($D7&lt;=0,0,ROUND(F7*J7,2)),"")</f>
        <v>5600000</v>
      </c>
    </row>
    <row r="8" ht="32.5" customHeight="1">
      <c r="A8" s="95">
        <v>6</v>
      </c>
      <c r="B8" t="s" s="19">
        <v>114</v>
      </c>
      <c r="C8" s="20"/>
      <c r="D8" s="21">
        <v>1</v>
      </c>
      <c r="E8" s="21" cm="1">
        <f t="array" ref="E8">D8</f>
        <v>1</v>
      </c>
      <c r="F8" s="21" cm="1">
        <f t="array" ref="F8">D8</f>
        <v>1</v>
      </c>
      <c r="G8" t="s" s="22">
        <v>19</v>
      </c>
      <c r="H8" s="21" cm="1">
        <f t="array" ref="H8">ROUNDDOWN((F$30*0.05)*100/111,-2)</f>
        <v>1123600</v>
      </c>
      <c r="I8" s="21">
        <v>1125000</v>
      </c>
      <c r="J8" s="21">
        <v>1125000</v>
      </c>
      <c r="K8" s="21">
        <v>11</v>
      </c>
      <c r="L8" s="21" cm="1">
        <f t="array" ref="L8">IF(D8&gt;0,IF($D8&lt;=0,0,D8*H8),"")</f>
        <v>1123600</v>
      </c>
      <c r="M8" s="21" cm="1">
        <f t="array" ref="M8">IF(E8&gt;0,IF($D8&lt;=0,0,ROUND(E8*I8,2)),"")</f>
        <v>1125000</v>
      </c>
      <c r="N8" s="23" cm="1">
        <f t="array" ref="N8">IF(F8&gt;0,IF($D8&lt;=0,0,ROUND(F8*J8,2)),"")</f>
        <v>1125000</v>
      </c>
    </row>
    <row r="9" ht="20.5" customHeight="1">
      <c r="A9" s="95">
        <v>7</v>
      </c>
      <c r="B9" t="s" s="19">
        <v>115</v>
      </c>
      <c r="C9" s="24"/>
      <c r="D9" s="26">
        <v>1</v>
      </c>
      <c r="E9" s="26" cm="1">
        <f t="array" ref="E9">D9</f>
        <v>1</v>
      </c>
      <c r="F9" s="26" cm="1">
        <f t="array" ref="F9">D9</f>
        <v>1</v>
      </c>
      <c r="G9" t="s" s="27">
        <v>19</v>
      </c>
      <c r="H9" s="26" cm="1">
        <f t="array" ref="H9">ROUNDDOWN((F$30*0.15)*100/111,-2)</f>
        <v>3371000</v>
      </c>
      <c r="I9" s="26">
        <v>3350000</v>
      </c>
      <c r="J9" s="26">
        <v>3350000</v>
      </c>
      <c r="K9" s="26">
        <v>11</v>
      </c>
      <c r="L9" s="26" cm="1">
        <f t="array" ref="L9">IF(D9&gt;0,IF($D9&lt;=0,0,D9*H9),"")</f>
        <v>3371000</v>
      </c>
      <c r="M9" s="26" cm="1">
        <f t="array" ref="M9">IF(E9&gt;0,IF($D9&lt;=0,0,ROUND(E9*I9,2)),"")</f>
        <v>3350000</v>
      </c>
      <c r="N9" s="28" cm="1">
        <f t="array" ref="N9">IF(F9&gt;0,IF($D9&lt;=0,0,ROUND(F9*J9,2)),"")</f>
        <v>3350000</v>
      </c>
    </row>
    <row r="10" ht="20.6" customHeight="1">
      <c r="A10" s="33">
        <v>8</v>
      </c>
      <c r="B10" t="s" s="34">
        <v>37</v>
      </c>
      <c r="C10" s="35"/>
      <c r="D10" s="36">
        <v>1</v>
      </c>
      <c r="E10" s="36" cm="1">
        <f t="array" ref="E10">D10</f>
        <v>1</v>
      </c>
      <c r="F10" s="36" cm="1">
        <f t="array" ref="F10">D10</f>
        <v>1</v>
      </c>
      <c r="G10" t="s" s="37">
        <v>19</v>
      </c>
      <c r="H10" s="36">
        <v>53936.16</v>
      </c>
      <c r="I10" s="36">
        <v>53748</v>
      </c>
      <c r="J10" s="36">
        <v>53748</v>
      </c>
      <c r="K10" s="36">
        <v>0</v>
      </c>
      <c r="L10" s="36" cm="1">
        <f t="array" ref="L10">IF(D10&gt;0,IF($D10&lt;=0,0,D10*H10),"")</f>
        <v>53936.16</v>
      </c>
      <c r="M10" s="36" cm="1">
        <f t="array" ref="M10">IF(E10&gt;0,IF($D10&lt;=0,0,ROUND(E10*I10,2)),"")</f>
        <v>53748</v>
      </c>
      <c r="N10" s="38" cm="1">
        <f t="array" ref="N10">IF(F10&gt;0,IF($D10&lt;=0,0,ROUND(F10*J10,2)),"")</f>
        <v>53748</v>
      </c>
    </row>
    <row r="11" ht="8.75" customHeight="1" hidden="1">
      <c r="A11" s="39"/>
      <c r="B11" s="40"/>
      <c r="C11" s="41"/>
      <c r="D11" s="42"/>
      <c r="E11" s="42"/>
      <c r="F11" s="42"/>
      <c r="G11" s="43"/>
      <c r="H11" s="42"/>
      <c r="I11" s="42"/>
      <c r="J11" s="42"/>
      <c r="K11" s="42"/>
      <c r="L11" s="42"/>
      <c r="M11" s="42"/>
      <c r="N11" s="44"/>
    </row>
    <row r="12" ht="8.75" customHeight="1" hidden="1">
      <c r="A12" s="39"/>
      <c r="B12" s="40"/>
      <c r="C12" s="45"/>
      <c r="D12" s="46"/>
      <c r="E12" s="46"/>
      <c r="F12" s="46"/>
      <c r="G12" s="47"/>
      <c r="H12" s="46"/>
      <c r="I12" s="46"/>
      <c r="J12" s="46"/>
      <c r="K12" s="46"/>
      <c r="L12" s="46"/>
      <c r="M12" s="46"/>
      <c r="N12" s="48"/>
    </row>
    <row r="13" ht="8.75" customHeight="1" hidden="1">
      <c r="A13" s="39"/>
      <c r="B13" s="40"/>
      <c r="C13" s="41"/>
      <c r="D13" s="42"/>
      <c r="E13" s="42"/>
      <c r="F13" s="42"/>
      <c r="G13" s="43"/>
      <c r="H13" s="42"/>
      <c r="I13" s="42"/>
      <c r="J13" s="42"/>
      <c r="K13" s="42"/>
      <c r="L13" s="42"/>
      <c r="M13" s="42"/>
      <c r="N13" s="44"/>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2"/>
      <c r="I15" s="42"/>
      <c r="J15" s="42"/>
      <c r="K15" s="42"/>
      <c r="L15" s="42"/>
      <c r="M15" s="42"/>
      <c r="N15" s="44"/>
    </row>
    <row r="16" ht="8.75" customHeight="1" hidden="1">
      <c r="A16" s="39"/>
      <c r="B16" s="40"/>
      <c r="C16" s="45"/>
      <c r="D16" s="46"/>
      <c r="E16" s="46"/>
      <c r="F16" s="46"/>
      <c r="G16" s="47"/>
      <c r="H16" s="46"/>
      <c r="I16" s="46"/>
      <c r="J16" s="46"/>
      <c r="K16" s="46"/>
      <c r="L16" s="46"/>
      <c r="M16" s="46"/>
      <c r="N16" s="48"/>
    </row>
    <row r="17" ht="8.75" customHeight="1" hidden="1">
      <c r="A17" s="39"/>
      <c r="B17" s="40"/>
      <c r="C17" s="41"/>
      <c r="D17" s="42"/>
      <c r="E17" s="42"/>
      <c r="F17" s="42"/>
      <c r="G17" s="43"/>
      <c r="H17" s="43"/>
      <c r="I17" s="43"/>
      <c r="J17" s="43"/>
      <c r="K17" s="42"/>
      <c r="L17" s="43"/>
      <c r="M17" s="43"/>
      <c r="N17" s="49"/>
    </row>
    <row r="18" ht="8.75" customHeight="1" hidden="1">
      <c r="A18" s="39"/>
      <c r="B18" s="40"/>
      <c r="C18" s="45"/>
      <c r="D18" s="46"/>
      <c r="E18" s="46"/>
      <c r="F18" s="46"/>
      <c r="G18" s="47"/>
      <c r="H18" s="50"/>
      <c r="I18" s="50"/>
      <c r="J18" s="50"/>
      <c r="K18" s="46"/>
      <c r="L18" s="46"/>
      <c r="M18" s="46"/>
      <c r="N18" s="48"/>
    </row>
    <row r="19" ht="8.75" customHeight="1" hidden="1">
      <c r="A19" s="39"/>
      <c r="B19" s="40"/>
      <c r="C19" s="41"/>
      <c r="D19" s="42"/>
      <c r="E19" s="42"/>
      <c r="F19" s="42"/>
      <c r="G19" s="43"/>
      <c r="H19" s="43"/>
      <c r="I19" s="43"/>
      <c r="J19" s="43"/>
      <c r="K19" s="42"/>
      <c r="L19" s="43"/>
      <c r="M19" s="43"/>
      <c r="N19" s="49"/>
    </row>
    <row r="20" ht="8.75" customHeight="1" hidden="1">
      <c r="A20" s="39"/>
      <c r="B20" s="40"/>
      <c r="C20" s="45"/>
      <c r="D20" s="46"/>
      <c r="E20" s="46"/>
      <c r="F20" s="46"/>
      <c r="G20" s="47"/>
      <c r="H20" s="46"/>
      <c r="I20" s="46"/>
      <c r="J20" s="46"/>
      <c r="K20" s="46"/>
      <c r="L20" s="46"/>
      <c r="M20" s="46"/>
      <c r="N20" s="48"/>
    </row>
    <row r="21" ht="8.75" customHeight="1" hidden="1">
      <c r="A21" s="39"/>
      <c r="B21" s="40"/>
      <c r="C21" s="41"/>
      <c r="D21" s="42"/>
      <c r="E21" s="42"/>
      <c r="F21" s="42"/>
      <c r="G21" s="43"/>
      <c r="H21" s="42"/>
      <c r="I21" s="42"/>
      <c r="J21" s="42"/>
      <c r="K21" s="42"/>
      <c r="L21" s="42"/>
      <c r="M21" s="42"/>
      <c r="N21" s="44"/>
    </row>
    <row r="22" ht="8.75" customHeight="1" hidden="1">
      <c r="A22" s="51"/>
      <c r="B22" s="40"/>
      <c r="C22" s="45"/>
      <c r="D22" s="46"/>
      <c r="E22" s="46"/>
      <c r="F22" s="46"/>
      <c r="G22" s="47"/>
      <c r="H22" s="46"/>
      <c r="I22" s="46"/>
      <c r="J22" s="46"/>
      <c r="K22" s="46"/>
      <c r="L22" s="46"/>
      <c r="M22" s="46"/>
      <c r="N22" s="48"/>
    </row>
    <row r="23" ht="8.75" customHeight="1" hidden="1">
      <c r="A23" s="51"/>
      <c r="B23" s="40"/>
      <c r="C23" s="41"/>
      <c r="D23" s="42"/>
      <c r="E23" s="42"/>
      <c r="F23" s="42"/>
      <c r="G23" s="43"/>
      <c r="H23" s="42"/>
      <c r="I23" s="42"/>
      <c r="J23" s="42"/>
      <c r="K23" s="42"/>
      <c r="L23" s="42"/>
      <c r="M23" s="42"/>
      <c r="N23" s="44"/>
    </row>
    <row r="24" ht="8.75" customHeight="1" hidden="1">
      <c r="A24" s="39"/>
      <c r="B24" s="40"/>
      <c r="C24" s="45"/>
      <c r="D24" s="46"/>
      <c r="E24" s="46"/>
      <c r="F24" s="46"/>
      <c r="G24" s="47"/>
      <c r="H24" s="46"/>
      <c r="I24" s="46"/>
      <c r="J24" s="46"/>
      <c r="K24" s="46"/>
      <c r="L24" s="47"/>
      <c r="M24" s="47"/>
      <c r="N24" s="52"/>
    </row>
    <row r="25" ht="8.75" customHeight="1" hidden="1">
      <c r="A25" s="39"/>
      <c r="B25" s="40"/>
      <c r="C25" s="41"/>
      <c r="D25" s="42"/>
      <c r="E25" s="42"/>
      <c r="F25" s="42"/>
      <c r="G25" s="43"/>
      <c r="H25" s="42"/>
      <c r="I25" s="42"/>
      <c r="J25" s="42"/>
      <c r="K25" s="42"/>
      <c r="L25" s="42"/>
      <c r="M25" s="42"/>
      <c r="N25" s="44"/>
    </row>
    <row r="26" ht="8.75" customHeight="1" hidden="1">
      <c r="A26" s="39"/>
      <c r="B26" s="40"/>
      <c r="C26" s="45"/>
      <c r="D26" s="46"/>
      <c r="E26" s="46"/>
      <c r="F26" s="46"/>
      <c r="G26" s="47"/>
      <c r="H26" s="46"/>
      <c r="I26" s="46"/>
      <c r="J26" s="46"/>
      <c r="K26" s="46"/>
      <c r="L26" s="47"/>
      <c r="M26" s="47"/>
      <c r="N26" s="52"/>
    </row>
    <row r="27" ht="20.85" customHeight="1">
      <c r="A27" s="108"/>
      <c r="B27" s="54"/>
      <c r="C27" s="54"/>
      <c r="D27" s="55"/>
      <c r="E27" s="55"/>
      <c r="F27" s="55"/>
      <c r="G27" s="56"/>
      <c r="H27" s="56"/>
      <c r="I27" s="54"/>
      <c r="J27" s="57"/>
      <c r="K27" t="s" s="58">
        <v>38</v>
      </c>
      <c r="L27" s="59" cm="1">
        <f t="array" ref="L27">SUM(L1:L26)</f>
        <v>22527336.16</v>
      </c>
      <c r="M27" s="59" cm="1">
        <f t="array" ref="M27">SUM(M1:M26)</f>
        <v>22448748</v>
      </c>
      <c r="N27" s="59" cm="1">
        <f t="array" ref="N27">SUM(N1:N26)</f>
        <v>22448748</v>
      </c>
    </row>
    <row r="28" ht="21" customHeight="1">
      <c r="A28" s="63" cm="1">
        <f t="array" ref="A28">ROUND(IF(I28&lt;=100000000,I28*0.24%,IF(AND(I28&gt;100000000,I28&lt;=500000000),100000000*0.24%+(I28-100000000)*0.19%,IF(AND(I28&gt;500000000,I28&lt;=1000000000),100000000*0.24%+400000000*0.19%+(I28-500000000)*0.15%,IF(AND(I28&gt;1000000000,I28&lt;=5000000000),100000000*0.24%+400000000*0.19%+500000000*0.15%+(I28-1000000000)*0.12%,IF(I28&gt;5000000000,100000000*0.24%+400000000*0.19%+500000000*0.15%+4000000000*0.12%+(I28-5000000000)*0.1%,"Bingung komputer"))))),2)</f>
        <v>0</v>
      </c>
      <c r="B28" t="s" s="109">
        <v>39</v>
      </c>
      <c r="C28" s="62"/>
      <c r="D28" s="63" cm="1">
        <f t="array" ref="D28">ROUND(IF(L28&lt;=100000000,L28*0.24%,IF(AND(L28&gt;100000000,L28&lt;=500000000),100000000*0.24%+(L28-100000000)*0.19%,IF(AND(L28&gt;500000000,L28&lt;=1000000000),100000000*0.24%+400000000*0.19%+(L28-500000000)*0.15%,IF(AND(L28&gt;1000000000,L28&lt;=5000000000),100000000*0.24%+400000000*0.19%+500000000*0.15%+(L28-1000000000)*0.12%,IF(L28&gt;5000000000,100000000*0.24%+400000000*0.19%+500000000*0.15%+4000000000*0.12%+(L28-5000000000)*0.1%,"Bingung komputer"))))),2)</f>
        <v>53936.16</v>
      </c>
      <c r="E28" s="64" cm="1">
        <f t="array" ref="E28">ROUND(IF(M28&lt;=100000000,M28*0.24%,IF(AND(M28&gt;100000000,M28&lt;=500000000),100000000*0.24%+(M28-100000000)*0.19%,IF(AND(M28&gt;500000000,M28&lt;=1000000000),100000000*0.24%+400000000*0.19%+(M28-500000000)*0.15%,IF(AND(M28&gt;1000000000,M28&lt;=5000000000),100000000*0.24%+400000000*0.19%+500000000*0.15%+(M28-1000000000)*0.12%,IF(M28&gt;5000000000,100000000*0.24%+400000000*0.19%+500000000*0.15%+4000000000*0.12%+(M28-5000000000)*0.1%,"Bingung komputer"))))),2)</f>
        <v>53748</v>
      </c>
      <c r="F28" s="64" cm="1">
        <f t="array" ref="F28">ROUND(IF(N28&lt;=100000000,N28*0.24%,IF(AND(N28&gt;100000000,N28&lt;=500000000),100000000*0.24%+(N28-100000000)*0.19%,IF(AND(N28&gt;500000000,N28&lt;=1000000000),100000000*0.24%+400000000*0.19%+(N28-500000000)*0.15%,IF(AND(N28&gt;1000000000,N28&lt;=5000000000),100000000*0.24%+400000000*0.19%+500000000*0.15%+(N28-1000000000)*0.12%,IF(N28&gt;5000000000,100000000*0.24%+400000000*0.19%+500000000*0.15%+4000000000*0.12%+(N28-5000000000)*0.1%,"Bingung komputer"))))),2)</f>
        <v>53748</v>
      </c>
      <c r="G28" s="65"/>
      <c r="H28" s="66"/>
      <c r="I28" s="68"/>
      <c r="J28" s="67"/>
      <c r="K28" t="str" s="67" cm="1">
        <f t="array" ref="K28">"Jumlah Terkena Pajak "&amp;MAX(K3:K26)&amp;"% (B)"</f>
        <v>Jumlah Terkena Pajak 11,00% (B)</v>
      </c>
      <c r="L28" s="68" cm="1">
        <f t="array" ref="L28">SUMIF($K3:$K26,"&gt;0",L3:L26)</f>
        <v>22473400</v>
      </c>
      <c r="M28" s="69" cm="1">
        <f t="array" ref="M28">SUMIF($K3:$K26,"&gt;0",M3:M26)</f>
        <v>22395000</v>
      </c>
      <c r="N28" s="69" cm="1">
        <f t="array" ref="N28">SUMIF($K3:$K26,"&gt;0",N3:N26)</f>
        <v>22395000</v>
      </c>
    </row>
    <row r="29" ht="21" customHeight="1">
      <c r="A29" s="70"/>
      <c r="B29" s="71"/>
      <c r="C29" s="71"/>
      <c r="D29" s="72"/>
      <c r="E29" s="72"/>
      <c r="F29" s="71"/>
      <c r="G29" s="72"/>
      <c r="H29" s="72"/>
      <c r="I29" s="74"/>
      <c r="J29" s="73"/>
      <c r="K29" t="str" s="73" cm="1">
        <f t="array" ref="K29">"PPN (C) = "&amp;MAX(K3:K26)&amp;"% x B"</f>
        <v>PPN (C) = 11,00% x B</v>
      </c>
      <c r="L29" s="74" cm="1">
        <f t="array" ref="L29">L28*MAX($K3:$K26)%</f>
        <v>2472074</v>
      </c>
      <c r="M29" s="69" cm="1">
        <f t="array" ref="M29">M28*MAX($K3:$K26)%</f>
        <v>2463450</v>
      </c>
      <c r="N29" s="69" cm="1">
        <f t="array" ref="N29">N28*MAX($K3:$K26)%</f>
        <v>2463450</v>
      </c>
    </row>
    <row r="30" ht="21" customHeight="1">
      <c r="A30" s="70"/>
      <c r="B30" s="71"/>
      <c r="C30" s="71"/>
      <c r="D30" t="s" s="110">
        <v>116</v>
      </c>
      <c r="E30" s="111">
        <v>25000000</v>
      </c>
      <c r="F30" s="112">
        <v>24946000</v>
      </c>
      <c r="G30" s="72"/>
      <c r="H30" s="72"/>
      <c r="I30" s="71"/>
      <c r="J30" s="73"/>
      <c r="K30" t="s" s="75">
        <v>42</v>
      </c>
      <c r="L30" s="76" cm="1">
        <f t="array" ref="L30">L27+L29</f>
        <v>24999410.16</v>
      </c>
      <c r="M30" s="69" cm="1">
        <f t="array" ref="M30">M27+M29</f>
        <v>24912198</v>
      </c>
      <c r="N30" s="69" cm="1">
        <f t="array" ref="N30">N27+N29</f>
        <v>24912198</v>
      </c>
    </row>
    <row r="31" ht="20.5" customHeight="1">
      <c r="A31" s="70"/>
      <c r="B31" s="71"/>
      <c r="C31" s="71"/>
      <c r="D31" s="72"/>
      <c r="E31" s="72" cm="1">
        <f t="array" ref="E31">E$30-L$31</f>
        <v>589.84</v>
      </c>
      <c r="F31" s="113" cm="1">
        <f t="array" ref="F31">ROUNDDOWN(E$30-D$28,2)</f>
        <v>24946063.84</v>
      </c>
      <c r="G31" s="72"/>
      <c r="H31" s="72"/>
      <c r="I31" s="71"/>
      <c r="J31" s="73"/>
      <c r="K31" t="s" s="75">
        <v>43</v>
      </c>
      <c r="L31" s="68" cm="1">
        <f t="array" ref="L31">ROUNDDOWN(L30,2)</f>
        <v>24999410.16</v>
      </c>
      <c r="M31" s="68" cm="1">
        <f t="array" ref="M31">ROUNDDOWN(M30,2)</f>
        <v>24912198</v>
      </c>
      <c r="N31" s="68" cm="1">
        <f t="array" ref="N31">ROUNDDOWN(N30,-3)</f>
        <v>24912000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1:O25"/>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7.17188" style="114" customWidth="1"/>
    <col min="2" max="2" width="43.0312" style="114" customWidth="1"/>
    <col min="3" max="3" width="2.75" style="114" customWidth="1"/>
    <col min="4" max="6" width="10.3672" style="114" customWidth="1"/>
    <col min="7" max="7" width="11.6875" style="114" customWidth="1"/>
    <col min="8" max="11" width="13.5156" style="114" customWidth="1"/>
    <col min="12" max="15" width="14.2344" style="114" customWidth="1"/>
    <col min="16" max="16384" width="16.3516" style="114" customWidth="1"/>
  </cols>
  <sheetData>
    <row r="1" ht="20.5" customHeight="1">
      <c r="A1" t="s" s="7">
        <v>6</v>
      </c>
      <c r="B1" t="s" s="7">
        <v>7</v>
      </c>
      <c r="C1" s="8"/>
      <c r="D1" t="s" s="7">
        <v>8</v>
      </c>
      <c r="E1" s="8"/>
      <c r="F1" s="8"/>
      <c r="G1" t="s" s="7">
        <v>9</v>
      </c>
      <c r="H1" t="s" s="7">
        <v>10</v>
      </c>
      <c r="I1" s="8"/>
      <c r="J1" s="8"/>
      <c r="K1" t="s" s="7">
        <v>11</v>
      </c>
      <c r="L1" t="s" s="7">
        <v>12</v>
      </c>
      <c r="M1" s="8"/>
      <c r="N1" s="8"/>
      <c r="O1" s="88"/>
    </row>
    <row r="2" ht="20.85" customHeight="1">
      <c r="A2" s="9"/>
      <c r="B2" s="9"/>
      <c r="C2" s="9"/>
      <c r="D2" t="s" s="10">
        <v>13</v>
      </c>
      <c r="E2" t="s" s="10">
        <v>14</v>
      </c>
      <c r="F2" t="s" s="10">
        <v>15</v>
      </c>
      <c r="G2" s="9"/>
      <c r="H2" t="s" s="10">
        <v>13</v>
      </c>
      <c r="I2" t="s" s="10">
        <v>14</v>
      </c>
      <c r="J2" t="s" s="10">
        <v>15</v>
      </c>
      <c r="K2" s="9"/>
      <c r="L2" t="s" s="10">
        <v>13</v>
      </c>
      <c r="M2" t="s" s="10">
        <v>14</v>
      </c>
      <c r="N2" t="s" s="10">
        <v>15</v>
      </c>
      <c r="O2" s="89"/>
    </row>
    <row r="3" ht="20.6" customHeight="1">
      <c r="A3" t="s" s="90">
        <v>51</v>
      </c>
      <c r="B3" t="s" s="12">
        <v>52</v>
      </c>
      <c r="C3" s="13"/>
      <c r="D3" s="14"/>
      <c r="E3" s="14"/>
      <c r="F3" s="14"/>
      <c r="G3" s="15"/>
      <c r="H3" s="15"/>
      <c r="I3" s="15"/>
      <c r="J3" s="15"/>
      <c r="K3" s="15"/>
      <c r="L3" t="str" s="16" cm="1">
        <f t="array" ref="L3">IF(D3&gt;0,IF($D3&lt;=0,0,D3*H3),"")</f>
      </c>
      <c r="M3" t="str" s="16" cm="1">
        <f t="array" ref="M3">IF(E3&gt;0,IF($D3&lt;=0,0,ROUND(E3*I3,2)),"")</f>
      </c>
      <c r="N3" t="str" s="16" cm="1">
        <f t="array" ref="N3">IF(F3&gt;0,IF($D3&lt;=0,0,ROUND(F3*J3,2)),"")</f>
      </c>
      <c r="O3" s="17"/>
    </row>
    <row r="4" ht="20.5" customHeight="1">
      <c r="A4" t="s" s="18">
        <v>53</v>
      </c>
      <c r="B4" t="s" s="19">
        <v>54</v>
      </c>
      <c r="C4" s="20"/>
      <c r="D4" s="21"/>
      <c r="E4" s="21"/>
      <c r="F4" s="21"/>
      <c r="G4" s="79"/>
      <c r="H4" s="21"/>
      <c r="I4" s="79"/>
      <c r="J4" s="21"/>
      <c r="K4" s="21"/>
      <c r="L4" t="str" s="79" cm="1">
        <f t="array" ref="L4">IF(D4&gt;0,IF($D4&lt;=0,0,D4*H4),"")</f>
      </c>
      <c r="M4" t="str" s="79" cm="1">
        <f t="array" ref="M4">IF(E4&gt;0,IF($D4&lt;=0,0,ROUND(E4*I4,2)),"")</f>
      </c>
      <c r="N4" t="str" s="79" cm="1">
        <f t="array" ref="N4">IF(F4&gt;0,IF($D4&lt;=0,0,ROUND(F4*J4,2)),"")</f>
      </c>
      <c r="O4" s="91"/>
    </row>
    <row r="5" ht="32.5" customHeight="1">
      <c r="A5" s="92">
        <v>2</v>
      </c>
      <c r="B5" t="s" s="19">
        <v>119</v>
      </c>
      <c r="C5" s="24"/>
      <c r="D5" s="26">
        <v>1.5</v>
      </c>
      <c r="E5" s="26" cm="1">
        <f t="array" ref="E5">D5</f>
        <v>1.5</v>
      </c>
      <c r="F5" s="26" cm="1">
        <f t="array" ref="F5">D5</f>
        <v>1.5</v>
      </c>
      <c r="G5" t="s" s="27">
        <v>56</v>
      </c>
      <c r="H5" s="26">
        <v>10000000</v>
      </c>
      <c r="I5" s="26">
        <v>10000000</v>
      </c>
      <c r="J5" s="26">
        <v>10000000</v>
      </c>
      <c r="K5" s="26">
        <v>11</v>
      </c>
      <c r="L5" s="26" cm="1">
        <f t="array" ref="L5">IF(D5&gt;0,IF($D5&lt;=0,0,D5*H5),"")</f>
        <v>15000000</v>
      </c>
      <c r="M5" s="26" cm="1">
        <f t="array" ref="M5">IF(E5&gt;0,IF($D5&lt;=0,0,ROUND(E5*I5,2)),"")</f>
        <v>15000000</v>
      </c>
      <c r="N5" s="26" cm="1">
        <f t="array" ref="N5">IF(F5&gt;0,IF($D5&lt;=0,0,ROUND(F5*J5,2)),"")</f>
        <v>15000000</v>
      </c>
      <c r="O5" s="28"/>
    </row>
    <row r="6" ht="20.5" customHeight="1">
      <c r="A6" t="s" s="93">
        <v>58</v>
      </c>
      <c r="B6" t="s" s="19">
        <v>59</v>
      </c>
      <c r="C6" s="20"/>
      <c r="D6" s="21"/>
      <c r="E6" s="21"/>
      <c r="F6" s="21"/>
      <c r="G6" s="79"/>
      <c r="H6" s="21"/>
      <c r="I6" s="21"/>
      <c r="J6" s="21"/>
      <c r="K6" s="21"/>
      <c r="L6" t="str" s="79" cm="1">
        <f t="array" ref="L6">IF(D6&gt;0,IF($D6&lt;=0,0,D6*H6),"")</f>
      </c>
      <c r="M6" t="str" s="79" cm="1">
        <f t="array" ref="M6">IF(E6&gt;0,IF($D6&lt;=0,0,ROUND(E6*I6,2)),"")</f>
      </c>
      <c r="N6" t="str" s="79" cm="1">
        <f t="array" ref="N6">IF(F6&gt;0,IF($D6&lt;=0,0,ROUND(F6*J6,2)),"")</f>
      </c>
      <c r="O6" s="91"/>
    </row>
    <row r="7" ht="20.5" customHeight="1">
      <c r="A7" t="s" s="18">
        <v>53</v>
      </c>
      <c r="B7" t="s" s="19">
        <v>60</v>
      </c>
      <c r="C7" s="24"/>
      <c r="D7" s="26"/>
      <c r="E7" s="26"/>
      <c r="F7" s="26"/>
      <c r="G7" s="30"/>
      <c r="H7" s="26"/>
      <c r="I7" s="26"/>
      <c r="J7" s="26"/>
      <c r="K7" s="26"/>
      <c r="L7" t="str" s="30" cm="1">
        <f t="array" ref="L7">IF(D7&gt;0,IF($D7&lt;=0,0,D7*H7),"")</f>
      </c>
      <c r="M7" t="str" s="30" cm="1">
        <f t="array" ref="M7">IF(E7&gt;0,IF($D7&lt;=0,0,ROUND(E7*I7,2)),"")</f>
      </c>
      <c r="N7" t="str" s="30" cm="1">
        <f t="array" ref="N7">IF(F7&gt;0,IF($D7&lt;=0,0,ROUND(F7*J7,2)),"")</f>
      </c>
      <c r="O7" s="31"/>
    </row>
    <row r="8" ht="20.5" customHeight="1">
      <c r="A8" s="94">
        <v>1</v>
      </c>
      <c r="B8" t="s" s="19">
        <v>61</v>
      </c>
      <c r="C8" s="20"/>
      <c r="D8" s="21">
        <v>1.5</v>
      </c>
      <c r="E8" s="21" cm="1">
        <f t="array" ref="E8">D8</f>
        <v>1.5</v>
      </c>
      <c r="F8" s="21" cm="1">
        <f t="array" ref="F8">D8</f>
        <v>1.5</v>
      </c>
      <c r="G8" t="s" s="22">
        <v>62</v>
      </c>
      <c r="H8" s="21">
        <v>200000</v>
      </c>
      <c r="I8" s="21">
        <v>230000</v>
      </c>
      <c r="J8" s="21">
        <v>200000</v>
      </c>
      <c r="K8" s="21">
        <v>11</v>
      </c>
      <c r="L8" s="21" cm="1">
        <f t="array" ref="L8">IF(D8&gt;0,IF($D8&lt;=0,0,D8*H8),"")</f>
        <v>300000</v>
      </c>
      <c r="M8" s="21" cm="1">
        <f t="array" ref="M8">IF(E8&gt;0,IF($D8&lt;=0,0,ROUND(E8*I8,2)),"")</f>
        <v>345000</v>
      </c>
      <c r="N8" s="21" cm="1">
        <f t="array" ref="N8">IF(F8&gt;0,IF($D8&lt;=0,0,ROUND(F8*J8,2)),"")</f>
        <v>300000</v>
      </c>
      <c r="O8" s="23"/>
    </row>
    <row r="9" ht="32.5" customHeight="1">
      <c r="A9" s="95">
        <v>2</v>
      </c>
      <c r="B9" t="s" s="19">
        <v>120</v>
      </c>
      <c r="C9" s="24"/>
      <c r="D9" s="26">
        <v>1.5</v>
      </c>
      <c r="E9" s="26" cm="1">
        <f t="array" ref="E9">D9</f>
        <v>1.5</v>
      </c>
      <c r="F9" s="26" cm="1">
        <f t="array" ref="F9">D9</f>
        <v>1.5</v>
      </c>
      <c r="G9" t="s" s="27">
        <v>64</v>
      </c>
      <c r="H9" s="26">
        <v>5045000</v>
      </c>
      <c r="I9" s="26">
        <v>5000000</v>
      </c>
      <c r="J9" s="26">
        <v>5000000</v>
      </c>
      <c r="K9" s="26">
        <v>11</v>
      </c>
      <c r="L9" s="26" cm="1">
        <f t="array" ref="L9">IF(D9&gt;0,IF($D9&lt;=0,0,D9*H9),"")</f>
        <v>7567500</v>
      </c>
      <c r="M9" s="26" cm="1">
        <f t="array" ref="M9">IF(E9&gt;0,IF($D9&lt;=0,0,ROUND(E9*I9,2)),"")</f>
        <v>7500000</v>
      </c>
      <c r="N9" s="26" cm="1">
        <f t="array" ref="N9">IF(F9&gt;0,IF($D9&lt;=0,0,ROUND(F9*J9,2)),"")</f>
        <v>7500000</v>
      </c>
      <c r="O9" s="28"/>
    </row>
    <row r="10" ht="20.5" customHeight="1">
      <c r="A10" s="94"/>
      <c r="B10" t="s" s="19">
        <v>66</v>
      </c>
      <c r="C10" s="20"/>
      <c r="D10" s="21"/>
      <c r="E10" s="21"/>
      <c r="F10" s="21"/>
      <c r="G10" s="79"/>
      <c r="H10" s="21"/>
      <c r="I10" s="21"/>
      <c r="J10" s="21"/>
      <c r="K10" s="21"/>
      <c r="L10" t="str" s="79" cm="1">
        <f t="array" ref="L10">IF(D10&gt;0,IF($D10&lt;=0,0,D10*H10),"")</f>
      </c>
      <c r="M10" t="str" s="79" cm="1">
        <f t="array" ref="M10">IF(E10&gt;0,IF($D10&lt;=0,0,ROUND(E10*I10,2)),"")</f>
      </c>
      <c r="N10" t="str" s="79" cm="1">
        <f t="array" ref="N10">IF(F10&gt;0,IF($D10&lt;=0,0,ROUND(F10*J10,2)),"")</f>
      </c>
      <c r="O10" s="23"/>
    </row>
    <row r="11" ht="20.5" customHeight="1">
      <c r="A11" s="94">
        <v>3</v>
      </c>
      <c r="B11" t="s" s="19">
        <v>67</v>
      </c>
      <c r="C11" s="24"/>
      <c r="D11" s="26">
        <v>1</v>
      </c>
      <c r="E11" s="26" cm="1">
        <f t="array" ref="E11">D11</f>
        <v>1</v>
      </c>
      <c r="F11" s="26" cm="1">
        <f t="array" ref="F11">D11</f>
        <v>1</v>
      </c>
      <c r="G11" t="s" s="27">
        <v>68</v>
      </c>
      <c r="H11" s="26">
        <v>77000</v>
      </c>
      <c r="I11" s="26">
        <v>75000</v>
      </c>
      <c r="J11" s="26">
        <v>75000</v>
      </c>
      <c r="K11" s="26">
        <v>11</v>
      </c>
      <c r="L11" s="26" cm="1">
        <f t="array" ref="L11">IF(D11&gt;0,IF($D11&lt;=0,0,D11*H11),"")</f>
        <v>77000</v>
      </c>
      <c r="M11" s="26" cm="1">
        <f t="array" ref="M11">IF(E11&gt;0,IF($D11&lt;=0,0,ROUND(E11*I11,2)),"")</f>
        <v>75000</v>
      </c>
      <c r="N11" s="26" cm="1">
        <f t="array" ref="N11">IF(F11&gt;0,IF($D11&lt;=0,0,ROUND(F11*J11,2)),"")</f>
        <v>75000</v>
      </c>
      <c r="O11" s="28"/>
    </row>
    <row r="12" ht="20.5" customHeight="1">
      <c r="A12" s="94">
        <v>4</v>
      </c>
      <c r="B12" t="s" s="19">
        <v>69</v>
      </c>
      <c r="C12" s="20"/>
      <c r="D12" s="21">
        <v>1</v>
      </c>
      <c r="E12" s="21" cm="1">
        <f t="array" ref="E12">D12</f>
        <v>1</v>
      </c>
      <c r="F12" s="21" cm="1">
        <f t="array" ref="F12">D12</f>
        <v>1</v>
      </c>
      <c r="G12" t="s" s="22">
        <v>68</v>
      </c>
      <c r="H12" s="21">
        <v>250000</v>
      </c>
      <c r="I12" s="21">
        <v>250000</v>
      </c>
      <c r="J12" s="21">
        <v>250000</v>
      </c>
      <c r="K12" s="21">
        <v>11</v>
      </c>
      <c r="L12" s="21" cm="1">
        <f t="array" ref="L12">IF(D12&gt;0,IF($D12&lt;=0,0,D12*H12),"")</f>
        <v>250000</v>
      </c>
      <c r="M12" s="21" cm="1">
        <f t="array" ref="M12">IF(E12&gt;0,IF($D12&lt;=0,0,ROUND(E12*I12,2)),"")</f>
        <v>250000</v>
      </c>
      <c r="N12" s="21" cm="1">
        <f t="array" ref="N12">IF(F12&gt;0,IF($D12&lt;=0,0,ROUND(F12*J12,2)),"")</f>
        <v>250000</v>
      </c>
      <c r="O12" s="23"/>
    </row>
    <row r="13" ht="20.5" customHeight="1">
      <c r="A13" s="29"/>
      <c r="B13" t="s" s="19">
        <v>70</v>
      </c>
      <c r="C13" s="24"/>
      <c r="D13" s="26"/>
      <c r="E13" s="26"/>
      <c r="F13" s="26"/>
      <c r="G13" s="30"/>
      <c r="H13" s="26"/>
      <c r="I13" s="26"/>
      <c r="J13" s="26"/>
      <c r="K13" s="26"/>
      <c r="L13" t="str" s="30" cm="1">
        <f t="array" ref="L13">IF(D13&gt;0,IF($D13&lt;=0,0,D13*H13),"")</f>
      </c>
      <c r="M13" t="str" s="30" cm="1">
        <f t="array" ref="M13">IF(E13&gt;0,IF($D13&lt;=0,0,ROUND(E13*I13,2)),"")</f>
      </c>
      <c r="N13" t="str" s="30" cm="1">
        <f t="array" ref="N13">IF(F13&gt;0,IF($D13&lt;=0,0,ROUND(F13*J13,2)),"")</f>
      </c>
      <c r="O13" s="31"/>
    </row>
    <row r="14" ht="20.5" customHeight="1">
      <c r="A14" s="95">
        <v>5</v>
      </c>
      <c r="B14" t="s" s="19">
        <v>74</v>
      </c>
      <c r="C14" s="20"/>
      <c r="D14" s="21">
        <v>3</v>
      </c>
      <c r="E14" s="21" cm="1">
        <f t="array" ref="E14">D14</f>
        <v>3</v>
      </c>
      <c r="F14" s="21" cm="1">
        <f t="array" ref="F14">D14</f>
        <v>3</v>
      </c>
      <c r="G14" t="s" s="22">
        <v>75</v>
      </c>
      <c r="H14" s="21">
        <v>200000</v>
      </c>
      <c r="I14" s="21">
        <v>200000</v>
      </c>
      <c r="J14" s="21">
        <v>200000</v>
      </c>
      <c r="K14" s="21">
        <v>11</v>
      </c>
      <c r="L14" s="21" cm="1">
        <f t="array" ref="L14">IF(D14&gt;0,IF($D14&lt;=0,0,D14*H14),"")</f>
        <v>600000</v>
      </c>
      <c r="M14" s="21" cm="1">
        <f t="array" ref="M14">IF(E14&gt;0,IF($D14&lt;=0,0,ROUND(E14*I14,2)),"")</f>
        <v>600000</v>
      </c>
      <c r="N14" s="21" cm="1">
        <f t="array" ref="N14">IF(F14&gt;0,IF($D14&lt;=0,0,ROUND(F14*J14,2)),"")</f>
        <v>600000</v>
      </c>
      <c r="O14" s="23"/>
    </row>
    <row r="15" ht="20.5" customHeight="1">
      <c r="A15" s="95">
        <v>6</v>
      </c>
      <c r="B15" t="s" s="19">
        <v>76</v>
      </c>
      <c r="C15" s="24"/>
      <c r="D15" s="26" cm="1">
        <f t="array" ref="D15">1.5*3</f>
        <v>4.5</v>
      </c>
      <c r="E15" s="26" cm="1">
        <f t="array" ref="E15">D15</f>
        <v>4.5</v>
      </c>
      <c r="F15" s="26" cm="1">
        <f t="array" ref="F15">D15</f>
        <v>4.5</v>
      </c>
      <c r="G15" t="s" s="27">
        <v>75</v>
      </c>
      <c r="H15" s="26">
        <v>150000</v>
      </c>
      <c r="I15" s="26">
        <v>150000</v>
      </c>
      <c r="J15" s="26">
        <v>150000</v>
      </c>
      <c r="K15" s="26">
        <v>11</v>
      </c>
      <c r="L15" s="26" cm="1">
        <f t="array" ref="L15">IF(D15&gt;0,IF($D15&lt;=0,0,D15*H15),"")</f>
        <v>675000</v>
      </c>
      <c r="M15" s="26" cm="1">
        <f t="array" ref="M15">IF(E15&gt;0,IF($D15&lt;=0,0,ROUND(E15*I15,2)),"")</f>
        <v>675000</v>
      </c>
      <c r="N15" s="26" cm="1">
        <f t="array" ref="N15">IF(F15&gt;0,IF($D15&lt;=0,0,ROUND(F15*J15,2)),"")</f>
        <v>675000</v>
      </c>
      <c r="O15" s="28"/>
    </row>
    <row r="16" ht="20.5" customHeight="1">
      <c r="A16" s="95">
        <v>7</v>
      </c>
      <c r="B16" t="s" s="19">
        <v>77</v>
      </c>
      <c r="C16" s="20"/>
      <c r="D16" s="21">
        <v>3</v>
      </c>
      <c r="E16" s="21" cm="1">
        <f t="array" ref="E16">D16</f>
        <v>3</v>
      </c>
      <c r="F16" s="21" cm="1">
        <f t="array" ref="F16">D16</f>
        <v>3</v>
      </c>
      <c r="G16" t="s" s="22">
        <v>75</v>
      </c>
      <c r="H16" s="21">
        <v>200000</v>
      </c>
      <c r="I16" s="21">
        <v>200000</v>
      </c>
      <c r="J16" s="21">
        <v>200000</v>
      </c>
      <c r="K16" s="21">
        <v>11</v>
      </c>
      <c r="L16" s="21" cm="1">
        <f t="array" ref="L16">IF(D16&gt;0,IF($D16&lt;=0,0,D16*H16),"")</f>
        <v>600000</v>
      </c>
      <c r="M16" s="21" cm="1">
        <f t="array" ref="M16">IF(E16&gt;0,IF($D16&lt;=0,0,ROUND(E16*I16,2)),"")</f>
        <v>600000</v>
      </c>
      <c r="N16" s="21" cm="1">
        <f t="array" ref="N16">IF(F16&gt;0,IF($D16&lt;=0,0,ROUND(F16*J16,2)),"")</f>
        <v>600000</v>
      </c>
      <c r="O16" s="23"/>
    </row>
    <row r="17" ht="20.5" customHeight="1">
      <c r="A17" s="95">
        <v>8</v>
      </c>
      <c r="B17" t="s" s="19">
        <v>121</v>
      </c>
      <c r="C17" s="24"/>
      <c r="D17" s="26">
        <v>1</v>
      </c>
      <c r="E17" s="26" cm="1">
        <f t="array" ref="E17">D17</f>
        <v>1</v>
      </c>
      <c r="F17" s="26" cm="1">
        <f t="array" ref="F17">D17</f>
        <v>1</v>
      </c>
      <c r="G17" t="s" s="27">
        <v>79</v>
      </c>
      <c r="H17" s="26">
        <v>100000</v>
      </c>
      <c r="I17" s="26">
        <v>100000</v>
      </c>
      <c r="J17" s="26">
        <v>100000</v>
      </c>
      <c r="K17" s="26">
        <v>11</v>
      </c>
      <c r="L17" s="26" cm="1">
        <f t="array" ref="L17">IF(D17&gt;0,IF($D17&lt;=0,0,D17*H17),"")</f>
        <v>100000</v>
      </c>
      <c r="M17" s="26" cm="1">
        <f t="array" ref="M17">IF(E17&gt;0,IF($D17&lt;=0,0,ROUND(E17*I17,2)),"")</f>
        <v>100000</v>
      </c>
      <c r="N17" s="26" cm="1">
        <f t="array" ref="N17">IF(F17&gt;0,IF($D17&lt;=0,0,ROUND(F17*J17,2)),"")</f>
        <v>100000</v>
      </c>
      <c r="O17" s="31"/>
    </row>
    <row r="18" ht="20.5" customHeight="1">
      <c r="A18" t="s" s="18">
        <v>80</v>
      </c>
      <c r="B18" t="s" s="19">
        <v>81</v>
      </c>
      <c r="C18" s="20"/>
      <c r="D18" s="21"/>
      <c r="E18" s="21"/>
      <c r="F18" s="21"/>
      <c r="G18" s="79"/>
      <c r="H18" s="21"/>
      <c r="I18" s="21"/>
      <c r="J18" s="21"/>
      <c r="K18" s="21"/>
      <c r="L18" t="str" s="79" cm="1">
        <f t="array" ref="L18">IF(D18&gt;0,IF($D18&lt;=0,0,D18*H18),"")</f>
      </c>
      <c r="M18" t="str" s="79" cm="1">
        <f t="array" ref="M18">IF(E18&gt;0,IF($D18&lt;=0,0,ROUND(E18*I18,2)),"")</f>
      </c>
      <c r="N18" t="str" s="79" cm="1">
        <f t="array" ref="N18">IF(F18&gt;0,IF($D18&lt;=0,0,ROUND(F18*J18,2)),"")</f>
      </c>
      <c r="O18" s="91"/>
    </row>
    <row r="19" ht="20.5" customHeight="1">
      <c r="A19" s="29"/>
      <c r="B19" t="s" s="19">
        <v>82</v>
      </c>
      <c r="C19" s="24"/>
      <c r="D19" s="26">
        <v>1</v>
      </c>
      <c r="E19" s="26" cm="1">
        <f t="array" ref="E19">D19</f>
        <v>1</v>
      </c>
      <c r="F19" s="26" cm="1">
        <f t="array" ref="F19">D19</f>
        <v>1</v>
      </c>
      <c r="G19" t="s" s="27">
        <v>19</v>
      </c>
      <c r="H19" s="26">
        <v>60406.8</v>
      </c>
      <c r="I19" s="26">
        <v>70000</v>
      </c>
      <c r="J19" s="26">
        <v>60240</v>
      </c>
      <c r="K19" s="26">
        <v>0</v>
      </c>
      <c r="L19" s="26" cm="1">
        <f t="array" ref="L19">IF(D19&gt;0,IF($D19&lt;=0,0,D19*H19),"")</f>
        <v>60406.8</v>
      </c>
      <c r="M19" s="26" cm="1">
        <f t="array" ref="M19">IF(E19&gt;0,IF($D19&lt;=0,0,ROUND(E19*I19,2)),"")</f>
        <v>70000</v>
      </c>
      <c r="N19" s="26" cm="1">
        <f t="array" ref="N19">IF(F19&gt;0,IF($D19&lt;=0,0,ROUND(F19*J19,2)),"")</f>
        <v>60240</v>
      </c>
      <c r="O19" s="28"/>
    </row>
    <row r="20" ht="20.6" customHeight="1">
      <c r="A20" s="96"/>
      <c r="B20" s="97"/>
      <c r="C20" s="35"/>
      <c r="D20" s="36"/>
      <c r="E20" s="36"/>
      <c r="F20" s="36"/>
      <c r="G20" s="101"/>
      <c r="H20" s="36"/>
      <c r="I20" s="36"/>
      <c r="J20" s="36"/>
      <c r="K20" s="36"/>
      <c r="L20" t="str" s="101" cm="1">
        <f t="array" ref="L20">IF(D20&gt;0,IF($D20&lt;=0,0,D20*H20),"")</f>
      </c>
      <c r="M20" t="str" s="101" cm="1">
        <f t="array" ref="M20">IF(E20&gt;0,IF($D20&lt;=0,0,ROUND(E20*I20,2)),"")</f>
      </c>
      <c r="N20" t="str" s="101" cm="1">
        <f t="array" ref="N20">IF(F20&gt;0,IF($D20&lt;=0,0,ROUND(F20*J20,2)),"")</f>
      </c>
      <c r="O20" s="102"/>
    </row>
    <row r="21" ht="20.85" customHeight="1">
      <c r="A21" s="54"/>
      <c r="B21" s="54"/>
      <c r="C21" s="54"/>
      <c r="D21" s="55"/>
      <c r="E21" s="55"/>
      <c r="F21" s="55"/>
      <c r="G21" s="56"/>
      <c r="H21" s="56"/>
      <c r="I21" s="54"/>
      <c r="J21" s="57"/>
      <c r="K21" t="s" s="58">
        <v>38</v>
      </c>
      <c r="L21" s="59" cm="1">
        <f t="array" ref="L21">SUM(L1:L20)</f>
        <v>25229906.8</v>
      </c>
      <c r="M21" s="59" cm="1">
        <f t="array" ref="M21">SUM(M1:M20)</f>
        <v>25215000</v>
      </c>
      <c r="N21" s="59" cm="1">
        <f t="array" ref="N21">SUM(N1:N20)</f>
        <v>25160240</v>
      </c>
      <c r="O21" s="59"/>
    </row>
    <row r="22" ht="21" customHeight="1">
      <c r="A22" s="62"/>
      <c r="B22" t="s" s="61">
        <v>39</v>
      </c>
      <c r="C22" s="62"/>
      <c r="D22" s="63" cm="1">
        <f t="array" ref="D22">ROUND(IF(L22&lt;=100000000,L22*0.24%,IF(AND(L22&gt;100000000,L22&lt;=500000000),100000000*0.24%+(L22-100000000)*0.19%,IF(AND(L22&gt;500000000,L22&lt;=1000000000),100000000*0.24%+400000000*0.19%+(L22-500000000)*0.15%,IF(AND(L22&gt;1000000000,L22&lt;=5000000000),100000000*0.24%+400000000*0.19%+500000000*0.15%+(L22-1000000000)*0.12%,IF(L22&gt;5000000000,100000000*0.24%+400000000*0.19%+500000000*0.15%+4000000000*0.12%+(L22-5000000000)*0.1%,"Bingung komputer"))))),2)</f>
        <v>60406.8</v>
      </c>
      <c r="E22" s="64" cm="1">
        <f t="array" ref="E22">ROUND(IF(M22&lt;=100000000,M22*0.24%,IF(AND(M22&gt;100000000,M22&lt;=500000000),100000000*0.24%+(M22-100000000)*0.19%,IF(AND(M22&gt;500000000,M22&lt;=1000000000),100000000*0.24%+400000000*0.19%+(M22-500000000)*0.15%,IF(AND(M22&gt;1000000000,M22&lt;=5000000000),100000000*0.24%+400000000*0.19%+500000000*0.15%+(M22-1000000000)*0.12%,IF(M22&gt;5000000000,100000000*0.24%+400000000*0.19%+500000000*0.15%+4000000000*0.12%+(M22-5000000000)*0.1%,"Bingung komputer"))))),2)</f>
        <v>60348</v>
      </c>
      <c r="F22" s="64" cm="1">
        <f t="array" ref="F22">ROUND(IF(N22&lt;=100000000,N22*0.24%,IF(AND(N22&gt;100000000,N22&lt;=500000000),100000000*0.24%+(N22-100000000)*0.19%,IF(AND(N22&gt;500000000,N22&lt;=1000000000),100000000*0.24%+400000000*0.19%+(N22-500000000)*0.15%,IF(AND(N22&gt;1000000000,N22&lt;=5000000000),100000000*0.24%+400000000*0.19%+500000000*0.15%+(N22-1000000000)*0.12%,IF(N22&gt;5000000000,100000000*0.24%+400000000*0.19%+500000000*0.15%+4000000000*0.12%+(N22-5000000000)*0.1%,"Bingung komputer"))))),2)</f>
        <v>60240</v>
      </c>
      <c r="G22" s="65"/>
      <c r="H22" s="66"/>
      <c r="I22" s="62"/>
      <c r="J22" s="67"/>
      <c r="K22" t="str" s="67" cm="1">
        <f t="array" ref="K22">"Jumlah Terkena Pajak "&amp;MAX(K3:K20)&amp;"% (B)"</f>
        <v>Jumlah Terkena Pajak 11,00% (B)</v>
      </c>
      <c r="L22" s="68" cm="1">
        <f t="array" ref="L22">SUMIF($K3:$K20,"&gt;0",L3:L20)</f>
        <v>25169500</v>
      </c>
      <c r="M22" s="68" cm="1">
        <f t="array" ref="M22">SUMIF($K3:$K20,"&gt;0",M3:M20)</f>
        <v>25145000</v>
      </c>
      <c r="N22" s="68" cm="1">
        <f t="array" ref="N22">SUMIF($K3:$K20,"&gt;0",N3:N20)</f>
        <v>25100000</v>
      </c>
      <c r="O22" s="69"/>
    </row>
    <row r="23" ht="21" customHeight="1">
      <c r="A23" s="71"/>
      <c r="B23" s="71"/>
      <c r="C23" s="71"/>
      <c r="D23" s="72"/>
      <c r="E23" s="72"/>
      <c r="F23" s="112">
        <v>28000000</v>
      </c>
      <c r="G23" s="72"/>
      <c r="H23" s="72"/>
      <c r="I23" s="71"/>
      <c r="J23" s="73"/>
      <c r="K23" t="str" s="73" cm="1">
        <f t="array" ref="K23">"PPN (C) = "&amp;MAX(K3:K20)&amp;"% x B"</f>
        <v>PPN (C) = 11,00% x B</v>
      </c>
      <c r="L23" s="74" cm="1">
        <f t="array" ref="L23">L22*MAX($K3:$K20)%</f>
        <v>2768645</v>
      </c>
      <c r="M23" s="74" cm="1">
        <f t="array" ref="M23">M22*MAX($K3:$K20)%</f>
        <v>2765950</v>
      </c>
      <c r="N23" s="74" cm="1">
        <f t="array" ref="N23">N22*MAX($K3:$K20)%</f>
        <v>2761000</v>
      </c>
      <c r="O23" s="69"/>
    </row>
    <row r="24" ht="21" customHeight="1">
      <c r="A24" s="71"/>
      <c r="B24" s="71"/>
      <c r="C24" s="71"/>
      <c r="D24" s="72"/>
      <c r="E24" s="72"/>
      <c r="F24" s="72"/>
      <c r="G24" s="72"/>
      <c r="H24" s="72"/>
      <c r="I24" s="71"/>
      <c r="J24" s="73"/>
      <c r="K24" t="s" s="75">
        <v>42</v>
      </c>
      <c r="L24" s="74" cm="1">
        <f t="array" ref="L24">L21+L23</f>
        <v>27998551.8</v>
      </c>
      <c r="M24" s="74" cm="1">
        <f t="array" ref="M24">M21+M23</f>
        <v>27980950</v>
      </c>
      <c r="N24" s="74" cm="1">
        <f t="array" ref="N24">N21+N23</f>
        <v>27921240</v>
      </c>
      <c r="O24" s="69"/>
    </row>
    <row r="25" ht="20.5" customHeight="1">
      <c r="A25" s="71"/>
      <c r="B25" s="71"/>
      <c r="C25" s="71"/>
      <c r="D25" s="72"/>
      <c r="E25" s="72"/>
      <c r="F25" s="72"/>
      <c r="G25" s="72"/>
      <c r="H25" s="72"/>
      <c r="I25" s="71"/>
      <c r="J25" s="73"/>
      <c r="K25" t="s" s="75">
        <v>43</v>
      </c>
      <c r="L25" s="74" cm="1">
        <f t="array" ref="L25">ROUNDDOWN(L24,2)</f>
        <v>27998551.8</v>
      </c>
      <c r="M25" s="74" cm="1">
        <f t="array" ref="M25">ROUNDDOWN(M24,2)</f>
        <v>27980950</v>
      </c>
      <c r="N25" s="74" cm="1">
        <f t="array" ref="N25">ROUNDDOWN(N24,-3)</f>
        <v>27921000</v>
      </c>
      <c r="O25" s="68"/>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4.xml><?xml version="1.0" encoding="utf-8"?>
<worksheet xmlns:r="http://schemas.openxmlformats.org/officeDocument/2006/relationships" xmlns="http://schemas.openxmlformats.org/spreadsheetml/2006/main">
  <sheetPr>
    <pageSetUpPr fitToPage="1"/>
  </sheetPr>
  <dimension ref="A1:O26"/>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7.17188" style="115" customWidth="1"/>
    <col min="2" max="2" width="43.0312" style="115" customWidth="1"/>
    <col min="3" max="3" width="2.75" style="115" customWidth="1"/>
    <col min="4" max="6" width="10.3672" style="115" customWidth="1"/>
    <col min="7" max="7" width="11.6875" style="115" customWidth="1"/>
    <col min="8" max="11" width="13.5156" style="115" customWidth="1"/>
    <col min="12" max="15" width="14.2344" style="115" customWidth="1"/>
    <col min="16" max="16384" width="16.3516" style="115" customWidth="1"/>
  </cols>
  <sheetData>
    <row r="1" ht="20.5" customHeight="1">
      <c r="A1" t="s" s="7">
        <v>6</v>
      </c>
      <c r="B1" t="s" s="7">
        <v>7</v>
      </c>
      <c r="C1" s="8"/>
      <c r="D1" t="s" s="7">
        <v>8</v>
      </c>
      <c r="E1" s="8"/>
      <c r="F1" s="8"/>
      <c r="G1" t="s" s="7">
        <v>9</v>
      </c>
      <c r="H1" t="s" s="7">
        <v>10</v>
      </c>
      <c r="I1" s="8"/>
      <c r="J1" s="8"/>
      <c r="K1" t="s" s="7">
        <v>11</v>
      </c>
      <c r="L1" t="s" s="7">
        <v>12</v>
      </c>
      <c r="M1" s="8"/>
      <c r="N1" s="8"/>
      <c r="O1" s="88"/>
    </row>
    <row r="2" ht="20.85" customHeight="1">
      <c r="A2" s="9"/>
      <c r="B2" s="9"/>
      <c r="C2" s="9"/>
      <c r="D2" t="s" s="10">
        <v>13</v>
      </c>
      <c r="E2" t="s" s="10">
        <v>14</v>
      </c>
      <c r="F2" t="s" s="10">
        <v>15</v>
      </c>
      <c r="G2" s="9"/>
      <c r="H2" t="s" s="10">
        <v>13</v>
      </c>
      <c r="I2" t="s" s="10">
        <v>14</v>
      </c>
      <c r="J2" t="s" s="10">
        <v>15</v>
      </c>
      <c r="K2" s="9"/>
      <c r="L2" t="s" s="10">
        <v>13</v>
      </c>
      <c r="M2" t="s" s="10">
        <v>14</v>
      </c>
      <c r="N2" t="s" s="10">
        <v>15</v>
      </c>
      <c r="O2" s="89"/>
    </row>
    <row r="3" ht="20.6" customHeight="1">
      <c r="A3" t="s" s="90">
        <v>51</v>
      </c>
      <c r="B3" t="s" s="12">
        <v>52</v>
      </c>
      <c r="C3" s="13"/>
      <c r="D3" s="14"/>
      <c r="E3" s="14"/>
      <c r="F3" s="14"/>
      <c r="G3" s="15"/>
      <c r="H3" s="15"/>
      <c r="I3" s="15"/>
      <c r="J3" s="15"/>
      <c r="K3" s="15"/>
      <c r="L3" t="str" s="16" cm="1">
        <f t="array" ref="L3">IF(D3&gt;0,IF($D3&lt;=0,0,D3*H3),"")</f>
      </c>
      <c r="M3" t="str" s="16" cm="1">
        <f t="array" ref="M3">IF(E3&gt;0,IF($D3&lt;=0,0,ROUND(E3*I3,2)),"")</f>
      </c>
      <c r="N3" t="str" s="16" cm="1">
        <f t="array" ref="N3">IF(F3&gt;0,IF($D3&lt;=0,0,ROUND(F3*J3,2)),"")</f>
      </c>
      <c r="O3" s="17"/>
    </row>
    <row r="4" ht="20.5" customHeight="1">
      <c r="A4" t="s" s="18">
        <v>53</v>
      </c>
      <c r="B4" t="s" s="19">
        <v>54</v>
      </c>
      <c r="C4" s="20"/>
      <c r="D4" s="21"/>
      <c r="E4" s="21"/>
      <c r="F4" s="21"/>
      <c r="G4" s="79"/>
      <c r="H4" s="21"/>
      <c r="I4" s="79"/>
      <c r="J4" s="21"/>
      <c r="K4" s="21"/>
      <c r="L4" t="str" s="79" cm="1">
        <f t="array" ref="L4">IF(D4&gt;0,IF($D4&lt;=0,0,D4*H4),"")</f>
      </c>
      <c r="M4" t="str" s="79" cm="1">
        <f t="array" ref="M4">IF(E4&gt;0,IF($D4&lt;=0,0,ROUND(E4*I4,2)),"")</f>
      </c>
      <c r="N4" t="str" s="79" cm="1">
        <f t="array" ref="N4">IF(F4&gt;0,IF($D4&lt;=0,0,ROUND(F4*J4,2)),"")</f>
      </c>
      <c r="O4" s="91"/>
    </row>
    <row r="5" ht="32.5" customHeight="1">
      <c r="A5" s="92">
        <v>1</v>
      </c>
      <c r="B5" t="s" s="19">
        <v>123</v>
      </c>
      <c r="C5" s="24"/>
      <c r="D5" s="26">
        <v>3</v>
      </c>
      <c r="E5" s="26" cm="1">
        <f t="array" ref="E5">D5</f>
        <v>3</v>
      </c>
      <c r="F5" s="26" cm="1">
        <f t="array" ref="F5">D5</f>
        <v>3</v>
      </c>
      <c r="G5" t="s" s="27">
        <v>56</v>
      </c>
      <c r="H5" s="26">
        <v>5500000</v>
      </c>
      <c r="I5" s="26">
        <v>5500000</v>
      </c>
      <c r="J5" s="26">
        <v>5500000</v>
      </c>
      <c r="K5" s="26">
        <v>11</v>
      </c>
      <c r="L5" s="26" cm="1">
        <f t="array" ref="L5">IF(D5&gt;0,IF($D5&lt;=0,0,D5*H5),"")</f>
        <v>16500000</v>
      </c>
      <c r="M5" s="26" cm="1">
        <f t="array" ref="M5">IF(E5&gt;0,IF($D5&lt;=0,0,ROUND(E5*I5,2)),"")</f>
        <v>16500000</v>
      </c>
      <c r="N5" s="26" cm="1">
        <f t="array" ref="N5">IF(F5&gt;0,IF($D5&lt;=0,0,ROUND(F5*J5,2)),"")</f>
        <v>16500000</v>
      </c>
      <c r="O5" s="28" cm="1">
        <f t="array" ref="O5">L5/L$22</f>
        <v>0.610393993119373</v>
      </c>
    </row>
    <row r="6" ht="20.5" customHeight="1">
      <c r="A6" t="s" s="93">
        <v>58</v>
      </c>
      <c r="B6" t="s" s="19">
        <v>59</v>
      </c>
      <c r="C6" s="20"/>
      <c r="D6" s="21"/>
      <c r="E6" s="21"/>
      <c r="F6" s="21"/>
      <c r="G6" s="79"/>
      <c r="H6" s="21"/>
      <c r="I6" s="21"/>
      <c r="J6" s="21"/>
      <c r="K6" s="21"/>
      <c r="L6" t="str" s="79" cm="1">
        <f t="array" ref="L6">IF(D6&gt;0,IF($D6&lt;=0,0,D6*H6),"")</f>
      </c>
      <c r="M6" t="str" s="79" cm="1">
        <f t="array" ref="M6">IF(E6&gt;0,IF($D6&lt;=0,0,ROUND(E6*I6,2)),"")</f>
      </c>
      <c r="N6" t="str" s="79" cm="1">
        <f t="array" ref="N6">IF(F6&gt;0,IF($D6&lt;=0,0,ROUND(F6*J6,2)),"")</f>
      </c>
      <c r="O6" s="91"/>
    </row>
    <row r="7" ht="20.5" customHeight="1">
      <c r="A7" t="s" s="18">
        <v>53</v>
      </c>
      <c r="B7" t="s" s="19">
        <v>60</v>
      </c>
      <c r="C7" s="24"/>
      <c r="D7" s="26"/>
      <c r="E7" s="26"/>
      <c r="F7" s="26"/>
      <c r="G7" s="30"/>
      <c r="H7" s="26"/>
      <c r="I7" s="26"/>
      <c r="J7" s="26"/>
      <c r="K7" s="26"/>
      <c r="L7" t="str" s="30" cm="1">
        <f t="array" ref="L7">IF(D7&gt;0,IF($D7&lt;=0,0,D7*H7),"")</f>
      </c>
      <c r="M7" t="str" s="30" cm="1">
        <f t="array" ref="M7">IF(E7&gt;0,IF($D7&lt;=0,0,ROUND(E7*I7,2)),"")</f>
      </c>
      <c r="N7" t="str" s="30" cm="1">
        <f t="array" ref="N7">IF(F7&gt;0,IF($D7&lt;=0,0,ROUND(F7*J7,2)),"")</f>
      </c>
      <c r="O7" s="31"/>
    </row>
    <row r="8" ht="20.5" customHeight="1">
      <c r="A8" s="94">
        <v>1</v>
      </c>
      <c r="B8" t="s" s="19">
        <v>124</v>
      </c>
      <c r="C8" s="20"/>
      <c r="D8" s="21">
        <v>1</v>
      </c>
      <c r="E8" s="21" cm="1">
        <f t="array" ref="E8">D8</f>
        <v>1</v>
      </c>
      <c r="F8" s="21" cm="1">
        <f t="array" ref="F8">D8</f>
        <v>1</v>
      </c>
      <c r="G8" t="s" s="22">
        <v>19</v>
      </c>
      <c r="H8" s="21">
        <v>890000</v>
      </c>
      <c r="I8" s="21">
        <v>850000</v>
      </c>
      <c r="J8" s="21">
        <v>850000</v>
      </c>
      <c r="K8" s="21">
        <v>11</v>
      </c>
      <c r="L8" s="21" cm="1">
        <f t="array" ref="L8">IF(D8&gt;0,IF($D8&lt;=0,0,D8*H8),"")</f>
        <v>890000</v>
      </c>
      <c r="M8" s="21" cm="1">
        <f t="array" ref="M8">IF(E8&gt;0,IF($D8&lt;=0,0,ROUND(E8*I8,2)),"")</f>
        <v>850000</v>
      </c>
      <c r="N8" s="21" cm="1">
        <f t="array" ref="N8">IF(F8&gt;0,IF($D8&lt;=0,0,ROUND(F8*J8,2)),"")</f>
        <v>850000</v>
      </c>
      <c r="O8" s="23"/>
    </row>
    <row r="9" ht="32.5" customHeight="1">
      <c r="A9" s="95">
        <v>2</v>
      </c>
      <c r="B9" t="s" s="19">
        <v>63</v>
      </c>
      <c r="C9" s="24"/>
      <c r="D9" s="26">
        <v>1</v>
      </c>
      <c r="E9" s="26" cm="1">
        <f t="array" ref="E9">D9</f>
        <v>1</v>
      </c>
      <c r="F9" s="26" cm="1">
        <f t="array" ref="F9">D9</f>
        <v>1</v>
      </c>
      <c r="G9" t="s" s="27">
        <v>19</v>
      </c>
      <c r="H9" s="26">
        <v>3000000</v>
      </c>
      <c r="I9" s="26">
        <v>3000000</v>
      </c>
      <c r="J9" s="26">
        <v>3000000</v>
      </c>
      <c r="K9" s="26">
        <v>11</v>
      </c>
      <c r="L9" s="26" cm="1">
        <f t="array" ref="L9">IF(D9&gt;0,IF($D9&lt;=0,0,D9*H9),"")</f>
        <v>3000000</v>
      </c>
      <c r="M9" s="26" cm="1">
        <f t="array" ref="M9">IF(E9&gt;0,IF($D9&lt;=0,0,ROUND(E9*I9,2)),"")</f>
        <v>3000000</v>
      </c>
      <c r="N9" s="26" cm="1">
        <f t="array" ref="N9">IF(F9&gt;0,IF($D9&lt;=0,0,ROUND(F9*J9,2)),"")</f>
        <v>3000000</v>
      </c>
      <c r="O9" s="28"/>
    </row>
    <row r="10" ht="20.5" customHeight="1">
      <c r="A10" s="94"/>
      <c r="B10" t="s" s="19">
        <v>66</v>
      </c>
      <c r="C10" s="20"/>
      <c r="D10" s="21"/>
      <c r="E10" s="21"/>
      <c r="F10" s="21"/>
      <c r="G10" s="79"/>
      <c r="H10" s="21"/>
      <c r="I10" s="21"/>
      <c r="J10" s="21"/>
      <c r="K10" s="21"/>
      <c r="L10" t="str" s="79" cm="1">
        <f t="array" ref="L10">IF(D10&gt;0,IF($D10&lt;=0,0,D10*H10),"")</f>
      </c>
      <c r="M10" t="str" s="79" cm="1">
        <f t="array" ref="M10">IF(E10&gt;0,IF($D10&lt;=0,0,ROUND(E10*I10,2)),"")</f>
      </c>
      <c r="N10" t="str" s="79" cm="1">
        <f t="array" ref="N10">IF(F10&gt;0,IF($D10&lt;=0,0,ROUND(F10*J10,2)),"")</f>
      </c>
      <c r="O10" s="23"/>
    </row>
    <row r="11" ht="20.5" customHeight="1">
      <c r="A11" s="94">
        <v>1</v>
      </c>
      <c r="B11" t="s" s="19">
        <v>67</v>
      </c>
      <c r="C11" s="24"/>
      <c r="D11" s="26">
        <v>1</v>
      </c>
      <c r="E11" s="26" cm="1">
        <f t="array" ref="E11">D11</f>
        <v>1</v>
      </c>
      <c r="F11" s="26" cm="1">
        <f t="array" ref="F11">D11</f>
        <v>1</v>
      </c>
      <c r="G11" t="s" s="27">
        <v>68</v>
      </c>
      <c r="H11" s="26">
        <v>77000</v>
      </c>
      <c r="I11" s="26">
        <v>70000</v>
      </c>
      <c r="J11" s="26">
        <v>70000</v>
      </c>
      <c r="K11" s="26">
        <v>11</v>
      </c>
      <c r="L11" s="26" cm="1">
        <f t="array" ref="L11">IF(D11&gt;0,IF($D11&lt;=0,0,D11*H11),"")</f>
        <v>77000</v>
      </c>
      <c r="M11" s="26" cm="1">
        <f t="array" ref="M11">IF(E11&gt;0,IF($D11&lt;=0,0,ROUND(E11*I11,2)),"")</f>
        <v>70000</v>
      </c>
      <c r="N11" s="26" cm="1">
        <f t="array" ref="N11">IF(F11&gt;0,IF($D11&lt;=0,0,ROUND(F11*J11,2)),"")</f>
        <v>70000</v>
      </c>
      <c r="O11" s="28"/>
    </row>
    <row r="12" ht="20.5" customHeight="1">
      <c r="A12" s="94">
        <v>2</v>
      </c>
      <c r="B12" t="s" s="19">
        <v>69</v>
      </c>
      <c r="C12" s="20"/>
      <c r="D12" s="21">
        <v>1</v>
      </c>
      <c r="E12" s="21" cm="1">
        <f t="array" ref="E12">D12</f>
        <v>1</v>
      </c>
      <c r="F12" s="21" cm="1">
        <f t="array" ref="F12">D12</f>
        <v>1</v>
      </c>
      <c r="G12" t="s" s="22">
        <v>68</v>
      </c>
      <c r="H12" s="21">
        <v>150000</v>
      </c>
      <c r="I12" s="21">
        <v>145000</v>
      </c>
      <c r="J12" s="21">
        <v>145000</v>
      </c>
      <c r="K12" s="21">
        <v>11</v>
      </c>
      <c r="L12" s="21" cm="1">
        <f t="array" ref="L12">IF(D12&gt;0,IF($D12&lt;=0,0,D12*H12),"")</f>
        <v>150000</v>
      </c>
      <c r="M12" s="21" cm="1">
        <f t="array" ref="M12">IF(E12&gt;0,IF($D12&lt;=0,0,ROUND(E12*I12,2)),"")</f>
        <v>145000</v>
      </c>
      <c r="N12" s="21" cm="1">
        <f t="array" ref="N12">IF(F12&gt;0,IF($D12&lt;=0,0,ROUND(F12*J12,2)),"")</f>
        <v>145000</v>
      </c>
      <c r="O12" s="23"/>
    </row>
    <row r="13" ht="20.5" customHeight="1">
      <c r="A13" s="29"/>
      <c r="B13" t="s" s="19">
        <v>70</v>
      </c>
      <c r="C13" s="24"/>
      <c r="D13" s="26"/>
      <c r="E13" s="26"/>
      <c r="F13" s="26"/>
      <c r="G13" s="30"/>
      <c r="H13" s="26"/>
      <c r="I13" s="26"/>
      <c r="J13" s="26"/>
      <c r="K13" s="26"/>
      <c r="L13" t="str" s="30" cm="1">
        <f t="array" ref="L13">IF(D13&gt;0,IF($D13&lt;=0,0,D13*H13),"")</f>
      </c>
      <c r="M13" t="str" s="30" cm="1">
        <f t="array" ref="M13">IF(E13&gt;0,IF($D13&lt;=0,0,ROUND(E13*I13,2)),"")</f>
      </c>
      <c r="N13" t="str" s="30" cm="1">
        <f t="array" ref="N13">IF(F13&gt;0,IF($D13&lt;=0,0,ROUND(F13*J13,2)),"")</f>
      </c>
      <c r="O13" s="31"/>
    </row>
    <row r="14" ht="20.5" customHeight="1">
      <c r="A14" s="95">
        <v>1</v>
      </c>
      <c r="B14" t="s" s="19">
        <v>72</v>
      </c>
      <c r="C14" s="20"/>
      <c r="D14" s="21">
        <v>1</v>
      </c>
      <c r="E14" s="21" cm="1">
        <f t="array" ref="E14">D14</f>
        <v>1</v>
      </c>
      <c r="F14" s="21" cm="1">
        <f t="array" ref="F14">D14</f>
        <v>1</v>
      </c>
      <c r="G14" t="s" s="22">
        <v>19</v>
      </c>
      <c r="H14" s="21">
        <v>2000000</v>
      </c>
      <c r="I14" s="21">
        <v>2000000</v>
      </c>
      <c r="J14" s="21">
        <v>2000000</v>
      </c>
      <c r="K14" s="21">
        <v>11</v>
      </c>
      <c r="L14" s="21" cm="1">
        <f t="array" ref="L14">IF(D14&gt;0,IF($D14&lt;=0,0,D14*H14),"")</f>
        <v>2000000</v>
      </c>
      <c r="M14" s="21" cm="1">
        <f t="array" ref="M14">IF(E14&gt;0,IF($D14&lt;=0,0,ROUND(E14*I14,2)),"")</f>
        <v>2000000</v>
      </c>
      <c r="N14" s="21" cm="1">
        <f t="array" ref="N14">IF(F14&gt;0,IF($D14&lt;=0,0,ROUND(F14*J14,2)),"")</f>
        <v>2000000</v>
      </c>
      <c r="O14" s="91"/>
    </row>
    <row r="15" ht="20.5" customHeight="1">
      <c r="A15" s="95">
        <v>2</v>
      </c>
      <c r="B15" t="s" s="19">
        <v>74</v>
      </c>
      <c r="C15" s="24"/>
      <c r="D15" s="26">
        <v>3</v>
      </c>
      <c r="E15" s="26" cm="1">
        <f t="array" ref="E15">D15</f>
        <v>3</v>
      </c>
      <c r="F15" s="26" cm="1">
        <f t="array" ref="F15">D15</f>
        <v>3</v>
      </c>
      <c r="G15" t="s" s="27">
        <v>75</v>
      </c>
      <c r="H15" s="26">
        <v>200000</v>
      </c>
      <c r="I15" s="26">
        <v>200000</v>
      </c>
      <c r="J15" s="26">
        <v>200000</v>
      </c>
      <c r="K15" s="26">
        <v>11</v>
      </c>
      <c r="L15" s="26" cm="1">
        <f t="array" ref="L15">IF(D15&gt;0,IF($D15&lt;=0,0,D15*H15),"")</f>
        <v>600000</v>
      </c>
      <c r="M15" s="26" cm="1">
        <f t="array" ref="M15">IF(E15&gt;0,IF($D15&lt;=0,0,ROUND(E15*I15,2)),"")</f>
        <v>600000</v>
      </c>
      <c r="N15" s="26" cm="1">
        <f t="array" ref="N15">IF(F15&gt;0,IF($D15&lt;=0,0,ROUND(F15*J15,2)),"")</f>
        <v>600000</v>
      </c>
      <c r="O15" s="28"/>
    </row>
    <row r="16" ht="20.5" customHeight="1">
      <c r="A16" s="95">
        <v>3</v>
      </c>
      <c r="B16" t="s" s="19">
        <v>76</v>
      </c>
      <c r="C16" s="20"/>
      <c r="D16" s="21" cm="1">
        <f t="array" ref="D16">3*D5</f>
        <v>9</v>
      </c>
      <c r="E16" s="21" cm="1">
        <f t="array" ref="E16">D16</f>
        <v>9</v>
      </c>
      <c r="F16" s="21" cm="1">
        <f t="array" ref="F16">D16</f>
        <v>9</v>
      </c>
      <c r="G16" t="s" s="22">
        <v>75</v>
      </c>
      <c r="H16" s="21">
        <v>150000</v>
      </c>
      <c r="I16" s="21">
        <v>150000</v>
      </c>
      <c r="J16" s="21">
        <v>150000</v>
      </c>
      <c r="K16" s="21">
        <v>11</v>
      </c>
      <c r="L16" s="21" cm="1">
        <f t="array" ref="L16">IF(D16&gt;0,IF($D16&lt;=0,0,D16*H16),"")</f>
        <v>1350000</v>
      </c>
      <c r="M16" s="21" cm="1">
        <f t="array" ref="M16">IF(E16&gt;0,IF($D16&lt;=0,0,ROUND(E16*I16,2)),"")</f>
        <v>1350000</v>
      </c>
      <c r="N16" s="21" cm="1">
        <f t="array" ref="N16">IF(F16&gt;0,IF($D16&lt;=0,0,ROUND(F16*J16,2)),"")</f>
        <v>1350000</v>
      </c>
      <c r="O16" s="23"/>
    </row>
    <row r="17" ht="20.5" customHeight="1">
      <c r="A17" s="95">
        <v>4</v>
      </c>
      <c r="B17" t="s" s="19">
        <v>77</v>
      </c>
      <c r="C17" s="24"/>
      <c r="D17" s="26">
        <v>3</v>
      </c>
      <c r="E17" s="26" cm="1">
        <f t="array" ref="E17">D17</f>
        <v>3</v>
      </c>
      <c r="F17" s="26" cm="1">
        <f t="array" ref="F17">D17</f>
        <v>3</v>
      </c>
      <c r="G17" t="s" s="27">
        <v>75</v>
      </c>
      <c r="H17" s="26">
        <v>200000</v>
      </c>
      <c r="I17" s="26">
        <v>200000</v>
      </c>
      <c r="J17" s="26">
        <v>200000</v>
      </c>
      <c r="K17" s="26">
        <v>11</v>
      </c>
      <c r="L17" s="26" cm="1">
        <f t="array" ref="L17">IF(D17&gt;0,IF($D17&lt;=0,0,D17*H17),"")</f>
        <v>600000</v>
      </c>
      <c r="M17" s="26" cm="1">
        <f t="array" ref="M17">IF(E17&gt;0,IF($D17&lt;=0,0,ROUND(E17*I17,2)),"")</f>
        <v>600000</v>
      </c>
      <c r="N17" s="26" cm="1">
        <f t="array" ref="N17">IF(F17&gt;0,IF($D17&lt;=0,0,ROUND(F17*J17,2)),"")</f>
        <v>600000</v>
      </c>
      <c r="O17" s="28"/>
    </row>
    <row r="18" ht="20.5" customHeight="1">
      <c r="A18" s="95">
        <v>5</v>
      </c>
      <c r="B18" t="s" s="19">
        <v>78</v>
      </c>
      <c r="C18" s="20"/>
      <c r="D18" s="21">
        <v>1</v>
      </c>
      <c r="E18" s="21" cm="1">
        <f t="array" ref="E18">D18</f>
        <v>1</v>
      </c>
      <c r="F18" s="21" cm="1">
        <f t="array" ref="F18">D18</f>
        <v>1</v>
      </c>
      <c r="G18" t="s" s="22">
        <v>79</v>
      </c>
      <c r="H18" s="21">
        <v>1800000</v>
      </c>
      <c r="I18" s="21">
        <v>1800000</v>
      </c>
      <c r="J18" s="21">
        <v>1800000</v>
      </c>
      <c r="K18" s="21">
        <v>11</v>
      </c>
      <c r="L18" s="21" cm="1">
        <f t="array" ref="L18">IF(D18&gt;0,IF($D18&lt;=0,0,D18*H18),"")</f>
        <v>1800000</v>
      </c>
      <c r="M18" s="21" cm="1">
        <f t="array" ref="M18">IF(E18&gt;0,IF($D18&lt;=0,0,ROUND(E18*I18,2)),"")</f>
        <v>1800000</v>
      </c>
      <c r="N18" s="21" cm="1">
        <f t="array" ref="N18">IF(F18&gt;0,IF($D18&lt;=0,0,ROUND(F18*J18,2)),"")</f>
        <v>1800000</v>
      </c>
      <c r="O18" s="91"/>
    </row>
    <row r="19" ht="20.5" customHeight="1">
      <c r="A19" t="s" s="18">
        <v>80</v>
      </c>
      <c r="B19" t="s" s="19">
        <v>81</v>
      </c>
      <c r="C19" s="24"/>
      <c r="D19" s="26"/>
      <c r="E19" s="26"/>
      <c r="F19" s="26"/>
      <c r="G19" s="30"/>
      <c r="H19" s="26"/>
      <c r="I19" s="26"/>
      <c r="J19" s="26"/>
      <c r="K19" s="26"/>
      <c r="L19" t="str" s="30" cm="1">
        <f t="array" ref="L19">IF(D19&gt;0,IF($D19&lt;=0,0,D19*H19),"")</f>
      </c>
      <c r="M19" t="str" s="30" cm="1">
        <f t="array" ref="M19">IF(E19&gt;0,IF($D19&lt;=0,0,ROUND(E19*I19,2)),"")</f>
      </c>
      <c r="N19" t="str" s="30" cm="1">
        <f t="array" ref="N19">IF(F19&gt;0,IF($D19&lt;=0,0,ROUND(F19*J19,2)),"")</f>
      </c>
      <c r="O19" s="31"/>
    </row>
    <row r="20" ht="20.5" customHeight="1">
      <c r="A20" s="29"/>
      <c r="B20" t="s" s="19">
        <v>82</v>
      </c>
      <c r="C20" s="20"/>
      <c r="D20" s="21">
        <v>1</v>
      </c>
      <c r="E20" s="21" cm="1">
        <f t="array" ref="E20">D20</f>
        <v>1</v>
      </c>
      <c r="F20" s="21" cm="1">
        <f t="array" ref="F20">D20</f>
        <v>1</v>
      </c>
      <c r="G20" t="s" s="22">
        <v>19</v>
      </c>
      <c r="H20" s="21">
        <v>64720.8</v>
      </c>
      <c r="I20" s="21">
        <v>64596</v>
      </c>
      <c r="J20" s="21">
        <v>64596</v>
      </c>
      <c r="K20" s="21">
        <v>0</v>
      </c>
      <c r="L20" s="21" cm="1">
        <f t="array" ref="L20">IF(D20&gt;0,IF($D20&lt;=0,0,D20*H20),"")</f>
        <v>64720.8</v>
      </c>
      <c r="M20" s="21" cm="1">
        <f t="array" ref="M20">IF(E20&gt;0,IF($D20&lt;=0,0,ROUND(E20*I20,2)),"")</f>
        <v>64596</v>
      </c>
      <c r="N20" s="21" cm="1">
        <f t="array" ref="N20">IF(F20&gt;0,IF($D20&lt;=0,0,ROUND(F20*J20,2)),"")</f>
        <v>64596</v>
      </c>
      <c r="O20" s="23"/>
    </row>
    <row r="21" ht="20.6" customHeight="1">
      <c r="A21" s="96"/>
      <c r="B21" s="97"/>
      <c r="C21" s="80"/>
      <c r="D21" s="81"/>
      <c r="E21" s="81"/>
      <c r="F21" s="81"/>
      <c r="G21" s="98"/>
      <c r="H21" s="81"/>
      <c r="I21" s="81"/>
      <c r="J21" s="81"/>
      <c r="K21" s="81"/>
      <c r="L21" t="str" s="98" cm="1">
        <f t="array" ref="L21">IF(D21&gt;0,IF($D21&lt;=0,0,D21*H21),"")</f>
      </c>
      <c r="M21" t="str" s="98" cm="1">
        <f t="array" ref="M21">IF(E21&gt;0,IF($D21&lt;=0,0,ROUND(E21*I21,2)),"")</f>
      </c>
      <c r="N21" t="str" s="98" cm="1">
        <f t="array" ref="N21">IF(F21&gt;0,IF($D21&lt;=0,0,ROUND(F21*J21,2)),"")</f>
      </c>
      <c r="O21" s="99"/>
    </row>
    <row r="22" ht="20.85" customHeight="1">
      <c r="A22" s="54"/>
      <c r="B22" s="54"/>
      <c r="C22" s="54"/>
      <c r="D22" s="55"/>
      <c r="E22" s="55"/>
      <c r="F22" s="55"/>
      <c r="G22" s="56"/>
      <c r="H22" s="56"/>
      <c r="I22" s="54"/>
      <c r="J22" s="57"/>
      <c r="K22" t="s" s="58">
        <v>38</v>
      </c>
      <c r="L22" s="59" cm="1">
        <f t="array" ref="L22">SUM(L3:L21)</f>
        <v>27031720.8</v>
      </c>
      <c r="M22" s="59" cm="1">
        <f t="array" ref="M22">SUM(M1:M21)</f>
        <v>26979596</v>
      </c>
      <c r="N22" s="59" cm="1">
        <f t="array" ref="N22">SUM(N1:N21)</f>
        <v>26979596</v>
      </c>
      <c r="O22" s="59"/>
    </row>
    <row r="23" ht="21" customHeight="1">
      <c r="A23" s="62"/>
      <c r="B23" t="s" s="61">
        <v>39</v>
      </c>
      <c r="C23" s="62"/>
      <c r="D23" s="63" cm="1">
        <f t="array" ref="D23">ROUND(IF(L23&lt;=100000000,L23*0.24%,IF(AND(L23&gt;100000000,L23&lt;=500000000),100000000*0.24%+(L23-100000000)*0.19%,IF(AND(L23&gt;500000000,L23&lt;=1000000000),100000000*0.24%+400000000*0.19%+(L23-500000000)*0.15%,IF(AND(L23&gt;1000000000,L23&lt;=5000000000),100000000*0.24%+400000000*0.19%+500000000*0.15%+(L23-1000000000)*0.12%,IF(L23&gt;5000000000,100000000*0.24%+400000000*0.19%+500000000*0.15%+4000000000*0.12%+(L23-5000000000)*0.1%,"Bingung komputer"))))),2)</f>
        <v>64720.8</v>
      </c>
      <c r="E23" s="64" cm="1">
        <f t="array" ref="E23">ROUND(IF(M23&lt;=100000000,M23*0.24%,IF(AND(M23&gt;100000000,M23&lt;=500000000),100000000*0.24%+(M23-100000000)*0.19%,IF(AND(M23&gt;500000000,M23&lt;=1000000000),100000000*0.24%+400000000*0.19%+(M23-500000000)*0.15%,IF(AND(M23&gt;1000000000,M23&lt;=5000000000),100000000*0.24%+400000000*0.19%+500000000*0.15%+(M23-1000000000)*0.12%,IF(M23&gt;5000000000,100000000*0.24%+400000000*0.19%+500000000*0.15%+4000000000*0.12%+(M23-5000000000)*0.1%,"Bingung komputer"))))),2)</f>
        <v>64596</v>
      </c>
      <c r="F23" s="64" cm="1">
        <f t="array" ref="F23">ROUND(IF(N23&lt;=100000000,N23*0.24%,IF(AND(N23&gt;100000000,N23&lt;=500000000),100000000*0.24%+(N23-100000000)*0.19%,IF(AND(N23&gt;500000000,N23&lt;=1000000000),100000000*0.24%+400000000*0.19%+(N23-500000000)*0.15%,IF(AND(N23&gt;1000000000,N23&lt;=5000000000),100000000*0.24%+400000000*0.19%+500000000*0.15%+(N23-1000000000)*0.12%,IF(N23&gt;5000000000,100000000*0.24%+400000000*0.19%+500000000*0.15%+4000000000*0.12%+(N23-5000000000)*0.1%,"Bingung komputer"))))),2)</f>
        <v>64596</v>
      </c>
      <c r="G23" s="65"/>
      <c r="H23" s="66"/>
      <c r="I23" s="62"/>
      <c r="J23" s="67"/>
      <c r="K23" t="str" s="67" cm="1">
        <f t="array" ref="K23">"Jumlah Terkena Pajak "&amp;MAX(K3:K21)&amp;"% (B)"</f>
        <v>Jumlah Terkena Pajak 11,00% (B)</v>
      </c>
      <c r="L23" s="68" cm="1">
        <f t="array" ref="L23">SUMIF($K3:$K21,"&gt;0",L3:L21)</f>
        <v>26967000</v>
      </c>
      <c r="M23" s="68" cm="1">
        <f t="array" ref="M23">SUMIF($K3:$K21,"&gt;0",M3:M21)</f>
        <v>26915000</v>
      </c>
      <c r="N23" s="68" cm="1">
        <f t="array" ref="N23">SUMIF($K3:$K21,"&gt;0",N3:N21)</f>
        <v>26915000</v>
      </c>
      <c r="O23" s="69"/>
    </row>
    <row r="24" ht="21" customHeight="1">
      <c r="A24" s="71"/>
      <c r="B24" s="71"/>
      <c r="C24" s="71"/>
      <c r="D24" s="72"/>
      <c r="E24" s="72"/>
      <c r="F24" s="71"/>
      <c r="G24" s="72"/>
      <c r="H24" s="72"/>
      <c r="I24" s="71"/>
      <c r="J24" s="73"/>
      <c r="K24" t="str" s="73" cm="1">
        <f t="array" ref="K24">"PPN (C) = "&amp;MAX(K3:K21)&amp;"% x B"</f>
        <v>PPN (C) = 11,00% x B</v>
      </c>
      <c r="L24" s="74" cm="1">
        <f t="array" ref="L24">L23*MAX($K3:$K21)%</f>
        <v>2966370</v>
      </c>
      <c r="M24" s="74" cm="1">
        <f t="array" ref="M24">M23*MAX($K3:$K21)%</f>
        <v>2960650</v>
      </c>
      <c r="N24" s="74" cm="1">
        <f t="array" ref="N24">N23*MAX($K3:$K21)%</f>
        <v>2960650</v>
      </c>
      <c r="O24" s="69"/>
    </row>
    <row r="25" ht="21" customHeight="1">
      <c r="A25" s="71"/>
      <c r="B25" s="71"/>
      <c r="C25" s="71"/>
      <c r="D25" s="72"/>
      <c r="E25" s="72"/>
      <c r="F25" s="72"/>
      <c r="G25" s="72"/>
      <c r="H25" s="72"/>
      <c r="I25" s="71"/>
      <c r="J25" s="73"/>
      <c r="K25" t="s" s="75">
        <v>42</v>
      </c>
      <c r="L25" s="74" cm="1">
        <f t="array" ref="L25">L22+L24</f>
        <v>29998090.8</v>
      </c>
      <c r="M25" s="74" cm="1">
        <f t="array" ref="M25">M22+M24</f>
        <v>29940246</v>
      </c>
      <c r="N25" s="74" cm="1">
        <f t="array" ref="N25">N22+N24</f>
        <v>29940246</v>
      </c>
      <c r="O25" s="69"/>
    </row>
    <row r="26" ht="20.5" customHeight="1">
      <c r="A26" s="71"/>
      <c r="B26" s="71"/>
      <c r="C26" s="71"/>
      <c r="D26" s="72"/>
      <c r="E26" s="72"/>
      <c r="F26" s="72"/>
      <c r="G26" s="72"/>
      <c r="H26" s="72"/>
      <c r="I26" s="71"/>
      <c r="J26" s="73"/>
      <c r="K26" t="s" s="75">
        <v>43</v>
      </c>
      <c r="L26" s="74" cm="1">
        <f t="array" ref="L26">ROUNDDOWN(L25,2)</f>
        <v>29998090.8</v>
      </c>
      <c r="M26" s="74" cm="1">
        <f t="array" ref="M26">ROUNDDOWN(M25,2)</f>
        <v>29940246</v>
      </c>
      <c r="N26" s="74" cm="1">
        <f t="array" ref="N26">ROUNDDOWN(N25,-3)</f>
        <v>29940000</v>
      </c>
      <c r="O26" s="68"/>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5.xml><?xml version="1.0" encoding="utf-8"?>
<worksheet xmlns:r="http://schemas.openxmlformats.org/officeDocument/2006/relationships" xmlns="http://schemas.openxmlformats.org/spreadsheetml/2006/main">
  <sheetPr>
    <pageSetUpPr fitToPage="1"/>
  </sheetPr>
  <dimension ref="A1:O26"/>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7.17188" style="116" customWidth="1"/>
    <col min="2" max="2" width="43.0312" style="116" customWidth="1"/>
    <col min="3" max="3" width="2.75" style="116" customWidth="1"/>
    <col min="4" max="6" width="10.3672" style="116" customWidth="1"/>
    <col min="7" max="7" width="11.6875" style="116" customWidth="1"/>
    <col min="8" max="11" width="13.5156" style="116" customWidth="1"/>
    <col min="12" max="15" width="14.2344" style="116" customWidth="1"/>
    <col min="16" max="16384" width="16.3516" style="116" customWidth="1"/>
  </cols>
  <sheetData>
    <row r="1" ht="20.5" customHeight="1">
      <c r="A1" t="s" s="7">
        <v>6</v>
      </c>
      <c r="B1" t="s" s="7">
        <v>7</v>
      </c>
      <c r="C1" s="8"/>
      <c r="D1" t="s" s="7">
        <v>8</v>
      </c>
      <c r="E1" s="8"/>
      <c r="F1" s="8"/>
      <c r="G1" t="s" s="7">
        <v>9</v>
      </c>
      <c r="H1" t="s" s="7">
        <v>10</v>
      </c>
      <c r="I1" s="8"/>
      <c r="J1" s="8"/>
      <c r="K1" t="s" s="7">
        <v>11</v>
      </c>
      <c r="L1" t="s" s="7">
        <v>12</v>
      </c>
      <c r="M1" s="8"/>
      <c r="N1" s="8"/>
      <c r="O1" s="88"/>
    </row>
    <row r="2" ht="20.85" customHeight="1">
      <c r="A2" s="9"/>
      <c r="B2" s="9"/>
      <c r="C2" s="9"/>
      <c r="D2" t="s" s="10">
        <v>13</v>
      </c>
      <c r="E2" t="s" s="10">
        <v>14</v>
      </c>
      <c r="F2" t="s" s="10">
        <v>15</v>
      </c>
      <c r="G2" s="9"/>
      <c r="H2" t="s" s="10">
        <v>13</v>
      </c>
      <c r="I2" t="s" s="10">
        <v>14</v>
      </c>
      <c r="J2" t="s" s="10">
        <v>15</v>
      </c>
      <c r="K2" s="9"/>
      <c r="L2" t="s" s="10">
        <v>13</v>
      </c>
      <c r="M2" t="s" s="10">
        <v>14</v>
      </c>
      <c r="N2" t="s" s="10">
        <v>15</v>
      </c>
      <c r="O2" s="89"/>
    </row>
    <row r="3" ht="20.6" customHeight="1">
      <c r="A3" t="s" s="90">
        <v>51</v>
      </c>
      <c r="B3" t="s" s="12">
        <v>52</v>
      </c>
      <c r="C3" s="13"/>
      <c r="D3" s="14"/>
      <c r="E3" s="14"/>
      <c r="F3" s="14"/>
      <c r="G3" s="15"/>
      <c r="H3" s="15"/>
      <c r="I3" s="15"/>
      <c r="J3" s="15"/>
      <c r="K3" s="15"/>
      <c r="L3" t="str" s="16" cm="1">
        <f t="array" ref="L3">IF(D3&gt;0,IF($D3&lt;=0,0,D3*H3),"")</f>
      </c>
      <c r="M3" t="str" s="16" cm="1">
        <f t="array" ref="M3">IF(E3&gt;0,IF($D3&lt;=0,0,ROUND(E3*I3,2)),"")</f>
      </c>
      <c r="N3" t="str" s="16" cm="1">
        <f t="array" ref="N3">IF(F3&gt;0,IF($D3&lt;=0,0,ROUND(F3*J3,2)),"")</f>
      </c>
      <c r="O3" s="17"/>
    </row>
    <row r="4" ht="20.5" customHeight="1">
      <c r="A4" t="s" s="18">
        <v>53</v>
      </c>
      <c r="B4" t="s" s="19">
        <v>54</v>
      </c>
      <c r="C4" s="20"/>
      <c r="D4" s="21"/>
      <c r="E4" s="21"/>
      <c r="F4" s="21"/>
      <c r="G4" s="79"/>
      <c r="H4" s="21"/>
      <c r="I4" s="79"/>
      <c r="J4" s="21"/>
      <c r="K4" s="21"/>
      <c r="L4" t="str" s="79" cm="1">
        <f t="array" ref="L4">IF(D4&gt;0,IF($D4&lt;=0,0,D4*H4),"")</f>
      </c>
      <c r="M4" t="str" s="79" cm="1">
        <f t="array" ref="M4">IF(E4&gt;0,IF($D4&lt;=0,0,ROUND(E4*I4,2)),"")</f>
      </c>
      <c r="N4" t="str" s="79" cm="1">
        <f t="array" ref="N4">IF(F4&gt;0,IF($D4&lt;=0,0,ROUND(F4*J4,2)),"")</f>
      </c>
      <c r="O4" s="91"/>
    </row>
    <row r="5" ht="32.5" customHeight="1">
      <c r="A5" s="92">
        <v>1</v>
      </c>
      <c r="B5" t="s" s="19">
        <v>123</v>
      </c>
      <c r="C5" s="24"/>
      <c r="D5" s="26">
        <v>3</v>
      </c>
      <c r="E5" s="26" cm="1">
        <f t="array" ref="E5">D5</f>
        <v>3</v>
      </c>
      <c r="F5" s="26" cm="1">
        <f t="array" ref="F5">D5</f>
        <v>3</v>
      </c>
      <c r="G5" t="s" s="27">
        <v>56</v>
      </c>
      <c r="H5" s="26">
        <v>7600000</v>
      </c>
      <c r="I5" s="26">
        <v>7550000</v>
      </c>
      <c r="J5" s="26">
        <v>7550000</v>
      </c>
      <c r="K5" s="26">
        <v>11</v>
      </c>
      <c r="L5" s="26" cm="1">
        <f t="array" ref="L5">IF(D5&gt;0,IF($D5&lt;=0,0,D5*H5),"")</f>
        <v>22800000</v>
      </c>
      <c r="M5" s="26" cm="1">
        <f t="array" ref="M5">IF(E5&gt;0,IF($D5&lt;=0,0,ROUND(E5*I5,2)),"")</f>
        <v>22650000</v>
      </c>
      <c r="N5" s="26" cm="1">
        <f t="array" ref="N5">IF(F5&gt;0,IF($D5&lt;=0,0,ROUND(F5*J5,2)),"")</f>
        <v>22650000</v>
      </c>
      <c r="O5" s="28" cm="1">
        <f t="array" ref="O5">L5/L$22</f>
        <v>0.632572545361611</v>
      </c>
    </row>
    <row r="6" ht="20.5" customHeight="1">
      <c r="A6" t="s" s="93">
        <v>58</v>
      </c>
      <c r="B6" t="s" s="19">
        <v>59</v>
      </c>
      <c r="C6" s="20"/>
      <c r="D6" s="21"/>
      <c r="E6" s="21"/>
      <c r="F6" s="21"/>
      <c r="G6" s="79"/>
      <c r="H6" s="21"/>
      <c r="I6" s="21"/>
      <c r="J6" s="21"/>
      <c r="K6" s="21"/>
      <c r="L6" t="str" s="79" cm="1">
        <f t="array" ref="L6">IF(D6&gt;0,IF($D6&lt;=0,0,D6*H6),"")</f>
      </c>
      <c r="M6" t="str" s="79" cm="1">
        <f t="array" ref="M6">IF(E6&gt;0,IF($D6&lt;=0,0,ROUND(E6*I6,2)),"")</f>
      </c>
      <c r="N6" t="str" s="79" cm="1">
        <f t="array" ref="N6">IF(F6&gt;0,IF($D6&lt;=0,0,ROUND(F6*J6,2)),"")</f>
      </c>
      <c r="O6" s="91"/>
    </row>
    <row r="7" ht="20.5" customHeight="1">
      <c r="A7" t="s" s="18">
        <v>53</v>
      </c>
      <c r="B7" t="s" s="19">
        <v>60</v>
      </c>
      <c r="C7" s="24"/>
      <c r="D7" s="26"/>
      <c r="E7" s="26"/>
      <c r="F7" s="26"/>
      <c r="G7" s="30"/>
      <c r="H7" s="26"/>
      <c r="I7" s="26"/>
      <c r="J7" s="26"/>
      <c r="K7" s="26"/>
      <c r="L7" t="str" s="30" cm="1">
        <f t="array" ref="L7">IF(D7&gt;0,IF($D7&lt;=0,0,D7*H7),"")</f>
      </c>
      <c r="M7" t="str" s="30" cm="1">
        <f t="array" ref="M7">IF(E7&gt;0,IF($D7&lt;=0,0,ROUND(E7*I7,2)),"")</f>
      </c>
      <c r="N7" t="str" s="30" cm="1">
        <f t="array" ref="N7">IF(F7&gt;0,IF($D7&lt;=0,0,ROUND(F7*J7,2)),"")</f>
      </c>
      <c r="O7" s="31"/>
    </row>
    <row r="8" ht="20.5" customHeight="1">
      <c r="A8" s="94">
        <v>1</v>
      </c>
      <c r="B8" t="s" s="19">
        <v>124</v>
      </c>
      <c r="C8" s="20"/>
      <c r="D8" s="21">
        <v>1</v>
      </c>
      <c r="E8" s="21" cm="1">
        <f t="array" ref="E8">D8</f>
        <v>1</v>
      </c>
      <c r="F8" s="21" cm="1">
        <f t="array" ref="F8">D8</f>
        <v>1</v>
      </c>
      <c r="G8" t="s" s="22">
        <v>19</v>
      </c>
      <c r="H8" s="21">
        <v>1000000</v>
      </c>
      <c r="I8" s="21">
        <v>1100000</v>
      </c>
      <c r="J8" s="21">
        <v>1000000</v>
      </c>
      <c r="K8" s="21">
        <v>11</v>
      </c>
      <c r="L8" s="21" cm="1">
        <f t="array" ref="L8">IF(D8&gt;0,IF($D8&lt;=0,0,D8*H8),"")</f>
        <v>1000000</v>
      </c>
      <c r="M8" s="21" cm="1">
        <f t="array" ref="M8">IF(E8&gt;0,IF($D8&lt;=0,0,ROUND(E8*I8,2)),"")</f>
        <v>1100000</v>
      </c>
      <c r="N8" s="21" cm="1">
        <f t="array" ref="N8">IF(F8&gt;0,IF($D8&lt;=0,0,ROUND(F8*J8,2)),"")</f>
        <v>1000000</v>
      </c>
      <c r="O8" s="23"/>
    </row>
    <row r="9" ht="32.5" customHeight="1">
      <c r="A9" s="95">
        <v>2</v>
      </c>
      <c r="B9" t="s" s="19">
        <v>63</v>
      </c>
      <c r="C9" s="24"/>
      <c r="D9" s="26">
        <v>1</v>
      </c>
      <c r="E9" s="26" cm="1">
        <f t="array" ref="E9">D9</f>
        <v>1</v>
      </c>
      <c r="F9" s="26" cm="1">
        <f t="array" ref="F9">D9</f>
        <v>1</v>
      </c>
      <c r="G9" t="s" s="27">
        <v>19</v>
      </c>
      <c r="H9" s="26">
        <v>5530000</v>
      </c>
      <c r="I9" s="26">
        <v>5500000</v>
      </c>
      <c r="J9" s="26">
        <v>5500000</v>
      </c>
      <c r="K9" s="26">
        <v>11</v>
      </c>
      <c r="L9" s="26" cm="1">
        <f t="array" ref="L9">IF(D9&gt;0,IF($D9&lt;=0,0,D9*H9),"")</f>
        <v>5530000</v>
      </c>
      <c r="M9" s="26" cm="1">
        <f t="array" ref="M9">IF(E9&gt;0,IF($D9&lt;=0,0,ROUND(E9*I9,2)),"")</f>
        <v>5500000</v>
      </c>
      <c r="N9" s="26" cm="1">
        <f t="array" ref="N9">IF(F9&gt;0,IF($D9&lt;=0,0,ROUND(F9*J9,2)),"")</f>
        <v>5500000</v>
      </c>
      <c r="O9" s="28"/>
    </row>
    <row r="10" ht="20.5" customHeight="1">
      <c r="A10" s="94"/>
      <c r="B10" t="s" s="19">
        <v>66</v>
      </c>
      <c r="C10" s="20"/>
      <c r="D10" s="21"/>
      <c r="E10" s="21"/>
      <c r="F10" s="21"/>
      <c r="G10" s="79"/>
      <c r="H10" s="21"/>
      <c r="I10" s="21"/>
      <c r="J10" s="21"/>
      <c r="K10" s="21"/>
      <c r="L10" t="str" s="79" cm="1">
        <f t="array" ref="L10">IF(D10&gt;0,IF($D10&lt;=0,0,D10*H10),"")</f>
      </c>
      <c r="M10" t="str" s="79" cm="1">
        <f t="array" ref="M10">IF(E10&gt;0,IF($D10&lt;=0,0,ROUND(E10*I10,2)),"")</f>
      </c>
      <c r="N10" t="str" s="79" cm="1">
        <f t="array" ref="N10">IF(F10&gt;0,IF($D10&lt;=0,0,ROUND(F10*J10,2)),"")</f>
      </c>
      <c r="O10" s="23"/>
    </row>
    <row r="11" ht="20.5" customHeight="1">
      <c r="A11" s="94">
        <v>1</v>
      </c>
      <c r="B11" t="s" s="19">
        <v>67</v>
      </c>
      <c r="C11" s="24"/>
      <c r="D11" s="26">
        <v>1</v>
      </c>
      <c r="E11" s="26" cm="1">
        <f t="array" ref="E11">D11</f>
        <v>1</v>
      </c>
      <c r="F11" s="26" cm="1">
        <f t="array" ref="F11">D11</f>
        <v>1</v>
      </c>
      <c r="G11" t="s" s="27">
        <v>68</v>
      </c>
      <c r="H11" s="26">
        <v>77000</v>
      </c>
      <c r="I11" s="26">
        <v>75000</v>
      </c>
      <c r="J11" s="26">
        <v>75000</v>
      </c>
      <c r="K11" s="26">
        <v>11</v>
      </c>
      <c r="L11" s="26" cm="1">
        <f t="array" ref="L11">IF(D11&gt;0,IF($D11&lt;=0,0,D11*H11),"")</f>
        <v>77000</v>
      </c>
      <c r="M11" s="26" cm="1">
        <f t="array" ref="M11">IF(E11&gt;0,IF($D11&lt;=0,0,ROUND(E11*I11,2)),"")</f>
        <v>75000</v>
      </c>
      <c r="N11" s="26" cm="1">
        <f t="array" ref="N11">IF(F11&gt;0,IF($D11&lt;=0,0,ROUND(F11*J11,2)),"")</f>
        <v>75000</v>
      </c>
      <c r="O11" s="28"/>
    </row>
    <row r="12" ht="20.5" customHeight="1">
      <c r="A12" s="94">
        <v>2</v>
      </c>
      <c r="B12" t="s" s="19">
        <v>69</v>
      </c>
      <c r="C12" s="20"/>
      <c r="D12" s="21">
        <v>1</v>
      </c>
      <c r="E12" s="21" cm="1">
        <f t="array" ref="E12">D12</f>
        <v>1</v>
      </c>
      <c r="F12" s="21" cm="1">
        <f t="array" ref="F12">D12</f>
        <v>1</v>
      </c>
      <c r="G12" t="s" s="22">
        <v>68</v>
      </c>
      <c r="H12" s="21">
        <v>200000</v>
      </c>
      <c r="I12" s="21">
        <v>200000</v>
      </c>
      <c r="J12" s="21">
        <v>200000</v>
      </c>
      <c r="K12" s="21">
        <v>11</v>
      </c>
      <c r="L12" s="21" cm="1">
        <f t="array" ref="L12">IF(D12&gt;0,IF($D12&lt;=0,0,D12*H12),"")</f>
        <v>200000</v>
      </c>
      <c r="M12" s="21" cm="1">
        <f t="array" ref="M12">IF(E12&gt;0,IF($D12&lt;=0,0,ROUND(E12*I12,2)),"")</f>
        <v>200000</v>
      </c>
      <c r="N12" s="21" cm="1">
        <f t="array" ref="N12">IF(F12&gt;0,IF($D12&lt;=0,0,ROUND(F12*J12,2)),"")</f>
        <v>200000</v>
      </c>
      <c r="O12" s="23"/>
    </row>
    <row r="13" ht="20.5" customHeight="1">
      <c r="A13" s="29"/>
      <c r="B13" t="s" s="19">
        <v>70</v>
      </c>
      <c r="C13" s="24"/>
      <c r="D13" s="26"/>
      <c r="E13" s="26"/>
      <c r="F13" s="26"/>
      <c r="G13" s="30"/>
      <c r="H13" s="26"/>
      <c r="I13" s="26"/>
      <c r="J13" s="26"/>
      <c r="K13" s="26"/>
      <c r="L13" t="str" s="30" cm="1">
        <f t="array" ref="L13">IF(D13&gt;0,IF($D13&lt;=0,0,D13*H13),"")</f>
      </c>
      <c r="M13" t="str" s="30" cm="1">
        <f t="array" ref="M13">IF(E13&gt;0,IF($D13&lt;=0,0,ROUND(E13*I13,2)),"")</f>
      </c>
      <c r="N13" t="str" s="30" cm="1">
        <f t="array" ref="N13">IF(F13&gt;0,IF($D13&lt;=0,0,ROUND(F13*J13,2)),"")</f>
      </c>
      <c r="O13" s="31"/>
    </row>
    <row r="14" ht="20.5" customHeight="1">
      <c r="A14" s="95">
        <v>1</v>
      </c>
      <c r="B14" t="s" s="19">
        <v>72</v>
      </c>
      <c r="C14" s="20"/>
      <c r="D14" s="21">
        <v>1</v>
      </c>
      <c r="E14" s="21" cm="1">
        <f t="array" ref="E14">D14</f>
        <v>1</v>
      </c>
      <c r="F14" s="21" cm="1">
        <f t="array" ref="F14">D14</f>
        <v>1</v>
      </c>
      <c r="G14" t="s" s="22">
        <v>19</v>
      </c>
      <c r="H14" s="21">
        <v>2000000</v>
      </c>
      <c r="I14" s="21">
        <v>2000000</v>
      </c>
      <c r="J14" s="21">
        <v>2000000</v>
      </c>
      <c r="K14" s="21">
        <v>11</v>
      </c>
      <c r="L14" s="21" cm="1">
        <f t="array" ref="L14">IF(D14&gt;0,IF($D14&lt;=0,0,D14*H14),"")</f>
        <v>2000000</v>
      </c>
      <c r="M14" s="21" cm="1">
        <f t="array" ref="M14">IF(E14&gt;0,IF($D14&lt;=0,0,ROUND(E14*I14,2)),"")</f>
        <v>2000000</v>
      </c>
      <c r="N14" s="21" cm="1">
        <f t="array" ref="N14">IF(F14&gt;0,IF($D14&lt;=0,0,ROUND(F14*J14,2)),"")</f>
        <v>2000000</v>
      </c>
      <c r="O14" s="91"/>
    </row>
    <row r="15" ht="20.5" customHeight="1">
      <c r="A15" s="95">
        <v>2</v>
      </c>
      <c r="B15" t="s" s="19">
        <v>74</v>
      </c>
      <c r="C15" s="24"/>
      <c r="D15" s="26">
        <v>3</v>
      </c>
      <c r="E15" s="26" cm="1">
        <f t="array" ref="E15">D15</f>
        <v>3</v>
      </c>
      <c r="F15" s="26" cm="1">
        <f t="array" ref="F15">D15</f>
        <v>3</v>
      </c>
      <c r="G15" t="s" s="27">
        <v>75</v>
      </c>
      <c r="H15" s="26">
        <v>200000</v>
      </c>
      <c r="I15" s="26">
        <v>200000</v>
      </c>
      <c r="J15" s="26">
        <v>200000</v>
      </c>
      <c r="K15" s="26">
        <v>11</v>
      </c>
      <c r="L15" s="26" cm="1">
        <f t="array" ref="L15">IF(D15&gt;0,IF($D15&lt;=0,0,D15*H15),"")</f>
        <v>600000</v>
      </c>
      <c r="M15" s="26" cm="1">
        <f t="array" ref="M15">IF(E15&gt;0,IF($D15&lt;=0,0,ROUND(E15*I15,2)),"")</f>
        <v>600000</v>
      </c>
      <c r="N15" s="26" cm="1">
        <f t="array" ref="N15">IF(F15&gt;0,IF($D15&lt;=0,0,ROUND(F15*J15,2)),"")</f>
        <v>600000</v>
      </c>
      <c r="O15" s="28"/>
    </row>
    <row r="16" ht="20.5" customHeight="1">
      <c r="A16" s="95">
        <v>3</v>
      </c>
      <c r="B16" t="s" s="19">
        <v>76</v>
      </c>
      <c r="C16" s="20"/>
      <c r="D16" s="21" cm="1">
        <f t="array" ref="D16">3*D5</f>
        <v>9</v>
      </c>
      <c r="E16" s="21" cm="1">
        <f t="array" ref="E16">D16</f>
        <v>9</v>
      </c>
      <c r="F16" s="21" cm="1">
        <f t="array" ref="F16">D16</f>
        <v>9</v>
      </c>
      <c r="G16" t="s" s="22">
        <v>75</v>
      </c>
      <c r="H16" s="21">
        <v>150000</v>
      </c>
      <c r="I16" s="21">
        <v>150000</v>
      </c>
      <c r="J16" s="21">
        <v>150000</v>
      </c>
      <c r="K16" s="21">
        <v>11</v>
      </c>
      <c r="L16" s="21" cm="1">
        <f t="array" ref="L16">IF(D16&gt;0,IF($D16&lt;=0,0,D16*H16),"")</f>
        <v>1350000</v>
      </c>
      <c r="M16" s="21" cm="1">
        <f t="array" ref="M16">IF(E16&gt;0,IF($D16&lt;=0,0,ROUND(E16*I16,2)),"")</f>
        <v>1350000</v>
      </c>
      <c r="N16" s="21" cm="1">
        <f t="array" ref="N16">IF(F16&gt;0,IF($D16&lt;=0,0,ROUND(F16*J16,2)),"")</f>
        <v>1350000</v>
      </c>
      <c r="O16" s="23"/>
    </row>
    <row r="17" ht="20.5" customHeight="1">
      <c r="A17" s="95">
        <v>4</v>
      </c>
      <c r="B17" t="s" s="19">
        <v>77</v>
      </c>
      <c r="C17" s="24"/>
      <c r="D17" s="26">
        <v>3</v>
      </c>
      <c r="E17" s="26" cm="1">
        <f t="array" ref="E17">D17</f>
        <v>3</v>
      </c>
      <c r="F17" s="26" cm="1">
        <f t="array" ref="F17">D17</f>
        <v>3</v>
      </c>
      <c r="G17" t="s" s="27">
        <v>75</v>
      </c>
      <c r="H17" s="26">
        <v>200000</v>
      </c>
      <c r="I17" s="26">
        <v>200000</v>
      </c>
      <c r="J17" s="26">
        <v>200000</v>
      </c>
      <c r="K17" s="26">
        <v>11</v>
      </c>
      <c r="L17" s="26" cm="1">
        <f t="array" ref="L17">IF(D17&gt;0,IF($D17&lt;=0,0,D17*H17),"")</f>
        <v>600000</v>
      </c>
      <c r="M17" s="26" cm="1">
        <f t="array" ref="M17">IF(E17&gt;0,IF($D17&lt;=0,0,ROUND(E17*I17,2)),"")</f>
        <v>600000</v>
      </c>
      <c r="N17" s="26" cm="1">
        <f t="array" ref="N17">IF(F17&gt;0,IF($D17&lt;=0,0,ROUND(F17*J17,2)),"")</f>
        <v>600000</v>
      </c>
      <c r="O17" s="28"/>
    </row>
    <row r="18" ht="20.5" customHeight="1">
      <c r="A18" s="95">
        <v>5</v>
      </c>
      <c r="B18" t="s" s="19">
        <v>78</v>
      </c>
      <c r="C18" s="20"/>
      <c r="D18" s="21">
        <v>1</v>
      </c>
      <c r="E18" s="21" cm="1">
        <f t="array" ref="E18">D18</f>
        <v>1</v>
      </c>
      <c r="F18" s="21" cm="1">
        <f t="array" ref="F18">D18</f>
        <v>1</v>
      </c>
      <c r="G18" t="s" s="22">
        <v>79</v>
      </c>
      <c r="H18" s="21">
        <v>1800000</v>
      </c>
      <c r="I18" s="21">
        <v>1800000</v>
      </c>
      <c r="J18" s="21">
        <v>1800000</v>
      </c>
      <c r="K18" s="21">
        <v>11</v>
      </c>
      <c r="L18" s="21" cm="1">
        <f t="array" ref="L18">IF(D18&gt;0,IF($D18&lt;=0,0,D18*H18),"")</f>
        <v>1800000</v>
      </c>
      <c r="M18" s="21" cm="1">
        <f t="array" ref="M18">IF(E18&gt;0,IF($D18&lt;=0,0,ROUND(E18*I18,2)),"")</f>
        <v>1800000</v>
      </c>
      <c r="N18" s="21" cm="1">
        <f t="array" ref="N18">IF(F18&gt;0,IF($D18&lt;=0,0,ROUND(F18*J18,2)),"")</f>
        <v>1800000</v>
      </c>
      <c r="O18" s="91"/>
    </row>
    <row r="19" ht="20.5" customHeight="1">
      <c r="A19" t="s" s="18">
        <v>80</v>
      </c>
      <c r="B19" t="s" s="19">
        <v>81</v>
      </c>
      <c r="C19" s="24"/>
      <c r="D19" s="26"/>
      <c r="E19" s="26"/>
      <c r="F19" s="26"/>
      <c r="G19" s="30"/>
      <c r="H19" s="26"/>
      <c r="I19" s="26"/>
      <c r="J19" s="26"/>
      <c r="K19" s="26"/>
      <c r="L19" t="str" s="30" cm="1">
        <f t="array" ref="L19">IF(D19&gt;0,IF($D19&lt;=0,0,D19*H19),"")</f>
      </c>
      <c r="M19" t="str" s="30" cm="1">
        <f t="array" ref="M19">IF(E19&gt;0,IF($D19&lt;=0,0,ROUND(E19*I19,2)),"")</f>
      </c>
      <c r="N19" t="str" s="30" cm="1">
        <f t="array" ref="N19">IF(F19&gt;0,IF($D19&lt;=0,0,ROUND(F19*J19,2)),"")</f>
      </c>
      <c r="O19" s="31"/>
    </row>
    <row r="20" ht="20.5" customHeight="1">
      <c r="A20" s="29"/>
      <c r="B20" t="s" s="19">
        <v>82</v>
      </c>
      <c r="C20" s="20"/>
      <c r="D20" s="21">
        <v>1</v>
      </c>
      <c r="E20" s="21" cm="1">
        <f t="array" ref="E20">D20</f>
        <v>1</v>
      </c>
      <c r="F20" s="21" cm="1">
        <f t="array" ref="F20">D20</f>
        <v>1</v>
      </c>
      <c r="G20" t="s" s="22">
        <v>19</v>
      </c>
      <c r="H20" s="21">
        <v>86296.8</v>
      </c>
      <c r="I20" s="21">
        <v>86100</v>
      </c>
      <c r="J20" s="21">
        <v>86100</v>
      </c>
      <c r="K20" s="21">
        <v>0</v>
      </c>
      <c r="L20" s="21" cm="1">
        <f t="array" ref="L20">IF(D20&gt;0,IF($D20&lt;=0,0,D20*H20),"")</f>
        <v>86296.8</v>
      </c>
      <c r="M20" s="21" cm="1">
        <f t="array" ref="M20">IF(E20&gt;0,IF($D20&lt;=0,0,ROUND(E20*I20,2)),"")</f>
        <v>86100</v>
      </c>
      <c r="N20" s="21" cm="1">
        <f t="array" ref="N20">IF(F20&gt;0,IF($D20&lt;=0,0,ROUND(F20*J20,2)),"")</f>
        <v>86100</v>
      </c>
      <c r="O20" s="23"/>
    </row>
    <row r="21" ht="20.6" customHeight="1">
      <c r="A21" s="96"/>
      <c r="B21" s="97"/>
      <c r="C21" s="80"/>
      <c r="D21" s="81"/>
      <c r="E21" s="81"/>
      <c r="F21" s="81"/>
      <c r="G21" s="98"/>
      <c r="H21" s="81"/>
      <c r="I21" s="81"/>
      <c r="J21" s="81"/>
      <c r="K21" s="81"/>
      <c r="L21" t="str" s="98" cm="1">
        <f t="array" ref="L21">IF(D21&gt;0,IF($D21&lt;=0,0,D21*H21),"")</f>
      </c>
      <c r="M21" t="str" s="98" cm="1">
        <f t="array" ref="M21">IF(E21&gt;0,IF($D21&lt;=0,0,ROUND(E21*I21,2)),"")</f>
      </c>
      <c r="N21" t="str" s="98" cm="1">
        <f t="array" ref="N21">IF(F21&gt;0,IF($D21&lt;=0,0,ROUND(F21*J21,2)),"")</f>
      </c>
      <c r="O21" s="99"/>
    </row>
    <row r="22" ht="20.85" customHeight="1">
      <c r="A22" s="54"/>
      <c r="B22" s="54"/>
      <c r="C22" s="54"/>
      <c r="D22" s="55"/>
      <c r="E22" s="55"/>
      <c r="F22" s="55"/>
      <c r="G22" s="56"/>
      <c r="H22" s="56"/>
      <c r="I22" s="54"/>
      <c r="J22" s="57"/>
      <c r="K22" t="s" s="58">
        <v>38</v>
      </c>
      <c r="L22" s="59" cm="1">
        <f t="array" ref="L22">SUM(L3:L21)</f>
        <v>36043296.8</v>
      </c>
      <c r="M22" s="59" cm="1">
        <f t="array" ref="M22">SUM(M1:M21)</f>
        <v>35961100</v>
      </c>
      <c r="N22" s="59" cm="1">
        <f t="array" ref="N22">SUM(N1:N21)</f>
        <v>35861100</v>
      </c>
      <c r="O22" s="59"/>
    </row>
    <row r="23" ht="21" customHeight="1">
      <c r="A23" s="62"/>
      <c r="B23" t="s" s="61">
        <v>39</v>
      </c>
      <c r="C23" s="62"/>
      <c r="D23" s="63" cm="1">
        <f t="array" ref="D23">ROUND(IF(L23&lt;=100000000,L23*0.24%,IF(AND(L23&gt;100000000,L23&lt;=500000000),100000000*0.24%+(L23-100000000)*0.19%,IF(AND(L23&gt;500000000,L23&lt;=1000000000),100000000*0.24%+400000000*0.19%+(L23-500000000)*0.15%,IF(AND(L23&gt;1000000000,L23&lt;=5000000000),100000000*0.24%+400000000*0.19%+500000000*0.15%+(L23-1000000000)*0.12%,IF(L23&gt;5000000000,100000000*0.24%+400000000*0.19%+500000000*0.15%+4000000000*0.12%+(L23-5000000000)*0.1%,"Bingung komputer"))))),2)</f>
        <v>86296.8</v>
      </c>
      <c r="E23" s="64" cm="1">
        <f t="array" ref="E23">ROUND(IF(M23&lt;=100000000,M23*0.24%,IF(AND(M23&gt;100000000,M23&lt;=500000000),100000000*0.24%+(M23-100000000)*0.19%,IF(AND(M23&gt;500000000,M23&lt;=1000000000),100000000*0.24%+400000000*0.19%+(M23-500000000)*0.15%,IF(AND(M23&gt;1000000000,M23&lt;=5000000000),100000000*0.24%+400000000*0.19%+500000000*0.15%+(M23-1000000000)*0.12%,IF(M23&gt;5000000000,100000000*0.24%+400000000*0.19%+500000000*0.15%+4000000000*0.12%+(M23-5000000000)*0.1%,"Bingung komputer"))))),2)</f>
        <v>86100</v>
      </c>
      <c r="F23" s="64" cm="1">
        <f t="array" ref="F23">ROUND(IF(N23&lt;=100000000,N23*0.24%,IF(AND(N23&gt;100000000,N23&lt;=500000000),100000000*0.24%+(N23-100000000)*0.19%,IF(AND(N23&gt;500000000,N23&lt;=1000000000),100000000*0.24%+400000000*0.19%+(N23-500000000)*0.15%,IF(AND(N23&gt;1000000000,N23&lt;=5000000000),100000000*0.24%+400000000*0.19%+500000000*0.15%+(N23-1000000000)*0.12%,IF(N23&gt;5000000000,100000000*0.24%+400000000*0.19%+500000000*0.15%+4000000000*0.12%+(N23-5000000000)*0.1%,"Bingung komputer"))))),2)</f>
        <v>85860</v>
      </c>
      <c r="G23" s="65"/>
      <c r="H23" s="66"/>
      <c r="I23" s="62"/>
      <c r="J23" s="67"/>
      <c r="K23" t="str" s="67" cm="1">
        <f t="array" ref="K23">"Jumlah Terkena Pajak "&amp;MAX(K3:K21)&amp;"% (B)"</f>
        <v>Jumlah Terkena Pajak 11,00% (B)</v>
      </c>
      <c r="L23" s="68" cm="1">
        <f t="array" ref="L23">SUMIF($K3:$K21,"&gt;0",L3:L21)</f>
        <v>35957000</v>
      </c>
      <c r="M23" s="68" cm="1">
        <f t="array" ref="M23">SUMIF($K3:$K21,"&gt;0",M3:M21)</f>
        <v>35875000</v>
      </c>
      <c r="N23" s="68" cm="1">
        <f t="array" ref="N23">SUMIF($K3:$K21,"&gt;0",N3:N21)</f>
        <v>35775000</v>
      </c>
      <c r="O23" s="69"/>
    </row>
    <row r="24" ht="21" customHeight="1">
      <c r="A24" s="71"/>
      <c r="B24" s="71"/>
      <c r="C24" s="71"/>
      <c r="D24" s="72"/>
      <c r="E24" s="72"/>
      <c r="F24" s="71"/>
      <c r="G24" s="72"/>
      <c r="H24" s="72"/>
      <c r="I24" s="71"/>
      <c r="J24" s="73"/>
      <c r="K24" t="str" s="73" cm="1">
        <f t="array" ref="K24">"PPN (C) = "&amp;MAX(K3:K21)&amp;"% x B"</f>
        <v>PPN (C) = 11,00% x B</v>
      </c>
      <c r="L24" s="74" cm="1">
        <f t="array" ref="L24">L23*MAX($K3:$K21)%</f>
        <v>3955270</v>
      </c>
      <c r="M24" s="74" cm="1">
        <f t="array" ref="M24">M23*MAX($K3:$K21)%</f>
        <v>3946250</v>
      </c>
      <c r="N24" s="74" cm="1">
        <f t="array" ref="N24">N23*MAX($K3:$K21)%</f>
        <v>3935250</v>
      </c>
      <c r="O24" s="69"/>
    </row>
    <row r="25" ht="21" customHeight="1">
      <c r="A25" s="71"/>
      <c r="B25" s="71"/>
      <c r="C25" s="71"/>
      <c r="D25" s="72"/>
      <c r="E25" s="72"/>
      <c r="F25" s="72"/>
      <c r="G25" s="72"/>
      <c r="H25" s="72"/>
      <c r="I25" s="71"/>
      <c r="J25" s="73"/>
      <c r="K25" t="s" s="75">
        <v>42</v>
      </c>
      <c r="L25" s="74" cm="1">
        <f t="array" ref="L25">L22+L24</f>
        <v>39998566.8</v>
      </c>
      <c r="M25" s="74" cm="1">
        <f t="array" ref="M25">M22+M24</f>
        <v>39907350</v>
      </c>
      <c r="N25" s="74" cm="1">
        <f t="array" ref="N25">N22+N24</f>
        <v>39796350</v>
      </c>
      <c r="O25" s="69"/>
    </row>
    <row r="26" ht="20.5" customHeight="1">
      <c r="A26" s="71"/>
      <c r="B26" s="71"/>
      <c r="C26" s="71"/>
      <c r="D26" s="72"/>
      <c r="E26" s="72"/>
      <c r="F26" s="72"/>
      <c r="G26" s="72"/>
      <c r="H26" s="72"/>
      <c r="I26" s="71"/>
      <c r="J26" s="73"/>
      <c r="K26" t="s" s="75">
        <v>43</v>
      </c>
      <c r="L26" s="74" cm="1">
        <f t="array" ref="L26">ROUNDDOWN(L25,2)</f>
        <v>39998566.8</v>
      </c>
      <c r="M26" s="74" cm="1">
        <f t="array" ref="M26">ROUNDDOWN(M25,2)</f>
        <v>39907350</v>
      </c>
      <c r="N26" s="74" cm="1">
        <f t="array" ref="N26">ROUNDDOWN(N25,-3)</f>
        <v>39796000</v>
      </c>
      <c r="O26" s="68"/>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6.xml><?xml version="1.0" encoding="utf-8"?>
<worksheet xmlns:r="http://schemas.openxmlformats.org/officeDocument/2006/relationships" xmlns="http://schemas.openxmlformats.org/spreadsheetml/2006/main">
  <sheetPr>
    <pageSetUpPr fitToPage="1"/>
  </sheetPr>
  <dimension ref="A1:O26"/>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7.17188" style="117" customWidth="1"/>
    <col min="2" max="2" width="43.0312" style="117" customWidth="1"/>
    <col min="3" max="3" width="2.75" style="117" customWidth="1"/>
    <col min="4" max="6" width="10.3672" style="117" customWidth="1"/>
    <col min="7" max="7" width="11.6875" style="117" customWidth="1"/>
    <col min="8" max="11" width="13.5156" style="117" customWidth="1"/>
    <col min="12" max="15" width="14.2344" style="117" customWidth="1"/>
    <col min="16" max="16384" width="16.3516" style="117" customWidth="1"/>
  </cols>
  <sheetData>
    <row r="1" ht="20.5" customHeight="1">
      <c r="A1" t="s" s="7">
        <v>6</v>
      </c>
      <c r="B1" t="s" s="7">
        <v>7</v>
      </c>
      <c r="C1" s="8"/>
      <c r="D1" t="s" s="7">
        <v>8</v>
      </c>
      <c r="E1" s="8"/>
      <c r="F1" s="8"/>
      <c r="G1" t="s" s="7">
        <v>9</v>
      </c>
      <c r="H1" t="s" s="7">
        <v>10</v>
      </c>
      <c r="I1" s="8"/>
      <c r="J1" s="8"/>
      <c r="K1" t="s" s="7">
        <v>11</v>
      </c>
      <c r="L1" t="s" s="7">
        <v>12</v>
      </c>
      <c r="M1" s="8"/>
      <c r="N1" s="8"/>
      <c r="O1" s="88"/>
    </row>
    <row r="2" ht="20.85" customHeight="1">
      <c r="A2" s="9"/>
      <c r="B2" s="9"/>
      <c r="C2" s="9"/>
      <c r="D2" t="s" s="10">
        <v>13</v>
      </c>
      <c r="E2" t="s" s="10">
        <v>14</v>
      </c>
      <c r="F2" t="s" s="10">
        <v>15</v>
      </c>
      <c r="G2" s="9"/>
      <c r="H2" t="s" s="10">
        <v>13</v>
      </c>
      <c r="I2" t="s" s="10">
        <v>14</v>
      </c>
      <c r="J2" t="s" s="10">
        <v>15</v>
      </c>
      <c r="K2" s="9"/>
      <c r="L2" t="s" s="10">
        <v>13</v>
      </c>
      <c r="M2" t="s" s="10">
        <v>14</v>
      </c>
      <c r="N2" t="s" s="10">
        <v>15</v>
      </c>
      <c r="O2" s="89"/>
    </row>
    <row r="3" ht="20.6" customHeight="1">
      <c r="A3" t="s" s="90">
        <v>51</v>
      </c>
      <c r="B3" t="s" s="12">
        <v>52</v>
      </c>
      <c r="C3" s="13"/>
      <c r="D3" s="14"/>
      <c r="E3" s="14"/>
      <c r="F3" s="14"/>
      <c r="G3" s="15"/>
      <c r="H3" s="15"/>
      <c r="I3" s="15"/>
      <c r="J3" s="15"/>
      <c r="K3" s="15"/>
      <c r="L3" t="str" s="16" cm="1">
        <f t="array" ref="L3">IF(D3&gt;0,IF($D3&lt;=0,0,D3*H3),"")</f>
      </c>
      <c r="M3" t="str" s="16" cm="1">
        <f t="array" ref="M3">IF(E3&gt;0,IF($D3&lt;=0,0,ROUND(E3*I3,2)),"")</f>
      </c>
      <c r="N3" t="str" s="16" cm="1">
        <f t="array" ref="N3">IF(F3&gt;0,IF($D3&lt;=0,0,ROUND(F3*J3,2)),"")</f>
      </c>
      <c r="O3" s="17"/>
    </row>
    <row r="4" ht="20.5" customHeight="1">
      <c r="A4" t="s" s="18">
        <v>53</v>
      </c>
      <c r="B4" t="s" s="19">
        <v>54</v>
      </c>
      <c r="C4" s="20"/>
      <c r="D4" s="21"/>
      <c r="E4" s="21"/>
      <c r="F4" s="21"/>
      <c r="G4" s="79"/>
      <c r="H4" s="21"/>
      <c r="I4" s="79"/>
      <c r="J4" s="21"/>
      <c r="K4" s="21"/>
      <c r="L4" t="str" s="79" cm="1">
        <f t="array" ref="L4">IF(D4&gt;0,IF($D4&lt;=0,0,D4*H4),"")</f>
      </c>
      <c r="M4" t="str" s="79" cm="1">
        <f t="array" ref="M4">IF(E4&gt;0,IF($D4&lt;=0,0,ROUND(E4*I4,2)),"")</f>
      </c>
      <c r="N4" t="str" s="79" cm="1">
        <f t="array" ref="N4">IF(F4&gt;0,IF($D4&lt;=0,0,ROUND(F4*J4,2)),"")</f>
      </c>
      <c r="O4" s="91"/>
    </row>
    <row r="5" ht="32.5" customHeight="1">
      <c r="A5" s="92">
        <v>1</v>
      </c>
      <c r="B5" t="s" s="19">
        <v>123</v>
      </c>
      <c r="C5" s="24"/>
      <c r="D5" s="26">
        <v>3</v>
      </c>
      <c r="E5" s="26" cm="1">
        <f t="array" ref="E5">D5</f>
        <v>3</v>
      </c>
      <c r="F5" s="26" cm="1">
        <f t="array" ref="F5">D5</f>
        <v>3</v>
      </c>
      <c r="G5" t="s" s="27">
        <v>56</v>
      </c>
      <c r="H5" s="26">
        <v>7600000</v>
      </c>
      <c r="I5" s="26">
        <v>7550000</v>
      </c>
      <c r="J5" s="26">
        <v>7550000</v>
      </c>
      <c r="K5" s="26">
        <v>11</v>
      </c>
      <c r="L5" s="26" cm="1">
        <f t="array" ref="L5">IF(D5&gt;0,IF($D5&lt;=0,0,D5*H5),"")</f>
        <v>22800000</v>
      </c>
      <c r="M5" s="26" cm="1">
        <f t="array" ref="M5">IF(E5&gt;0,IF($D5&lt;=0,0,ROUND(E5*I5,2)),"")</f>
        <v>22650000</v>
      </c>
      <c r="N5" s="26" cm="1">
        <f t="array" ref="N5">IF(F5&gt;0,IF($D5&lt;=0,0,ROUND(F5*J5,2)),"")</f>
        <v>22650000</v>
      </c>
      <c r="O5" s="28" cm="1">
        <f t="array" ref="O5">L5/L$22</f>
        <v>0.632572545361611</v>
      </c>
    </row>
    <row r="6" ht="20.5" customHeight="1">
      <c r="A6" t="s" s="93">
        <v>58</v>
      </c>
      <c r="B6" t="s" s="19">
        <v>59</v>
      </c>
      <c r="C6" s="20"/>
      <c r="D6" s="21"/>
      <c r="E6" s="21"/>
      <c r="F6" s="21"/>
      <c r="G6" s="79"/>
      <c r="H6" s="21"/>
      <c r="I6" s="21"/>
      <c r="J6" s="21"/>
      <c r="K6" s="21"/>
      <c r="L6" t="str" s="79" cm="1">
        <f t="array" ref="L6">IF(D6&gt;0,IF($D6&lt;=0,0,D6*H6),"")</f>
      </c>
      <c r="M6" t="str" s="79" cm="1">
        <f t="array" ref="M6">IF(E6&gt;0,IF($D6&lt;=0,0,ROUND(E6*I6,2)),"")</f>
      </c>
      <c r="N6" t="str" s="79" cm="1">
        <f t="array" ref="N6">IF(F6&gt;0,IF($D6&lt;=0,0,ROUND(F6*J6,2)),"")</f>
      </c>
      <c r="O6" s="91"/>
    </row>
    <row r="7" ht="20.5" customHeight="1">
      <c r="A7" t="s" s="18">
        <v>53</v>
      </c>
      <c r="B7" t="s" s="19">
        <v>60</v>
      </c>
      <c r="C7" s="24"/>
      <c r="D7" s="26"/>
      <c r="E7" s="26"/>
      <c r="F7" s="26"/>
      <c r="G7" s="30"/>
      <c r="H7" s="26"/>
      <c r="I7" s="26"/>
      <c r="J7" s="26"/>
      <c r="K7" s="26"/>
      <c r="L7" t="str" s="30" cm="1">
        <f t="array" ref="L7">IF(D7&gt;0,IF($D7&lt;=0,0,D7*H7),"")</f>
      </c>
      <c r="M7" t="str" s="30" cm="1">
        <f t="array" ref="M7">IF(E7&gt;0,IF($D7&lt;=0,0,ROUND(E7*I7,2)),"")</f>
      </c>
      <c r="N7" t="str" s="30" cm="1">
        <f t="array" ref="N7">IF(F7&gt;0,IF($D7&lt;=0,0,ROUND(F7*J7,2)),"")</f>
      </c>
      <c r="O7" s="31"/>
    </row>
    <row r="8" ht="20.5" customHeight="1">
      <c r="A8" s="94">
        <v>1</v>
      </c>
      <c r="B8" t="s" s="19">
        <v>124</v>
      </c>
      <c r="C8" s="20"/>
      <c r="D8" s="21">
        <v>1</v>
      </c>
      <c r="E8" s="21" cm="1">
        <f t="array" ref="E8">D8</f>
        <v>1</v>
      </c>
      <c r="F8" s="21" cm="1">
        <f t="array" ref="F8">D8</f>
        <v>1</v>
      </c>
      <c r="G8" t="s" s="22">
        <v>19</v>
      </c>
      <c r="H8" s="21">
        <v>1000000</v>
      </c>
      <c r="I8" s="21">
        <v>1100000</v>
      </c>
      <c r="J8" s="21">
        <v>1000000</v>
      </c>
      <c r="K8" s="21">
        <v>11</v>
      </c>
      <c r="L8" s="21" cm="1">
        <f t="array" ref="L8">IF(D8&gt;0,IF($D8&lt;=0,0,D8*H8),"")</f>
        <v>1000000</v>
      </c>
      <c r="M8" s="21" cm="1">
        <f t="array" ref="M8">IF(E8&gt;0,IF($D8&lt;=0,0,ROUND(E8*I8,2)),"")</f>
        <v>1100000</v>
      </c>
      <c r="N8" s="21" cm="1">
        <f t="array" ref="N8">IF(F8&gt;0,IF($D8&lt;=0,0,ROUND(F8*J8,2)),"")</f>
        <v>1000000</v>
      </c>
      <c r="O8" s="23"/>
    </row>
    <row r="9" ht="32.5" customHeight="1">
      <c r="A9" s="95">
        <v>2</v>
      </c>
      <c r="B9" t="s" s="19">
        <v>63</v>
      </c>
      <c r="C9" s="24"/>
      <c r="D9" s="26">
        <v>1</v>
      </c>
      <c r="E9" s="26" cm="1">
        <f t="array" ref="E9">D9</f>
        <v>1</v>
      </c>
      <c r="F9" s="26" cm="1">
        <f t="array" ref="F9">D9</f>
        <v>1</v>
      </c>
      <c r="G9" t="s" s="27">
        <v>19</v>
      </c>
      <c r="H9" s="26">
        <v>5530000</v>
      </c>
      <c r="I9" s="26">
        <v>5520000</v>
      </c>
      <c r="J9" s="26">
        <v>5500000</v>
      </c>
      <c r="K9" s="26">
        <v>11</v>
      </c>
      <c r="L9" s="26" cm="1">
        <f t="array" ref="L9">IF(D9&gt;0,IF($D9&lt;=0,0,D9*H9),"")</f>
        <v>5530000</v>
      </c>
      <c r="M9" s="26" cm="1">
        <f t="array" ref="M9">IF(E9&gt;0,IF($D9&lt;=0,0,ROUND(E9*I9,2)),"")</f>
        <v>5520000</v>
      </c>
      <c r="N9" s="26" cm="1">
        <f t="array" ref="N9">IF(F9&gt;0,IF($D9&lt;=0,0,ROUND(F9*J9,2)),"")</f>
        <v>5500000</v>
      </c>
      <c r="O9" s="28"/>
    </row>
    <row r="10" ht="20.5" customHeight="1">
      <c r="A10" s="94"/>
      <c r="B10" t="s" s="19">
        <v>66</v>
      </c>
      <c r="C10" s="20"/>
      <c r="D10" s="21"/>
      <c r="E10" s="21"/>
      <c r="F10" s="21"/>
      <c r="G10" s="79"/>
      <c r="H10" s="21"/>
      <c r="I10" s="21"/>
      <c r="J10" s="21"/>
      <c r="K10" s="21"/>
      <c r="L10" t="str" s="79" cm="1">
        <f t="array" ref="L10">IF(D10&gt;0,IF($D10&lt;=0,0,D10*H10),"")</f>
      </c>
      <c r="M10" t="str" s="79" cm="1">
        <f t="array" ref="M10">IF(E10&gt;0,IF($D10&lt;=0,0,ROUND(E10*I10,2)),"")</f>
      </c>
      <c r="N10" t="str" s="79" cm="1">
        <f t="array" ref="N10">IF(F10&gt;0,IF($D10&lt;=0,0,ROUND(F10*J10,2)),"")</f>
      </c>
      <c r="O10" s="23"/>
    </row>
    <row r="11" ht="20.5" customHeight="1">
      <c r="A11" s="94">
        <v>1</v>
      </c>
      <c r="B11" t="s" s="19">
        <v>67</v>
      </c>
      <c r="C11" s="24"/>
      <c r="D11" s="26">
        <v>1</v>
      </c>
      <c r="E11" s="26" cm="1">
        <f t="array" ref="E11">D11</f>
        <v>1</v>
      </c>
      <c r="F11" s="26" cm="1">
        <f t="array" ref="F11">D11</f>
        <v>1</v>
      </c>
      <c r="G11" t="s" s="27">
        <v>68</v>
      </c>
      <c r="H11" s="26">
        <v>77000</v>
      </c>
      <c r="I11" s="26">
        <v>75000</v>
      </c>
      <c r="J11" s="26">
        <v>75000</v>
      </c>
      <c r="K11" s="26">
        <v>11</v>
      </c>
      <c r="L11" s="26" cm="1">
        <f t="array" ref="L11">IF(D11&gt;0,IF($D11&lt;=0,0,D11*H11),"")</f>
        <v>77000</v>
      </c>
      <c r="M11" s="26" cm="1">
        <f t="array" ref="M11">IF(E11&gt;0,IF($D11&lt;=0,0,ROUND(E11*I11,2)),"")</f>
        <v>75000</v>
      </c>
      <c r="N11" s="26" cm="1">
        <f t="array" ref="N11">IF(F11&gt;0,IF($D11&lt;=0,0,ROUND(F11*J11,2)),"")</f>
        <v>75000</v>
      </c>
      <c r="O11" s="28"/>
    </row>
    <row r="12" ht="20.5" customHeight="1">
      <c r="A12" s="94">
        <v>2</v>
      </c>
      <c r="B12" t="s" s="19">
        <v>69</v>
      </c>
      <c r="C12" s="20"/>
      <c r="D12" s="21">
        <v>1</v>
      </c>
      <c r="E12" s="21" cm="1">
        <f t="array" ref="E12">D12</f>
        <v>1</v>
      </c>
      <c r="F12" s="21" cm="1">
        <f t="array" ref="F12">D12</f>
        <v>1</v>
      </c>
      <c r="G12" t="s" s="22">
        <v>68</v>
      </c>
      <c r="H12" s="21">
        <v>200000</v>
      </c>
      <c r="I12" s="21">
        <v>200000</v>
      </c>
      <c r="J12" s="21">
        <v>200000</v>
      </c>
      <c r="K12" s="21">
        <v>11</v>
      </c>
      <c r="L12" s="21" cm="1">
        <f t="array" ref="L12">IF(D12&gt;0,IF($D12&lt;=0,0,D12*H12),"")</f>
        <v>200000</v>
      </c>
      <c r="M12" s="21" cm="1">
        <f t="array" ref="M12">IF(E12&gt;0,IF($D12&lt;=0,0,ROUND(E12*I12,2)),"")</f>
        <v>200000</v>
      </c>
      <c r="N12" s="21" cm="1">
        <f t="array" ref="N12">IF(F12&gt;0,IF($D12&lt;=0,0,ROUND(F12*J12,2)),"")</f>
        <v>200000</v>
      </c>
      <c r="O12" s="23"/>
    </row>
    <row r="13" ht="20.5" customHeight="1">
      <c r="A13" s="29"/>
      <c r="B13" t="s" s="19">
        <v>70</v>
      </c>
      <c r="C13" s="24"/>
      <c r="D13" s="26"/>
      <c r="E13" s="26"/>
      <c r="F13" s="26"/>
      <c r="G13" s="30"/>
      <c r="H13" s="26"/>
      <c r="I13" s="26"/>
      <c r="J13" s="26"/>
      <c r="K13" s="26"/>
      <c r="L13" t="str" s="30" cm="1">
        <f t="array" ref="L13">IF(D13&gt;0,IF($D13&lt;=0,0,D13*H13),"")</f>
      </c>
      <c r="M13" t="str" s="30" cm="1">
        <f t="array" ref="M13">IF(E13&gt;0,IF($D13&lt;=0,0,ROUND(E13*I13,2)),"")</f>
      </c>
      <c r="N13" t="str" s="30" cm="1">
        <f t="array" ref="N13">IF(F13&gt;0,IF($D13&lt;=0,0,ROUND(F13*J13,2)),"")</f>
      </c>
      <c r="O13" s="31"/>
    </row>
    <row r="14" ht="20.5" customHeight="1">
      <c r="A14" s="95">
        <v>1</v>
      </c>
      <c r="B14" t="s" s="19">
        <v>72</v>
      </c>
      <c r="C14" s="20"/>
      <c r="D14" s="21">
        <v>1</v>
      </c>
      <c r="E14" s="21" cm="1">
        <f t="array" ref="E14">D14</f>
        <v>1</v>
      </c>
      <c r="F14" s="21" cm="1">
        <f t="array" ref="F14">D14</f>
        <v>1</v>
      </c>
      <c r="G14" t="s" s="22">
        <v>19</v>
      </c>
      <c r="H14" s="21">
        <v>2000000</v>
      </c>
      <c r="I14" s="21">
        <v>2000000</v>
      </c>
      <c r="J14" s="21">
        <v>2000000</v>
      </c>
      <c r="K14" s="21">
        <v>11</v>
      </c>
      <c r="L14" s="21" cm="1">
        <f t="array" ref="L14">IF(D14&gt;0,IF($D14&lt;=0,0,D14*H14),"")</f>
        <v>2000000</v>
      </c>
      <c r="M14" s="21" cm="1">
        <f t="array" ref="M14">IF(E14&gt;0,IF($D14&lt;=0,0,ROUND(E14*I14,2)),"")</f>
        <v>2000000</v>
      </c>
      <c r="N14" s="21" cm="1">
        <f t="array" ref="N14">IF(F14&gt;0,IF($D14&lt;=0,0,ROUND(F14*J14,2)),"")</f>
        <v>2000000</v>
      </c>
      <c r="O14" s="91"/>
    </row>
    <row r="15" ht="20.5" customHeight="1">
      <c r="A15" s="95">
        <v>2</v>
      </c>
      <c r="B15" t="s" s="19">
        <v>74</v>
      </c>
      <c r="C15" s="24"/>
      <c r="D15" s="26">
        <v>3</v>
      </c>
      <c r="E15" s="26" cm="1">
        <f t="array" ref="E15">D15</f>
        <v>3</v>
      </c>
      <c r="F15" s="26" cm="1">
        <f t="array" ref="F15">D15</f>
        <v>3</v>
      </c>
      <c r="G15" t="s" s="27">
        <v>75</v>
      </c>
      <c r="H15" s="26">
        <v>200000</v>
      </c>
      <c r="I15" s="26">
        <v>200000</v>
      </c>
      <c r="J15" s="26">
        <v>200000</v>
      </c>
      <c r="K15" s="26">
        <v>11</v>
      </c>
      <c r="L15" s="26" cm="1">
        <f t="array" ref="L15">IF(D15&gt;0,IF($D15&lt;=0,0,D15*H15),"")</f>
        <v>600000</v>
      </c>
      <c r="M15" s="26" cm="1">
        <f t="array" ref="M15">IF(E15&gt;0,IF($D15&lt;=0,0,ROUND(E15*I15,2)),"")</f>
        <v>600000</v>
      </c>
      <c r="N15" s="26" cm="1">
        <f t="array" ref="N15">IF(F15&gt;0,IF($D15&lt;=0,0,ROUND(F15*J15,2)),"")</f>
        <v>600000</v>
      </c>
      <c r="O15" s="28"/>
    </row>
    <row r="16" ht="20.5" customHeight="1">
      <c r="A16" s="95">
        <v>3</v>
      </c>
      <c r="B16" t="s" s="19">
        <v>76</v>
      </c>
      <c r="C16" s="20"/>
      <c r="D16" s="21" cm="1">
        <f t="array" ref="D16">3*D5</f>
        <v>9</v>
      </c>
      <c r="E16" s="21" cm="1">
        <f t="array" ref="E16">D16</f>
        <v>9</v>
      </c>
      <c r="F16" s="21" cm="1">
        <f t="array" ref="F16">D16</f>
        <v>9</v>
      </c>
      <c r="G16" t="s" s="22">
        <v>75</v>
      </c>
      <c r="H16" s="21">
        <v>150000</v>
      </c>
      <c r="I16" s="21">
        <v>150000</v>
      </c>
      <c r="J16" s="21">
        <v>150000</v>
      </c>
      <c r="K16" s="21">
        <v>11</v>
      </c>
      <c r="L16" s="21" cm="1">
        <f t="array" ref="L16">IF(D16&gt;0,IF($D16&lt;=0,0,D16*H16),"")</f>
        <v>1350000</v>
      </c>
      <c r="M16" s="21" cm="1">
        <f t="array" ref="M16">IF(E16&gt;0,IF($D16&lt;=0,0,ROUND(E16*I16,2)),"")</f>
        <v>1350000</v>
      </c>
      <c r="N16" s="21" cm="1">
        <f t="array" ref="N16">IF(F16&gt;0,IF($D16&lt;=0,0,ROUND(F16*J16,2)),"")</f>
        <v>1350000</v>
      </c>
      <c r="O16" s="23"/>
    </row>
    <row r="17" ht="20.5" customHeight="1">
      <c r="A17" s="95">
        <v>4</v>
      </c>
      <c r="B17" t="s" s="19">
        <v>77</v>
      </c>
      <c r="C17" s="24"/>
      <c r="D17" s="26">
        <v>3</v>
      </c>
      <c r="E17" s="26" cm="1">
        <f t="array" ref="E17">D17</f>
        <v>3</v>
      </c>
      <c r="F17" s="26" cm="1">
        <f t="array" ref="F17">D17</f>
        <v>3</v>
      </c>
      <c r="G17" t="s" s="27">
        <v>75</v>
      </c>
      <c r="H17" s="26">
        <v>200000</v>
      </c>
      <c r="I17" s="26">
        <v>200000</v>
      </c>
      <c r="J17" s="26">
        <v>200000</v>
      </c>
      <c r="K17" s="26">
        <v>11</v>
      </c>
      <c r="L17" s="26" cm="1">
        <f t="array" ref="L17">IF(D17&gt;0,IF($D17&lt;=0,0,D17*H17),"")</f>
        <v>600000</v>
      </c>
      <c r="M17" s="26" cm="1">
        <f t="array" ref="M17">IF(E17&gt;0,IF($D17&lt;=0,0,ROUND(E17*I17,2)),"")</f>
        <v>600000</v>
      </c>
      <c r="N17" s="26" cm="1">
        <f t="array" ref="N17">IF(F17&gt;0,IF($D17&lt;=0,0,ROUND(F17*J17,2)),"")</f>
        <v>600000</v>
      </c>
      <c r="O17" s="28"/>
    </row>
    <row r="18" ht="20.5" customHeight="1">
      <c r="A18" s="95">
        <v>5</v>
      </c>
      <c r="B18" t="s" s="19">
        <v>78</v>
      </c>
      <c r="C18" s="20"/>
      <c r="D18" s="21">
        <v>1</v>
      </c>
      <c r="E18" s="21" cm="1">
        <f t="array" ref="E18">D18</f>
        <v>1</v>
      </c>
      <c r="F18" s="21" cm="1">
        <f t="array" ref="F18">D18</f>
        <v>1</v>
      </c>
      <c r="G18" t="s" s="22">
        <v>79</v>
      </c>
      <c r="H18" s="21">
        <v>1800000</v>
      </c>
      <c r="I18" s="21">
        <v>1800000</v>
      </c>
      <c r="J18" s="21">
        <v>1800000</v>
      </c>
      <c r="K18" s="21">
        <v>11</v>
      </c>
      <c r="L18" s="21" cm="1">
        <f t="array" ref="L18">IF(D18&gt;0,IF($D18&lt;=0,0,D18*H18),"")</f>
        <v>1800000</v>
      </c>
      <c r="M18" s="21" cm="1">
        <f t="array" ref="M18">IF(E18&gt;0,IF($D18&lt;=0,0,ROUND(E18*I18,2)),"")</f>
        <v>1800000</v>
      </c>
      <c r="N18" s="21" cm="1">
        <f t="array" ref="N18">IF(F18&gt;0,IF($D18&lt;=0,0,ROUND(F18*J18,2)),"")</f>
        <v>1800000</v>
      </c>
      <c r="O18" s="91"/>
    </row>
    <row r="19" ht="20.5" customHeight="1">
      <c r="A19" t="s" s="18">
        <v>80</v>
      </c>
      <c r="B19" t="s" s="19">
        <v>81</v>
      </c>
      <c r="C19" s="24"/>
      <c r="D19" s="26"/>
      <c r="E19" s="26"/>
      <c r="F19" s="26"/>
      <c r="G19" s="30"/>
      <c r="H19" s="26"/>
      <c r="I19" s="26"/>
      <c r="J19" s="26"/>
      <c r="K19" s="26"/>
      <c r="L19" t="str" s="30" cm="1">
        <f t="array" ref="L19">IF(D19&gt;0,IF($D19&lt;=0,0,D19*H19),"")</f>
      </c>
      <c r="M19" t="str" s="30" cm="1">
        <f t="array" ref="M19">IF(E19&gt;0,IF($D19&lt;=0,0,ROUND(E19*I19,2)),"")</f>
      </c>
      <c r="N19" t="str" s="30" cm="1">
        <f t="array" ref="N19">IF(F19&gt;0,IF($D19&lt;=0,0,ROUND(F19*J19,2)),"")</f>
      </c>
      <c r="O19" s="31"/>
    </row>
    <row r="20" ht="20.5" customHeight="1">
      <c r="A20" s="29"/>
      <c r="B20" t="s" s="19">
        <v>82</v>
      </c>
      <c r="C20" s="20"/>
      <c r="D20" s="21">
        <v>1</v>
      </c>
      <c r="E20" s="21" cm="1">
        <f t="array" ref="E20">D20</f>
        <v>1</v>
      </c>
      <c r="F20" s="21" cm="1">
        <f t="array" ref="F20">D20</f>
        <v>1</v>
      </c>
      <c r="G20" t="s" s="22">
        <v>19</v>
      </c>
      <c r="H20" s="21">
        <v>86296.8</v>
      </c>
      <c r="I20" s="21">
        <v>86148</v>
      </c>
      <c r="J20" s="21">
        <v>85860</v>
      </c>
      <c r="K20" s="21">
        <v>0</v>
      </c>
      <c r="L20" s="21" cm="1">
        <f t="array" ref="L20">IF(D20&gt;0,IF($D20&lt;=0,0,D20*H20),"")</f>
        <v>86296.8</v>
      </c>
      <c r="M20" s="21" cm="1">
        <f t="array" ref="M20">IF(E20&gt;0,IF($D20&lt;=0,0,ROUND(E20*I20,2)),"")</f>
        <v>86148</v>
      </c>
      <c r="N20" s="21" cm="1">
        <f t="array" ref="N20">IF(F20&gt;0,IF($D20&lt;=0,0,ROUND(F20*J20,2)),"")</f>
        <v>85860</v>
      </c>
      <c r="O20" s="23"/>
    </row>
    <row r="21" ht="20.6" customHeight="1">
      <c r="A21" s="96"/>
      <c r="B21" s="97"/>
      <c r="C21" s="80"/>
      <c r="D21" s="81"/>
      <c r="E21" s="81"/>
      <c r="F21" s="81"/>
      <c r="G21" s="98"/>
      <c r="H21" s="81"/>
      <c r="I21" s="81"/>
      <c r="J21" s="81"/>
      <c r="K21" s="81"/>
      <c r="L21" t="str" s="98" cm="1">
        <f t="array" ref="L21">IF(D21&gt;0,IF($D21&lt;=0,0,D21*H21),"")</f>
      </c>
      <c r="M21" t="str" s="98" cm="1">
        <f t="array" ref="M21">IF(E21&gt;0,IF($D21&lt;=0,0,ROUND(E21*I21,2)),"")</f>
      </c>
      <c r="N21" t="str" s="98" cm="1">
        <f t="array" ref="N21">IF(F21&gt;0,IF($D21&lt;=0,0,ROUND(F21*J21,2)),"")</f>
      </c>
      <c r="O21" s="99"/>
    </row>
    <row r="22" ht="20.85" customHeight="1">
      <c r="A22" s="54"/>
      <c r="B22" s="54"/>
      <c r="C22" s="54"/>
      <c r="D22" s="55"/>
      <c r="E22" s="55"/>
      <c r="F22" s="55"/>
      <c r="G22" s="56"/>
      <c r="H22" s="56"/>
      <c r="I22" s="54"/>
      <c r="J22" s="57"/>
      <c r="K22" t="s" s="58">
        <v>38</v>
      </c>
      <c r="L22" s="59" cm="1">
        <f t="array" ref="L22">SUM(L3:L21)</f>
        <v>36043296.8</v>
      </c>
      <c r="M22" s="59" cm="1">
        <f t="array" ref="M22">SUM(M1:M21)</f>
        <v>35981148</v>
      </c>
      <c r="N22" s="59" cm="1">
        <f t="array" ref="N22">SUM(N1:N21)</f>
        <v>35860860</v>
      </c>
      <c r="O22" s="59"/>
    </row>
    <row r="23" ht="21" customHeight="1">
      <c r="A23" s="62"/>
      <c r="B23" t="s" s="61">
        <v>39</v>
      </c>
      <c r="C23" s="62"/>
      <c r="D23" s="63" cm="1">
        <f t="array" ref="D23">ROUND(IF(L23&lt;=100000000,L23*0.24%,IF(AND(L23&gt;100000000,L23&lt;=500000000),100000000*0.24%+(L23-100000000)*0.19%,IF(AND(L23&gt;500000000,L23&lt;=1000000000),100000000*0.24%+400000000*0.19%+(L23-500000000)*0.15%,IF(AND(L23&gt;1000000000,L23&lt;=5000000000),100000000*0.24%+400000000*0.19%+500000000*0.15%+(L23-1000000000)*0.12%,IF(L23&gt;5000000000,100000000*0.24%+400000000*0.19%+500000000*0.15%+4000000000*0.12%+(L23-5000000000)*0.1%,"Bingung komputer"))))),2)</f>
        <v>86296.8</v>
      </c>
      <c r="E23" s="64" cm="1">
        <f t="array" ref="E23">ROUND(IF(M23&lt;=100000000,M23*0.24%,IF(AND(M23&gt;100000000,M23&lt;=500000000),100000000*0.24%+(M23-100000000)*0.19%,IF(AND(M23&gt;500000000,M23&lt;=1000000000),100000000*0.24%+400000000*0.19%+(M23-500000000)*0.15%,IF(AND(M23&gt;1000000000,M23&lt;=5000000000),100000000*0.24%+400000000*0.19%+500000000*0.15%+(M23-1000000000)*0.12%,IF(M23&gt;5000000000,100000000*0.24%+400000000*0.19%+500000000*0.15%+4000000000*0.12%+(M23-5000000000)*0.1%,"Bingung komputer"))))),2)</f>
        <v>86148</v>
      </c>
      <c r="F23" s="64" cm="1">
        <f t="array" ref="F23">ROUND(IF(N23&lt;=100000000,N23*0.24%,IF(AND(N23&gt;100000000,N23&lt;=500000000),100000000*0.24%+(N23-100000000)*0.19%,IF(AND(N23&gt;500000000,N23&lt;=1000000000),100000000*0.24%+400000000*0.19%+(N23-500000000)*0.15%,IF(AND(N23&gt;1000000000,N23&lt;=5000000000),100000000*0.24%+400000000*0.19%+500000000*0.15%+(N23-1000000000)*0.12%,IF(N23&gt;5000000000,100000000*0.24%+400000000*0.19%+500000000*0.15%+4000000000*0.12%+(N23-5000000000)*0.1%,"Bingung komputer"))))),2)</f>
        <v>85860</v>
      </c>
      <c r="G23" s="65"/>
      <c r="H23" s="66"/>
      <c r="I23" s="62"/>
      <c r="J23" s="67"/>
      <c r="K23" t="str" s="67" cm="1">
        <f t="array" ref="K23">"Jumlah Terkena Pajak "&amp;MAX(K3:K21)&amp;"% (B)"</f>
        <v>Jumlah Terkena Pajak 11,00% (B)</v>
      </c>
      <c r="L23" s="68" cm="1">
        <f t="array" ref="L23">SUMIF($K3:$K21,"&gt;0",L3:L21)</f>
        <v>35957000</v>
      </c>
      <c r="M23" s="68" cm="1">
        <f t="array" ref="M23">SUMIF($K3:$K21,"&gt;0",M3:M21)</f>
        <v>35895000</v>
      </c>
      <c r="N23" s="68" cm="1">
        <f t="array" ref="N23">SUMIF($K3:$K21,"&gt;0",N3:N21)</f>
        <v>35775000</v>
      </c>
      <c r="O23" s="69"/>
    </row>
    <row r="24" ht="21" customHeight="1">
      <c r="A24" s="71"/>
      <c r="B24" s="71"/>
      <c r="C24" s="71"/>
      <c r="D24" s="72"/>
      <c r="E24" s="72"/>
      <c r="F24" s="71"/>
      <c r="G24" s="72"/>
      <c r="H24" s="72"/>
      <c r="I24" s="71"/>
      <c r="J24" s="73"/>
      <c r="K24" t="str" s="73" cm="1">
        <f t="array" ref="K24">"PPN (C) = "&amp;MAX(K3:K21)&amp;"% x B"</f>
        <v>PPN (C) = 11,00% x B</v>
      </c>
      <c r="L24" s="74" cm="1">
        <f t="array" ref="L24">L23*MAX($K3:$K21)%</f>
        <v>3955270</v>
      </c>
      <c r="M24" s="74" cm="1">
        <f t="array" ref="M24">M23*MAX($K3:$K21)%</f>
        <v>3948450</v>
      </c>
      <c r="N24" s="74" cm="1">
        <f t="array" ref="N24">N23*MAX($K3:$K21)%</f>
        <v>3935250</v>
      </c>
      <c r="O24" s="69"/>
    </row>
    <row r="25" ht="21" customHeight="1">
      <c r="A25" s="71"/>
      <c r="B25" s="71"/>
      <c r="C25" s="71"/>
      <c r="D25" s="72"/>
      <c r="E25" s="72"/>
      <c r="F25" s="72"/>
      <c r="G25" s="72"/>
      <c r="H25" s="72"/>
      <c r="I25" s="71"/>
      <c r="J25" s="73"/>
      <c r="K25" t="s" s="75">
        <v>42</v>
      </c>
      <c r="L25" s="74" cm="1">
        <f t="array" ref="L25">L22+L24</f>
        <v>39998566.8</v>
      </c>
      <c r="M25" s="74" cm="1">
        <f t="array" ref="M25">M22+M24</f>
        <v>39929598</v>
      </c>
      <c r="N25" s="74" cm="1">
        <f t="array" ref="N25">N22+N24</f>
        <v>39796110</v>
      </c>
      <c r="O25" s="69"/>
    </row>
    <row r="26" ht="20.5" customHeight="1">
      <c r="A26" s="71"/>
      <c r="B26" s="71"/>
      <c r="C26" s="71"/>
      <c r="D26" s="72"/>
      <c r="E26" s="72"/>
      <c r="F26" s="72"/>
      <c r="G26" s="72"/>
      <c r="H26" s="72"/>
      <c r="I26" s="71"/>
      <c r="J26" s="73"/>
      <c r="K26" t="s" s="75">
        <v>43</v>
      </c>
      <c r="L26" s="74" cm="1">
        <f t="array" ref="L26">ROUNDDOWN(L25,2)</f>
        <v>39998566.8</v>
      </c>
      <c r="M26" s="74" cm="1">
        <f t="array" ref="M26">ROUNDDOWN(M25,2)</f>
        <v>39929598</v>
      </c>
      <c r="N26" s="74" cm="1">
        <f t="array" ref="N26">ROUNDDOWN(N25,-3)</f>
        <v>39796000</v>
      </c>
      <c r="O26" s="68"/>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7.xml><?xml version="1.0" encoding="utf-8"?>
<worksheet xmlns:r="http://schemas.openxmlformats.org/officeDocument/2006/relationships" xmlns="http://schemas.openxmlformats.org/spreadsheetml/2006/main">
  <sheetPr>
    <pageSetUpPr fitToPage="1"/>
  </sheetPr>
  <dimension ref="A1:O25"/>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7.17188" style="118" customWidth="1"/>
    <col min="2" max="2" width="43.0312" style="118" customWidth="1"/>
    <col min="3" max="3" width="2.75" style="118" customWidth="1"/>
    <col min="4" max="6" width="10.3672" style="118" customWidth="1"/>
    <col min="7" max="7" width="11.6875" style="118" customWidth="1"/>
    <col min="8" max="11" width="13.5156" style="118" customWidth="1"/>
    <col min="12" max="15" width="14.2344" style="118" customWidth="1"/>
    <col min="16" max="16384" width="16.3516" style="118" customWidth="1"/>
  </cols>
  <sheetData>
    <row r="1" ht="20.5" customHeight="1">
      <c r="A1" t="s" s="7">
        <v>6</v>
      </c>
      <c r="B1" t="s" s="7">
        <v>7</v>
      </c>
      <c r="C1" s="8"/>
      <c r="D1" t="s" s="7">
        <v>8</v>
      </c>
      <c r="E1" s="8"/>
      <c r="F1" s="8"/>
      <c r="G1" t="s" s="7">
        <v>9</v>
      </c>
      <c r="H1" t="s" s="7">
        <v>10</v>
      </c>
      <c r="I1" s="8"/>
      <c r="J1" s="8"/>
      <c r="K1" t="s" s="7">
        <v>11</v>
      </c>
      <c r="L1" t="s" s="7">
        <v>12</v>
      </c>
      <c r="M1" s="8"/>
      <c r="N1" s="8"/>
      <c r="O1" s="88"/>
    </row>
    <row r="2" ht="20.85" customHeight="1">
      <c r="A2" s="9"/>
      <c r="B2" s="9"/>
      <c r="C2" s="9"/>
      <c r="D2" t="s" s="10">
        <v>13</v>
      </c>
      <c r="E2" t="s" s="10">
        <v>14</v>
      </c>
      <c r="F2" t="s" s="10">
        <v>15</v>
      </c>
      <c r="G2" s="9"/>
      <c r="H2" t="s" s="10">
        <v>13</v>
      </c>
      <c r="I2" t="s" s="10">
        <v>14</v>
      </c>
      <c r="J2" t="s" s="10">
        <v>15</v>
      </c>
      <c r="K2" s="9"/>
      <c r="L2" t="s" s="10">
        <v>13</v>
      </c>
      <c r="M2" t="s" s="10">
        <v>14</v>
      </c>
      <c r="N2" t="s" s="10">
        <v>15</v>
      </c>
      <c r="O2" s="89"/>
    </row>
    <row r="3" ht="20.6" customHeight="1">
      <c r="A3" t="s" s="90">
        <v>51</v>
      </c>
      <c r="B3" t="s" s="12">
        <v>52</v>
      </c>
      <c r="C3" s="13"/>
      <c r="D3" s="14"/>
      <c r="E3" s="14"/>
      <c r="F3" s="14"/>
      <c r="G3" s="15"/>
      <c r="H3" s="15"/>
      <c r="I3" s="15"/>
      <c r="J3" s="15"/>
      <c r="K3" s="15"/>
      <c r="L3" t="str" s="16" cm="1">
        <f t="array" ref="L3">IF(D3&gt;0,IF($D3&lt;=0,0,D3*H3),"")</f>
      </c>
      <c r="M3" t="str" s="16" cm="1">
        <f t="array" ref="M3">IF(E3&gt;0,IF($D3&lt;=0,0,ROUND(E3*I3,2)),"")</f>
      </c>
      <c r="N3" t="str" s="16" cm="1">
        <f t="array" ref="N3">IF(F3&gt;0,IF($D3&lt;=0,0,ROUND(F3*J3,2)),"")</f>
      </c>
      <c r="O3" s="17"/>
    </row>
    <row r="4" ht="20.5" customHeight="1">
      <c r="A4" t="s" s="18">
        <v>53</v>
      </c>
      <c r="B4" t="s" s="19">
        <v>54</v>
      </c>
      <c r="C4" s="20"/>
      <c r="D4" s="21"/>
      <c r="E4" s="21"/>
      <c r="F4" s="21"/>
      <c r="G4" s="79"/>
      <c r="H4" s="21"/>
      <c r="I4" s="79"/>
      <c r="J4" s="21"/>
      <c r="K4" s="21"/>
      <c r="L4" t="str" s="79" cm="1">
        <f t="array" ref="L4">IF(D4&gt;0,IF($D4&lt;=0,0,D4*H4),"")</f>
      </c>
      <c r="M4" t="str" s="79" cm="1">
        <f t="array" ref="M4">IF(E4&gt;0,IF($D4&lt;=0,0,ROUND(E4*I4,2)),"")</f>
      </c>
      <c r="N4" t="str" s="79" cm="1">
        <f t="array" ref="N4">IF(F4&gt;0,IF($D4&lt;=0,0,ROUND(F4*J4,2)),"")</f>
      </c>
      <c r="O4" s="91"/>
    </row>
    <row r="5" ht="32.5" customHeight="1">
      <c r="A5" s="92">
        <v>2</v>
      </c>
      <c r="B5" t="s" s="19">
        <v>119</v>
      </c>
      <c r="C5" s="24"/>
      <c r="D5" s="26">
        <v>1.5</v>
      </c>
      <c r="E5" s="26" cm="1">
        <f t="array" ref="E5">D5</f>
        <v>1.5</v>
      </c>
      <c r="F5" s="26" cm="1">
        <f t="array" ref="F5">D5</f>
        <v>1.5</v>
      </c>
      <c r="G5" t="s" s="27">
        <v>56</v>
      </c>
      <c r="H5" s="26">
        <v>10000000</v>
      </c>
      <c r="I5" s="26">
        <v>10000000</v>
      </c>
      <c r="J5" s="26">
        <v>10000000</v>
      </c>
      <c r="K5" s="26">
        <v>11</v>
      </c>
      <c r="L5" s="26" cm="1">
        <f t="array" ref="L5">IF(D5&gt;0,IF($D5&lt;=0,0,D5*H5),"")</f>
        <v>15000000</v>
      </c>
      <c r="M5" s="26" cm="1">
        <f t="array" ref="M5">IF(E5&gt;0,IF($D5&lt;=0,0,ROUND(E5*I5,2)),"")</f>
        <v>15000000</v>
      </c>
      <c r="N5" s="26" cm="1">
        <f t="array" ref="N5">IF(F5&gt;0,IF($D5&lt;=0,0,ROUND(F5*J5,2)),"")</f>
        <v>15000000</v>
      </c>
      <c r="O5" s="28"/>
    </row>
    <row r="6" ht="20.5" customHeight="1">
      <c r="A6" t="s" s="93">
        <v>58</v>
      </c>
      <c r="B6" t="s" s="19">
        <v>59</v>
      </c>
      <c r="C6" s="20"/>
      <c r="D6" s="21"/>
      <c r="E6" s="21"/>
      <c r="F6" s="21"/>
      <c r="G6" s="79"/>
      <c r="H6" s="21"/>
      <c r="I6" s="21"/>
      <c r="J6" s="21"/>
      <c r="K6" s="21"/>
      <c r="L6" t="str" s="79" cm="1">
        <f t="array" ref="L6">IF(D6&gt;0,IF($D6&lt;=0,0,D6*H6),"")</f>
      </c>
      <c r="M6" t="str" s="79" cm="1">
        <f t="array" ref="M6">IF(E6&gt;0,IF($D6&lt;=0,0,ROUND(E6*I6,2)),"")</f>
      </c>
      <c r="N6" t="str" s="79" cm="1">
        <f t="array" ref="N6">IF(F6&gt;0,IF($D6&lt;=0,0,ROUND(F6*J6,2)),"")</f>
      </c>
      <c r="O6" s="91"/>
    </row>
    <row r="7" ht="20.5" customHeight="1">
      <c r="A7" t="s" s="18">
        <v>53</v>
      </c>
      <c r="B7" t="s" s="19">
        <v>60</v>
      </c>
      <c r="C7" s="24"/>
      <c r="D7" s="26"/>
      <c r="E7" s="26"/>
      <c r="F7" s="26"/>
      <c r="G7" s="30"/>
      <c r="H7" s="26"/>
      <c r="I7" s="26"/>
      <c r="J7" s="26"/>
      <c r="K7" s="26"/>
      <c r="L7" t="str" s="30" cm="1">
        <f t="array" ref="L7">IF(D7&gt;0,IF($D7&lt;=0,0,D7*H7),"")</f>
      </c>
      <c r="M7" t="str" s="30" cm="1">
        <f t="array" ref="M7">IF(E7&gt;0,IF($D7&lt;=0,0,ROUND(E7*I7,2)),"")</f>
      </c>
      <c r="N7" t="str" s="30" cm="1">
        <f t="array" ref="N7">IF(F7&gt;0,IF($D7&lt;=0,0,ROUND(F7*J7,2)),"")</f>
      </c>
      <c r="O7" s="31"/>
    </row>
    <row r="8" ht="20.5" customHeight="1">
      <c r="A8" s="94">
        <v>1</v>
      </c>
      <c r="B8" t="s" s="19">
        <v>61</v>
      </c>
      <c r="C8" s="20"/>
      <c r="D8" s="21">
        <v>1.5</v>
      </c>
      <c r="E8" s="21" cm="1">
        <f t="array" ref="E8">D8</f>
        <v>1.5</v>
      </c>
      <c r="F8" s="21" cm="1">
        <f t="array" ref="F8">D8</f>
        <v>1.5</v>
      </c>
      <c r="G8" t="s" s="22">
        <v>62</v>
      </c>
      <c r="H8" s="21">
        <v>200000</v>
      </c>
      <c r="I8" s="21">
        <v>230000</v>
      </c>
      <c r="J8" s="21">
        <v>200000</v>
      </c>
      <c r="K8" s="21">
        <v>11</v>
      </c>
      <c r="L8" s="21" cm="1">
        <f t="array" ref="L8">IF(D8&gt;0,IF($D8&lt;=0,0,D8*H8),"")</f>
        <v>300000</v>
      </c>
      <c r="M8" s="21" cm="1">
        <f t="array" ref="M8">IF(E8&gt;0,IF($D8&lt;=0,0,ROUND(E8*I8,2)),"")</f>
        <v>345000</v>
      </c>
      <c r="N8" s="21" cm="1">
        <f t="array" ref="N8">IF(F8&gt;0,IF($D8&lt;=0,0,ROUND(F8*J8,2)),"")</f>
        <v>300000</v>
      </c>
      <c r="O8" s="23"/>
    </row>
    <row r="9" ht="32.5" customHeight="1">
      <c r="A9" s="95">
        <v>2</v>
      </c>
      <c r="B9" t="s" s="19">
        <v>120</v>
      </c>
      <c r="C9" s="24"/>
      <c r="D9" s="26">
        <v>1.5</v>
      </c>
      <c r="E9" s="26" cm="1">
        <f t="array" ref="E9">D9</f>
        <v>1.5</v>
      </c>
      <c r="F9" s="26" cm="1">
        <f t="array" ref="F9">D9</f>
        <v>1.5</v>
      </c>
      <c r="G9" t="s" s="27">
        <v>64</v>
      </c>
      <c r="H9" s="26">
        <v>5045000</v>
      </c>
      <c r="I9" s="26">
        <v>5000000</v>
      </c>
      <c r="J9" s="26">
        <v>5000000</v>
      </c>
      <c r="K9" s="26">
        <v>11</v>
      </c>
      <c r="L9" s="26" cm="1">
        <f t="array" ref="L9">IF(D9&gt;0,IF($D9&lt;=0,0,D9*H9),"")</f>
        <v>7567500</v>
      </c>
      <c r="M9" s="26" cm="1">
        <f t="array" ref="M9">IF(E9&gt;0,IF($D9&lt;=0,0,ROUND(E9*I9,2)),"")</f>
        <v>7500000</v>
      </c>
      <c r="N9" s="26" cm="1">
        <f t="array" ref="N9">IF(F9&gt;0,IF($D9&lt;=0,0,ROUND(F9*J9,2)),"")</f>
        <v>7500000</v>
      </c>
      <c r="O9" s="28"/>
    </row>
    <row r="10" ht="20.5" customHeight="1">
      <c r="A10" s="94"/>
      <c r="B10" t="s" s="19">
        <v>66</v>
      </c>
      <c r="C10" s="20"/>
      <c r="D10" s="21"/>
      <c r="E10" s="21"/>
      <c r="F10" s="21"/>
      <c r="G10" s="79"/>
      <c r="H10" s="21"/>
      <c r="I10" s="21"/>
      <c r="J10" s="21"/>
      <c r="K10" s="21"/>
      <c r="L10" t="str" s="79" cm="1">
        <f t="array" ref="L10">IF(D10&gt;0,IF($D10&lt;=0,0,D10*H10),"")</f>
      </c>
      <c r="M10" t="str" s="79" cm="1">
        <f t="array" ref="M10">IF(E10&gt;0,IF($D10&lt;=0,0,ROUND(E10*I10,2)),"")</f>
      </c>
      <c r="N10" t="str" s="79" cm="1">
        <f t="array" ref="N10">IF(F10&gt;0,IF($D10&lt;=0,0,ROUND(F10*J10,2)),"")</f>
      </c>
      <c r="O10" s="23"/>
    </row>
    <row r="11" ht="20.5" customHeight="1">
      <c r="A11" s="94">
        <v>3</v>
      </c>
      <c r="B11" t="s" s="19">
        <v>67</v>
      </c>
      <c r="C11" s="24"/>
      <c r="D11" s="26">
        <v>1</v>
      </c>
      <c r="E11" s="26" cm="1">
        <f t="array" ref="E11">D11</f>
        <v>1</v>
      </c>
      <c r="F11" s="26" cm="1">
        <f t="array" ref="F11">D11</f>
        <v>1</v>
      </c>
      <c r="G11" t="s" s="27">
        <v>68</v>
      </c>
      <c r="H11" s="26">
        <v>77000</v>
      </c>
      <c r="I11" s="26">
        <v>75000</v>
      </c>
      <c r="J11" s="26">
        <v>75000</v>
      </c>
      <c r="K11" s="26">
        <v>11</v>
      </c>
      <c r="L11" s="26" cm="1">
        <f t="array" ref="L11">IF(D11&gt;0,IF($D11&lt;=0,0,D11*H11),"")</f>
        <v>77000</v>
      </c>
      <c r="M11" s="26" cm="1">
        <f t="array" ref="M11">IF(E11&gt;0,IF($D11&lt;=0,0,ROUND(E11*I11,2)),"")</f>
        <v>75000</v>
      </c>
      <c r="N11" s="26" cm="1">
        <f t="array" ref="N11">IF(F11&gt;0,IF($D11&lt;=0,0,ROUND(F11*J11,2)),"")</f>
        <v>75000</v>
      </c>
      <c r="O11" s="28"/>
    </row>
    <row r="12" ht="20.5" customHeight="1">
      <c r="A12" s="94">
        <v>4</v>
      </c>
      <c r="B12" t="s" s="19">
        <v>69</v>
      </c>
      <c r="C12" s="20"/>
      <c r="D12" s="21">
        <v>1</v>
      </c>
      <c r="E12" s="21" cm="1">
        <f t="array" ref="E12">D12</f>
        <v>1</v>
      </c>
      <c r="F12" s="21" cm="1">
        <f t="array" ref="F12">D12</f>
        <v>1</v>
      </c>
      <c r="G12" t="s" s="22">
        <v>68</v>
      </c>
      <c r="H12" s="21">
        <v>250000</v>
      </c>
      <c r="I12" s="21">
        <v>250000</v>
      </c>
      <c r="J12" s="21">
        <v>250000</v>
      </c>
      <c r="K12" s="21">
        <v>11</v>
      </c>
      <c r="L12" s="21" cm="1">
        <f t="array" ref="L12">IF(D12&gt;0,IF($D12&lt;=0,0,D12*H12),"")</f>
        <v>250000</v>
      </c>
      <c r="M12" s="21" cm="1">
        <f t="array" ref="M12">IF(E12&gt;0,IF($D12&lt;=0,0,ROUND(E12*I12,2)),"")</f>
        <v>250000</v>
      </c>
      <c r="N12" s="21" cm="1">
        <f t="array" ref="N12">IF(F12&gt;0,IF($D12&lt;=0,0,ROUND(F12*J12,2)),"")</f>
        <v>250000</v>
      </c>
      <c r="O12" s="23"/>
    </row>
    <row r="13" ht="20.5" customHeight="1">
      <c r="A13" s="29"/>
      <c r="B13" t="s" s="19">
        <v>70</v>
      </c>
      <c r="C13" s="24"/>
      <c r="D13" s="26"/>
      <c r="E13" s="26"/>
      <c r="F13" s="26"/>
      <c r="G13" s="30"/>
      <c r="H13" s="26"/>
      <c r="I13" s="26"/>
      <c r="J13" s="26"/>
      <c r="K13" s="26"/>
      <c r="L13" t="str" s="30" cm="1">
        <f t="array" ref="L13">IF(D13&gt;0,IF($D13&lt;=0,0,D13*H13),"")</f>
      </c>
      <c r="M13" t="str" s="30" cm="1">
        <f t="array" ref="M13">IF(E13&gt;0,IF($D13&lt;=0,0,ROUND(E13*I13,2)),"")</f>
      </c>
      <c r="N13" t="str" s="30" cm="1">
        <f t="array" ref="N13">IF(F13&gt;0,IF($D13&lt;=0,0,ROUND(F13*J13,2)),"")</f>
      </c>
      <c r="O13" s="31"/>
    </row>
    <row r="14" ht="20.5" customHeight="1">
      <c r="A14" s="95">
        <v>5</v>
      </c>
      <c r="B14" t="s" s="19">
        <v>74</v>
      </c>
      <c r="C14" s="20"/>
      <c r="D14" s="21">
        <v>3</v>
      </c>
      <c r="E14" s="21" cm="1">
        <f t="array" ref="E14">D14</f>
        <v>3</v>
      </c>
      <c r="F14" s="21" cm="1">
        <f t="array" ref="F14">D14</f>
        <v>3</v>
      </c>
      <c r="G14" t="s" s="22">
        <v>75</v>
      </c>
      <c r="H14" s="21">
        <v>200000</v>
      </c>
      <c r="I14" s="21">
        <v>200000</v>
      </c>
      <c r="J14" s="21">
        <v>200000</v>
      </c>
      <c r="K14" s="21">
        <v>11</v>
      </c>
      <c r="L14" s="21" cm="1">
        <f t="array" ref="L14">IF(D14&gt;0,IF($D14&lt;=0,0,D14*H14),"")</f>
        <v>600000</v>
      </c>
      <c r="M14" s="21" cm="1">
        <f t="array" ref="M14">IF(E14&gt;0,IF($D14&lt;=0,0,ROUND(E14*I14,2)),"")</f>
        <v>600000</v>
      </c>
      <c r="N14" s="21" cm="1">
        <f t="array" ref="N14">IF(F14&gt;0,IF($D14&lt;=0,0,ROUND(F14*J14,2)),"")</f>
        <v>600000</v>
      </c>
      <c r="O14" s="23"/>
    </row>
    <row r="15" ht="20.5" customHeight="1">
      <c r="A15" s="95">
        <v>6</v>
      </c>
      <c r="B15" t="s" s="19">
        <v>76</v>
      </c>
      <c r="C15" s="24"/>
      <c r="D15" s="26" cm="1">
        <f t="array" ref="D15">1.5*3</f>
        <v>4.5</v>
      </c>
      <c r="E15" s="26" cm="1">
        <f t="array" ref="E15">D15</f>
        <v>4.5</v>
      </c>
      <c r="F15" s="26" cm="1">
        <f t="array" ref="F15">D15</f>
        <v>4.5</v>
      </c>
      <c r="G15" t="s" s="27">
        <v>75</v>
      </c>
      <c r="H15" s="26">
        <v>150000</v>
      </c>
      <c r="I15" s="26">
        <v>150000</v>
      </c>
      <c r="J15" s="26">
        <v>150000</v>
      </c>
      <c r="K15" s="26">
        <v>11</v>
      </c>
      <c r="L15" s="26" cm="1">
        <f t="array" ref="L15">IF(D15&gt;0,IF($D15&lt;=0,0,D15*H15),"")</f>
        <v>675000</v>
      </c>
      <c r="M15" s="26" cm="1">
        <f t="array" ref="M15">IF(E15&gt;0,IF($D15&lt;=0,0,ROUND(E15*I15,2)),"")</f>
        <v>675000</v>
      </c>
      <c r="N15" s="26" cm="1">
        <f t="array" ref="N15">IF(F15&gt;0,IF($D15&lt;=0,0,ROUND(F15*J15,2)),"")</f>
        <v>675000</v>
      </c>
      <c r="O15" s="28"/>
    </row>
    <row r="16" ht="20.5" customHeight="1">
      <c r="A16" s="95">
        <v>7</v>
      </c>
      <c r="B16" t="s" s="19">
        <v>77</v>
      </c>
      <c r="C16" s="20"/>
      <c r="D16" s="21">
        <v>3</v>
      </c>
      <c r="E16" s="21" cm="1">
        <f t="array" ref="E16">D16</f>
        <v>3</v>
      </c>
      <c r="F16" s="21" cm="1">
        <f t="array" ref="F16">D16</f>
        <v>3</v>
      </c>
      <c r="G16" t="s" s="22">
        <v>75</v>
      </c>
      <c r="H16" s="21">
        <v>200000</v>
      </c>
      <c r="I16" s="21">
        <v>200000</v>
      </c>
      <c r="J16" s="21">
        <v>200000</v>
      </c>
      <c r="K16" s="21">
        <v>11</v>
      </c>
      <c r="L16" s="21" cm="1">
        <f t="array" ref="L16">IF(D16&gt;0,IF($D16&lt;=0,0,D16*H16),"")</f>
        <v>600000</v>
      </c>
      <c r="M16" s="21" cm="1">
        <f t="array" ref="M16">IF(E16&gt;0,IF($D16&lt;=0,0,ROUND(E16*I16,2)),"")</f>
        <v>600000</v>
      </c>
      <c r="N16" s="21" cm="1">
        <f t="array" ref="N16">IF(F16&gt;0,IF($D16&lt;=0,0,ROUND(F16*J16,2)),"")</f>
        <v>600000</v>
      </c>
      <c r="O16" s="23"/>
    </row>
    <row r="17" ht="20.5" customHeight="1">
      <c r="A17" s="95">
        <v>8</v>
      </c>
      <c r="B17" t="s" s="19">
        <v>121</v>
      </c>
      <c r="C17" s="24"/>
      <c r="D17" s="26">
        <v>1</v>
      </c>
      <c r="E17" s="26" cm="1">
        <f t="array" ref="E17">D17</f>
        <v>1</v>
      </c>
      <c r="F17" s="26" cm="1">
        <f t="array" ref="F17">D17</f>
        <v>1</v>
      </c>
      <c r="G17" t="s" s="27">
        <v>79</v>
      </c>
      <c r="H17" s="26">
        <v>100000</v>
      </c>
      <c r="I17" s="26">
        <v>100000</v>
      </c>
      <c r="J17" s="26">
        <v>100000</v>
      </c>
      <c r="K17" s="26">
        <v>11</v>
      </c>
      <c r="L17" s="26" cm="1">
        <f t="array" ref="L17">IF(D17&gt;0,IF($D17&lt;=0,0,D17*H17),"")</f>
        <v>100000</v>
      </c>
      <c r="M17" s="26" cm="1">
        <f t="array" ref="M17">IF(E17&gt;0,IF($D17&lt;=0,0,ROUND(E17*I17,2)),"")</f>
        <v>100000</v>
      </c>
      <c r="N17" s="26" cm="1">
        <f t="array" ref="N17">IF(F17&gt;0,IF($D17&lt;=0,0,ROUND(F17*J17,2)),"")</f>
        <v>100000</v>
      </c>
      <c r="O17" s="31"/>
    </row>
    <row r="18" ht="20.5" customHeight="1">
      <c r="A18" t="s" s="18">
        <v>80</v>
      </c>
      <c r="B18" t="s" s="19">
        <v>81</v>
      </c>
      <c r="C18" s="20"/>
      <c r="D18" s="21"/>
      <c r="E18" s="21"/>
      <c r="F18" s="21"/>
      <c r="G18" s="79"/>
      <c r="H18" s="21"/>
      <c r="I18" s="21"/>
      <c r="J18" s="21"/>
      <c r="K18" s="21"/>
      <c r="L18" t="str" s="79" cm="1">
        <f t="array" ref="L18">IF(D18&gt;0,IF($D18&lt;=0,0,D18*H18),"")</f>
      </c>
      <c r="M18" t="str" s="79" cm="1">
        <f t="array" ref="M18">IF(E18&gt;0,IF($D18&lt;=0,0,ROUND(E18*I18,2)),"")</f>
      </c>
      <c r="N18" t="str" s="79" cm="1">
        <f t="array" ref="N18">IF(F18&gt;0,IF($D18&lt;=0,0,ROUND(F18*J18,2)),"")</f>
      </c>
      <c r="O18" s="91"/>
    </row>
    <row r="19" ht="20.5" customHeight="1">
      <c r="A19" s="29"/>
      <c r="B19" t="s" s="19">
        <v>82</v>
      </c>
      <c r="C19" s="24"/>
      <c r="D19" s="26">
        <v>1</v>
      </c>
      <c r="E19" s="26" cm="1">
        <f t="array" ref="E19">D19</f>
        <v>1</v>
      </c>
      <c r="F19" s="26" cm="1">
        <f t="array" ref="F19">D19</f>
        <v>1</v>
      </c>
      <c r="G19" t="s" s="27">
        <v>19</v>
      </c>
      <c r="H19" s="26">
        <v>60406.8</v>
      </c>
      <c r="I19" s="26">
        <v>70000</v>
      </c>
      <c r="J19" s="26">
        <v>60240</v>
      </c>
      <c r="K19" s="26">
        <v>0</v>
      </c>
      <c r="L19" s="26" cm="1">
        <f t="array" ref="L19">IF(D19&gt;0,IF($D19&lt;=0,0,D19*H19),"")</f>
        <v>60406.8</v>
      </c>
      <c r="M19" s="26" cm="1">
        <f t="array" ref="M19">IF(E19&gt;0,IF($D19&lt;=0,0,ROUND(E19*I19,2)),"")</f>
        <v>70000</v>
      </c>
      <c r="N19" s="26" cm="1">
        <f t="array" ref="N19">IF(F19&gt;0,IF($D19&lt;=0,0,ROUND(F19*J19,2)),"")</f>
        <v>60240</v>
      </c>
      <c r="O19" s="28"/>
    </row>
    <row r="20" ht="20.6" customHeight="1">
      <c r="A20" s="96"/>
      <c r="B20" s="97"/>
      <c r="C20" s="35"/>
      <c r="D20" s="36"/>
      <c r="E20" s="36"/>
      <c r="F20" s="36"/>
      <c r="G20" s="101"/>
      <c r="H20" s="36"/>
      <c r="I20" s="36"/>
      <c r="J20" s="36"/>
      <c r="K20" s="36"/>
      <c r="L20" t="str" s="101" cm="1">
        <f t="array" ref="L20">IF(D20&gt;0,IF($D20&lt;=0,0,D20*H20),"")</f>
      </c>
      <c r="M20" t="str" s="101" cm="1">
        <f t="array" ref="M20">IF(E20&gt;0,IF($D20&lt;=0,0,ROUND(E20*I20,2)),"")</f>
      </c>
      <c r="N20" t="str" s="101" cm="1">
        <f t="array" ref="N20">IF(F20&gt;0,IF($D20&lt;=0,0,ROUND(F20*J20,2)),"")</f>
      </c>
      <c r="O20" s="102"/>
    </row>
    <row r="21" ht="20.85" customHeight="1">
      <c r="A21" s="54"/>
      <c r="B21" s="54"/>
      <c r="C21" s="54"/>
      <c r="D21" s="55"/>
      <c r="E21" s="55"/>
      <c r="F21" s="55"/>
      <c r="G21" s="56"/>
      <c r="H21" s="56"/>
      <c r="I21" s="54"/>
      <c r="J21" s="57"/>
      <c r="K21" t="s" s="58">
        <v>38</v>
      </c>
      <c r="L21" s="59" cm="1">
        <f t="array" ref="L21">SUM(L1:L20)</f>
        <v>25229906.8</v>
      </c>
      <c r="M21" s="59" cm="1">
        <f t="array" ref="M21">SUM(M1:M20)</f>
        <v>25215000</v>
      </c>
      <c r="N21" s="59" cm="1">
        <f t="array" ref="N21">SUM(N1:N20)</f>
        <v>25160240</v>
      </c>
      <c r="O21" s="59"/>
    </row>
    <row r="22" ht="21" customHeight="1">
      <c r="A22" s="62"/>
      <c r="B22" t="s" s="61">
        <v>39</v>
      </c>
      <c r="C22" s="62"/>
      <c r="D22" s="63" cm="1">
        <f t="array" ref="D22">ROUND(IF(L22&lt;=100000000,L22*0.24%,IF(AND(L22&gt;100000000,L22&lt;=500000000),100000000*0.24%+(L22-100000000)*0.19%,IF(AND(L22&gt;500000000,L22&lt;=1000000000),100000000*0.24%+400000000*0.19%+(L22-500000000)*0.15%,IF(AND(L22&gt;1000000000,L22&lt;=5000000000),100000000*0.24%+400000000*0.19%+500000000*0.15%+(L22-1000000000)*0.12%,IF(L22&gt;5000000000,100000000*0.24%+400000000*0.19%+500000000*0.15%+4000000000*0.12%+(L22-5000000000)*0.1%,"Bingung komputer"))))),2)</f>
        <v>60406.8</v>
      </c>
      <c r="E22" s="64" cm="1">
        <f t="array" ref="E22">ROUND(IF(M22&lt;=100000000,M22*0.24%,IF(AND(M22&gt;100000000,M22&lt;=500000000),100000000*0.24%+(M22-100000000)*0.19%,IF(AND(M22&gt;500000000,M22&lt;=1000000000),100000000*0.24%+400000000*0.19%+(M22-500000000)*0.15%,IF(AND(M22&gt;1000000000,M22&lt;=5000000000),100000000*0.24%+400000000*0.19%+500000000*0.15%+(M22-1000000000)*0.12%,IF(M22&gt;5000000000,100000000*0.24%+400000000*0.19%+500000000*0.15%+4000000000*0.12%+(M22-5000000000)*0.1%,"Bingung komputer"))))),2)</f>
        <v>60348</v>
      </c>
      <c r="F22" s="64" cm="1">
        <f t="array" ref="F22">ROUND(IF(N22&lt;=100000000,N22*0.24%,IF(AND(N22&gt;100000000,N22&lt;=500000000),100000000*0.24%+(N22-100000000)*0.19%,IF(AND(N22&gt;500000000,N22&lt;=1000000000),100000000*0.24%+400000000*0.19%+(N22-500000000)*0.15%,IF(AND(N22&gt;1000000000,N22&lt;=5000000000),100000000*0.24%+400000000*0.19%+500000000*0.15%+(N22-1000000000)*0.12%,IF(N22&gt;5000000000,100000000*0.24%+400000000*0.19%+500000000*0.15%+4000000000*0.12%+(N22-5000000000)*0.1%,"Bingung komputer"))))),2)</f>
        <v>60240</v>
      </c>
      <c r="G22" s="65"/>
      <c r="H22" s="66"/>
      <c r="I22" s="62"/>
      <c r="J22" s="67"/>
      <c r="K22" t="str" s="67" cm="1">
        <f t="array" ref="K22">"Jumlah Terkena Pajak "&amp;MAX(K3:K20)&amp;"% (B)"</f>
        <v>Jumlah Terkena Pajak 11,00% (B)</v>
      </c>
      <c r="L22" s="68" cm="1">
        <f t="array" ref="L22">SUMIF($K3:$K20,"&gt;0",L3:L20)</f>
        <v>25169500</v>
      </c>
      <c r="M22" s="68" cm="1">
        <f t="array" ref="M22">SUMIF($K3:$K20,"&gt;0",M3:M20)</f>
        <v>25145000</v>
      </c>
      <c r="N22" s="68" cm="1">
        <f t="array" ref="N22">SUMIF($K3:$K20,"&gt;0",N3:N20)</f>
        <v>25100000</v>
      </c>
      <c r="O22" s="69"/>
    </row>
    <row r="23" ht="21" customHeight="1">
      <c r="A23" s="71"/>
      <c r="B23" s="71"/>
      <c r="C23" s="71"/>
      <c r="D23" s="72"/>
      <c r="E23" s="72"/>
      <c r="F23" s="112">
        <v>28000000</v>
      </c>
      <c r="G23" s="72"/>
      <c r="H23" s="72"/>
      <c r="I23" s="71"/>
      <c r="J23" s="73"/>
      <c r="K23" t="str" s="73" cm="1">
        <f t="array" ref="K23">"PPN (C) = "&amp;MAX(K3:K20)&amp;"% x B"</f>
        <v>PPN (C) = 11,00% x B</v>
      </c>
      <c r="L23" s="74" cm="1">
        <f t="array" ref="L23">L22*MAX($K3:$K20)%</f>
        <v>2768645</v>
      </c>
      <c r="M23" s="74" cm="1">
        <f t="array" ref="M23">M22*MAX($K3:$K20)%</f>
        <v>2765950</v>
      </c>
      <c r="N23" s="74" cm="1">
        <f t="array" ref="N23">N22*MAX($K3:$K20)%</f>
        <v>2761000</v>
      </c>
      <c r="O23" s="69"/>
    </row>
    <row r="24" ht="21" customHeight="1">
      <c r="A24" s="71"/>
      <c r="B24" s="71"/>
      <c r="C24" s="71"/>
      <c r="D24" s="72"/>
      <c r="E24" s="72"/>
      <c r="F24" s="72"/>
      <c r="G24" s="72"/>
      <c r="H24" s="72"/>
      <c r="I24" s="71"/>
      <c r="J24" s="73"/>
      <c r="K24" t="s" s="75">
        <v>42</v>
      </c>
      <c r="L24" s="74" cm="1">
        <f t="array" ref="L24">L21+L23</f>
        <v>27998551.8</v>
      </c>
      <c r="M24" s="74" cm="1">
        <f t="array" ref="M24">M21+M23</f>
        <v>27980950</v>
      </c>
      <c r="N24" s="74" cm="1">
        <f t="array" ref="N24">N21+N23</f>
        <v>27921240</v>
      </c>
      <c r="O24" s="69"/>
    </row>
    <row r="25" ht="20.5" customHeight="1">
      <c r="A25" s="71"/>
      <c r="B25" s="71"/>
      <c r="C25" s="71"/>
      <c r="D25" s="72"/>
      <c r="E25" s="72"/>
      <c r="F25" s="72"/>
      <c r="G25" s="72"/>
      <c r="H25" s="72"/>
      <c r="I25" s="71"/>
      <c r="J25" s="73"/>
      <c r="K25" t="s" s="75">
        <v>43</v>
      </c>
      <c r="L25" s="74" cm="1">
        <f t="array" ref="L25">ROUNDDOWN(L24,2)</f>
        <v>27998551.8</v>
      </c>
      <c r="M25" s="74" cm="1">
        <f t="array" ref="M25">ROUNDDOWN(M24,2)</f>
        <v>27980950</v>
      </c>
      <c r="N25" s="74" cm="1">
        <f t="array" ref="N25">ROUNDDOWN(N24,-3)</f>
        <v>27921000</v>
      </c>
      <c r="O25" s="68"/>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8.xml><?xml version="1.0" encoding="utf-8"?>
<worksheet xmlns:r="http://schemas.openxmlformats.org/officeDocument/2006/relationships" xmlns="http://schemas.openxmlformats.org/spreadsheetml/2006/main">
  <sheetPr>
    <pageSetUpPr fitToPage="1"/>
  </sheetPr>
  <dimension ref="A1:N31"/>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119" customWidth="1"/>
    <col min="2" max="2" width="43.0312" style="119" customWidth="1"/>
    <col min="3" max="3" width="2.75" style="119" customWidth="1"/>
    <col min="4" max="6" width="10.3672" style="119" customWidth="1"/>
    <col min="7" max="7" width="11.6875" style="119" customWidth="1"/>
    <col min="8" max="11" width="13.5156" style="119" customWidth="1"/>
    <col min="12" max="14" width="14.2344" style="119" customWidth="1"/>
    <col min="15" max="16384" width="16.3516" style="119"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109</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s="95">
        <v>1</v>
      </c>
      <c r="B4" t="s" s="19">
        <v>110</v>
      </c>
      <c r="C4" s="20"/>
      <c r="D4" s="21">
        <v>1</v>
      </c>
      <c r="E4" s="21" cm="1">
        <f t="array" ref="E4">D4</f>
        <v>1</v>
      </c>
      <c r="F4" s="21" cm="1">
        <f t="array" ref="F4">D4</f>
        <v>1</v>
      </c>
      <c r="G4" t="s" s="22">
        <v>19</v>
      </c>
      <c r="H4" s="21" cm="1">
        <f t="array" ref="H4">ROUNDDOWN((F$30*0.1)*100/111,-2)</f>
        <v>2517000</v>
      </c>
      <c r="I4" s="21">
        <v>2510000</v>
      </c>
      <c r="J4" s="21">
        <v>2510000</v>
      </c>
      <c r="K4" s="21">
        <v>11</v>
      </c>
      <c r="L4" s="21" cm="1">
        <f t="array" ref="L4">IF(D4&gt;0,IF($D4&lt;=0,0,D4*H4),"")</f>
        <v>2517000</v>
      </c>
      <c r="M4" s="21" cm="1">
        <f t="array" ref="M4">IF(E4&gt;0,IF($D4&lt;=0,0,ROUND(E4*I4,2)),"")</f>
        <v>2510000</v>
      </c>
      <c r="N4" s="23" cm="1">
        <f t="array" ref="N4">IF(F4&gt;0,IF($D4&lt;=0,0,ROUND(F4*J4,2)),"")</f>
        <v>2510000</v>
      </c>
    </row>
    <row r="5" ht="20.5" customHeight="1">
      <c r="A5" s="95">
        <v>2</v>
      </c>
      <c r="B5" t="s" s="19">
        <v>111</v>
      </c>
      <c r="C5" s="24"/>
      <c r="D5" s="26">
        <v>1</v>
      </c>
      <c r="E5" s="26" cm="1">
        <f t="array" ref="E5">D5</f>
        <v>1</v>
      </c>
      <c r="F5" s="26" cm="1">
        <f t="array" ref="F5">D5</f>
        <v>1</v>
      </c>
      <c r="G5" t="s" s="27">
        <v>19</v>
      </c>
      <c r="H5" s="26" cm="1">
        <f t="array" ref="H5">ROUNDDOWN((F$30*0.2)*100/111,-2)</f>
        <v>5034100</v>
      </c>
      <c r="I5" s="26">
        <v>5030000</v>
      </c>
      <c r="J5" s="26">
        <v>5030000</v>
      </c>
      <c r="K5" s="26">
        <v>11</v>
      </c>
      <c r="L5" s="26" cm="1">
        <f t="array" ref="L5">IF(D5&gt;0,IF($D5&lt;=0,0,D5*H5),"")</f>
        <v>5034100</v>
      </c>
      <c r="M5" s="26" cm="1">
        <f t="array" ref="M5">IF(E5&gt;0,IF($D5&lt;=0,0,ROUND(E5*I5,2)),"")</f>
        <v>5030000</v>
      </c>
      <c r="N5" s="28" cm="1">
        <f t="array" ref="N5">IF(F5&gt;0,IF($D5&lt;=0,0,ROUND(F5*J5,2)),"")</f>
        <v>5030000</v>
      </c>
    </row>
    <row r="6" ht="20.5" customHeight="1">
      <c r="A6" s="95">
        <v>3</v>
      </c>
      <c r="B6" t="s" s="19">
        <v>112</v>
      </c>
      <c r="C6" s="20"/>
      <c r="D6" s="21">
        <v>1</v>
      </c>
      <c r="E6" s="21" cm="1">
        <f t="array" ref="E6">D6</f>
        <v>1</v>
      </c>
      <c r="F6" s="21" cm="1">
        <f t="array" ref="F6">D6</f>
        <v>1</v>
      </c>
      <c r="G6" t="s" s="22">
        <v>19</v>
      </c>
      <c r="H6" s="21" cm="1">
        <f t="array" ref="H6">ROUNDDOWN((F$30*0.25)*100/111,-2)</f>
        <v>6292600</v>
      </c>
      <c r="I6" s="21">
        <v>6290000</v>
      </c>
      <c r="J6" s="21">
        <v>6290000</v>
      </c>
      <c r="K6" s="21">
        <v>11</v>
      </c>
      <c r="L6" s="21" cm="1">
        <f t="array" ref="L6">IF(D6&gt;0,IF($D6&lt;=0,0,D6*H6),"")</f>
        <v>6292600</v>
      </c>
      <c r="M6" s="21" cm="1">
        <f t="array" ref="M6">IF(E6&gt;0,IF($D6&lt;=0,0,ROUND(E6*I6,2)),"")</f>
        <v>6290000</v>
      </c>
      <c r="N6" s="23" cm="1">
        <f t="array" ref="N6">IF(F6&gt;0,IF($D6&lt;=0,0,ROUND(F6*J6,2)),"")</f>
        <v>6290000</v>
      </c>
    </row>
    <row r="7" ht="68.5" customHeight="1">
      <c r="A7" s="95">
        <v>5</v>
      </c>
      <c r="B7" t="s" s="19">
        <v>113</v>
      </c>
      <c r="C7" s="24"/>
      <c r="D7" s="26">
        <v>1</v>
      </c>
      <c r="E7" s="26" cm="1">
        <f t="array" ref="E7">D7</f>
        <v>1</v>
      </c>
      <c r="F7" s="26" cm="1">
        <f t="array" ref="F7">D7</f>
        <v>1</v>
      </c>
      <c r="G7" t="s" s="27">
        <v>19</v>
      </c>
      <c r="H7" s="26" cm="1">
        <f t="array" ref="H7">ROUNDDOWN((F$30*0.25)*100/111,-2)</f>
        <v>6292600</v>
      </c>
      <c r="I7" s="26">
        <v>6290000</v>
      </c>
      <c r="J7" s="26">
        <v>6290000</v>
      </c>
      <c r="K7" s="26">
        <v>11</v>
      </c>
      <c r="L7" s="26" cm="1">
        <f t="array" ref="L7">IF(D7&gt;0,IF($D7&lt;=0,0,D7*H7),"")</f>
        <v>6292600</v>
      </c>
      <c r="M7" s="26" cm="1">
        <f t="array" ref="M7">IF(E7&gt;0,IF($D7&lt;=0,0,ROUND(E7*I7,2)),"")</f>
        <v>6290000</v>
      </c>
      <c r="N7" s="28" cm="1">
        <f t="array" ref="N7">IF(F7&gt;0,IF($D7&lt;=0,0,ROUND(F7*J7,2)),"")</f>
        <v>6290000</v>
      </c>
    </row>
    <row r="8" ht="32.5" customHeight="1">
      <c r="A8" s="95">
        <v>6</v>
      </c>
      <c r="B8" t="s" s="19">
        <v>114</v>
      </c>
      <c r="C8" s="20"/>
      <c r="D8" s="21">
        <v>1</v>
      </c>
      <c r="E8" s="21" cm="1">
        <f t="array" ref="E8">D8</f>
        <v>1</v>
      </c>
      <c r="F8" s="21" cm="1">
        <f t="array" ref="F8">D8</f>
        <v>1</v>
      </c>
      <c r="G8" t="s" s="22">
        <v>19</v>
      </c>
      <c r="H8" s="21" cm="1">
        <f t="array" ref="H8">ROUNDDOWN((F$30*0.05)*100/111,-2)</f>
        <v>1258500</v>
      </c>
      <c r="I8" s="21">
        <v>1250000</v>
      </c>
      <c r="J8" s="21">
        <v>1250000</v>
      </c>
      <c r="K8" s="21">
        <v>11</v>
      </c>
      <c r="L8" s="21" cm="1">
        <f t="array" ref="L8">IF(D8&gt;0,IF($D8&lt;=0,0,D8*H8),"")</f>
        <v>1258500</v>
      </c>
      <c r="M8" s="21" cm="1">
        <f t="array" ref="M8">IF(E8&gt;0,IF($D8&lt;=0,0,ROUND(E8*I8,2)),"")</f>
        <v>1250000</v>
      </c>
      <c r="N8" s="23" cm="1">
        <f t="array" ref="N8">IF(F8&gt;0,IF($D8&lt;=0,0,ROUND(F8*J8,2)),"")</f>
        <v>1250000</v>
      </c>
    </row>
    <row r="9" ht="20.5" customHeight="1">
      <c r="A9" s="95">
        <v>7</v>
      </c>
      <c r="B9" t="s" s="19">
        <v>115</v>
      </c>
      <c r="C9" s="24"/>
      <c r="D9" s="26">
        <v>1</v>
      </c>
      <c r="E9" s="26" cm="1">
        <f t="array" ref="E9">D9</f>
        <v>1</v>
      </c>
      <c r="F9" s="26" cm="1">
        <f t="array" ref="F9">D9</f>
        <v>1</v>
      </c>
      <c r="G9" t="s" s="27">
        <v>19</v>
      </c>
      <c r="H9" s="26" cm="1">
        <f t="array" ref="H9">ROUNDDOWN((F$30*0.15)*100/111,-2)</f>
        <v>3775600</v>
      </c>
      <c r="I9" s="26">
        <v>3770000</v>
      </c>
      <c r="J9" s="26">
        <v>3770000</v>
      </c>
      <c r="K9" s="26">
        <v>11</v>
      </c>
      <c r="L9" s="26" cm="1">
        <f t="array" ref="L9">IF(D9&gt;0,IF($D9&lt;=0,0,D9*H9),"")</f>
        <v>3775600</v>
      </c>
      <c r="M9" s="26" cm="1">
        <f t="array" ref="M9">IF(E9&gt;0,IF($D9&lt;=0,0,ROUND(E9*I9,2)),"")</f>
        <v>3770000</v>
      </c>
      <c r="N9" s="28" cm="1">
        <f t="array" ref="N9">IF(F9&gt;0,IF($D9&lt;=0,0,ROUND(F9*J9,2)),"")</f>
        <v>3770000</v>
      </c>
    </row>
    <row r="10" ht="20.6" customHeight="1">
      <c r="A10" s="33">
        <v>8</v>
      </c>
      <c r="B10" t="s" s="34">
        <v>37</v>
      </c>
      <c r="C10" s="35"/>
      <c r="D10" s="36">
        <v>1</v>
      </c>
      <c r="E10" s="36" cm="1">
        <f t="array" ref="E10">D10</f>
        <v>1</v>
      </c>
      <c r="F10" s="36" cm="1">
        <f t="array" ref="F10">D10</f>
        <v>1</v>
      </c>
      <c r="G10" t="s" s="37">
        <v>19</v>
      </c>
      <c r="H10" s="36">
        <v>60408.96</v>
      </c>
      <c r="I10" s="36">
        <v>60336</v>
      </c>
      <c r="J10" s="36">
        <v>60336</v>
      </c>
      <c r="K10" s="36">
        <v>0</v>
      </c>
      <c r="L10" s="36" cm="1">
        <f t="array" ref="L10">IF(D10&gt;0,IF($D10&lt;=0,0,D10*H10),"")</f>
        <v>60408.96</v>
      </c>
      <c r="M10" s="36" cm="1">
        <f t="array" ref="M10">IF(E10&gt;0,IF($D10&lt;=0,0,ROUND(E10*I10,2)),"")</f>
        <v>60336</v>
      </c>
      <c r="N10" s="38" cm="1">
        <f t="array" ref="N10">IF(F10&gt;0,IF($D10&lt;=0,0,ROUND(F10*J10,2)),"")</f>
        <v>60336</v>
      </c>
    </row>
    <row r="11" ht="8.75" customHeight="1" hidden="1">
      <c r="A11" s="39"/>
      <c r="B11" s="40"/>
      <c r="C11" s="41"/>
      <c r="D11" s="42"/>
      <c r="E11" s="42"/>
      <c r="F11" s="42"/>
      <c r="G11" s="43"/>
      <c r="H11" s="42"/>
      <c r="I11" s="42"/>
      <c r="J11" s="42"/>
      <c r="K11" s="42"/>
      <c r="L11" s="42"/>
      <c r="M11" s="42"/>
      <c r="N11" s="44"/>
    </row>
    <row r="12" ht="8.75" customHeight="1" hidden="1">
      <c r="A12" s="39"/>
      <c r="B12" s="40"/>
      <c r="C12" s="45"/>
      <c r="D12" s="46"/>
      <c r="E12" s="46"/>
      <c r="F12" s="46"/>
      <c r="G12" s="47"/>
      <c r="H12" s="46"/>
      <c r="I12" s="46"/>
      <c r="J12" s="46"/>
      <c r="K12" s="46"/>
      <c r="L12" s="46"/>
      <c r="M12" s="46"/>
      <c r="N12" s="48"/>
    </row>
    <row r="13" ht="8.75" customHeight="1" hidden="1">
      <c r="A13" s="39"/>
      <c r="B13" s="40"/>
      <c r="C13" s="41"/>
      <c r="D13" s="42"/>
      <c r="E13" s="42"/>
      <c r="F13" s="42"/>
      <c r="G13" s="43"/>
      <c r="H13" s="42"/>
      <c r="I13" s="42"/>
      <c r="J13" s="42"/>
      <c r="K13" s="42"/>
      <c r="L13" s="42"/>
      <c r="M13" s="42"/>
      <c r="N13" s="44"/>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2"/>
      <c r="I15" s="42"/>
      <c r="J15" s="42"/>
      <c r="K15" s="42"/>
      <c r="L15" s="42"/>
      <c r="M15" s="42"/>
      <c r="N15" s="44"/>
    </row>
    <row r="16" ht="8.75" customHeight="1" hidden="1">
      <c r="A16" s="39"/>
      <c r="B16" s="40"/>
      <c r="C16" s="45"/>
      <c r="D16" s="46"/>
      <c r="E16" s="46"/>
      <c r="F16" s="46"/>
      <c r="G16" s="47"/>
      <c r="H16" s="46"/>
      <c r="I16" s="46"/>
      <c r="J16" s="46"/>
      <c r="K16" s="46"/>
      <c r="L16" s="46"/>
      <c r="M16" s="46"/>
      <c r="N16" s="48"/>
    </row>
    <row r="17" ht="8.75" customHeight="1" hidden="1">
      <c r="A17" s="39"/>
      <c r="B17" s="40"/>
      <c r="C17" s="41"/>
      <c r="D17" s="42"/>
      <c r="E17" s="42"/>
      <c r="F17" s="42"/>
      <c r="G17" s="43"/>
      <c r="H17" s="43"/>
      <c r="I17" s="43"/>
      <c r="J17" s="43"/>
      <c r="K17" s="42"/>
      <c r="L17" s="43"/>
      <c r="M17" s="43"/>
      <c r="N17" s="49"/>
    </row>
    <row r="18" ht="8.75" customHeight="1" hidden="1">
      <c r="A18" s="39"/>
      <c r="B18" s="40"/>
      <c r="C18" s="45"/>
      <c r="D18" s="46"/>
      <c r="E18" s="46"/>
      <c r="F18" s="46"/>
      <c r="G18" s="47"/>
      <c r="H18" s="50"/>
      <c r="I18" s="50"/>
      <c r="J18" s="50"/>
      <c r="K18" s="46"/>
      <c r="L18" s="46"/>
      <c r="M18" s="46"/>
      <c r="N18" s="48"/>
    </row>
    <row r="19" ht="8.75" customHeight="1" hidden="1">
      <c r="A19" s="39"/>
      <c r="B19" s="40"/>
      <c r="C19" s="41"/>
      <c r="D19" s="42"/>
      <c r="E19" s="42"/>
      <c r="F19" s="42"/>
      <c r="G19" s="43"/>
      <c r="H19" s="43"/>
      <c r="I19" s="43"/>
      <c r="J19" s="43"/>
      <c r="K19" s="42"/>
      <c r="L19" s="43"/>
      <c r="M19" s="43"/>
      <c r="N19" s="49"/>
    </row>
    <row r="20" ht="8.75" customHeight="1" hidden="1">
      <c r="A20" s="39"/>
      <c r="B20" s="40"/>
      <c r="C20" s="45"/>
      <c r="D20" s="46"/>
      <c r="E20" s="46"/>
      <c r="F20" s="46"/>
      <c r="G20" s="47"/>
      <c r="H20" s="46"/>
      <c r="I20" s="46"/>
      <c r="J20" s="46"/>
      <c r="K20" s="46"/>
      <c r="L20" s="46"/>
      <c r="M20" s="46"/>
      <c r="N20" s="48"/>
    </row>
    <row r="21" ht="8.75" customHeight="1" hidden="1">
      <c r="A21" s="39"/>
      <c r="B21" s="40"/>
      <c r="C21" s="41"/>
      <c r="D21" s="42"/>
      <c r="E21" s="42"/>
      <c r="F21" s="42"/>
      <c r="G21" s="43"/>
      <c r="H21" s="42"/>
      <c r="I21" s="42"/>
      <c r="J21" s="42"/>
      <c r="K21" s="42"/>
      <c r="L21" s="42"/>
      <c r="M21" s="42"/>
      <c r="N21" s="44"/>
    </row>
    <row r="22" ht="8.75" customHeight="1" hidden="1">
      <c r="A22" s="51"/>
      <c r="B22" s="40"/>
      <c r="C22" s="45"/>
      <c r="D22" s="46"/>
      <c r="E22" s="46"/>
      <c r="F22" s="46"/>
      <c r="G22" s="47"/>
      <c r="H22" s="46"/>
      <c r="I22" s="46"/>
      <c r="J22" s="46"/>
      <c r="K22" s="46"/>
      <c r="L22" s="46"/>
      <c r="M22" s="46"/>
      <c r="N22" s="48"/>
    </row>
    <row r="23" ht="8.75" customHeight="1" hidden="1">
      <c r="A23" s="51"/>
      <c r="B23" s="40"/>
      <c r="C23" s="41"/>
      <c r="D23" s="42"/>
      <c r="E23" s="42"/>
      <c r="F23" s="42"/>
      <c r="G23" s="43"/>
      <c r="H23" s="42"/>
      <c r="I23" s="42"/>
      <c r="J23" s="42"/>
      <c r="K23" s="42"/>
      <c r="L23" s="42"/>
      <c r="M23" s="42"/>
      <c r="N23" s="44"/>
    </row>
    <row r="24" ht="8.75" customHeight="1" hidden="1">
      <c r="A24" s="39"/>
      <c r="B24" s="40"/>
      <c r="C24" s="45"/>
      <c r="D24" s="46"/>
      <c r="E24" s="46"/>
      <c r="F24" s="46"/>
      <c r="G24" s="47"/>
      <c r="H24" s="46"/>
      <c r="I24" s="46"/>
      <c r="J24" s="46"/>
      <c r="K24" s="46"/>
      <c r="L24" s="47"/>
      <c r="M24" s="47"/>
      <c r="N24" s="52"/>
    </row>
    <row r="25" ht="8.75" customHeight="1" hidden="1">
      <c r="A25" s="39"/>
      <c r="B25" s="40"/>
      <c r="C25" s="41"/>
      <c r="D25" s="42"/>
      <c r="E25" s="42"/>
      <c r="F25" s="42"/>
      <c r="G25" s="43"/>
      <c r="H25" s="42"/>
      <c r="I25" s="42"/>
      <c r="J25" s="42"/>
      <c r="K25" s="42"/>
      <c r="L25" s="42"/>
      <c r="M25" s="42"/>
      <c r="N25" s="44"/>
    </row>
    <row r="26" ht="8.75" customHeight="1" hidden="1">
      <c r="A26" s="39"/>
      <c r="B26" s="40"/>
      <c r="C26" s="45"/>
      <c r="D26" s="46"/>
      <c r="E26" s="46"/>
      <c r="F26" s="46"/>
      <c r="G26" s="47"/>
      <c r="H26" s="46"/>
      <c r="I26" s="46"/>
      <c r="J26" s="46"/>
      <c r="K26" s="46"/>
      <c r="L26" s="47"/>
      <c r="M26" s="47"/>
      <c r="N26" s="52"/>
    </row>
    <row r="27" ht="20.85" customHeight="1">
      <c r="A27" s="108"/>
      <c r="B27" s="54"/>
      <c r="C27" s="54"/>
      <c r="D27" s="55"/>
      <c r="E27" s="55"/>
      <c r="F27" s="55"/>
      <c r="G27" s="56"/>
      <c r="H27" s="56"/>
      <c r="I27" s="54"/>
      <c r="J27" s="57"/>
      <c r="K27" t="s" s="58">
        <v>38</v>
      </c>
      <c r="L27" s="59" cm="1">
        <f t="array" ref="L27">SUM(L1:L26)</f>
        <v>25230808.96</v>
      </c>
      <c r="M27" s="59" cm="1">
        <f t="array" ref="M27">SUM(M1:M26)</f>
        <v>25200336</v>
      </c>
      <c r="N27" s="59" cm="1">
        <f t="array" ref="N27">SUM(N1:N26)</f>
        <v>25200336</v>
      </c>
    </row>
    <row r="28" ht="21" customHeight="1">
      <c r="A28" s="63" cm="1">
        <f t="array" ref="A28">ROUND(IF(I28&lt;=100000000,I28*0.24%,IF(AND(I28&gt;100000000,I28&lt;=500000000),100000000*0.24%+(I28-100000000)*0.19%,IF(AND(I28&gt;500000000,I28&lt;=1000000000),100000000*0.24%+400000000*0.19%+(I28-500000000)*0.15%,IF(AND(I28&gt;1000000000,I28&lt;=5000000000),100000000*0.24%+400000000*0.19%+500000000*0.15%+(I28-1000000000)*0.12%,IF(I28&gt;5000000000,100000000*0.24%+400000000*0.19%+500000000*0.15%+4000000000*0.12%+(I28-5000000000)*0.1%,"Bingung komputer"))))),2)</f>
        <v>0</v>
      </c>
      <c r="B28" t="s" s="109">
        <v>39</v>
      </c>
      <c r="C28" s="62"/>
      <c r="D28" s="63" cm="1">
        <f t="array" ref="D28">ROUND(IF(L28&lt;=100000000,L28*0.24%,IF(AND(L28&gt;100000000,L28&lt;=500000000),100000000*0.24%+(L28-100000000)*0.19%,IF(AND(L28&gt;500000000,L28&lt;=1000000000),100000000*0.24%+400000000*0.19%+(L28-500000000)*0.15%,IF(AND(L28&gt;1000000000,L28&lt;=5000000000),100000000*0.24%+400000000*0.19%+500000000*0.15%+(L28-1000000000)*0.12%,IF(L28&gt;5000000000,100000000*0.24%+400000000*0.19%+500000000*0.15%+4000000000*0.12%+(L28-5000000000)*0.1%,"Bingung komputer"))))),2)</f>
        <v>60408.96</v>
      </c>
      <c r="E28" s="64" cm="1">
        <f t="array" ref="E28">ROUND(IF(M28&lt;=100000000,M28*0.24%,IF(AND(M28&gt;100000000,M28&lt;=500000000),100000000*0.24%+(M28-100000000)*0.19%,IF(AND(M28&gt;500000000,M28&lt;=1000000000),100000000*0.24%+400000000*0.19%+(M28-500000000)*0.15%,IF(AND(M28&gt;1000000000,M28&lt;=5000000000),100000000*0.24%+400000000*0.19%+500000000*0.15%+(M28-1000000000)*0.12%,IF(M28&gt;5000000000,100000000*0.24%+400000000*0.19%+500000000*0.15%+4000000000*0.12%+(M28-5000000000)*0.1%,"Bingung komputer"))))),2)</f>
        <v>60336</v>
      </c>
      <c r="F28" s="64" cm="1">
        <f t="array" ref="F28">ROUND(IF(N28&lt;=100000000,N28*0.24%,IF(AND(N28&gt;100000000,N28&lt;=500000000),100000000*0.24%+(N28-100000000)*0.19%,IF(AND(N28&gt;500000000,N28&lt;=1000000000),100000000*0.24%+400000000*0.19%+(N28-500000000)*0.15%,IF(AND(N28&gt;1000000000,N28&lt;=5000000000),100000000*0.24%+400000000*0.19%+500000000*0.15%+(N28-1000000000)*0.12%,IF(N28&gt;5000000000,100000000*0.24%+400000000*0.19%+500000000*0.15%+4000000000*0.12%+(N28-5000000000)*0.1%,"Bingung komputer"))))),2)</f>
        <v>60336</v>
      </c>
      <c r="G28" s="65"/>
      <c r="H28" s="66"/>
      <c r="I28" s="68"/>
      <c r="J28" s="67"/>
      <c r="K28" t="str" s="67" cm="1">
        <f t="array" ref="K28">"Jumlah Terkena Pajak "&amp;MAX(K3:K26)&amp;"% (B)"</f>
        <v>Jumlah Terkena Pajak 11,00% (B)</v>
      </c>
      <c r="L28" s="68" cm="1">
        <f t="array" ref="L28">SUMIF($K3:$K26,"&gt;0",L3:L26)</f>
        <v>25170400</v>
      </c>
      <c r="M28" s="69" cm="1">
        <f t="array" ref="M28">SUMIF($K3:$K26,"&gt;0",M3:M26)</f>
        <v>25140000</v>
      </c>
      <c r="N28" s="69" cm="1">
        <f t="array" ref="N28">SUMIF($K3:$K26,"&gt;0",N3:N26)</f>
        <v>25140000</v>
      </c>
    </row>
    <row r="29" ht="21" customHeight="1">
      <c r="A29" s="70"/>
      <c r="B29" s="71"/>
      <c r="C29" s="71"/>
      <c r="D29" s="72"/>
      <c r="E29" s="72"/>
      <c r="F29" s="71"/>
      <c r="G29" s="72"/>
      <c r="H29" s="72"/>
      <c r="I29" s="74"/>
      <c r="J29" s="73"/>
      <c r="K29" t="str" s="73" cm="1">
        <f t="array" ref="K29">"PPN (C) = "&amp;MAX(K3:K26)&amp;"% x B"</f>
        <v>PPN (C) = 11,00% x B</v>
      </c>
      <c r="L29" s="74" cm="1">
        <f t="array" ref="L29">L28*MAX($K3:$K26)%</f>
        <v>2768744</v>
      </c>
      <c r="M29" s="69" cm="1">
        <f t="array" ref="M29">M28*MAX($K3:$K26)%</f>
        <v>2765400</v>
      </c>
      <c r="N29" s="69" cm="1">
        <f t="array" ref="N29">N28*MAX($K3:$K26)%</f>
        <v>2765400</v>
      </c>
    </row>
    <row r="30" ht="21" customHeight="1">
      <c r="A30" s="70"/>
      <c r="B30" s="71"/>
      <c r="C30" s="71"/>
      <c r="D30" t="s" s="110">
        <v>116</v>
      </c>
      <c r="E30" s="112">
        <v>28000000</v>
      </c>
      <c r="F30" s="112">
        <v>27939500</v>
      </c>
      <c r="G30" s="72"/>
      <c r="H30" s="72"/>
      <c r="I30" s="71"/>
      <c r="J30" s="73"/>
      <c r="K30" t="s" s="75">
        <v>42</v>
      </c>
      <c r="L30" s="76" cm="1">
        <f t="array" ref="L30">L27+L29</f>
        <v>27999552.96</v>
      </c>
      <c r="M30" s="69" cm="1">
        <f t="array" ref="M30">M27+M29</f>
        <v>27965736</v>
      </c>
      <c r="N30" s="69" cm="1">
        <f t="array" ref="N30">N27+N29</f>
        <v>27965736</v>
      </c>
    </row>
    <row r="31" ht="20.5" customHeight="1">
      <c r="A31" s="70"/>
      <c r="B31" s="71"/>
      <c r="C31" s="71"/>
      <c r="D31" s="72"/>
      <c r="E31" s="72" cm="1">
        <f t="array" ref="E31">E$30-L$31</f>
        <v>447.04</v>
      </c>
      <c r="F31" s="113" cm="1">
        <f t="array" ref="F31">ROUNDDOWN(E$30-D$28,2)</f>
        <v>27939591.04</v>
      </c>
      <c r="G31" s="72"/>
      <c r="H31" s="72"/>
      <c r="I31" s="71"/>
      <c r="J31" s="73"/>
      <c r="K31" t="s" s="75">
        <v>43</v>
      </c>
      <c r="L31" s="68" cm="1">
        <f t="array" ref="L31">ROUNDDOWN(L30,2)</f>
        <v>27999552.96</v>
      </c>
      <c r="M31" s="68" cm="1">
        <f t="array" ref="M31">ROUNDDOWN(M30,2)</f>
        <v>27965736</v>
      </c>
      <c r="N31" s="68" cm="1">
        <f t="array" ref="N31">ROUNDDOWN(N30,-3)</f>
        <v>27965000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9.xml><?xml version="1.0" encoding="utf-8"?>
<worksheet xmlns:r="http://schemas.openxmlformats.org/officeDocument/2006/relationships" xmlns="http://schemas.openxmlformats.org/spreadsheetml/2006/main">
  <sheetPr>
    <pageSetUpPr fitToPage="1"/>
  </sheetPr>
  <dimension ref="A1:N31"/>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120" customWidth="1"/>
    <col min="2" max="2" width="43.0312" style="120" customWidth="1"/>
    <col min="3" max="3" width="2.75" style="120" customWidth="1"/>
    <col min="4" max="6" width="10.3672" style="120" customWidth="1"/>
    <col min="7" max="7" width="11.6875" style="120" customWidth="1"/>
    <col min="8" max="11" width="13.5156" style="120" customWidth="1"/>
    <col min="12" max="14" width="14.2344" style="120" customWidth="1"/>
    <col min="15" max="16384" width="16.3516" style="120"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109</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s="95">
        <v>1</v>
      </c>
      <c r="B4" t="s" s="19">
        <v>110</v>
      </c>
      <c r="C4" s="20"/>
      <c r="D4" s="21">
        <v>1</v>
      </c>
      <c r="E4" s="21" cm="1">
        <f t="array" ref="E4">D4</f>
        <v>1</v>
      </c>
      <c r="F4" s="21" cm="1">
        <f t="array" ref="F4">D4</f>
        <v>1</v>
      </c>
      <c r="G4" t="s" s="22">
        <v>19</v>
      </c>
      <c r="H4" s="21" cm="1">
        <f t="array" ref="H4">ROUNDDOWN((F$30*0.1)*100/111,-2)</f>
        <v>1123600</v>
      </c>
      <c r="I4" s="21">
        <v>1125000</v>
      </c>
      <c r="J4" s="21">
        <v>1125000</v>
      </c>
      <c r="K4" s="21">
        <v>11</v>
      </c>
      <c r="L4" s="21" cm="1">
        <f t="array" ref="L4">IF(D4&gt;0,IF($D4&lt;=0,0,D4*H4),"")</f>
        <v>1123600</v>
      </c>
      <c r="M4" s="21" cm="1">
        <f t="array" ref="M4">IF(E4&gt;0,IF($D4&lt;=0,0,ROUND(E4*I4,2)),"")</f>
        <v>1125000</v>
      </c>
      <c r="N4" s="23" cm="1">
        <f t="array" ref="N4">IF(F4&gt;0,IF($D4&lt;=0,0,ROUND(F4*J4,2)),"")</f>
        <v>1125000</v>
      </c>
    </row>
    <row r="5" ht="20.5" customHeight="1">
      <c r="A5" s="95">
        <v>2</v>
      </c>
      <c r="B5" t="s" s="19">
        <v>111</v>
      </c>
      <c r="C5" s="24"/>
      <c r="D5" s="26">
        <v>1</v>
      </c>
      <c r="E5" s="26" cm="1">
        <f t="array" ref="E5">D5</f>
        <v>1</v>
      </c>
      <c r="F5" s="26" cm="1">
        <f t="array" ref="F5">D5</f>
        <v>1</v>
      </c>
      <c r="G5" t="s" s="27">
        <v>19</v>
      </c>
      <c r="H5" s="26" cm="1">
        <f t="array" ref="H5">ROUNDDOWN((F$30*0.2)*100/111,-2)</f>
        <v>2247300</v>
      </c>
      <c r="I5" s="26">
        <v>2250000</v>
      </c>
      <c r="J5" s="26">
        <v>2250000</v>
      </c>
      <c r="K5" s="26">
        <v>11</v>
      </c>
      <c r="L5" s="26" cm="1">
        <f t="array" ref="L5">IF(D5&gt;0,IF($D5&lt;=0,0,D5*H5),"")</f>
        <v>2247300</v>
      </c>
      <c r="M5" s="26" cm="1">
        <f t="array" ref="M5">IF(E5&gt;0,IF($D5&lt;=0,0,ROUND(E5*I5,2)),"")</f>
        <v>2250000</v>
      </c>
      <c r="N5" s="28" cm="1">
        <f t="array" ref="N5">IF(F5&gt;0,IF($D5&lt;=0,0,ROUND(F5*J5,2)),"")</f>
        <v>2250000</v>
      </c>
    </row>
    <row r="6" ht="20.5" customHeight="1">
      <c r="A6" s="95">
        <v>3</v>
      </c>
      <c r="B6" t="s" s="19">
        <v>112</v>
      </c>
      <c r="C6" s="20"/>
      <c r="D6" s="21">
        <v>1</v>
      </c>
      <c r="E6" s="21" cm="1">
        <f t="array" ref="E6">D6</f>
        <v>1</v>
      </c>
      <c r="F6" s="21" cm="1">
        <f t="array" ref="F6">D6</f>
        <v>1</v>
      </c>
      <c r="G6" t="s" s="22">
        <v>19</v>
      </c>
      <c r="H6" s="21" cm="1">
        <f t="array" ref="H6">ROUNDDOWN((F$30*0.25)*100/111,-2)</f>
        <v>2809200</v>
      </c>
      <c r="I6" s="21">
        <v>2800000</v>
      </c>
      <c r="J6" s="21">
        <v>2800000</v>
      </c>
      <c r="K6" s="21">
        <v>11</v>
      </c>
      <c r="L6" s="21" cm="1">
        <f t="array" ref="L6">IF(D6&gt;0,IF($D6&lt;=0,0,D6*H6),"")</f>
        <v>2809200</v>
      </c>
      <c r="M6" s="21" cm="1">
        <f t="array" ref="M6">IF(E6&gt;0,IF($D6&lt;=0,0,ROUND(E6*I6,2)),"")</f>
        <v>2800000</v>
      </c>
      <c r="N6" s="23" cm="1">
        <f t="array" ref="N6">IF(F6&gt;0,IF($D6&lt;=0,0,ROUND(F6*J6,2)),"")</f>
        <v>2800000</v>
      </c>
    </row>
    <row r="7" ht="68.5" customHeight="1">
      <c r="A7" s="95">
        <v>5</v>
      </c>
      <c r="B7" t="s" s="19">
        <v>113</v>
      </c>
      <c r="C7" s="24"/>
      <c r="D7" s="26">
        <v>1</v>
      </c>
      <c r="E7" s="26" cm="1">
        <f t="array" ref="E7">D7</f>
        <v>1</v>
      </c>
      <c r="F7" s="26" cm="1">
        <f t="array" ref="F7">D7</f>
        <v>1</v>
      </c>
      <c r="G7" t="s" s="27">
        <v>19</v>
      </c>
      <c r="H7" s="26" cm="1">
        <f t="array" ref="H7">ROUNDDOWN((F$30*0.25)*100/111,-2)</f>
        <v>2809200</v>
      </c>
      <c r="I7" s="26">
        <v>2810000</v>
      </c>
      <c r="J7" s="26">
        <v>2810000</v>
      </c>
      <c r="K7" s="26">
        <v>11</v>
      </c>
      <c r="L7" s="26" cm="1">
        <f t="array" ref="L7">IF(D7&gt;0,IF($D7&lt;=0,0,D7*H7),"")</f>
        <v>2809200</v>
      </c>
      <c r="M7" s="26" cm="1">
        <f t="array" ref="M7">IF(E7&gt;0,IF($D7&lt;=0,0,ROUND(E7*I7,2)),"")</f>
        <v>2810000</v>
      </c>
      <c r="N7" s="28" cm="1">
        <f t="array" ref="N7">IF(F7&gt;0,IF($D7&lt;=0,0,ROUND(F7*J7,2)),"")</f>
        <v>2810000</v>
      </c>
    </row>
    <row r="8" ht="32.5" customHeight="1">
      <c r="A8" s="95">
        <v>6</v>
      </c>
      <c r="B8" t="s" s="19">
        <v>114</v>
      </c>
      <c r="C8" s="20"/>
      <c r="D8" s="21">
        <v>1</v>
      </c>
      <c r="E8" s="21" cm="1">
        <f t="array" ref="E8">D8</f>
        <v>1</v>
      </c>
      <c r="F8" s="21" cm="1">
        <f t="array" ref="F8">D8</f>
        <v>1</v>
      </c>
      <c r="G8" t="s" s="22">
        <v>19</v>
      </c>
      <c r="H8" s="21" cm="1">
        <f t="array" ref="H8">ROUNDDOWN((F$30*0.05)*100/111,-2)</f>
        <v>561800</v>
      </c>
      <c r="I8" s="21">
        <v>550800</v>
      </c>
      <c r="J8" s="21">
        <v>550800</v>
      </c>
      <c r="K8" s="21">
        <v>11</v>
      </c>
      <c r="L8" s="21" cm="1">
        <f t="array" ref="L8">IF(D8&gt;0,IF($D8&lt;=0,0,D8*H8),"")</f>
        <v>561800</v>
      </c>
      <c r="M8" s="21" cm="1">
        <f t="array" ref="M8">IF(E8&gt;0,IF($D8&lt;=0,0,ROUND(E8*I8,2)),"")</f>
        <v>550800</v>
      </c>
      <c r="N8" s="23" cm="1">
        <f t="array" ref="N8">IF(F8&gt;0,IF($D8&lt;=0,0,ROUND(F8*J8,2)),"")</f>
        <v>550800</v>
      </c>
    </row>
    <row r="9" ht="20.5" customHeight="1">
      <c r="A9" s="95">
        <v>7</v>
      </c>
      <c r="B9" t="s" s="19">
        <v>115</v>
      </c>
      <c r="C9" s="24"/>
      <c r="D9" s="26">
        <v>1</v>
      </c>
      <c r="E9" s="26" cm="1">
        <f t="array" ref="E9">D9</f>
        <v>1</v>
      </c>
      <c r="F9" s="26" cm="1">
        <f t="array" ref="F9">D9</f>
        <v>1</v>
      </c>
      <c r="G9" t="s" s="27">
        <v>19</v>
      </c>
      <c r="H9" s="26" cm="1">
        <f t="array" ref="H9">ROUNDDOWN((F$30*0.15)*100/111,-2)</f>
        <v>1685500</v>
      </c>
      <c r="I9" s="26">
        <v>1675000</v>
      </c>
      <c r="J9" s="26">
        <v>1675000</v>
      </c>
      <c r="K9" s="26">
        <v>11</v>
      </c>
      <c r="L9" s="26" cm="1">
        <f t="array" ref="L9">IF(D9&gt;0,IF($D9&lt;=0,0,D9*H9),"")</f>
        <v>1685500</v>
      </c>
      <c r="M9" s="26" cm="1">
        <f t="array" ref="M9">IF(E9&gt;0,IF($D9&lt;=0,0,ROUND(E9*I9,2)),"")</f>
        <v>1675000</v>
      </c>
      <c r="N9" s="28" cm="1">
        <f t="array" ref="N9">IF(F9&gt;0,IF($D9&lt;=0,0,ROUND(F9*J9,2)),"")</f>
        <v>1675000</v>
      </c>
    </row>
    <row r="10" ht="20.6" customHeight="1">
      <c r="A10" s="33">
        <v>8</v>
      </c>
      <c r="B10" t="s" s="34">
        <v>37</v>
      </c>
      <c r="C10" s="35"/>
      <c r="D10" s="36">
        <v>1</v>
      </c>
      <c r="E10" s="36" cm="1">
        <f t="array" ref="E10">D10</f>
        <v>1</v>
      </c>
      <c r="F10" s="36" cm="1">
        <f t="array" ref="F10">D10</f>
        <v>1</v>
      </c>
      <c r="G10" t="s" s="37">
        <v>19</v>
      </c>
      <c r="H10" s="36">
        <v>26967.84</v>
      </c>
      <c r="I10" s="36">
        <v>26905.92</v>
      </c>
      <c r="J10" s="36">
        <v>26905.92</v>
      </c>
      <c r="K10" s="36">
        <v>0</v>
      </c>
      <c r="L10" s="36" cm="1">
        <f t="array" ref="L10">IF(D10&gt;0,IF($D10&lt;=0,0,D10*H10),"")</f>
        <v>26967.84</v>
      </c>
      <c r="M10" s="36" cm="1">
        <f t="array" ref="M10">IF(E10&gt;0,IF($D10&lt;=0,0,ROUND(E10*I10,2)),"")</f>
        <v>26905.92</v>
      </c>
      <c r="N10" s="38" cm="1">
        <f t="array" ref="N10">IF(F10&gt;0,IF($D10&lt;=0,0,ROUND(F10*J10,2)),"")</f>
        <v>26905.92</v>
      </c>
    </row>
    <row r="11" ht="8.75" customHeight="1" hidden="1">
      <c r="A11" s="39"/>
      <c r="B11" s="40"/>
      <c r="C11" s="41"/>
      <c r="D11" s="42"/>
      <c r="E11" s="42"/>
      <c r="F11" s="42"/>
      <c r="G11" s="43"/>
      <c r="H11" s="42"/>
      <c r="I11" s="42"/>
      <c r="J11" s="42"/>
      <c r="K11" s="42"/>
      <c r="L11" s="42"/>
      <c r="M11" s="42"/>
      <c r="N11" s="44"/>
    </row>
    <row r="12" ht="8.75" customHeight="1" hidden="1">
      <c r="A12" s="39"/>
      <c r="B12" s="40"/>
      <c r="C12" s="45"/>
      <c r="D12" s="46"/>
      <c r="E12" s="46"/>
      <c r="F12" s="46"/>
      <c r="G12" s="47"/>
      <c r="H12" s="46"/>
      <c r="I12" s="46"/>
      <c r="J12" s="46"/>
      <c r="K12" s="46"/>
      <c r="L12" s="46"/>
      <c r="M12" s="46"/>
      <c r="N12" s="48"/>
    </row>
    <row r="13" ht="8.75" customHeight="1" hidden="1">
      <c r="A13" s="39"/>
      <c r="B13" s="40"/>
      <c r="C13" s="41"/>
      <c r="D13" s="42"/>
      <c r="E13" s="42"/>
      <c r="F13" s="42"/>
      <c r="G13" s="43"/>
      <c r="H13" s="42"/>
      <c r="I13" s="42"/>
      <c r="J13" s="42"/>
      <c r="K13" s="42"/>
      <c r="L13" s="42"/>
      <c r="M13" s="42"/>
      <c r="N13" s="44"/>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2"/>
      <c r="I15" s="42"/>
      <c r="J15" s="42"/>
      <c r="K15" s="42"/>
      <c r="L15" s="42"/>
      <c r="M15" s="42"/>
      <c r="N15" s="44"/>
    </row>
    <row r="16" ht="8.75" customHeight="1" hidden="1">
      <c r="A16" s="39"/>
      <c r="B16" s="40"/>
      <c r="C16" s="45"/>
      <c r="D16" s="46"/>
      <c r="E16" s="46"/>
      <c r="F16" s="46"/>
      <c r="G16" s="47"/>
      <c r="H16" s="46"/>
      <c r="I16" s="46"/>
      <c r="J16" s="46"/>
      <c r="K16" s="46"/>
      <c r="L16" s="46"/>
      <c r="M16" s="46"/>
      <c r="N16" s="48"/>
    </row>
    <row r="17" ht="8.75" customHeight="1" hidden="1">
      <c r="A17" s="39"/>
      <c r="B17" s="40"/>
      <c r="C17" s="41"/>
      <c r="D17" s="42"/>
      <c r="E17" s="42"/>
      <c r="F17" s="42"/>
      <c r="G17" s="43"/>
      <c r="H17" s="43"/>
      <c r="I17" s="43"/>
      <c r="J17" s="43"/>
      <c r="K17" s="42"/>
      <c r="L17" s="43"/>
      <c r="M17" s="43"/>
      <c r="N17" s="49"/>
    </row>
    <row r="18" ht="8.75" customHeight="1" hidden="1">
      <c r="A18" s="39"/>
      <c r="B18" s="40"/>
      <c r="C18" s="45"/>
      <c r="D18" s="46"/>
      <c r="E18" s="46"/>
      <c r="F18" s="46"/>
      <c r="G18" s="47"/>
      <c r="H18" s="50"/>
      <c r="I18" s="50"/>
      <c r="J18" s="50"/>
      <c r="K18" s="46"/>
      <c r="L18" s="46"/>
      <c r="M18" s="46"/>
      <c r="N18" s="48"/>
    </row>
    <row r="19" ht="8.75" customHeight="1" hidden="1">
      <c r="A19" s="39"/>
      <c r="B19" s="40"/>
      <c r="C19" s="41"/>
      <c r="D19" s="42"/>
      <c r="E19" s="42"/>
      <c r="F19" s="42"/>
      <c r="G19" s="43"/>
      <c r="H19" s="43"/>
      <c r="I19" s="43"/>
      <c r="J19" s="43"/>
      <c r="K19" s="42"/>
      <c r="L19" s="43"/>
      <c r="M19" s="43"/>
      <c r="N19" s="49"/>
    </row>
    <row r="20" ht="8.75" customHeight="1" hidden="1">
      <c r="A20" s="39"/>
      <c r="B20" s="40"/>
      <c r="C20" s="45"/>
      <c r="D20" s="46"/>
      <c r="E20" s="46"/>
      <c r="F20" s="46"/>
      <c r="G20" s="47"/>
      <c r="H20" s="46"/>
      <c r="I20" s="46"/>
      <c r="J20" s="46"/>
      <c r="K20" s="46"/>
      <c r="L20" s="46"/>
      <c r="M20" s="46"/>
      <c r="N20" s="48"/>
    </row>
    <row r="21" ht="8.75" customHeight="1" hidden="1">
      <c r="A21" s="39"/>
      <c r="B21" s="40"/>
      <c r="C21" s="41"/>
      <c r="D21" s="42"/>
      <c r="E21" s="42"/>
      <c r="F21" s="42"/>
      <c r="G21" s="43"/>
      <c r="H21" s="42"/>
      <c r="I21" s="42"/>
      <c r="J21" s="42"/>
      <c r="K21" s="42"/>
      <c r="L21" s="42"/>
      <c r="M21" s="42"/>
      <c r="N21" s="44"/>
    </row>
    <row r="22" ht="8.75" customHeight="1" hidden="1">
      <c r="A22" s="51"/>
      <c r="B22" s="40"/>
      <c r="C22" s="45"/>
      <c r="D22" s="46"/>
      <c r="E22" s="46"/>
      <c r="F22" s="46"/>
      <c r="G22" s="47"/>
      <c r="H22" s="46"/>
      <c r="I22" s="46"/>
      <c r="J22" s="46"/>
      <c r="K22" s="46"/>
      <c r="L22" s="46"/>
      <c r="M22" s="46"/>
      <c r="N22" s="48"/>
    </row>
    <row r="23" ht="8.75" customHeight="1" hidden="1">
      <c r="A23" s="51"/>
      <c r="B23" s="40"/>
      <c r="C23" s="41"/>
      <c r="D23" s="42"/>
      <c r="E23" s="42"/>
      <c r="F23" s="42"/>
      <c r="G23" s="43"/>
      <c r="H23" s="42"/>
      <c r="I23" s="42"/>
      <c r="J23" s="42"/>
      <c r="K23" s="42"/>
      <c r="L23" s="42"/>
      <c r="M23" s="42"/>
      <c r="N23" s="44"/>
    </row>
    <row r="24" ht="8.75" customHeight="1" hidden="1">
      <c r="A24" s="39"/>
      <c r="B24" s="40"/>
      <c r="C24" s="45"/>
      <c r="D24" s="46"/>
      <c r="E24" s="46"/>
      <c r="F24" s="46"/>
      <c r="G24" s="47"/>
      <c r="H24" s="46"/>
      <c r="I24" s="46"/>
      <c r="J24" s="46"/>
      <c r="K24" s="46"/>
      <c r="L24" s="47"/>
      <c r="M24" s="47"/>
      <c r="N24" s="52"/>
    </row>
    <row r="25" ht="8.75" customHeight="1" hidden="1">
      <c r="A25" s="39"/>
      <c r="B25" s="40"/>
      <c r="C25" s="41"/>
      <c r="D25" s="42"/>
      <c r="E25" s="42"/>
      <c r="F25" s="42"/>
      <c r="G25" s="43"/>
      <c r="H25" s="42"/>
      <c r="I25" s="42"/>
      <c r="J25" s="42"/>
      <c r="K25" s="42"/>
      <c r="L25" s="42"/>
      <c r="M25" s="42"/>
      <c r="N25" s="44"/>
    </row>
    <row r="26" ht="8.75" customHeight="1" hidden="1">
      <c r="A26" s="39"/>
      <c r="B26" s="40"/>
      <c r="C26" s="45"/>
      <c r="D26" s="46"/>
      <c r="E26" s="46"/>
      <c r="F26" s="46"/>
      <c r="G26" s="47"/>
      <c r="H26" s="46"/>
      <c r="I26" s="46"/>
      <c r="J26" s="46"/>
      <c r="K26" s="46"/>
      <c r="L26" s="47"/>
      <c r="M26" s="47"/>
      <c r="N26" s="52"/>
    </row>
    <row r="27" ht="20.85" customHeight="1">
      <c r="A27" s="108"/>
      <c r="B27" s="54"/>
      <c r="C27" s="54"/>
      <c r="D27" s="55"/>
      <c r="E27" s="55"/>
      <c r="F27" s="55"/>
      <c r="G27" s="56"/>
      <c r="H27" s="56"/>
      <c r="I27" s="54"/>
      <c r="J27" s="57"/>
      <c r="K27" t="s" s="58">
        <v>38</v>
      </c>
      <c r="L27" s="59" cm="1">
        <f t="array" ref="L27">SUM(L1:L26)</f>
        <v>11263567.84</v>
      </c>
      <c r="M27" s="59" cm="1">
        <f t="array" ref="M27">SUM(M1:M26)</f>
        <v>11237705.92</v>
      </c>
      <c r="N27" s="59" cm="1">
        <f t="array" ref="N27">SUM(N1:N26)</f>
        <v>11237705.92</v>
      </c>
    </row>
    <row r="28" ht="21" customHeight="1">
      <c r="A28" s="63" cm="1">
        <f t="array" ref="A28">ROUND(IF(I28&lt;=100000000,I28*0.24%,IF(AND(I28&gt;100000000,I28&lt;=500000000),100000000*0.24%+(I28-100000000)*0.19%,IF(AND(I28&gt;500000000,I28&lt;=1000000000),100000000*0.24%+400000000*0.19%+(I28-500000000)*0.15%,IF(AND(I28&gt;1000000000,I28&lt;=5000000000),100000000*0.24%+400000000*0.19%+500000000*0.15%+(I28-1000000000)*0.12%,IF(I28&gt;5000000000,100000000*0.24%+400000000*0.19%+500000000*0.15%+4000000000*0.12%+(I28-5000000000)*0.1%,"Bingung komputer"))))),2)</f>
        <v>0</v>
      </c>
      <c r="B28" t="s" s="109">
        <v>39</v>
      </c>
      <c r="C28" s="62"/>
      <c r="D28" s="63" cm="1">
        <f t="array" ref="D28">ROUND(IF(L28&lt;=100000000,L28*0.24%,IF(AND(L28&gt;100000000,L28&lt;=500000000),100000000*0.24%+(L28-100000000)*0.19%,IF(AND(L28&gt;500000000,L28&lt;=1000000000),100000000*0.24%+400000000*0.19%+(L28-500000000)*0.15%,IF(AND(L28&gt;1000000000,L28&lt;=5000000000),100000000*0.24%+400000000*0.19%+500000000*0.15%+(L28-1000000000)*0.12%,IF(L28&gt;5000000000,100000000*0.24%+400000000*0.19%+500000000*0.15%+4000000000*0.12%+(L28-5000000000)*0.1%,"Bingung komputer"))))),2)</f>
        <v>26967.84</v>
      </c>
      <c r="E28" s="64" cm="1">
        <f t="array" ref="E28">ROUND(IF(M28&lt;=100000000,M28*0.24%,IF(AND(M28&gt;100000000,M28&lt;=500000000),100000000*0.24%+(M28-100000000)*0.19%,IF(AND(M28&gt;500000000,M28&lt;=1000000000),100000000*0.24%+400000000*0.19%+(M28-500000000)*0.15%,IF(AND(M28&gt;1000000000,M28&lt;=5000000000),100000000*0.24%+400000000*0.19%+500000000*0.15%+(M28-1000000000)*0.12%,IF(M28&gt;5000000000,100000000*0.24%+400000000*0.19%+500000000*0.15%+4000000000*0.12%+(M28-5000000000)*0.1%,"Bingung komputer"))))),2)</f>
        <v>26905.92</v>
      </c>
      <c r="F28" s="64" cm="1">
        <f t="array" ref="F28">ROUND(IF(N28&lt;=100000000,N28*0.24%,IF(AND(N28&gt;100000000,N28&lt;=500000000),100000000*0.24%+(N28-100000000)*0.19%,IF(AND(N28&gt;500000000,N28&lt;=1000000000),100000000*0.24%+400000000*0.19%+(N28-500000000)*0.15%,IF(AND(N28&gt;1000000000,N28&lt;=5000000000),100000000*0.24%+400000000*0.19%+500000000*0.15%+(N28-1000000000)*0.12%,IF(N28&gt;5000000000,100000000*0.24%+400000000*0.19%+500000000*0.15%+4000000000*0.12%+(N28-5000000000)*0.1%,"Bingung komputer"))))),2)</f>
        <v>26905.92</v>
      </c>
      <c r="G28" s="65"/>
      <c r="H28" s="66"/>
      <c r="I28" s="68"/>
      <c r="J28" s="67"/>
      <c r="K28" t="str" s="67" cm="1">
        <f t="array" ref="K28">"Jumlah Terkena Pajak "&amp;MAX(K3:K26)&amp;"% (B)"</f>
        <v>Jumlah Terkena Pajak 11,00% (B)</v>
      </c>
      <c r="L28" s="68" cm="1">
        <f t="array" ref="L28">SUMIF($K3:$K26,"&gt;0",L3:L26)</f>
        <v>11236600</v>
      </c>
      <c r="M28" s="69" cm="1">
        <f t="array" ref="M28">SUMIF($K3:$K26,"&gt;0",M3:M26)</f>
        <v>11210800</v>
      </c>
      <c r="N28" s="69" cm="1">
        <f t="array" ref="N28">SUMIF($K3:$K26,"&gt;0",N3:N26)</f>
        <v>11210800</v>
      </c>
    </row>
    <row r="29" ht="21" customHeight="1">
      <c r="A29" s="70"/>
      <c r="B29" s="71"/>
      <c r="C29" s="71"/>
      <c r="D29" s="72"/>
      <c r="E29" s="72"/>
      <c r="F29" s="71"/>
      <c r="G29" s="72"/>
      <c r="H29" s="72"/>
      <c r="I29" s="74"/>
      <c r="J29" s="73"/>
      <c r="K29" t="str" s="73" cm="1">
        <f t="array" ref="K29">"PPN (C) = "&amp;MAX(K3:K26)&amp;"% x B"</f>
        <v>PPN (C) = 11,00% x B</v>
      </c>
      <c r="L29" s="74" cm="1">
        <f t="array" ref="L29">L28*MAX($K3:$K26)%</f>
        <v>1236026</v>
      </c>
      <c r="M29" s="69" cm="1">
        <f t="array" ref="M29">M28*MAX($K3:$K26)%</f>
        <v>1233188</v>
      </c>
      <c r="N29" s="69" cm="1">
        <f t="array" ref="N29">N28*MAX($K3:$K26)%</f>
        <v>1233188</v>
      </c>
    </row>
    <row r="30" ht="21" customHeight="1">
      <c r="A30" s="70"/>
      <c r="B30" s="71"/>
      <c r="C30" s="71"/>
      <c r="D30" t="s" s="110">
        <v>116</v>
      </c>
      <c r="E30" s="111">
        <v>12500000</v>
      </c>
      <c r="F30" s="112">
        <v>12473000</v>
      </c>
      <c r="G30" s="72"/>
      <c r="H30" s="72"/>
      <c r="I30" s="71"/>
      <c r="J30" s="73"/>
      <c r="K30" t="s" s="75">
        <v>42</v>
      </c>
      <c r="L30" s="76" cm="1">
        <f t="array" ref="L30">L27+L29</f>
        <v>12499593.84</v>
      </c>
      <c r="M30" s="69" cm="1">
        <f t="array" ref="M30">M27+M29</f>
        <v>12470893.92</v>
      </c>
      <c r="N30" s="69" cm="1">
        <f t="array" ref="N30">N27+N29</f>
        <v>12470893.92</v>
      </c>
    </row>
    <row r="31" ht="20.5" customHeight="1">
      <c r="A31" s="70"/>
      <c r="B31" s="71"/>
      <c r="C31" s="71"/>
      <c r="D31" s="72"/>
      <c r="E31" s="72" cm="1">
        <f t="array" ref="E31">E$30-L$31</f>
        <v>406.16</v>
      </c>
      <c r="F31" s="113" cm="1">
        <f t="array" ref="F31">ROUNDDOWN(E$30-D$28,2)</f>
        <v>12473032.16</v>
      </c>
      <c r="G31" s="72"/>
      <c r="H31" s="72"/>
      <c r="I31" s="71"/>
      <c r="J31" s="73"/>
      <c r="K31" t="s" s="75">
        <v>43</v>
      </c>
      <c r="L31" s="68" cm="1">
        <f t="array" ref="L31">ROUNDDOWN(L30,2)</f>
        <v>12499593.84</v>
      </c>
      <c r="M31" s="68" cm="1">
        <f t="array" ref="M31">ROUNDDOWN(M30,2)</f>
        <v>12470893.92</v>
      </c>
      <c r="N31" s="68" cm="1">
        <f t="array" ref="N31">ROUNDDOWN(N30,-3)</f>
        <v>12470000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20.xml><?xml version="1.0" encoding="utf-8"?>
<worksheet xmlns:r="http://schemas.openxmlformats.org/officeDocument/2006/relationships" xmlns="http://schemas.openxmlformats.org/spreadsheetml/2006/main">
  <sheetPr>
    <pageSetUpPr fitToPage="1"/>
  </sheetPr>
  <dimension ref="A1:N39"/>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121" customWidth="1"/>
    <col min="2" max="2" width="43.0312" style="121" customWidth="1"/>
    <col min="3" max="3" width="2.75" style="121" customWidth="1"/>
    <col min="4" max="6" width="10.3672" style="121" customWidth="1"/>
    <col min="7" max="7" width="11.6875" style="121" customWidth="1"/>
    <col min="8" max="11" width="13.5156" style="121" customWidth="1"/>
    <col min="12" max="14" width="14.2344" style="121" customWidth="1"/>
    <col min="15" max="16384" width="16.3516" style="121"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16</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t="s" s="18">
        <v>17</v>
      </c>
      <c r="B4" t="s" s="19">
        <v>18</v>
      </c>
      <c r="C4" s="20"/>
      <c r="D4" s="21">
        <v>1</v>
      </c>
      <c r="E4" s="21" cm="1">
        <f t="array" ref="E4">D4</f>
        <v>1</v>
      </c>
      <c r="F4" s="21" cm="1">
        <f t="array" ref="F4">D4</f>
        <v>1</v>
      </c>
      <c r="G4" t="s" s="22">
        <v>19</v>
      </c>
      <c r="H4" s="21">
        <v>5634000</v>
      </c>
      <c r="I4" s="21">
        <v>5595000</v>
      </c>
      <c r="J4" s="21">
        <v>5595000</v>
      </c>
      <c r="K4" s="21">
        <v>11</v>
      </c>
      <c r="L4" s="21" cm="1">
        <f t="array" ref="L4">IF(D4&gt;0,IF($D4&lt;=0,0,D4*H4),"")</f>
        <v>5634000</v>
      </c>
      <c r="M4" s="21" cm="1">
        <f t="array" ref="M4">IF(E4&gt;0,IF($D4&lt;=0,0,ROUND(E4*I4,2)),"")</f>
        <v>5595000</v>
      </c>
      <c r="N4" s="23" cm="1">
        <f t="array" ref="N4">IF(F4&gt;0,IF($D4&lt;=0,0,ROUND(F4*J4,2)),"")</f>
        <v>5595000</v>
      </c>
    </row>
    <row r="5" ht="20.5" customHeight="1">
      <c r="A5" t="s" s="18">
        <v>20</v>
      </c>
      <c r="B5" t="s" s="19">
        <v>21</v>
      </c>
      <c r="C5" s="24"/>
      <c r="D5" s="25">
        <v>1</v>
      </c>
      <c r="E5" s="26" cm="1">
        <f t="array" ref="E5">D5</f>
        <v>1</v>
      </c>
      <c r="F5" s="26" cm="1">
        <f t="array" ref="F5">D5</f>
        <v>1</v>
      </c>
      <c r="G5" t="s" s="27">
        <v>19</v>
      </c>
      <c r="H5" s="26">
        <v>775000</v>
      </c>
      <c r="I5" s="26">
        <v>775000</v>
      </c>
      <c r="J5" s="26">
        <v>775000</v>
      </c>
      <c r="K5" s="26">
        <v>11</v>
      </c>
      <c r="L5" s="26" cm="1">
        <f t="array" ref="L5">IF(D5&gt;0,IF($D5&lt;=0,0,D5*H5),"")</f>
        <v>775000</v>
      </c>
      <c r="M5" s="26" cm="1">
        <f t="array" ref="M5">IF(E5&gt;0,IF($D5&lt;=0,0,ROUND(E5*I5,2)),"")</f>
        <v>775000</v>
      </c>
      <c r="N5" s="28" cm="1">
        <f t="array" ref="N5">IF(F5&gt;0,IF($D5&lt;=0,0,ROUND(F5*J5,2)),"")</f>
        <v>775000</v>
      </c>
    </row>
    <row r="6" ht="20.5" customHeight="1">
      <c r="A6" t="s" s="18">
        <v>22</v>
      </c>
      <c r="B6" t="s" s="19">
        <v>23</v>
      </c>
      <c r="C6" s="20"/>
      <c r="D6" s="21">
        <v>1</v>
      </c>
      <c r="E6" s="21" cm="1">
        <f t="array" ref="E6">D6</f>
        <v>1</v>
      </c>
      <c r="F6" s="21" cm="1">
        <f t="array" ref="F6">D6</f>
        <v>1</v>
      </c>
      <c r="G6" t="s" s="22">
        <v>19</v>
      </c>
      <c r="H6" s="21">
        <v>4253000</v>
      </c>
      <c r="I6" s="21">
        <v>4213000</v>
      </c>
      <c r="J6" s="21">
        <v>4213000</v>
      </c>
      <c r="K6" s="21">
        <v>11</v>
      </c>
      <c r="L6" s="21" cm="1">
        <f t="array" ref="L6">IF(D6&gt;0,IF($D6&lt;=0,0,D6*H6),"")</f>
        <v>4253000</v>
      </c>
      <c r="M6" s="21" cm="1">
        <f t="array" ref="M6">IF(E6&gt;0,IF($D6&lt;=0,0,ROUND(E6*I6,2)),"")</f>
        <v>4213000</v>
      </c>
      <c r="N6" s="23" cm="1">
        <f t="array" ref="N6">IF(F6&gt;0,IF($D6&lt;=0,0,ROUND(F6*J6,2)),"")</f>
        <v>4213000</v>
      </c>
    </row>
    <row r="7" ht="20.5" customHeight="1">
      <c r="A7" s="29"/>
      <c r="B7" t="s" s="19">
        <v>28</v>
      </c>
      <c r="C7" s="24"/>
      <c r="D7" s="30"/>
      <c r="E7" s="26"/>
      <c r="F7" s="26"/>
      <c r="G7" s="30"/>
      <c r="H7" s="26"/>
      <c r="I7" s="30"/>
      <c r="J7" s="30"/>
      <c r="K7" s="26"/>
      <c r="L7" t="str" s="30" cm="1">
        <f t="array" ref="L7">IF(D7&gt;0,IF($D7&lt;=0,0,D7*H7),"")</f>
      </c>
      <c r="M7" t="str" s="30" cm="1">
        <f t="array" ref="M7">IF(E7&gt;0,IF($D7&lt;=0,0,ROUND(E7*I7,2)),"")</f>
      </c>
      <c r="N7" t="str" s="31" cm="1">
        <f t="array" ref="N7">IF(F7&gt;0,IF($D7&lt;=0,0,ROUND(F7*J7,2)),"")</f>
      </c>
    </row>
    <row r="8" ht="20.5" customHeight="1">
      <c r="A8" t="s" s="18">
        <v>90</v>
      </c>
      <c r="B8" t="s" s="19">
        <v>91</v>
      </c>
      <c r="C8" s="20"/>
      <c r="D8" s="78">
        <v>81.70999999999999</v>
      </c>
      <c r="E8" s="21" cm="1">
        <f t="array" ref="E8">D8</f>
        <v>81.70999999999999</v>
      </c>
      <c r="F8" s="21" cm="1">
        <f t="array" ref="F8">D8</f>
        <v>81.70999999999999</v>
      </c>
      <c r="G8" t="s" s="22">
        <v>27</v>
      </c>
      <c r="H8" s="21">
        <v>30620.15</v>
      </c>
      <c r="I8" s="21">
        <v>30617.68</v>
      </c>
      <c r="J8" s="21">
        <v>30617.68</v>
      </c>
      <c r="K8" s="21">
        <v>11</v>
      </c>
      <c r="L8" s="21" cm="1">
        <f t="array" ref="L8">IF(D8&gt;0,IF($D8&lt;=0,0,D8*H8),"")</f>
        <v>2501972.4565</v>
      </c>
      <c r="M8" s="21" cm="1">
        <f t="array" ref="M8">IF(E8&gt;0,IF($D8&lt;=0,0,ROUND(E8*I8,2)),"")</f>
        <v>2501770.63</v>
      </c>
      <c r="N8" s="23" cm="1">
        <f t="array" ref="N8">IF(F8&gt;0,IF($D8&lt;=0,0,ROUND(F8*J8,2)),"")</f>
        <v>2501770.63</v>
      </c>
    </row>
    <row r="9" ht="20.5" customHeight="1">
      <c r="A9" s="29"/>
      <c r="B9" t="s" s="19">
        <v>92</v>
      </c>
      <c r="C9" s="24"/>
      <c r="D9" s="30"/>
      <c r="E9" s="26"/>
      <c r="F9" s="26"/>
      <c r="G9" s="30"/>
      <c r="H9" s="26"/>
      <c r="I9" s="30"/>
      <c r="J9" s="30"/>
      <c r="K9" s="26"/>
      <c r="L9" t="str" s="30" cm="1">
        <f t="array" ref="L9">IF(D9&gt;0,IF($D9&lt;=0,0,D9*H9),"")</f>
      </c>
      <c r="M9" t="str" s="30" cm="1">
        <f t="array" ref="M9">IF(E9&gt;0,IF($D9&lt;=0,0,ROUND(E9*I9,2)),"")</f>
      </c>
      <c r="N9" t="str" s="31" cm="1">
        <f t="array" ref="N9">IF(F9&gt;0,IF($D9&lt;=0,0,ROUND(F9*J9,2)),"")</f>
      </c>
    </row>
    <row r="10" ht="32.5" customHeight="1">
      <c r="A10" t="s" s="18">
        <v>93</v>
      </c>
      <c r="B10" t="s" s="19">
        <v>94</v>
      </c>
      <c r="C10" s="20"/>
      <c r="D10" s="78">
        <v>31.28</v>
      </c>
      <c r="E10" s="21" cm="1">
        <f t="array" ref="E10">D10</f>
        <v>31.28</v>
      </c>
      <c r="F10" s="21" cm="1">
        <f t="array" ref="F10">D10</f>
        <v>31.28</v>
      </c>
      <c r="G10" t="s" s="22">
        <v>27</v>
      </c>
      <c r="H10" s="21">
        <v>1806537.88</v>
      </c>
      <c r="I10" s="21">
        <v>1806488.79</v>
      </c>
      <c r="J10" s="21">
        <v>1806488.79</v>
      </c>
      <c r="K10" s="21">
        <v>11</v>
      </c>
      <c r="L10" s="21" cm="1">
        <f t="array" ref="L10">IF(D10&gt;0,IF($D10&lt;=0,0,D10*H10),"")</f>
        <v>56508504.8864</v>
      </c>
      <c r="M10" s="21" cm="1">
        <f t="array" ref="M10">IF(E10&gt;0,IF($D10&lt;=0,0,ROUND(E10*I10,2)),"")</f>
        <v>56506969.35</v>
      </c>
      <c r="N10" s="23" cm="1">
        <f t="array" ref="N10">IF(F10&gt;0,IF($D10&lt;=0,0,ROUND(F10*J10,2)),"")</f>
        <v>56506969.35</v>
      </c>
    </row>
    <row r="11" ht="20.5" customHeight="1">
      <c r="A11" t="s" s="18">
        <v>95</v>
      </c>
      <c r="B11" t="s" s="19">
        <v>96</v>
      </c>
      <c r="C11" s="24"/>
      <c r="D11" s="25">
        <v>6.28</v>
      </c>
      <c r="E11" s="26" cm="1">
        <f t="array" ref="E11">D11</f>
        <v>6.28</v>
      </c>
      <c r="F11" s="26" cm="1">
        <f t="array" ref="F11">D11</f>
        <v>6.28</v>
      </c>
      <c r="G11" t="s" s="27">
        <v>27</v>
      </c>
      <c r="H11" s="26">
        <v>1018125.99</v>
      </c>
      <c r="I11" s="26">
        <v>1018125.99</v>
      </c>
      <c r="J11" s="26">
        <v>1018125.99</v>
      </c>
      <c r="K11" s="26">
        <v>11</v>
      </c>
      <c r="L11" s="26" cm="1">
        <f t="array" ref="L11">IF(D11&gt;0,IF($D11&lt;=0,0,D11*H11),"")</f>
        <v>6393831.2172</v>
      </c>
      <c r="M11" s="26" cm="1">
        <f t="array" ref="M11">IF(E11&gt;0,IF($D11&lt;=0,0,ROUND(E11*I11,2)),"")</f>
        <v>6393831.22</v>
      </c>
      <c r="N11" s="28" cm="1">
        <f t="array" ref="N11">IF(F11&gt;0,IF($D11&lt;=0,0,ROUND(F11*J11,2)),"")</f>
        <v>6393831.22</v>
      </c>
    </row>
    <row r="12" ht="20.5" customHeight="1">
      <c r="A12" t="s" s="18">
        <v>97</v>
      </c>
      <c r="B12" t="s" s="19">
        <v>98</v>
      </c>
      <c r="C12" s="20"/>
      <c r="D12" s="21">
        <v>2.5</v>
      </c>
      <c r="E12" s="21" cm="1">
        <f t="array" ref="E12">D12</f>
        <v>2.5</v>
      </c>
      <c r="F12" s="21" cm="1">
        <f t="array" ref="F12">D12</f>
        <v>2.5</v>
      </c>
      <c r="G12" t="s" s="22">
        <v>27</v>
      </c>
      <c r="H12" s="21">
        <v>1562409.06</v>
      </c>
      <c r="I12" s="32">
        <v>1562409.06</v>
      </c>
      <c r="J12" s="32">
        <v>1562409.06</v>
      </c>
      <c r="K12" s="21">
        <v>11</v>
      </c>
      <c r="L12" s="21" cm="1">
        <f t="array" ref="L12">IF(D12&gt;0,IF($D12&lt;=0,0,D12*H12),"")</f>
        <v>3906022.65</v>
      </c>
      <c r="M12" s="21" cm="1">
        <f t="array" ref="M12">IF(E12&gt;0,IF($D12&lt;=0,0,ROUND(E12*I12,2)),"")</f>
        <v>3906022.65</v>
      </c>
      <c r="N12" s="23" cm="1">
        <f t="array" ref="N12">IF(F12&gt;0,IF($D12&lt;=0,0,ROUND(F12*J12,2)),"")</f>
        <v>3906022.65</v>
      </c>
    </row>
    <row r="13" ht="20.5" customHeight="1">
      <c r="A13" t="s" s="18">
        <v>99</v>
      </c>
      <c r="B13" t="s" s="19">
        <v>100</v>
      </c>
      <c r="C13" s="24"/>
      <c r="D13" s="26">
        <v>2411.07</v>
      </c>
      <c r="E13" s="26" cm="1">
        <f t="array" ref="E13">D13</f>
        <v>2411.07</v>
      </c>
      <c r="F13" s="26" cm="1">
        <f t="array" ref="F13">D13</f>
        <v>2411.07</v>
      </c>
      <c r="G13" t="s" s="27">
        <v>101</v>
      </c>
      <c r="H13" s="26">
        <v>23188.31</v>
      </c>
      <c r="I13" s="122">
        <v>23182.56</v>
      </c>
      <c r="J13" s="122">
        <v>23182.56</v>
      </c>
      <c r="K13" s="26">
        <v>11</v>
      </c>
      <c r="L13" s="26" cm="1">
        <f t="array" ref="L13">IF(D13&gt;0,IF($D13&lt;=0,0,D13*H13),"")</f>
        <v>55908638.5917</v>
      </c>
      <c r="M13" s="26" cm="1">
        <f t="array" ref="M13">IF(E13&gt;0,IF($D13&lt;=0,0,ROUND(E13*I13,2)),"")</f>
        <v>55894774.94</v>
      </c>
      <c r="N13" s="28" cm="1">
        <f t="array" ref="N13">IF(F13&gt;0,IF($D13&lt;=0,0,ROUND(F13*J13,2)),"")</f>
        <v>55894774.94</v>
      </c>
    </row>
    <row r="14" ht="20.5" customHeight="1">
      <c r="A14" t="s" s="18">
        <v>102</v>
      </c>
      <c r="B14" t="s" s="19">
        <v>131</v>
      </c>
      <c r="C14" s="20"/>
      <c r="D14" s="21">
        <v>49.79</v>
      </c>
      <c r="E14" s="21" cm="1">
        <f t="array" ref="E14">D14</f>
        <v>49.79</v>
      </c>
      <c r="F14" s="21" cm="1">
        <f t="array" ref="F14">D14</f>
        <v>49.79</v>
      </c>
      <c r="G14" t="s" s="22">
        <v>27</v>
      </c>
      <c r="H14" s="21">
        <v>813639.47</v>
      </c>
      <c r="I14" s="32">
        <v>813542.9399999999</v>
      </c>
      <c r="J14" s="32">
        <v>813542.9399999999</v>
      </c>
      <c r="K14" s="21">
        <v>11</v>
      </c>
      <c r="L14" s="21" cm="1">
        <f t="array" ref="L14">IF(D14&gt;0,IF($D14&lt;=0,0,D14*H14),"")</f>
        <v>40511109.2113</v>
      </c>
      <c r="M14" s="21" cm="1">
        <f t="array" ref="M14">IF(E14&gt;0,IF($D14&lt;=0,0,ROUND(E14*I14,2)),"")</f>
        <v>40506302.98</v>
      </c>
      <c r="N14" s="23" cm="1">
        <f t="array" ref="N14">IF(F14&gt;0,IF($D14&lt;=0,0,ROUND(F14*J14,2)),"")</f>
        <v>40506302.98</v>
      </c>
    </row>
    <row r="15" ht="32.5" customHeight="1">
      <c r="A15" s="29"/>
      <c r="B15" t="s" s="19">
        <v>104</v>
      </c>
      <c r="C15" s="24"/>
      <c r="D15" s="30"/>
      <c r="E15" s="26"/>
      <c r="F15" s="26"/>
      <c r="G15" s="30"/>
      <c r="H15" s="26"/>
      <c r="I15" s="30"/>
      <c r="J15" s="30"/>
      <c r="K15" s="26"/>
      <c r="L15" t="str" s="30" cm="1">
        <f t="array" ref="L15">IF(D15&gt;0,IF($D15&lt;=0,0,D15*H15),"")</f>
      </c>
      <c r="M15" t="str" s="30" cm="1">
        <f t="array" ref="M15">IF(E15&gt;0,IF($D15&lt;=0,0,ROUND(E15*I15,2)),"")</f>
      </c>
      <c r="N15" t="str" s="31" cm="1">
        <f t="array" ref="N15">IF(F15&gt;0,IF($D15&lt;=0,0,ROUND(F15*J15,2)),"")</f>
      </c>
    </row>
    <row r="16" ht="20.5" customHeight="1">
      <c r="A16" t="s" s="18">
        <v>105</v>
      </c>
      <c r="B16" t="s" s="19">
        <v>106</v>
      </c>
      <c r="C16" s="20"/>
      <c r="D16" s="78">
        <v>70</v>
      </c>
      <c r="E16" s="21" cm="1">
        <f t="array" ref="E16">D16</f>
        <v>70</v>
      </c>
      <c r="F16" s="21" cm="1">
        <f t="array" ref="F16">D16</f>
        <v>70</v>
      </c>
      <c r="G16" t="s" s="22">
        <v>107</v>
      </c>
      <c r="H16" s="21">
        <v>49007.67</v>
      </c>
      <c r="I16" s="21">
        <v>49007.67</v>
      </c>
      <c r="J16" s="21">
        <v>49007.67</v>
      </c>
      <c r="K16" s="21">
        <v>11</v>
      </c>
      <c r="L16" s="21" cm="1">
        <f t="array" ref="L16">IF(D16&gt;0,IF($D16&lt;=0,0,D16*H16),"")</f>
        <v>3430536.9</v>
      </c>
      <c r="M16" s="21" cm="1">
        <f t="array" ref="M16">IF(E16&gt;0,IF($D16&lt;=0,0,ROUND(E16*I16,2)),"")</f>
        <v>3430536.9</v>
      </c>
      <c r="N16" s="23" cm="1">
        <f t="array" ref="N16">IF(F16&gt;0,IF($D16&lt;=0,0,ROUND(F16*J16,2)),"")</f>
        <v>3430536.9</v>
      </c>
    </row>
    <row r="17" ht="20.5" customHeight="1">
      <c r="A17" s="29"/>
      <c r="B17" t="s" s="19">
        <v>36</v>
      </c>
      <c r="C17" s="24"/>
      <c r="D17" s="26"/>
      <c r="E17" s="26"/>
      <c r="F17" s="26"/>
      <c r="G17" s="30"/>
      <c r="H17" s="30"/>
      <c r="I17" s="30"/>
      <c r="J17" s="30"/>
      <c r="K17" s="26"/>
      <c r="L17" t="str" s="30" cm="1">
        <f t="array" ref="L17">IF(D17&gt;0,IF($D17&lt;=0,0,D17*H17),"")</f>
      </c>
      <c r="M17" s="26"/>
      <c r="N17" s="28"/>
    </row>
    <row r="18" ht="20.6" customHeight="1">
      <c r="A18" s="33">
        <v>1</v>
      </c>
      <c r="B18" t="s" s="34">
        <v>37</v>
      </c>
      <c r="C18" s="35"/>
      <c r="D18" s="36">
        <v>1</v>
      </c>
      <c r="E18" s="36" cm="1">
        <f t="array" ref="E18">D18</f>
        <v>1</v>
      </c>
      <c r="F18" s="36" cm="1">
        <f t="array" ref="F18">D18</f>
        <v>1</v>
      </c>
      <c r="G18" t="s" s="37">
        <v>19</v>
      </c>
      <c r="H18" s="36">
        <v>391662.69</v>
      </c>
      <c r="I18" s="36">
        <v>391473.82</v>
      </c>
      <c r="J18" s="36">
        <v>391473.82</v>
      </c>
      <c r="K18" s="36">
        <v>0</v>
      </c>
      <c r="L18" s="36" cm="1">
        <f t="array" ref="L18">IF(D18&gt;0,IF($D18&lt;=0,0,D18*H18),"")</f>
        <v>391662.69</v>
      </c>
      <c r="M18" s="36" cm="1">
        <f t="array" ref="M18">IF(E18&gt;0,IF($D18&lt;=0,0,ROUND(E18*I18,2)),"")</f>
        <v>391473.82</v>
      </c>
      <c r="N18" s="38" cm="1">
        <f t="array" ref="N18">IF(F18&gt;0,IF($D18&lt;=0,0,ROUND(F18*J18,2)),"")</f>
        <v>391473.82</v>
      </c>
    </row>
    <row r="19" ht="8.75" customHeight="1" hidden="1">
      <c r="A19" s="39"/>
      <c r="B19" s="40"/>
      <c r="C19" s="41"/>
      <c r="D19" s="42"/>
      <c r="E19" s="42"/>
      <c r="F19" s="42"/>
      <c r="G19" s="43"/>
      <c r="H19" s="42"/>
      <c r="I19" s="42"/>
      <c r="J19" s="42"/>
      <c r="K19" s="42"/>
      <c r="L19" s="42"/>
      <c r="M19" s="42"/>
      <c r="N19" s="44"/>
    </row>
    <row r="20" ht="8.75" customHeight="1" hidden="1">
      <c r="A20" s="39"/>
      <c r="B20" s="40"/>
      <c r="C20" s="45"/>
      <c r="D20" s="46"/>
      <c r="E20" s="46"/>
      <c r="F20" s="46"/>
      <c r="G20" s="47"/>
      <c r="H20" s="46"/>
      <c r="I20" s="46"/>
      <c r="J20" s="46"/>
      <c r="K20" s="46"/>
      <c r="L20" s="46"/>
      <c r="M20" s="46"/>
      <c r="N20" s="48"/>
    </row>
    <row r="21" ht="8.75" customHeight="1" hidden="1">
      <c r="A21" s="39"/>
      <c r="B21" s="40"/>
      <c r="C21" s="41"/>
      <c r="D21" s="42"/>
      <c r="E21" s="42"/>
      <c r="F21" s="42"/>
      <c r="G21" s="43"/>
      <c r="H21" s="42"/>
      <c r="I21" s="42"/>
      <c r="J21" s="42"/>
      <c r="K21" s="42"/>
      <c r="L21" s="42"/>
      <c r="M21" s="42"/>
      <c r="N21" s="44"/>
    </row>
    <row r="22" ht="8.75" customHeight="1" hidden="1">
      <c r="A22" s="39"/>
      <c r="B22" s="40"/>
      <c r="C22" s="45"/>
      <c r="D22" s="46"/>
      <c r="E22" s="46"/>
      <c r="F22" s="46"/>
      <c r="G22" s="47"/>
      <c r="H22" s="46"/>
      <c r="I22" s="46"/>
      <c r="J22" s="46"/>
      <c r="K22" s="46"/>
      <c r="L22" s="46"/>
      <c r="M22" s="46"/>
      <c r="N22" s="48"/>
    </row>
    <row r="23" ht="8.75" customHeight="1" hidden="1">
      <c r="A23" s="39"/>
      <c r="B23" s="40"/>
      <c r="C23" s="41"/>
      <c r="D23" s="42"/>
      <c r="E23" s="42"/>
      <c r="F23" s="42"/>
      <c r="G23" s="43"/>
      <c r="H23" s="42"/>
      <c r="I23" s="42"/>
      <c r="J23" s="42"/>
      <c r="K23" s="42"/>
      <c r="L23" s="42"/>
      <c r="M23" s="42"/>
      <c r="N23" s="44"/>
    </row>
    <row r="24" ht="8.75" customHeight="1" hidden="1">
      <c r="A24" s="39"/>
      <c r="B24" s="40"/>
      <c r="C24" s="45"/>
      <c r="D24" s="46"/>
      <c r="E24" s="46"/>
      <c r="F24" s="46"/>
      <c r="G24" s="47"/>
      <c r="H24" s="46"/>
      <c r="I24" s="46"/>
      <c r="J24" s="46"/>
      <c r="K24" s="46"/>
      <c r="L24" s="46"/>
      <c r="M24" s="46"/>
      <c r="N24" s="48"/>
    </row>
    <row r="25" ht="8.75" customHeight="1" hidden="1">
      <c r="A25" s="39"/>
      <c r="B25" s="40"/>
      <c r="C25" s="41"/>
      <c r="D25" s="42"/>
      <c r="E25" s="42"/>
      <c r="F25" s="42"/>
      <c r="G25" s="43"/>
      <c r="H25" s="43"/>
      <c r="I25" s="43"/>
      <c r="J25" s="43"/>
      <c r="K25" s="42"/>
      <c r="L25" s="43"/>
      <c r="M25" s="43"/>
      <c r="N25" s="49"/>
    </row>
    <row r="26" ht="8.75" customHeight="1" hidden="1">
      <c r="A26" s="39"/>
      <c r="B26" s="40"/>
      <c r="C26" s="45"/>
      <c r="D26" s="46"/>
      <c r="E26" s="46"/>
      <c r="F26" s="46"/>
      <c r="G26" s="47"/>
      <c r="H26" s="50"/>
      <c r="I26" s="50"/>
      <c r="J26" s="50"/>
      <c r="K26" s="46"/>
      <c r="L26" s="46"/>
      <c r="M26" s="46"/>
      <c r="N26" s="48"/>
    </row>
    <row r="27" ht="8.75" customHeight="1" hidden="1">
      <c r="A27" s="39"/>
      <c r="B27" s="40"/>
      <c r="C27" s="41"/>
      <c r="D27" s="42"/>
      <c r="E27" s="42"/>
      <c r="F27" s="42"/>
      <c r="G27" s="43"/>
      <c r="H27" s="43"/>
      <c r="I27" s="43"/>
      <c r="J27" s="43"/>
      <c r="K27" s="42"/>
      <c r="L27" s="43"/>
      <c r="M27" s="43"/>
      <c r="N27" s="49"/>
    </row>
    <row r="28" ht="8.75" customHeight="1" hidden="1">
      <c r="A28" s="39"/>
      <c r="B28" s="40"/>
      <c r="C28" s="45"/>
      <c r="D28" s="46"/>
      <c r="E28" s="46"/>
      <c r="F28" s="46"/>
      <c r="G28" s="47"/>
      <c r="H28" s="46"/>
      <c r="I28" s="46"/>
      <c r="J28" s="46"/>
      <c r="K28" s="46"/>
      <c r="L28" s="46"/>
      <c r="M28" s="46"/>
      <c r="N28" s="48"/>
    </row>
    <row r="29" ht="8.75" customHeight="1" hidden="1">
      <c r="A29" s="39"/>
      <c r="B29" s="40"/>
      <c r="C29" s="41"/>
      <c r="D29" s="42"/>
      <c r="E29" s="42"/>
      <c r="F29" s="42"/>
      <c r="G29" s="43"/>
      <c r="H29" s="42"/>
      <c r="I29" s="42"/>
      <c r="J29" s="42"/>
      <c r="K29" s="42"/>
      <c r="L29" s="42"/>
      <c r="M29" s="42"/>
      <c r="N29" s="44"/>
    </row>
    <row r="30" ht="8.75" customHeight="1" hidden="1">
      <c r="A30" s="51"/>
      <c r="B30" s="40"/>
      <c r="C30" s="45"/>
      <c r="D30" s="46"/>
      <c r="E30" s="46"/>
      <c r="F30" s="46"/>
      <c r="G30" s="47"/>
      <c r="H30" s="46"/>
      <c r="I30" s="46"/>
      <c r="J30" s="46"/>
      <c r="K30" s="46"/>
      <c r="L30" s="46"/>
      <c r="M30" s="46"/>
      <c r="N30" s="48"/>
    </row>
    <row r="31" ht="8.75" customHeight="1" hidden="1">
      <c r="A31" s="51"/>
      <c r="B31" s="40"/>
      <c r="C31" s="41"/>
      <c r="D31" s="42"/>
      <c r="E31" s="42"/>
      <c r="F31" s="42"/>
      <c r="G31" s="43"/>
      <c r="H31" s="42"/>
      <c r="I31" s="42"/>
      <c r="J31" s="42"/>
      <c r="K31" s="42"/>
      <c r="L31" s="42"/>
      <c r="M31" s="42"/>
      <c r="N31" s="44"/>
    </row>
    <row r="32" ht="8.75" customHeight="1" hidden="1">
      <c r="A32" s="39"/>
      <c r="B32" s="40"/>
      <c r="C32" s="45"/>
      <c r="D32" s="46"/>
      <c r="E32" s="46"/>
      <c r="F32" s="46"/>
      <c r="G32" s="47"/>
      <c r="H32" s="46"/>
      <c r="I32" s="46"/>
      <c r="J32" s="46"/>
      <c r="K32" s="46"/>
      <c r="L32" s="47"/>
      <c r="M32" s="47"/>
      <c r="N32" s="52"/>
    </row>
    <row r="33" ht="8.75" customHeight="1" hidden="1">
      <c r="A33" s="39"/>
      <c r="B33" s="40"/>
      <c r="C33" s="41"/>
      <c r="D33" s="42"/>
      <c r="E33" s="42"/>
      <c r="F33" s="42"/>
      <c r="G33" s="43"/>
      <c r="H33" s="42"/>
      <c r="I33" s="42"/>
      <c r="J33" s="42"/>
      <c r="K33" s="42"/>
      <c r="L33" s="42"/>
      <c r="M33" s="42"/>
      <c r="N33" s="44"/>
    </row>
    <row r="34" ht="8.75" customHeight="1" hidden="1">
      <c r="A34" s="39"/>
      <c r="B34" s="40"/>
      <c r="C34" s="45"/>
      <c r="D34" s="46"/>
      <c r="E34" s="46"/>
      <c r="F34" s="46"/>
      <c r="G34" s="47"/>
      <c r="H34" s="46"/>
      <c r="I34" s="46"/>
      <c r="J34" s="46"/>
      <c r="K34" s="46"/>
      <c r="L34" s="47"/>
      <c r="M34" s="47"/>
      <c r="N34" s="52"/>
    </row>
    <row r="35" ht="20.85" customHeight="1">
      <c r="A35" s="53"/>
      <c r="B35" s="54"/>
      <c r="C35" s="54"/>
      <c r="D35" s="55"/>
      <c r="E35" s="55"/>
      <c r="F35" s="55"/>
      <c r="G35" s="56"/>
      <c r="H35" s="56"/>
      <c r="I35" s="54"/>
      <c r="J35" s="57"/>
      <c r="K35" t="s" s="58">
        <v>38</v>
      </c>
      <c r="L35" s="59" cm="1">
        <f t="array" ref="L35">SUM(L1:L34)</f>
        <v>180214278.6031</v>
      </c>
      <c r="M35" s="59" cm="1">
        <f t="array" ref="M35">SUM(M1:M34)</f>
        <v>180114682.49</v>
      </c>
      <c r="N35" s="59" cm="1">
        <f t="array" ref="N35">SUM(N1:N34)</f>
        <v>180114682.49</v>
      </c>
    </row>
    <row r="36" ht="21" customHeight="1">
      <c r="A36" s="60"/>
      <c r="B36" t="s" s="61">
        <v>39</v>
      </c>
      <c r="C36" s="62"/>
      <c r="D36" s="63" cm="1">
        <f t="array" ref="D36">ROUND(IF(L36&lt;=100000000,L36*0.24%,IF(AND(L36&gt;100000000,L36&lt;=500000000),100000000*0.24%+(L36-100000000)*0.19%,IF(AND(L36&gt;500000000,L36&lt;=1000000000),100000000*0.24%+400000000*0.19%+(L36-500000000)*0.15%,IF(AND(L36&gt;1000000000,L36&lt;=5000000000),100000000*0.24%+400000000*0.19%+500000000*0.15%+(L36-1000000000)*0.12%,IF(L36&gt;5000000000,100000000*0.24%+400000000*0.19%+500000000*0.15%+4000000000*0.12%+(L36-5000000000)*0.1%,"Bingung komputer"))))),2)</f>
        <v>391662.97</v>
      </c>
      <c r="E36" s="64" cm="1">
        <f t="array" ref="E36">ROUND(IF(M36&lt;=100000000,M36*0.24%,IF(AND(M36&gt;100000000,M36&lt;=500000000),100000000*0.24%+(M36-100000000)*0.19%,IF(AND(M36&gt;500000000,M36&lt;=1000000000),100000000*0.24%+400000000*0.19%+(M36-500000000)*0.15%,IF(AND(M36&gt;1000000000,M36&lt;=5000000000),100000000*0.24%+400000000*0.19%+500000000*0.15%+(M36-1000000000)*0.12%,IF(M36&gt;5000000000,100000000*0.24%+400000000*0.19%+500000000*0.15%+4000000000*0.12%+(M36-5000000000)*0.1%,"Bingung komputer"))))),2)</f>
        <v>391474.1</v>
      </c>
      <c r="F36" s="64" cm="1">
        <f t="array" ref="F36">ROUND(IF(N36&lt;=100000000,N36*0.24%,IF(AND(N36&gt;100000000,N36&lt;=500000000),100000000*0.24%+(N36-100000000)*0.19%,IF(AND(N36&gt;500000000,N36&lt;=1000000000),100000000*0.24%+400000000*0.19%+(N36-500000000)*0.15%,IF(AND(N36&gt;1000000000,N36&lt;=5000000000),100000000*0.24%+400000000*0.19%+500000000*0.15%+(N36-1000000000)*0.12%,IF(N36&gt;5000000000,100000000*0.24%+400000000*0.19%+500000000*0.15%+4000000000*0.12%+(N36-5000000000)*0.1%,"Bingung komputer"))))),2)</f>
        <v>391474.1</v>
      </c>
      <c r="G36" s="65"/>
      <c r="H36" s="66"/>
      <c r="I36" s="62"/>
      <c r="J36" s="67"/>
      <c r="K36" t="str" s="67" cm="1">
        <f t="array" ref="K36">"Jumlah Terkena Pajak "&amp;MAX(K3:K34)&amp;"% (B)"</f>
        <v>Jumlah Terkena Pajak 11,00% (B)</v>
      </c>
      <c r="L36" s="68" cm="1">
        <f t="array" ref="L36">SUMIF($K3:$K34,"&gt;0",L3:L34)</f>
        <v>179822615.9131</v>
      </c>
      <c r="M36" s="69" cm="1">
        <f t="array" ref="M36">SUMIF($K3:$K34,"&gt;0",M3:M34)</f>
        <v>179723208.67</v>
      </c>
      <c r="N36" s="69" cm="1">
        <f t="array" ref="N36">SUMIF($K3:$K34,"&gt;0",N3:N34)</f>
        <v>179723208.67</v>
      </c>
    </row>
    <row r="37" ht="21" customHeight="1">
      <c r="A37" s="70"/>
      <c r="B37" s="71"/>
      <c r="C37" s="71"/>
      <c r="D37" s="72"/>
      <c r="E37" s="72"/>
      <c r="F37" s="71"/>
      <c r="G37" s="72"/>
      <c r="H37" s="72"/>
      <c r="I37" s="71"/>
      <c r="J37" s="73"/>
      <c r="K37" t="str" s="73" cm="1">
        <f t="array" ref="K37">"PPN (C) = "&amp;MAX(K3:K34)&amp;"% x B"</f>
        <v>PPN (C) = 11,00% x B</v>
      </c>
      <c r="L37" s="74" cm="1">
        <f t="array" ref="L37">L36*MAX($K3:$K34)%</f>
        <v>19780487.750441</v>
      </c>
      <c r="M37" s="69" cm="1">
        <f t="array" ref="M37">M36*MAX($K3:$K34)%</f>
        <v>19769552.9537</v>
      </c>
      <c r="N37" s="69" cm="1">
        <f t="array" ref="N37">N36*MAX($K3:$K34)%</f>
        <v>19769552.9537</v>
      </c>
    </row>
    <row r="38" ht="21" customHeight="1">
      <c r="A38" s="70"/>
      <c r="B38" s="71"/>
      <c r="C38" s="71"/>
      <c r="D38" s="72"/>
      <c r="E38" s="72"/>
      <c r="F38" s="72"/>
      <c r="G38" s="72"/>
      <c r="H38" s="72"/>
      <c r="I38" s="71"/>
      <c r="J38" s="73"/>
      <c r="K38" t="s" s="75">
        <v>42</v>
      </c>
      <c r="L38" s="76" cm="1">
        <f t="array" ref="L38">L35+L37</f>
        <v>199994766.353541</v>
      </c>
      <c r="M38" s="69" cm="1">
        <f t="array" ref="M38">M35+M37</f>
        <v>199884235.4437</v>
      </c>
      <c r="N38" s="69" cm="1">
        <f t="array" ref="N38">N35+N37</f>
        <v>199884235.4437</v>
      </c>
    </row>
    <row r="39" ht="20.5" customHeight="1">
      <c r="A39" s="70"/>
      <c r="B39" s="71"/>
      <c r="C39" s="71"/>
      <c r="D39" s="72"/>
      <c r="E39" s="72"/>
      <c r="F39" s="72"/>
      <c r="G39" s="72"/>
      <c r="H39" s="72"/>
      <c r="I39" s="71"/>
      <c r="J39" s="73"/>
      <c r="K39" t="s" s="75">
        <v>43</v>
      </c>
      <c r="L39" s="68" cm="1">
        <f t="array" ref="L39">ROUNDDOWN(L38,2)</f>
        <v>199994766.35</v>
      </c>
      <c r="M39" s="68" cm="1">
        <f t="array" ref="M39">ROUNDDOWN(M38,2)</f>
        <v>199884235.44</v>
      </c>
      <c r="N39" s="68" cm="1">
        <f t="array" ref="N39">ROUNDDOWN(N38,-3)</f>
        <v>199884000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21.xml><?xml version="1.0" encoding="utf-8"?>
<worksheet xmlns:r="http://schemas.openxmlformats.org/officeDocument/2006/relationships" xmlns="http://schemas.openxmlformats.org/spreadsheetml/2006/main">
  <sheetPr>
    <pageSetUpPr fitToPage="1"/>
  </sheetPr>
  <dimension ref="A1:N32"/>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123" customWidth="1"/>
    <col min="2" max="2" width="43.0312" style="123" customWidth="1"/>
    <col min="3" max="3" width="2.75" style="123" customWidth="1"/>
    <col min="4" max="6" width="10.3672" style="123" customWidth="1"/>
    <col min="7" max="7" width="11.6875" style="123" customWidth="1"/>
    <col min="8" max="11" width="13.5156" style="123" customWidth="1"/>
    <col min="12" max="14" width="14.2344" style="123" customWidth="1"/>
    <col min="15" max="16384" width="16.3516" style="123"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133</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s="95">
        <v>1</v>
      </c>
      <c r="B4" t="s" s="19">
        <v>134</v>
      </c>
      <c r="C4" s="20"/>
      <c r="D4" s="21">
        <v>1</v>
      </c>
      <c r="E4" s="21" cm="1">
        <f t="array" ref="E4">D4</f>
        <v>1</v>
      </c>
      <c r="F4" s="21" cm="1">
        <f t="array" ref="F4">D4</f>
        <v>1</v>
      </c>
      <c r="G4" t="s" s="22">
        <v>135</v>
      </c>
      <c r="H4" s="21">
        <v>2450000</v>
      </c>
      <c r="I4" s="21">
        <v>2440000</v>
      </c>
      <c r="J4" s="21">
        <v>2440000</v>
      </c>
      <c r="K4" s="21">
        <v>11</v>
      </c>
      <c r="L4" s="21" cm="1">
        <f t="array" ref="L4">IF(D4&gt;0,IF($D4&lt;=0,0,D4*H4),"")</f>
        <v>2450000</v>
      </c>
      <c r="M4" s="21" cm="1">
        <f t="array" ref="M4">IF(E4&gt;0,IF($D4&lt;=0,0,ROUND(E4*I4,2)),"")</f>
        <v>2440000</v>
      </c>
      <c r="N4" s="23" cm="1">
        <f t="array" ref="N4">IF(F4&gt;0,IF($D4&lt;=0,0,ROUND(F4*J4,2)),"")</f>
        <v>2440000</v>
      </c>
    </row>
    <row r="5" ht="20.5" customHeight="1">
      <c r="A5" s="29"/>
      <c r="B5" t="s" s="19">
        <v>136</v>
      </c>
      <c r="C5" s="24"/>
      <c r="D5" s="30"/>
      <c r="E5" s="26"/>
      <c r="F5" s="26"/>
      <c r="G5" s="30"/>
      <c r="H5" s="26"/>
      <c r="I5" s="30"/>
      <c r="J5" s="30"/>
      <c r="K5" s="26"/>
      <c r="L5" t="str" s="30" cm="1">
        <f t="array" ref="L5">IF(D5&gt;0,IF($D5&lt;=0,0,D5*H5),"")</f>
      </c>
      <c r="M5" t="str" s="30" cm="1">
        <f t="array" ref="M5">IF(E5&gt;0,IF($D5&lt;=0,0,ROUND(E5*I5,2)),"")</f>
      </c>
      <c r="N5" t="str" s="31" cm="1">
        <f t="array" ref="N5">IF(F5&gt;0,IF($D5&lt;=0,0,ROUND(F5*J5,2)),"")</f>
      </c>
    </row>
    <row r="6" ht="20.5" customHeight="1">
      <c r="A6" s="29"/>
      <c r="B6" t="s" s="19">
        <v>137</v>
      </c>
      <c r="C6" s="20"/>
      <c r="D6" s="79"/>
      <c r="E6" s="21"/>
      <c r="F6" s="21"/>
      <c r="G6" s="79"/>
      <c r="H6" s="21"/>
      <c r="I6" s="21"/>
      <c r="J6" s="21"/>
      <c r="K6" s="21"/>
      <c r="L6" t="str" s="79" cm="1">
        <f t="array" ref="L6">IF(D6&gt;0,IF($D6&lt;=0,0,D6*H6),"")</f>
      </c>
      <c r="M6" t="str" s="79" cm="1">
        <f t="array" ref="M6">IF(E6&gt;0,IF($D6&lt;=0,0,ROUND(E6*I6,2)),"")</f>
      </c>
      <c r="N6" t="str" s="91" cm="1">
        <f t="array" ref="N6">IF(F6&gt;0,IF($D6&lt;=0,0,ROUND(F6*J6,2)),"")</f>
      </c>
    </row>
    <row r="7" ht="20.5" customHeight="1">
      <c r="A7" s="95">
        <v>1</v>
      </c>
      <c r="B7" t="s" s="19">
        <v>138</v>
      </c>
      <c r="C7" s="24"/>
      <c r="D7" s="25">
        <v>1</v>
      </c>
      <c r="E7" s="26" cm="1">
        <f t="array" ref="E7">D7</f>
        <v>1</v>
      </c>
      <c r="F7" s="26" cm="1">
        <f t="array" ref="F7">D7</f>
        <v>1</v>
      </c>
      <c r="G7" t="s" s="27">
        <v>135</v>
      </c>
      <c r="H7" s="26">
        <v>3500000</v>
      </c>
      <c r="I7" s="26">
        <v>3500000</v>
      </c>
      <c r="J7" s="26">
        <v>3500000</v>
      </c>
      <c r="K7" s="26">
        <v>11</v>
      </c>
      <c r="L7" s="26" cm="1">
        <f t="array" ref="L7">IF(D7&gt;0,IF($D7&lt;=0,0,D7*H7),"")</f>
        <v>3500000</v>
      </c>
      <c r="M7" s="26" cm="1">
        <f t="array" ref="M7">IF(E7&gt;0,IF($D7&lt;=0,0,ROUND(E7*I7,2)),"")</f>
        <v>3500000</v>
      </c>
      <c r="N7" s="28" cm="1">
        <f t="array" ref="N7">IF(F7&gt;0,IF($D7&lt;=0,0,ROUND(F7*J7,2)),"")</f>
        <v>3500000</v>
      </c>
    </row>
    <row r="8" ht="20.5" customHeight="1">
      <c r="A8" s="95">
        <v>2</v>
      </c>
      <c r="B8" t="s" s="19">
        <v>139</v>
      </c>
      <c r="C8" s="20"/>
      <c r="D8" s="78">
        <v>115</v>
      </c>
      <c r="E8" s="21" cm="1">
        <f t="array" ref="E8">D8</f>
        <v>115</v>
      </c>
      <c r="F8" s="21" cm="1">
        <f t="array" ref="F8">D8</f>
        <v>115</v>
      </c>
      <c r="G8" t="s" s="22">
        <v>140</v>
      </c>
      <c r="H8" s="21">
        <v>1272798.19</v>
      </c>
      <c r="I8" s="21">
        <v>1271849.44</v>
      </c>
      <c r="J8" s="21">
        <v>1271849.44</v>
      </c>
      <c r="K8" s="21">
        <v>11</v>
      </c>
      <c r="L8" s="21" cm="1">
        <f t="array" ref="L8">IF(D8&gt;0,IF($D8&lt;=0,0,D8*H8),"")</f>
        <v>146371791.85</v>
      </c>
      <c r="M8" s="21" cm="1">
        <f t="array" ref="M8">IF(E8&gt;0,IF($D8&lt;=0,0,ROUND(E8*I8,2)),"")</f>
        <v>146262685.6</v>
      </c>
      <c r="N8" s="23" cm="1">
        <f t="array" ref="N8">IF(F8&gt;0,IF($D8&lt;=0,0,ROUND(F8*J8,2)),"")</f>
        <v>146262685.6</v>
      </c>
    </row>
    <row r="9" ht="20.5" customHeight="1">
      <c r="A9" s="95">
        <v>3</v>
      </c>
      <c r="B9" t="s" s="19">
        <v>141</v>
      </c>
      <c r="C9" s="24"/>
      <c r="D9" s="25">
        <v>92</v>
      </c>
      <c r="E9" s="26" cm="1">
        <f t="array" ref="E9">D9</f>
        <v>92</v>
      </c>
      <c r="F9" s="26" cm="1">
        <f t="array" ref="F9">D9</f>
        <v>92</v>
      </c>
      <c r="G9" t="s" s="27">
        <v>142</v>
      </c>
      <c r="H9" s="26">
        <v>297818.38</v>
      </c>
      <c r="I9" s="26">
        <v>297438.88</v>
      </c>
      <c r="J9" s="26">
        <v>297438.88</v>
      </c>
      <c r="K9" s="26">
        <v>11</v>
      </c>
      <c r="L9" s="26" cm="1">
        <f t="array" ref="L9">IF(D9&gt;0,IF($D9&lt;=0,0,D9*H9),"")</f>
        <v>27399290.96</v>
      </c>
      <c r="M9" s="26" cm="1">
        <f t="array" ref="M9">IF(E9&gt;0,IF($D9&lt;=0,0,ROUND(E9*I9,2)),"")</f>
        <v>27364376.96</v>
      </c>
      <c r="N9" s="28" cm="1">
        <f t="array" ref="N9">IF(F9&gt;0,IF($D9&lt;=0,0,ROUND(F9*J9,2)),"")</f>
        <v>27364376.96</v>
      </c>
    </row>
    <row r="10" ht="20.5" customHeight="1">
      <c r="A10" s="29"/>
      <c r="B10" t="s" s="19">
        <v>36</v>
      </c>
      <c r="C10" s="20"/>
      <c r="D10" s="21"/>
      <c r="E10" s="21"/>
      <c r="F10" s="21"/>
      <c r="G10" s="79"/>
      <c r="H10" s="79"/>
      <c r="I10" s="79"/>
      <c r="J10" s="79"/>
      <c r="K10" s="21"/>
      <c r="L10" t="str" s="79" cm="1">
        <f t="array" ref="L10">IF(D10&gt;0,IF($D10&lt;=0,0,D10*H10),"")</f>
      </c>
      <c r="M10" s="21"/>
      <c r="N10" s="23"/>
    </row>
    <row r="11" ht="20.6" customHeight="1">
      <c r="A11" s="33">
        <v>1</v>
      </c>
      <c r="B11" t="s" s="34">
        <v>37</v>
      </c>
      <c r="C11" s="80"/>
      <c r="D11" s="81">
        <v>1</v>
      </c>
      <c r="E11" s="81" cm="1">
        <f t="array" ref="E11">D11</f>
        <v>1</v>
      </c>
      <c r="F11" s="81" cm="1">
        <f t="array" ref="F11">D11</f>
        <v>1</v>
      </c>
      <c r="G11" t="s" s="82">
        <v>19</v>
      </c>
      <c r="H11" s="81">
        <v>391470.06</v>
      </c>
      <c r="I11" s="81">
        <v>391177.42</v>
      </c>
      <c r="J11" s="81">
        <v>391177.42</v>
      </c>
      <c r="K11" s="81">
        <v>0</v>
      </c>
      <c r="L11" s="81" cm="1">
        <f t="array" ref="L11">IF(D11&gt;0,IF($D11&lt;=0,0,D11*H11),"")</f>
        <v>391470.06</v>
      </c>
      <c r="M11" s="81" cm="1">
        <f t="array" ref="M11">IF(E11&gt;0,IF($D11&lt;=0,0,ROUND(E11*I11,2)),"")</f>
        <v>391177.42</v>
      </c>
      <c r="N11" s="83" cm="1">
        <f t="array" ref="N11">IF(F11&gt;0,IF($D11&lt;=0,0,ROUND(F11*J11,2)),"")</f>
        <v>391177.42</v>
      </c>
    </row>
    <row r="12" ht="8.75" customHeight="1" hidden="1">
      <c r="A12" s="39"/>
      <c r="B12" s="40"/>
      <c r="C12" s="45"/>
      <c r="D12" s="46"/>
      <c r="E12" s="46"/>
      <c r="F12" s="46"/>
      <c r="G12" s="47"/>
      <c r="H12" s="46"/>
      <c r="I12" s="46"/>
      <c r="J12" s="46"/>
      <c r="K12" s="46"/>
      <c r="L12" s="46"/>
      <c r="M12" s="46"/>
      <c r="N12" s="48"/>
    </row>
    <row r="13" ht="8.75" customHeight="1" hidden="1">
      <c r="A13" s="39"/>
      <c r="B13" s="40"/>
      <c r="C13" s="41"/>
      <c r="D13" s="42"/>
      <c r="E13" s="42"/>
      <c r="F13" s="42"/>
      <c r="G13" s="43"/>
      <c r="H13" s="42"/>
      <c r="I13" s="42"/>
      <c r="J13" s="42"/>
      <c r="K13" s="42"/>
      <c r="L13" s="42"/>
      <c r="M13" s="42"/>
      <c r="N13" s="44"/>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2"/>
      <c r="I15" s="42"/>
      <c r="J15" s="42"/>
      <c r="K15" s="42"/>
      <c r="L15" s="42"/>
      <c r="M15" s="42"/>
      <c r="N15" s="44"/>
    </row>
    <row r="16" ht="8.75" customHeight="1" hidden="1">
      <c r="A16" s="39"/>
      <c r="B16" s="40"/>
      <c r="C16" s="45"/>
      <c r="D16" s="46"/>
      <c r="E16" s="46"/>
      <c r="F16" s="46"/>
      <c r="G16" s="47"/>
      <c r="H16" s="46"/>
      <c r="I16" s="46"/>
      <c r="J16" s="46"/>
      <c r="K16" s="46"/>
      <c r="L16" s="46"/>
      <c r="M16" s="46"/>
      <c r="N16" s="48"/>
    </row>
    <row r="17" ht="8.75" customHeight="1" hidden="1">
      <c r="A17" s="39"/>
      <c r="B17" s="40"/>
      <c r="C17" s="41"/>
      <c r="D17" s="42"/>
      <c r="E17" s="42"/>
      <c r="F17" s="42"/>
      <c r="G17" s="43"/>
      <c r="H17" s="42"/>
      <c r="I17" s="42"/>
      <c r="J17" s="42"/>
      <c r="K17" s="42"/>
      <c r="L17" s="42"/>
      <c r="M17" s="42"/>
      <c r="N17" s="44"/>
    </row>
    <row r="18" ht="8.75" customHeight="1" hidden="1">
      <c r="A18" s="39"/>
      <c r="B18" s="40"/>
      <c r="C18" s="45"/>
      <c r="D18" s="46"/>
      <c r="E18" s="46"/>
      <c r="F18" s="46"/>
      <c r="G18" s="47"/>
      <c r="H18" s="47"/>
      <c r="I18" s="47"/>
      <c r="J18" s="47"/>
      <c r="K18" s="46"/>
      <c r="L18" s="47"/>
      <c r="M18" s="47"/>
      <c r="N18" s="52"/>
    </row>
    <row r="19" ht="8.75" customHeight="1" hidden="1">
      <c r="A19" s="39"/>
      <c r="B19" s="40"/>
      <c r="C19" s="41"/>
      <c r="D19" s="42"/>
      <c r="E19" s="42"/>
      <c r="F19" s="42"/>
      <c r="G19" s="43"/>
      <c r="H19" s="84"/>
      <c r="I19" s="84"/>
      <c r="J19" s="84"/>
      <c r="K19" s="42"/>
      <c r="L19" s="42"/>
      <c r="M19" s="42"/>
      <c r="N19" s="44"/>
    </row>
    <row r="20" ht="8.75" customHeight="1" hidden="1">
      <c r="A20" s="39"/>
      <c r="B20" s="40"/>
      <c r="C20" s="45"/>
      <c r="D20" s="46"/>
      <c r="E20" s="46"/>
      <c r="F20" s="46"/>
      <c r="G20" s="47"/>
      <c r="H20" s="47"/>
      <c r="I20" s="47"/>
      <c r="J20" s="47"/>
      <c r="K20" s="46"/>
      <c r="L20" s="47"/>
      <c r="M20" s="47"/>
      <c r="N20" s="52"/>
    </row>
    <row r="21" ht="8.75" customHeight="1" hidden="1">
      <c r="A21" s="39"/>
      <c r="B21" s="40"/>
      <c r="C21" s="41"/>
      <c r="D21" s="42"/>
      <c r="E21" s="42"/>
      <c r="F21" s="42"/>
      <c r="G21" s="43"/>
      <c r="H21" s="42"/>
      <c r="I21" s="42"/>
      <c r="J21" s="42"/>
      <c r="K21" s="42"/>
      <c r="L21" s="42"/>
      <c r="M21" s="42"/>
      <c r="N21" s="44"/>
    </row>
    <row r="22" ht="8.75" customHeight="1" hidden="1">
      <c r="A22" s="39"/>
      <c r="B22" s="40"/>
      <c r="C22" s="45"/>
      <c r="D22" s="46"/>
      <c r="E22" s="46"/>
      <c r="F22" s="46"/>
      <c r="G22" s="47"/>
      <c r="H22" s="46"/>
      <c r="I22" s="46"/>
      <c r="J22" s="46"/>
      <c r="K22" s="46"/>
      <c r="L22" s="46"/>
      <c r="M22" s="46"/>
      <c r="N22" s="48"/>
    </row>
    <row r="23" ht="8.75" customHeight="1" hidden="1">
      <c r="A23" s="51"/>
      <c r="B23" s="40"/>
      <c r="C23" s="41"/>
      <c r="D23" s="42"/>
      <c r="E23" s="42"/>
      <c r="F23" s="42"/>
      <c r="G23" s="43"/>
      <c r="H23" s="42"/>
      <c r="I23" s="42"/>
      <c r="J23" s="42"/>
      <c r="K23" s="42"/>
      <c r="L23" s="42"/>
      <c r="M23" s="42"/>
      <c r="N23" s="44"/>
    </row>
    <row r="24" ht="8.75" customHeight="1" hidden="1">
      <c r="A24" s="51"/>
      <c r="B24" s="40"/>
      <c r="C24" s="45"/>
      <c r="D24" s="46"/>
      <c r="E24" s="46"/>
      <c r="F24" s="46"/>
      <c r="G24" s="47"/>
      <c r="H24" s="46"/>
      <c r="I24" s="46"/>
      <c r="J24" s="46"/>
      <c r="K24" s="46"/>
      <c r="L24" s="46"/>
      <c r="M24" s="46"/>
      <c r="N24" s="48"/>
    </row>
    <row r="25" ht="8.75" customHeight="1" hidden="1">
      <c r="A25" s="39"/>
      <c r="B25" s="40"/>
      <c r="C25" s="41"/>
      <c r="D25" s="42"/>
      <c r="E25" s="42"/>
      <c r="F25" s="42"/>
      <c r="G25" s="43"/>
      <c r="H25" s="42"/>
      <c r="I25" s="42"/>
      <c r="J25" s="42"/>
      <c r="K25" s="42"/>
      <c r="L25" s="43"/>
      <c r="M25" s="43"/>
      <c r="N25" s="49"/>
    </row>
    <row r="26" ht="8.75" customHeight="1" hidden="1">
      <c r="A26" s="39"/>
      <c r="B26" s="40"/>
      <c r="C26" s="45"/>
      <c r="D26" s="46"/>
      <c r="E26" s="46"/>
      <c r="F26" s="46"/>
      <c r="G26" s="47"/>
      <c r="H26" s="46"/>
      <c r="I26" s="46"/>
      <c r="J26" s="46"/>
      <c r="K26" s="46"/>
      <c r="L26" s="46"/>
      <c r="M26" s="46"/>
      <c r="N26" s="48"/>
    </row>
    <row r="27" ht="8.75" customHeight="1" hidden="1">
      <c r="A27" s="39"/>
      <c r="B27" s="40"/>
      <c r="C27" s="41"/>
      <c r="D27" s="42"/>
      <c r="E27" s="42"/>
      <c r="F27" s="42"/>
      <c r="G27" s="43"/>
      <c r="H27" s="42"/>
      <c r="I27" s="42"/>
      <c r="J27" s="42"/>
      <c r="K27" s="42"/>
      <c r="L27" s="43"/>
      <c r="M27" s="43"/>
      <c r="N27" s="49"/>
    </row>
    <row r="28" ht="20.85" customHeight="1">
      <c r="A28" s="53"/>
      <c r="B28" s="54"/>
      <c r="C28" s="54"/>
      <c r="D28" s="55"/>
      <c r="E28" s="55"/>
      <c r="F28" s="55"/>
      <c r="G28" s="56"/>
      <c r="H28" s="56"/>
      <c r="I28" s="54"/>
      <c r="J28" s="57"/>
      <c r="K28" t="s" s="58">
        <v>38</v>
      </c>
      <c r="L28" s="59" cm="1">
        <f t="array" ref="L28">SUM(L1:L27)</f>
        <v>180112552.87</v>
      </c>
      <c r="M28" s="59" cm="1">
        <f t="array" ref="M28">SUM(M1:M27)</f>
        <v>179958239.98</v>
      </c>
      <c r="N28" s="59" cm="1">
        <f t="array" ref="N28">SUM(N1:N27)</f>
        <v>179958239.98</v>
      </c>
    </row>
    <row r="29" ht="21" customHeight="1">
      <c r="A29" s="60"/>
      <c r="B29" t="s" s="61">
        <v>39</v>
      </c>
      <c r="C29" s="62"/>
      <c r="D29" s="63" cm="1">
        <f t="array" ref="D29">ROUND(IF(L29&lt;=100000000,L29*0.24%,IF(AND(L29&gt;100000000,L29&lt;=500000000),100000000*0.24%+(L29-100000000)*0.19%,IF(AND(L29&gt;500000000,L29&lt;=1000000000),100000000*0.24%+400000000*0.19%+(L29-500000000)*0.15%,IF(AND(L29&gt;1000000000,L29&lt;=5000000000),100000000*0.24%+400000000*0.19%+500000000*0.15%+(L29-1000000000)*0.12%,IF(L29&gt;5000000000,100000000*0.24%+400000000*0.19%+500000000*0.15%+4000000000*0.12%+(L29-5000000000)*0.1%,"Bingung komputer"))))),2)</f>
        <v>391470.06</v>
      </c>
      <c r="E29" s="64" cm="1">
        <f t="array" ref="E29">ROUND(IF(M29&lt;=100000000,M29*0.24%,IF(AND(M29&gt;100000000,M29&lt;=500000000),100000000*0.24%+(M29-100000000)*0.19%,IF(AND(M29&gt;500000000,M29&lt;=1000000000),100000000*0.24%+400000000*0.19%+(M29-500000000)*0.15%,IF(AND(M29&gt;1000000000,M29&lt;=5000000000),100000000*0.24%+400000000*0.19%+500000000*0.15%+(M29-1000000000)*0.12%,IF(M29&gt;5000000000,100000000*0.24%+400000000*0.19%+500000000*0.15%+4000000000*0.12%+(M29-5000000000)*0.1%,"Bingung komputer"))))),2)</f>
        <v>391177.42</v>
      </c>
      <c r="F29" s="64" cm="1">
        <f t="array" ref="F29">ROUND(IF(N29&lt;=100000000,N29*0.24%,IF(AND(N29&gt;100000000,N29&lt;=500000000),100000000*0.24%+(N29-100000000)*0.19%,IF(AND(N29&gt;500000000,N29&lt;=1000000000),100000000*0.24%+400000000*0.19%+(N29-500000000)*0.15%,IF(AND(N29&gt;1000000000,N29&lt;=5000000000),100000000*0.24%+400000000*0.19%+500000000*0.15%+(N29-1000000000)*0.12%,IF(N29&gt;5000000000,100000000*0.24%+400000000*0.19%+500000000*0.15%+4000000000*0.12%+(N29-5000000000)*0.1%,"Bingung komputer"))))),2)</f>
        <v>391177.42</v>
      </c>
      <c r="G29" s="65"/>
      <c r="H29" s="66"/>
      <c r="I29" s="62"/>
      <c r="J29" s="67"/>
      <c r="K29" t="str" s="67" cm="1">
        <f t="array" ref="K29">"Jumlah Terkena Pajak "&amp;MAX(K3:K27)&amp;"% (B)"</f>
        <v>Jumlah Terkena Pajak 11,00% (B)</v>
      </c>
      <c r="L29" s="68" cm="1">
        <f t="array" ref="L29">SUMIF($K3:$K27,"&gt;0",L3:L27)</f>
        <v>179721082.81</v>
      </c>
      <c r="M29" s="69" cm="1">
        <f t="array" ref="M29">SUMIF($K3:$K27,"&gt;0",M3:M27)</f>
        <v>179567062.56</v>
      </c>
      <c r="N29" s="69" cm="1">
        <f t="array" ref="N29">SUMIF($K3:$K27,"&gt;0",N3:N27)</f>
        <v>179567062.56</v>
      </c>
    </row>
    <row r="30" ht="21" customHeight="1">
      <c r="A30" s="70"/>
      <c r="B30" s="71"/>
      <c r="C30" s="71"/>
      <c r="D30" s="72"/>
      <c r="E30" s="72"/>
      <c r="F30" s="71"/>
      <c r="G30" s="72"/>
      <c r="H30" s="72"/>
      <c r="I30" s="71"/>
      <c r="J30" s="73"/>
      <c r="K30" t="str" s="73" cm="1">
        <f t="array" ref="K30">"PPN (C) = "&amp;MAX(K3:K27)&amp;"% x B"</f>
        <v>PPN (C) = 11,00% x B</v>
      </c>
      <c r="L30" s="74" cm="1">
        <f t="array" ref="L30">L29*MAX($K3:$K27)%</f>
        <v>19769319.1091</v>
      </c>
      <c r="M30" s="69" cm="1">
        <f t="array" ref="M30">M29*MAX($K3:$K27)%</f>
        <v>19752376.8816</v>
      </c>
      <c r="N30" s="69" cm="1">
        <f t="array" ref="N30">N29*MAX($K3:$K27)%</f>
        <v>19752376.8816</v>
      </c>
    </row>
    <row r="31" ht="21" customHeight="1">
      <c r="A31" s="70"/>
      <c r="B31" s="71"/>
      <c r="C31" s="71"/>
      <c r="D31" s="72"/>
      <c r="E31" s="72"/>
      <c r="F31" s="72"/>
      <c r="G31" s="72"/>
      <c r="H31" s="72"/>
      <c r="I31" s="71"/>
      <c r="J31" s="73"/>
      <c r="K31" t="s" s="75">
        <v>42</v>
      </c>
      <c r="L31" s="76" cm="1">
        <f t="array" ref="L31">L28+L30</f>
        <v>199881871.9791</v>
      </c>
      <c r="M31" s="69" cm="1">
        <f t="array" ref="M31">M28+M30</f>
        <v>199710616.8616</v>
      </c>
      <c r="N31" s="69" cm="1">
        <f t="array" ref="N31">N28+N30</f>
        <v>199710616.8616</v>
      </c>
    </row>
    <row r="32" ht="20.5" customHeight="1">
      <c r="A32" s="70"/>
      <c r="B32" s="71"/>
      <c r="C32" s="71"/>
      <c r="D32" s="72"/>
      <c r="E32" s="72"/>
      <c r="F32" s="72"/>
      <c r="G32" s="72"/>
      <c r="H32" s="72"/>
      <c r="I32" s="71"/>
      <c r="J32" s="73"/>
      <c r="K32" t="s" s="75">
        <v>43</v>
      </c>
      <c r="L32" s="68" cm="1">
        <f t="array" ref="L32">ROUNDDOWN(L31,2)</f>
        <v>199881871.97</v>
      </c>
      <c r="M32" s="68" cm="1">
        <f t="array" ref="M32">ROUNDDOWN(M31,2)</f>
        <v>199710616.86</v>
      </c>
      <c r="N32" s="68" cm="1">
        <f t="array" ref="N32">ROUNDDOWN(N31,-3)</f>
        <v>199710000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22.xml><?xml version="1.0" encoding="utf-8"?>
<worksheet xmlns:r="http://schemas.openxmlformats.org/officeDocument/2006/relationships" xmlns="http://schemas.openxmlformats.org/spreadsheetml/2006/main">
  <sheetPr>
    <pageSetUpPr fitToPage="1"/>
  </sheetPr>
  <dimension ref="A1:N39"/>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124" customWidth="1"/>
    <col min="2" max="2" width="43.0312" style="124" customWidth="1"/>
    <col min="3" max="3" width="2.75" style="124" customWidth="1"/>
    <col min="4" max="6" width="10.3672" style="124" customWidth="1"/>
    <col min="7" max="7" width="11.6875" style="124" customWidth="1"/>
    <col min="8" max="11" width="13.5156" style="124" customWidth="1"/>
    <col min="12" max="14" width="14.2344" style="124" customWidth="1"/>
    <col min="15" max="16384" width="16.3516" style="124"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t="s" s="125">
        <v>51</v>
      </c>
      <c r="B3" t="s" s="12">
        <v>133</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s="95">
        <v>1</v>
      </c>
      <c r="B4" t="s" s="19">
        <v>134</v>
      </c>
      <c r="C4" s="20"/>
      <c r="D4" s="21">
        <v>1</v>
      </c>
      <c r="E4" s="21" cm="1">
        <f t="array" ref="E4">D4</f>
        <v>1</v>
      </c>
      <c r="F4" s="21" cm="1">
        <f t="array" ref="F4">D4</f>
        <v>1</v>
      </c>
      <c r="G4" t="s" s="22">
        <v>135</v>
      </c>
      <c r="H4" s="21">
        <v>8350000</v>
      </c>
      <c r="I4" s="21">
        <v>8340000</v>
      </c>
      <c r="J4" s="21">
        <v>8340000</v>
      </c>
      <c r="K4" s="21">
        <v>11</v>
      </c>
      <c r="L4" s="21" cm="1">
        <f t="array" ref="L4">IF(D4&gt;0,IF($D4&lt;=0,0,D4*H4),"")</f>
        <v>8350000</v>
      </c>
      <c r="M4" s="21" cm="1">
        <f t="array" ref="M4">IF(E4&gt;0,IF($D4&lt;=0,0,ROUND(E4*I4,2)),"")</f>
        <v>8340000</v>
      </c>
      <c r="N4" s="23" cm="1">
        <f t="array" ref="N4">IF(F4&gt;0,IF($D4&lt;=0,0,ROUND(F4*J4,2)),"")</f>
        <v>8340000</v>
      </c>
    </row>
    <row r="5" ht="20.5" customHeight="1">
      <c r="A5" s="95">
        <v>1</v>
      </c>
      <c r="B5" t="s" s="19">
        <v>144</v>
      </c>
      <c r="C5" s="24"/>
      <c r="D5" s="26">
        <v>1</v>
      </c>
      <c r="E5" s="26" cm="1">
        <f t="array" ref="E5">D5</f>
        <v>1</v>
      </c>
      <c r="F5" s="26" cm="1">
        <f t="array" ref="F5">D5</f>
        <v>1</v>
      </c>
      <c r="G5" t="s" s="27">
        <v>135</v>
      </c>
      <c r="H5" s="26">
        <v>275000</v>
      </c>
      <c r="I5" s="26">
        <v>250000</v>
      </c>
      <c r="J5" s="26">
        <v>250000</v>
      </c>
      <c r="K5" s="26">
        <v>11</v>
      </c>
      <c r="L5" s="26" cm="1">
        <f t="array" ref="L5">IF(D5&gt;0,IF($D5&lt;=0,0,D5*H5),"")</f>
        <v>275000</v>
      </c>
      <c r="M5" s="26" cm="1">
        <f t="array" ref="M5">IF(E5&gt;0,IF($D5&lt;=0,0,ROUND(E5*I5,2)),"")</f>
        <v>250000</v>
      </c>
      <c r="N5" s="28" cm="1">
        <f t="array" ref="N5">IF(F5&gt;0,IF($D5&lt;=0,0,ROUND(F5*J5,2)),"")</f>
        <v>250000</v>
      </c>
    </row>
    <row r="6" ht="20.5" customHeight="1">
      <c r="A6" t="s" s="126">
        <v>58</v>
      </c>
      <c r="B6" t="s" s="19">
        <v>145</v>
      </c>
      <c r="C6" s="20"/>
      <c r="D6" s="79"/>
      <c r="E6" s="21"/>
      <c r="F6" s="21"/>
      <c r="G6" s="79"/>
      <c r="H6" s="21"/>
      <c r="I6" s="79"/>
      <c r="J6" s="79"/>
      <c r="K6" s="21"/>
      <c r="L6" t="str" s="79" cm="1">
        <f t="array" ref="L6">IF(D6&gt;0,IF($D6&lt;=0,0,D6*H6),"")</f>
      </c>
      <c r="M6" t="str" s="79" cm="1">
        <f t="array" ref="M6">IF(E6&gt;0,IF($D6&lt;=0,0,ROUND(E6*I6,2)),"")</f>
      </c>
      <c r="N6" t="str" s="91" cm="1">
        <f t="array" ref="N6">IF(F6&gt;0,IF($D6&lt;=0,0,ROUND(F6*J6,2)),"")</f>
      </c>
    </row>
    <row r="7" ht="20.5" customHeight="1">
      <c r="A7" s="29"/>
      <c r="B7" t="s" s="19">
        <v>146</v>
      </c>
      <c r="C7" s="24"/>
      <c r="D7" s="30"/>
      <c r="E7" s="26"/>
      <c r="F7" s="26"/>
      <c r="G7" s="30"/>
      <c r="H7" s="26"/>
      <c r="I7" s="26"/>
      <c r="J7" s="26"/>
      <c r="K7" s="26"/>
      <c r="L7" t="str" s="30" cm="1">
        <f t="array" ref="L7">IF(D7&gt;0,IF($D7&lt;=0,0,D7*H7),"")</f>
      </c>
      <c r="M7" t="str" s="30" cm="1">
        <f t="array" ref="M7">IF(E7&gt;0,IF($D7&lt;=0,0,ROUND(E7*I7,2)),"")</f>
      </c>
      <c r="N7" t="str" s="31" cm="1">
        <f t="array" ref="N7">IF(F7&gt;0,IF($D7&lt;=0,0,ROUND(F7*J7,2)),"")</f>
      </c>
    </row>
    <row r="8" ht="20.5" customHeight="1">
      <c r="A8" s="95">
        <v>1</v>
      </c>
      <c r="B8" t="s" s="19">
        <v>147</v>
      </c>
      <c r="C8" s="20"/>
      <c r="D8" s="78">
        <v>56.88</v>
      </c>
      <c r="E8" s="21" cm="1">
        <f t="array" ref="E8">D8</f>
        <v>56.88</v>
      </c>
      <c r="F8" s="21" cm="1">
        <f t="array" ref="F8">D8</f>
        <v>56.88</v>
      </c>
      <c r="G8" t="s" s="22">
        <v>140</v>
      </c>
      <c r="H8" s="21">
        <v>81075</v>
      </c>
      <c r="I8" s="21">
        <v>80816.25</v>
      </c>
      <c r="J8" s="21">
        <v>80816.25</v>
      </c>
      <c r="K8" s="21">
        <v>11</v>
      </c>
      <c r="L8" s="21" cm="1">
        <f t="array" ref="L8">IF(D8&gt;0,IF($D8&lt;=0,0,D8*H8),"")</f>
        <v>4611546</v>
      </c>
      <c r="M8" s="21" cm="1">
        <f t="array" ref="M8">IF(E8&gt;0,IF($D8&lt;=0,0,ROUND(E8*I8,2)),"")</f>
        <v>4596828.3</v>
      </c>
      <c r="N8" s="23" cm="1">
        <f t="array" ref="N8">IF(F8&gt;0,IF($D8&lt;=0,0,ROUND(F8*J8,2)),"")</f>
        <v>4596828.3</v>
      </c>
    </row>
    <row r="9" ht="20.5" customHeight="1">
      <c r="A9" s="95">
        <v>2</v>
      </c>
      <c r="B9" t="s" s="19">
        <v>148</v>
      </c>
      <c r="C9" s="24"/>
      <c r="D9" s="25">
        <v>28.44</v>
      </c>
      <c r="E9" s="26" cm="1">
        <f t="array" ref="E9">D9</f>
        <v>28.44</v>
      </c>
      <c r="F9" s="26" cm="1">
        <f t="array" ref="F9">D9</f>
        <v>28.44</v>
      </c>
      <c r="G9" t="s" s="27">
        <v>140</v>
      </c>
      <c r="H9" s="26">
        <v>58650</v>
      </c>
      <c r="I9" s="26">
        <v>58477.5</v>
      </c>
      <c r="J9" s="26">
        <v>58477.5</v>
      </c>
      <c r="K9" s="26">
        <v>11</v>
      </c>
      <c r="L9" s="26" cm="1">
        <f t="array" ref="L9">IF(D9&gt;0,IF($D9&lt;=0,0,D9*H9),"")</f>
        <v>1668006</v>
      </c>
      <c r="M9" s="26" cm="1">
        <f t="array" ref="M9">IF(E9&gt;0,IF($D9&lt;=0,0,ROUND(E9*I9,2)),"")</f>
        <v>1663100.1</v>
      </c>
      <c r="N9" s="28" cm="1">
        <f t="array" ref="N9">IF(F9&gt;0,IF($D9&lt;=0,0,ROUND(F9*J9,2)),"")</f>
        <v>1663100.1</v>
      </c>
    </row>
    <row r="10" ht="20.5" customHeight="1">
      <c r="A10" s="95">
        <v>3</v>
      </c>
      <c r="B10" t="s" s="19">
        <v>149</v>
      </c>
      <c r="C10" s="20"/>
      <c r="D10" s="78">
        <v>12</v>
      </c>
      <c r="E10" s="21" cm="1">
        <f t="array" ref="E10">D10</f>
        <v>12</v>
      </c>
      <c r="F10" s="21" cm="1">
        <f t="array" ref="F10">D10</f>
        <v>12</v>
      </c>
      <c r="G10" t="s" s="22">
        <v>140</v>
      </c>
      <c r="H10" s="21">
        <v>101430</v>
      </c>
      <c r="I10" s="21">
        <v>101326.5</v>
      </c>
      <c r="J10" s="21">
        <v>101326.5</v>
      </c>
      <c r="K10" s="21">
        <v>11</v>
      </c>
      <c r="L10" s="21" cm="1">
        <f t="array" ref="L10">IF(D10&gt;0,IF($D10&lt;=0,0,D10*H10),"")</f>
        <v>1217160</v>
      </c>
      <c r="M10" s="21" cm="1">
        <f t="array" ref="M10">IF(E10&gt;0,IF($D10&lt;=0,0,ROUND(E10*I10,2)),"")</f>
        <v>1215918</v>
      </c>
      <c r="N10" s="23" cm="1">
        <f t="array" ref="N10">IF(F10&gt;0,IF($D10&lt;=0,0,ROUND(F10*J10,2)),"")</f>
        <v>1215918</v>
      </c>
    </row>
    <row r="11" ht="32.5" customHeight="1">
      <c r="A11" s="95">
        <v>3</v>
      </c>
      <c r="B11" t="s" s="19">
        <v>150</v>
      </c>
      <c r="C11" s="24"/>
      <c r="D11" s="25">
        <v>2.88</v>
      </c>
      <c r="E11" s="26" cm="1">
        <f t="array" ref="E11">D11</f>
        <v>2.88</v>
      </c>
      <c r="F11" s="26" cm="1">
        <f t="array" ref="F11">D11</f>
        <v>2.88</v>
      </c>
      <c r="G11" t="s" s="27">
        <v>140</v>
      </c>
      <c r="H11" s="26">
        <v>1004812.5</v>
      </c>
      <c r="I11" s="26">
        <v>1004295</v>
      </c>
      <c r="J11" s="26">
        <v>1004295</v>
      </c>
      <c r="K11" s="26">
        <v>11</v>
      </c>
      <c r="L11" s="26" cm="1">
        <f t="array" ref="L11">IF(D11&gt;0,IF($D11&lt;=0,0,D11*H11),"")</f>
        <v>2893860</v>
      </c>
      <c r="M11" s="26" cm="1">
        <f t="array" ref="M11">IF(E11&gt;0,IF($D11&lt;=0,0,ROUND(E11*I11,2)),"")</f>
        <v>2892369.6</v>
      </c>
      <c r="N11" s="28" cm="1">
        <f t="array" ref="N11">IF(F11&gt;0,IF($D11&lt;=0,0,ROUND(F11*J11,2)),"")</f>
        <v>2892369.6</v>
      </c>
    </row>
    <row r="12" ht="20.5" customHeight="1">
      <c r="A12" t="s" s="126">
        <v>151</v>
      </c>
      <c r="B12" t="s" s="19">
        <v>136</v>
      </c>
      <c r="C12" s="20"/>
      <c r="D12" s="79"/>
      <c r="E12" s="21"/>
      <c r="F12" s="21"/>
      <c r="G12" s="79"/>
      <c r="H12" s="21"/>
      <c r="I12" s="79"/>
      <c r="J12" s="79"/>
      <c r="K12" s="21"/>
      <c r="L12" t="str" s="79" cm="1">
        <f t="array" ref="L12">IF(D12&gt;0,IF($D12&lt;=0,0,D12*H12),"")</f>
      </c>
      <c r="M12" t="str" s="79" cm="1">
        <f t="array" ref="M12">IF(E12&gt;0,IF($D12&lt;=0,0,ROUND(E12*I12,2)),"")</f>
      </c>
      <c r="N12" t="str" s="91" cm="1">
        <f t="array" ref="N12">IF(F12&gt;0,IF($D12&lt;=0,0,ROUND(F12*J12,2)),"")</f>
      </c>
    </row>
    <row r="13" ht="20.5" customHeight="1">
      <c r="A13" s="29"/>
      <c r="B13" t="s" s="19">
        <v>152</v>
      </c>
      <c r="C13" s="24"/>
      <c r="D13" s="30"/>
      <c r="E13" s="26"/>
      <c r="F13" s="26"/>
      <c r="G13" s="30"/>
      <c r="H13" s="26"/>
      <c r="I13" s="26"/>
      <c r="J13" s="26"/>
      <c r="K13" s="26"/>
      <c r="L13" t="str" s="30" cm="1">
        <f t="array" ref="L13">IF(D13&gt;0,IF($D13&lt;=0,0,D13*H13),"")</f>
      </c>
      <c r="M13" t="str" s="30" cm="1">
        <f t="array" ref="M13">IF(E13&gt;0,IF($D13&lt;=0,0,ROUND(E13*I13,2)),"")</f>
      </c>
      <c r="N13" t="str" s="31" cm="1">
        <f t="array" ref="N13">IF(F13&gt;0,IF($D13&lt;=0,0,ROUND(F13*J13,2)),"")</f>
      </c>
    </row>
    <row r="14" ht="20.5" customHeight="1">
      <c r="A14" s="95">
        <v>1</v>
      </c>
      <c r="B14" t="s" s="19">
        <v>141</v>
      </c>
      <c r="C14" s="20"/>
      <c r="D14" s="78">
        <v>124.35</v>
      </c>
      <c r="E14" s="21" cm="1">
        <f t="array" ref="E14">D14</f>
        <v>124.35</v>
      </c>
      <c r="F14" s="21" cm="1">
        <f t="array" ref="F14">D14</f>
        <v>124.35</v>
      </c>
      <c r="G14" t="s" s="22">
        <v>142</v>
      </c>
      <c r="H14" s="21">
        <v>297818.38</v>
      </c>
      <c r="I14" s="21">
        <v>297590.68</v>
      </c>
      <c r="J14" s="21">
        <v>297590.68</v>
      </c>
      <c r="K14" s="21">
        <v>11</v>
      </c>
      <c r="L14" s="21" cm="1">
        <f t="array" ref="L14">IF(D14&gt;0,IF($D14&lt;=0,0,D14*H14),"")</f>
        <v>37033715.553</v>
      </c>
      <c r="M14" s="21" cm="1">
        <f t="array" ref="M14">IF(E14&gt;0,IF($D14&lt;=0,0,ROUND(E14*I14,2)),"")</f>
        <v>37005401.06</v>
      </c>
      <c r="N14" s="23" cm="1">
        <f t="array" ref="N14">IF(F14&gt;0,IF($D14&lt;=0,0,ROUND(F14*J14,2)),"")</f>
        <v>37005401.06</v>
      </c>
    </row>
    <row r="15" ht="20.5" customHeight="1">
      <c r="A15" s="95">
        <v>2</v>
      </c>
      <c r="B15" t="s" s="19">
        <v>153</v>
      </c>
      <c r="C15" s="24"/>
      <c r="D15" s="122">
        <v>3929.05</v>
      </c>
      <c r="E15" s="26" cm="1">
        <f t="array" ref="E15">D15</f>
        <v>3929.05</v>
      </c>
      <c r="F15" s="26" cm="1">
        <f t="array" ref="F15">D15</f>
        <v>3929.05</v>
      </c>
      <c r="G15" t="s" s="27">
        <v>154</v>
      </c>
      <c r="H15" s="26">
        <v>17995.2</v>
      </c>
      <c r="I15" s="26">
        <v>17992.79</v>
      </c>
      <c r="J15" s="26">
        <v>17992.79</v>
      </c>
      <c r="K15" s="26">
        <v>11</v>
      </c>
      <c r="L15" s="26" cm="1">
        <f t="array" ref="L15">IF(D15&gt;0,IF($D15&lt;=0,0,D15*H15),"")</f>
        <v>70704040.56</v>
      </c>
      <c r="M15" s="26" cm="1">
        <f t="array" ref="M15">IF(E15&gt;0,IF($D15&lt;=0,0,ROUND(E15*I15,2)),"")</f>
        <v>70694571.55</v>
      </c>
      <c r="N15" s="28" cm="1">
        <f t="array" ref="N15">IF(F15&gt;0,IF($D15&lt;=0,0,ROUND(F15*J15,2)),"")</f>
        <v>70694571.55</v>
      </c>
    </row>
    <row r="16" ht="20.5" customHeight="1">
      <c r="A16" s="95">
        <v>3</v>
      </c>
      <c r="B16" t="s" s="19">
        <v>139</v>
      </c>
      <c r="C16" s="20"/>
      <c r="D16" s="78">
        <v>38.14</v>
      </c>
      <c r="E16" s="21" cm="1">
        <f t="array" ref="E16">D16</f>
        <v>38.14</v>
      </c>
      <c r="F16" s="21" cm="1">
        <f t="array" ref="F16">D16</f>
        <v>38.14</v>
      </c>
      <c r="G16" t="s" s="22">
        <v>140</v>
      </c>
      <c r="H16" s="21">
        <v>1272798.19</v>
      </c>
      <c r="I16" s="21">
        <v>1272228.94</v>
      </c>
      <c r="J16" s="21">
        <v>1272228.94</v>
      </c>
      <c r="K16" s="21">
        <v>11</v>
      </c>
      <c r="L16" s="21" cm="1">
        <f t="array" ref="L16">IF(D16&gt;0,IF($D16&lt;=0,0,D16*H16),"")</f>
        <v>48544522.9666</v>
      </c>
      <c r="M16" s="21" cm="1">
        <f t="array" ref="M16">IF(E16&gt;0,IF($D16&lt;=0,0,ROUND(E16*I16,2)),"")</f>
        <v>48522811.77</v>
      </c>
      <c r="N16" s="23" cm="1">
        <f t="array" ref="N16">IF(F16&gt;0,IF($D16&lt;=0,0,ROUND(F16*J16,2)),"")</f>
        <v>48522811.77</v>
      </c>
    </row>
    <row r="17" ht="20.5" customHeight="1">
      <c r="A17" s="29"/>
      <c r="B17" t="s" s="19">
        <v>36</v>
      </c>
      <c r="C17" s="24"/>
      <c r="D17" s="26"/>
      <c r="E17" s="26"/>
      <c r="F17" s="26"/>
      <c r="G17" s="30"/>
      <c r="H17" s="30"/>
      <c r="I17" s="30"/>
      <c r="J17" s="30"/>
      <c r="K17" s="26"/>
      <c r="L17" t="str" s="30" cm="1">
        <f t="array" ref="L17">IF(D17&gt;0,IF($D17&lt;=0,0,D17*H17),"")</f>
      </c>
      <c r="M17" s="26"/>
      <c r="N17" s="28"/>
    </row>
    <row r="18" ht="20.6" customHeight="1">
      <c r="A18" s="33">
        <v>1</v>
      </c>
      <c r="B18" t="s" s="34">
        <v>37</v>
      </c>
      <c r="C18" s="35"/>
      <c r="D18" s="36">
        <v>1</v>
      </c>
      <c r="E18" s="36" cm="1">
        <f t="array" ref="E18">D18</f>
        <v>1</v>
      </c>
      <c r="F18" s="36" cm="1">
        <f t="array" ref="F18">D18</f>
        <v>1</v>
      </c>
      <c r="G18" t="s" s="37">
        <v>19</v>
      </c>
      <c r="H18" s="36">
        <v>383049.84</v>
      </c>
      <c r="I18" s="36">
        <v>382843.86</v>
      </c>
      <c r="J18" s="36">
        <v>382843.86</v>
      </c>
      <c r="K18" s="36">
        <v>0</v>
      </c>
      <c r="L18" s="36" cm="1">
        <f t="array" ref="L18">IF(D18&gt;0,IF($D18&lt;=0,0,D18*H18),"")</f>
        <v>383049.84</v>
      </c>
      <c r="M18" s="36" cm="1">
        <f t="array" ref="M18">IF(E18&gt;0,IF($D18&lt;=0,0,ROUND(E18*I18,2)),"")</f>
        <v>382843.86</v>
      </c>
      <c r="N18" s="38" cm="1">
        <f t="array" ref="N18">IF(F18&gt;0,IF($D18&lt;=0,0,ROUND(F18*J18,2)),"")</f>
        <v>382843.86</v>
      </c>
    </row>
    <row r="19" ht="8.75" customHeight="1" hidden="1">
      <c r="A19" s="39"/>
      <c r="B19" s="40"/>
      <c r="C19" s="41"/>
      <c r="D19" s="42"/>
      <c r="E19" s="42"/>
      <c r="F19" s="42"/>
      <c r="G19" s="43"/>
      <c r="H19" s="42"/>
      <c r="I19" s="42"/>
      <c r="J19" s="42"/>
      <c r="K19" s="42"/>
      <c r="L19" s="42"/>
      <c r="M19" s="42"/>
      <c r="N19" s="44"/>
    </row>
    <row r="20" ht="8.75" customHeight="1" hidden="1">
      <c r="A20" s="39"/>
      <c r="B20" s="40"/>
      <c r="C20" s="45"/>
      <c r="D20" s="46"/>
      <c r="E20" s="46"/>
      <c r="F20" s="46"/>
      <c r="G20" s="47"/>
      <c r="H20" s="46"/>
      <c r="I20" s="46"/>
      <c r="J20" s="46"/>
      <c r="K20" s="46"/>
      <c r="L20" s="46"/>
      <c r="M20" s="46"/>
      <c r="N20" s="48"/>
    </row>
    <row r="21" ht="8.75" customHeight="1" hidden="1">
      <c r="A21" s="39"/>
      <c r="B21" s="40"/>
      <c r="C21" s="41"/>
      <c r="D21" s="42"/>
      <c r="E21" s="42"/>
      <c r="F21" s="42"/>
      <c r="G21" s="43"/>
      <c r="H21" s="42"/>
      <c r="I21" s="42"/>
      <c r="J21" s="42"/>
      <c r="K21" s="42"/>
      <c r="L21" s="42"/>
      <c r="M21" s="42"/>
      <c r="N21" s="44"/>
    </row>
    <row r="22" ht="8.75" customHeight="1" hidden="1">
      <c r="A22" s="39"/>
      <c r="B22" s="40"/>
      <c r="C22" s="45"/>
      <c r="D22" s="46"/>
      <c r="E22" s="46"/>
      <c r="F22" s="46"/>
      <c r="G22" s="47"/>
      <c r="H22" s="46"/>
      <c r="I22" s="46"/>
      <c r="J22" s="46"/>
      <c r="K22" s="46"/>
      <c r="L22" s="46"/>
      <c r="M22" s="46"/>
      <c r="N22" s="48"/>
    </row>
    <row r="23" ht="8.75" customHeight="1" hidden="1">
      <c r="A23" s="39"/>
      <c r="B23" s="40"/>
      <c r="C23" s="41"/>
      <c r="D23" s="42"/>
      <c r="E23" s="42"/>
      <c r="F23" s="42"/>
      <c r="G23" s="43"/>
      <c r="H23" s="42"/>
      <c r="I23" s="42"/>
      <c r="J23" s="42"/>
      <c r="K23" s="42"/>
      <c r="L23" s="42"/>
      <c r="M23" s="42"/>
      <c r="N23" s="44"/>
    </row>
    <row r="24" ht="8.75" customHeight="1" hidden="1">
      <c r="A24" s="39"/>
      <c r="B24" s="40"/>
      <c r="C24" s="45"/>
      <c r="D24" s="46"/>
      <c r="E24" s="46"/>
      <c r="F24" s="46"/>
      <c r="G24" s="47"/>
      <c r="H24" s="46"/>
      <c r="I24" s="46"/>
      <c r="J24" s="46"/>
      <c r="K24" s="46"/>
      <c r="L24" s="46"/>
      <c r="M24" s="46"/>
      <c r="N24" s="48"/>
    </row>
    <row r="25" ht="8.75" customHeight="1" hidden="1">
      <c r="A25" s="39"/>
      <c r="B25" s="40"/>
      <c r="C25" s="41"/>
      <c r="D25" s="42"/>
      <c r="E25" s="42"/>
      <c r="F25" s="42"/>
      <c r="G25" s="43"/>
      <c r="H25" s="43"/>
      <c r="I25" s="43"/>
      <c r="J25" s="43"/>
      <c r="K25" s="42"/>
      <c r="L25" s="43"/>
      <c r="M25" s="43"/>
      <c r="N25" s="49"/>
    </row>
    <row r="26" ht="8.75" customHeight="1" hidden="1">
      <c r="A26" s="39"/>
      <c r="B26" s="40"/>
      <c r="C26" s="45"/>
      <c r="D26" s="46"/>
      <c r="E26" s="46"/>
      <c r="F26" s="46"/>
      <c r="G26" s="47"/>
      <c r="H26" s="50"/>
      <c r="I26" s="50"/>
      <c r="J26" s="50"/>
      <c r="K26" s="46"/>
      <c r="L26" s="46"/>
      <c r="M26" s="46"/>
      <c r="N26" s="48"/>
    </row>
    <row r="27" ht="8.75" customHeight="1" hidden="1">
      <c r="A27" s="39"/>
      <c r="B27" s="40"/>
      <c r="C27" s="41"/>
      <c r="D27" s="42"/>
      <c r="E27" s="42"/>
      <c r="F27" s="42"/>
      <c r="G27" s="43"/>
      <c r="H27" s="43"/>
      <c r="I27" s="43"/>
      <c r="J27" s="43"/>
      <c r="K27" s="42"/>
      <c r="L27" s="43"/>
      <c r="M27" s="43"/>
      <c r="N27" s="49"/>
    </row>
    <row r="28" ht="8.75" customHeight="1" hidden="1">
      <c r="A28" s="39"/>
      <c r="B28" s="40"/>
      <c r="C28" s="45"/>
      <c r="D28" s="46"/>
      <c r="E28" s="46"/>
      <c r="F28" s="46"/>
      <c r="G28" s="47"/>
      <c r="H28" s="46"/>
      <c r="I28" s="46"/>
      <c r="J28" s="46"/>
      <c r="K28" s="46"/>
      <c r="L28" s="46"/>
      <c r="M28" s="46"/>
      <c r="N28" s="48"/>
    </row>
    <row r="29" ht="8.75" customHeight="1" hidden="1">
      <c r="A29" s="39"/>
      <c r="B29" s="40"/>
      <c r="C29" s="41"/>
      <c r="D29" s="42"/>
      <c r="E29" s="42"/>
      <c r="F29" s="42"/>
      <c r="G29" s="43"/>
      <c r="H29" s="42"/>
      <c r="I29" s="42"/>
      <c r="J29" s="42"/>
      <c r="K29" s="42"/>
      <c r="L29" s="42"/>
      <c r="M29" s="42"/>
      <c r="N29" s="44"/>
    </row>
    <row r="30" ht="8.75" customHeight="1" hidden="1">
      <c r="A30" s="51"/>
      <c r="B30" s="40"/>
      <c r="C30" s="45"/>
      <c r="D30" s="46"/>
      <c r="E30" s="46"/>
      <c r="F30" s="46"/>
      <c r="G30" s="47"/>
      <c r="H30" s="46"/>
      <c r="I30" s="46"/>
      <c r="J30" s="46"/>
      <c r="K30" s="46"/>
      <c r="L30" s="46"/>
      <c r="M30" s="46"/>
      <c r="N30" s="48"/>
    </row>
    <row r="31" ht="8.75" customHeight="1" hidden="1">
      <c r="A31" s="51"/>
      <c r="B31" s="40"/>
      <c r="C31" s="41"/>
      <c r="D31" s="42"/>
      <c r="E31" s="42"/>
      <c r="F31" s="42"/>
      <c r="G31" s="43"/>
      <c r="H31" s="42"/>
      <c r="I31" s="42"/>
      <c r="J31" s="42"/>
      <c r="K31" s="42"/>
      <c r="L31" s="42"/>
      <c r="M31" s="42"/>
      <c r="N31" s="44"/>
    </row>
    <row r="32" ht="8.75" customHeight="1" hidden="1">
      <c r="A32" s="39"/>
      <c r="B32" s="40"/>
      <c r="C32" s="45"/>
      <c r="D32" s="46"/>
      <c r="E32" s="46"/>
      <c r="F32" s="46"/>
      <c r="G32" s="47"/>
      <c r="H32" s="46"/>
      <c r="I32" s="46"/>
      <c r="J32" s="46"/>
      <c r="K32" s="46"/>
      <c r="L32" s="47"/>
      <c r="M32" s="47"/>
      <c r="N32" s="52"/>
    </row>
    <row r="33" ht="8.75" customHeight="1" hidden="1">
      <c r="A33" s="39"/>
      <c r="B33" s="40"/>
      <c r="C33" s="41"/>
      <c r="D33" s="42"/>
      <c r="E33" s="42"/>
      <c r="F33" s="42"/>
      <c r="G33" s="43"/>
      <c r="H33" s="42"/>
      <c r="I33" s="42"/>
      <c r="J33" s="42"/>
      <c r="K33" s="42"/>
      <c r="L33" s="42"/>
      <c r="M33" s="42"/>
      <c r="N33" s="44"/>
    </row>
    <row r="34" ht="8.75" customHeight="1" hidden="1">
      <c r="A34" s="39"/>
      <c r="B34" s="40"/>
      <c r="C34" s="45"/>
      <c r="D34" s="46"/>
      <c r="E34" s="46"/>
      <c r="F34" s="46"/>
      <c r="G34" s="47"/>
      <c r="H34" s="46"/>
      <c r="I34" s="46"/>
      <c r="J34" s="46"/>
      <c r="K34" s="46"/>
      <c r="L34" s="47"/>
      <c r="M34" s="47"/>
      <c r="N34" s="52"/>
    </row>
    <row r="35" ht="20.85" customHeight="1">
      <c r="A35" s="53"/>
      <c r="B35" s="54"/>
      <c r="C35" s="54"/>
      <c r="D35" s="55"/>
      <c r="E35" s="55"/>
      <c r="F35" s="55"/>
      <c r="G35" s="56"/>
      <c r="H35" s="56"/>
      <c r="I35" s="54"/>
      <c r="J35" s="57"/>
      <c r="K35" t="s" s="58">
        <v>38</v>
      </c>
      <c r="L35" s="59" cm="1">
        <f t="array" ref="L35">SUM(L1:L34)</f>
        <v>175680900.9196</v>
      </c>
      <c r="M35" s="59" cm="1">
        <f t="array" ref="M35">SUM(M1:M34)</f>
        <v>175563844.24</v>
      </c>
      <c r="N35" s="59" cm="1">
        <f t="array" ref="N35">SUM(N1:N34)</f>
        <v>175563844.24</v>
      </c>
    </row>
    <row r="36" ht="21" customHeight="1">
      <c r="A36" s="60"/>
      <c r="B36" t="s" s="61">
        <v>39</v>
      </c>
      <c r="C36" s="62"/>
      <c r="D36" s="63" cm="1">
        <f t="array" ref="D36">ROUND(IF(L36&lt;=100000000,L36*0.24%,IF(AND(L36&gt;100000000,L36&lt;=500000000),100000000*0.24%+(L36-100000000)*0.19%,IF(AND(L36&gt;500000000,L36&lt;=1000000000),100000000*0.24%+400000000*0.19%+(L36-500000000)*0.15%,IF(AND(L36&gt;1000000000,L36&lt;=5000000000),100000000*0.24%+400000000*0.19%+500000000*0.15%+(L36-1000000000)*0.12%,IF(L36&gt;5000000000,100000000*0.24%+400000000*0.19%+500000000*0.15%+4000000000*0.12%+(L36-5000000000)*0.1%,"Bingung komputer"))))),2)</f>
        <v>383065.92</v>
      </c>
      <c r="E36" s="64" cm="1">
        <f t="array" ref="E36">ROUND(IF(M36&lt;=100000000,M36*0.24%,IF(AND(M36&gt;100000000,M36&lt;=500000000),100000000*0.24%+(M36-100000000)*0.19%,IF(AND(M36&gt;500000000,M36&lt;=1000000000),100000000*0.24%+400000000*0.19%+(M36-500000000)*0.15%,IF(AND(M36&gt;1000000000,M36&lt;=5000000000),100000000*0.24%+400000000*0.19%+500000000*0.15%+(M36-1000000000)*0.12%,IF(M36&gt;5000000000,100000000*0.24%+400000000*0.19%+500000000*0.15%+4000000000*0.12%+(M36-5000000000)*0.1%,"Bingung komputer"))))),2)</f>
        <v>382843.9</v>
      </c>
      <c r="F36" s="64" cm="1">
        <f t="array" ref="F36">ROUND(IF(N36&lt;=100000000,N36*0.24%,IF(AND(N36&gt;100000000,N36&lt;=500000000),100000000*0.24%+(N36-100000000)*0.19%,IF(AND(N36&gt;500000000,N36&lt;=1000000000),100000000*0.24%+400000000*0.19%+(N36-500000000)*0.15%,IF(AND(N36&gt;1000000000,N36&lt;=5000000000),100000000*0.24%+400000000*0.19%+500000000*0.15%+(N36-1000000000)*0.12%,IF(N36&gt;5000000000,100000000*0.24%+400000000*0.19%+500000000*0.15%+4000000000*0.12%+(N36-5000000000)*0.1%,"Bingung komputer"))))),2)</f>
        <v>382843.9</v>
      </c>
      <c r="G36" s="65"/>
      <c r="H36" s="66"/>
      <c r="I36" s="62"/>
      <c r="J36" s="67"/>
      <c r="K36" t="str" s="67" cm="1">
        <f t="array" ref="K36">"Jumlah Terkena Pajak "&amp;MAX(K3:K34)&amp;"% (B)"</f>
        <v>Jumlah Terkena Pajak 11,00% (B)</v>
      </c>
      <c r="L36" s="68" cm="1">
        <f t="array" ref="L36">SUMIF($K3:$K34,"&gt;0",L3:L34)</f>
        <v>175297851.0796</v>
      </c>
      <c r="M36" s="69" cm="1">
        <f t="array" ref="M36">SUMIF($K3:$K34,"&gt;0",M3:M34)</f>
        <v>175181000.38</v>
      </c>
      <c r="N36" s="69" cm="1">
        <f t="array" ref="N36">SUMIF($K3:$K34,"&gt;0",N3:N34)</f>
        <v>175181000.38</v>
      </c>
    </row>
    <row r="37" ht="21" customHeight="1">
      <c r="A37" s="70"/>
      <c r="B37" s="71"/>
      <c r="C37" s="71"/>
      <c r="D37" s="72"/>
      <c r="E37" s="72"/>
      <c r="F37" s="71"/>
      <c r="G37" s="72"/>
      <c r="H37" s="72"/>
      <c r="I37" s="71"/>
      <c r="J37" s="73"/>
      <c r="K37" t="str" s="73" cm="1">
        <f t="array" ref="K37">"PPN (C) = "&amp;MAX(K3:K34)&amp;"% x B"</f>
        <v>PPN (C) = 11,00% x B</v>
      </c>
      <c r="L37" s="74" cm="1">
        <f t="array" ref="L37">L36*MAX($K3:$K34)%</f>
        <v>19282763.618756</v>
      </c>
      <c r="M37" s="69" cm="1">
        <f t="array" ref="M37">M36*MAX($K3:$K34)%</f>
        <v>19269910.0418</v>
      </c>
      <c r="N37" s="69" cm="1">
        <f t="array" ref="N37">N36*MAX($K3:$K34)%</f>
        <v>19269910.0418</v>
      </c>
    </row>
    <row r="38" ht="21" customHeight="1">
      <c r="A38" s="70"/>
      <c r="B38" s="71"/>
      <c r="C38" s="71"/>
      <c r="D38" s="72"/>
      <c r="E38" s="72"/>
      <c r="F38" s="72"/>
      <c r="G38" s="72"/>
      <c r="H38" s="72"/>
      <c r="I38" s="71"/>
      <c r="J38" s="73"/>
      <c r="K38" t="s" s="75">
        <v>42</v>
      </c>
      <c r="L38" s="76" cm="1">
        <f t="array" ref="L38">L35+L37</f>
        <v>194963664.538356</v>
      </c>
      <c r="M38" s="69" cm="1">
        <f t="array" ref="M38">M35+M37</f>
        <v>194833754.2818</v>
      </c>
      <c r="N38" s="69" cm="1">
        <f t="array" ref="N38">N35+N37</f>
        <v>194833754.2818</v>
      </c>
    </row>
    <row r="39" ht="20.5" customHeight="1">
      <c r="A39" s="70"/>
      <c r="B39" s="71"/>
      <c r="C39" s="71"/>
      <c r="D39" s="72"/>
      <c r="E39" s="72"/>
      <c r="F39" s="72"/>
      <c r="G39" s="72"/>
      <c r="H39" s="72"/>
      <c r="I39" s="71"/>
      <c r="J39" s="73"/>
      <c r="K39" t="s" s="75">
        <v>43</v>
      </c>
      <c r="L39" s="68" cm="1">
        <f t="array" ref="L39">ROUNDDOWN(L38,2)</f>
        <v>194963664.53</v>
      </c>
      <c r="M39" s="68" cm="1">
        <f t="array" ref="M39">ROUNDDOWN(M38,2)</f>
        <v>194833754.28</v>
      </c>
      <c r="N39" s="68" cm="1">
        <f t="array" ref="N39">ROUNDDOWN(N38,-3)</f>
        <v>194833000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23.xml><?xml version="1.0" encoding="utf-8"?>
<worksheet xmlns:r="http://schemas.openxmlformats.org/officeDocument/2006/relationships" xmlns="http://schemas.openxmlformats.org/spreadsheetml/2006/main">
  <sheetPr>
    <pageSetUpPr fitToPage="1"/>
  </sheetPr>
  <dimension ref="A1:N40"/>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127" customWidth="1"/>
    <col min="2" max="2" width="43.0312" style="127" customWidth="1"/>
    <col min="3" max="3" width="2.75" style="127" customWidth="1"/>
    <col min="4" max="6" width="10.3672" style="127" customWidth="1"/>
    <col min="7" max="7" width="11.6875" style="127" customWidth="1"/>
    <col min="8" max="11" width="13.5156" style="127" customWidth="1"/>
    <col min="12" max="14" width="14.2344" style="127" customWidth="1"/>
    <col min="15" max="16384" width="16.3516" style="127"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16</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t="s" s="18">
        <v>17</v>
      </c>
      <c r="B4" t="s" s="19">
        <v>18</v>
      </c>
      <c r="C4" s="20"/>
      <c r="D4" s="21">
        <v>1</v>
      </c>
      <c r="E4" s="21" cm="1">
        <f t="array" ref="E4">D4</f>
        <v>1</v>
      </c>
      <c r="F4" s="21" cm="1">
        <f t="array" ref="F4">D4</f>
        <v>1</v>
      </c>
      <c r="G4" t="s" s="22">
        <v>19</v>
      </c>
      <c r="H4" s="21">
        <v>4071000</v>
      </c>
      <c r="I4" s="21">
        <v>4048000</v>
      </c>
      <c r="J4" s="21">
        <v>4048000</v>
      </c>
      <c r="K4" s="21">
        <v>11</v>
      </c>
      <c r="L4" s="21" cm="1">
        <f t="array" ref="L4">IF(D4&gt;0,IF($D4&lt;=0,0,D4*H4),"")</f>
        <v>4071000</v>
      </c>
      <c r="M4" s="21" cm="1">
        <f t="array" ref="M4">IF(E4&gt;0,IF($D4&lt;=0,0,ROUND(E4*I4,2)),"")</f>
        <v>4048000</v>
      </c>
      <c r="N4" s="23" cm="1">
        <f t="array" ref="N4">IF(F4&gt;0,IF($D4&lt;=0,0,ROUND(F4*J4,2)),"")</f>
        <v>4048000</v>
      </c>
    </row>
    <row r="5" ht="20.5" customHeight="1">
      <c r="A5" t="s" s="18">
        <v>20</v>
      </c>
      <c r="B5" t="s" s="19">
        <v>21</v>
      </c>
      <c r="C5" s="24"/>
      <c r="D5" s="25">
        <v>1</v>
      </c>
      <c r="E5" s="26" cm="1">
        <f t="array" ref="E5">D5</f>
        <v>1</v>
      </c>
      <c r="F5" s="26" cm="1">
        <f t="array" ref="F5">D5</f>
        <v>1</v>
      </c>
      <c r="G5" t="s" s="27">
        <v>19</v>
      </c>
      <c r="H5" s="26">
        <v>330000</v>
      </c>
      <c r="I5" s="26">
        <v>310000</v>
      </c>
      <c r="J5" s="26">
        <v>310000</v>
      </c>
      <c r="K5" s="26">
        <v>11</v>
      </c>
      <c r="L5" s="26" cm="1">
        <f t="array" ref="L5">IF(D5&gt;0,IF($D5&lt;=0,0,D5*H5),"")</f>
        <v>330000</v>
      </c>
      <c r="M5" s="26" cm="1">
        <f t="array" ref="M5">IF(E5&gt;0,IF($D5&lt;=0,0,ROUND(E5*I5,2)),"")</f>
        <v>310000</v>
      </c>
      <c r="N5" s="28" cm="1">
        <f t="array" ref="N5">IF(F5&gt;0,IF($D5&lt;=0,0,ROUND(F5*J5,2)),"")</f>
        <v>310000</v>
      </c>
    </row>
    <row r="6" ht="20.5" customHeight="1">
      <c r="A6" t="s" s="18">
        <v>22</v>
      </c>
      <c r="B6" t="s" s="19">
        <v>23</v>
      </c>
      <c r="C6" s="20"/>
      <c r="D6" s="21">
        <v>1</v>
      </c>
      <c r="E6" s="21" cm="1">
        <f t="array" ref="E6">D6</f>
        <v>1</v>
      </c>
      <c r="F6" s="21" cm="1">
        <f t="array" ref="F6">D6</f>
        <v>1</v>
      </c>
      <c r="G6" t="s" s="22">
        <v>19</v>
      </c>
      <c r="H6" s="21">
        <v>3325000</v>
      </c>
      <c r="I6" s="21">
        <v>3305000</v>
      </c>
      <c r="J6" s="21">
        <v>3305000</v>
      </c>
      <c r="K6" s="21">
        <v>11</v>
      </c>
      <c r="L6" s="21" cm="1">
        <f t="array" ref="L6">IF(D6&gt;0,IF($D6&lt;=0,0,D6*H6),"")</f>
        <v>3325000</v>
      </c>
      <c r="M6" s="21" cm="1">
        <f t="array" ref="M6">IF(E6&gt;0,IF($D6&lt;=0,0,ROUND(E6*I6,2)),"")</f>
        <v>3305000</v>
      </c>
      <c r="N6" s="23" cm="1">
        <f t="array" ref="N6">IF(F6&gt;0,IF($D6&lt;=0,0,ROUND(F6*J6,2)),"")</f>
        <v>3305000</v>
      </c>
    </row>
    <row r="7" ht="20.5" customHeight="1">
      <c r="A7" s="29"/>
      <c r="B7" t="s" s="19">
        <v>28</v>
      </c>
      <c r="C7" s="24"/>
      <c r="D7" s="30"/>
      <c r="E7" s="26"/>
      <c r="F7" s="26"/>
      <c r="G7" s="30"/>
      <c r="H7" s="26"/>
      <c r="I7" s="30"/>
      <c r="J7" s="30"/>
      <c r="K7" s="26"/>
      <c r="L7" t="str" s="30" cm="1">
        <f t="array" ref="L7">IF(D7&gt;0,IF($D7&lt;=0,0,D7*H7),"")</f>
      </c>
      <c r="M7" t="str" s="30" cm="1">
        <f t="array" ref="M7">IF(E7&gt;0,IF($D7&lt;=0,0,ROUND(E7*I7,2)),"")</f>
      </c>
      <c r="N7" t="str" s="31" cm="1">
        <f t="array" ref="N7">IF(F7&gt;0,IF($D7&lt;=0,0,ROUND(F7*J7,2)),"")</f>
      </c>
    </row>
    <row r="8" ht="20.5" customHeight="1">
      <c r="A8" t="s" s="18">
        <v>90</v>
      </c>
      <c r="B8" t="s" s="19">
        <v>91</v>
      </c>
      <c r="C8" s="20"/>
      <c r="D8" s="78">
        <v>114</v>
      </c>
      <c r="E8" s="21" cm="1">
        <f t="array" ref="E8">D8</f>
        <v>114</v>
      </c>
      <c r="F8" s="21" cm="1">
        <f t="array" ref="F8">D8</f>
        <v>114</v>
      </c>
      <c r="G8" t="s" s="22">
        <v>27</v>
      </c>
      <c r="H8" s="21">
        <v>29751.52</v>
      </c>
      <c r="I8" s="21">
        <v>29746.42</v>
      </c>
      <c r="J8" s="21">
        <v>29746.42</v>
      </c>
      <c r="K8" s="21">
        <v>11</v>
      </c>
      <c r="L8" s="21" cm="1">
        <f t="array" ref="L8">IF(D8&gt;0,IF($D8&lt;=0,0,D8*H8),"")</f>
        <v>3391673.28</v>
      </c>
      <c r="M8" s="21" cm="1">
        <f t="array" ref="M8">IF(E8&gt;0,IF($D8&lt;=0,0,ROUND(E8*I8,2)),"")</f>
        <v>3391091.88</v>
      </c>
      <c r="N8" s="23" cm="1">
        <f t="array" ref="N8">IF(F8&gt;0,IF($D8&lt;=0,0,ROUND(F8*J8,2)),"")</f>
        <v>3391091.88</v>
      </c>
    </row>
    <row r="9" ht="32.5" customHeight="1">
      <c r="A9" t="s" s="18">
        <v>31</v>
      </c>
      <c r="B9" t="s" s="19">
        <v>156</v>
      </c>
      <c r="C9" s="24"/>
      <c r="D9" s="25">
        <v>49.55</v>
      </c>
      <c r="E9" s="26" cm="1">
        <f t="array" ref="E9">D9</f>
        <v>49.55</v>
      </c>
      <c r="F9" s="26" cm="1">
        <f t="array" ref="F9">D9</f>
        <v>49.55</v>
      </c>
      <c r="G9" t="s" s="27">
        <v>27</v>
      </c>
      <c r="H9" s="26">
        <v>165854.35</v>
      </c>
      <c r="I9" s="26">
        <v>165853.97</v>
      </c>
      <c r="J9" s="26">
        <v>165853.97</v>
      </c>
      <c r="K9" s="26">
        <v>11</v>
      </c>
      <c r="L9" s="26" cm="1">
        <f t="array" ref="L9">IF(D9&gt;0,IF($D9&lt;=0,0,D9*H9),"")</f>
        <v>8218083.0425</v>
      </c>
      <c r="M9" s="26" cm="1">
        <f t="array" ref="M9">IF(E9&gt;0,IF($D9&lt;=0,0,ROUND(E9*I9,2)),"")</f>
        <v>8218064.21</v>
      </c>
      <c r="N9" s="28" cm="1">
        <f t="array" ref="N9">IF(F9&gt;0,IF($D9&lt;=0,0,ROUND(F9*J9,2)),"")</f>
        <v>8218064.21</v>
      </c>
    </row>
    <row r="10" ht="20.5" customHeight="1">
      <c r="A10" s="29"/>
      <c r="B10" t="s" s="19">
        <v>92</v>
      </c>
      <c r="C10" s="20"/>
      <c r="D10" s="79"/>
      <c r="E10" s="21"/>
      <c r="F10" s="21"/>
      <c r="G10" s="79"/>
      <c r="H10" s="21"/>
      <c r="I10" s="79"/>
      <c r="J10" s="79"/>
      <c r="K10" s="21"/>
      <c r="L10" t="str" s="79" cm="1">
        <f t="array" ref="L10">IF(D10&gt;0,IF($D10&lt;=0,0,D10*H10),"")</f>
      </c>
      <c r="M10" t="str" s="79" cm="1">
        <f t="array" ref="M10">IF(E10&gt;0,IF($D10&lt;=0,0,ROUND(E10*I10,2)),"")</f>
      </c>
      <c r="N10" t="str" s="91" cm="1">
        <f t="array" ref="N10">IF(F10&gt;0,IF($D10&lt;=0,0,ROUND(F10*J10,2)),"")</f>
      </c>
    </row>
    <row r="11" ht="20.5" customHeight="1">
      <c r="A11" t="s" s="18">
        <v>157</v>
      </c>
      <c r="B11" t="s" s="19">
        <v>158</v>
      </c>
      <c r="C11" s="24"/>
      <c r="D11" s="25">
        <v>25.494</v>
      </c>
      <c r="E11" s="26" cm="1">
        <f t="array" ref="E11">D11</f>
        <v>25.494</v>
      </c>
      <c r="F11" s="26" cm="1">
        <f t="array" ref="F11">D11</f>
        <v>25.494</v>
      </c>
      <c r="G11" t="s" s="27">
        <v>27</v>
      </c>
      <c r="H11" s="26">
        <v>1855933.71</v>
      </c>
      <c r="I11" s="26">
        <v>1855775.36</v>
      </c>
      <c r="J11" s="26">
        <v>1855775.36</v>
      </c>
      <c r="K11" s="26">
        <v>11</v>
      </c>
      <c r="L11" s="26" cm="1">
        <f t="array" ref="L11">IF(D11&gt;0,IF($D11&lt;=0,0,D11*H11),"")</f>
        <v>47315174.00274</v>
      </c>
      <c r="M11" s="26" cm="1">
        <f t="array" ref="M11">IF(E11&gt;0,IF($D11&lt;=0,0,ROUND(E11*I11,2)),"")</f>
        <v>47311137.03</v>
      </c>
      <c r="N11" s="28" cm="1">
        <f t="array" ref="N11">IF(F11&gt;0,IF($D11&lt;=0,0,ROUND(F11*J11,2)),"")</f>
        <v>47311137.03</v>
      </c>
    </row>
    <row r="12" ht="20.5" customHeight="1">
      <c r="A12" t="s" s="18">
        <v>97</v>
      </c>
      <c r="B12" t="s" s="19">
        <v>98</v>
      </c>
      <c r="C12" s="20"/>
      <c r="D12" s="78">
        <v>2.15</v>
      </c>
      <c r="E12" s="21" cm="1">
        <f t="array" ref="E12">D12</f>
        <v>2.15</v>
      </c>
      <c r="F12" s="21" cm="1">
        <f t="array" ref="F12">D12</f>
        <v>2.15</v>
      </c>
      <c r="G12" t="s" s="22">
        <v>27</v>
      </c>
      <c r="H12" s="21">
        <v>1350091.25</v>
      </c>
      <c r="I12" s="21">
        <v>1350091.25</v>
      </c>
      <c r="J12" s="21">
        <v>1350091.25</v>
      </c>
      <c r="K12" s="21">
        <v>11</v>
      </c>
      <c r="L12" s="21" cm="1">
        <f t="array" ref="L12">IF(D12&gt;0,IF($D12&lt;=0,0,D12*H12),"")</f>
        <v>2902696.1875</v>
      </c>
      <c r="M12" s="21" cm="1">
        <f t="array" ref="M12">IF(E12&gt;0,IF($D12&lt;=0,0,ROUND(E12*I12,2)),"")</f>
        <v>2902696.19</v>
      </c>
      <c r="N12" s="23" cm="1">
        <f t="array" ref="N12">IF(F12&gt;0,IF($D12&lt;=0,0,ROUND(F12*J12,2)),"")</f>
        <v>2902696.19</v>
      </c>
    </row>
    <row r="13" ht="20.5" customHeight="1">
      <c r="A13" t="s" s="18">
        <v>99</v>
      </c>
      <c r="B13" t="s" s="19">
        <v>159</v>
      </c>
      <c r="C13" s="24"/>
      <c r="D13" s="26">
        <v>2450.197</v>
      </c>
      <c r="E13" s="26" cm="1">
        <f t="array" ref="E13">D13</f>
        <v>2450.197</v>
      </c>
      <c r="F13" s="26" cm="1">
        <f t="array" ref="F13">D13</f>
        <v>2450.197</v>
      </c>
      <c r="G13" t="s" s="27">
        <v>154</v>
      </c>
      <c r="H13" s="26">
        <v>24460.5</v>
      </c>
      <c r="I13" s="122">
        <v>24450.15</v>
      </c>
      <c r="J13" s="122">
        <v>24450.15</v>
      </c>
      <c r="K13" s="26">
        <v>11</v>
      </c>
      <c r="L13" s="26" cm="1">
        <f t="array" ref="L13">IF(D13&gt;0,IF($D13&lt;=0,0,D13*H13),"")</f>
        <v>59933043.7185</v>
      </c>
      <c r="M13" s="26" cm="1">
        <f t="array" ref="M13">IF(E13&gt;0,IF($D13&lt;=0,0,ROUND(E13*I13,2)),"")</f>
        <v>59907684.18</v>
      </c>
      <c r="N13" s="28" cm="1">
        <f t="array" ref="N13">IF(F13&gt;0,IF($D13&lt;=0,0,ROUND(F13*J13,2)),"")</f>
        <v>59907684.18</v>
      </c>
    </row>
    <row r="14" ht="32.5" customHeight="1">
      <c r="A14" s="29"/>
      <c r="B14" t="s" s="19">
        <v>104</v>
      </c>
      <c r="C14" s="20"/>
      <c r="D14" s="79"/>
      <c r="E14" s="21"/>
      <c r="F14" s="21"/>
      <c r="G14" s="79"/>
      <c r="H14" s="21"/>
      <c r="I14" s="79"/>
      <c r="J14" s="79"/>
      <c r="K14" s="21"/>
      <c r="L14" t="str" s="79" cm="1">
        <f t="array" ref="L14">IF(D14&gt;0,IF($D14&lt;=0,0,D14*H14),"")</f>
      </c>
      <c r="M14" t="str" s="79" cm="1">
        <f t="array" ref="M14">IF(E14&gt;0,IF($D14&lt;=0,0,ROUND(E14*I14,2)),"")</f>
      </c>
      <c r="N14" t="str" s="91" cm="1">
        <f t="array" ref="N14">IF(F14&gt;0,IF($D14&lt;=0,0,ROUND(F14*J14,2)),"")</f>
      </c>
    </row>
    <row r="15" ht="20.5" customHeight="1">
      <c r="A15" t="s" s="18">
        <v>105</v>
      </c>
      <c r="B15" t="s" s="19">
        <v>106</v>
      </c>
      <c r="C15" s="24"/>
      <c r="D15" s="25">
        <v>70</v>
      </c>
      <c r="E15" s="26" cm="1">
        <f t="array" ref="E15">D15</f>
        <v>70</v>
      </c>
      <c r="F15" s="26" cm="1">
        <f t="array" ref="F15">D15</f>
        <v>70</v>
      </c>
      <c r="G15" t="s" s="27">
        <v>107</v>
      </c>
      <c r="H15" s="26">
        <v>72459.990000000005</v>
      </c>
      <c r="I15" s="26">
        <v>72459.990000000005</v>
      </c>
      <c r="J15" s="26">
        <v>72459.990000000005</v>
      </c>
      <c r="K15" s="26">
        <v>11</v>
      </c>
      <c r="L15" s="26" cm="1">
        <f t="array" ref="L15">IF(D15&gt;0,IF($D15&lt;=0,0,D15*H15),"")</f>
        <v>5072199.3</v>
      </c>
      <c r="M15" s="26" cm="1">
        <f t="array" ref="M15">IF(E15&gt;0,IF($D15&lt;=0,0,ROUND(E15*I15,2)),"")</f>
        <v>5072199.3</v>
      </c>
      <c r="N15" s="28" cm="1">
        <f t="array" ref="N15">IF(F15&gt;0,IF($D15&lt;=0,0,ROUND(F15*J15,2)),"")</f>
        <v>5072199.3</v>
      </c>
    </row>
    <row r="16" ht="20.5" customHeight="1">
      <c r="A16" s="29"/>
      <c r="B16" t="s" s="19">
        <v>160</v>
      </c>
      <c r="C16" s="20"/>
      <c r="D16" s="79"/>
      <c r="E16" s="21"/>
      <c r="F16" s="21"/>
      <c r="G16" s="79"/>
      <c r="H16" s="21"/>
      <c r="I16" s="79"/>
      <c r="J16" s="79"/>
      <c r="K16" s="21"/>
      <c r="L16" t="str" s="79" cm="1">
        <f t="array" ref="L16">IF(D16&gt;0,IF($D16&lt;=0,0,D16*H16),"")</f>
      </c>
      <c r="M16" t="str" s="79" cm="1">
        <f t="array" ref="M16">IF(E16&gt;0,IF($D16&lt;=0,0,ROUND(E16*I16,2)),"")</f>
      </c>
      <c r="N16" t="str" s="91" cm="1">
        <f t="array" ref="N16">IF(F16&gt;0,IF($D16&lt;=0,0,ROUND(F16*J16,2)),"")</f>
      </c>
    </row>
    <row r="17" ht="20.5" customHeight="1">
      <c r="A17" t="s" s="18">
        <v>161</v>
      </c>
      <c r="B17" t="s" s="19">
        <v>162</v>
      </c>
      <c r="C17" s="24"/>
      <c r="D17" s="25">
        <v>3.12</v>
      </c>
      <c r="E17" s="26" cm="1">
        <f t="array" ref="E17">D17</f>
        <v>3.12</v>
      </c>
      <c r="F17" s="26" cm="1">
        <f t="array" ref="F17">D17</f>
        <v>3.12</v>
      </c>
      <c r="G17" t="s" s="27">
        <v>35</v>
      </c>
      <c r="H17" s="26">
        <v>58616.43</v>
      </c>
      <c r="I17" s="26">
        <v>58612.47</v>
      </c>
      <c r="J17" s="26">
        <v>58612.47</v>
      </c>
      <c r="K17" s="26">
        <v>11</v>
      </c>
      <c r="L17" s="26" cm="1">
        <f t="array" ref="L17">IF(D17&gt;0,IF($D17&lt;=0,0,D17*H17),"")</f>
        <v>182883.2616</v>
      </c>
      <c r="M17" s="26" cm="1">
        <f t="array" ref="M17">IF(E17&gt;0,IF($D17&lt;=0,0,ROUND(E17*I17,2)),"")</f>
        <v>182870.91</v>
      </c>
      <c r="N17" s="28" cm="1">
        <f t="array" ref="N17">IF(F17&gt;0,IF($D17&lt;=0,0,ROUND(F17*J17,2)),"")</f>
        <v>182870.91</v>
      </c>
    </row>
    <row r="18" ht="20.5" customHeight="1">
      <c r="A18" s="29"/>
      <c r="B18" t="s" s="19">
        <v>36</v>
      </c>
      <c r="C18" s="20"/>
      <c r="D18" s="21"/>
      <c r="E18" s="21"/>
      <c r="F18" s="21"/>
      <c r="G18" s="79"/>
      <c r="H18" s="79"/>
      <c r="I18" s="79"/>
      <c r="J18" s="79"/>
      <c r="K18" s="21"/>
      <c r="L18" t="str" s="79" cm="1">
        <f t="array" ref="L18">IF(D18&gt;0,IF($D18&lt;=0,0,D18*H18),"")</f>
      </c>
      <c r="M18" s="21"/>
      <c r="N18" s="23"/>
    </row>
    <row r="19" ht="20.6" customHeight="1">
      <c r="A19" s="33">
        <v>1</v>
      </c>
      <c r="B19" t="s" s="34">
        <v>37</v>
      </c>
      <c r="C19" s="80"/>
      <c r="D19" s="81">
        <v>1</v>
      </c>
      <c r="E19" s="81" cm="1">
        <f t="array" ref="E19">D19</f>
        <v>1</v>
      </c>
      <c r="F19" s="81" cm="1">
        <f t="array" ref="F19">D19</f>
        <v>1</v>
      </c>
      <c r="G19" t="s" s="82">
        <v>19</v>
      </c>
      <c r="H19" s="81">
        <v>306007.57</v>
      </c>
      <c r="I19" s="81">
        <v>305830.85</v>
      </c>
      <c r="J19" s="81">
        <v>305830.85</v>
      </c>
      <c r="K19" s="81">
        <v>0</v>
      </c>
      <c r="L19" s="81" cm="1">
        <f t="array" ref="L19">IF(D19&gt;0,IF($D19&lt;=0,0,D19*H19),"")</f>
        <v>306007.57</v>
      </c>
      <c r="M19" s="81" cm="1">
        <f t="array" ref="M19">IF(E19&gt;0,IF($D19&lt;=0,0,ROUND(E19*I19,2)),"")</f>
        <v>305830.85</v>
      </c>
      <c r="N19" s="83" cm="1">
        <f t="array" ref="N19">IF(F19&gt;0,IF($D19&lt;=0,0,ROUND(F19*J19,2)),"")</f>
        <v>305830.85</v>
      </c>
    </row>
    <row r="20" ht="8.75" customHeight="1" hidden="1">
      <c r="A20" s="39"/>
      <c r="B20" s="40"/>
      <c r="C20" s="45"/>
      <c r="D20" s="46"/>
      <c r="E20" s="46"/>
      <c r="F20" s="46"/>
      <c r="G20" s="47"/>
      <c r="H20" s="46"/>
      <c r="I20" s="46"/>
      <c r="J20" s="46"/>
      <c r="K20" s="46"/>
      <c r="L20" s="46"/>
      <c r="M20" s="46"/>
      <c r="N20" s="48"/>
    </row>
    <row r="21" ht="8.75" customHeight="1" hidden="1">
      <c r="A21" s="39"/>
      <c r="B21" s="40"/>
      <c r="C21" s="41"/>
      <c r="D21" s="42"/>
      <c r="E21" s="42"/>
      <c r="F21" s="42"/>
      <c r="G21" s="43"/>
      <c r="H21" s="42"/>
      <c r="I21" s="42"/>
      <c r="J21" s="42"/>
      <c r="K21" s="42"/>
      <c r="L21" s="42"/>
      <c r="M21" s="42"/>
      <c r="N21" s="44"/>
    </row>
    <row r="22" ht="8.75" customHeight="1" hidden="1">
      <c r="A22" s="39"/>
      <c r="B22" s="40"/>
      <c r="C22" s="45"/>
      <c r="D22" s="46"/>
      <c r="E22" s="46"/>
      <c r="F22" s="46"/>
      <c r="G22" s="47"/>
      <c r="H22" s="46"/>
      <c r="I22" s="46"/>
      <c r="J22" s="46"/>
      <c r="K22" s="46"/>
      <c r="L22" s="46"/>
      <c r="M22" s="46"/>
      <c r="N22" s="48"/>
    </row>
    <row r="23" ht="8.75" customHeight="1" hidden="1">
      <c r="A23" s="39"/>
      <c r="B23" s="40"/>
      <c r="C23" s="41"/>
      <c r="D23" s="42"/>
      <c r="E23" s="42"/>
      <c r="F23" s="42"/>
      <c r="G23" s="43"/>
      <c r="H23" s="42"/>
      <c r="I23" s="42"/>
      <c r="J23" s="42"/>
      <c r="K23" s="42"/>
      <c r="L23" s="42"/>
      <c r="M23" s="42"/>
      <c r="N23" s="44"/>
    </row>
    <row r="24" ht="8.75" customHeight="1" hidden="1">
      <c r="A24" s="39"/>
      <c r="B24" s="40"/>
      <c r="C24" s="45"/>
      <c r="D24" s="46"/>
      <c r="E24" s="46"/>
      <c r="F24" s="46"/>
      <c r="G24" s="47"/>
      <c r="H24" s="46"/>
      <c r="I24" s="46"/>
      <c r="J24" s="46"/>
      <c r="K24" s="46"/>
      <c r="L24" s="46"/>
      <c r="M24" s="46"/>
      <c r="N24" s="48"/>
    </row>
    <row r="25" ht="8.75" customHeight="1" hidden="1">
      <c r="A25" s="39"/>
      <c r="B25" s="40"/>
      <c r="C25" s="41"/>
      <c r="D25" s="42"/>
      <c r="E25" s="42"/>
      <c r="F25" s="42"/>
      <c r="G25" s="43"/>
      <c r="H25" s="42"/>
      <c r="I25" s="42"/>
      <c r="J25" s="42"/>
      <c r="K25" s="42"/>
      <c r="L25" s="42"/>
      <c r="M25" s="42"/>
      <c r="N25" s="44"/>
    </row>
    <row r="26" ht="8.75" customHeight="1" hidden="1">
      <c r="A26" s="39"/>
      <c r="B26" s="40"/>
      <c r="C26" s="45"/>
      <c r="D26" s="46"/>
      <c r="E26" s="46"/>
      <c r="F26" s="46"/>
      <c r="G26" s="47"/>
      <c r="H26" s="47"/>
      <c r="I26" s="47"/>
      <c r="J26" s="47"/>
      <c r="K26" s="46"/>
      <c r="L26" s="47"/>
      <c r="M26" s="47"/>
      <c r="N26" s="52"/>
    </row>
    <row r="27" ht="8.75" customHeight="1" hidden="1">
      <c r="A27" s="39"/>
      <c r="B27" s="40"/>
      <c r="C27" s="41"/>
      <c r="D27" s="42"/>
      <c r="E27" s="42"/>
      <c r="F27" s="42"/>
      <c r="G27" s="43"/>
      <c r="H27" s="84"/>
      <c r="I27" s="84"/>
      <c r="J27" s="84"/>
      <c r="K27" s="42"/>
      <c r="L27" s="42"/>
      <c r="M27" s="42"/>
      <c r="N27" s="44"/>
    </row>
    <row r="28" ht="8.75" customHeight="1" hidden="1">
      <c r="A28" s="39"/>
      <c r="B28" s="40"/>
      <c r="C28" s="45"/>
      <c r="D28" s="46"/>
      <c r="E28" s="46"/>
      <c r="F28" s="46"/>
      <c r="G28" s="47"/>
      <c r="H28" s="47"/>
      <c r="I28" s="47"/>
      <c r="J28" s="47"/>
      <c r="K28" s="46"/>
      <c r="L28" s="47"/>
      <c r="M28" s="47"/>
      <c r="N28" s="52"/>
    </row>
    <row r="29" ht="8.75" customHeight="1" hidden="1">
      <c r="A29" s="39"/>
      <c r="B29" s="40"/>
      <c r="C29" s="41"/>
      <c r="D29" s="42"/>
      <c r="E29" s="42"/>
      <c r="F29" s="42"/>
      <c r="G29" s="43"/>
      <c r="H29" s="42"/>
      <c r="I29" s="42"/>
      <c r="J29" s="42"/>
      <c r="K29" s="42"/>
      <c r="L29" s="42"/>
      <c r="M29" s="42"/>
      <c r="N29" s="44"/>
    </row>
    <row r="30" ht="8.75" customHeight="1" hidden="1">
      <c r="A30" s="39"/>
      <c r="B30" s="40"/>
      <c r="C30" s="45"/>
      <c r="D30" s="46"/>
      <c r="E30" s="46"/>
      <c r="F30" s="46"/>
      <c r="G30" s="47"/>
      <c r="H30" s="46"/>
      <c r="I30" s="46"/>
      <c r="J30" s="46"/>
      <c r="K30" s="46"/>
      <c r="L30" s="46"/>
      <c r="M30" s="46"/>
      <c r="N30" s="48"/>
    </row>
    <row r="31" ht="8.75" customHeight="1" hidden="1">
      <c r="A31" s="51"/>
      <c r="B31" s="40"/>
      <c r="C31" s="41"/>
      <c r="D31" s="42"/>
      <c r="E31" s="42"/>
      <c r="F31" s="42"/>
      <c r="G31" s="43"/>
      <c r="H31" s="42"/>
      <c r="I31" s="42"/>
      <c r="J31" s="42"/>
      <c r="K31" s="42"/>
      <c r="L31" s="42"/>
      <c r="M31" s="42"/>
      <c r="N31" s="44"/>
    </row>
    <row r="32" ht="8.75" customHeight="1" hidden="1">
      <c r="A32" s="51"/>
      <c r="B32" s="40"/>
      <c r="C32" s="45"/>
      <c r="D32" s="46"/>
      <c r="E32" s="46"/>
      <c r="F32" s="46"/>
      <c r="G32" s="47"/>
      <c r="H32" s="46"/>
      <c r="I32" s="46"/>
      <c r="J32" s="46"/>
      <c r="K32" s="46"/>
      <c r="L32" s="46"/>
      <c r="M32" s="46"/>
      <c r="N32" s="48"/>
    </row>
    <row r="33" ht="8.75" customHeight="1" hidden="1">
      <c r="A33" s="39"/>
      <c r="B33" s="40"/>
      <c r="C33" s="41"/>
      <c r="D33" s="42"/>
      <c r="E33" s="42"/>
      <c r="F33" s="42"/>
      <c r="G33" s="43"/>
      <c r="H33" s="42"/>
      <c r="I33" s="42"/>
      <c r="J33" s="42"/>
      <c r="K33" s="42"/>
      <c r="L33" s="43"/>
      <c r="M33" s="43"/>
      <c r="N33" s="49"/>
    </row>
    <row r="34" ht="8.75" customHeight="1" hidden="1">
      <c r="A34" s="39"/>
      <c r="B34" s="40"/>
      <c r="C34" s="45"/>
      <c r="D34" s="46"/>
      <c r="E34" s="46"/>
      <c r="F34" s="46"/>
      <c r="G34" s="47"/>
      <c r="H34" s="46"/>
      <c r="I34" s="46"/>
      <c r="J34" s="46"/>
      <c r="K34" s="46"/>
      <c r="L34" s="46"/>
      <c r="M34" s="46"/>
      <c r="N34" s="48"/>
    </row>
    <row r="35" ht="8.75" customHeight="1" hidden="1">
      <c r="A35" s="39"/>
      <c r="B35" s="40"/>
      <c r="C35" s="41"/>
      <c r="D35" s="42"/>
      <c r="E35" s="42"/>
      <c r="F35" s="42"/>
      <c r="G35" s="43"/>
      <c r="H35" s="42"/>
      <c r="I35" s="42"/>
      <c r="J35" s="42"/>
      <c r="K35" s="42"/>
      <c r="L35" s="43"/>
      <c r="M35" s="43"/>
      <c r="N35" s="49"/>
    </row>
    <row r="36" ht="20.85" customHeight="1">
      <c r="A36" s="53"/>
      <c r="B36" s="54"/>
      <c r="C36" s="54"/>
      <c r="D36" s="55"/>
      <c r="E36" s="55"/>
      <c r="F36" s="55"/>
      <c r="G36" s="56"/>
      <c r="H36" s="56"/>
      <c r="I36" s="54"/>
      <c r="J36" s="57"/>
      <c r="K36" t="s" s="58">
        <v>38</v>
      </c>
      <c r="L36" s="59" cm="1">
        <f t="array" ref="L36">SUM(L1:L35)</f>
        <v>135047760.36284</v>
      </c>
      <c r="M36" s="59" cm="1">
        <f t="array" ref="M36">SUM(M1:M35)</f>
        <v>134954574.55</v>
      </c>
      <c r="N36" s="59" cm="1">
        <f t="array" ref="N36">SUM(N1:N35)</f>
        <v>134954574.55</v>
      </c>
    </row>
    <row r="37" ht="21" customHeight="1">
      <c r="A37" s="60"/>
      <c r="B37" t="s" s="61">
        <v>39</v>
      </c>
      <c r="C37" s="62"/>
      <c r="D37" s="63" cm="1">
        <f t="array" ref="D37">ROUND(IF(L37&lt;=100000000,L37*0.24%,IF(AND(L37&gt;100000000,L37&lt;=500000000),100000000*0.24%+(L37-100000000)*0.19%,IF(AND(L37&gt;500000000,L37&lt;=1000000000),100000000*0.24%+400000000*0.19%+(L37-500000000)*0.15%,IF(AND(L37&gt;1000000000,L37&lt;=5000000000),100000000*0.24%+400000000*0.19%+500000000*0.15%+(L37-1000000000)*0.12%,IF(L37&gt;5000000000,100000000*0.24%+400000000*0.19%+500000000*0.15%+4000000000*0.12%+(L37-5000000000)*0.1%,"Bingung komputer"))))),2)</f>
        <v>306009.33</v>
      </c>
      <c r="E37" s="64" cm="1">
        <f t="array" ref="E37">ROUND(IF(M37&lt;=100000000,M37*0.24%,IF(AND(M37&gt;100000000,M37&lt;=500000000),100000000*0.24%+(M37-100000000)*0.19%,IF(AND(M37&gt;500000000,M37&lt;=1000000000),100000000*0.24%+400000000*0.19%+(M37-500000000)*0.15%,IF(AND(M37&gt;1000000000,M37&lt;=5000000000),100000000*0.24%+400000000*0.19%+500000000*0.15%+(M37-1000000000)*0.12%,IF(M37&gt;5000000000,100000000*0.24%+400000000*0.19%+500000000*0.15%+4000000000*0.12%+(M37-5000000000)*0.1%,"Bingung komputer"))))),2)</f>
        <v>305832.61</v>
      </c>
      <c r="F37" s="64" cm="1">
        <f t="array" ref="F37">ROUND(IF(N37&lt;=100000000,N37*0.24%,IF(AND(N37&gt;100000000,N37&lt;=500000000),100000000*0.24%+(N37-100000000)*0.19%,IF(AND(N37&gt;500000000,N37&lt;=1000000000),100000000*0.24%+400000000*0.19%+(N37-500000000)*0.15%,IF(AND(N37&gt;1000000000,N37&lt;=5000000000),100000000*0.24%+400000000*0.19%+500000000*0.15%+(N37-1000000000)*0.12%,IF(N37&gt;5000000000,100000000*0.24%+400000000*0.19%+500000000*0.15%+4000000000*0.12%+(N37-5000000000)*0.1%,"Bingung komputer"))))),2)</f>
        <v>305832.61</v>
      </c>
      <c r="G37" s="65"/>
      <c r="H37" s="66"/>
      <c r="I37" s="62"/>
      <c r="J37" s="67"/>
      <c r="K37" t="str" s="67" cm="1">
        <f t="array" ref="K37">"Jumlah Terkena Pajak "&amp;MAX(K3:K35)&amp;"% (B)"</f>
        <v>Jumlah Terkena Pajak 11,00% (B)</v>
      </c>
      <c r="L37" s="68" cm="1">
        <f t="array" ref="L37">SUMIF($K3:$K35,"&gt;0",L3:L35)</f>
        <v>134741752.79284</v>
      </c>
      <c r="M37" s="69" cm="1">
        <f t="array" ref="M37">SUMIF($K3:$K35,"&gt;0",M3:M35)</f>
        <v>134648743.7</v>
      </c>
      <c r="N37" s="69" cm="1">
        <f t="array" ref="N37">SUMIF($K3:$K35,"&gt;0",N3:N35)</f>
        <v>134648743.7</v>
      </c>
    </row>
    <row r="38" ht="21" customHeight="1">
      <c r="A38" s="70"/>
      <c r="B38" s="71"/>
      <c r="C38" s="71"/>
      <c r="D38" s="72"/>
      <c r="E38" s="72"/>
      <c r="F38" s="71"/>
      <c r="G38" s="72"/>
      <c r="H38" s="72"/>
      <c r="I38" s="71"/>
      <c r="J38" s="73"/>
      <c r="K38" t="str" s="73" cm="1">
        <f t="array" ref="K38">"PPN (C) = "&amp;MAX(K3:K35)&amp;"% x B"</f>
        <v>PPN (C) = 11,00% x B</v>
      </c>
      <c r="L38" s="74" cm="1">
        <f t="array" ref="L38">L37*MAX($K3:$K35)%</f>
        <v>14821592.8072124</v>
      </c>
      <c r="M38" s="69" cm="1">
        <f t="array" ref="M38">M37*MAX($K3:$K35)%</f>
        <v>14811361.807</v>
      </c>
      <c r="N38" s="69" cm="1">
        <f t="array" ref="N38">N37*MAX($K3:$K35)%</f>
        <v>14811361.807</v>
      </c>
    </row>
    <row r="39" ht="21" customHeight="1">
      <c r="A39" s="70"/>
      <c r="B39" s="71"/>
      <c r="C39" s="71"/>
      <c r="D39" s="72"/>
      <c r="E39" s="72"/>
      <c r="F39" s="72"/>
      <c r="G39" s="72"/>
      <c r="H39" s="72"/>
      <c r="I39" s="71"/>
      <c r="J39" s="73"/>
      <c r="K39" t="s" s="75">
        <v>42</v>
      </c>
      <c r="L39" s="76" cm="1">
        <f t="array" ref="L39">L36+L38</f>
        <v>149869353.170052</v>
      </c>
      <c r="M39" s="69" cm="1">
        <f t="array" ref="M39">M36+M38</f>
        <v>149765936.357</v>
      </c>
      <c r="N39" s="69" cm="1">
        <f t="array" ref="N39">N36+N38</f>
        <v>149765936.357</v>
      </c>
    </row>
    <row r="40" ht="20.5" customHeight="1">
      <c r="A40" s="70"/>
      <c r="B40" s="71"/>
      <c r="C40" s="71"/>
      <c r="D40" s="72"/>
      <c r="E40" s="72"/>
      <c r="F40" s="72"/>
      <c r="G40" s="72"/>
      <c r="H40" s="72"/>
      <c r="I40" s="71"/>
      <c r="J40" s="73"/>
      <c r="K40" t="s" s="75">
        <v>43</v>
      </c>
      <c r="L40" s="68" cm="1">
        <f t="array" ref="L40">ROUNDDOWN(L39,2)</f>
        <v>149869353.17</v>
      </c>
      <c r="M40" s="68" cm="1">
        <f t="array" ref="M40">ROUNDDOWN(M39,2)</f>
        <v>149765936.35</v>
      </c>
      <c r="N40" s="68" cm="1">
        <f t="array" ref="N40">ROUNDDOWN(N39,-3)</f>
        <v>149765000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24.xml><?xml version="1.0" encoding="utf-8"?>
<worksheet xmlns:r="http://schemas.openxmlformats.org/officeDocument/2006/relationships" xmlns="http://schemas.openxmlformats.org/spreadsheetml/2006/main">
  <sheetPr>
    <pageSetUpPr fitToPage="1"/>
  </sheetPr>
  <dimension ref="A1:N40"/>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128" customWidth="1"/>
    <col min="2" max="2" width="43.0312" style="128" customWidth="1"/>
    <col min="3" max="3" width="2.75" style="128" customWidth="1"/>
    <col min="4" max="6" width="10.3672" style="128" customWidth="1"/>
    <col min="7" max="7" width="11.6875" style="128" customWidth="1"/>
    <col min="8" max="11" width="13.5156" style="128" customWidth="1"/>
    <col min="12" max="14" width="14.2344" style="128" customWidth="1"/>
    <col min="15" max="16384" width="16.3516" style="128"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16</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t="s" s="18">
        <v>17</v>
      </c>
      <c r="B4" t="s" s="19">
        <v>18</v>
      </c>
      <c r="C4" s="20"/>
      <c r="D4" s="21">
        <v>1</v>
      </c>
      <c r="E4" s="21" cm="1">
        <f t="array" ref="E4">D4</f>
        <v>1</v>
      </c>
      <c r="F4" s="21" cm="1">
        <f t="array" ref="F4">D4</f>
        <v>1</v>
      </c>
      <c r="G4" t="s" s="22">
        <v>19</v>
      </c>
      <c r="H4" s="21">
        <v>4071000</v>
      </c>
      <c r="I4" s="21">
        <v>4048000</v>
      </c>
      <c r="J4" s="21">
        <v>4048000</v>
      </c>
      <c r="K4" s="21">
        <v>11</v>
      </c>
      <c r="L4" s="21" cm="1">
        <f t="array" ref="L4">IF(D4&gt;0,IF($D4&lt;=0,0,D4*H4),"")</f>
        <v>4071000</v>
      </c>
      <c r="M4" s="21" cm="1">
        <f t="array" ref="M4">IF(E4&gt;0,IF($D4&lt;=0,0,ROUND(E4*I4,2)),"")</f>
        <v>4048000</v>
      </c>
      <c r="N4" s="23" cm="1">
        <f t="array" ref="N4">IF(F4&gt;0,IF($D4&lt;=0,0,ROUND(F4*J4,2)),"")</f>
        <v>4048000</v>
      </c>
    </row>
    <row r="5" ht="20.5" customHeight="1">
      <c r="A5" t="s" s="18">
        <v>20</v>
      </c>
      <c r="B5" t="s" s="19">
        <v>21</v>
      </c>
      <c r="C5" s="24"/>
      <c r="D5" s="25">
        <v>1</v>
      </c>
      <c r="E5" s="26" cm="1">
        <f t="array" ref="E5">D5</f>
        <v>1</v>
      </c>
      <c r="F5" s="26" cm="1">
        <f t="array" ref="F5">D5</f>
        <v>1</v>
      </c>
      <c r="G5" t="s" s="27">
        <v>19</v>
      </c>
      <c r="H5" s="26">
        <v>330000</v>
      </c>
      <c r="I5" s="26">
        <v>280000</v>
      </c>
      <c r="J5" s="26">
        <v>280000</v>
      </c>
      <c r="K5" s="26">
        <v>11</v>
      </c>
      <c r="L5" s="26" cm="1">
        <f t="array" ref="L5">IF(D5&gt;0,IF($D5&lt;=0,0,D5*H5),"")</f>
        <v>330000</v>
      </c>
      <c r="M5" s="26" cm="1">
        <f t="array" ref="M5">IF(E5&gt;0,IF($D5&lt;=0,0,ROUND(E5*I5,2)),"")</f>
        <v>280000</v>
      </c>
      <c r="N5" s="28" cm="1">
        <f t="array" ref="N5">IF(F5&gt;0,IF($D5&lt;=0,0,ROUND(F5*J5,2)),"")</f>
        <v>280000</v>
      </c>
    </row>
    <row r="6" ht="20.5" customHeight="1">
      <c r="A6" t="s" s="18">
        <v>22</v>
      </c>
      <c r="B6" t="s" s="19">
        <v>23</v>
      </c>
      <c r="C6" s="20"/>
      <c r="D6" s="21">
        <v>1</v>
      </c>
      <c r="E6" s="21" cm="1">
        <f t="array" ref="E6">D6</f>
        <v>1</v>
      </c>
      <c r="F6" s="21" cm="1">
        <f t="array" ref="F6">D6</f>
        <v>1</v>
      </c>
      <c r="G6" t="s" s="22">
        <v>19</v>
      </c>
      <c r="H6" s="21">
        <v>3325000</v>
      </c>
      <c r="I6" s="21">
        <v>3295000</v>
      </c>
      <c r="J6" s="21">
        <v>3295000</v>
      </c>
      <c r="K6" s="21">
        <v>11</v>
      </c>
      <c r="L6" s="21" cm="1">
        <f t="array" ref="L6">IF(D6&gt;0,IF($D6&lt;=0,0,D6*H6),"")</f>
        <v>3325000</v>
      </c>
      <c r="M6" s="21" cm="1">
        <f t="array" ref="M6">IF(E6&gt;0,IF($D6&lt;=0,0,ROUND(E6*I6,2)),"")</f>
        <v>3295000</v>
      </c>
      <c r="N6" s="23" cm="1">
        <f t="array" ref="N6">IF(F6&gt;0,IF($D6&lt;=0,0,ROUND(F6*J6,2)),"")</f>
        <v>3295000</v>
      </c>
    </row>
    <row r="7" ht="20.5" customHeight="1">
      <c r="A7" s="29"/>
      <c r="B7" t="s" s="19">
        <v>28</v>
      </c>
      <c r="C7" s="24"/>
      <c r="D7" s="30"/>
      <c r="E7" s="26"/>
      <c r="F7" s="26"/>
      <c r="G7" s="30"/>
      <c r="H7" s="26"/>
      <c r="I7" s="30"/>
      <c r="J7" s="30"/>
      <c r="K7" s="26"/>
      <c r="L7" t="str" s="30" cm="1">
        <f t="array" ref="L7">IF(D7&gt;0,IF($D7&lt;=0,0,D7*H7),"")</f>
      </c>
      <c r="M7" t="str" s="30" cm="1">
        <f t="array" ref="M7">IF(E7&gt;0,IF($D7&lt;=0,0,ROUND(E7*I5,2)),"")</f>
      </c>
      <c r="N7" t="str" s="31" cm="1">
        <f t="array" ref="N7">IF(F7&gt;0,IF($D7&lt;=0,0,ROUND(F7*J7,2)),"")</f>
      </c>
    </row>
    <row r="8" ht="20.5" customHeight="1">
      <c r="A8" t="s" s="18">
        <v>90</v>
      </c>
      <c r="B8" t="s" s="19">
        <v>91</v>
      </c>
      <c r="C8" s="20"/>
      <c r="D8" s="78">
        <v>114</v>
      </c>
      <c r="E8" s="21" cm="1">
        <f t="array" ref="E8">D8</f>
        <v>114</v>
      </c>
      <c r="F8" s="21" cm="1">
        <f t="array" ref="F8">D8</f>
        <v>114</v>
      </c>
      <c r="G8" t="s" s="22">
        <v>27</v>
      </c>
      <c r="H8" s="21">
        <v>29751.52</v>
      </c>
      <c r="I8" s="21">
        <v>29742.58</v>
      </c>
      <c r="J8" s="21">
        <v>29742.58</v>
      </c>
      <c r="K8" s="21">
        <v>11</v>
      </c>
      <c r="L8" s="21" cm="1">
        <f t="array" ref="L8">IF(D8&gt;0,IF($D8&lt;=0,0,D8*H8),"")</f>
        <v>3391673.28</v>
      </c>
      <c r="M8" s="21" cm="1">
        <f t="array" ref="M8">IF(E8&gt;0,IF($D8&lt;=0,0,ROUND(E8*I8,2)),"")</f>
        <v>3390654.12</v>
      </c>
      <c r="N8" s="23" cm="1">
        <f t="array" ref="N8">IF(F8&gt;0,IF($D8&lt;=0,0,ROUND(F8*J8,2)),"")</f>
        <v>3390654.12</v>
      </c>
    </row>
    <row r="9" ht="32.5" customHeight="1">
      <c r="A9" t="s" s="18">
        <v>31</v>
      </c>
      <c r="B9" t="s" s="19">
        <v>156</v>
      </c>
      <c r="C9" s="24"/>
      <c r="D9" s="25">
        <v>49.55</v>
      </c>
      <c r="E9" s="26" cm="1">
        <f t="array" ref="E9">D9</f>
        <v>49.55</v>
      </c>
      <c r="F9" s="26" cm="1">
        <f t="array" ref="F9">D9</f>
        <v>49.55</v>
      </c>
      <c r="G9" t="s" s="27">
        <v>27</v>
      </c>
      <c r="H9" s="26">
        <v>165854.35</v>
      </c>
      <c r="I9" s="26">
        <v>165853.69</v>
      </c>
      <c r="J9" s="26">
        <v>165853.69</v>
      </c>
      <c r="K9" s="26">
        <v>11</v>
      </c>
      <c r="L9" s="26" cm="1">
        <f t="array" ref="L9">IF(D9&gt;0,IF($D9&lt;=0,0,D9*H9),"")</f>
        <v>8218083.0425</v>
      </c>
      <c r="M9" s="26" cm="1">
        <f t="array" ref="M9">IF(E9&gt;0,IF($D9&lt;=0,0,ROUND(E9*I9,2)),"")</f>
        <v>8218050.34</v>
      </c>
      <c r="N9" s="28" cm="1">
        <f t="array" ref="N9">IF(F9&gt;0,IF($D9&lt;=0,0,ROUND(F9*J9,2)),"")</f>
        <v>8218050.34</v>
      </c>
    </row>
    <row r="10" ht="20.5" customHeight="1">
      <c r="A10" s="29"/>
      <c r="B10" t="s" s="19">
        <v>92</v>
      </c>
      <c r="C10" s="20"/>
      <c r="D10" s="79"/>
      <c r="E10" s="21"/>
      <c r="F10" s="21"/>
      <c r="G10" s="79"/>
      <c r="H10" s="21"/>
      <c r="I10" s="79"/>
      <c r="J10" s="79"/>
      <c r="K10" s="21"/>
      <c r="L10" t="str" s="79" cm="1">
        <f t="array" ref="L10">IF(D10&gt;0,IF($D10&lt;=0,0,D10*H10),"")</f>
      </c>
      <c r="M10" t="str" s="79" cm="1">
        <f t="array" ref="M10">IF(E10&gt;0,IF($D10&lt;=0,0,ROUND(E10*I6,2)),"")</f>
      </c>
      <c r="N10" t="str" s="91" cm="1">
        <f t="array" ref="N10">IF(F10&gt;0,IF($D10&lt;=0,0,ROUND(F10*J10,2)),"")</f>
      </c>
    </row>
    <row r="11" ht="20.5" customHeight="1">
      <c r="A11" t="s" s="18">
        <v>157</v>
      </c>
      <c r="B11" t="s" s="19">
        <v>158</v>
      </c>
      <c r="C11" s="24"/>
      <c r="D11" s="25">
        <v>25.494</v>
      </c>
      <c r="E11" s="26" cm="1">
        <f t="array" ref="E11">D11</f>
        <v>25.494</v>
      </c>
      <c r="F11" s="26" cm="1">
        <f t="array" ref="F11">D11</f>
        <v>25.494</v>
      </c>
      <c r="G11" t="s" s="27">
        <v>27</v>
      </c>
      <c r="H11" s="26">
        <v>1855933.71</v>
      </c>
      <c r="I11" s="26">
        <v>1855656.6</v>
      </c>
      <c r="J11" s="26">
        <v>1855656.6</v>
      </c>
      <c r="K11" s="26">
        <v>11</v>
      </c>
      <c r="L11" s="26" cm="1">
        <f t="array" ref="L11">IF(D11&gt;0,IF($D11&lt;=0,0,D11*H11),"")</f>
        <v>47315174.00274</v>
      </c>
      <c r="M11" s="26" cm="1">
        <f t="array" ref="M11">IF(E11&gt;0,IF($D11&lt;=0,0,ROUND(E11*I11,2)),"")</f>
        <v>47308109.36</v>
      </c>
      <c r="N11" s="28" cm="1">
        <f t="array" ref="N11">IF(F11&gt;0,IF($D11&lt;=0,0,ROUND(F11*J11,2)),"")</f>
        <v>47308109.36</v>
      </c>
    </row>
    <row r="12" ht="20.5" customHeight="1">
      <c r="A12" t="s" s="18">
        <v>97</v>
      </c>
      <c r="B12" t="s" s="19">
        <v>98</v>
      </c>
      <c r="C12" s="20"/>
      <c r="D12" s="78">
        <v>2.15</v>
      </c>
      <c r="E12" s="21" cm="1">
        <f t="array" ref="E12">D12</f>
        <v>2.15</v>
      </c>
      <c r="F12" s="21" cm="1">
        <f t="array" ref="F12">D12</f>
        <v>2.15</v>
      </c>
      <c r="G12" t="s" s="22">
        <v>27</v>
      </c>
      <c r="H12" s="21">
        <v>1350091.25</v>
      </c>
      <c r="I12" s="21">
        <v>1350091.25</v>
      </c>
      <c r="J12" s="21">
        <v>1350091.25</v>
      </c>
      <c r="K12" s="21">
        <v>11</v>
      </c>
      <c r="L12" s="21" cm="1">
        <f t="array" ref="L12">IF(D12&gt;0,IF($D12&lt;=0,0,D12*H12),"")</f>
        <v>2902696.1875</v>
      </c>
      <c r="M12" s="21" cm="1">
        <f t="array" ref="M12">IF(E12&gt;0,IF($D12&lt;=0,0,ROUND(E12*I12,2)),"")</f>
        <v>2902696.19</v>
      </c>
      <c r="N12" s="23" cm="1">
        <f t="array" ref="N12">IF(F12&gt;0,IF($D12&lt;=0,0,ROUND(F12*J12,2)),"")</f>
        <v>2902696.19</v>
      </c>
    </row>
    <row r="13" ht="20.5" customHeight="1">
      <c r="A13" t="s" s="18">
        <v>99</v>
      </c>
      <c r="B13" t="s" s="19">
        <v>159</v>
      </c>
      <c r="C13" s="24"/>
      <c r="D13" s="26">
        <v>2450.197</v>
      </c>
      <c r="E13" s="26" cm="1">
        <f t="array" ref="E13">D13</f>
        <v>2450.197</v>
      </c>
      <c r="F13" s="26" cm="1">
        <f t="array" ref="F13">D13</f>
        <v>2450.197</v>
      </c>
      <c r="G13" t="s" s="27">
        <v>154</v>
      </c>
      <c r="H13" s="26">
        <v>24460.5</v>
      </c>
      <c r="I13" s="122">
        <v>24442.39</v>
      </c>
      <c r="J13" s="122">
        <v>24442.39</v>
      </c>
      <c r="K13" s="26">
        <v>11</v>
      </c>
      <c r="L13" s="26" cm="1">
        <f t="array" ref="L13">IF(D13&gt;0,IF($D13&lt;=0,0,D13*H13),"")</f>
        <v>59933043.7185</v>
      </c>
      <c r="M13" s="26" cm="1">
        <f t="array" ref="M13">IF(E13&gt;0,IF($D13&lt;=0,0,ROUND(E13*I13,2)),"")</f>
        <v>59888670.65</v>
      </c>
      <c r="N13" s="28" cm="1">
        <f t="array" ref="N13">IF(F13&gt;0,IF($D13&lt;=0,0,ROUND(F13*J13,2)),"")</f>
        <v>59888670.65</v>
      </c>
    </row>
    <row r="14" ht="32.5" customHeight="1">
      <c r="A14" s="29"/>
      <c r="B14" t="s" s="19">
        <v>104</v>
      </c>
      <c r="C14" s="20"/>
      <c r="D14" s="79"/>
      <c r="E14" s="21"/>
      <c r="F14" s="21"/>
      <c r="G14" s="79"/>
      <c r="H14" s="21"/>
      <c r="I14" s="79"/>
      <c r="J14" s="79"/>
      <c r="K14" s="21"/>
      <c r="L14" t="str" s="79" cm="1">
        <f t="array" ref="L14">IF(D14&gt;0,IF($D14&lt;=0,0,D14*H14),"")</f>
      </c>
      <c r="M14" t="str" s="79" cm="1">
        <f t="array" ref="M14">IF(E14&gt;0,IF($D14&lt;=0,0,ROUND(E14*I14,2)),"")</f>
      </c>
      <c r="N14" t="str" s="91" cm="1">
        <f t="array" ref="N14">IF(F14&gt;0,IF($D14&lt;=0,0,ROUND(F14*J14,2)),"")</f>
      </c>
    </row>
    <row r="15" ht="20.5" customHeight="1">
      <c r="A15" t="s" s="18">
        <v>105</v>
      </c>
      <c r="B15" t="s" s="19">
        <v>106</v>
      </c>
      <c r="C15" s="24"/>
      <c r="D15" s="25">
        <v>70</v>
      </c>
      <c r="E15" s="26" cm="1">
        <f t="array" ref="E15">D15</f>
        <v>70</v>
      </c>
      <c r="F15" s="26" cm="1">
        <f t="array" ref="F15">D15</f>
        <v>70</v>
      </c>
      <c r="G15" t="s" s="27">
        <v>107</v>
      </c>
      <c r="H15" s="26">
        <v>72459.990000000005</v>
      </c>
      <c r="I15" s="26">
        <v>72459.990000000005</v>
      </c>
      <c r="J15" s="26">
        <v>72459.990000000005</v>
      </c>
      <c r="K15" s="26">
        <v>11</v>
      </c>
      <c r="L15" s="26" cm="1">
        <f t="array" ref="L15">IF(D15&gt;0,IF($D15&lt;=0,0,D15*H15),"")</f>
        <v>5072199.3</v>
      </c>
      <c r="M15" s="26" cm="1">
        <f t="array" ref="M15">IF(E15&gt;0,IF($D15&lt;=0,0,ROUND(E15*I15,2)),"")</f>
        <v>5072199.3</v>
      </c>
      <c r="N15" s="28" cm="1">
        <f t="array" ref="N15">IF(F15&gt;0,IF($D15&lt;=0,0,ROUND(F15*J15,2)),"")</f>
        <v>5072199.3</v>
      </c>
    </row>
    <row r="16" ht="20.5" customHeight="1">
      <c r="A16" s="29"/>
      <c r="B16" t="s" s="19">
        <v>160</v>
      </c>
      <c r="C16" s="20"/>
      <c r="D16" s="79"/>
      <c r="E16" s="21"/>
      <c r="F16" s="21"/>
      <c r="G16" s="79"/>
      <c r="H16" s="21"/>
      <c r="I16" s="79"/>
      <c r="J16" s="79"/>
      <c r="K16" s="21"/>
      <c r="L16" t="str" s="79" cm="1">
        <f t="array" ref="L16">IF(D16&gt;0,IF($D16&lt;=0,0,D16*H16),"")</f>
      </c>
      <c r="M16" t="str" s="79" cm="1">
        <f t="array" ref="M16">IF(E16&gt;0,IF($D16&lt;=0,0,ROUND(E16*I16,2)),"")</f>
      </c>
      <c r="N16" t="str" s="91" cm="1">
        <f t="array" ref="N16">IF(F16&gt;0,IF($D16&lt;=0,0,ROUND(F16*J16,2)),"")</f>
      </c>
    </row>
    <row r="17" ht="20.5" customHeight="1">
      <c r="A17" t="s" s="18">
        <v>161</v>
      </c>
      <c r="B17" t="s" s="19">
        <v>162</v>
      </c>
      <c r="C17" s="24"/>
      <c r="D17" s="25">
        <v>3.12</v>
      </c>
      <c r="E17" s="26" cm="1">
        <f t="array" ref="E17">D17</f>
        <v>3.12</v>
      </c>
      <c r="F17" s="26" cm="1">
        <f t="array" ref="F17">D17</f>
        <v>3.12</v>
      </c>
      <c r="G17" t="s" s="27">
        <v>35</v>
      </c>
      <c r="H17" s="26">
        <v>58616.43</v>
      </c>
      <c r="I17" s="26">
        <v>58609.5</v>
      </c>
      <c r="J17" s="26">
        <v>58609.5</v>
      </c>
      <c r="K17" s="26">
        <v>11</v>
      </c>
      <c r="L17" s="26" cm="1">
        <f t="array" ref="L17">IF(D17&gt;0,IF($D17&lt;=0,0,D17*H17),"")</f>
        <v>182883.2616</v>
      </c>
      <c r="M17" s="26" cm="1">
        <f t="array" ref="M17">IF(E17&gt;0,IF($D17&lt;=0,0,ROUND(E17*I17,2)),"")</f>
        <v>182861.64</v>
      </c>
      <c r="N17" s="28" cm="1">
        <f t="array" ref="N17">IF(F17&gt;0,IF($D17&lt;=0,0,ROUND(F17*J17,2)),"")</f>
        <v>182861.64</v>
      </c>
    </row>
    <row r="18" ht="20.5" customHeight="1">
      <c r="A18" s="29"/>
      <c r="B18" t="s" s="19">
        <v>36</v>
      </c>
      <c r="C18" s="20"/>
      <c r="D18" s="21"/>
      <c r="E18" s="21"/>
      <c r="F18" s="21"/>
      <c r="G18" s="79"/>
      <c r="H18" s="79"/>
      <c r="I18" s="79"/>
      <c r="J18" s="79"/>
      <c r="K18" s="21"/>
      <c r="L18" t="str" s="79" cm="1">
        <f t="array" ref="L18">IF(D18&gt;0,IF($D18&lt;=0,0,D18*H18),"")</f>
      </c>
      <c r="M18" s="21"/>
      <c r="N18" s="23"/>
    </row>
    <row r="19" ht="20.6" customHeight="1">
      <c r="A19" s="33">
        <v>1</v>
      </c>
      <c r="B19" t="s" s="34">
        <v>37</v>
      </c>
      <c r="C19" s="80"/>
      <c r="D19" s="81">
        <v>1</v>
      </c>
      <c r="E19" s="81" cm="1">
        <f t="array" ref="E19">D19</f>
        <v>1</v>
      </c>
      <c r="F19" s="81" cm="1">
        <f t="array" ref="F19">D19</f>
        <v>1</v>
      </c>
      <c r="G19" t="s" s="82">
        <v>19</v>
      </c>
      <c r="H19" s="81">
        <v>306007.57</v>
      </c>
      <c r="I19" s="81">
        <v>305712.09</v>
      </c>
      <c r="J19" s="81">
        <v>305712.09</v>
      </c>
      <c r="K19" s="81">
        <v>0</v>
      </c>
      <c r="L19" s="81" cm="1">
        <f t="array" ref="L19">IF(D19&gt;0,IF($D19&lt;=0,0,D19*H19),"")</f>
        <v>306007.57</v>
      </c>
      <c r="M19" s="81" cm="1">
        <f t="array" ref="M19">IF(E19&gt;0,IF($D19&lt;=0,0,ROUND(E19*I19,2)),"")</f>
        <v>305712.09</v>
      </c>
      <c r="N19" s="83" cm="1">
        <f t="array" ref="N19">IF(F19&gt;0,IF($D19&lt;=0,0,ROUND(F19*J19,2)),"")</f>
        <v>305712.09</v>
      </c>
    </row>
    <row r="20" ht="8.75" customHeight="1" hidden="1">
      <c r="A20" s="39"/>
      <c r="B20" s="40"/>
      <c r="C20" s="45"/>
      <c r="D20" s="46"/>
      <c r="E20" s="46"/>
      <c r="F20" s="46"/>
      <c r="G20" s="47"/>
      <c r="H20" s="46"/>
      <c r="I20" s="46"/>
      <c r="J20" s="46"/>
      <c r="K20" s="46"/>
      <c r="L20" s="46"/>
      <c r="M20" s="46"/>
      <c r="N20" s="48"/>
    </row>
    <row r="21" ht="8.75" customHeight="1" hidden="1">
      <c r="A21" s="39"/>
      <c r="B21" s="40"/>
      <c r="C21" s="41"/>
      <c r="D21" s="42"/>
      <c r="E21" s="42"/>
      <c r="F21" s="42"/>
      <c r="G21" s="43"/>
      <c r="H21" s="42"/>
      <c r="I21" s="42"/>
      <c r="J21" s="42"/>
      <c r="K21" s="42"/>
      <c r="L21" s="42"/>
      <c r="M21" s="42"/>
      <c r="N21" s="44"/>
    </row>
    <row r="22" ht="8.75" customHeight="1" hidden="1">
      <c r="A22" s="39"/>
      <c r="B22" s="40"/>
      <c r="C22" s="45"/>
      <c r="D22" s="46"/>
      <c r="E22" s="46"/>
      <c r="F22" s="46"/>
      <c r="G22" s="47"/>
      <c r="H22" s="46"/>
      <c r="I22" s="46"/>
      <c r="J22" s="46"/>
      <c r="K22" s="46"/>
      <c r="L22" s="46"/>
      <c r="M22" s="46"/>
      <c r="N22" s="48"/>
    </row>
    <row r="23" ht="8.75" customHeight="1" hidden="1">
      <c r="A23" s="39"/>
      <c r="B23" s="40"/>
      <c r="C23" s="41"/>
      <c r="D23" s="42"/>
      <c r="E23" s="42"/>
      <c r="F23" s="42"/>
      <c r="G23" s="43"/>
      <c r="H23" s="42"/>
      <c r="I23" s="42"/>
      <c r="J23" s="42"/>
      <c r="K23" s="42"/>
      <c r="L23" s="42"/>
      <c r="M23" s="42"/>
      <c r="N23" s="44"/>
    </row>
    <row r="24" ht="8.75" customHeight="1" hidden="1">
      <c r="A24" s="39"/>
      <c r="B24" s="40"/>
      <c r="C24" s="45"/>
      <c r="D24" s="46"/>
      <c r="E24" s="46"/>
      <c r="F24" s="46"/>
      <c r="G24" s="47"/>
      <c r="H24" s="46"/>
      <c r="I24" s="46"/>
      <c r="J24" s="46"/>
      <c r="K24" s="46"/>
      <c r="L24" s="46"/>
      <c r="M24" s="46"/>
      <c r="N24" s="48"/>
    </row>
    <row r="25" ht="8.75" customHeight="1" hidden="1">
      <c r="A25" s="39"/>
      <c r="B25" s="40"/>
      <c r="C25" s="41"/>
      <c r="D25" s="42"/>
      <c r="E25" s="42"/>
      <c r="F25" s="42"/>
      <c r="G25" s="43"/>
      <c r="H25" s="42"/>
      <c r="I25" s="42"/>
      <c r="J25" s="42"/>
      <c r="K25" s="42"/>
      <c r="L25" s="42"/>
      <c r="M25" s="42"/>
      <c r="N25" s="44"/>
    </row>
    <row r="26" ht="8.75" customHeight="1" hidden="1">
      <c r="A26" s="39"/>
      <c r="B26" s="40"/>
      <c r="C26" s="45"/>
      <c r="D26" s="46"/>
      <c r="E26" s="46"/>
      <c r="F26" s="46"/>
      <c r="G26" s="47"/>
      <c r="H26" s="47"/>
      <c r="I26" s="47"/>
      <c r="J26" s="47"/>
      <c r="K26" s="46"/>
      <c r="L26" s="47"/>
      <c r="M26" s="47"/>
      <c r="N26" s="52"/>
    </row>
    <row r="27" ht="8.75" customHeight="1" hidden="1">
      <c r="A27" s="39"/>
      <c r="B27" s="40"/>
      <c r="C27" s="41"/>
      <c r="D27" s="42"/>
      <c r="E27" s="42"/>
      <c r="F27" s="42"/>
      <c r="G27" s="43"/>
      <c r="H27" s="84"/>
      <c r="I27" s="84"/>
      <c r="J27" s="84"/>
      <c r="K27" s="42"/>
      <c r="L27" s="42"/>
      <c r="M27" s="42"/>
      <c r="N27" s="44"/>
    </row>
    <row r="28" ht="8.75" customHeight="1" hidden="1">
      <c r="A28" s="39"/>
      <c r="B28" s="40"/>
      <c r="C28" s="45"/>
      <c r="D28" s="46"/>
      <c r="E28" s="46"/>
      <c r="F28" s="46"/>
      <c r="G28" s="47"/>
      <c r="H28" s="47"/>
      <c r="I28" s="47"/>
      <c r="J28" s="47"/>
      <c r="K28" s="46"/>
      <c r="L28" s="47"/>
      <c r="M28" s="47"/>
      <c r="N28" s="52"/>
    </row>
    <row r="29" ht="8.75" customHeight="1" hidden="1">
      <c r="A29" s="39"/>
      <c r="B29" s="40"/>
      <c r="C29" s="41"/>
      <c r="D29" s="42"/>
      <c r="E29" s="42"/>
      <c r="F29" s="42"/>
      <c r="G29" s="43"/>
      <c r="H29" s="42"/>
      <c r="I29" s="42"/>
      <c r="J29" s="42"/>
      <c r="K29" s="42"/>
      <c r="L29" s="42"/>
      <c r="M29" s="42"/>
      <c r="N29" s="44"/>
    </row>
    <row r="30" ht="8.75" customHeight="1" hidden="1">
      <c r="A30" s="39"/>
      <c r="B30" s="40"/>
      <c r="C30" s="45"/>
      <c r="D30" s="46"/>
      <c r="E30" s="46"/>
      <c r="F30" s="46"/>
      <c r="G30" s="47"/>
      <c r="H30" s="46"/>
      <c r="I30" s="46"/>
      <c r="J30" s="46"/>
      <c r="K30" s="46"/>
      <c r="L30" s="46"/>
      <c r="M30" s="46"/>
      <c r="N30" s="48"/>
    </row>
    <row r="31" ht="8.75" customHeight="1" hidden="1">
      <c r="A31" s="51"/>
      <c r="B31" s="40"/>
      <c r="C31" s="41"/>
      <c r="D31" s="42"/>
      <c r="E31" s="42"/>
      <c r="F31" s="42"/>
      <c r="G31" s="43"/>
      <c r="H31" s="42"/>
      <c r="I31" s="42"/>
      <c r="J31" s="42"/>
      <c r="K31" s="42"/>
      <c r="L31" s="42"/>
      <c r="M31" s="42"/>
      <c r="N31" s="44"/>
    </row>
    <row r="32" ht="8.75" customHeight="1" hidden="1">
      <c r="A32" s="51"/>
      <c r="B32" s="40"/>
      <c r="C32" s="45"/>
      <c r="D32" s="46"/>
      <c r="E32" s="46"/>
      <c r="F32" s="46"/>
      <c r="G32" s="47"/>
      <c r="H32" s="46"/>
      <c r="I32" s="46"/>
      <c r="J32" s="46"/>
      <c r="K32" s="46"/>
      <c r="L32" s="46"/>
      <c r="M32" s="46"/>
      <c r="N32" s="48"/>
    </row>
    <row r="33" ht="8.75" customHeight="1" hidden="1">
      <c r="A33" s="39"/>
      <c r="B33" s="40"/>
      <c r="C33" s="41"/>
      <c r="D33" s="42"/>
      <c r="E33" s="42"/>
      <c r="F33" s="42"/>
      <c r="G33" s="43"/>
      <c r="H33" s="42"/>
      <c r="I33" s="42"/>
      <c r="J33" s="42"/>
      <c r="K33" s="42"/>
      <c r="L33" s="43"/>
      <c r="M33" s="43"/>
      <c r="N33" s="49"/>
    </row>
    <row r="34" ht="8.75" customHeight="1" hidden="1">
      <c r="A34" s="39"/>
      <c r="B34" s="40"/>
      <c r="C34" s="45"/>
      <c r="D34" s="46"/>
      <c r="E34" s="46"/>
      <c r="F34" s="46"/>
      <c r="G34" s="47"/>
      <c r="H34" s="46"/>
      <c r="I34" s="46"/>
      <c r="J34" s="46"/>
      <c r="K34" s="46"/>
      <c r="L34" s="46"/>
      <c r="M34" s="46"/>
      <c r="N34" s="48"/>
    </row>
    <row r="35" ht="8.75" customHeight="1" hidden="1">
      <c r="A35" s="39"/>
      <c r="B35" s="40"/>
      <c r="C35" s="41"/>
      <c r="D35" s="42"/>
      <c r="E35" s="42"/>
      <c r="F35" s="42"/>
      <c r="G35" s="43"/>
      <c r="H35" s="42"/>
      <c r="I35" s="42"/>
      <c r="J35" s="42"/>
      <c r="K35" s="42"/>
      <c r="L35" s="43"/>
      <c r="M35" s="43"/>
      <c r="N35" s="49"/>
    </row>
    <row r="36" ht="20.85" customHeight="1">
      <c r="A36" s="53"/>
      <c r="B36" s="54"/>
      <c r="C36" s="54"/>
      <c r="D36" s="55"/>
      <c r="E36" s="55"/>
      <c r="F36" s="55"/>
      <c r="G36" s="56"/>
      <c r="H36" s="56"/>
      <c r="I36" s="54"/>
      <c r="J36" s="57"/>
      <c r="K36" t="s" s="58">
        <v>38</v>
      </c>
      <c r="L36" s="59" cm="1">
        <f t="array" ref="L36">SUM(L1:L35)</f>
        <v>135047760.36284</v>
      </c>
      <c r="M36" s="59" cm="1">
        <f t="array" ref="M36">SUM(M1:M35)</f>
        <v>134891953.69</v>
      </c>
      <c r="N36" s="59" cm="1">
        <f t="array" ref="N36">SUM(N1:N35)</f>
        <v>134891953.69</v>
      </c>
    </row>
    <row r="37" ht="21" customHeight="1">
      <c r="A37" s="60"/>
      <c r="B37" t="s" s="61">
        <v>39</v>
      </c>
      <c r="C37" s="62"/>
      <c r="D37" s="63" cm="1">
        <f t="array" ref="D37">ROUND(IF(L37&lt;=100000000,L37*0.24%,IF(AND(L37&gt;100000000,L37&lt;=500000000),100000000*0.24%+(L37-100000000)*0.19%,IF(AND(L37&gt;500000000,L37&lt;=1000000000),100000000*0.24%+400000000*0.19%+(L37-500000000)*0.15%,IF(AND(L37&gt;1000000000,L37&lt;=5000000000),100000000*0.24%+400000000*0.19%+500000000*0.15%+(L37-1000000000)*0.12%,IF(L37&gt;5000000000,100000000*0.24%+400000000*0.19%+500000000*0.15%+4000000000*0.12%+(L37-5000000000)*0.1%,"Bingung komputer"))))),2)</f>
        <v>306009.33</v>
      </c>
      <c r="E37" s="64" cm="1">
        <f t="array" ref="E37">ROUND(IF(M37&lt;=100000000,M37*0.24%,IF(AND(M37&gt;100000000,M37&lt;=500000000),100000000*0.24%+(M37-100000000)*0.19%,IF(AND(M37&gt;500000000,M37&lt;=1000000000),100000000*0.24%+400000000*0.19%+(M37-500000000)*0.15%,IF(AND(M37&gt;1000000000,M37&lt;=5000000000),100000000*0.24%+400000000*0.19%+500000000*0.15%+(M37-1000000000)*0.12%,IF(M37&gt;5000000000,100000000*0.24%+400000000*0.19%+500000000*0.15%+4000000000*0.12%+(M37-5000000000)*0.1%,"Bingung komputer"))))),2)</f>
        <v>305713.86</v>
      </c>
      <c r="F37" s="64" cm="1">
        <f t="array" ref="F37">ROUND(IF(N37&lt;=100000000,N37*0.24%,IF(AND(N37&gt;100000000,N37&lt;=500000000),100000000*0.24%+(N37-100000000)*0.19%,IF(AND(N37&gt;500000000,N37&lt;=1000000000),100000000*0.24%+400000000*0.19%+(N37-500000000)*0.15%,IF(AND(N37&gt;1000000000,N37&lt;=5000000000),100000000*0.24%+400000000*0.19%+500000000*0.15%+(N37-1000000000)*0.12%,IF(N37&gt;5000000000,100000000*0.24%+400000000*0.19%+500000000*0.15%+4000000000*0.12%+(N37-5000000000)*0.1%,"Bingung komputer"))))),2)</f>
        <v>305713.86</v>
      </c>
      <c r="G37" s="65"/>
      <c r="H37" s="66"/>
      <c r="I37" s="62"/>
      <c r="J37" s="67"/>
      <c r="K37" t="str" s="67" cm="1">
        <f t="array" ref="K37">"Jumlah Terkena Pajak "&amp;MAX(K3:K35)&amp;"% (B)"</f>
        <v>Jumlah Terkena Pajak 11,00% (B)</v>
      </c>
      <c r="L37" s="68" cm="1">
        <f t="array" ref="L37">SUMIF($K3:$K35,"&gt;0",L3:L35)</f>
        <v>134741752.79284</v>
      </c>
      <c r="M37" s="69" cm="1">
        <f t="array" ref="M37">SUMIF($K3:$K35,"&gt;0",M3:M35)</f>
        <v>134586241.6</v>
      </c>
      <c r="N37" s="69" cm="1">
        <f t="array" ref="N37">SUMIF($K3:$K35,"&gt;0",N3:N35)</f>
        <v>134586241.6</v>
      </c>
    </row>
    <row r="38" ht="21" customHeight="1">
      <c r="A38" s="70"/>
      <c r="B38" s="71"/>
      <c r="C38" s="71"/>
      <c r="D38" s="72"/>
      <c r="E38" s="72"/>
      <c r="F38" s="71"/>
      <c r="G38" s="72"/>
      <c r="H38" s="72"/>
      <c r="I38" s="71"/>
      <c r="J38" s="73"/>
      <c r="K38" t="str" s="73" cm="1">
        <f t="array" ref="K38">"PPN (C) = "&amp;MAX(K3:K35)&amp;"% x B"</f>
        <v>PPN (C) = 11,00% x B</v>
      </c>
      <c r="L38" s="74" cm="1">
        <f t="array" ref="L38">L37*MAX($K3:$K35)%</f>
        <v>14821592.8072124</v>
      </c>
      <c r="M38" s="69" cm="1">
        <f t="array" ref="M38">M37*MAX($K3:$K35)%</f>
        <v>14804486.576</v>
      </c>
      <c r="N38" s="69" cm="1">
        <f t="array" ref="N38">N37*MAX($K3:$K35)%</f>
        <v>14804486.576</v>
      </c>
    </row>
    <row r="39" ht="21" customHeight="1">
      <c r="A39" s="70"/>
      <c r="B39" s="71"/>
      <c r="C39" s="71"/>
      <c r="D39" s="72"/>
      <c r="E39" s="72"/>
      <c r="F39" s="72"/>
      <c r="G39" s="72"/>
      <c r="H39" s="72"/>
      <c r="I39" s="71"/>
      <c r="J39" s="73"/>
      <c r="K39" t="s" s="75">
        <v>42</v>
      </c>
      <c r="L39" s="76" cm="1">
        <f t="array" ref="L39">L36+L38</f>
        <v>149869353.170052</v>
      </c>
      <c r="M39" s="69" cm="1">
        <f t="array" ref="M39">M36+M38</f>
        <v>149696440.266</v>
      </c>
      <c r="N39" s="69" cm="1">
        <f t="array" ref="N39">N36+N38</f>
        <v>149696440.266</v>
      </c>
    </row>
    <row r="40" ht="20.5" customHeight="1">
      <c r="A40" s="70"/>
      <c r="B40" s="71"/>
      <c r="C40" s="71"/>
      <c r="D40" s="72"/>
      <c r="E40" s="72"/>
      <c r="F40" s="72"/>
      <c r="G40" s="72"/>
      <c r="H40" s="72"/>
      <c r="I40" s="71"/>
      <c r="J40" s="73"/>
      <c r="K40" t="s" s="75">
        <v>43</v>
      </c>
      <c r="L40" s="68" cm="1">
        <f t="array" ref="L40">ROUNDDOWN(L39,2)</f>
        <v>149869353.17</v>
      </c>
      <c r="M40" s="68" cm="1">
        <f t="array" ref="M40">ROUNDDOWN(M39,2)</f>
        <v>149696440.26</v>
      </c>
      <c r="N40" s="68" cm="1">
        <f t="array" ref="N40">ROUNDDOWN(N39,-3)</f>
        <v>149696000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25.xml><?xml version="1.0" encoding="utf-8"?>
<worksheet xmlns:r="http://schemas.openxmlformats.org/officeDocument/2006/relationships" xmlns="http://schemas.openxmlformats.org/spreadsheetml/2006/main">
  <sheetPr>
    <pageSetUpPr fitToPage="1"/>
  </sheetPr>
  <dimension ref="A1:N40"/>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129" customWidth="1"/>
    <col min="2" max="2" width="43.0312" style="129" customWidth="1"/>
    <col min="3" max="3" width="2.75" style="129" customWidth="1"/>
    <col min="4" max="6" width="10.3672" style="129" customWidth="1"/>
    <col min="7" max="7" width="11.6875" style="129" customWidth="1"/>
    <col min="8" max="11" width="13.5156" style="129" customWidth="1"/>
    <col min="12" max="14" width="14.2344" style="129" customWidth="1"/>
    <col min="15" max="16384" width="16.3516" style="129"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16</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t="s" s="18">
        <v>17</v>
      </c>
      <c r="B4" t="s" s="19">
        <v>18</v>
      </c>
      <c r="C4" s="20"/>
      <c r="D4" s="21">
        <v>1</v>
      </c>
      <c r="E4" s="21" cm="1">
        <f t="array" ref="E4">D4</f>
        <v>1</v>
      </c>
      <c r="F4" s="21" cm="1">
        <f t="array" ref="F4">D4</f>
        <v>1</v>
      </c>
      <c r="G4" t="s" s="22">
        <v>19</v>
      </c>
      <c r="H4" s="21">
        <v>4071000</v>
      </c>
      <c r="I4" s="21">
        <v>4013500</v>
      </c>
      <c r="J4" s="21">
        <v>4013500</v>
      </c>
      <c r="K4" s="21">
        <v>11</v>
      </c>
      <c r="L4" s="21" cm="1">
        <f t="array" ref="L4">IF(D4&gt;0,IF($D4&lt;=0,0,D4*H4),"")</f>
        <v>4071000</v>
      </c>
      <c r="M4" s="21" cm="1">
        <f t="array" ref="M4">IF(E4&gt;0,IF($D4&lt;=0,0,ROUND(E4*I4,2)),"")</f>
        <v>4013500</v>
      </c>
      <c r="N4" s="23" cm="1">
        <f t="array" ref="N4">IF(F4&gt;0,IF($D4&lt;=0,0,ROUND(F4*J4,2)),"")</f>
        <v>4013500</v>
      </c>
    </row>
    <row r="5" ht="20.5" customHeight="1">
      <c r="A5" t="s" s="18">
        <v>20</v>
      </c>
      <c r="B5" t="s" s="19">
        <v>21</v>
      </c>
      <c r="C5" s="24"/>
      <c r="D5" s="25">
        <v>1</v>
      </c>
      <c r="E5" s="26" cm="1">
        <f t="array" ref="E5">D5</f>
        <v>1</v>
      </c>
      <c r="F5" s="26" cm="1">
        <f t="array" ref="F5">D5</f>
        <v>1</v>
      </c>
      <c r="G5" t="s" s="27">
        <v>19</v>
      </c>
      <c r="H5" s="26">
        <v>330000</v>
      </c>
      <c r="I5" s="26">
        <v>300000</v>
      </c>
      <c r="J5" s="26">
        <v>300000</v>
      </c>
      <c r="K5" s="26">
        <v>11</v>
      </c>
      <c r="L5" s="26" cm="1">
        <f t="array" ref="L5">IF(D5&gt;0,IF($D5&lt;=0,0,D5*H5),"")</f>
        <v>330000</v>
      </c>
      <c r="M5" s="26" cm="1">
        <f t="array" ref="M5">IF(E5&gt;0,IF($D5&lt;=0,0,ROUND(E5*I5,2)),"")</f>
        <v>300000</v>
      </c>
      <c r="N5" s="28" cm="1">
        <f t="array" ref="N5">IF(F5&gt;0,IF($D5&lt;=0,0,ROUND(F5*J5,2)),"")</f>
        <v>300000</v>
      </c>
    </row>
    <row r="6" ht="20.5" customHeight="1">
      <c r="A6" t="s" s="18">
        <v>22</v>
      </c>
      <c r="B6" t="s" s="19">
        <v>23</v>
      </c>
      <c r="C6" s="20"/>
      <c r="D6" s="21">
        <v>1</v>
      </c>
      <c r="E6" s="21" cm="1">
        <f t="array" ref="E6">D6</f>
        <v>1</v>
      </c>
      <c r="F6" s="21" cm="1">
        <f t="array" ref="F6">D6</f>
        <v>1</v>
      </c>
      <c r="G6" t="s" s="22">
        <v>19</v>
      </c>
      <c r="H6" s="21">
        <v>3325000</v>
      </c>
      <c r="I6" s="21">
        <v>3305000</v>
      </c>
      <c r="J6" s="21">
        <v>3305000</v>
      </c>
      <c r="K6" s="21">
        <v>11</v>
      </c>
      <c r="L6" s="21" cm="1">
        <f t="array" ref="L6">IF(D6&gt;0,IF($D6&lt;=0,0,D6*H6),"")</f>
        <v>3325000</v>
      </c>
      <c r="M6" s="21" cm="1">
        <f t="array" ref="M6">IF(E6&gt;0,IF($D6&lt;=0,0,ROUND(E6*I6,2)),"")</f>
        <v>3305000</v>
      </c>
      <c r="N6" s="23" cm="1">
        <f t="array" ref="N6">IF(F6&gt;0,IF($D6&lt;=0,0,ROUND(F6*J6,2)),"")</f>
        <v>3305000</v>
      </c>
    </row>
    <row r="7" ht="20.5" customHeight="1">
      <c r="A7" s="29"/>
      <c r="B7" t="s" s="19">
        <v>28</v>
      </c>
      <c r="C7" s="24"/>
      <c r="D7" s="30"/>
      <c r="E7" s="26"/>
      <c r="F7" s="26"/>
      <c r="G7" s="30"/>
      <c r="H7" s="26"/>
      <c r="I7" s="30"/>
      <c r="J7" s="30"/>
      <c r="K7" s="26"/>
      <c r="L7" t="str" s="30" cm="1">
        <f t="array" ref="L7">IF(D7&gt;0,IF($D7&lt;=0,0,D7*H7),"")</f>
      </c>
      <c r="M7" t="str" s="30" cm="1">
        <f t="array" ref="M7">IF(E7&gt;0,IF($D7&lt;=0,0,ROUND(E7*I5,2)),"")</f>
      </c>
      <c r="N7" t="str" s="31" cm="1">
        <f t="array" ref="N7">IF(F7&gt;0,IF($D7&lt;=0,0,ROUND(F7*J7,2)),"")</f>
      </c>
    </row>
    <row r="8" ht="20.5" customHeight="1">
      <c r="A8" t="s" s="18">
        <v>90</v>
      </c>
      <c r="B8" t="s" s="19">
        <v>91</v>
      </c>
      <c r="C8" s="20"/>
      <c r="D8" s="78">
        <v>114</v>
      </c>
      <c r="E8" s="21" cm="1">
        <f t="array" ref="E8">D8</f>
        <v>114</v>
      </c>
      <c r="F8" s="21" cm="1">
        <f t="array" ref="F8">D8</f>
        <v>114</v>
      </c>
      <c r="G8" t="s" s="22">
        <v>27</v>
      </c>
      <c r="H8" s="21">
        <v>29049.17</v>
      </c>
      <c r="I8" s="21">
        <v>29040.24</v>
      </c>
      <c r="J8" s="21">
        <v>29040.24</v>
      </c>
      <c r="K8" s="21">
        <v>11</v>
      </c>
      <c r="L8" s="21" cm="1">
        <f t="array" ref="L8">IF(D8&gt;0,IF($D8&lt;=0,0,D8*H8),"")</f>
        <v>3311605.38</v>
      </c>
      <c r="M8" s="21" cm="1">
        <f t="array" ref="M8">IF(E8&gt;0,IF($D8&lt;=0,0,ROUND(E8*I8,2)),"")</f>
        <v>3310587.36</v>
      </c>
      <c r="N8" s="23" cm="1">
        <f t="array" ref="N8">IF(F8&gt;0,IF($D8&lt;=0,0,ROUND(F8*J8,2)),"")</f>
        <v>3310587.36</v>
      </c>
    </row>
    <row r="9" ht="32.5" customHeight="1">
      <c r="A9" t="s" s="18">
        <v>31</v>
      </c>
      <c r="B9" t="s" s="19">
        <v>156</v>
      </c>
      <c r="C9" s="24"/>
      <c r="D9" s="25">
        <v>247</v>
      </c>
      <c r="E9" s="26" cm="1">
        <f t="array" ref="E9">D9</f>
        <v>247</v>
      </c>
      <c r="F9" s="26" cm="1">
        <f t="array" ref="F9">D9</f>
        <v>247</v>
      </c>
      <c r="G9" t="s" s="27">
        <v>27</v>
      </c>
      <c r="H9" s="26">
        <v>146551.51</v>
      </c>
      <c r="I9" s="26">
        <v>146550.85</v>
      </c>
      <c r="J9" s="26">
        <v>146550.85</v>
      </c>
      <c r="K9" s="26">
        <v>11</v>
      </c>
      <c r="L9" s="26" cm="1">
        <f t="array" ref="L9">IF(D9&gt;0,IF($D9&lt;=0,0,D9*H9),"")</f>
        <v>36198222.97</v>
      </c>
      <c r="M9" s="26" cm="1">
        <f t="array" ref="M9">IF(E9&gt;0,IF($D9&lt;=0,0,ROUND(E9*I9,2)),"")</f>
        <v>36198059.95</v>
      </c>
      <c r="N9" s="28" cm="1">
        <f t="array" ref="N9">IF(F9&gt;0,IF($D9&lt;=0,0,ROUND(F9*J9,2)),"")</f>
        <v>36198059.95</v>
      </c>
    </row>
    <row r="10" ht="20.5" customHeight="1">
      <c r="A10" s="29"/>
      <c r="B10" t="s" s="19">
        <v>92</v>
      </c>
      <c r="C10" s="20"/>
      <c r="D10" s="79"/>
      <c r="E10" s="21"/>
      <c r="F10" s="21"/>
      <c r="G10" s="79"/>
      <c r="H10" s="21"/>
      <c r="I10" s="79"/>
      <c r="J10" s="79"/>
      <c r="K10" s="21"/>
      <c r="L10" t="str" s="79" cm="1">
        <f t="array" ref="L10">IF(D10&gt;0,IF($D10&lt;=0,0,D10*H10),"")</f>
      </c>
      <c r="M10" t="str" s="79" cm="1">
        <f t="array" ref="M10">IF(E10&gt;0,IF($D10&lt;=0,0,ROUND(E10*I6,2)),"")</f>
      </c>
      <c r="N10" t="str" s="91" cm="1">
        <f t="array" ref="N10">IF(F10&gt;0,IF($D10&lt;=0,0,ROUND(F10*J10,2)),"")</f>
      </c>
    </row>
    <row r="11" ht="20.5" customHeight="1">
      <c r="A11" t="s" s="18">
        <v>157</v>
      </c>
      <c r="B11" t="s" s="19">
        <v>158</v>
      </c>
      <c r="C11" s="24"/>
      <c r="D11" s="25">
        <v>25.494</v>
      </c>
      <c r="E11" s="26" cm="1">
        <f t="array" ref="E11">D11</f>
        <v>25.494</v>
      </c>
      <c r="F11" s="26" cm="1">
        <f t="array" ref="F11">D11</f>
        <v>25.494</v>
      </c>
      <c r="G11" t="s" s="27">
        <v>27</v>
      </c>
      <c r="H11" s="26">
        <v>1296656.26</v>
      </c>
      <c r="I11" s="26">
        <v>1296379.16</v>
      </c>
      <c r="J11" s="26">
        <v>1296379.16</v>
      </c>
      <c r="K11" s="26">
        <v>11</v>
      </c>
      <c r="L11" s="26" cm="1">
        <f t="array" ref="L11">IF(D11&gt;0,IF($D11&lt;=0,0,D11*H11),"")</f>
        <v>33056954.69244</v>
      </c>
      <c r="M11" s="26" cm="1">
        <f t="array" ref="M11">IF(E11&gt;0,IF($D11&lt;=0,0,ROUND(E11*I11,2)),"")</f>
        <v>33049890.31</v>
      </c>
      <c r="N11" s="28" cm="1">
        <f t="array" ref="N11">IF(F11&gt;0,IF($D11&lt;=0,0,ROUND(F11*J11,2)),"")</f>
        <v>33049890.31</v>
      </c>
    </row>
    <row r="12" ht="20.5" customHeight="1">
      <c r="A12" t="s" s="18">
        <v>97</v>
      </c>
      <c r="B12" t="s" s="19">
        <v>98</v>
      </c>
      <c r="C12" s="20"/>
      <c r="D12" s="78">
        <v>2.15</v>
      </c>
      <c r="E12" s="21" cm="1">
        <f t="array" ref="E12">D12</f>
        <v>2.15</v>
      </c>
      <c r="F12" s="21" cm="1">
        <f t="array" ref="F12">D12</f>
        <v>2.15</v>
      </c>
      <c r="G12" t="s" s="22">
        <v>27</v>
      </c>
      <c r="H12" s="21">
        <v>965230.39</v>
      </c>
      <c r="I12" s="21">
        <v>965230.39</v>
      </c>
      <c r="J12" s="21">
        <v>965230.39</v>
      </c>
      <c r="K12" s="21">
        <v>11</v>
      </c>
      <c r="L12" s="21" cm="1">
        <f t="array" ref="L12">IF(D12&gt;0,IF($D12&lt;=0,0,D12*H12),"")</f>
        <v>2075245.3385</v>
      </c>
      <c r="M12" s="21" cm="1">
        <f t="array" ref="M12">IF(E12&gt;0,IF($D12&lt;=0,0,ROUND(E12*I12,2)),"")</f>
        <v>2075245.34</v>
      </c>
      <c r="N12" s="23" cm="1">
        <f t="array" ref="N12">IF(F12&gt;0,IF($D12&lt;=0,0,ROUND(F12*J12,2)),"")</f>
        <v>2075245.34</v>
      </c>
    </row>
    <row r="13" ht="20.5" customHeight="1">
      <c r="A13" t="s" s="18">
        <v>99</v>
      </c>
      <c r="B13" t="s" s="19">
        <v>159</v>
      </c>
      <c r="C13" s="24"/>
      <c r="D13" s="26">
        <v>2450.197</v>
      </c>
      <c r="E13" s="26" cm="1">
        <f t="array" ref="E13">D13</f>
        <v>2450.197</v>
      </c>
      <c r="F13" s="26" cm="1">
        <f t="array" ref="F13">D13</f>
        <v>2450.197</v>
      </c>
      <c r="G13" t="s" s="27">
        <v>154</v>
      </c>
      <c r="H13" s="26">
        <v>19187.75</v>
      </c>
      <c r="I13" s="122">
        <v>19169.64</v>
      </c>
      <c r="J13" s="122">
        <v>19169.64</v>
      </c>
      <c r="K13" s="26">
        <v>11</v>
      </c>
      <c r="L13" s="26" cm="1">
        <f t="array" ref="L13">IF(D13&gt;0,IF($D13&lt;=0,0,D13*H13),"")</f>
        <v>47013767.48675</v>
      </c>
      <c r="M13" s="26" cm="1">
        <f t="array" ref="M13">IF(E13&gt;0,IF($D13&lt;=0,0,ROUND(E13*I13,2)),"")</f>
        <v>46969394.42</v>
      </c>
      <c r="N13" s="28" cm="1">
        <f t="array" ref="N13">IF(F13&gt;0,IF($D13&lt;=0,0,ROUND(F13*J13,2)),"")</f>
        <v>46969394.42</v>
      </c>
    </row>
    <row r="14" ht="32.5" customHeight="1">
      <c r="A14" s="29"/>
      <c r="B14" t="s" s="19">
        <v>104</v>
      </c>
      <c r="C14" s="20"/>
      <c r="D14" s="79"/>
      <c r="E14" s="21"/>
      <c r="F14" s="21"/>
      <c r="G14" s="79"/>
      <c r="H14" s="21"/>
      <c r="I14" s="79"/>
      <c r="J14" s="79"/>
      <c r="K14" s="21"/>
      <c r="L14" t="str" s="79" cm="1">
        <f t="array" ref="L14">IF(D14&gt;0,IF($D14&lt;=0,0,D14*H14),"")</f>
      </c>
      <c r="M14" t="str" s="79" cm="1">
        <f t="array" ref="M14">IF(E14&gt;0,IF($D14&lt;=0,0,ROUND(E14*I14,2)),"")</f>
      </c>
      <c r="N14" t="str" s="91" cm="1">
        <f t="array" ref="N14">IF(F14&gt;0,IF($D14&lt;=0,0,ROUND(F14*J14,2)),"")</f>
      </c>
    </row>
    <row r="15" ht="20.5" customHeight="1">
      <c r="A15" t="s" s="18">
        <v>105</v>
      </c>
      <c r="B15" t="s" s="19">
        <v>106</v>
      </c>
      <c r="C15" s="24"/>
      <c r="D15" s="25">
        <v>70</v>
      </c>
      <c r="E15" s="26" cm="1">
        <f t="array" ref="E15">D15</f>
        <v>70</v>
      </c>
      <c r="F15" s="26" cm="1">
        <f t="array" ref="F15">D15</f>
        <v>70</v>
      </c>
      <c r="G15" t="s" s="27">
        <v>107</v>
      </c>
      <c r="H15" s="26">
        <v>72459.990000000005</v>
      </c>
      <c r="I15" s="26">
        <v>72459.990000000005</v>
      </c>
      <c r="J15" s="26">
        <v>72459.990000000005</v>
      </c>
      <c r="K15" s="26">
        <v>11</v>
      </c>
      <c r="L15" s="26" cm="1">
        <f t="array" ref="L15">IF(D15&gt;0,IF($D15&lt;=0,0,D15*H15),"")</f>
        <v>5072199.3</v>
      </c>
      <c r="M15" s="26" cm="1">
        <f t="array" ref="M15">IF(E15&gt;0,IF($D15&lt;=0,0,ROUND(E15*I15,2)),"")</f>
        <v>5072199.3</v>
      </c>
      <c r="N15" s="28" cm="1">
        <f t="array" ref="N15">IF(F15&gt;0,IF($D15&lt;=0,0,ROUND(F15*J15,2)),"")</f>
        <v>5072199.3</v>
      </c>
    </row>
    <row r="16" ht="20.5" customHeight="1">
      <c r="A16" s="29"/>
      <c r="B16" t="s" s="19">
        <v>160</v>
      </c>
      <c r="C16" s="20"/>
      <c r="D16" s="79"/>
      <c r="E16" s="21"/>
      <c r="F16" s="21"/>
      <c r="G16" s="79"/>
      <c r="H16" s="21"/>
      <c r="I16" s="79"/>
      <c r="J16" s="79"/>
      <c r="K16" s="21"/>
      <c r="L16" t="str" s="79" cm="1">
        <f t="array" ref="L16">IF(D16&gt;0,IF($D16&lt;=0,0,D16*H16),"")</f>
      </c>
      <c r="M16" t="str" s="79" cm="1">
        <f t="array" ref="M16">IF(E16&gt;0,IF($D16&lt;=0,0,ROUND(E16*I16,2)),"")</f>
      </c>
      <c r="N16" t="str" s="91" cm="1">
        <f t="array" ref="N16">IF(F16&gt;0,IF($D16&lt;=0,0,ROUND(F16*J16,2)),"")</f>
      </c>
    </row>
    <row r="17" ht="20.5" customHeight="1">
      <c r="A17" t="s" s="18">
        <v>161</v>
      </c>
      <c r="B17" t="s" s="19">
        <v>162</v>
      </c>
      <c r="C17" s="24"/>
      <c r="D17" s="25">
        <v>3.12</v>
      </c>
      <c r="E17" s="26" cm="1">
        <f t="array" ref="E17">D17</f>
        <v>3.12</v>
      </c>
      <c r="F17" s="26" cm="1">
        <f t="array" ref="F17">D17</f>
        <v>3.12</v>
      </c>
      <c r="G17" t="s" s="27">
        <v>35</v>
      </c>
      <c r="H17" s="26">
        <v>57824.69</v>
      </c>
      <c r="I17" s="26">
        <v>57817.76</v>
      </c>
      <c r="J17" s="26">
        <v>57817.76</v>
      </c>
      <c r="K17" s="26">
        <v>11</v>
      </c>
      <c r="L17" s="26" cm="1">
        <f t="array" ref="L17">IF(D17&gt;0,IF($D17&lt;=0,0,D17*H17),"")</f>
        <v>180413.0328</v>
      </c>
      <c r="M17" s="26" cm="1">
        <f t="array" ref="M17">IF(E17&gt;0,IF($D17&lt;=0,0,ROUND(E17*I17,2)),"")</f>
        <v>180391.41</v>
      </c>
      <c r="N17" s="28" cm="1">
        <f t="array" ref="N17">IF(F17&gt;0,IF($D17&lt;=0,0,ROUND(F17*J17,2)),"")</f>
        <v>180391.41</v>
      </c>
    </row>
    <row r="18" ht="20.5" customHeight="1">
      <c r="A18" s="29"/>
      <c r="B18" t="s" s="19">
        <v>36</v>
      </c>
      <c r="C18" s="20"/>
      <c r="D18" s="21"/>
      <c r="E18" s="21"/>
      <c r="F18" s="21"/>
      <c r="G18" s="79"/>
      <c r="H18" s="79"/>
      <c r="I18" s="79"/>
      <c r="J18" s="79"/>
      <c r="K18" s="21"/>
      <c r="L18" t="str" s="79" cm="1">
        <f t="array" ref="L18">IF(D18&gt;0,IF($D18&lt;=0,0,D18*H18),"")</f>
      </c>
      <c r="M18" s="21"/>
      <c r="N18" s="23"/>
    </row>
    <row r="19" ht="20.6" customHeight="1">
      <c r="A19" s="33">
        <v>1</v>
      </c>
      <c r="B19" t="s" s="34">
        <v>37</v>
      </c>
      <c r="C19" s="80"/>
      <c r="D19" s="81">
        <v>1</v>
      </c>
      <c r="E19" s="81" cm="1">
        <f t="array" ref="E19">D19</f>
        <v>1</v>
      </c>
      <c r="F19" s="81" cm="1">
        <f t="array" ref="F19">D19</f>
        <v>1</v>
      </c>
      <c r="G19" t="s" s="82">
        <v>19</v>
      </c>
      <c r="H19" s="81">
        <v>305804.14</v>
      </c>
      <c r="I19" s="81">
        <v>305499.86</v>
      </c>
      <c r="J19" s="81">
        <v>305499.86</v>
      </c>
      <c r="K19" s="81">
        <v>0</v>
      </c>
      <c r="L19" s="81" cm="1">
        <f t="array" ref="L19">IF(D19&gt;0,IF($D19&lt;=0,0,D19*H19),"")</f>
        <v>305804.14</v>
      </c>
      <c r="M19" s="81" cm="1">
        <f t="array" ref="M19">IF(E19&gt;0,IF($D19&lt;=0,0,ROUND(E19*I19,2)),"")</f>
        <v>305499.86</v>
      </c>
      <c r="N19" s="83" cm="1">
        <f t="array" ref="N19">IF(F19&gt;0,IF($D19&lt;=0,0,ROUND(F19*J19,2)),"")</f>
        <v>305499.86</v>
      </c>
    </row>
    <row r="20" ht="8.75" customHeight="1" hidden="1">
      <c r="A20" s="39"/>
      <c r="B20" s="40"/>
      <c r="C20" s="45"/>
      <c r="D20" s="46"/>
      <c r="E20" s="46"/>
      <c r="F20" s="46"/>
      <c r="G20" s="47"/>
      <c r="H20" s="46"/>
      <c r="I20" s="46"/>
      <c r="J20" s="46"/>
      <c r="K20" s="46"/>
      <c r="L20" s="46"/>
      <c r="M20" s="46"/>
      <c r="N20" s="48"/>
    </row>
    <row r="21" ht="8.75" customHeight="1" hidden="1">
      <c r="A21" s="39"/>
      <c r="B21" s="40"/>
      <c r="C21" s="41"/>
      <c r="D21" s="42"/>
      <c r="E21" s="42"/>
      <c r="F21" s="42"/>
      <c r="G21" s="43"/>
      <c r="H21" s="42"/>
      <c r="I21" s="42"/>
      <c r="J21" s="42"/>
      <c r="K21" s="42"/>
      <c r="L21" s="42"/>
      <c r="M21" s="42"/>
      <c r="N21" s="44"/>
    </row>
    <row r="22" ht="8.75" customHeight="1" hidden="1">
      <c r="A22" s="39"/>
      <c r="B22" s="40"/>
      <c r="C22" s="45"/>
      <c r="D22" s="46"/>
      <c r="E22" s="46"/>
      <c r="F22" s="46"/>
      <c r="G22" s="47"/>
      <c r="H22" s="46"/>
      <c r="I22" s="46"/>
      <c r="J22" s="46"/>
      <c r="K22" s="46"/>
      <c r="L22" s="46"/>
      <c r="M22" s="46"/>
      <c r="N22" s="48"/>
    </row>
    <row r="23" ht="8.75" customHeight="1" hidden="1">
      <c r="A23" s="39"/>
      <c r="B23" s="40"/>
      <c r="C23" s="41"/>
      <c r="D23" s="42"/>
      <c r="E23" s="42"/>
      <c r="F23" s="42"/>
      <c r="G23" s="43"/>
      <c r="H23" s="42"/>
      <c r="I23" s="42"/>
      <c r="J23" s="42"/>
      <c r="K23" s="42"/>
      <c r="L23" s="42"/>
      <c r="M23" s="42"/>
      <c r="N23" s="44"/>
    </row>
    <row r="24" ht="8.75" customHeight="1" hidden="1">
      <c r="A24" s="39"/>
      <c r="B24" s="40"/>
      <c r="C24" s="45"/>
      <c r="D24" s="46"/>
      <c r="E24" s="46"/>
      <c r="F24" s="46"/>
      <c r="G24" s="47"/>
      <c r="H24" s="46"/>
      <c r="I24" s="46"/>
      <c r="J24" s="46"/>
      <c r="K24" s="46"/>
      <c r="L24" s="46"/>
      <c r="M24" s="46"/>
      <c r="N24" s="48"/>
    </row>
    <row r="25" ht="8.75" customHeight="1" hidden="1">
      <c r="A25" s="39"/>
      <c r="B25" s="40"/>
      <c r="C25" s="41"/>
      <c r="D25" s="42"/>
      <c r="E25" s="42"/>
      <c r="F25" s="42"/>
      <c r="G25" s="43"/>
      <c r="H25" s="42"/>
      <c r="I25" s="42"/>
      <c r="J25" s="42"/>
      <c r="K25" s="42"/>
      <c r="L25" s="42"/>
      <c r="M25" s="42"/>
      <c r="N25" s="44"/>
    </row>
    <row r="26" ht="8.75" customHeight="1" hidden="1">
      <c r="A26" s="39"/>
      <c r="B26" s="40"/>
      <c r="C26" s="45"/>
      <c r="D26" s="46"/>
      <c r="E26" s="46"/>
      <c r="F26" s="46"/>
      <c r="G26" s="47"/>
      <c r="H26" s="47"/>
      <c r="I26" s="47"/>
      <c r="J26" s="47"/>
      <c r="K26" s="46"/>
      <c r="L26" s="47"/>
      <c r="M26" s="47"/>
      <c r="N26" s="52"/>
    </row>
    <row r="27" ht="8.75" customHeight="1" hidden="1">
      <c r="A27" s="39"/>
      <c r="B27" s="40"/>
      <c r="C27" s="41"/>
      <c r="D27" s="42"/>
      <c r="E27" s="42"/>
      <c r="F27" s="42"/>
      <c r="G27" s="43"/>
      <c r="H27" s="84"/>
      <c r="I27" s="84"/>
      <c r="J27" s="84"/>
      <c r="K27" s="42"/>
      <c r="L27" s="42"/>
      <c r="M27" s="42"/>
      <c r="N27" s="44"/>
    </row>
    <row r="28" ht="8.75" customHeight="1" hidden="1">
      <c r="A28" s="39"/>
      <c r="B28" s="40"/>
      <c r="C28" s="45"/>
      <c r="D28" s="46"/>
      <c r="E28" s="46"/>
      <c r="F28" s="46"/>
      <c r="G28" s="47"/>
      <c r="H28" s="47"/>
      <c r="I28" s="47"/>
      <c r="J28" s="47"/>
      <c r="K28" s="46"/>
      <c r="L28" s="47"/>
      <c r="M28" s="47"/>
      <c r="N28" s="52"/>
    </row>
    <row r="29" ht="8.75" customHeight="1" hidden="1">
      <c r="A29" s="39"/>
      <c r="B29" s="40"/>
      <c r="C29" s="41"/>
      <c r="D29" s="42"/>
      <c r="E29" s="42"/>
      <c r="F29" s="42"/>
      <c r="G29" s="43"/>
      <c r="H29" s="42"/>
      <c r="I29" s="42"/>
      <c r="J29" s="42"/>
      <c r="K29" s="42"/>
      <c r="L29" s="42"/>
      <c r="M29" s="42"/>
      <c r="N29" s="44"/>
    </row>
    <row r="30" ht="8.75" customHeight="1" hidden="1">
      <c r="A30" s="39"/>
      <c r="B30" s="40"/>
      <c r="C30" s="45"/>
      <c r="D30" s="46"/>
      <c r="E30" s="46"/>
      <c r="F30" s="46"/>
      <c r="G30" s="47"/>
      <c r="H30" s="46"/>
      <c r="I30" s="46"/>
      <c r="J30" s="46"/>
      <c r="K30" s="46"/>
      <c r="L30" s="46"/>
      <c r="M30" s="46"/>
      <c r="N30" s="48"/>
    </row>
    <row r="31" ht="8.75" customHeight="1" hidden="1">
      <c r="A31" s="51"/>
      <c r="B31" s="40"/>
      <c r="C31" s="41"/>
      <c r="D31" s="42"/>
      <c r="E31" s="42"/>
      <c r="F31" s="42"/>
      <c r="G31" s="43"/>
      <c r="H31" s="42"/>
      <c r="I31" s="42"/>
      <c r="J31" s="42"/>
      <c r="K31" s="42"/>
      <c r="L31" s="42"/>
      <c r="M31" s="42"/>
      <c r="N31" s="44"/>
    </row>
    <row r="32" ht="8.75" customHeight="1" hidden="1">
      <c r="A32" s="51"/>
      <c r="B32" s="40"/>
      <c r="C32" s="45"/>
      <c r="D32" s="46"/>
      <c r="E32" s="46"/>
      <c r="F32" s="46"/>
      <c r="G32" s="47"/>
      <c r="H32" s="46"/>
      <c r="I32" s="46"/>
      <c r="J32" s="46"/>
      <c r="K32" s="46"/>
      <c r="L32" s="46"/>
      <c r="M32" s="46"/>
      <c r="N32" s="48"/>
    </row>
    <row r="33" ht="8.75" customHeight="1" hidden="1">
      <c r="A33" s="39"/>
      <c r="B33" s="40"/>
      <c r="C33" s="41"/>
      <c r="D33" s="42"/>
      <c r="E33" s="42"/>
      <c r="F33" s="42"/>
      <c r="G33" s="43"/>
      <c r="H33" s="42"/>
      <c r="I33" s="42"/>
      <c r="J33" s="42"/>
      <c r="K33" s="42"/>
      <c r="L33" s="43"/>
      <c r="M33" s="43"/>
      <c r="N33" s="49"/>
    </row>
    <row r="34" ht="8.75" customHeight="1" hidden="1">
      <c r="A34" s="39"/>
      <c r="B34" s="40"/>
      <c r="C34" s="45"/>
      <c r="D34" s="46"/>
      <c r="E34" s="46"/>
      <c r="F34" s="46"/>
      <c r="G34" s="47"/>
      <c r="H34" s="46"/>
      <c r="I34" s="46"/>
      <c r="J34" s="46"/>
      <c r="K34" s="46"/>
      <c r="L34" s="46"/>
      <c r="M34" s="46"/>
      <c r="N34" s="48"/>
    </row>
    <row r="35" ht="8.75" customHeight="1" hidden="1">
      <c r="A35" s="39"/>
      <c r="B35" s="40"/>
      <c r="C35" s="41"/>
      <c r="D35" s="42"/>
      <c r="E35" s="42"/>
      <c r="F35" s="42"/>
      <c r="G35" s="43"/>
      <c r="H35" s="42"/>
      <c r="I35" s="42"/>
      <c r="J35" s="42"/>
      <c r="K35" s="42"/>
      <c r="L35" s="43"/>
      <c r="M35" s="43"/>
      <c r="N35" s="49"/>
    </row>
    <row r="36" ht="20.85" customHeight="1">
      <c r="A36" s="53"/>
      <c r="B36" s="54"/>
      <c r="C36" s="54"/>
      <c r="D36" s="55"/>
      <c r="E36" s="55"/>
      <c r="F36" s="55"/>
      <c r="G36" s="56"/>
      <c r="H36" s="56"/>
      <c r="I36" s="54"/>
      <c r="J36" s="57"/>
      <c r="K36" t="s" s="58">
        <v>38</v>
      </c>
      <c r="L36" s="59" cm="1">
        <f t="array" ref="L36">SUM(L1:L35)</f>
        <v>134940212.34049</v>
      </c>
      <c r="M36" s="59" cm="1">
        <f t="array" ref="M36">SUM(M1:M35)</f>
        <v>134779767.95</v>
      </c>
      <c r="N36" s="59" cm="1">
        <f t="array" ref="N36">SUM(N1:N35)</f>
        <v>134779767.95</v>
      </c>
    </row>
    <row r="37" ht="21" customHeight="1">
      <c r="A37" s="60"/>
      <c r="B37" t="s" s="61">
        <v>39</v>
      </c>
      <c r="C37" s="62"/>
      <c r="D37" s="63" cm="1">
        <f t="array" ref="D37">ROUND(IF(L37&lt;=100000000,L37*0.24%,IF(AND(L37&gt;100000000,L37&lt;=500000000),100000000*0.24%+(L37-100000000)*0.19%,IF(AND(L37&gt;500000000,L37&lt;=1000000000),100000000*0.24%+400000000*0.19%+(L37-500000000)*0.15%,IF(AND(L37&gt;1000000000,L37&lt;=5000000000),100000000*0.24%+400000000*0.19%+500000000*0.15%+(L37-1000000000)*0.12%,IF(L37&gt;5000000000,100000000*0.24%+400000000*0.19%+500000000*0.15%+4000000000*0.12%+(L37-5000000000)*0.1%,"Bingung komputer"))))),2)</f>
        <v>305805.38</v>
      </c>
      <c r="E37" s="64" cm="1">
        <f t="array" ref="E37">ROUND(IF(M37&lt;=100000000,M37*0.24%,IF(AND(M37&gt;100000000,M37&lt;=500000000),100000000*0.24%+(M37-100000000)*0.19%,IF(AND(M37&gt;500000000,M37&lt;=1000000000),100000000*0.24%+400000000*0.19%+(M37-500000000)*0.15%,IF(AND(M37&gt;1000000000,M37&lt;=5000000000),100000000*0.24%+400000000*0.19%+500000000*0.15%+(M37-1000000000)*0.12%,IF(M37&gt;5000000000,100000000*0.24%+400000000*0.19%+500000000*0.15%+4000000000*0.12%+(M37-5000000000)*0.1%,"Bingung komputer"))))),2)</f>
        <v>305501.11</v>
      </c>
      <c r="F37" s="64" cm="1">
        <f t="array" ref="F37">ROUND(IF(N37&lt;=100000000,N37*0.24%,IF(AND(N37&gt;100000000,N37&lt;=500000000),100000000*0.24%+(N37-100000000)*0.19%,IF(AND(N37&gt;500000000,N37&lt;=1000000000),100000000*0.24%+400000000*0.19%+(N37-500000000)*0.15%,IF(AND(N37&gt;1000000000,N37&lt;=5000000000),100000000*0.24%+400000000*0.19%+500000000*0.15%+(N37-1000000000)*0.12%,IF(N37&gt;5000000000,100000000*0.24%+400000000*0.19%+500000000*0.15%+4000000000*0.12%+(N37-5000000000)*0.1%,"Bingung komputer"))))),2)</f>
        <v>305501.11</v>
      </c>
      <c r="G37" s="65"/>
      <c r="H37" s="66"/>
      <c r="I37" s="62"/>
      <c r="J37" s="67"/>
      <c r="K37" t="str" s="67" cm="1">
        <f t="array" ref="K37">"Jumlah Terkena Pajak "&amp;MAX(K3:K35)&amp;"% (B)"</f>
        <v>Jumlah Terkena Pajak 11,00% (B)</v>
      </c>
      <c r="L37" s="68" cm="1">
        <f t="array" ref="L37">SUMIF($K3:$K35,"&gt;0",L3:L35)</f>
        <v>134634408.20049</v>
      </c>
      <c r="M37" s="69" cm="1">
        <f t="array" ref="M37">SUMIF($K3:$K35,"&gt;0",M3:M35)</f>
        <v>134474268.09</v>
      </c>
      <c r="N37" s="69" cm="1">
        <f t="array" ref="N37">SUMIF($K3:$K35,"&gt;0",N3:N35)</f>
        <v>134474268.09</v>
      </c>
    </row>
    <row r="38" ht="21" customHeight="1">
      <c r="A38" s="70"/>
      <c r="B38" s="71"/>
      <c r="C38" s="71"/>
      <c r="D38" s="72"/>
      <c r="E38" s="72"/>
      <c r="F38" s="71"/>
      <c r="G38" s="72"/>
      <c r="H38" s="72"/>
      <c r="I38" s="71"/>
      <c r="J38" s="73"/>
      <c r="K38" t="str" s="73" cm="1">
        <f t="array" ref="K38">"PPN (C) = "&amp;MAX(K3:K35)&amp;"% x B"</f>
        <v>PPN (C) = 11,00% x B</v>
      </c>
      <c r="L38" s="74" cm="1">
        <f t="array" ref="L38">L37*MAX($K3:$K35)%</f>
        <v>14809784.9020539</v>
      </c>
      <c r="M38" s="69" cm="1">
        <f t="array" ref="M38">M37*MAX($K3:$K35)%</f>
        <v>14792169.4899</v>
      </c>
      <c r="N38" s="69" cm="1">
        <f t="array" ref="N38">N37*MAX($K3:$K35)%</f>
        <v>14792169.4899</v>
      </c>
    </row>
    <row r="39" ht="21" customHeight="1">
      <c r="A39" s="70"/>
      <c r="B39" s="71"/>
      <c r="C39" s="71"/>
      <c r="D39" s="72"/>
      <c r="E39" s="72"/>
      <c r="F39" s="72"/>
      <c r="G39" s="72"/>
      <c r="H39" s="72"/>
      <c r="I39" s="71"/>
      <c r="J39" s="73"/>
      <c r="K39" t="s" s="75">
        <v>42</v>
      </c>
      <c r="L39" s="76" cm="1">
        <f t="array" ref="L39">L36+L38</f>
        <v>149749997.242544</v>
      </c>
      <c r="M39" s="69" cm="1">
        <f t="array" ref="M39">M36+M38</f>
        <v>149571937.4399</v>
      </c>
      <c r="N39" s="69" cm="1">
        <f t="array" ref="N39">N36+N38</f>
        <v>149571937.4399</v>
      </c>
    </row>
    <row r="40" ht="20.5" customHeight="1">
      <c r="A40" s="70"/>
      <c r="B40" s="71"/>
      <c r="C40" s="71"/>
      <c r="D40" s="72"/>
      <c r="E40" s="72"/>
      <c r="F40" s="72"/>
      <c r="G40" s="72"/>
      <c r="H40" s="72"/>
      <c r="I40" s="71"/>
      <c r="J40" s="73"/>
      <c r="K40" t="s" s="75">
        <v>43</v>
      </c>
      <c r="L40" s="68" cm="1">
        <f t="array" ref="L40">ROUNDDOWN(L39,2)</f>
        <v>149749997.24</v>
      </c>
      <c r="M40" s="68" cm="1">
        <f t="array" ref="M40">ROUNDDOWN(M39,2)</f>
        <v>149571937.43</v>
      </c>
      <c r="N40" s="68" cm="1">
        <f t="array" ref="N40">ROUNDDOWN(N39,-3)</f>
        <v>149571000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26.xml><?xml version="1.0" encoding="utf-8"?>
<worksheet xmlns:r="http://schemas.openxmlformats.org/officeDocument/2006/relationships" xmlns="http://schemas.openxmlformats.org/spreadsheetml/2006/main">
  <sheetPr>
    <pageSetUpPr fitToPage="1"/>
  </sheetPr>
  <dimension ref="A1:N31"/>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130" customWidth="1"/>
    <col min="2" max="2" width="43.0312" style="130" customWidth="1"/>
    <col min="3" max="3" width="2.75" style="130" customWidth="1"/>
    <col min="4" max="6" width="10.3672" style="130" customWidth="1"/>
    <col min="7" max="7" width="11.6875" style="130" customWidth="1"/>
    <col min="8" max="11" width="13.5156" style="130" customWidth="1"/>
    <col min="12" max="14" width="14.2344" style="130" customWidth="1"/>
    <col min="15" max="16384" width="16.3516" style="130"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16</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t="s" s="18">
        <v>17</v>
      </c>
      <c r="B4" t="s" s="19">
        <v>18</v>
      </c>
      <c r="C4" s="20"/>
      <c r="D4" s="21">
        <v>1</v>
      </c>
      <c r="E4" s="21" cm="1">
        <f t="array" ref="E4">D4</f>
        <v>1</v>
      </c>
      <c r="F4" s="21" cm="1">
        <f t="array" ref="F4">D4</f>
        <v>1</v>
      </c>
      <c r="G4" t="s" s="22">
        <v>19</v>
      </c>
      <c r="H4" s="21">
        <v>27750000</v>
      </c>
      <c r="I4" s="21">
        <v>27150000</v>
      </c>
      <c r="J4" s="21">
        <v>27150000</v>
      </c>
      <c r="K4" s="21">
        <v>11</v>
      </c>
      <c r="L4" s="21" cm="1">
        <f t="array" ref="L4">IF(D4&gt;0,IF($D4&lt;=0,0,D4*H4),"")</f>
        <v>27750000</v>
      </c>
      <c r="M4" s="21" cm="1">
        <f t="array" ref="M4">IF(E4&gt;0,IF($D4&lt;=0,0,ROUND(E4*I4,2)),"")</f>
        <v>27150000</v>
      </c>
      <c r="N4" s="23" cm="1">
        <f t="array" ref="N4">IF(F4&gt;0,IF($D4&lt;=0,0,ROUND(F4*J4,2)),"")</f>
        <v>27150000</v>
      </c>
    </row>
    <row r="5" ht="20.5" customHeight="1">
      <c r="A5" s="29"/>
      <c r="B5" t="s" s="19">
        <v>45</v>
      </c>
      <c r="C5" s="24"/>
      <c r="D5" s="30"/>
      <c r="E5" s="26"/>
      <c r="F5" s="26"/>
      <c r="G5" s="30"/>
      <c r="H5" s="26"/>
      <c r="I5" s="30"/>
      <c r="J5" s="30"/>
      <c r="K5" s="26"/>
      <c r="L5" t="str" s="30" cm="1">
        <f t="array" ref="L5">IF(D5&gt;0,IF($D5&lt;=0,0,D5*H5),"")</f>
      </c>
      <c r="M5" t="str" s="30" cm="1">
        <f t="array" ref="M5">IF(E5&gt;0,IF($D5&lt;=0,0,ROUND(E5*I5,2)),"")</f>
      </c>
      <c r="N5" t="str" s="31" cm="1">
        <f t="array" ref="N5">IF(F5&gt;0,IF($D5&lt;=0,0,ROUND(F5*J5,2)),"")</f>
      </c>
    </row>
    <row r="6" ht="20.5" customHeight="1">
      <c r="A6" t="s" s="18">
        <v>86</v>
      </c>
      <c r="B6" t="s" s="19">
        <v>30</v>
      </c>
      <c r="C6" s="20"/>
      <c r="D6" s="78">
        <v>1196</v>
      </c>
      <c r="E6" s="21" cm="1">
        <f t="array" ref="E6">D6</f>
        <v>1196</v>
      </c>
      <c r="F6" s="21" cm="1">
        <f t="array" ref="F6">D6</f>
        <v>1196</v>
      </c>
      <c r="G6" t="s" s="22">
        <v>27</v>
      </c>
      <c r="H6" s="21">
        <v>35993.51</v>
      </c>
      <c r="I6" s="32">
        <v>35993.51</v>
      </c>
      <c r="J6" s="32">
        <v>35993.51</v>
      </c>
      <c r="K6" s="21">
        <v>11</v>
      </c>
      <c r="L6" s="21" cm="1">
        <f t="array" ref="L6">IF(D6&gt;0,IF($D6&lt;=0,0,D6*H6),"")</f>
        <v>43048237.96</v>
      </c>
      <c r="M6" s="21" cm="1">
        <f t="array" ref="M6">IF(E6&gt;0,IF($D6&lt;=0,0,ROUND(E6*I6,2)),"")</f>
        <v>43048237.96</v>
      </c>
      <c r="N6" s="23" cm="1">
        <f t="array" ref="N6">IF(F6&gt;0,IF($D6&lt;=0,0,ROUND(F6*J6,2)),"")</f>
        <v>43048237.96</v>
      </c>
    </row>
    <row r="7" ht="20.5" customHeight="1">
      <c r="A7" t="s" s="18">
        <v>46</v>
      </c>
      <c r="B7" t="s" s="19">
        <v>47</v>
      </c>
      <c r="C7" s="24"/>
      <c r="D7" s="25">
        <v>472</v>
      </c>
      <c r="E7" s="26" cm="1">
        <f t="array" ref="E7">D7</f>
        <v>472</v>
      </c>
      <c r="F7" s="26" cm="1">
        <f t="array" ref="F7">D7</f>
        <v>472</v>
      </c>
      <c r="G7" t="s" s="27">
        <v>27</v>
      </c>
      <c r="H7" s="26">
        <v>210664.02</v>
      </c>
      <c r="I7" s="122">
        <v>210664.02</v>
      </c>
      <c r="J7" s="122">
        <v>210664.02</v>
      </c>
      <c r="K7" s="26">
        <v>11</v>
      </c>
      <c r="L7" s="26" cm="1">
        <f t="array" ref="L7">IF(D7&gt;0,IF($D7&lt;=0,0,D7*H7),"")</f>
        <v>99433417.44</v>
      </c>
      <c r="M7" s="26" cm="1">
        <f t="array" ref="M7">IF(E7&gt;0,IF($D7&lt;=0,0,ROUND(E7*I7,2)),"")</f>
        <v>99433417.44</v>
      </c>
      <c r="N7" s="28" cm="1">
        <f t="array" ref="N7">IF(F7&gt;0,IF($D7&lt;=0,0,ROUND(F7*J7,2)),"")</f>
        <v>99433417.44</v>
      </c>
    </row>
    <row r="8" ht="20.5" customHeight="1">
      <c r="A8" t="s" s="18">
        <v>33</v>
      </c>
      <c r="B8" t="s" s="19">
        <v>34</v>
      </c>
      <c r="C8" s="20"/>
      <c r="D8" s="21">
        <v>2655</v>
      </c>
      <c r="E8" s="21" cm="1">
        <f t="array" ref="E8">D8</f>
        <v>2655</v>
      </c>
      <c r="F8" s="21" cm="1">
        <f t="array" ref="F8">D8</f>
        <v>2655</v>
      </c>
      <c r="G8" t="s" s="22">
        <v>35</v>
      </c>
      <c r="H8" s="78">
        <v>1817.45</v>
      </c>
      <c r="I8" s="32">
        <v>1817.45</v>
      </c>
      <c r="J8" s="32">
        <v>1817.45</v>
      </c>
      <c r="K8" s="21">
        <v>11</v>
      </c>
      <c r="L8" s="21" cm="1">
        <f t="array" ref="L8">IF(D8&gt;0,IF($D8&lt;=0,0,D8*H8),"")</f>
        <v>4825329.75</v>
      </c>
      <c r="M8" s="21" cm="1">
        <f t="array" ref="M8">IF(E8&gt;0,IF($D8&lt;=0,0,ROUND(E8*I8,2)),"")</f>
        <v>4825329.75</v>
      </c>
      <c r="N8" s="23" cm="1">
        <f t="array" ref="N8">IF(F8&gt;0,IF($D8&lt;=0,0,ROUND(F8*J8,2)),"")</f>
        <v>4825329.75</v>
      </c>
    </row>
    <row r="9" ht="20.5" customHeight="1">
      <c r="A9" s="29"/>
      <c r="B9" t="s" s="19">
        <v>36</v>
      </c>
      <c r="C9" s="24"/>
      <c r="D9" s="26"/>
      <c r="E9" s="26"/>
      <c r="F9" s="26"/>
      <c r="G9" s="30"/>
      <c r="H9" s="30"/>
      <c r="I9" s="30"/>
      <c r="J9" s="30"/>
      <c r="K9" s="26"/>
      <c r="L9" t="str" s="30" cm="1">
        <f t="array" ref="L9">IF(D9&gt;0,IF($D9&lt;=0,0,D9*H10),"")</f>
      </c>
      <c r="M9" s="26"/>
      <c r="N9" s="28"/>
    </row>
    <row r="10" ht="20.6" customHeight="1">
      <c r="A10" s="33">
        <v>1</v>
      </c>
      <c r="B10" t="s" s="34">
        <v>37</v>
      </c>
      <c r="C10" s="35"/>
      <c r="D10" s="36">
        <v>1</v>
      </c>
      <c r="E10" s="36" cm="1">
        <f t="array" ref="E10">D10</f>
        <v>1</v>
      </c>
      <c r="F10" s="36" cm="1">
        <f t="array" ref="F10">D10</f>
        <v>1</v>
      </c>
      <c r="G10" t="s" s="37">
        <v>19</v>
      </c>
      <c r="H10" s="131">
        <v>382608</v>
      </c>
      <c r="I10" s="36">
        <v>381468</v>
      </c>
      <c r="J10" s="36">
        <v>381468</v>
      </c>
      <c r="K10" s="36">
        <v>0</v>
      </c>
      <c r="L10" s="36" cm="1">
        <f t="array" ref="L10">IF(D10&gt;0,IF($D10&lt;=0,0,D10*H10),"")</f>
        <v>382608</v>
      </c>
      <c r="M10" s="36" cm="1">
        <f t="array" ref="M10">IF(E10&gt;0,IF($D10&lt;=0,0,ROUND(E10*I10,2)),"")</f>
        <v>381468</v>
      </c>
      <c r="N10" s="38" cm="1">
        <f t="array" ref="N10">IF(F10&gt;0,IF($D10&lt;=0,0,ROUND(F10*J10,2)),"")</f>
        <v>381468</v>
      </c>
    </row>
    <row r="11" ht="8.75" customHeight="1" hidden="1">
      <c r="A11" s="39"/>
      <c r="B11" s="40"/>
      <c r="C11" s="41"/>
      <c r="D11" s="42"/>
      <c r="E11" s="42"/>
      <c r="F11" s="42"/>
      <c r="G11" s="43"/>
      <c r="H11" s="42"/>
      <c r="I11" s="42"/>
      <c r="J11" s="42"/>
      <c r="K11" s="42"/>
      <c r="L11" s="42"/>
      <c r="M11" s="42"/>
      <c r="N11" s="44"/>
    </row>
    <row r="12" ht="8.75" customHeight="1" hidden="1">
      <c r="A12" s="39"/>
      <c r="B12" s="40"/>
      <c r="C12" s="45"/>
      <c r="D12" s="46"/>
      <c r="E12" s="46"/>
      <c r="F12" s="46"/>
      <c r="G12" s="47"/>
      <c r="H12" s="46"/>
      <c r="I12" s="46"/>
      <c r="J12" s="46"/>
      <c r="K12" s="46"/>
      <c r="L12" s="46"/>
      <c r="M12" s="46"/>
      <c r="N12" s="48"/>
    </row>
    <row r="13" ht="8.75" customHeight="1" hidden="1">
      <c r="A13" s="39"/>
      <c r="B13" s="40"/>
      <c r="C13" s="41"/>
      <c r="D13" s="42"/>
      <c r="E13" s="42"/>
      <c r="F13" s="42"/>
      <c r="G13" s="43"/>
      <c r="H13" s="42"/>
      <c r="I13" s="42"/>
      <c r="J13" s="42"/>
      <c r="K13" s="42"/>
      <c r="L13" s="42"/>
      <c r="M13" s="42"/>
      <c r="N13" s="44"/>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2"/>
      <c r="I15" s="42"/>
      <c r="J15" s="42"/>
      <c r="K15" s="42"/>
      <c r="L15" s="42"/>
      <c r="M15" s="42"/>
      <c r="N15" s="44"/>
    </row>
    <row r="16" ht="8.75" customHeight="1" hidden="1">
      <c r="A16" s="39"/>
      <c r="B16" s="40"/>
      <c r="C16" s="45"/>
      <c r="D16" s="46"/>
      <c r="E16" s="46"/>
      <c r="F16" s="46"/>
      <c r="G16" s="47"/>
      <c r="H16" s="46"/>
      <c r="I16" s="46"/>
      <c r="J16" s="46"/>
      <c r="K16" s="46"/>
      <c r="L16" s="46"/>
      <c r="M16" s="46"/>
      <c r="N16" s="48"/>
    </row>
    <row r="17" ht="8.75" customHeight="1" hidden="1">
      <c r="A17" s="39"/>
      <c r="B17" s="40"/>
      <c r="C17" s="41"/>
      <c r="D17" s="42"/>
      <c r="E17" s="42"/>
      <c r="F17" s="42"/>
      <c r="G17" s="43"/>
      <c r="H17" s="43"/>
      <c r="I17" s="43"/>
      <c r="J17" s="43"/>
      <c r="K17" s="42"/>
      <c r="L17" s="43"/>
      <c r="M17" s="43"/>
      <c r="N17" s="49"/>
    </row>
    <row r="18" ht="8.75" customHeight="1" hidden="1">
      <c r="A18" s="39"/>
      <c r="B18" s="40"/>
      <c r="C18" s="45"/>
      <c r="D18" s="46"/>
      <c r="E18" s="46"/>
      <c r="F18" s="46"/>
      <c r="G18" s="47"/>
      <c r="H18" s="50"/>
      <c r="I18" s="50"/>
      <c r="J18" s="50"/>
      <c r="K18" s="46"/>
      <c r="L18" s="46"/>
      <c r="M18" s="46"/>
      <c r="N18" s="48"/>
    </row>
    <row r="19" ht="8.75" customHeight="1" hidden="1">
      <c r="A19" s="39"/>
      <c r="B19" s="40"/>
      <c r="C19" s="41"/>
      <c r="D19" s="42"/>
      <c r="E19" s="42"/>
      <c r="F19" s="42"/>
      <c r="G19" s="43"/>
      <c r="H19" s="43"/>
      <c r="I19" s="43"/>
      <c r="J19" s="43"/>
      <c r="K19" s="42"/>
      <c r="L19" s="43"/>
      <c r="M19" s="43"/>
      <c r="N19" s="49"/>
    </row>
    <row r="20" ht="8.75" customHeight="1" hidden="1">
      <c r="A20" s="39"/>
      <c r="B20" s="40"/>
      <c r="C20" s="45"/>
      <c r="D20" s="46"/>
      <c r="E20" s="46"/>
      <c r="F20" s="46"/>
      <c r="G20" s="47"/>
      <c r="H20" s="46"/>
      <c r="I20" s="46"/>
      <c r="J20" s="46"/>
      <c r="K20" s="46"/>
      <c r="L20" s="46"/>
      <c r="M20" s="46"/>
      <c r="N20" s="48"/>
    </row>
    <row r="21" ht="8.75" customHeight="1" hidden="1">
      <c r="A21" s="39"/>
      <c r="B21" s="40"/>
      <c r="C21" s="41"/>
      <c r="D21" s="42"/>
      <c r="E21" s="42"/>
      <c r="F21" s="42"/>
      <c r="G21" s="43"/>
      <c r="H21" s="42"/>
      <c r="I21" s="42"/>
      <c r="J21" s="42"/>
      <c r="K21" s="42"/>
      <c r="L21" s="42"/>
      <c r="M21" s="42"/>
      <c r="N21" s="44"/>
    </row>
    <row r="22" ht="8.75" customHeight="1" hidden="1">
      <c r="A22" s="51"/>
      <c r="B22" s="40"/>
      <c r="C22" s="45"/>
      <c r="D22" s="46"/>
      <c r="E22" s="46"/>
      <c r="F22" s="46"/>
      <c r="G22" s="47"/>
      <c r="H22" s="46"/>
      <c r="I22" s="46"/>
      <c r="J22" s="46"/>
      <c r="K22" s="46"/>
      <c r="L22" s="46"/>
      <c r="M22" s="46"/>
      <c r="N22" s="48"/>
    </row>
    <row r="23" ht="8.75" customHeight="1" hidden="1">
      <c r="A23" s="51"/>
      <c r="B23" s="40"/>
      <c r="C23" s="41"/>
      <c r="D23" s="42"/>
      <c r="E23" s="42"/>
      <c r="F23" s="42"/>
      <c r="G23" s="43"/>
      <c r="H23" s="42"/>
      <c r="I23" s="42"/>
      <c r="J23" s="42"/>
      <c r="K23" s="42"/>
      <c r="L23" s="42"/>
      <c r="M23" s="42"/>
      <c r="N23" s="44"/>
    </row>
    <row r="24" ht="8.75" customHeight="1" hidden="1">
      <c r="A24" s="39"/>
      <c r="B24" s="40"/>
      <c r="C24" s="45"/>
      <c r="D24" s="46"/>
      <c r="E24" s="46"/>
      <c r="F24" s="46"/>
      <c r="G24" s="47"/>
      <c r="H24" s="46"/>
      <c r="I24" s="46"/>
      <c r="J24" s="46"/>
      <c r="K24" s="46"/>
      <c r="L24" s="47"/>
      <c r="M24" s="47"/>
      <c r="N24" s="52"/>
    </row>
    <row r="25" ht="8.75" customHeight="1" hidden="1">
      <c r="A25" s="39"/>
      <c r="B25" s="40"/>
      <c r="C25" s="41"/>
      <c r="D25" s="42"/>
      <c r="E25" s="42"/>
      <c r="F25" s="42"/>
      <c r="G25" s="43"/>
      <c r="H25" s="42"/>
      <c r="I25" s="42"/>
      <c r="J25" s="42"/>
      <c r="K25" s="42"/>
      <c r="L25" s="42"/>
      <c r="M25" s="42"/>
      <c r="N25" s="44"/>
    </row>
    <row r="26" ht="8.75" customHeight="1" hidden="1">
      <c r="A26" s="39"/>
      <c r="B26" s="40"/>
      <c r="C26" s="45"/>
      <c r="D26" s="46"/>
      <c r="E26" s="46"/>
      <c r="F26" s="46"/>
      <c r="G26" s="47"/>
      <c r="H26" s="46"/>
      <c r="I26" s="46"/>
      <c r="J26" s="46"/>
      <c r="K26" s="46"/>
      <c r="L26" s="47"/>
      <c r="M26" s="47"/>
      <c r="N26" s="52"/>
    </row>
    <row r="27" ht="20.85" customHeight="1">
      <c r="A27" s="53"/>
      <c r="B27" s="54"/>
      <c r="C27" s="54"/>
      <c r="D27" s="55"/>
      <c r="E27" s="55"/>
      <c r="F27" s="55"/>
      <c r="G27" s="56"/>
      <c r="H27" s="56"/>
      <c r="I27" s="54"/>
      <c r="J27" s="57"/>
      <c r="K27" t="s" s="58">
        <v>38</v>
      </c>
      <c r="L27" s="59" cm="1">
        <f t="array" ref="L27">SUM(L1:L26)</f>
        <v>175439593.15</v>
      </c>
      <c r="M27" s="59" cm="1">
        <f t="array" ref="M27">SUM(M1:M26)</f>
        <v>174838453.15</v>
      </c>
      <c r="N27" s="59" cm="1">
        <f t="array" ref="N27">SUM(N1:N26)</f>
        <v>174838453.15</v>
      </c>
    </row>
    <row r="28" ht="21" customHeight="1">
      <c r="A28" s="60"/>
      <c r="B28" t="s" s="61">
        <v>39</v>
      </c>
      <c r="C28" s="62"/>
      <c r="D28" s="63" cm="1">
        <f t="array" ref="D28">ROUND(IF(L28&lt;=100000000,L28*0.24%,IF(AND(L28&gt;100000000,L28&lt;=500000000),100000000*0.24%+(L28-100000000)*0.19%,IF(AND(L28&gt;500000000,L28&lt;=1000000000),100000000*0.24%+400000000*0.19%+(L28-500000000)*0.15%,IF(AND(L28&gt;1000000000,L28&lt;=5000000000),100000000*0.24%+400000000*0.19%+500000000*0.15%+(L28-1000000000)*0.12%,IF(L28&gt;5000000000,100000000*0.24%+400000000*0.19%+500000000*0.15%+4000000000*0.12%+(L28-5000000000)*0.1%,"Bingung komputer"))))),2)</f>
        <v>382608.27</v>
      </c>
      <c r="E28" s="64" cm="1">
        <f t="array" ref="E28">ROUND(IF(M28&lt;=100000000,M28*0.24%,IF(AND(M28&gt;100000000,M28&lt;=500000000),100000000*0.24%+(M28-100000000)*0.19%,IF(AND(M28&gt;500000000,M28&lt;=1000000000),100000000*0.24%+400000000*0.19%+(M28-500000000)*0.15%,IF(AND(M28&gt;1000000000,M28&lt;=5000000000),100000000*0.24%+400000000*0.19%+500000000*0.15%+(M28-1000000000)*0.12%,IF(M28&gt;5000000000,100000000*0.24%+400000000*0.19%+500000000*0.15%+4000000000*0.12%+(M28-5000000000)*0.1%,"Bingung komputer"))))),2)</f>
        <v>381468.27</v>
      </c>
      <c r="F28" s="64" cm="1">
        <f t="array" ref="F28">ROUND(IF(N28&lt;=100000000,N28*0.24%,IF(AND(N28&gt;100000000,N28&lt;=500000000),100000000*0.24%+(N28-100000000)*0.19%,IF(AND(N28&gt;500000000,N28&lt;=1000000000),100000000*0.24%+400000000*0.19%+(N28-500000000)*0.15%,IF(AND(N28&gt;1000000000,N28&lt;=5000000000),100000000*0.24%+400000000*0.19%+500000000*0.15%+(N28-1000000000)*0.12%,IF(N28&gt;5000000000,100000000*0.24%+400000000*0.19%+500000000*0.15%+4000000000*0.12%+(N28-5000000000)*0.1%,"Bingung komputer"))))),2)</f>
        <v>381468.27</v>
      </c>
      <c r="G28" s="65"/>
      <c r="H28" s="66"/>
      <c r="I28" s="62"/>
      <c r="J28" s="67"/>
      <c r="K28" t="str" s="67" cm="1">
        <f t="array" ref="K28">"Jumlah Terkena Pajak "&amp;MAX(K3:K26)&amp;"% (B)"</f>
        <v>Jumlah Terkena Pajak 11,00% (B)</v>
      </c>
      <c r="L28" s="68" cm="1">
        <f t="array" ref="L28">SUMIF($K3:$K26,"&gt;0",L3:L26)</f>
        <v>175056985.15</v>
      </c>
      <c r="M28" s="69" cm="1">
        <f t="array" ref="M28">SUMIF($K3:$K26,"&gt;0",M3:M26)</f>
        <v>174456985.15</v>
      </c>
      <c r="N28" s="69" cm="1">
        <f t="array" ref="N28">SUMIF($K3:$K26,"&gt;0",N3:N26)</f>
        <v>174456985.15</v>
      </c>
    </row>
    <row r="29" ht="21" customHeight="1">
      <c r="A29" s="70"/>
      <c r="B29" s="71"/>
      <c r="C29" s="71"/>
      <c r="D29" s="72"/>
      <c r="E29" s="72"/>
      <c r="F29" s="71"/>
      <c r="G29" s="72"/>
      <c r="H29" s="72"/>
      <c r="I29" s="71"/>
      <c r="J29" s="73"/>
      <c r="K29" t="str" s="73" cm="1">
        <f t="array" ref="K29">"PPN (C) = "&amp;MAX(K3:K26)&amp;"% x B"</f>
        <v>PPN (C) = 11,00% x B</v>
      </c>
      <c r="L29" s="74" cm="1">
        <f t="array" ref="L29">L28*MAX($K3:$K26)%</f>
        <v>19256268.3665</v>
      </c>
      <c r="M29" s="69" cm="1">
        <f t="array" ref="M29">M28*MAX($K3:$K26)%</f>
        <v>19190268.3665</v>
      </c>
      <c r="N29" s="69" cm="1">
        <f t="array" ref="N29">N28*MAX($K3:$K26)%</f>
        <v>19190268.3665</v>
      </c>
    </row>
    <row r="30" ht="21" customHeight="1">
      <c r="A30" s="70"/>
      <c r="B30" s="71"/>
      <c r="C30" s="71"/>
      <c r="D30" s="72"/>
      <c r="E30" s="72"/>
      <c r="F30" s="72"/>
      <c r="G30" s="72"/>
      <c r="H30" s="72"/>
      <c r="I30" s="71"/>
      <c r="J30" s="73"/>
      <c r="K30" t="s" s="75">
        <v>42</v>
      </c>
      <c r="L30" s="76" cm="1">
        <f t="array" ref="L30">L27+L29</f>
        <v>194695861.5165</v>
      </c>
      <c r="M30" s="69" cm="1">
        <f t="array" ref="M30">M27+M29</f>
        <v>194028721.5165</v>
      </c>
      <c r="N30" s="69" cm="1">
        <f t="array" ref="N30">N27+N29</f>
        <v>194028721.5165</v>
      </c>
    </row>
    <row r="31" ht="20.5" customHeight="1">
      <c r="A31" s="70"/>
      <c r="B31" s="71"/>
      <c r="C31" s="71"/>
      <c r="D31" s="72"/>
      <c r="E31" s="72"/>
      <c r="F31" s="72"/>
      <c r="G31" s="72"/>
      <c r="H31" s="72"/>
      <c r="I31" s="71"/>
      <c r="J31" s="73"/>
      <c r="K31" t="s" s="75">
        <v>43</v>
      </c>
      <c r="L31" s="68" cm="1">
        <f t="array" ref="L31">ROUNDDOWN(L30,2)</f>
        <v>194695861.51</v>
      </c>
      <c r="M31" s="68" cm="1">
        <f t="array" ref="M31">ROUNDDOWN(M30,2)</f>
        <v>194028721.51</v>
      </c>
      <c r="N31" s="68" cm="1">
        <f t="array" ref="N31">ROUNDDOWN(N30,-3)</f>
        <v>194028000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27.xml><?xml version="1.0" encoding="utf-8"?>
<worksheet xmlns:r="http://schemas.openxmlformats.org/officeDocument/2006/relationships" xmlns="http://schemas.openxmlformats.org/spreadsheetml/2006/main">
  <sheetPr>
    <pageSetUpPr fitToPage="1"/>
  </sheetPr>
  <dimension ref="A1:I7"/>
  <sheetViews>
    <sheetView workbookViewId="0" showGridLines="0" defaultGridColor="1"/>
  </sheetViews>
  <sheetFormatPr defaultColWidth="16.6667" defaultRowHeight="19.9" customHeight="1" outlineLevelRow="0" outlineLevelCol="0"/>
  <cols>
    <col min="1" max="1" width="130.883" style="132" customWidth="1"/>
    <col min="2" max="3" width="18.0312" style="132" customWidth="1"/>
    <col min="4" max="5" width="21.3828" style="132" customWidth="1"/>
    <col min="6" max="6" width="9.71094" style="132" customWidth="1"/>
    <col min="7" max="7" width="21.3828" style="132" customWidth="1"/>
    <col min="8" max="9" width="26.3828" style="132" customWidth="1"/>
    <col min="10" max="16384" width="16.6719" style="132" customWidth="1"/>
  </cols>
  <sheetData>
    <row r="1" ht="21.2" customHeight="1">
      <c r="A1" t="s" s="133">
        <v>16</v>
      </c>
      <c r="B1" s="134"/>
      <c r="C1" s="134"/>
      <c r="D1" s="134"/>
      <c r="E1" s="134"/>
      <c r="F1" s="134"/>
      <c r="G1" s="134"/>
      <c r="H1" s="134"/>
      <c r="I1" s="134"/>
    </row>
    <row r="2" ht="21.2" customHeight="1">
      <c r="A2" t="s" s="133">
        <v>18</v>
      </c>
      <c r="B2" t="s" s="133">
        <v>19</v>
      </c>
      <c r="C2" t="s" s="133">
        <v>169</v>
      </c>
      <c r="D2" t="s" s="133">
        <v>170</v>
      </c>
      <c r="E2" t="s" s="133">
        <v>170</v>
      </c>
      <c r="F2" s="135">
        <v>11</v>
      </c>
      <c r="G2" t="s" s="133">
        <v>171</v>
      </c>
      <c r="H2" s="134"/>
      <c r="I2" s="134"/>
    </row>
    <row r="3" ht="21.2" customHeight="1">
      <c r="A3" t="s" s="133">
        <v>172</v>
      </c>
      <c r="B3" s="134"/>
      <c r="C3" s="134"/>
      <c r="D3" s="134"/>
      <c r="E3" s="134"/>
      <c r="F3" s="134"/>
      <c r="G3" s="134"/>
      <c r="H3" s="134"/>
      <c r="I3" s="134"/>
    </row>
    <row r="4" ht="21.2" customHeight="1">
      <c r="A4" t="s" s="133">
        <v>30</v>
      </c>
      <c r="B4" t="s" s="133">
        <v>27</v>
      </c>
      <c r="C4" t="s" s="133">
        <v>173</v>
      </c>
      <c r="D4" t="s" s="133">
        <v>174</v>
      </c>
      <c r="E4" t="s" s="133">
        <v>175</v>
      </c>
      <c r="F4" s="135">
        <v>11</v>
      </c>
      <c r="G4" t="s" s="133">
        <v>176</v>
      </c>
      <c r="H4" s="134"/>
      <c r="I4" s="134"/>
    </row>
    <row r="5" ht="21.2" customHeight="1">
      <c r="A5" t="s" s="133">
        <v>47</v>
      </c>
      <c r="B5" t="s" s="133">
        <v>27</v>
      </c>
      <c r="C5" t="s" s="133">
        <v>177</v>
      </c>
      <c r="D5" t="s" s="133">
        <v>178</v>
      </c>
      <c r="E5" t="s" s="133">
        <v>179</v>
      </c>
      <c r="F5" s="135">
        <v>11</v>
      </c>
      <c r="G5" t="s" s="133">
        <v>180</v>
      </c>
      <c r="H5" s="134"/>
      <c r="I5" s="134"/>
    </row>
    <row r="6" ht="21.2" customHeight="1">
      <c r="A6" t="s" s="133">
        <v>34</v>
      </c>
      <c r="B6" t="s" s="133">
        <v>35</v>
      </c>
      <c r="C6" t="s" s="133">
        <v>181</v>
      </c>
      <c r="D6" t="s" s="133">
        <v>182</v>
      </c>
      <c r="E6" t="s" s="133">
        <v>183</v>
      </c>
      <c r="F6" s="135">
        <v>11</v>
      </c>
      <c r="G6" t="s" s="133">
        <v>184</v>
      </c>
      <c r="H6" s="134"/>
      <c r="I6" s="134"/>
    </row>
    <row r="7" ht="21.2" customHeight="1">
      <c r="A7" t="s" s="133">
        <v>185</v>
      </c>
      <c r="B7" t="s" s="133">
        <v>19</v>
      </c>
      <c r="C7" t="s" s="133">
        <v>169</v>
      </c>
      <c r="D7" t="s" s="133">
        <v>186</v>
      </c>
      <c r="E7" t="s" s="133">
        <v>186</v>
      </c>
      <c r="F7" s="135">
        <v>0</v>
      </c>
      <c r="G7" t="s" s="133">
        <v>186</v>
      </c>
      <c r="H7" s="134"/>
      <c r="I7" s="134"/>
    </row>
  </sheetData>
  <mergeCells count="1">
    <mergeCell ref="G7:I7"/>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28.xml><?xml version="1.0" encoding="utf-8"?>
<worksheet xmlns:r="http://schemas.openxmlformats.org/officeDocument/2006/relationships" xmlns="http://schemas.openxmlformats.org/spreadsheetml/2006/main">
  <sheetPr>
    <pageSetUpPr fitToPage="1"/>
  </sheetPr>
  <dimension ref="A1:N32"/>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136" customWidth="1"/>
    <col min="2" max="2" width="43.0312" style="136" customWidth="1"/>
    <col min="3" max="3" width="2.75" style="136" customWidth="1"/>
    <col min="4" max="6" width="10.3672" style="136" customWidth="1"/>
    <col min="7" max="7" width="11.6875" style="136" customWidth="1"/>
    <col min="8" max="11" width="13.5156" style="136" customWidth="1"/>
    <col min="12" max="14" width="14.2344" style="136" customWidth="1"/>
    <col min="15" max="16384" width="16.3516" style="136"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16</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t="s" s="18">
        <v>17</v>
      </c>
      <c r="B4" t="s" s="19">
        <v>18</v>
      </c>
      <c r="C4" s="20"/>
      <c r="D4" s="21">
        <v>1</v>
      </c>
      <c r="E4" s="21" cm="1">
        <f t="array" ref="E4">D4</f>
        <v>1</v>
      </c>
      <c r="F4" s="21" cm="1">
        <f t="array" ref="F4">D4</f>
        <v>1</v>
      </c>
      <c r="G4" t="s" s="22">
        <v>19</v>
      </c>
      <c r="H4" s="21">
        <v>12793750</v>
      </c>
      <c r="I4" s="21">
        <v>12793750</v>
      </c>
      <c r="J4" s="21">
        <v>12793750</v>
      </c>
      <c r="K4" s="21">
        <v>11</v>
      </c>
      <c r="L4" s="21" cm="1">
        <f t="array" ref="L4">IF(D4&gt;0,IF($D4&lt;=0,0,D4*H4),"")</f>
        <v>12793750</v>
      </c>
      <c r="M4" s="21" cm="1">
        <f t="array" ref="M4">IF(E4&gt;0,IF($D4&lt;=0,0,ROUND(E4*I4,2)),"")</f>
        <v>12793750</v>
      </c>
      <c r="N4" s="23" cm="1">
        <f t="array" ref="N4">IF(F4&gt;0,IF($D4&lt;=0,0,ROUND(F4*J4,2)),"")</f>
        <v>12793750</v>
      </c>
    </row>
    <row r="5" ht="20.5" customHeight="1">
      <c r="A5" t="s" s="18">
        <v>20</v>
      </c>
      <c r="B5" t="s" s="19">
        <v>189</v>
      </c>
      <c r="C5" s="24"/>
      <c r="D5" s="26">
        <v>1</v>
      </c>
      <c r="E5" s="26" cm="1">
        <f t="array" ref="E5">D5</f>
        <v>1</v>
      </c>
      <c r="F5" s="26" cm="1">
        <f t="array" ref="F5">D5</f>
        <v>1</v>
      </c>
      <c r="G5" t="s" s="27">
        <v>19</v>
      </c>
      <c r="H5" s="26">
        <v>660000</v>
      </c>
      <c r="I5" s="26">
        <v>560000</v>
      </c>
      <c r="J5" s="26">
        <v>560000</v>
      </c>
      <c r="K5" s="26">
        <v>11</v>
      </c>
      <c r="L5" s="26" cm="1">
        <f t="array" ref="L5">IF(D5&gt;0,IF($D5&lt;=0,0,D5*H5),"")</f>
        <v>660000</v>
      </c>
      <c r="M5" s="26" cm="1">
        <f t="array" ref="M5">IF(E5&gt;0,IF($D5&lt;=0,0,ROUND(E5*I5,2)),"")</f>
        <v>560000</v>
      </c>
      <c r="N5" s="28" cm="1">
        <f t="array" ref="N5">IF(F5&gt;0,IF($D5&lt;=0,0,ROUND(F5*J5,2)),"")</f>
        <v>560000</v>
      </c>
    </row>
    <row r="6" ht="20.5" customHeight="1">
      <c r="A6" t="s" s="18">
        <v>22</v>
      </c>
      <c r="B6" t="s" s="19">
        <v>23</v>
      </c>
      <c r="C6" s="20"/>
      <c r="D6" s="21">
        <v>1</v>
      </c>
      <c r="E6" s="21" cm="1">
        <f t="array" ref="E6">D6</f>
        <v>1</v>
      </c>
      <c r="F6" s="21" cm="1">
        <f t="array" ref="F6">D6</f>
        <v>1</v>
      </c>
      <c r="G6" t="s" s="22">
        <v>19</v>
      </c>
      <c r="H6" s="21">
        <v>5289000</v>
      </c>
      <c r="I6" s="21">
        <v>5289000</v>
      </c>
      <c r="J6" s="21">
        <v>5289000</v>
      </c>
      <c r="K6" s="21">
        <v>11</v>
      </c>
      <c r="L6" s="21" cm="1">
        <f t="array" ref="L6">IF(D6&gt;0,IF($D6&lt;=0,0,D6*H6),"")</f>
        <v>5289000</v>
      </c>
      <c r="M6" s="21" cm="1">
        <f t="array" ref="M6">IF(E6&gt;0,IF($D6&lt;=0,0,ROUND(E6*I6,2)),"")</f>
        <v>5289000</v>
      </c>
      <c r="N6" s="23" cm="1">
        <f t="array" ref="N6">IF(F6&gt;0,IF($D6&lt;=0,0,ROUND(F6*J6,2)),"")</f>
        <v>5289000</v>
      </c>
    </row>
    <row r="7" ht="20.5" customHeight="1">
      <c r="A7" s="29"/>
      <c r="B7" t="s" s="19">
        <v>28</v>
      </c>
      <c r="C7" s="24"/>
      <c r="D7" s="30"/>
      <c r="E7" s="26"/>
      <c r="F7" s="26"/>
      <c r="G7" s="30"/>
      <c r="H7" s="26"/>
      <c r="I7" s="30"/>
      <c r="J7" s="30"/>
      <c r="K7" s="26"/>
      <c r="L7" t="str" s="30" cm="1">
        <f t="array" ref="L7">IF(D7&gt;0,IF($D7&lt;=0,0,D7*H7),"")</f>
      </c>
      <c r="M7" t="str" s="30" cm="1">
        <f t="array" ref="M7">IF(E7&gt;0,IF($D7&lt;=0,0,ROUND(E7*I7,2)),"")</f>
      </c>
      <c r="N7" t="str" s="31" cm="1">
        <f t="array" ref="N7">IF(F7&gt;0,IF($D7&lt;=0,0,ROUND(F7*J7,2)),"")</f>
      </c>
    </row>
    <row r="8" ht="20.5" customHeight="1">
      <c r="A8" t="s" s="18">
        <v>31</v>
      </c>
      <c r="B8" t="s" s="19">
        <v>32</v>
      </c>
      <c r="C8" s="20"/>
      <c r="D8" s="78">
        <v>434.6</v>
      </c>
      <c r="E8" s="21" cm="1">
        <f t="array" ref="E8">D8</f>
        <v>434.6</v>
      </c>
      <c r="F8" s="21" cm="1">
        <f t="array" ref="F8">D8</f>
        <v>434.6</v>
      </c>
      <c r="G8" t="s" s="22">
        <v>27</v>
      </c>
      <c r="H8" s="21">
        <v>339545.59</v>
      </c>
      <c r="I8" s="21">
        <v>339545.59</v>
      </c>
      <c r="J8" s="21">
        <v>339545.59</v>
      </c>
      <c r="K8" s="21">
        <v>11</v>
      </c>
      <c r="L8" s="21" cm="1">
        <f t="array" ref="L8">IF(D8&gt;0,IF($D8&lt;=0,0,D8*H8),"")</f>
        <v>147566513.414</v>
      </c>
      <c r="M8" s="21" cm="1">
        <f t="array" ref="M8">IF(E8&gt;0,IF($D8&lt;=0,0,ROUND(E8*I8,2)),"")</f>
        <v>147566513.41</v>
      </c>
      <c r="N8" s="23" cm="1">
        <f t="array" ref="N8">IF(F8&gt;0,IF($D8&lt;=0,0,ROUND(F8*J8,2)),"")</f>
        <v>147566513.41</v>
      </c>
    </row>
    <row r="9" ht="20.5" customHeight="1">
      <c r="A9" t="s" s="18">
        <v>33</v>
      </c>
      <c r="B9" t="s" s="19">
        <v>34</v>
      </c>
      <c r="C9" s="24"/>
      <c r="D9" s="25">
        <v>2523.5</v>
      </c>
      <c r="E9" s="26" cm="1">
        <f t="array" ref="E9">D9</f>
        <v>2523.5</v>
      </c>
      <c r="F9" s="26" cm="1">
        <f t="array" ref="F9">D9</f>
        <v>2523.5</v>
      </c>
      <c r="G9" t="s" s="27">
        <v>35</v>
      </c>
      <c r="H9" s="26">
        <v>3563.33</v>
      </c>
      <c r="I9" s="26">
        <v>3563.33</v>
      </c>
      <c r="J9" s="26">
        <v>3563.33</v>
      </c>
      <c r="K9" s="26">
        <v>11</v>
      </c>
      <c r="L9" s="26" cm="1">
        <f t="array" ref="L9">IF(D9&gt;0,IF($D9&lt;=0,0,D9*H9),"")</f>
        <v>8992063.255000001</v>
      </c>
      <c r="M9" s="26" cm="1">
        <f t="array" ref="M9">IF(E9&gt;0,IF($D9&lt;=0,0,ROUND(E9*I9,2)),"")</f>
        <v>8992063.26</v>
      </c>
      <c r="N9" s="28" cm="1">
        <f t="array" ref="N9">IF(F9&gt;0,IF($D9&lt;=0,0,ROUND(F9*J9,2)),"")</f>
        <v>8992063.26</v>
      </c>
    </row>
    <row r="10" ht="20.5" customHeight="1">
      <c r="A10" s="29"/>
      <c r="B10" t="s" s="19">
        <v>36</v>
      </c>
      <c r="C10" s="20"/>
      <c r="D10" s="21"/>
      <c r="E10" s="21"/>
      <c r="F10" s="21"/>
      <c r="G10" s="79"/>
      <c r="H10" s="79"/>
      <c r="I10" s="79"/>
      <c r="J10" s="79"/>
      <c r="K10" s="21"/>
      <c r="L10" t="str" s="79" cm="1">
        <f t="array" ref="L10">IF(D10&gt;0,IF($D10&lt;=0,0,D10*H11),"")</f>
      </c>
      <c r="M10" s="21"/>
      <c r="N10" s="23"/>
    </row>
    <row r="11" ht="20.6" customHeight="1">
      <c r="A11" s="33">
        <v>1</v>
      </c>
      <c r="B11" t="s" s="34">
        <v>37</v>
      </c>
      <c r="C11" s="80"/>
      <c r="D11" s="81">
        <v>1</v>
      </c>
      <c r="E11" s="81" cm="1">
        <f t="array" ref="E11">D11</f>
        <v>1</v>
      </c>
      <c r="F11" s="81" cm="1">
        <f t="array" ref="F11">D11</f>
        <v>1</v>
      </c>
      <c r="G11" t="s" s="82">
        <v>19</v>
      </c>
      <c r="H11" s="137">
        <v>383072.53</v>
      </c>
      <c r="I11" s="138">
        <v>382882.53</v>
      </c>
      <c r="J11" s="138">
        <v>382882.53</v>
      </c>
      <c r="K11" s="81">
        <v>0</v>
      </c>
      <c r="L11" s="81" cm="1">
        <f t="array" ref="L11">IF(D11&gt;0,IF($D11&lt;=0,0,D11*H11),"")</f>
        <v>383072.53</v>
      </c>
      <c r="M11" s="81" cm="1">
        <f t="array" ref="M11">IF(E11&gt;0,IF($D11&lt;=0,0,ROUND(E11*I11,2)),"")</f>
        <v>382882.53</v>
      </c>
      <c r="N11" s="83" cm="1">
        <f t="array" ref="N11">IF(F11&gt;0,IF($D11&lt;=0,0,ROUND(F11*J11,2)),"")</f>
        <v>382882.53</v>
      </c>
    </row>
    <row r="12" ht="8.75" customHeight="1" hidden="1">
      <c r="A12" s="39"/>
      <c r="B12" s="40"/>
      <c r="C12" s="45"/>
      <c r="D12" s="46"/>
      <c r="E12" s="46"/>
      <c r="F12" s="46"/>
      <c r="G12" s="47"/>
      <c r="H12" s="46"/>
      <c r="I12" s="46"/>
      <c r="J12" s="46"/>
      <c r="K12" s="46"/>
      <c r="L12" s="46"/>
      <c r="M12" s="46"/>
      <c r="N12" s="48"/>
    </row>
    <row r="13" ht="8.75" customHeight="1" hidden="1">
      <c r="A13" s="39"/>
      <c r="B13" s="40"/>
      <c r="C13" s="41"/>
      <c r="D13" s="42"/>
      <c r="E13" s="42"/>
      <c r="F13" s="42"/>
      <c r="G13" s="43"/>
      <c r="H13" s="42"/>
      <c r="I13" s="42"/>
      <c r="J13" s="42"/>
      <c r="K13" s="42"/>
      <c r="L13" s="42"/>
      <c r="M13" s="42"/>
      <c r="N13" s="44"/>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2"/>
      <c r="I15" s="42"/>
      <c r="J15" s="42"/>
      <c r="K15" s="42"/>
      <c r="L15" s="42"/>
      <c r="M15" s="42"/>
      <c r="N15" s="44"/>
    </row>
    <row r="16" ht="8.75" customHeight="1" hidden="1">
      <c r="A16" s="39"/>
      <c r="B16" s="40"/>
      <c r="C16" s="45"/>
      <c r="D16" s="46"/>
      <c r="E16" s="46"/>
      <c r="F16" s="46"/>
      <c r="G16" s="47"/>
      <c r="H16" s="46"/>
      <c r="I16" s="46"/>
      <c r="J16" s="46"/>
      <c r="K16" s="46"/>
      <c r="L16" s="46"/>
      <c r="M16" s="46"/>
      <c r="N16" s="48"/>
    </row>
    <row r="17" ht="8.75" customHeight="1" hidden="1">
      <c r="A17" s="39"/>
      <c r="B17" s="40"/>
      <c r="C17" s="41"/>
      <c r="D17" s="42"/>
      <c r="E17" s="42"/>
      <c r="F17" s="42"/>
      <c r="G17" s="43"/>
      <c r="H17" s="42"/>
      <c r="I17" s="42"/>
      <c r="J17" s="42"/>
      <c r="K17" s="42"/>
      <c r="L17" s="42"/>
      <c r="M17" s="42"/>
      <c r="N17" s="44"/>
    </row>
    <row r="18" ht="8.75" customHeight="1" hidden="1">
      <c r="A18" s="39"/>
      <c r="B18" s="40"/>
      <c r="C18" s="45"/>
      <c r="D18" s="46"/>
      <c r="E18" s="46"/>
      <c r="F18" s="46"/>
      <c r="G18" s="47"/>
      <c r="H18" s="47"/>
      <c r="I18" s="47"/>
      <c r="J18" s="47"/>
      <c r="K18" s="46"/>
      <c r="L18" s="47"/>
      <c r="M18" s="47"/>
      <c r="N18" s="52"/>
    </row>
    <row r="19" ht="8.75" customHeight="1" hidden="1">
      <c r="A19" s="39"/>
      <c r="B19" s="40"/>
      <c r="C19" s="41"/>
      <c r="D19" s="42"/>
      <c r="E19" s="42"/>
      <c r="F19" s="42"/>
      <c r="G19" s="43"/>
      <c r="H19" s="84"/>
      <c r="I19" s="84"/>
      <c r="J19" s="84"/>
      <c r="K19" s="42"/>
      <c r="L19" s="42"/>
      <c r="M19" s="42"/>
      <c r="N19" s="44"/>
    </row>
    <row r="20" ht="8.75" customHeight="1" hidden="1">
      <c r="A20" s="39"/>
      <c r="B20" s="40"/>
      <c r="C20" s="45"/>
      <c r="D20" s="46"/>
      <c r="E20" s="46"/>
      <c r="F20" s="46"/>
      <c r="G20" s="47"/>
      <c r="H20" s="47"/>
      <c r="I20" s="47"/>
      <c r="J20" s="47"/>
      <c r="K20" s="46"/>
      <c r="L20" s="47"/>
      <c r="M20" s="47"/>
      <c r="N20" s="52"/>
    </row>
    <row r="21" ht="8.75" customHeight="1" hidden="1">
      <c r="A21" s="39"/>
      <c r="B21" s="40"/>
      <c r="C21" s="41"/>
      <c r="D21" s="42"/>
      <c r="E21" s="42"/>
      <c r="F21" s="42"/>
      <c r="G21" s="43"/>
      <c r="H21" s="42"/>
      <c r="I21" s="42"/>
      <c r="J21" s="42"/>
      <c r="K21" s="42"/>
      <c r="L21" s="42"/>
      <c r="M21" s="42"/>
      <c r="N21" s="44"/>
    </row>
    <row r="22" ht="8.75" customHeight="1" hidden="1">
      <c r="A22" s="39"/>
      <c r="B22" s="40"/>
      <c r="C22" s="45"/>
      <c r="D22" s="46"/>
      <c r="E22" s="46"/>
      <c r="F22" s="46"/>
      <c r="G22" s="47"/>
      <c r="H22" s="46"/>
      <c r="I22" s="46"/>
      <c r="J22" s="46"/>
      <c r="K22" s="46"/>
      <c r="L22" s="46"/>
      <c r="M22" s="46"/>
      <c r="N22" s="48"/>
    </row>
    <row r="23" ht="8.75" customHeight="1" hidden="1">
      <c r="A23" s="51"/>
      <c r="B23" s="40"/>
      <c r="C23" s="41"/>
      <c r="D23" s="42"/>
      <c r="E23" s="42"/>
      <c r="F23" s="42"/>
      <c r="G23" s="43"/>
      <c r="H23" s="42"/>
      <c r="I23" s="42"/>
      <c r="J23" s="42"/>
      <c r="K23" s="42"/>
      <c r="L23" s="42"/>
      <c r="M23" s="42"/>
      <c r="N23" s="44"/>
    </row>
    <row r="24" ht="8.75" customHeight="1" hidden="1">
      <c r="A24" s="51"/>
      <c r="B24" s="40"/>
      <c r="C24" s="45"/>
      <c r="D24" s="46"/>
      <c r="E24" s="46"/>
      <c r="F24" s="46"/>
      <c r="G24" s="47"/>
      <c r="H24" s="46"/>
      <c r="I24" s="46"/>
      <c r="J24" s="46"/>
      <c r="K24" s="46"/>
      <c r="L24" s="46"/>
      <c r="M24" s="46"/>
      <c r="N24" s="48"/>
    </row>
    <row r="25" ht="8.75" customHeight="1" hidden="1">
      <c r="A25" s="39"/>
      <c r="B25" s="40"/>
      <c r="C25" s="41"/>
      <c r="D25" s="42"/>
      <c r="E25" s="42"/>
      <c r="F25" s="42"/>
      <c r="G25" s="43"/>
      <c r="H25" s="42"/>
      <c r="I25" s="42"/>
      <c r="J25" s="42"/>
      <c r="K25" s="42"/>
      <c r="L25" s="43"/>
      <c r="M25" s="43"/>
      <c r="N25" s="49"/>
    </row>
    <row r="26" ht="8.75" customHeight="1" hidden="1">
      <c r="A26" s="39"/>
      <c r="B26" s="40"/>
      <c r="C26" s="45"/>
      <c r="D26" s="46"/>
      <c r="E26" s="46"/>
      <c r="F26" s="46"/>
      <c r="G26" s="47"/>
      <c r="H26" s="46"/>
      <c r="I26" s="46"/>
      <c r="J26" s="46"/>
      <c r="K26" s="46"/>
      <c r="L26" s="46"/>
      <c r="M26" s="46"/>
      <c r="N26" s="48"/>
    </row>
    <row r="27" ht="8.75" customHeight="1" hidden="1">
      <c r="A27" s="39"/>
      <c r="B27" s="40"/>
      <c r="C27" s="41"/>
      <c r="D27" s="42"/>
      <c r="E27" s="42"/>
      <c r="F27" s="42"/>
      <c r="G27" s="43"/>
      <c r="H27" s="42"/>
      <c r="I27" s="42"/>
      <c r="J27" s="42"/>
      <c r="K27" s="42"/>
      <c r="L27" s="43"/>
      <c r="M27" s="43"/>
      <c r="N27" s="49"/>
    </row>
    <row r="28" ht="20.85" customHeight="1">
      <c r="A28" s="53"/>
      <c r="B28" s="54"/>
      <c r="C28" s="54"/>
      <c r="D28" s="55"/>
      <c r="E28" s="55"/>
      <c r="F28" s="55"/>
      <c r="G28" s="56"/>
      <c r="H28" s="56"/>
      <c r="I28" s="54"/>
      <c r="J28" s="57"/>
      <c r="K28" t="s" s="58">
        <v>38</v>
      </c>
      <c r="L28" s="59" cm="1">
        <f t="array" ref="L28">SUM(L1:L27)</f>
        <v>175684399.199</v>
      </c>
      <c r="M28" s="59" cm="1">
        <f t="array" ref="M28">SUM(M1:M27)</f>
        <v>175584209.2</v>
      </c>
      <c r="N28" s="59" cm="1">
        <f t="array" ref="N28">SUM(N1:N27)</f>
        <v>175584209.2</v>
      </c>
    </row>
    <row r="29" ht="21" customHeight="1">
      <c r="A29" s="60"/>
      <c r="B29" t="s" s="61">
        <v>39</v>
      </c>
      <c r="C29" s="62"/>
      <c r="D29" s="63" cm="1">
        <f t="array" ref="D29">ROUND(IF(L29&lt;=100000000,L29*0.24%,IF(AND(L29&gt;100000000,L29&lt;=500000000),100000000*0.24%+(L29-100000000)*0.19%,IF(AND(L29&gt;500000000,L29&lt;=1000000000),100000000*0.24%+400000000*0.19%+(L29-500000000)*0.15%,IF(AND(L29&gt;1000000000,L29&lt;=5000000000),100000000*0.24%+400000000*0.19%+500000000*0.15%+(L29-1000000000)*0.12%,IF(L29&gt;5000000000,100000000*0.24%+400000000*0.19%+500000000*0.15%+4000000000*0.12%+(L29-5000000000)*0.1%,"Bingung komputer"))))),2)</f>
        <v>383072.52</v>
      </c>
      <c r="E29" s="64" cm="1">
        <f t="array" ref="E29">ROUND(IF(M29&lt;=100000000,M29*0.24%,IF(AND(M29&gt;100000000,M29&lt;=500000000),100000000*0.24%+(M29-100000000)*0.19%,IF(AND(M29&gt;500000000,M29&lt;=1000000000),100000000*0.24%+400000000*0.19%+(M29-500000000)*0.15%,IF(AND(M29&gt;1000000000,M29&lt;=5000000000),100000000*0.24%+400000000*0.19%+500000000*0.15%+(M29-1000000000)*0.12%,IF(M29&gt;5000000000,100000000*0.24%+400000000*0.19%+500000000*0.15%+4000000000*0.12%+(M29-5000000000)*0.1%,"Bingung komputer"))))),2)</f>
        <v>382882.52</v>
      </c>
      <c r="F29" s="64" cm="1">
        <f t="array" ref="F29">ROUND(IF(N29&lt;=100000000,N29*0.24%,IF(AND(N29&gt;100000000,N29&lt;=500000000),100000000*0.24%+(N29-100000000)*0.19%,IF(AND(N29&gt;500000000,N29&lt;=1000000000),100000000*0.24%+400000000*0.19%+(N29-500000000)*0.15%,IF(AND(N29&gt;1000000000,N29&lt;=5000000000),100000000*0.24%+400000000*0.19%+500000000*0.15%+(N29-1000000000)*0.12%,IF(N29&gt;5000000000,100000000*0.24%+400000000*0.19%+500000000*0.15%+4000000000*0.12%+(N29-5000000000)*0.1%,"Bingung komputer"))))),2)</f>
        <v>382882.52</v>
      </c>
      <c r="G29" s="65"/>
      <c r="H29" s="66"/>
      <c r="I29" s="62"/>
      <c r="J29" s="67"/>
      <c r="K29" t="str" s="67" cm="1">
        <f t="array" ref="K29">"Jumlah Terkena Pajak "&amp;MAX(K3:K27)&amp;"% (B)"</f>
        <v>Jumlah Terkena Pajak 11,00% (B)</v>
      </c>
      <c r="L29" s="68" cm="1">
        <f t="array" ref="L29">SUMIF($K3:$K27,"&gt;0",L3:L27)</f>
        <v>175301326.669</v>
      </c>
      <c r="M29" s="69" cm="1">
        <f t="array" ref="M29">SUMIF($K3:$K27,"&gt;0",M3:M27)</f>
        <v>175201326.67</v>
      </c>
      <c r="N29" s="69" cm="1">
        <f t="array" ref="N29">SUMIF($K3:$K27,"&gt;0",N3:N27)</f>
        <v>175201326.67</v>
      </c>
    </row>
    <row r="30" ht="21" customHeight="1">
      <c r="A30" s="70"/>
      <c r="B30" s="71"/>
      <c r="C30" s="71"/>
      <c r="D30" s="72"/>
      <c r="E30" s="72"/>
      <c r="F30" s="71"/>
      <c r="G30" s="72"/>
      <c r="H30" s="72"/>
      <c r="I30" s="71"/>
      <c r="J30" s="73"/>
      <c r="K30" t="str" s="73" cm="1">
        <f t="array" ref="K30">"PPN (C) = "&amp;MAX(K3:K27)&amp;"% x B"</f>
        <v>PPN (C) = 11,00% x B</v>
      </c>
      <c r="L30" s="74" cm="1">
        <f t="array" ref="L30">L29*MAX($K3:$K27)%</f>
        <v>19283145.93359</v>
      </c>
      <c r="M30" s="69" cm="1">
        <f t="array" ref="M30">M29*MAX($K3:$K27)%</f>
        <v>19272145.9337</v>
      </c>
      <c r="N30" s="69" cm="1">
        <f t="array" ref="N30">N29*MAX($K3:$K27)%</f>
        <v>19272145.9337</v>
      </c>
    </row>
    <row r="31" ht="21" customHeight="1">
      <c r="A31" s="70"/>
      <c r="B31" s="71"/>
      <c r="C31" s="71"/>
      <c r="D31" s="72"/>
      <c r="E31" s="72"/>
      <c r="F31" s="72"/>
      <c r="G31" s="72"/>
      <c r="H31" s="72"/>
      <c r="I31" s="71"/>
      <c r="J31" s="73"/>
      <c r="K31" t="s" s="75">
        <v>42</v>
      </c>
      <c r="L31" s="76" cm="1">
        <f t="array" ref="L31">L28+L30</f>
        <v>194967545.13259</v>
      </c>
      <c r="M31" s="69" cm="1">
        <f t="array" ref="M31">M28+M30</f>
        <v>194856355.1337</v>
      </c>
      <c r="N31" s="69" cm="1">
        <f t="array" ref="N31">N28+N30</f>
        <v>194856355.1337</v>
      </c>
    </row>
    <row r="32" ht="20.5" customHeight="1">
      <c r="A32" s="70"/>
      <c r="B32" s="71"/>
      <c r="C32" s="71"/>
      <c r="D32" s="72"/>
      <c r="E32" s="72"/>
      <c r="F32" s="72"/>
      <c r="G32" s="72"/>
      <c r="H32" s="72"/>
      <c r="I32" s="71"/>
      <c r="J32" s="73"/>
      <c r="K32" t="s" s="75">
        <v>43</v>
      </c>
      <c r="L32" s="68" cm="1">
        <f t="array" ref="L32">ROUNDDOWN(L31,2)</f>
        <v>194967545.13</v>
      </c>
      <c r="M32" s="68" cm="1">
        <f t="array" ref="M32">ROUNDDOWN(M31,2)</f>
        <v>194856355.13</v>
      </c>
      <c r="N32" s="68" cm="1">
        <f t="array" ref="N32">ROUNDDOWN(N31,-3)</f>
        <v>194856000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29.xml><?xml version="1.0" encoding="utf-8"?>
<worksheet xmlns:r="http://schemas.openxmlformats.org/officeDocument/2006/relationships" xmlns="http://schemas.openxmlformats.org/spreadsheetml/2006/main">
  <sheetPr>
    <pageSetUpPr fitToPage="1"/>
  </sheetPr>
  <dimension ref="A1:I9"/>
  <sheetViews>
    <sheetView workbookViewId="0" showGridLines="0" defaultGridColor="1"/>
  </sheetViews>
  <sheetFormatPr defaultColWidth="16.6667" defaultRowHeight="19.9" customHeight="1" outlineLevelRow="0" outlineLevelCol="0"/>
  <cols>
    <col min="1" max="1" width="130.883" style="139" customWidth="1"/>
    <col min="2" max="3" width="18.0312" style="139" customWidth="1"/>
    <col min="4" max="5" width="21.3828" style="139" customWidth="1"/>
    <col min="6" max="6" width="9.71094" style="139" customWidth="1"/>
    <col min="7" max="7" width="21.3828" style="139" customWidth="1"/>
    <col min="8" max="9" width="26.3828" style="139" customWidth="1"/>
    <col min="10" max="16384" width="16.6719" style="139" customWidth="1"/>
  </cols>
  <sheetData>
    <row r="1" ht="37.2" customHeight="1">
      <c r="A1" t="s" s="140">
        <v>191</v>
      </c>
      <c r="B1" t="s" s="140">
        <v>192</v>
      </c>
      <c r="C1" t="s" s="140">
        <v>193</v>
      </c>
      <c r="D1" t="s" s="140">
        <v>10</v>
      </c>
      <c r="E1" t="s" s="140">
        <v>194</v>
      </c>
      <c r="F1" t="s" s="140">
        <v>195</v>
      </c>
      <c r="G1" t="s" s="140">
        <v>196</v>
      </c>
      <c r="H1" t="s" s="140">
        <v>197</v>
      </c>
      <c r="I1" t="s" s="140">
        <v>198</v>
      </c>
    </row>
    <row r="2" ht="21.2" customHeight="1">
      <c r="A2" t="s" s="133">
        <v>16</v>
      </c>
      <c r="B2" s="134"/>
      <c r="C2" s="134"/>
      <c r="D2" s="134"/>
      <c r="E2" s="134"/>
      <c r="F2" s="134"/>
      <c r="G2" s="134"/>
      <c r="H2" s="134"/>
      <c r="I2" s="134"/>
    </row>
    <row r="3" ht="21.2" customHeight="1">
      <c r="A3" t="s" s="133">
        <v>18</v>
      </c>
      <c r="B3" t="s" s="133">
        <v>19</v>
      </c>
      <c r="C3" t="s" s="133">
        <v>169</v>
      </c>
      <c r="D3" s="141">
        <v>12793750</v>
      </c>
      <c r="E3" t="s" s="133">
        <v>199</v>
      </c>
      <c r="F3" s="135">
        <v>11</v>
      </c>
      <c r="G3" t="s" s="133">
        <v>200</v>
      </c>
      <c r="H3" s="134"/>
      <c r="I3" s="134"/>
    </row>
    <row r="4" ht="21.2" customHeight="1">
      <c r="A4" t="s" s="133">
        <v>21</v>
      </c>
      <c r="B4" t="s" s="133">
        <v>19</v>
      </c>
      <c r="C4" t="s" s="133">
        <v>169</v>
      </c>
      <c r="D4" s="141">
        <v>560000</v>
      </c>
      <c r="E4" t="s" s="133">
        <v>201</v>
      </c>
      <c r="F4" s="135">
        <v>11</v>
      </c>
      <c r="G4" t="s" s="133">
        <v>202</v>
      </c>
      <c r="H4" s="134"/>
      <c r="I4" s="134"/>
    </row>
    <row r="5" ht="21.2" customHeight="1">
      <c r="A5" t="s" s="133">
        <v>23</v>
      </c>
      <c r="B5" t="s" s="133">
        <v>19</v>
      </c>
      <c r="C5" t="s" s="133">
        <v>169</v>
      </c>
      <c r="D5" s="141">
        <v>5289000</v>
      </c>
      <c r="E5" t="s" s="133">
        <v>203</v>
      </c>
      <c r="F5" s="135">
        <v>11</v>
      </c>
      <c r="G5" t="s" s="133">
        <v>204</v>
      </c>
      <c r="H5" s="134"/>
      <c r="I5" s="134"/>
    </row>
    <row r="6" ht="21.2" customHeight="1">
      <c r="A6" t="s" s="133">
        <v>205</v>
      </c>
      <c r="B6" s="134"/>
      <c r="C6" s="134"/>
      <c r="D6" s="134"/>
      <c r="E6" s="134"/>
      <c r="F6" s="134"/>
      <c r="G6" s="134"/>
      <c r="H6" s="134"/>
      <c r="I6" s="134"/>
    </row>
    <row r="7" ht="21.2" customHeight="1">
      <c r="A7" t="s" s="133">
        <v>32</v>
      </c>
      <c r="B7" t="s" s="133">
        <v>27</v>
      </c>
      <c r="C7" t="s" s="133">
        <v>206</v>
      </c>
      <c r="D7" s="142">
        <v>339545.59</v>
      </c>
      <c r="E7" t="s" s="133">
        <v>207</v>
      </c>
      <c r="F7" s="135">
        <v>11</v>
      </c>
      <c r="G7" t="s" s="133">
        <v>208</v>
      </c>
      <c r="H7" s="134"/>
      <c r="I7" s="134"/>
    </row>
    <row r="8" ht="21.2" customHeight="1">
      <c r="A8" t="s" s="133">
        <v>34</v>
      </c>
      <c r="B8" t="s" s="133">
        <v>35</v>
      </c>
      <c r="C8" t="s" s="133">
        <v>209</v>
      </c>
      <c r="D8" s="142">
        <v>3563.33</v>
      </c>
      <c r="E8" t="s" s="133">
        <v>210</v>
      </c>
      <c r="F8" s="135">
        <v>11</v>
      </c>
      <c r="G8" t="s" s="133">
        <v>211</v>
      </c>
      <c r="H8" s="134"/>
      <c r="I8" s="134"/>
    </row>
    <row r="9" ht="21.2" customHeight="1">
      <c r="A9" t="s" s="133">
        <v>212</v>
      </c>
      <c r="B9" t="s" s="133">
        <v>19</v>
      </c>
      <c r="C9" t="s" s="133">
        <v>169</v>
      </c>
      <c r="D9" s="142">
        <v>382882.53</v>
      </c>
      <c r="E9" t="s" s="133">
        <v>213</v>
      </c>
      <c r="F9" s="135">
        <v>0</v>
      </c>
      <c r="G9" t="s" s="133">
        <v>213</v>
      </c>
      <c r="H9" s="134"/>
      <c r="I9" s="134"/>
    </row>
  </sheetData>
  <mergeCells count="1">
    <mergeCell ref="H9:I9"/>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30.xml><?xml version="1.0" encoding="utf-8"?>
<worksheet xmlns:r="http://schemas.openxmlformats.org/officeDocument/2006/relationships" xmlns="http://schemas.openxmlformats.org/spreadsheetml/2006/main">
  <sheetPr>
    <pageSetUpPr fitToPage="1"/>
  </sheetPr>
  <dimension ref="A1:N32"/>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143" customWidth="1"/>
    <col min="2" max="2" width="43.0312" style="143" customWidth="1"/>
    <col min="3" max="3" width="2.75" style="143" customWidth="1"/>
    <col min="4" max="6" width="10.3672" style="143" customWidth="1"/>
    <col min="7" max="7" width="11.6875" style="143" customWidth="1"/>
    <col min="8" max="11" width="13.5156" style="143" customWidth="1"/>
    <col min="12" max="14" width="14.2344" style="143" customWidth="1"/>
    <col min="15" max="16384" width="16.3516" style="143"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16</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t="s" s="18">
        <v>17</v>
      </c>
      <c r="B4" t="s" s="19">
        <v>18</v>
      </c>
      <c r="C4" s="20"/>
      <c r="D4" s="21">
        <v>1</v>
      </c>
      <c r="E4" s="21" cm="1">
        <f t="array" ref="E4">D4</f>
        <v>1</v>
      </c>
      <c r="F4" s="21" cm="1">
        <f t="array" ref="F4">D4</f>
        <v>1</v>
      </c>
      <c r="G4" t="s" s="22">
        <v>19</v>
      </c>
      <c r="H4" s="21">
        <v>12237500</v>
      </c>
      <c r="I4" s="21">
        <v>12237500</v>
      </c>
      <c r="J4" s="21">
        <v>12237500</v>
      </c>
      <c r="K4" s="21">
        <v>11</v>
      </c>
      <c r="L4" s="21" cm="1">
        <f t="array" ref="L4">IF(D4&gt;0,IF($D4&lt;=0,0,D4*H4),"")</f>
        <v>12237500</v>
      </c>
      <c r="M4" s="21" cm="1">
        <f t="array" ref="M4">IF(E4&gt;0,IF($D4&lt;=0,0,ROUND(E4*I4,2)),"")</f>
        <v>12237500</v>
      </c>
      <c r="N4" s="23" cm="1">
        <f t="array" ref="N4">IF(F4&gt;0,IF($D4&lt;=0,0,ROUND(F4*J4,2)),"")</f>
        <v>12237500</v>
      </c>
    </row>
    <row r="5" ht="20.5" customHeight="1">
      <c r="A5" s="29"/>
      <c r="B5" t="s" s="19">
        <v>189</v>
      </c>
      <c r="C5" s="24"/>
      <c r="D5" s="26">
        <v>1</v>
      </c>
      <c r="E5" s="26" cm="1">
        <f t="array" ref="E5">D5</f>
        <v>1</v>
      </c>
      <c r="F5" s="26" cm="1">
        <f t="array" ref="F5">D5</f>
        <v>1</v>
      </c>
      <c r="G5" t="s" s="27">
        <v>19</v>
      </c>
      <c r="H5" s="26">
        <v>660000</v>
      </c>
      <c r="I5" s="26">
        <v>560000</v>
      </c>
      <c r="J5" s="26">
        <v>560000</v>
      </c>
      <c r="K5" s="26">
        <v>11</v>
      </c>
      <c r="L5" s="26" cm="1">
        <f t="array" ref="L5">IF(D5&gt;0,IF($D5&lt;=0,0,D5*H5),"")</f>
        <v>660000</v>
      </c>
      <c r="M5" s="26" cm="1">
        <f t="array" ref="M5">IF(E5&gt;0,IF($D5&lt;=0,0,ROUND(E5*I5,2)),"")</f>
        <v>560000</v>
      </c>
      <c r="N5" s="28" cm="1">
        <f t="array" ref="N5">IF(F5&gt;0,IF($D5&lt;=0,0,ROUND(F5*J5,2)),"")</f>
        <v>560000</v>
      </c>
    </row>
    <row r="6" ht="20.5" customHeight="1">
      <c r="A6" s="29"/>
      <c r="B6" t="s" s="19">
        <v>23</v>
      </c>
      <c r="C6" s="20"/>
      <c r="D6" s="21">
        <v>1</v>
      </c>
      <c r="E6" s="21" cm="1">
        <f t="array" ref="E6">D6</f>
        <v>1</v>
      </c>
      <c r="F6" s="21" cm="1">
        <f t="array" ref="F6">D6</f>
        <v>1</v>
      </c>
      <c r="G6" t="s" s="22">
        <v>19</v>
      </c>
      <c r="H6" s="21">
        <v>5289000</v>
      </c>
      <c r="I6" s="21">
        <v>5289000</v>
      </c>
      <c r="J6" s="21">
        <v>5289000</v>
      </c>
      <c r="K6" s="21">
        <v>11</v>
      </c>
      <c r="L6" s="21" cm="1">
        <f t="array" ref="L6">IF(D6&gt;0,IF($D6&lt;=0,0,D6*H6),"")</f>
        <v>5289000</v>
      </c>
      <c r="M6" s="21" cm="1">
        <f t="array" ref="M6">IF(E6&gt;0,IF($D6&lt;=0,0,ROUND(E6*I6,2)),"")</f>
        <v>5289000</v>
      </c>
      <c r="N6" s="23" cm="1">
        <f t="array" ref="N6">IF(F6&gt;0,IF($D6&lt;=0,0,ROUND(F6*J6,2)),"")</f>
        <v>5289000</v>
      </c>
    </row>
    <row r="7" ht="20.5" customHeight="1">
      <c r="A7" s="29"/>
      <c r="B7" t="s" s="19">
        <v>28</v>
      </c>
      <c r="C7" s="24"/>
      <c r="D7" s="30"/>
      <c r="E7" s="26"/>
      <c r="F7" s="26"/>
      <c r="G7" s="30"/>
      <c r="H7" s="26"/>
      <c r="I7" s="30"/>
      <c r="J7" s="30"/>
      <c r="K7" s="26"/>
      <c r="L7" t="str" s="30" cm="1">
        <f t="array" ref="L7">IF(D7&gt;0,IF($D7&lt;=0,0,D7*H7),"")</f>
      </c>
      <c r="M7" t="str" s="30" cm="1">
        <f t="array" ref="M7">IF(E7&gt;0,IF($D7&lt;=0,0,ROUND(E7*I7,2)),"")</f>
      </c>
      <c r="N7" t="str" s="31" cm="1">
        <f t="array" ref="N7">IF(F7&gt;0,IF($D7&lt;=0,0,ROUND(F7*J7,2)),"")</f>
      </c>
    </row>
    <row r="8" ht="20.5" customHeight="1">
      <c r="A8" t="s" s="18">
        <v>86</v>
      </c>
      <c r="B8" t="s" s="19">
        <v>32</v>
      </c>
      <c r="C8" s="20"/>
      <c r="D8" s="78">
        <v>467.4</v>
      </c>
      <c r="E8" s="21" cm="1">
        <f t="array" ref="E8">D8</f>
        <v>467.4</v>
      </c>
      <c r="F8" s="21" cm="1">
        <f t="array" ref="F8">D8</f>
        <v>467.4</v>
      </c>
      <c r="G8" t="s" s="22">
        <v>27</v>
      </c>
      <c r="H8" s="21">
        <v>314534.62</v>
      </c>
      <c r="I8" s="21">
        <v>314534.62</v>
      </c>
      <c r="J8" s="21">
        <v>314534.62</v>
      </c>
      <c r="K8" s="21">
        <v>11</v>
      </c>
      <c r="L8" s="21" cm="1">
        <f t="array" ref="L8">IF(D8&gt;0,IF($D8&lt;=0,0,D8*H8),"")</f>
        <v>147013481.388</v>
      </c>
      <c r="M8" s="21" cm="1">
        <f t="array" ref="M8">IF(E8&gt;0,IF($D8&lt;=0,0,ROUND(E8*I8,2)),"")</f>
        <v>147013481.39</v>
      </c>
      <c r="N8" s="23" cm="1">
        <f t="array" ref="N8">IF(F8&gt;0,IF($D8&lt;=0,0,ROUND(F8*J8,2)),"")</f>
        <v>147013481.39</v>
      </c>
    </row>
    <row r="9" ht="20.5" customHeight="1">
      <c r="A9" t="s" s="18">
        <v>46</v>
      </c>
      <c r="B9" t="s" s="19">
        <v>34</v>
      </c>
      <c r="C9" s="24"/>
      <c r="D9" s="25">
        <v>2957.75</v>
      </c>
      <c r="E9" s="26" cm="1">
        <f t="array" ref="E9">D9</f>
        <v>2957.75</v>
      </c>
      <c r="F9" s="26" cm="1">
        <f t="array" ref="F9">D9</f>
        <v>2957.75</v>
      </c>
      <c r="G9" t="s" s="27">
        <v>35</v>
      </c>
      <c r="H9" s="26">
        <v>3408.4</v>
      </c>
      <c r="I9" s="26">
        <v>3408.4</v>
      </c>
      <c r="J9" s="26">
        <v>3408.4</v>
      </c>
      <c r="K9" s="26">
        <v>11</v>
      </c>
      <c r="L9" s="26" cm="1">
        <f t="array" ref="L9">IF(D9&gt;0,IF($D9&lt;=0,0,D9*H9),"")</f>
        <v>10081195.1</v>
      </c>
      <c r="M9" s="26" cm="1">
        <f t="array" ref="M9">IF(E9&gt;0,IF($D9&lt;=0,0,ROUND(E9*I9,2)),"")</f>
        <v>10081195.1</v>
      </c>
      <c r="N9" s="28" cm="1">
        <f t="array" ref="N9">IF(F9&gt;0,IF($D9&lt;=0,0,ROUND(F9*J9,2)),"")</f>
        <v>10081195.1</v>
      </c>
    </row>
    <row r="10" ht="20.5" customHeight="1">
      <c r="A10" s="29"/>
      <c r="B10" t="s" s="19">
        <v>36</v>
      </c>
      <c r="C10" s="20"/>
      <c r="D10" s="21"/>
      <c r="E10" s="21"/>
      <c r="F10" s="21"/>
      <c r="G10" s="79"/>
      <c r="H10" s="79"/>
      <c r="I10" s="79"/>
      <c r="J10" s="79"/>
      <c r="K10" s="21"/>
      <c r="L10" t="str" s="79" cm="1">
        <f t="array" ref="L10">IF(D10&gt;0,IF($D10&lt;=0,0,D10*H11),"")</f>
      </c>
      <c r="M10" s="21"/>
      <c r="N10" s="23"/>
    </row>
    <row r="11" ht="20.6" customHeight="1">
      <c r="A11" s="33">
        <v>1</v>
      </c>
      <c r="B11" t="s" s="34">
        <v>37</v>
      </c>
      <c r="C11" s="80"/>
      <c r="D11" s="81">
        <v>1</v>
      </c>
      <c r="E11" s="81" cm="1">
        <f t="array" ref="E11">D11</f>
        <v>1</v>
      </c>
      <c r="F11" s="81" cm="1">
        <f t="array" ref="F11">D11</f>
        <v>1</v>
      </c>
      <c r="G11" t="s" s="82">
        <v>19</v>
      </c>
      <c r="H11" s="137">
        <v>383072.53</v>
      </c>
      <c r="I11" s="81">
        <v>382844.26</v>
      </c>
      <c r="J11" s="81">
        <v>382844.26</v>
      </c>
      <c r="K11" s="81">
        <v>0</v>
      </c>
      <c r="L11" s="81" cm="1">
        <f t="array" ref="L11">IF(D11&gt;0,IF($D11&lt;=0,0,D11*H11),"")</f>
        <v>383072.53</v>
      </c>
      <c r="M11" s="81" cm="1">
        <f t="array" ref="M11">IF(E11&gt;0,IF($D11&lt;=0,0,ROUND(E11*I11,2)),"")</f>
        <v>382844.26</v>
      </c>
      <c r="N11" s="83" cm="1">
        <f t="array" ref="N11">IF(F11&gt;0,IF($D11&lt;=0,0,ROUND(F11*J11,2)),"")</f>
        <v>382844.26</v>
      </c>
    </row>
    <row r="12" ht="8.75" customHeight="1" hidden="1">
      <c r="A12" s="39"/>
      <c r="B12" s="40"/>
      <c r="C12" s="45"/>
      <c r="D12" s="46"/>
      <c r="E12" s="46"/>
      <c r="F12" s="46"/>
      <c r="G12" s="47"/>
      <c r="H12" s="46"/>
      <c r="I12" s="46"/>
      <c r="J12" s="46"/>
      <c r="K12" s="46"/>
      <c r="L12" s="46"/>
      <c r="M12" s="46"/>
      <c r="N12" s="48"/>
    </row>
    <row r="13" ht="8.75" customHeight="1" hidden="1">
      <c r="A13" s="39"/>
      <c r="B13" s="40"/>
      <c r="C13" s="41"/>
      <c r="D13" s="42"/>
      <c r="E13" s="42"/>
      <c r="F13" s="42"/>
      <c r="G13" s="43"/>
      <c r="H13" s="42"/>
      <c r="I13" s="42"/>
      <c r="J13" s="42"/>
      <c r="K13" s="42"/>
      <c r="L13" s="42"/>
      <c r="M13" s="42"/>
      <c r="N13" s="44"/>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2"/>
      <c r="I15" s="42"/>
      <c r="J15" s="42"/>
      <c r="K15" s="42"/>
      <c r="L15" s="42"/>
      <c r="M15" s="42"/>
      <c r="N15" s="44"/>
    </row>
    <row r="16" ht="8.75" customHeight="1" hidden="1">
      <c r="A16" s="39"/>
      <c r="B16" s="40"/>
      <c r="C16" s="45"/>
      <c r="D16" s="46"/>
      <c r="E16" s="46"/>
      <c r="F16" s="46"/>
      <c r="G16" s="47"/>
      <c r="H16" s="46"/>
      <c r="I16" s="46"/>
      <c r="J16" s="46"/>
      <c r="K16" s="46"/>
      <c r="L16" s="46"/>
      <c r="M16" s="46"/>
      <c r="N16" s="48"/>
    </row>
    <row r="17" ht="8.75" customHeight="1" hidden="1">
      <c r="A17" s="39"/>
      <c r="B17" s="40"/>
      <c r="C17" s="41"/>
      <c r="D17" s="42"/>
      <c r="E17" s="42"/>
      <c r="F17" s="42"/>
      <c r="G17" s="43"/>
      <c r="H17" s="42"/>
      <c r="I17" s="42"/>
      <c r="J17" s="42"/>
      <c r="K17" s="42"/>
      <c r="L17" s="42"/>
      <c r="M17" s="42"/>
      <c r="N17" s="44"/>
    </row>
    <row r="18" ht="8.75" customHeight="1" hidden="1">
      <c r="A18" s="39"/>
      <c r="B18" s="40"/>
      <c r="C18" s="45"/>
      <c r="D18" s="46"/>
      <c r="E18" s="46"/>
      <c r="F18" s="46"/>
      <c r="G18" s="47"/>
      <c r="H18" s="47"/>
      <c r="I18" s="47"/>
      <c r="J18" s="47"/>
      <c r="K18" s="46"/>
      <c r="L18" s="47"/>
      <c r="M18" s="47"/>
      <c r="N18" s="52"/>
    </row>
    <row r="19" ht="8.75" customHeight="1" hidden="1">
      <c r="A19" s="39"/>
      <c r="B19" s="40"/>
      <c r="C19" s="41"/>
      <c r="D19" s="42"/>
      <c r="E19" s="42"/>
      <c r="F19" s="42"/>
      <c r="G19" s="43"/>
      <c r="H19" s="84"/>
      <c r="I19" s="84"/>
      <c r="J19" s="84"/>
      <c r="K19" s="42"/>
      <c r="L19" s="42"/>
      <c r="M19" s="42"/>
      <c r="N19" s="44"/>
    </row>
    <row r="20" ht="8.75" customHeight="1" hidden="1">
      <c r="A20" s="39"/>
      <c r="B20" s="40"/>
      <c r="C20" s="45"/>
      <c r="D20" s="46"/>
      <c r="E20" s="46"/>
      <c r="F20" s="46"/>
      <c r="G20" s="47"/>
      <c r="H20" s="47"/>
      <c r="I20" s="47"/>
      <c r="J20" s="47"/>
      <c r="K20" s="46"/>
      <c r="L20" s="47"/>
      <c r="M20" s="47"/>
      <c r="N20" s="52"/>
    </row>
    <row r="21" ht="8.75" customHeight="1" hidden="1">
      <c r="A21" s="39"/>
      <c r="B21" s="40"/>
      <c r="C21" s="41"/>
      <c r="D21" s="42"/>
      <c r="E21" s="42"/>
      <c r="F21" s="42"/>
      <c r="G21" s="43"/>
      <c r="H21" s="42"/>
      <c r="I21" s="42"/>
      <c r="J21" s="42"/>
      <c r="K21" s="42"/>
      <c r="L21" s="42"/>
      <c r="M21" s="42"/>
      <c r="N21" s="44"/>
    </row>
    <row r="22" ht="8.75" customHeight="1" hidden="1">
      <c r="A22" s="39"/>
      <c r="B22" s="40"/>
      <c r="C22" s="45"/>
      <c r="D22" s="46"/>
      <c r="E22" s="46"/>
      <c r="F22" s="46"/>
      <c r="G22" s="47"/>
      <c r="H22" s="46"/>
      <c r="I22" s="46"/>
      <c r="J22" s="46"/>
      <c r="K22" s="46"/>
      <c r="L22" s="46"/>
      <c r="M22" s="46"/>
      <c r="N22" s="48"/>
    </row>
    <row r="23" ht="8.75" customHeight="1" hidden="1">
      <c r="A23" s="51"/>
      <c r="B23" s="40"/>
      <c r="C23" s="41"/>
      <c r="D23" s="42"/>
      <c r="E23" s="42"/>
      <c r="F23" s="42"/>
      <c r="G23" s="43"/>
      <c r="H23" s="42"/>
      <c r="I23" s="42"/>
      <c r="J23" s="42"/>
      <c r="K23" s="42"/>
      <c r="L23" s="42"/>
      <c r="M23" s="42"/>
      <c r="N23" s="44"/>
    </row>
    <row r="24" ht="8.75" customHeight="1" hidden="1">
      <c r="A24" s="51"/>
      <c r="B24" s="40"/>
      <c r="C24" s="45"/>
      <c r="D24" s="46"/>
      <c r="E24" s="46"/>
      <c r="F24" s="46"/>
      <c r="G24" s="47"/>
      <c r="H24" s="46"/>
      <c r="I24" s="46"/>
      <c r="J24" s="46"/>
      <c r="K24" s="46"/>
      <c r="L24" s="46"/>
      <c r="M24" s="46"/>
      <c r="N24" s="48"/>
    </row>
    <row r="25" ht="8.75" customHeight="1" hidden="1">
      <c r="A25" s="39"/>
      <c r="B25" s="40"/>
      <c r="C25" s="41"/>
      <c r="D25" s="42"/>
      <c r="E25" s="42"/>
      <c r="F25" s="42"/>
      <c r="G25" s="43"/>
      <c r="H25" s="42"/>
      <c r="I25" s="42"/>
      <c r="J25" s="42"/>
      <c r="K25" s="42"/>
      <c r="L25" s="43"/>
      <c r="M25" s="43"/>
      <c r="N25" s="49"/>
    </row>
    <row r="26" ht="8.75" customHeight="1" hidden="1">
      <c r="A26" s="39"/>
      <c r="B26" s="40"/>
      <c r="C26" s="45"/>
      <c r="D26" s="46"/>
      <c r="E26" s="46"/>
      <c r="F26" s="46"/>
      <c r="G26" s="47"/>
      <c r="H26" s="46"/>
      <c r="I26" s="46"/>
      <c r="J26" s="46"/>
      <c r="K26" s="46"/>
      <c r="L26" s="46"/>
      <c r="M26" s="46"/>
      <c r="N26" s="48"/>
    </row>
    <row r="27" ht="8.75" customHeight="1" hidden="1">
      <c r="A27" s="39"/>
      <c r="B27" s="40"/>
      <c r="C27" s="41"/>
      <c r="D27" s="42"/>
      <c r="E27" s="42"/>
      <c r="F27" s="42"/>
      <c r="G27" s="43"/>
      <c r="H27" s="42"/>
      <c r="I27" s="42"/>
      <c r="J27" s="42"/>
      <c r="K27" s="42"/>
      <c r="L27" s="43"/>
      <c r="M27" s="43"/>
      <c r="N27" s="49"/>
    </row>
    <row r="28" ht="20.85" customHeight="1">
      <c r="A28" s="53"/>
      <c r="B28" s="54"/>
      <c r="C28" s="54"/>
      <c r="D28" s="55"/>
      <c r="E28" s="55"/>
      <c r="F28" s="55"/>
      <c r="G28" s="56"/>
      <c r="H28" s="56"/>
      <c r="I28" s="54"/>
      <c r="J28" s="57"/>
      <c r="K28" t="s" s="58">
        <v>38</v>
      </c>
      <c r="L28" s="59" cm="1">
        <f t="array" ref="L28">SUM(L1:L27)</f>
        <v>175664249.018</v>
      </c>
      <c r="M28" s="59" cm="1">
        <f t="array" ref="M28">SUM(M1:M27)</f>
        <v>175564020.75</v>
      </c>
      <c r="N28" s="59" cm="1">
        <f t="array" ref="N28">SUM(N1:N27)</f>
        <v>175564020.75</v>
      </c>
    </row>
    <row r="29" ht="21" customHeight="1">
      <c r="A29" s="60"/>
      <c r="B29" t="s" s="61">
        <v>39</v>
      </c>
      <c r="C29" s="62"/>
      <c r="D29" s="63" cm="1">
        <f t="array" ref="D29">ROUND(IF(L29&lt;=100000000,L29*0.24%,IF(AND(L29&gt;100000000,L29&lt;=500000000),100000000*0.24%+(L29-100000000)*0.19%,IF(AND(L29&gt;500000000,L29&lt;=1000000000),100000000*0.24%+400000000*0.19%+(L29-500000000)*0.15%,IF(AND(L29&gt;1000000000,L29&lt;=5000000000),100000000*0.24%+400000000*0.19%+500000000*0.15%+(L29-1000000000)*0.12%,IF(L29&gt;5000000000,100000000*0.24%+400000000*0.19%+500000000*0.15%+4000000000*0.12%+(L29-5000000000)*0.1%,"Bingung komputer"))))),2)</f>
        <v>383034.24</v>
      </c>
      <c r="E29" s="64" cm="1">
        <f t="array" ref="E29">ROUND(IF(M29&lt;=100000000,M29*0.24%,IF(AND(M29&gt;100000000,M29&lt;=500000000),100000000*0.24%+(M29-100000000)*0.19%,IF(AND(M29&gt;500000000,M29&lt;=1000000000),100000000*0.24%+400000000*0.19%+(M29-500000000)*0.15%,IF(AND(M29&gt;1000000000,M29&lt;=5000000000),100000000*0.24%+400000000*0.19%+500000000*0.15%+(M29-1000000000)*0.12%,IF(M29&gt;5000000000,100000000*0.24%+400000000*0.19%+500000000*0.15%+4000000000*0.12%+(M29-5000000000)*0.1%,"Bingung komputer"))))),2)</f>
        <v>382844.24</v>
      </c>
      <c r="F29" s="64" cm="1">
        <f t="array" ref="F29">ROUND(IF(N29&lt;=100000000,N29*0.24%,IF(AND(N29&gt;100000000,N29&lt;=500000000),100000000*0.24%+(N29-100000000)*0.19%,IF(AND(N29&gt;500000000,N29&lt;=1000000000),100000000*0.24%+400000000*0.19%+(N29-500000000)*0.15%,IF(AND(N29&gt;1000000000,N29&lt;=5000000000),100000000*0.24%+400000000*0.19%+500000000*0.15%+(N29-1000000000)*0.12%,IF(N29&gt;5000000000,100000000*0.24%+400000000*0.19%+500000000*0.15%+4000000000*0.12%+(N29-5000000000)*0.1%,"Bingung komputer"))))),2)</f>
        <v>382844.24</v>
      </c>
      <c r="G29" s="65"/>
      <c r="H29" s="66"/>
      <c r="I29" s="62"/>
      <c r="J29" s="67"/>
      <c r="K29" t="str" s="67" cm="1">
        <f t="array" ref="K29">"Jumlah Terkena Pajak "&amp;MAX(K3:K27)&amp;"% (B)"</f>
        <v>Jumlah Terkena Pajak 11,00% (B)</v>
      </c>
      <c r="L29" s="68" cm="1">
        <f t="array" ref="L29">SUMIF($K3:$K27,"&gt;0",L3:L27)</f>
        <v>175281176.488</v>
      </c>
      <c r="M29" s="69" cm="1">
        <f t="array" ref="M29">SUMIF($K3:$K27,"&gt;0",M3:M27)</f>
        <v>175181176.49</v>
      </c>
      <c r="N29" s="69" cm="1">
        <f t="array" ref="N29">SUMIF($K3:$K27,"&gt;0",N3:N27)</f>
        <v>175181176.49</v>
      </c>
    </row>
    <row r="30" ht="21" customHeight="1">
      <c r="A30" s="70"/>
      <c r="B30" s="71"/>
      <c r="C30" s="71"/>
      <c r="D30" s="72"/>
      <c r="E30" s="72"/>
      <c r="F30" s="71"/>
      <c r="G30" s="72"/>
      <c r="H30" s="72"/>
      <c r="I30" s="71"/>
      <c r="J30" s="73"/>
      <c r="K30" t="str" s="73" cm="1">
        <f t="array" ref="K30">"PPN (C) = "&amp;MAX(K3:K27)&amp;"% x B"</f>
        <v>PPN (C) = 11,00% x B</v>
      </c>
      <c r="L30" s="74" cm="1">
        <f t="array" ref="L30">L29*MAX($K3:$K27)%</f>
        <v>19280929.41368</v>
      </c>
      <c r="M30" s="69" cm="1">
        <f t="array" ref="M30">M29*MAX($K3:$K27)%</f>
        <v>19269929.4139</v>
      </c>
      <c r="N30" s="69" cm="1">
        <f t="array" ref="N30">N29*MAX($K3:$K27)%</f>
        <v>19269929.4139</v>
      </c>
    </row>
    <row r="31" ht="21" customHeight="1">
      <c r="A31" s="70"/>
      <c r="B31" s="71"/>
      <c r="C31" s="71"/>
      <c r="D31" s="72"/>
      <c r="E31" s="72"/>
      <c r="F31" s="72"/>
      <c r="G31" s="72"/>
      <c r="H31" s="72"/>
      <c r="I31" s="71"/>
      <c r="J31" s="73"/>
      <c r="K31" t="s" s="75">
        <v>42</v>
      </c>
      <c r="L31" s="76" cm="1">
        <f t="array" ref="L31">L28+L30</f>
        <v>194945178.43168</v>
      </c>
      <c r="M31" s="69" cm="1">
        <f t="array" ref="M31">M28+M30</f>
        <v>194833950.1639</v>
      </c>
      <c r="N31" s="69" cm="1">
        <f t="array" ref="N31">N28+N30</f>
        <v>194833950.1639</v>
      </c>
    </row>
    <row r="32" ht="20.5" customHeight="1">
      <c r="A32" s="70"/>
      <c r="B32" s="71"/>
      <c r="C32" s="71"/>
      <c r="D32" s="72"/>
      <c r="E32" s="72"/>
      <c r="F32" s="72"/>
      <c r="G32" s="72"/>
      <c r="H32" s="72"/>
      <c r="I32" s="71"/>
      <c r="J32" s="73"/>
      <c r="K32" t="s" s="75">
        <v>43</v>
      </c>
      <c r="L32" s="68" cm="1">
        <f t="array" ref="L32">ROUNDDOWN(L31,2)</f>
        <v>194945178.43</v>
      </c>
      <c r="M32" s="68" cm="1">
        <f t="array" ref="M32">ROUNDDOWN(M31,2)</f>
        <v>194833950.16</v>
      </c>
      <c r="N32" s="68" cm="1">
        <f t="array" ref="N32">ROUNDDOWN(N31,-3)</f>
        <v>194833000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31.xml><?xml version="1.0" encoding="utf-8"?>
<worksheet xmlns:r="http://schemas.openxmlformats.org/officeDocument/2006/relationships" xmlns="http://schemas.openxmlformats.org/spreadsheetml/2006/main">
  <sheetPr>
    <pageSetUpPr fitToPage="1"/>
  </sheetPr>
  <dimension ref="A1:N32"/>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144" customWidth="1"/>
    <col min="2" max="2" width="43.0312" style="144" customWidth="1"/>
    <col min="3" max="3" width="2.75" style="144" customWidth="1"/>
    <col min="4" max="6" width="10.3672" style="144" customWidth="1"/>
    <col min="7" max="7" width="11.6875" style="144" customWidth="1"/>
    <col min="8" max="11" width="13.5156" style="144" customWidth="1"/>
    <col min="12" max="14" width="14.2344" style="144" customWidth="1"/>
    <col min="15" max="16384" width="16.3516" style="144"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16</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t="s" s="18">
        <v>17</v>
      </c>
      <c r="B4" t="s" s="19">
        <v>18</v>
      </c>
      <c r="C4" s="20"/>
      <c r="D4" s="21">
        <v>1</v>
      </c>
      <c r="E4" s="21" cm="1">
        <f t="array" ref="E4">D4</f>
        <v>1</v>
      </c>
      <c r="F4" s="21" cm="1">
        <f t="array" ref="F4">D4</f>
        <v>1</v>
      </c>
      <c r="G4" t="s" s="22">
        <v>19</v>
      </c>
      <c r="H4" s="21">
        <v>12237500</v>
      </c>
      <c r="I4" s="21">
        <v>11951500</v>
      </c>
      <c r="J4" s="21">
        <v>11951500</v>
      </c>
      <c r="K4" s="21">
        <v>11</v>
      </c>
      <c r="L4" s="21" cm="1">
        <f t="array" ref="L4">IF(D4&gt;0,IF($D4&lt;=0,0,D4*H4),"")</f>
        <v>12237500</v>
      </c>
      <c r="M4" s="21" cm="1">
        <f t="array" ref="M4">IF(E4&gt;0,IF($D4&lt;=0,0,ROUND(E4*I4,2)),"")</f>
        <v>11951500</v>
      </c>
      <c r="N4" s="23" cm="1">
        <f t="array" ref="N4">IF(F4&gt;0,IF($D4&lt;=0,0,ROUND(F4*J4,2)),"")</f>
        <v>11951500</v>
      </c>
    </row>
    <row r="5" ht="20.5" customHeight="1">
      <c r="A5" t="s" s="18">
        <v>20</v>
      </c>
      <c r="B5" t="s" s="19">
        <v>189</v>
      </c>
      <c r="C5" s="24"/>
      <c r="D5" s="26">
        <v>1</v>
      </c>
      <c r="E5" s="26" cm="1">
        <f t="array" ref="E5">D5</f>
        <v>1</v>
      </c>
      <c r="F5" s="26" cm="1">
        <f t="array" ref="F5">D5</f>
        <v>1</v>
      </c>
      <c r="G5" t="s" s="27">
        <v>19</v>
      </c>
      <c r="H5" s="26">
        <v>660000</v>
      </c>
      <c r="I5" s="26">
        <v>660000</v>
      </c>
      <c r="J5" s="26">
        <v>660000</v>
      </c>
      <c r="K5" s="26">
        <v>11</v>
      </c>
      <c r="L5" s="26" cm="1">
        <f t="array" ref="L5">IF(D5&gt;0,IF($D5&lt;=0,0,D5*H5),"")</f>
        <v>660000</v>
      </c>
      <c r="M5" s="26" cm="1">
        <f t="array" ref="M5">IF(E5&gt;0,IF($D5&lt;=0,0,ROUND(E5*I5,2)),"")</f>
        <v>660000</v>
      </c>
      <c r="N5" s="28" cm="1">
        <f t="array" ref="N5">IF(F5&gt;0,IF($D5&lt;=0,0,ROUND(F5*J5,2)),"")</f>
        <v>660000</v>
      </c>
    </row>
    <row r="6" ht="20.5" customHeight="1">
      <c r="A6" t="s" s="18">
        <v>22</v>
      </c>
      <c r="B6" t="s" s="19">
        <v>23</v>
      </c>
      <c r="C6" s="20"/>
      <c r="D6" s="21">
        <v>1</v>
      </c>
      <c r="E6" s="21" cm="1">
        <f t="array" ref="E6">D6</f>
        <v>1</v>
      </c>
      <c r="F6" s="21" cm="1">
        <f t="array" ref="F6">D6</f>
        <v>1</v>
      </c>
      <c r="G6" t="s" s="22">
        <v>19</v>
      </c>
      <c r="H6" s="21">
        <v>5289000</v>
      </c>
      <c r="I6" s="21">
        <v>5289000</v>
      </c>
      <c r="J6" s="21">
        <v>5289000</v>
      </c>
      <c r="K6" s="21">
        <v>11</v>
      </c>
      <c r="L6" s="21" cm="1">
        <f t="array" ref="L6">IF(D6&gt;0,IF($D6&lt;=0,0,D6*H6),"")</f>
        <v>5289000</v>
      </c>
      <c r="M6" s="21" cm="1">
        <f t="array" ref="M6">IF(E6&gt;0,IF($D6&lt;=0,0,ROUND(E6*I6,2)),"")</f>
        <v>5289000</v>
      </c>
      <c r="N6" s="23" cm="1">
        <f t="array" ref="N6">IF(F6&gt;0,IF($D6&lt;=0,0,ROUND(F6*J6,2)),"")</f>
        <v>5289000</v>
      </c>
    </row>
    <row r="7" ht="20.5" customHeight="1">
      <c r="A7" s="29"/>
      <c r="B7" t="s" s="19">
        <v>28</v>
      </c>
      <c r="C7" s="24"/>
      <c r="D7" s="30"/>
      <c r="E7" s="26"/>
      <c r="F7" s="26"/>
      <c r="G7" s="30"/>
      <c r="H7" s="26"/>
      <c r="I7" s="30"/>
      <c r="J7" s="30"/>
      <c r="K7" s="26"/>
      <c r="L7" t="str" s="30" cm="1">
        <f t="array" ref="L7">IF(D7&gt;0,IF($D7&lt;=0,0,D7*H7),"")</f>
      </c>
      <c r="M7" t="str" s="30" cm="1">
        <f t="array" ref="M7">IF(E7&gt;0,IF($D7&lt;=0,0,ROUND(E7*I7,2)),"")</f>
      </c>
      <c r="N7" t="str" s="31" cm="1">
        <f t="array" ref="N7">IF(F7&gt;0,IF($D7&lt;=0,0,ROUND(F7*J7,2)),"")</f>
      </c>
    </row>
    <row r="8" ht="20.5" customHeight="1">
      <c r="A8" t="s" s="18">
        <v>86</v>
      </c>
      <c r="B8" t="s" s="19">
        <v>32</v>
      </c>
      <c r="C8" s="20"/>
      <c r="D8" s="78">
        <v>697</v>
      </c>
      <c r="E8" s="21" cm="1">
        <f t="array" ref="E8">D8</f>
        <v>697</v>
      </c>
      <c r="F8" s="21" cm="1">
        <f t="array" ref="F8">D8</f>
        <v>697</v>
      </c>
      <c r="G8" t="s" s="22">
        <v>27</v>
      </c>
      <c r="H8" s="21">
        <v>205933.35</v>
      </c>
      <c r="I8" s="21">
        <v>205933.35</v>
      </c>
      <c r="J8" s="21">
        <v>205933.35</v>
      </c>
      <c r="K8" s="21">
        <v>11</v>
      </c>
      <c r="L8" s="21" cm="1">
        <f t="array" ref="L8">IF(D8&gt;0,IF($D8&lt;=0,0,D8*H8),"")</f>
        <v>143535544.95</v>
      </c>
      <c r="M8" s="21" cm="1">
        <f t="array" ref="M8">IF(E8&gt;0,IF($D8&lt;=0,0,ROUND(E8*I8,2)),"")</f>
        <v>143535544.95</v>
      </c>
      <c r="N8" s="23" cm="1">
        <f t="array" ref="N8">IF(F8&gt;0,IF($D8&lt;=0,0,ROUND(F8*J8,2)),"")</f>
        <v>143535544.95</v>
      </c>
    </row>
    <row r="9" ht="20.5" customHeight="1">
      <c r="A9" t="s" s="18">
        <v>46</v>
      </c>
      <c r="B9" t="s" s="19">
        <v>34</v>
      </c>
      <c r="C9" s="24"/>
      <c r="D9" s="25">
        <v>3970.5</v>
      </c>
      <c r="E9" s="26" cm="1">
        <f t="array" ref="E9">D9</f>
        <v>3970.5</v>
      </c>
      <c r="F9" s="26" cm="1">
        <f t="array" ref="F9">D9</f>
        <v>3970.5</v>
      </c>
      <c r="G9" t="s" s="27">
        <v>35</v>
      </c>
      <c r="H9" s="26">
        <v>3408.4</v>
      </c>
      <c r="I9" s="26">
        <v>3408.4</v>
      </c>
      <c r="J9" s="26">
        <v>3408.4</v>
      </c>
      <c r="K9" s="26">
        <v>11</v>
      </c>
      <c r="L9" s="26" cm="1">
        <f t="array" ref="L9">IF(D9&gt;0,IF($D9&lt;=0,0,D9*H9),"")</f>
        <v>13533052.2</v>
      </c>
      <c r="M9" s="26" cm="1">
        <f t="array" ref="M9">IF(E9&gt;0,IF($D9&lt;=0,0,ROUND(E9*I9,2)),"")</f>
        <v>13533052.2</v>
      </c>
      <c r="N9" s="28" cm="1">
        <f t="array" ref="N9">IF(F9&gt;0,IF($D9&lt;=0,0,ROUND(F9*J9,2)),"")</f>
        <v>13533052.2</v>
      </c>
    </row>
    <row r="10" ht="20.5" customHeight="1">
      <c r="A10" s="29"/>
      <c r="B10" t="s" s="19">
        <v>36</v>
      </c>
      <c r="C10" s="20"/>
      <c r="D10" s="21"/>
      <c r="E10" s="21"/>
      <c r="F10" s="21"/>
      <c r="G10" s="79"/>
      <c r="H10" s="79"/>
      <c r="I10" s="79"/>
      <c r="J10" s="79"/>
      <c r="K10" s="21"/>
      <c r="L10" t="str" s="79" cm="1">
        <f t="array" ref="L10">IF(D10&gt;0,IF($D10&lt;=0,0,D10*H11),"")</f>
      </c>
      <c r="M10" s="21"/>
      <c r="N10" s="23"/>
    </row>
    <row r="11" ht="20.6" customHeight="1">
      <c r="A11" s="33">
        <v>1</v>
      </c>
      <c r="B11" t="s" s="34">
        <v>37</v>
      </c>
      <c r="C11" s="80"/>
      <c r="D11" s="81">
        <v>1</v>
      </c>
      <c r="E11" s="81" cm="1">
        <f t="array" ref="E11">D11</f>
        <v>1</v>
      </c>
      <c r="F11" s="81" cm="1">
        <f t="array" ref="F11">D11</f>
        <v>1</v>
      </c>
      <c r="G11" t="s" s="82">
        <v>19</v>
      </c>
      <c r="H11" s="137">
        <v>382984.71</v>
      </c>
      <c r="I11" s="81">
        <v>382441.31</v>
      </c>
      <c r="J11" s="81">
        <v>382441.31</v>
      </c>
      <c r="K11" s="81">
        <v>0</v>
      </c>
      <c r="L11" s="81" cm="1">
        <f t="array" ref="L11">IF(D11&gt;0,IF($D11&lt;=0,0,D11*H11),"")</f>
        <v>382984.71</v>
      </c>
      <c r="M11" s="81" cm="1">
        <f t="array" ref="M11">IF(E11&gt;0,IF($D11&lt;=0,0,ROUND(E11*I11,2)),"")</f>
        <v>382441.31</v>
      </c>
      <c r="N11" s="83" cm="1">
        <f t="array" ref="N11">IF(F11&gt;0,IF($D11&lt;=0,0,ROUND(F11*J11,2)),"")</f>
        <v>382441.31</v>
      </c>
    </row>
    <row r="12" ht="8.75" customHeight="1" hidden="1">
      <c r="A12" s="39"/>
      <c r="B12" s="40"/>
      <c r="C12" s="45"/>
      <c r="D12" s="46"/>
      <c r="E12" s="46"/>
      <c r="F12" s="46"/>
      <c r="G12" s="47"/>
      <c r="H12" s="46"/>
      <c r="I12" s="46"/>
      <c r="J12" s="46"/>
      <c r="K12" s="46"/>
      <c r="L12" s="46"/>
      <c r="M12" s="46"/>
      <c r="N12" s="48"/>
    </row>
    <row r="13" ht="8.75" customHeight="1" hidden="1">
      <c r="A13" s="39"/>
      <c r="B13" s="40"/>
      <c r="C13" s="41"/>
      <c r="D13" s="42"/>
      <c r="E13" s="42"/>
      <c r="F13" s="42"/>
      <c r="G13" s="43"/>
      <c r="H13" s="42"/>
      <c r="I13" s="42"/>
      <c r="J13" s="42"/>
      <c r="K13" s="42"/>
      <c r="L13" s="42"/>
      <c r="M13" s="42"/>
      <c r="N13" s="44"/>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2"/>
      <c r="I15" s="42"/>
      <c r="J15" s="42"/>
      <c r="K15" s="42"/>
      <c r="L15" s="42"/>
      <c r="M15" s="42"/>
      <c r="N15" s="44"/>
    </row>
    <row r="16" ht="8.75" customHeight="1" hidden="1">
      <c r="A16" s="39"/>
      <c r="B16" s="40"/>
      <c r="C16" s="45"/>
      <c r="D16" s="46"/>
      <c r="E16" s="46"/>
      <c r="F16" s="46"/>
      <c r="G16" s="47"/>
      <c r="H16" s="46"/>
      <c r="I16" s="46"/>
      <c r="J16" s="46"/>
      <c r="K16" s="46"/>
      <c r="L16" s="46"/>
      <c r="M16" s="46"/>
      <c r="N16" s="48"/>
    </row>
    <row r="17" ht="8.75" customHeight="1" hidden="1">
      <c r="A17" s="39"/>
      <c r="B17" s="40"/>
      <c r="C17" s="41"/>
      <c r="D17" s="42"/>
      <c r="E17" s="42"/>
      <c r="F17" s="42"/>
      <c r="G17" s="43"/>
      <c r="H17" s="42"/>
      <c r="I17" s="42"/>
      <c r="J17" s="42"/>
      <c r="K17" s="42"/>
      <c r="L17" s="42"/>
      <c r="M17" s="42"/>
      <c r="N17" s="44"/>
    </row>
    <row r="18" ht="8.75" customHeight="1" hidden="1">
      <c r="A18" s="39"/>
      <c r="B18" s="40"/>
      <c r="C18" s="45"/>
      <c r="D18" s="46"/>
      <c r="E18" s="46"/>
      <c r="F18" s="46"/>
      <c r="G18" s="47"/>
      <c r="H18" s="47"/>
      <c r="I18" s="47"/>
      <c r="J18" s="47"/>
      <c r="K18" s="46"/>
      <c r="L18" s="47"/>
      <c r="M18" s="47"/>
      <c r="N18" s="52"/>
    </row>
    <row r="19" ht="8.75" customHeight="1" hidden="1">
      <c r="A19" s="39"/>
      <c r="B19" s="40"/>
      <c r="C19" s="41"/>
      <c r="D19" s="42"/>
      <c r="E19" s="42"/>
      <c r="F19" s="42"/>
      <c r="G19" s="43"/>
      <c r="H19" s="84"/>
      <c r="I19" s="84"/>
      <c r="J19" s="84"/>
      <c r="K19" s="42"/>
      <c r="L19" s="42"/>
      <c r="M19" s="42"/>
      <c r="N19" s="44"/>
    </row>
    <row r="20" ht="8.75" customHeight="1" hidden="1">
      <c r="A20" s="39"/>
      <c r="B20" s="40"/>
      <c r="C20" s="45"/>
      <c r="D20" s="46"/>
      <c r="E20" s="46"/>
      <c r="F20" s="46"/>
      <c r="G20" s="47"/>
      <c r="H20" s="47"/>
      <c r="I20" s="47"/>
      <c r="J20" s="47"/>
      <c r="K20" s="46"/>
      <c r="L20" s="47"/>
      <c r="M20" s="47"/>
      <c r="N20" s="52"/>
    </row>
    <row r="21" ht="8.75" customHeight="1" hidden="1">
      <c r="A21" s="39"/>
      <c r="B21" s="40"/>
      <c r="C21" s="41"/>
      <c r="D21" s="42"/>
      <c r="E21" s="42"/>
      <c r="F21" s="42"/>
      <c r="G21" s="43"/>
      <c r="H21" s="42"/>
      <c r="I21" s="42"/>
      <c r="J21" s="42"/>
      <c r="K21" s="42"/>
      <c r="L21" s="42"/>
      <c r="M21" s="42"/>
      <c r="N21" s="44"/>
    </row>
    <row r="22" ht="8.75" customHeight="1" hidden="1">
      <c r="A22" s="39"/>
      <c r="B22" s="40"/>
      <c r="C22" s="45"/>
      <c r="D22" s="46"/>
      <c r="E22" s="46"/>
      <c r="F22" s="46"/>
      <c r="G22" s="47"/>
      <c r="H22" s="46"/>
      <c r="I22" s="46"/>
      <c r="J22" s="46"/>
      <c r="K22" s="46"/>
      <c r="L22" s="46"/>
      <c r="M22" s="46"/>
      <c r="N22" s="48"/>
    </row>
    <row r="23" ht="8.75" customHeight="1" hidden="1">
      <c r="A23" s="51"/>
      <c r="B23" s="40"/>
      <c r="C23" s="41"/>
      <c r="D23" s="42"/>
      <c r="E23" s="42"/>
      <c r="F23" s="42"/>
      <c r="G23" s="43"/>
      <c r="H23" s="42"/>
      <c r="I23" s="42"/>
      <c r="J23" s="42"/>
      <c r="K23" s="42"/>
      <c r="L23" s="42"/>
      <c r="M23" s="42"/>
      <c r="N23" s="44"/>
    </row>
    <row r="24" ht="8.75" customHeight="1" hidden="1">
      <c r="A24" s="51"/>
      <c r="B24" s="40"/>
      <c r="C24" s="45"/>
      <c r="D24" s="46"/>
      <c r="E24" s="46"/>
      <c r="F24" s="46"/>
      <c r="G24" s="47"/>
      <c r="H24" s="46"/>
      <c r="I24" s="46"/>
      <c r="J24" s="46"/>
      <c r="K24" s="46"/>
      <c r="L24" s="46"/>
      <c r="M24" s="46"/>
      <c r="N24" s="48"/>
    </row>
    <row r="25" ht="8.75" customHeight="1" hidden="1">
      <c r="A25" s="39"/>
      <c r="B25" s="40"/>
      <c r="C25" s="41"/>
      <c r="D25" s="42"/>
      <c r="E25" s="42"/>
      <c r="F25" s="42"/>
      <c r="G25" s="43"/>
      <c r="H25" s="42"/>
      <c r="I25" s="42"/>
      <c r="J25" s="42"/>
      <c r="K25" s="42"/>
      <c r="L25" s="43"/>
      <c r="M25" s="43"/>
      <c r="N25" s="49"/>
    </row>
    <row r="26" ht="8.75" customHeight="1" hidden="1">
      <c r="A26" s="39"/>
      <c r="B26" s="40"/>
      <c r="C26" s="45"/>
      <c r="D26" s="46"/>
      <c r="E26" s="46"/>
      <c r="F26" s="46"/>
      <c r="G26" s="47"/>
      <c r="H26" s="46"/>
      <c r="I26" s="46"/>
      <c r="J26" s="46"/>
      <c r="K26" s="46"/>
      <c r="L26" s="46"/>
      <c r="M26" s="46"/>
      <c r="N26" s="48"/>
    </row>
    <row r="27" ht="8.75" customHeight="1" hidden="1">
      <c r="A27" s="39"/>
      <c r="B27" s="40"/>
      <c r="C27" s="41"/>
      <c r="D27" s="42"/>
      <c r="E27" s="42"/>
      <c r="F27" s="42"/>
      <c r="G27" s="43"/>
      <c r="H27" s="42"/>
      <c r="I27" s="42"/>
      <c r="J27" s="42"/>
      <c r="K27" s="42"/>
      <c r="L27" s="43"/>
      <c r="M27" s="43"/>
      <c r="N27" s="49"/>
    </row>
    <row r="28" ht="20.85" customHeight="1">
      <c r="A28" s="53"/>
      <c r="B28" s="54"/>
      <c r="C28" s="54"/>
      <c r="D28" s="55"/>
      <c r="E28" s="55"/>
      <c r="F28" s="55"/>
      <c r="G28" s="56"/>
      <c r="H28" s="56"/>
      <c r="I28" s="54"/>
      <c r="J28" s="57"/>
      <c r="K28" t="s" s="58">
        <v>38</v>
      </c>
      <c r="L28" s="59" cm="1">
        <f t="array" ref="L28">SUM(L1:L27)</f>
        <v>175638081.86</v>
      </c>
      <c r="M28" s="59" cm="1">
        <f t="array" ref="M28">SUM(M1:M27)</f>
        <v>175351538.46</v>
      </c>
      <c r="N28" s="59" cm="1">
        <f t="array" ref="N28">SUM(N1:N27)</f>
        <v>175351538.46</v>
      </c>
    </row>
    <row r="29" ht="21" customHeight="1">
      <c r="A29" s="60"/>
      <c r="B29" t="s" s="61">
        <v>39</v>
      </c>
      <c r="C29" s="62"/>
      <c r="D29" s="63" cm="1">
        <f t="array" ref="D29">ROUND(IF(L29&lt;=100000000,L29*0.24%,IF(AND(L29&gt;100000000,L29&lt;=500000000),100000000*0.24%+(L29-100000000)*0.19%,IF(AND(L29&gt;500000000,L29&lt;=1000000000),100000000*0.24%+400000000*0.19%+(L29-500000000)*0.15%,IF(AND(L29&gt;1000000000,L29&lt;=5000000000),100000000*0.24%+400000000*0.19%+500000000*0.15%+(L29-1000000000)*0.12%,IF(L29&gt;5000000000,100000000*0.24%+400000000*0.19%+500000000*0.15%+4000000000*0.12%+(L29-5000000000)*0.1%,"Bingung komputer"))))),2)</f>
        <v>382984.68</v>
      </c>
      <c r="E29" s="64" cm="1">
        <f t="array" ref="E29">ROUND(IF(M29&lt;=100000000,M29*0.24%,IF(AND(M29&gt;100000000,M29&lt;=500000000),100000000*0.24%+(M29-100000000)*0.19%,IF(AND(M29&gt;500000000,M29&lt;=1000000000),100000000*0.24%+400000000*0.19%+(M29-500000000)*0.15%,IF(AND(M29&gt;1000000000,M29&lt;=5000000000),100000000*0.24%+400000000*0.19%+500000000*0.15%+(M29-1000000000)*0.12%,IF(M29&gt;5000000000,100000000*0.24%+400000000*0.19%+500000000*0.15%+4000000000*0.12%+(M29-5000000000)*0.1%,"Bingung komputer"))))),2)</f>
        <v>382441.28</v>
      </c>
      <c r="F29" s="64" cm="1">
        <f t="array" ref="F29">ROUND(IF(N29&lt;=100000000,N29*0.24%,IF(AND(N29&gt;100000000,N29&lt;=500000000),100000000*0.24%+(N29-100000000)*0.19%,IF(AND(N29&gt;500000000,N29&lt;=1000000000),100000000*0.24%+400000000*0.19%+(N29-500000000)*0.15%,IF(AND(N29&gt;1000000000,N29&lt;=5000000000),100000000*0.24%+400000000*0.19%+500000000*0.15%+(N29-1000000000)*0.12%,IF(N29&gt;5000000000,100000000*0.24%+400000000*0.19%+500000000*0.15%+4000000000*0.12%+(N29-5000000000)*0.1%,"Bingung komputer"))))),2)</f>
        <v>382441.28</v>
      </c>
      <c r="G29" s="65"/>
      <c r="H29" s="66"/>
      <c r="I29" s="62"/>
      <c r="J29" s="67"/>
      <c r="K29" t="str" s="67" cm="1">
        <f t="array" ref="K29">"Jumlah Terkena Pajak "&amp;MAX(K3:K27)&amp;"% (B)"</f>
        <v>Jumlah Terkena Pajak 11,00% (B)</v>
      </c>
      <c r="L29" s="68" cm="1">
        <f t="array" ref="L29">SUMIF($K3:$K27,"&gt;0",L3:L27)</f>
        <v>175255097.15</v>
      </c>
      <c r="M29" s="69" cm="1">
        <f t="array" ref="M29">SUMIF($K3:$K27,"&gt;0",M3:M27)</f>
        <v>174969097.15</v>
      </c>
      <c r="N29" s="69" cm="1">
        <f t="array" ref="N29">SUMIF($K3:$K27,"&gt;0",N3:N27)</f>
        <v>174969097.15</v>
      </c>
    </row>
    <row r="30" ht="21" customHeight="1">
      <c r="A30" s="70"/>
      <c r="B30" s="71"/>
      <c r="C30" s="71"/>
      <c r="D30" s="72"/>
      <c r="E30" s="72"/>
      <c r="F30" s="71"/>
      <c r="G30" s="72"/>
      <c r="H30" s="72"/>
      <c r="I30" s="71"/>
      <c r="J30" s="73"/>
      <c r="K30" t="str" s="73" cm="1">
        <f t="array" ref="K30">"PPN (C) = "&amp;MAX(K3:K27)&amp;"% x B"</f>
        <v>PPN (C) = 11,00% x B</v>
      </c>
      <c r="L30" s="74" cm="1">
        <f t="array" ref="L30">L29*MAX($K3:$K27)%</f>
        <v>19278060.6865</v>
      </c>
      <c r="M30" s="69" cm="1">
        <f t="array" ref="M30">M29*MAX($K3:$K27)%</f>
        <v>19246600.6865</v>
      </c>
      <c r="N30" s="69" cm="1">
        <f t="array" ref="N30">N29*MAX($K3:$K27)%</f>
        <v>19246600.6865</v>
      </c>
    </row>
    <row r="31" ht="21" customHeight="1">
      <c r="A31" s="70"/>
      <c r="B31" s="71"/>
      <c r="C31" s="71"/>
      <c r="D31" s="72"/>
      <c r="E31" s="72"/>
      <c r="F31" s="72"/>
      <c r="G31" s="72"/>
      <c r="H31" s="72"/>
      <c r="I31" s="71"/>
      <c r="J31" s="73"/>
      <c r="K31" t="s" s="75">
        <v>42</v>
      </c>
      <c r="L31" s="76" cm="1">
        <f t="array" ref="L31">L28+L30</f>
        <v>194916142.5465</v>
      </c>
      <c r="M31" s="69" cm="1">
        <f t="array" ref="M31">M28+M30</f>
        <v>194598139.1465</v>
      </c>
      <c r="N31" s="69" cm="1">
        <f t="array" ref="N31">N28+N30</f>
        <v>194598139.1465</v>
      </c>
    </row>
    <row r="32" ht="20.5" customHeight="1">
      <c r="A32" s="70"/>
      <c r="B32" s="71"/>
      <c r="C32" s="71"/>
      <c r="D32" s="72"/>
      <c r="E32" s="72"/>
      <c r="F32" s="72"/>
      <c r="G32" s="72"/>
      <c r="H32" s="72"/>
      <c r="I32" s="71"/>
      <c r="J32" s="73"/>
      <c r="K32" t="s" s="75">
        <v>43</v>
      </c>
      <c r="L32" s="68" cm="1">
        <f t="array" ref="L32">ROUNDDOWN(L31,2)</f>
        <v>194916142.54</v>
      </c>
      <c r="M32" s="68" cm="1">
        <f t="array" ref="M32">ROUNDDOWN(M31,2)</f>
        <v>194598139.14</v>
      </c>
      <c r="N32" s="68" cm="1">
        <f t="array" ref="N32">ROUNDDOWN(N31,-3)</f>
        <v>194598000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32.xml><?xml version="1.0" encoding="utf-8"?>
<worksheet xmlns:r="http://schemas.openxmlformats.org/officeDocument/2006/relationships" xmlns="http://schemas.openxmlformats.org/spreadsheetml/2006/main">
  <sheetPr>
    <pageSetUpPr fitToPage="1"/>
  </sheetPr>
  <dimension ref="A1:N34"/>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145" customWidth="1"/>
    <col min="2" max="2" width="43.0312" style="145" customWidth="1"/>
    <col min="3" max="3" width="2.75" style="145" customWidth="1"/>
    <col min="4" max="6" width="10.3672" style="145" customWidth="1"/>
    <col min="7" max="7" width="11.6875" style="145" customWidth="1"/>
    <col min="8" max="11" width="13.5156" style="145" customWidth="1"/>
    <col min="12" max="14" width="14.2344" style="145" customWidth="1"/>
    <col min="15" max="16384" width="16.3516" style="145"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16</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t="s" s="18">
        <v>17</v>
      </c>
      <c r="B4" t="s" s="19">
        <v>18</v>
      </c>
      <c r="C4" s="20"/>
      <c r="D4" s="21">
        <v>1</v>
      </c>
      <c r="E4" s="21" cm="1">
        <f t="array" ref="E4">D4</f>
        <v>1</v>
      </c>
      <c r="F4" s="21" cm="1">
        <f t="array" ref="F4">D4</f>
        <v>1</v>
      </c>
      <c r="G4" t="s" s="22">
        <v>19</v>
      </c>
      <c r="H4" s="21">
        <v>10999750</v>
      </c>
      <c r="I4" s="21">
        <v>10999750</v>
      </c>
      <c r="J4" s="21">
        <v>10999750</v>
      </c>
      <c r="K4" s="21">
        <v>11</v>
      </c>
      <c r="L4" s="21" cm="1">
        <f t="array" ref="L4">IF(D4&gt;0,IF($D4&lt;=0,0,D4*H4),"")</f>
        <v>10999750</v>
      </c>
      <c r="M4" s="21" cm="1">
        <f t="array" ref="M4">IF(E4&gt;0,IF($D4&lt;=0,0,ROUND(E4*I4,2)),"")</f>
        <v>10999750</v>
      </c>
      <c r="N4" s="23" cm="1">
        <f t="array" ref="N4">IF(F4&gt;0,IF($D4&lt;=0,0,ROUND(F4*J4,2)),"")</f>
        <v>10999750</v>
      </c>
    </row>
    <row r="5" ht="20.5" customHeight="1">
      <c r="A5" t="s" s="18">
        <v>20</v>
      </c>
      <c r="B5" t="s" s="19">
        <v>189</v>
      </c>
      <c r="C5" s="24"/>
      <c r="D5" s="26">
        <v>1</v>
      </c>
      <c r="E5" s="26" cm="1">
        <f t="array" ref="E5">D5</f>
        <v>1</v>
      </c>
      <c r="F5" s="26" cm="1">
        <f t="array" ref="F5">D5</f>
        <v>1</v>
      </c>
      <c r="G5" t="s" s="27">
        <v>19</v>
      </c>
      <c r="H5" s="26">
        <v>660000</v>
      </c>
      <c r="I5" s="26">
        <v>560000</v>
      </c>
      <c r="J5" s="26">
        <v>560000</v>
      </c>
      <c r="K5" s="26">
        <v>11</v>
      </c>
      <c r="L5" s="26" cm="1">
        <f t="array" ref="L5">IF(D5&gt;0,IF($D5&lt;=0,0,D5*H5),"")</f>
        <v>660000</v>
      </c>
      <c r="M5" s="26" cm="1">
        <f t="array" ref="M5">IF(E5&gt;0,IF($D5&lt;=0,0,ROUND(E5*I5,2)),"")</f>
        <v>560000</v>
      </c>
      <c r="N5" s="28" cm="1">
        <f t="array" ref="N5">IF(F5&gt;0,IF($D5&lt;=0,0,ROUND(F5*J5,2)),"")</f>
        <v>560000</v>
      </c>
    </row>
    <row r="6" ht="20.5" customHeight="1">
      <c r="A6" t="s" s="18">
        <v>22</v>
      </c>
      <c r="B6" t="s" s="19">
        <v>23</v>
      </c>
      <c r="C6" s="20"/>
      <c r="D6" s="21">
        <v>1</v>
      </c>
      <c r="E6" s="21" cm="1">
        <f t="array" ref="E6">D6</f>
        <v>1</v>
      </c>
      <c r="F6" s="21" cm="1">
        <f t="array" ref="F6">D6</f>
        <v>1</v>
      </c>
      <c r="G6" t="s" s="22">
        <v>19</v>
      </c>
      <c r="H6" s="21">
        <v>5289000</v>
      </c>
      <c r="I6" s="21">
        <v>5289000</v>
      </c>
      <c r="J6" s="21">
        <v>5289000</v>
      </c>
      <c r="K6" s="21">
        <v>11</v>
      </c>
      <c r="L6" s="21" cm="1">
        <f t="array" ref="L6">IF(D6&gt;0,IF($D6&lt;=0,0,D6*H6),"")</f>
        <v>5289000</v>
      </c>
      <c r="M6" s="21" cm="1">
        <f t="array" ref="M6">IF(E6&gt;0,IF($D6&lt;=0,0,ROUND(E6*I6,2)),"")</f>
        <v>5289000</v>
      </c>
      <c r="N6" s="23" cm="1">
        <f t="array" ref="N6">IF(F6&gt;0,IF($D6&lt;=0,0,ROUND(F6*J6,2)),"")</f>
        <v>5289000</v>
      </c>
    </row>
    <row r="7" ht="20.5" customHeight="1">
      <c r="A7" s="29"/>
      <c r="B7" t="s" s="19">
        <v>28</v>
      </c>
      <c r="C7" s="24"/>
      <c r="D7" s="30"/>
      <c r="E7" s="26"/>
      <c r="F7" s="26"/>
      <c r="G7" s="30"/>
      <c r="H7" s="26"/>
      <c r="I7" s="30"/>
      <c r="J7" s="30"/>
      <c r="K7" s="26"/>
      <c r="L7" t="str" s="30" cm="1">
        <f t="array" ref="L7">IF(D7&gt;0,IF($D7&lt;=0,0,D7*H7),"")</f>
      </c>
      <c r="M7" t="str" s="30" cm="1">
        <f t="array" ref="M7">IF(E7&gt;0,IF($D7&lt;=0,0,ROUND(E7*I7,2)),"")</f>
      </c>
      <c r="N7" t="str" s="31" cm="1">
        <f t="array" ref="N7">IF(F7&gt;0,IF($D7&lt;=0,0,ROUND(F7*J7,2)),"")</f>
      </c>
    </row>
    <row r="8" ht="20.5" customHeight="1">
      <c r="A8" t="s" s="18">
        <v>86</v>
      </c>
      <c r="B8" t="s" s="19">
        <v>32</v>
      </c>
      <c r="C8" s="20"/>
      <c r="D8" s="78">
        <v>198</v>
      </c>
      <c r="E8" s="21" cm="1">
        <f t="array" ref="E8">D8</f>
        <v>198</v>
      </c>
      <c r="F8" s="21" cm="1">
        <f t="array" ref="F8">D8</f>
        <v>198</v>
      </c>
      <c r="G8" t="s" s="22">
        <v>27</v>
      </c>
      <c r="H8" s="21">
        <v>31168.93</v>
      </c>
      <c r="I8" s="21">
        <v>31168.93</v>
      </c>
      <c r="J8" s="21">
        <v>31168.93</v>
      </c>
      <c r="K8" s="21">
        <v>11</v>
      </c>
      <c r="L8" s="21" cm="1">
        <f t="array" ref="L8">IF(D8&gt;0,IF($D8&lt;=0,0,D8*H8),"")</f>
        <v>6171448.14</v>
      </c>
      <c r="M8" s="21" cm="1">
        <f t="array" ref="M8">IF(E8&gt;0,IF($D8&lt;=0,0,ROUND(E8*I8,2)),"")</f>
        <v>6171448.14</v>
      </c>
      <c r="N8" s="23" cm="1">
        <f t="array" ref="N8">IF(F8&gt;0,IF($D8&lt;=0,0,ROUND(F8*J8,2)),"")</f>
        <v>6171448.14</v>
      </c>
    </row>
    <row r="9" ht="20.5" customHeight="1">
      <c r="A9" s="29"/>
      <c r="B9" t="s" s="19">
        <v>28</v>
      </c>
      <c r="C9" s="24"/>
      <c r="D9" s="30"/>
      <c r="E9" s="26"/>
      <c r="F9" s="26"/>
      <c r="G9" s="30"/>
      <c r="H9" s="26"/>
      <c r="I9" s="30"/>
      <c r="J9" s="30"/>
      <c r="K9" s="26"/>
      <c r="L9" t="str" s="30" cm="1">
        <f t="array" ref="L9">IF(D9&gt;0,IF($D9&lt;=0,0,D9*H9),"")</f>
      </c>
      <c r="M9" t="str" s="30" cm="1">
        <f t="array" ref="M9">IF(E9&gt;0,IF($D9&lt;=0,0,ROUND(E9*I9,2)),"")</f>
      </c>
      <c r="N9" t="str" s="31" cm="1">
        <f t="array" ref="N9">IF(F9&gt;0,IF($D9&lt;=0,0,ROUND(F9*J9,2)),"")</f>
      </c>
    </row>
    <row r="10" ht="20.5" customHeight="1">
      <c r="A10" t="s" s="18">
        <v>86</v>
      </c>
      <c r="B10" t="s" s="19">
        <v>32</v>
      </c>
      <c r="C10" s="20"/>
      <c r="D10" s="78">
        <v>3438.06</v>
      </c>
      <c r="E10" s="21" cm="1">
        <f t="array" ref="E10">D10</f>
        <v>3438.06</v>
      </c>
      <c r="F10" s="21" cm="1">
        <f t="array" ref="F10">D10</f>
        <v>3438.06</v>
      </c>
      <c r="G10" t="s" s="22">
        <v>27</v>
      </c>
      <c r="H10" s="21">
        <v>42563.37</v>
      </c>
      <c r="I10" s="21">
        <v>42563.37</v>
      </c>
      <c r="J10" s="21">
        <v>42563.37</v>
      </c>
      <c r="K10" s="21">
        <v>11</v>
      </c>
      <c r="L10" s="21" cm="1">
        <f t="array" ref="L10">IF(D10&gt;0,IF($D10&lt;=0,0,D10*H10),"")</f>
        <v>146335419.8622</v>
      </c>
      <c r="M10" s="21" cm="1">
        <f t="array" ref="M10">IF(E10&gt;0,IF($D10&lt;=0,0,ROUND(E10*I10,2)),"")</f>
        <v>146335419.86</v>
      </c>
      <c r="N10" s="23" cm="1">
        <f t="array" ref="N10">IF(F10&gt;0,IF($D10&lt;=0,0,ROUND(F10*J10,2)),"")</f>
        <v>146335419.86</v>
      </c>
    </row>
    <row r="11" ht="20.5" customHeight="1">
      <c r="A11" t="s" s="18">
        <v>46</v>
      </c>
      <c r="B11" t="s" s="19">
        <v>34</v>
      </c>
      <c r="C11" s="24"/>
      <c r="D11" s="25">
        <v>1887.5</v>
      </c>
      <c r="E11" s="26" cm="1">
        <f t="array" ref="E11">D11</f>
        <v>1887.5</v>
      </c>
      <c r="F11" s="26" cm="1">
        <f t="array" ref="F11">D11</f>
        <v>1887.5</v>
      </c>
      <c r="G11" t="s" s="27">
        <v>35</v>
      </c>
      <c r="H11" s="26">
        <v>2996.59</v>
      </c>
      <c r="I11" s="26">
        <v>2996.59</v>
      </c>
      <c r="J11" s="26">
        <v>2996.59</v>
      </c>
      <c r="K11" s="26">
        <v>11</v>
      </c>
      <c r="L11" s="26" cm="1">
        <f t="array" ref="L11">IF(D11&gt;0,IF($D11&lt;=0,0,D11*H11),"")</f>
        <v>5656063.625</v>
      </c>
      <c r="M11" s="26" cm="1">
        <f t="array" ref="M11">IF(E11&gt;0,IF($D11&lt;=0,0,ROUND(E11*I11,2)),"")</f>
        <v>5656063.63</v>
      </c>
      <c r="N11" s="28" cm="1">
        <f t="array" ref="N11">IF(F11&gt;0,IF($D11&lt;=0,0,ROUND(F11*J11,2)),"")</f>
        <v>5656063.63</v>
      </c>
    </row>
    <row r="12" ht="20.5" customHeight="1">
      <c r="A12" s="29"/>
      <c r="B12" t="s" s="19">
        <v>36</v>
      </c>
      <c r="C12" s="20"/>
      <c r="D12" s="21"/>
      <c r="E12" s="21"/>
      <c r="F12" s="21"/>
      <c r="G12" s="79"/>
      <c r="H12" s="79"/>
      <c r="I12" s="79"/>
      <c r="J12" s="79"/>
      <c r="K12" s="21"/>
      <c r="L12" t="str" s="79" cm="1">
        <f t="array" ref="L12">IF(D12&gt;0,IF($D12&lt;=0,0,D12*H13),"")</f>
      </c>
      <c r="M12" s="21"/>
      <c r="N12" s="23"/>
    </row>
    <row r="13" ht="20.6" customHeight="1">
      <c r="A13" s="33">
        <v>1</v>
      </c>
      <c r="B13" t="s" s="34">
        <v>37</v>
      </c>
      <c r="C13" s="80"/>
      <c r="D13" s="81">
        <v>1</v>
      </c>
      <c r="E13" s="81" cm="1">
        <f t="array" ref="E13">D13</f>
        <v>1</v>
      </c>
      <c r="F13" s="81" cm="1">
        <f t="array" ref="F13">D13</f>
        <v>1</v>
      </c>
      <c r="G13" t="s" s="82">
        <v>19</v>
      </c>
      <c r="H13" s="137">
        <v>382712.42</v>
      </c>
      <c r="I13" s="81">
        <v>382522.42</v>
      </c>
      <c r="J13" s="81">
        <v>382522.42</v>
      </c>
      <c r="K13" s="81">
        <v>0</v>
      </c>
      <c r="L13" s="81" cm="1">
        <f t="array" ref="L13">IF(D13&gt;0,IF($D13&lt;=0,0,D13*H13),"")</f>
        <v>382712.42</v>
      </c>
      <c r="M13" s="81" cm="1">
        <f t="array" ref="M13">IF(E13&gt;0,IF($D13&lt;=0,0,ROUND(E13*I13,2)),"")</f>
        <v>382522.42</v>
      </c>
      <c r="N13" s="83" cm="1">
        <f t="array" ref="N13">IF(F13&gt;0,IF($D13&lt;=0,0,ROUND(F13*J13,2)),"")</f>
        <v>382522.42</v>
      </c>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2"/>
      <c r="I15" s="42"/>
      <c r="J15" s="42"/>
      <c r="K15" s="42"/>
      <c r="L15" s="42"/>
      <c r="M15" s="42"/>
      <c r="N15" s="44"/>
    </row>
    <row r="16" ht="8.75" customHeight="1" hidden="1">
      <c r="A16" s="39"/>
      <c r="B16" s="40"/>
      <c r="C16" s="45"/>
      <c r="D16" s="46"/>
      <c r="E16" s="46"/>
      <c r="F16" s="46"/>
      <c r="G16" s="47"/>
      <c r="H16" s="46"/>
      <c r="I16" s="46"/>
      <c r="J16" s="46"/>
      <c r="K16" s="46"/>
      <c r="L16" s="46"/>
      <c r="M16" s="46"/>
      <c r="N16" s="48"/>
    </row>
    <row r="17" ht="8.75" customHeight="1" hidden="1">
      <c r="A17" s="39"/>
      <c r="B17" s="40"/>
      <c r="C17" s="41"/>
      <c r="D17" s="42"/>
      <c r="E17" s="42"/>
      <c r="F17" s="42"/>
      <c r="G17" s="43"/>
      <c r="H17" s="42"/>
      <c r="I17" s="42"/>
      <c r="J17" s="42"/>
      <c r="K17" s="42"/>
      <c r="L17" s="42"/>
      <c r="M17" s="42"/>
      <c r="N17" s="44"/>
    </row>
    <row r="18" ht="8.75" customHeight="1" hidden="1">
      <c r="A18" s="39"/>
      <c r="B18" s="40"/>
      <c r="C18" s="45"/>
      <c r="D18" s="46"/>
      <c r="E18" s="46"/>
      <c r="F18" s="46"/>
      <c r="G18" s="47"/>
      <c r="H18" s="46"/>
      <c r="I18" s="46"/>
      <c r="J18" s="46"/>
      <c r="K18" s="46"/>
      <c r="L18" s="46"/>
      <c r="M18" s="46"/>
      <c r="N18" s="48"/>
    </row>
    <row r="19" ht="8.75" customHeight="1" hidden="1">
      <c r="A19" s="39"/>
      <c r="B19" s="40"/>
      <c r="C19" s="41"/>
      <c r="D19" s="42"/>
      <c r="E19" s="42"/>
      <c r="F19" s="42"/>
      <c r="G19" s="43"/>
      <c r="H19" s="42"/>
      <c r="I19" s="42"/>
      <c r="J19" s="42"/>
      <c r="K19" s="42"/>
      <c r="L19" s="42"/>
      <c r="M19" s="42"/>
      <c r="N19" s="44"/>
    </row>
    <row r="20" ht="8.75" customHeight="1" hidden="1">
      <c r="A20" s="39"/>
      <c r="B20" s="40"/>
      <c r="C20" s="45"/>
      <c r="D20" s="46"/>
      <c r="E20" s="46"/>
      <c r="F20" s="46"/>
      <c r="G20" s="47"/>
      <c r="H20" s="47"/>
      <c r="I20" s="47"/>
      <c r="J20" s="47"/>
      <c r="K20" s="46"/>
      <c r="L20" s="47"/>
      <c r="M20" s="47"/>
      <c r="N20" s="52"/>
    </row>
    <row r="21" ht="8.75" customHeight="1" hidden="1">
      <c r="A21" s="39"/>
      <c r="B21" s="40"/>
      <c r="C21" s="41"/>
      <c r="D21" s="42"/>
      <c r="E21" s="42"/>
      <c r="F21" s="42"/>
      <c r="G21" s="43"/>
      <c r="H21" s="84"/>
      <c r="I21" s="84"/>
      <c r="J21" s="84"/>
      <c r="K21" s="42"/>
      <c r="L21" s="42"/>
      <c r="M21" s="42"/>
      <c r="N21" s="44"/>
    </row>
    <row r="22" ht="8.75" customHeight="1" hidden="1">
      <c r="A22" s="39"/>
      <c r="B22" s="40"/>
      <c r="C22" s="45"/>
      <c r="D22" s="46"/>
      <c r="E22" s="46"/>
      <c r="F22" s="46"/>
      <c r="G22" s="47"/>
      <c r="H22" s="47"/>
      <c r="I22" s="47"/>
      <c r="J22" s="47"/>
      <c r="K22" s="46"/>
      <c r="L22" s="47"/>
      <c r="M22" s="47"/>
      <c r="N22" s="52"/>
    </row>
    <row r="23" ht="8.75" customHeight="1" hidden="1">
      <c r="A23" s="39"/>
      <c r="B23" s="40"/>
      <c r="C23" s="41"/>
      <c r="D23" s="42"/>
      <c r="E23" s="42"/>
      <c r="F23" s="42"/>
      <c r="G23" s="43"/>
      <c r="H23" s="42"/>
      <c r="I23" s="42"/>
      <c r="J23" s="42"/>
      <c r="K23" s="42"/>
      <c r="L23" s="42"/>
      <c r="M23" s="42"/>
      <c r="N23" s="44"/>
    </row>
    <row r="24" ht="8.75" customHeight="1" hidden="1">
      <c r="A24" s="39"/>
      <c r="B24" s="40"/>
      <c r="C24" s="45"/>
      <c r="D24" s="46"/>
      <c r="E24" s="46"/>
      <c r="F24" s="46"/>
      <c r="G24" s="47"/>
      <c r="H24" s="46"/>
      <c r="I24" s="46"/>
      <c r="J24" s="46"/>
      <c r="K24" s="46"/>
      <c r="L24" s="46"/>
      <c r="M24" s="46"/>
      <c r="N24" s="48"/>
    </row>
    <row r="25" ht="8.75" customHeight="1" hidden="1">
      <c r="A25" s="51"/>
      <c r="B25" s="40"/>
      <c r="C25" s="41"/>
      <c r="D25" s="42"/>
      <c r="E25" s="42"/>
      <c r="F25" s="42"/>
      <c r="G25" s="43"/>
      <c r="H25" s="42"/>
      <c r="I25" s="42"/>
      <c r="J25" s="42"/>
      <c r="K25" s="42"/>
      <c r="L25" s="42"/>
      <c r="M25" s="42"/>
      <c r="N25" s="44"/>
    </row>
    <row r="26" ht="8.75" customHeight="1" hidden="1">
      <c r="A26" s="51"/>
      <c r="B26" s="40"/>
      <c r="C26" s="45"/>
      <c r="D26" s="46"/>
      <c r="E26" s="46"/>
      <c r="F26" s="46"/>
      <c r="G26" s="47"/>
      <c r="H26" s="46"/>
      <c r="I26" s="46"/>
      <c r="J26" s="46"/>
      <c r="K26" s="46"/>
      <c r="L26" s="46"/>
      <c r="M26" s="46"/>
      <c r="N26" s="48"/>
    </row>
    <row r="27" ht="8.75" customHeight="1" hidden="1">
      <c r="A27" s="39"/>
      <c r="B27" s="40"/>
      <c r="C27" s="41"/>
      <c r="D27" s="42"/>
      <c r="E27" s="42"/>
      <c r="F27" s="42"/>
      <c r="G27" s="43"/>
      <c r="H27" s="42"/>
      <c r="I27" s="42"/>
      <c r="J27" s="42"/>
      <c r="K27" s="42"/>
      <c r="L27" s="43"/>
      <c r="M27" s="43"/>
      <c r="N27" s="49"/>
    </row>
    <row r="28" ht="8.75" customHeight="1" hidden="1">
      <c r="A28" s="39"/>
      <c r="B28" s="40"/>
      <c r="C28" s="45"/>
      <c r="D28" s="46"/>
      <c r="E28" s="46"/>
      <c r="F28" s="46"/>
      <c r="G28" s="47"/>
      <c r="H28" s="46"/>
      <c r="I28" s="46"/>
      <c r="J28" s="46"/>
      <c r="K28" s="46"/>
      <c r="L28" s="46"/>
      <c r="M28" s="46"/>
      <c r="N28" s="48"/>
    </row>
    <row r="29" ht="8.75" customHeight="1" hidden="1">
      <c r="A29" s="39"/>
      <c r="B29" s="40"/>
      <c r="C29" s="41"/>
      <c r="D29" s="42"/>
      <c r="E29" s="42"/>
      <c r="F29" s="42"/>
      <c r="G29" s="43"/>
      <c r="H29" s="42"/>
      <c r="I29" s="42"/>
      <c r="J29" s="42"/>
      <c r="K29" s="42"/>
      <c r="L29" s="43"/>
      <c r="M29" s="43"/>
      <c r="N29" s="49"/>
    </row>
    <row r="30" ht="20.85" customHeight="1">
      <c r="A30" s="53"/>
      <c r="B30" s="54"/>
      <c r="C30" s="54"/>
      <c r="D30" s="55"/>
      <c r="E30" s="55"/>
      <c r="F30" s="55"/>
      <c r="G30" s="56"/>
      <c r="H30" s="56"/>
      <c r="I30" s="54"/>
      <c r="J30" s="57"/>
      <c r="K30" t="s" s="58">
        <v>38</v>
      </c>
      <c r="L30" s="59" cm="1">
        <f t="array" ref="L30">SUM(L1:L29)</f>
        <v>175494394.0472</v>
      </c>
      <c r="M30" s="59" cm="1">
        <f t="array" ref="M30">SUM(M1:M29)</f>
        <v>175394204.05</v>
      </c>
      <c r="N30" s="59" cm="1">
        <f t="array" ref="N30">SUM(N1:N29)</f>
        <v>175394204.05</v>
      </c>
    </row>
    <row r="31" ht="21" customHeight="1">
      <c r="A31" s="60"/>
      <c r="B31" t="s" s="61">
        <v>39</v>
      </c>
      <c r="C31" s="62"/>
      <c r="D31" s="63" cm="1">
        <f t="array" ref="D31">ROUND(IF(L31&lt;=100000000,L31*0.24%,IF(AND(L31&gt;100000000,L31&lt;=500000000),100000000*0.24%+(L31-100000000)*0.19%,IF(AND(L31&gt;500000000,L31&lt;=1000000000),100000000*0.24%+400000000*0.19%+(L31-500000000)*0.15%,IF(AND(L31&gt;1000000000,L31&lt;=5000000000),100000000*0.24%+400000000*0.19%+500000000*0.15%+(L31-1000000000)*0.12%,IF(L31&gt;5000000000,100000000*0.24%+400000000*0.19%+500000000*0.15%+4000000000*0.12%+(L31-5000000000)*0.1%,"Bingung komputer"))))),2)</f>
        <v>382712.2</v>
      </c>
      <c r="E31" s="64" cm="1">
        <f t="array" ref="E31">ROUND(IF(M31&lt;=100000000,M31*0.24%,IF(AND(M31&gt;100000000,M31&lt;=500000000),100000000*0.24%+(M31-100000000)*0.19%,IF(AND(M31&gt;500000000,M31&lt;=1000000000),100000000*0.24%+400000000*0.19%+(M31-500000000)*0.15%,IF(AND(M31&gt;1000000000,M31&lt;=5000000000),100000000*0.24%+400000000*0.19%+500000000*0.15%+(M31-1000000000)*0.12%,IF(M31&gt;5000000000,100000000*0.24%+400000000*0.19%+500000000*0.15%+4000000000*0.12%+(M31-5000000000)*0.1%,"Bingung komputer"))))),2)</f>
        <v>382522.2</v>
      </c>
      <c r="F31" s="64" cm="1">
        <f t="array" ref="F31">ROUND(IF(N31&lt;=100000000,N31*0.24%,IF(AND(N31&gt;100000000,N31&lt;=500000000),100000000*0.24%+(N31-100000000)*0.19%,IF(AND(N31&gt;500000000,N31&lt;=1000000000),100000000*0.24%+400000000*0.19%+(N31-500000000)*0.15%,IF(AND(N31&gt;1000000000,N31&lt;=5000000000),100000000*0.24%+400000000*0.19%+500000000*0.15%+(N31-1000000000)*0.12%,IF(N31&gt;5000000000,100000000*0.24%+400000000*0.19%+500000000*0.15%+4000000000*0.12%+(N31-5000000000)*0.1%,"Bingung komputer"))))),2)</f>
        <v>382522.2</v>
      </c>
      <c r="G31" s="65"/>
      <c r="H31" s="66"/>
      <c r="I31" s="62"/>
      <c r="J31" s="67"/>
      <c r="K31" t="str" s="67" cm="1">
        <f t="array" ref="K31">"Jumlah Terkena Pajak "&amp;MAX(K3:K29)&amp;"% (B)"</f>
        <v>Jumlah Terkena Pajak 11,00% (B)</v>
      </c>
      <c r="L31" s="68" cm="1">
        <f t="array" ref="L31">SUMIF($K3:$K29,"&gt;0",L3:L29)</f>
        <v>175111681.6272</v>
      </c>
      <c r="M31" s="69" cm="1">
        <f t="array" ref="M31">SUMIF($K3:$K29,"&gt;0",M3:M29)</f>
        <v>175011681.63</v>
      </c>
      <c r="N31" s="69" cm="1">
        <f t="array" ref="N31">SUMIF($K3:$K29,"&gt;0",N3:N29)</f>
        <v>175011681.63</v>
      </c>
    </row>
    <row r="32" ht="21" customHeight="1">
      <c r="A32" s="70"/>
      <c r="B32" s="71"/>
      <c r="C32" s="71"/>
      <c r="D32" s="72"/>
      <c r="E32" s="72"/>
      <c r="F32" s="71"/>
      <c r="G32" s="72"/>
      <c r="H32" s="72"/>
      <c r="I32" s="71"/>
      <c r="J32" s="73"/>
      <c r="K32" t="str" s="73" cm="1">
        <f t="array" ref="K32">"PPN (C) = "&amp;MAX(K3:K29)&amp;"% x B"</f>
        <v>PPN (C) = 11,00% x B</v>
      </c>
      <c r="L32" s="74" cm="1">
        <f t="array" ref="L32">L31*MAX($K3:$K29)%</f>
        <v>19262284.978992</v>
      </c>
      <c r="M32" s="69" cm="1">
        <f t="array" ref="M32">M31*MAX($K3:$K29)%</f>
        <v>19251284.9793</v>
      </c>
      <c r="N32" s="69" cm="1">
        <f t="array" ref="N32">N31*MAX($K3:$K29)%</f>
        <v>19251284.9793</v>
      </c>
    </row>
    <row r="33" ht="21" customHeight="1">
      <c r="A33" s="70"/>
      <c r="B33" s="71"/>
      <c r="C33" s="71"/>
      <c r="D33" s="72"/>
      <c r="E33" s="72"/>
      <c r="F33" s="72"/>
      <c r="G33" s="72"/>
      <c r="H33" s="72"/>
      <c r="I33" s="71"/>
      <c r="J33" s="73"/>
      <c r="K33" t="s" s="75">
        <v>42</v>
      </c>
      <c r="L33" s="76" cm="1">
        <f t="array" ref="L33">L30+L32</f>
        <v>194756679.026192</v>
      </c>
      <c r="M33" s="69" cm="1">
        <f t="array" ref="M33">M30+M32</f>
        <v>194645489.0293</v>
      </c>
      <c r="N33" s="69" cm="1">
        <f t="array" ref="N33">N30+N32</f>
        <v>194645489.0293</v>
      </c>
    </row>
    <row r="34" ht="20.5" customHeight="1">
      <c r="A34" s="70"/>
      <c r="B34" s="71"/>
      <c r="C34" s="71"/>
      <c r="D34" s="72"/>
      <c r="E34" s="72"/>
      <c r="F34" s="72"/>
      <c r="G34" s="72"/>
      <c r="H34" s="72"/>
      <c r="I34" s="71"/>
      <c r="J34" s="73"/>
      <c r="K34" t="s" s="75">
        <v>43</v>
      </c>
      <c r="L34" s="68" cm="1">
        <f t="array" ref="L34">ROUNDDOWN(L33,2)</f>
        <v>194756679.02</v>
      </c>
      <c r="M34" s="68" cm="1">
        <f t="array" ref="M34">ROUNDDOWN(M33,2)</f>
        <v>194645489.02</v>
      </c>
      <c r="N34" s="68" cm="1">
        <f t="array" ref="N34">ROUNDDOWN(N33,-3)</f>
        <v>194645000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33.xml><?xml version="1.0" encoding="utf-8"?>
<worksheet xmlns:r="http://schemas.openxmlformats.org/officeDocument/2006/relationships" xmlns="http://schemas.openxmlformats.org/spreadsheetml/2006/main">
  <sheetPr>
    <pageSetUpPr fitToPage="1"/>
  </sheetPr>
  <dimension ref="A1:N34"/>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146" customWidth="1"/>
    <col min="2" max="2" width="43.0312" style="146" customWidth="1"/>
    <col min="3" max="3" width="2.75" style="146" customWidth="1"/>
    <col min="4" max="6" width="10.3672" style="146" customWidth="1"/>
    <col min="7" max="7" width="11.6875" style="146" customWidth="1"/>
    <col min="8" max="11" width="13.5156" style="146" customWidth="1"/>
    <col min="12" max="14" width="14.2344" style="146" customWidth="1"/>
    <col min="15" max="16384" width="16.3516" style="146"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16</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t="s" s="18">
        <v>17</v>
      </c>
      <c r="B4" t="s" s="19">
        <v>18</v>
      </c>
      <c r="C4" s="20"/>
      <c r="D4" s="21">
        <v>1</v>
      </c>
      <c r="E4" s="21" cm="1">
        <f t="array" ref="E4">D4</f>
        <v>1</v>
      </c>
      <c r="F4" s="21" cm="1">
        <f t="array" ref="F4">D4</f>
        <v>1</v>
      </c>
      <c r="G4" t="s" s="22">
        <v>19</v>
      </c>
      <c r="H4" s="21">
        <v>11149250</v>
      </c>
      <c r="I4" s="21">
        <v>11149250</v>
      </c>
      <c r="J4" s="21">
        <v>11149250</v>
      </c>
      <c r="K4" s="21">
        <v>11</v>
      </c>
      <c r="L4" s="21" cm="1">
        <f t="array" ref="L4">IF(D4&gt;0,IF($D4&lt;=0,0,D4*H4),"")</f>
        <v>11149250</v>
      </c>
      <c r="M4" s="21" cm="1">
        <f t="array" ref="M4">IF(E4&gt;0,IF($D4&lt;=0,0,ROUND(E4*I4,2)),"")</f>
        <v>11149250</v>
      </c>
      <c r="N4" s="23" cm="1">
        <f t="array" ref="N4">IF(F4&gt;0,IF($D4&lt;=0,0,ROUND(F4*J4,2)),"")</f>
        <v>11149250</v>
      </c>
    </row>
    <row r="5" ht="20.5" customHeight="1">
      <c r="A5" t="s" s="18">
        <v>20</v>
      </c>
      <c r="B5" t="s" s="19">
        <v>189</v>
      </c>
      <c r="C5" s="24"/>
      <c r="D5" s="26">
        <v>1</v>
      </c>
      <c r="E5" s="26" cm="1">
        <f t="array" ref="E5">D5</f>
        <v>1</v>
      </c>
      <c r="F5" s="26" cm="1">
        <f t="array" ref="F5">D5</f>
        <v>1</v>
      </c>
      <c r="G5" t="s" s="27">
        <v>19</v>
      </c>
      <c r="H5" s="26">
        <v>660000</v>
      </c>
      <c r="I5" s="26">
        <v>560000</v>
      </c>
      <c r="J5" s="26">
        <v>560000</v>
      </c>
      <c r="K5" s="26">
        <v>11</v>
      </c>
      <c r="L5" s="26" cm="1">
        <f t="array" ref="L5">IF(D5&gt;0,IF($D5&lt;=0,0,D5*H5),"")</f>
        <v>660000</v>
      </c>
      <c r="M5" s="26" cm="1">
        <f t="array" ref="M5">IF(E5&gt;0,IF($D5&lt;=0,0,ROUND(E5*I5,2)),"")</f>
        <v>560000</v>
      </c>
      <c r="N5" s="28" cm="1">
        <f t="array" ref="N5">IF(F5&gt;0,IF($D5&lt;=0,0,ROUND(F5*J5,2)),"")</f>
        <v>560000</v>
      </c>
    </row>
    <row r="6" ht="20.5" customHeight="1">
      <c r="A6" t="s" s="18">
        <v>22</v>
      </c>
      <c r="B6" t="s" s="19">
        <v>23</v>
      </c>
      <c r="C6" s="20"/>
      <c r="D6" s="21">
        <v>1</v>
      </c>
      <c r="E6" s="21" cm="1">
        <f t="array" ref="E6">D6</f>
        <v>1</v>
      </c>
      <c r="F6" s="21" cm="1">
        <f t="array" ref="F6">D6</f>
        <v>1</v>
      </c>
      <c r="G6" t="s" s="22">
        <v>19</v>
      </c>
      <c r="H6" s="21">
        <v>5289000</v>
      </c>
      <c r="I6" s="21">
        <v>5289000</v>
      </c>
      <c r="J6" s="21">
        <v>5289000</v>
      </c>
      <c r="K6" s="21">
        <v>11</v>
      </c>
      <c r="L6" s="21" cm="1">
        <f t="array" ref="L6">IF(D6&gt;0,IF($D6&lt;=0,0,D6*H6),"")</f>
        <v>5289000</v>
      </c>
      <c r="M6" s="21" cm="1">
        <f t="array" ref="M6">IF(E6&gt;0,IF($D6&lt;=0,0,ROUND(E6*I6,2)),"")</f>
        <v>5289000</v>
      </c>
      <c r="N6" s="23" cm="1">
        <f t="array" ref="N6">IF(F6&gt;0,IF($D6&lt;=0,0,ROUND(F6*J6,2)),"")</f>
        <v>5289000</v>
      </c>
    </row>
    <row r="7" ht="20.5" customHeight="1">
      <c r="A7" s="29"/>
      <c r="B7" t="s" s="19">
        <v>28</v>
      </c>
      <c r="C7" s="24"/>
      <c r="D7" s="30"/>
      <c r="E7" s="26"/>
      <c r="F7" s="26"/>
      <c r="G7" s="30"/>
      <c r="H7" s="26"/>
      <c r="I7" s="30"/>
      <c r="J7" s="30"/>
      <c r="K7" s="26"/>
      <c r="L7" t="str" s="30" cm="1">
        <f t="array" ref="L7">IF(D7&gt;0,IF($D7&lt;=0,0,D7*H7),"")</f>
      </c>
      <c r="M7" t="str" s="30" cm="1">
        <f t="array" ref="M7">IF(E7&gt;0,IF($D7&lt;=0,0,ROUND(E7*I7,2)),"")</f>
      </c>
      <c r="N7" t="str" s="31" cm="1">
        <f t="array" ref="N7">IF(F7&gt;0,IF($D7&lt;=0,0,ROUND(F7*J7,2)),"")</f>
      </c>
    </row>
    <row r="8" ht="20.5" customHeight="1">
      <c r="A8" t="s" s="18">
        <v>25</v>
      </c>
      <c r="B8" t="s" s="19">
        <v>26</v>
      </c>
      <c r="C8" s="20"/>
      <c r="D8" s="78">
        <v>270</v>
      </c>
      <c r="E8" s="21" cm="1">
        <f t="array" ref="E8">D8</f>
        <v>270</v>
      </c>
      <c r="F8" s="21" cm="1">
        <f t="array" ref="F8">D8</f>
        <v>270</v>
      </c>
      <c r="G8" t="s" s="22">
        <v>27</v>
      </c>
      <c r="H8" s="21">
        <v>31168.93</v>
      </c>
      <c r="I8" s="21">
        <v>31168.93</v>
      </c>
      <c r="J8" s="21">
        <v>31168.93</v>
      </c>
      <c r="K8" s="21">
        <v>11</v>
      </c>
      <c r="L8" s="21" cm="1">
        <f t="array" ref="L8">IF(D8&gt;0,IF($D8&lt;=0,0,D8*H8),"")</f>
        <v>8415611.1</v>
      </c>
      <c r="M8" s="21" cm="1">
        <f t="array" ref="M8">IF(E8&gt;0,IF($D8&lt;=0,0,ROUND(E8*I8,2)),"")</f>
        <v>8415611.1</v>
      </c>
      <c r="N8" s="23" cm="1">
        <f t="array" ref="N8">IF(F8&gt;0,IF($D8&lt;=0,0,ROUND(F8*J8,2)),"")</f>
        <v>8415611.1</v>
      </c>
    </row>
    <row r="9" ht="20.5" customHeight="1">
      <c r="A9" s="29"/>
      <c r="B9" t="s" s="19">
        <v>28</v>
      </c>
      <c r="C9" s="24"/>
      <c r="D9" s="30"/>
      <c r="E9" s="26"/>
      <c r="F9" s="26"/>
      <c r="G9" s="30"/>
      <c r="H9" s="26"/>
      <c r="I9" s="30"/>
      <c r="J9" s="30"/>
      <c r="K9" s="26"/>
      <c r="L9" t="str" s="30" cm="1">
        <f t="array" ref="L9">IF(D9&gt;0,IF($D9&lt;=0,0,D9*H9),"")</f>
      </c>
      <c r="M9" t="str" s="30" cm="1">
        <f t="array" ref="M9">IF(E9&gt;0,IF($D9&lt;=0,0,ROUND(E9*I9,2)),"")</f>
      </c>
      <c r="N9" t="str" s="31" cm="1">
        <f t="array" ref="N9">IF(F9&gt;0,IF($D9&lt;=0,0,ROUND(F9*J9,2)),"")</f>
      </c>
    </row>
    <row r="10" ht="20.5" customHeight="1">
      <c r="A10" t="s" s="18">
        <v>29</v>
      </c>
      <c r="B10" t="s" s="19">
        <v>218</v>
      </c>
      <c r="C10" s="20"/>
      <c r="D10" s="78">
        <v>3284.26</v>
      </c>
      <c r="E10" s="21" cm="1">
        <f t="array" ref="E10">D10</f>
        <v>3284.26</v>
      </c>
      <c r="F10" s="21" cm="1">
        <f t="array" ref="F10">D10</f>
        <v>3284.26</v>
      </c>
      <c r="G10" t="s" s="22">
        <v>27</v>
      </c>
      <c r="H10" s="21">
        <v>42563.37</v>
      </c>
      <c r="I10" s="21">
        <v>42563.37</v>
      </c>
      <c r="J10" s="21">
        <v>42563.37</v>
      </c>
      <c r="K10" s="21">
        <v>11</v>
      </c>
      <c r="L10" s="21" cm="1">
        <f t="array" ref="L10">IF(D10&gt;0,IF($D10&lt;=0,0,D10*H10),"")</f>
        <v>139789173.5562</v>
      </c>
      <c r="M10" s="21" cm="1">
        <f t="array" ref="M10">IF(E10&gt;0,IF($D10&lt;=0,0,ROUND(E10*I10,2)),"")</f>
        <v>139789173.56</v>
      </c>
      <c r="N10" s="23" cm="1">
        <f t="array" ref="N10">IF(F10&gt;0,IF($D10&lt;=0,0,ROUND(F10*J10,2)),"")</f>
        <v>139789173.56</v>
      </c>
    </row>
    <row r="11" ht="20.5" customHeight="1">
      <c r="A11" t="s" s="18">
        <v>33</v>
      </c>
      <c r="B11" t="s" s="19">
        <v>34</v>
      </c>
      <c r="C11" s="24"/>
      <c r="D11" s="25">
        <v>3287.5</v>
      </c>
      <c r="E11" s="26" cm="1">
        <f t="array" ref="E11">D11</f>
        <v>3287.5</v>
      </c>
      <c r="F11" s="26" cm="1">
        <f t="array" ref="F11">D11</f>
        <v>3287.5</v>
      </c>
      <c r="G11" t="s" s="27">
        <v>35</v>
      </c>
      <c r="H11" s="26">
        <v>2996.59</v>
      </c>
      <c r="I11" s="26">
        <v>2996.59</v>
      </c>
      <c r="J11" s="26">
        <v>2996.59</v>
      </c>
      <c r="K11" s="26">
        <v>11</v>
      </c>
      <c r="L11" s="26" cm="1">
        <f t="array" ref="L11">IF(D11&gt;0,IF($D11&lt;=0,0,D11*H11),"")</f>
        <v>9851289.625</v>
      </c>
      <c r="M11" s="26" cm="1">
        <f t="array" ref="M11">IF(E11&gt;0,IF($D11&lt;=0,0,ROUND(E11*I11,2)),"")</f>
        <v>9851289.630000001</v>
      </c>
      <c r="N11" s="28" cm="1">
        <f t="array" ref="N11">IF(F11&gt;0,IF($D11&lt;=0,0,ROUND(F11*J11,2)),"")</f>
        <v>9851289.630000001</v>
      </c>
    </row>
    <row r="12" ht="20.5" customHeight="1">
      <c r="A12" s="29"/>
      <c r="B12" t="s" s="19">
        <v>36</v>
      </c>
      <c r="C12" s="20"/>
      <c r="D12" s="21"/>
      <c r="E12" s="21"/>
      <c r="F12" s="21"/>
      <c r="G12" s="79"/>
      <c r="H12" s="79"/>
      <c r="I12" s="79"/>
      <c r="J12" s="79"/>
      <c r="K12" s="21"/>
      <c r="L12" t="str" s="79" cm="1">
        <f t="array" ref="L12">IF(D12&gt;0,IF($D12&lt;=0,0,D12*H13),"")</f>
      </c>
      <c r="M12" s="21"/>
      <c r="N12" s="23"/>
    </row>
    <row r="13" ht="20.6" customHeight="1">
      <c r="A13" s="33">
        <v>1</v>
      </c>
      <c r="B13" t="s" s="34">
        <v>37</v>
      </c>
      <c r="C13" s="80"/>
      <c r="D13" s="81">
        <v>1</v>
      </c>
      <c r="E13" s="81" cm="1">
        <f t="array" ref="E13">D13</f>
        <v>1</v>
      </c>
      <c r="F13" s="81" cm="1">
        <f t="array" ref="F13">D13</f>
        <v>1</v>
      </c>
      <c r="G13" t="s" s="82">
        <v>19</v>
      </c>
      <c r="H13" s="137">
        <v>382792.93</v>
      </c>
      <c r="I13" s="81">
        <v>382602.93</v>
      </c>
      <c r="J13" s="81">
        <v>382602.93</v>
      </c>
      <c r="K13" s="81">
        <v>0</v>
      </c>
      <c r="L13" s="81" cm="1">
        <f t="array" ref="L13">IF(D13&gt;0,IF($D13&lt;=0,0,D13*H13),"")</f>
        <v>382792.93</v>
      </c>
      <c r="M13" s="81" cm="1">
        <f t="array" ref="M13">IF(E13&gt;0,IF($D13&lt;=0,0,ROUND(E13*I13,2)),"")</f>
        <v>382602.93</v>
      </c>
      <c r="N13" s="83" cm="1">
        <f t="array" ref="N13">IF(F13&gt;0,IF($D13&lt;=0,0,ROUND(F13*J13,2)),"")</f>
        <v>382602.93</v>
      </c>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2"/>
      <c r="I15" s="42"/>
      <c r="J15" s="42"/>
      <c r="K15" s="42"/>
      <c r="L15" s="42"/>
      <c r="M15" s="42"/>
      <c r="N15" s="44"/>
    </row>
    <row r="16" ht="8.75" customHeight="1" hidden="1">
      <c r="A16" s="39"/>
      <c r="B16" s="40"/>
      <c r="C16" s="45"/>
      <c r="D16" s="46"/>
      <c r="E16" s="46"/>
      <c r="F16" s="46"/>
      <c r="G16" s="47"/>
      <c r="H16" s="46"/>
      <c r="I16" s="46"/>
      <c r="J16" s="46"/>
      <c r="K16" s="46"/>
      <c r="L16" s="46"/>
      <c r="M16" s="46"/>
      <c r="N16" s="48"/>
    </row>
    <row r="17" ht="8.75" customHeight="1" hidden="1">
      <c r="A17" s="39"/>
      <c r="B17" s="40"/>
      <c r="C17" s="41"/>
      <c r="D17" s="42"/>
      <c r="E17" s="42"/>
      <c r="F17" s="42"/>
      <c r="G17" s="43"/>
      <c r="H17" s="42"/>
      <c r="I17" s="42"/>
      <c r="J17" s="42"/>
      <c r="K17" s="42"/>
      <c r="L17" s="42"/>
      <c r="M17" s="42"/>
      <c r="N17" s="44"/>
    </row>
    <row r="18" ht="8.75" customHeight="1" hidden="1">
      <c r="A18" s="39"/>
      <c r="B18" s="40"/>
      <c r="C18" s="45"/>
      <c r="D18" s="46"/>
      <c r="E18" s="46"/>
      <c r="F18" s="46"/>
      <c r="G18" s="47"/>
      <c r="H18" s="46"/>
      <c r="I18" s="46"/>
      <c r="J18" s="46"/>
      <c r="K18" s="46"/>
      <c r="L18" s="46"/>
      <c r="M18" s="46"/>
      <c r="N18" s="48"/>
    </row>
    <row r="19" ht="8.75" customHeight="1" hidden="1">
      <c r="A19" s="39"/>
      <c r="B19" s="40"/>
      <c r="C19" s="41"/>
      <c r="D19" s="42"/>
      <c r="E19" s="42"/>
      <c r="F19" s="42"/>
      <c r="G19" s="43"/>
      <c r="H19" s="42"/>
      <c r="I19" s="42"/>
      <c r="J19" s="42"/>
      <c r="K19" s="42"/>
      <c r="L19" s="42"/>
      <c r="M19" s="42"/>
      <c r="N19" s="44"/>
    </row>
    <row r="20" ht="8.75" customHeight="1" hidden="1">
      <c r="A20" s="39"/>
      <c r="B20" s="40"/>
      <c r="C20" s="45"/>
      <c r="D20" s="46"/>
      <c r="E20" s="46"/>
      <c r="F20" s="46"/>
      <c r="G20" s="47"/>
      <c r="H20" s="47"/>
      <c r="I20" s="47"/>
      <c r="J20" s="47"/>
      <c r="K20" s="46"/>
      <c r="L20" s="47"/>
      <c r="M20" s="47"/>
      <c r="N20" s="52"/>
    </row>
    <row r="21" ht="8.75" customHeight="1" hidden="1">
      <c r="A21" s="39"/>
      <c r="B21" s="40"/>
      <c r="C21" s="41"/>
      <c r="D21" s="42"/>
      <c r="E21" s="42"/>
      <c r="F21" s="42"/>
      <c r="G21" s="43"/>
      <c r="H21" s="84"/>
      <c r="I21" s="84"/>
      <c r="J21" s="84"/>
      <c r="K21" s="42"/>
      <c r="L21" s="42"/>
      <c r="M21" s="42"/>
      <c r="N21" s="44"/>
    </row>
    <row r="22" ht="8.75" customHeight="1" hidden="1">
      <c r="A22" s="39"/>
      <c r="B22" s="40"/>
      <c r="C22" s="45"/>
      <c r="D22" s="46"/>
      <c r="E22" s="46"/>
      <c r="F22" s="46"/>
      <c r="G22" s="47"/>
      <c r="H22" s="47"/>
      <c r="I22" s="47"/>
      <c r="J22" s="47"/>
      <c r="K22" s="46"/>
      <c r="L22" s="47"/>
      <c r="M22" s="47"/>
      <c r="N22" s="52"/>
    </row>
    <row r="23" ht="8.75" customHeight="1" hidden="1">
      <c r="A23" s="39"/>
      <c r="B23" s="40"/>
      <c r="C23" s="41"/>
      <c r="D23" s="42"/>
      <c r="E23" s="42"/>
      <c r="F23" s="42"/>
      <c r="G23" s="43"/>
      <c r="H23" s="42"/>
      <c r="I23" s="42"/>
      <c r="J23" s="42"/>
      <c r="K23" s="42"/>
      <c r="L23" s="42"/>
      <c r="M23" s="42"/>
      <c r="N23" s="44"/>
    </row>
    <row r="24" ht="8.75" customHeight="1" hidden="1">
      <c r="A24" s="39"/>
      <c r="B24" s="40"/>
      <c r="C24" s="45"/>
      <c r="D24" s="46"/>
      <c r="E24" s="46"/>
      <c r="F24" s="46"/>
      <c r="G24" s="47"/>
      <c r="H24" s="46"/>
      <c r="I24" s="46"/>
      <c r="J24" s="46"/>
      <c r="K24" s="46"/>
      <c r="L24" s="46"/>
      <c r="M24" s="46"/>
      <c r="N24" s="48"/>
    </row>
    <row r="25" ht="8.75" customHeight="1" hidden="1">
      <c r="A25" s="51"/>
      <c r="B25" s="40"/>
      <c r="C25" s="41"/>
      <c r="D25" s="42"/>
      <c r="E25" s="42"/>
      <c r="F25" s="42"/>
      <c r="G25" s="43"/>
      <c r="H25" s="42"/>
      <c r="I25" s="42"/>
      <c r="J25" s="42"/>
      <c r="K25" s="42"/>
      <c r="L25" s="42"/>
      <c r="M25" s="42"/>
      <c r="N25" s="44"/>
    </row>
    <row r="26" ht="8.75" customHeight="1" hidden="1">
      <c r="A26" s="51"/>
      <c r="B26" s="40"/>
      <c r="C26" s="45"/>
      <c r="D26" s="46"/>
      <c r="E26" s="46"/>
      <c r="F26" s="46"/>
      <c r="G26" s="47"/>
      <c r="H26" s="46"/>
      <c r="I26" s="46"/>
      <c r="J26" s="46"/>
      <c r="K26" s="46"/>
      <c r="L26" s="46"/>
      <c r="M26" s="46"/>
      <c r="N26" s="48"/>
    </row>
    <row r="27" ht="8.75" customHeight="1" hidden="1">
      <c r="A27" s="39"/>
      <c r="B27" s="40"/>
      <c r="C27" s="41"/>
      <c r="D27" s="42"/>
      <c r="E27" s="42"/>
      <c r="F27" s="42"/>
      <c r="G27" s="43"/>
      <c r="H27" s="42"/>
      <c r="I27" s="42"/>
      <c r="J27" s="42"/>
      <c r="K27" s="42"/>
      <c r="L27" s="43"/>
      <c r="M27" s="43"/>
      <c r="N27" s="49"/>
    </row>
    <row r="28" ht="8.75" customHeight="1" hidden="1">
      <c r="A28" s="39"/>
      <c r="B28" s="40"/>
      <c r="C28" s="45"/>
      <c r="D28" s="46"/>
      <c r="E28" s="46"/>
      <c r="F28" s="46"/>
      <c r="G28" s="47"/>
      <c r="H28" s="46"/>
      <c r="I28" s="46"/>
      <c r="J28" s="46"/>
      <c r="K28" s="46"/>
      <c r="L28" s="46"/>
      <c r="M28" s="46"/>
      <c r="N28" s="48"/>
    </row>
    <row r="29" ht="8.75" customHeight="1" hidden="1">
      <c r="A29" s="39"/>
      <c r="B29" s="40"/>
      <c r="C29" s="41"/>
      <c r="D29" s="42"/>
      <c r="E29" s="42"/>
      <c r="F29" s="42"/>
      <c r="G29" s="43"/>
      <c r="H29" s="42"/>
      <c r="I29" s="42"/>
      <c r="J29" s="42"/>
      <c r="K29" s="42"/>
      <c r="L29" s="43"/>
      <c r="M29" s="43"/>
      <c r="N29" s="49"/>
    </row>
    <row r="30" ht="20.85" customHeight="1">
      <c r="A30" s="53"/>
      <c r="B30" s="54"/>
      <c r="C30" s="54"/>
      <c r="D30" s="55"/>
      <c r="E30" s="55"/>
      <c r="F30" s="55"/>
      <c r="G30" s="56"/>
      <c r="H30" s="56"/>
      <c r="I30" s="54"/>
      <c r="J30" s="57"/>
      <c r="K30" t="s" s="58">
        <v>38</v>
      </c>
      <c r="L30" s="59" cm="1">
        <f t="array" ref="L30">SUM(L1:L29)</f>
        <v>175537117.2112</v>
      </c>
      <c r="M30" s="59" cm="1">
        <f t="array" ref="M30">SUM(M1:M29)</f>
        <v>175436927.22</v>
      </c>
      <c r="N30" s="59" cm="1">
        <f t="array" ref="N30">SUM(N1:N29)</f>
        <v>175436927.22</v>
      </c>
    </row>
    <row r="31" ht="21" customHeight="1">
      <c r="A31" s="60"/>
      <c r="B31" t="s" s="61">
        <v>39</v>
      </c>
      <c r="C31" s="62"/>
      <c r="D31" s="63" cm="1">
        <f t="array" ref="D31">ROUND(IF(L31&lt;=100000000,L31*0.24%,IF(AND(L31&gt;100000000,L31&lt;=500000000),100000000*0.24%+(L31-100000000)*0.19%,IF(AND(L31&gt;500000000,L31&lt;=1000000000),100000000*0.24%+400000000*0.19%+(L31-500000000)*0.15%,IF(AND(L31&gt;1000000000,L31&lt;=5000000000),100000000*0.24%+400000000*0.19%+500000000*0.15%+(L31-1000000000)*0.12%,IF(L31&gt;5000000000,100000000*0.24%+400000000*0.19%+500000000*0.15%+4000000000*0.12%+(L31-5000000000)*0.1%,"Bingung komputer"))))),2)</f>
        <v>382793.22</v>
      </c>
      <c r="E31" s="64" cm="1">
        <f t="array" ref="E31">ROUND(IF(M31&lt;=100000000,M31*0.24%,IF(AND(M31&gt;100000000,M31&lt;=500000000),100000000*0.24%+(M31-100000000)*0.19%,IF(AND(M31&gt;500000000,M31&lt;=1000000000),100000000*0.24%+400000000*0.19%+(M31-500000000)*0.15%,IF(AND(M31&gt;1000000000,M31&lt;=5000000000),100000000*0.24%+400000000*0.19%+500000000*0.15%+(M31-1000000000)*0.12%,IF(M31&gt;5000000000,100000000*0.24%+400000000*0.19%+500000000*0.15%+4000000000*0.12%+(M31-5000000000)*0.1%,"Bingung komputer"))))),2)</f>
        <v>382603.22</v>
      </c>
      <c r="F31" s="64" cm="1">
        <f t="array" ref="F31">ROUND(IF(N31&lt;=100000000,N31*0.24%,IF(AND(N31&gt;100000000,N31&lt;=500000000),100000000*0.24%+(N31-100000000)*0.19%,IF(AND(N31&gt;500000000,N31&lt;=1000000000),100000000*0.24%+400000000*0.19%+(N31-500000000)*0.15%,IF(AND(N31&gt;1000000000,N31&lt;=5000000000),100000000*0.24%+400000000*0.19%+500000000*0.15%+(N31-1000000000)*0.12%,IF(N31&gt;5000000000,100000000*0.24%+400000000*0.19%+500000000*0.15%+4000000000*0.12%+(N31-5000000000)*0.1%,"Bingung komputer"))))),2)</f>
        <v>382603.22</v>
      </c>
      <c r="G31" s="65"/>
      <c r="H31" s="66"/>
      <c r="I31" s="62"/>
      <c r="J31" s="67"/>
      <c r="K31" t="str" s="67" cm="1">
        <f t="array" ref="K31">"Jumlah Terkena Pajak "&amp;MAX(K3:K29)&amp;"% (B)"</f>
        <v>Jumlah Terkena Pajak 11,00% (B)</v>
      </c>
      <c r="L31" s="68" cm="1">
        <f t="array" ref="L31">SUMIF($K3:$K29,"&gt;0",L3:L29)</f>
        <v>175154324.2812</v>
      </c>
      <c r="M31" s="69" cm="1">
        <f t="array" ref="M31">SUMIF($K3:$K29,"&gt;0",M3:M29)</f>
        <v>175054324.29</v>
      </c>
      <c r="N31" s="69" cm="1">
        <f t="array" ref="N31">SUMIF($K3:$K29,"&gt;0",N3:N29)</f>
        <v>175054324.29</v>
      </c>
    </row>
    <row r="32" ht="21" customHeight="1">
      <c r="A32" s="70"/>
      <c r="B32" s="71"/>
      <c r="C32" s="71"/>
      <c r="D32" s="72"/>
      <c r="E32" s="72"/>
      <c r="F32" s="71"/>
      <c r="G32" s="72"/>
      <c r="H32" s="72"/>
      <c r="I32" s="71"/>
      <c r="J32" s="73"/>
      <c r="K32" t="str" s="73" cm="1">
        <f t="array" ref="K32">"PPN (C) = "&amp;MAX(K3:K29)&amp;"% x B"</f>
        <v>PPN (C) = 11,00% x B</v>
      </c>
      <c r="L32" s="74" cm="1">
        <f t="array" ref="L32">L31*MAX($K3:$K29)%</f>
        <v>19266975.670932</v>
      </c>
      <c r="M32" s="69" cm="1">
        <f t="array" ref="M32">M31*MAX($K3:$K29)%</f>
        <v>19255975.6719</v>
      </c>
      <c r="N32" s="69" cm="1">
        <f t="array" ref="N32">N31*MAX($K3:$K29)%</f>
        <v>19255975.6719</v>
      </c>
    </row>
    <row r="33" ht="21" customHeight="1">
      <c r="A33" s="70"/>
      <c r="B33" s="71"/>
      <c r="C33" s="71"/>
      <c r="D33" s="72"/>
      <c r="E33" s="72"/>
      <c r="F33" s="72"/>
      <c r="G33" s="72"/>
      <c r="H33" s="72"/>
      <c r="I33" s="71"/>
      <c r="J33" s="73"/>
      <c r="K33" t="s" s="75">
        <v>42</v>
      </c>
      <c r="L33" s="76" cm="1">
        <f t="array" ref="L33">L30+L32</f>
        <v>194804092.882132</v>
      </c>
      <c r="M33" s="69" cm="1">
        <f t="array" ref="M33">M30+M32</f>
        <v>194692902.8919</v>
      </c>
      <c r="N33" s="69" cm="1">
        <f t="array" ref="N33">N30+N32</f>
        <v>194692902.8919</v>
      </c>
    </row>
    <row r="34" ht="20.5" customHeight="1">
      <c r="A34" s="70"/>
      <c r="B34" s="71"/>
      <c r="C34" s="71"/>
      <c r="D34" s="72"/>
      <c r="E34" s="72"/>
      <c r="F34" s="72"/>
      <c r="G34" s="72"/>
      <c r="H34" s="72"/>
      <c r="I34" s="71"/>
      <c r="J34" s="73"/>
      <c r="K34" t="s" s="75">
        <v>43</v>
      </c>
      <c r="L34" s="68" cm="1">
        <f t="array" ref="L34">ROUNDDOWN(L33,2)</f>
        <v>194804092.88</v>
      </c>
      <c r="M34" s="68" cm="1">
        <f t="array" ref="M34">ROUNDDOWN(M33,2)</f>
        <v>194692902.89</v>
      </c>
      <c r="N34" s="68" cm="1">
        <f t="array" ref="N34">ROUNDDOWN(N33,-3)</f>
        <v>194692000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34.xml><?xml version="1.0" encoding="utf-8"?>
<worksheet xmlns:r="http://schemas.openxmlformats.org/officeDocument/2006/relationships" xmlns="http://schemas.openxmlformats.org/spreadsheetml/2006/main">
  <sheetPr>
    <pageSetUpPr fitToPage="1"/>
  </sheetPr>
  <dimension ref="A1:N32"/>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147" customWidth="1"/>
    <col min="2" max="2" width="43.0312" style="147" customWidth="1"/>
    <col min="3" max="3" width="2.75" style="147" customWidth="1"/>
    <col min="4" max="6" width="10.3672" style="147" customWidth="1"/>
    <col min="7" max="7" width="11.6875" style="147" customWidth="1"/>
    <col min="8" max="11" width="13.5156" style="147" customWidth="1"/>
    <col min="12" max="14" width="14.2344" style="147" customWidth="1"/>
    <col min="15" max="16384" width="16.3516" style="147"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16</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t="s" s="18">
        <v>17</v>
      </c>
      <c r="B4" t="s" s="19">
        <v>18</v>
      </c>
      <c r="C4" s="20"/>
      <c r="D4" s="21">
        <v>1</v>
      </c>
      <c r="E4" s="21" cm="1">
        <f t="array" ref="E4">D4</f>
        <v>1</v>
      </c>
      <c r="F4" s="21" cm="1">
        <f t="array" ref="F4">D4</f>
        <v>1</v>
      </c>
      <c r="G4" t="s" s="22">
        <v>19</v>
      </c>
      <c r="H4" s="21">
        <v>12793750</v>
      </c>
      <c r="I4" s="21">
        <v>12793750</v>
      </c>
      <c r="J4" s="21">
        <v>12793750</v>
      </c>
      <c r="K4" s="21">
        <v>11</v>
      </c>
      <c r="L4" s="21" cm="1">
        <f t="array" ref="L4">IF(D4&gt;0,IF($D4&lt;=0,0,D4*H4),"")</f>
        <v>12793750</v>
      </c>
      <c r="M4" s="21" cm="1">
        <f t="array" ref="M4">IF(E4&gt;0,IF($D4&lt;=0,0,ROUND(E4*I4,2)),"")</f>
        <v>12793750</v>
      </c>
      <c r="N4" s="23" cm="1">
        <f t="array" ref="N4">IF(F4&gt;0,IF($D4&lt;=0,0,ROUND(F4*J4,2)),"")</f>
        <v>12793750</v>
      </c>
    </row>
    <row r="5" ht="20.5" customHeight="1">
      <c r="A5" t="s" s="18">
        <v>20</v>
      </c>
      <c r="B5" t="s" s="19">
        <v>189</v>
      </c>
      <c r="C5" s="24"/>
      <c r="D5" s="26">
        <v>1</v>
      </c>
      <c r="E5" s="26" cm="1">
        <f t="array" ref="E5">D5</f>
        <v>1</v>
      </c>
      <c r="F5" s="26" cm="1">
        <f t="array" ref="F5">D5</f>
        <v>1</v>
      </c>
      <c r="G5" t="s" s="27">
        <v>19</v>
      </c>
      <c r="H5" s="26">
        <v>660000</v>
      </c>
      <c r="I5" s="26">
        <v>560000</v>
      </c>
      <c r="J5" s="26">
        <v>560000</v>
      </c>
      <c r="K5" s="26">
        <v>11</v>
      </c>
      <c r="L5" s="26" cm="1">
        <f t="array" ref="L5">IF(D5&gt;0,IF($D5&lt;=0,0,D5*H5),"")</f>
        <v>660000</v>
      </c>
      <c r="M5" s="26" cm="1">
        <f t="array" ref="M5">IF(E5&gt;0,IF($D5&lt;=0,0,ROUND(E5*I5,2)),"")</f>
        <v>560000</v>
      </c>
      <c r="N5" s="28" cm="1">
        <f t="array" ref="N5">IF(F5&gt;0,IF($D5&lt;=0,0,ROUND(F5*J5,2)),"")</f>
        <v>560000</v>
      </c>
    </row>
    <row r="6" ht="20.5" customHeight="1">
      <c r="A6" t="s" s="18">
        <v>22</v>
      </c>
      <c r="B6" t="s" s="19">
        <v>23</v>
      </c>
      <c r="C6" s="20"/>
      <c r="D6" s="21">
        <v>1</v>
      </c>
      <c r="E6" s="21" cm="1">
        <f t="array" ref="E6">D6</f>
        <v>1</v>
      </c>
      <c r="F6" s="21" cm="1">
        <f t="array" ref="F6">D6</f>
        <v>1</v>
      </c>
      <c r="G6" t="s" s="22">
        <v>19</v>
      </c>
      <c r="H6" s="21">
        <v>5289000</v>
      </c>
      <c r="I6" s="21">
        <v>5289000</v>
      </c>
      <c r="J6" s="21">
        <v>5289000</v>
      </c>
      <c r="K6" s="21">
        <v>11</v>
      </c>
      <c r="L6" s="21" cm="1">
        <f t="array" ref="L6">IF(D6&gt;0,IF($D6&lt;=0,0,D6*H6),"")</f>
        <v>5289000</v>
      </c>
      <c r="M6" s="21" cm="1">
        <f t="array" ref="M6">IF(E6&gt;0,IF($D6&lt;=0,0,ROUND(E6*I6,2)),"")</f>
        <v>5289000</v>
      </c>
      <c r="N6" s="23" cm="1">
        <f t="array" ref="N6">IF(F6&gt;0,IF($D6&lt;=0,0,ROUND(F6*J6,2)),"")</f>
        <v>5289000</v>
      </c>
    </row>
    <row r="7" ht="20.5" customHeight="1">
      <c r="A7" s="29"/>
      <c r="B7" t="s" s="19">
        <v>28</v>
      </c>
      <c r="C7" s="24"/>
      <c r="D7" s="30"/>
      <c r="E7" s="26"/>
      <c r="F7" s="26"/>
      <c r="G7" s="30"/>
      <c r="H7" s="26"/>
      <c r="I7" s="30"/>
      <c r="J7" s="30"/>
      <c r="K7" s="26"/>
      <c r="L7" t="str" s="30" cm="1">
        <f t="array" ref="L7">IF(D7&gt;0,IF($D7&lt;=0,0,D7*H7),"")</f>
      </c>
      <c r="M7" t="str" s="30" cm="1">
        <f t="array" ref="M7">IF(E7&gt;0,IF($D7&lt;=0,0,ROUND(E7*I7,2)),"")</f>
      </c>
      <c r="N7" t="str" s="31" cm="1">
        <f t="array" ref="N7">IF(F7&gt;0,IF($D7&lt;=0,0,ROUND(F7*J7,2)),"")</f>
      </c>
    </row>
    <row r="8" ht="20.5" customHeight="1">
      <c r="A8" t="s" s="18">
        <v>31</v>
      </c>
      <c r="B8" t="s" s="19">
        <v>32</v>
      </c>
      <c r="C8" s="20"/>
      <c r="D8" s="78">
        <v>533</v>
      </c>
      <c r="E8" s="21" cm="1">
        <f t="array" ref="E8">D8</f>
        <v>533</v>
      </c>
      <c r="F8" s="21" cm="1">
        <f t="array" ref="F8">D8</f>
        <v>533</v>
      </c>
      <c r="G8" t="s" s="22">
        <v>27</v>
      </c>
      <c r="H8" s="21">
        <v>261087.38</v>
      </c>
      <c r="I8" s="32">
        <v>261087.38</v>
      </c>
      <c r="J8" s="32">
        <v>261087.38</v>
      </c>
      <c r="K8" s="21">
        <v>11</v>
      </c>
      <c r="L8" s="21" cm="1">
        <f t="array" ref="L8">IF(D8&gt;0,IF($D8&lt;=0,0,D8*H8),"")</f>
        <v>139159573.54</v>
      </c>
      <c r="M8" s="21" cm="1">
        <f t="array" ref="M8">IF(E8&gt;0,IF($D8&lt;=0,0,ROUND(E8*I8,2)),"")</f>
        <v>139159573.54</v>
      </c>
      <c r="N8" s="23" cm="1">
        <f t="array" ref="N8">IF(F8&gt;0,IF($D8&lt;=0,0,ROUND(F8*J8,2)),"")</f>
        <v>139159573.54</v>
      </c>
    </row>
    <row r="9" ht="20.5" customHeight="1">
      <c r="A9" t="s" s="18">
        <v>33</v>
      </c>
      <c r="B9" t="s" s="19">
        <v>34</v>
      </c>
      <c r="C9" s="24"/>
      <c r="D9" s="25">
        <v>4875</v>
      </c>
      <c r="E9" s="26" cm="1">
        <f t="array" ref="E9">D9</f>
        <v>4875</v>
      </c>
      <c r="F9" s="26" cm="1">
        <f t="array" ref="F9">D9</f>
        <v>4875</v>
      </c>
      <c r="G9" t="s" s="27">
        <v>35</v>
      </c>
      <c r="H9" s="26">
        <v>3563.33</v>
      </c>
      <c r="I9" s="122">
        <v>3563.33</v>
      </c>
      <c r="J9" s="122">
        <v>3563.33</v>
      </c>
      <c r="K9" s="26">
        <v>11</v>
      </c>
      <c r="L9" s="26" cm="1">
        <f t="array" ref="L9">IF(D9&gt;0,IF($D9&lt;=0,0,D9*H9),"")</f>
        <v>17371233.75</v>
      </c>
      <c r="M9" s="26" cm="1">
        <f t="array" ref="M9">IF(E9&gt;0,IF($D9&lt;=0,0,ROUND(E9*I9,2)),"")</f>
        <v>17371233.75</v>
      </c>
      <c r="N9" s="28" cm="1">
        <f t="array" ref="N9">IF(F9&gt;0,IF($D9&lt;=0,0,ROUND(F9*J9,2)),"")</f>
        <v>17371233.75</v>
      </c>
    </row>
    <row r="10" ht="20.5" customHeight="1">
      <c r="A10" s="29"/>
      <c r="B10" t="s" s="19">
        <v>36</v>
      </c>
      <c r="C10" s="20"/>
      <c r="D10" s="21"/>
      <c r="E10" s="21"/>
      <c r="F10" s="21"/>
      <c r="G10" s="79"/>
      <c r="H10" s="79"/>
      <c r="I10" s="79"/>
      <c r="J10" s="79"/>
      <c r="K10" s="21"/>
      <c r="L10" t="str" s="79" cm="1">
        <f t="array" ref="L10">IF(D10&gt;0,IF($D10&lt;=0,0,D10*H11),"")</f>
      </c>
      <c r="M10" s="21"/>
      <c r="N10" s="23"/>
    </row>
    <row r="11" ht="20.6" customHeight="1">
      <c r="A11" s="33">
        <v>1</v>
      </c>
      <c r="B11" t="s" s="34">
        <v>37</v>
      </c>
      <c r="C11" s="80"/>
      <c r="D11" s="81">
        <v>1</v>
      </c>
      <c r="E11" s="81" cm="1">
        <f t="array" ref="E11">D11</f>
        <v>1</v>
      </c>
      <c r="F11" s="81" cm="1">
        <f t="array" ref="F11">D11</f>
        <v>1</v>
      </c>
      <c r="G11" t="s" s="82">
        <v>19</v>
      </c>
      <c r="H11" s="138">
        <v>383019.77</v>
      </c>
      <c r="I11" s="138">
        <v>382829.77</v>
      </c>
      <c r="J11" s="138">
        <v>382829.77</v>
      </c>
      <c r="K11" s="81">
        <v>0</v>
      </c>
      <c r="L11" s="81" cm="1">
        <f t="array" ref="L11">IF(D11&gt;0,IF($D11&lt;=0,0,D11*H11),"")</f>
        <v>383019.77</v>
      </c>
      <c r="M11" s="81" cm="1">
        <f t="array" ref="M11">IF(E11&gt;0,IF($D11&lt;=0,0,ROUND(E11*I11,2)),"")</f>
        <v>382829.77</v>
      </c>
      <c r="N11" s="83" cm="1">
        <f t="array" ref="N11">IF(F11&gt;0,IF($D11&lt;=0,0,ROUND(F11*J11,2)),"")</f>
        <v>382829.77</v>
      </c>
    </row>
    <row r="12" ht="8.75" customHeight="1" hidden="1">
      <c r="A12" s="39"/>
      <c r="B12" s="40"/>
      <c r="C12" s="45"/>
      <c r="D12" s="46"/>
      <c r="E12" s="46"/>
      <c r="F12" s="46"/>
      <c r="G12" s="47"/>
      <c r="H12" s="46"/>
      <c r="I12" s="46"/>
      <c r="J12" s="46"/>
      <c r="K12" s="46"/>
      <c r="L12" s="46"/>
      <c r="M12" s="46"/>
      <c r="N12" s="48"/>
    </row>
    <row r="13" ht="8.75" customHeight="1" hidden="1">
      <c r="A13" s="39"/>
      <c r="B13" s="40"/>
      <c r="C13" s="41"/>
      <c r="D13" s="42"/>
      <c r="E13" s="42"/>
      <c r="F13" s="42"/>
      <c r="G13" s="43"/>
      <c r="H13" s="42"/>
      <c r="I13" s="42"/>
      <c r="J13" s="42"/>
      <c r="K13" s="42"/>
      <c r="L13" s="42"/>
      <c r="M13" s="42"/>
      <c r="N13" s="44"/>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2"/>
      <c r="I15" s="42"/>
      <c r="J15" s="42"/>
      <c r="K15" s="42"/>
      <c r="L15" s="42"/>
      <c r="M15" s="42"/>
      <c r="N15" s="44"/>
    </row>
    <row r="16" ht="8.75" customHeight="1" hidden="1">
      <c r="A16" s="39"/>
      <c r="B16" s="40"/>
      <c r="C16" s="45"/>
      <c r="D16" s="46"/>
      <c r="E16" s="46"/>
      <c r="F16" s="46"/>
      <c r="G16" s="47"/>
      <c r="H16" s="46"/>
      <c r="I16" s="46"/>
      <c r="J16" s="46"/>
      <c r="K16" s="46"/>
      <c r="L16" s="46"/>
      <c r="M16" s="46"/>
      <c r="N16" s="48"/>
    </row>
    <row r="17" ht="8.75" customHeight="1" hidden="1">
      <c r="A17" s="39"/>
      <c r="B17" s="40"/>
      <c r="C17" s="41"/>
      <c r="D17" s="42"/>
      <c r="E17" s="42"/>
      <c r="F17" s="42"/>
      <c r="G17" s="43"/>
      <c r="H17" s="42"/>
      <c r="I17" s="42"/>
      <c r="J17" s="42"/>
      <c r="K17" s="42"/>
      <c r="L17" s="42"/>
      <c r="M17" s="42"/>
      <c r="N17" s="44"/>
    </row>
    <row r="18" ht="8.75" customHeight="1" hidden="1">
      <c r="A18" s="39"/>
      <c r="B18" s="40"/>
      <c r="C18" s="45"/>
      <c r="D18" s="46"/>
      <c r="E18" s="46"/>
      <c r="F18" s="46"/>
      <c r="G18" s="47"/>
      <c r="H18" s="47"/>
      <c r="I18" s="47"/>
      <c r="J18" s="47"/>
      <c r="K18" s="46"/>
      <c r="L18" s="47"/>
      <c r="M18" s="47"/>
      <c r="N18" s="52"/>
    </row>
    <row r="19" ht="8.75" customHeight="1" hidden="1">
      <c r="A19" s="39"/>
      <c r="B19" s="40"/>
      <c r="C19" s="41"/>
      <c r="D19" s="42"/>
      <c r="E19" s="42"/>
      <c r="F19" s="42"/>
      <c r="G19" s="43"/>
      <c r="H19" s="84"/>
      <c r="I19" s="84"/>
      <c r="J19" s="84"/>
      <c r="K19" s="42"/>
      <c r="L19" s="42"/>
      <c r="M19" s="42"/>
      <c r="N19" s="44"/>
    </row>
    <row r="20" ht="8.75" customHeight="1" hidden="1">
      <c r="A20" s="39"/>
      <c r="B20" s="40"/>
      <c r="C20" s="45"/>
      <c r="D20" s="46"/>
      <c r="E20" s="46"/>
      <c r="F20" s="46"/>
      <c r="G20" s="47"/>
      <c r="H20" s="47"/>
      <c r="I20" s="47"/>
      <c r="J20" s="47"/>
      <c r="K20" s="46"/>
      <c r="L20" s="47"/>
      <c r="M20" s="47"/>
      <c r="N20" s="52"/>
    </row>
    <row r="21" ht="8.75" customHeight="1" hidden="1">
      <c r="A21" s="39"/>
      <c r="B21" s="40"/>
      <c r="C21" s="41"/>
      <c r="D21" s="42"/>
      <c r="E21" s="42"/>
      <c r="F21" s="42"/>
      <c r="G21" s="43"/>
      <c r="H21" s="42"/>
      <c r="I21" s="42"/>
      <c r="J21" s="42"/>
      <c r="K21" s="42"/>
      <c r="L21" s="42"/>
      <c r="M21" s="42"/>
      <c r="N21" s="44"/>
    </row>
    <row r="22" ht="8.75" customHeight="1" hidden="1">
      <c r="A22" s="39"/>
      <c r="B22" s="40"/>
      <c r="C22" s="45"/>
      <c r="D22" s="46"/>
      <c r="E22" s="46"/>
      <c r="F22" s="46"/>
      <c r="G22" s="47"/>
      <c r="H22" s="46"/>
      <c r="I22" s="46"/>
      <c r="J22" s="46"/>
      <c r="K22" s="46"/>
      <c r="L22" s="46"/>
      <c r="M22" s="46"/>
      <c r="N22" s="48"/>
    </row>
    <row r="23" ht="8.75" customHeight="1" hidden="1">
      <c r="A23" s="51"/>
      <c r="B23" s="40"/>
      <c r="C23" s="41"/>
      <c r="D23" s="42"/>
      <c r="E23" s="42"/>
      <c r="F23" s="42"/>
      <c r="G23" s="43"/>
      <c r="H23" s="42"/>
      <c r="I23" s="42"/>
      <c r="J23" s="42"/>
      <c r="K23" s="42"/>
      <c r="L23" s="42"/>
      <c r="M23" s="42"/>
      <c r="N23" s="44"/>
    </row>
    <row r="24" ht="8.75" customHeight="1" hidden="1">
      <c r="A24" s="51"/>
      <c r="B24" s="40"/>
      <c r="C24" s="45"/>
      <c r="D24" s="46"/>
      <c r="E24" s="46"/>
      <c r="F24" s="46"/>
      <c r="G24" s="47"/>
      <c r="H24" s="46"/>
      <c r="I24" s="46"/>
      <c r="J24" s="46"/>
      <c r="K24" s="46"/>
      <c r="L24" s="46"/>
      <c r="M24" s="46"/>
      <c r="N24" s="48"/>
    </row>
    <row r="25" ht="8.75" customHeight="1" hidden="1">
      <c r="A25" s="39"/>
      <c r="B25" s="40"/>
      <c r="C25" s="41"/>
      <c r="D25" s="42"/>
      <c r="E25" s="42"/>
      <c r="F25" s="42"/>
      <c r="G25" s="43"/>
      <c r="H25" s="42"/>
      <c r="I25" s="42"/>
      <c r="J25" s="42"/>
      <c r="K25" s="42"/>
      <c r="L25" s="43"/>
      <c r="M25" s="43"/>
      <c r="N25" s="49"/>
    </row>
    <row r="26" ht="8.75" customHeight="1" hidden="1">
      <c r="A26" s="39"/>
      <c r="B26" s="40"/>
      <c r="C26" s="45"/>
      <c r="D26" s="46"/>
      <c r="E26" s="46"/>
      <c r="F26" s="46"/>
      <c r="G26" s="47"/>
      <c r="H26" s="46"/>
      <c r="I26" s="46"/>
      <c r="J26" s="46"/>
      <c r="K26" s="46"/>
      <c r="L26" s="46"/>
      <c r="M26" s="46"/>
      <c r="N26" s="48"/>
    </row>
    <row r="27" ht="8.75" customHeight="1" hidden="1">
      <c r="A27" s="39"/>
      <c r="B27" s="40"/>
      <c r="C27" s="41"/>
      <c r="D27" s="42"/>
      <c r="E27" s="42"/>
      <c r="F27" s="42"/>
      <c r="G27" s="43"/>
      <c r="H27" s="42"/>
      <c r="I27" s="42"/>
      <c r="J27" s="42"/>
      <c r="K27" s="42"/>
      <c r="L27" s="43"/>
      <c r="M27" s="43"/>
      <c r="N27" s="49"/>
    </row>
    <row r="28" ht="20.85" customHeight="1">
      <c r="A28" s="53"/>
      <c r="B28" s="54"/>
      <c r="C28" s="54"/>
      <c r="D28" s="55"/>
      <c r="E28" s="55"/>
      <c r="F28" s="55"/>
      <c r="G28" s="56"/>
      <c r="H28" s="56"/>
      <c r="I28" s="54"/>
      <c r="J28" s="57"/>
      <c r="K28" t="s" s="58">
        <v>38</v>
      </c>
      <c r="L28" s="59" cm="1">
        <f t="array" ref="L28">SUM(L1:L27)</f>
        <v>175656577.06</v>
      </c>
      <c r="M28" s="59" cm="1">
        <f t="array" ref="M28">SUM(M1:M27)</f>
        <v>175556387.06</v>
      </c>
      <c r="N28" s="59" cm="1">
        <f t="array" ref="N28">SUM(N1:N27)</f>
        <v>175556387.06</v>
      </c>
    </row>
    <row r="29" ht="21" customHeight="1">
      <c r="A29" s="60"/>
      <c r="B29" t="s" s="61">
        <v>39</v>
      </c>
      <c r="C29" s="62"/>
      <c r="D29" s="63" cm="1">
        <f t="array" ref="D29">ROUND(IF(L29&lt;=100000000,L29*0.24%,IF(AND(L29&gt;100000000,L29&lt;=500000000),100000000*0.24%+(L29-100000000)*0.19%,IF(AND(L29&gt;500000000,L29&lt;=1000000000),100000000*0.24%+400000000*0.19%+(L29-500000000)*0.15%,IF(AND(L29&gt;1000000000,L29&lt;=5000000000),100000000*0.24%+400000000*0.19%+500000000*0.15%+(L29-1000000000)*0.12%,IF(L29&gt;5000000000,100000000*0.24%+400000000*0.19%+500000000*0.15%+4000000000*0.12%+(L29-5000000000)*0.1%,"Bingung komputer"))))),2)</f>
        <v>383019.76</v>
      </c>
      <c r="E29" s="64" cm="1">
        <f t="array" ref="E29">ROUND(IF(M29&lt;=100000000,M29*0.24%,IF(AND(M29&gt;100000000,M29&lt;=500000000),100000000*0.24%+(M29-100000000)*0.19%,IF(AND(M29&gt;500000000,M29&lt;=1000000000),100000000*0.24%+400000000*0.19%+(M29-500000000)*0.15%,IF(AND(M29&gt;1000000000,M29&lt;=5000000000),100000000*0.24%+400000000*0.19%+500000000*0.15%+(M29-1000000000)*0.12%,IF(M29&gt;5000000000,100000000*0.24%+400000000*0.19%+500000000*0.15%+4000000000*0.12%+(M29-5000000000)*0.1%,"Bingung komputer"))))),2)</f>
        <v>382829.76</v>
      </c>
      <c r="F29" s="64" cm="1">
        <f t="array" ref="F29">ROUND(IF(N29&lt;=100000000,N29*0.24%,IF(AND(N29&gt;100000000,N29&lt;=500000000),100000000*0.24%+(N29-100000000)*0.19%,IF(AND(N29&gt;500000000,N29&lt;=1000000000),100000000*0.24%+400000000*0.19%+(N29-500000000)*0.15%,IF(AND(N29&gt;1000000000,N29&lt;=5000000000),100000000*0.24%+400000000*0.19%+500000000*0.15%+(N29-1000000000)*0.12%,IF(N29&gt;5000000000,100000000*0.24%+400000000*0.19%+500000000*0.15%+4000000000*0.12%+(N29-5000000000)*0.1%,"Bingung komputer"))))),2)</f>
        <v>382829.76</v>
      </c>
      <c r="G29" s="65"/>
      <c r="H29" s="66"/>
      <c r="I29" s="62"/>
      <c r="J29" s="67"/>
      <c r="K29" t="str" s="67" cm="1">
        <f t="array" ref="K29">"Jumlah Terkena Pajak "&amp;MAX(K3:K27)&amp;"% (B)"</f>
        <v>Jumlah Terkena Pajak 11,00% (B)</v>
      </c>
      <c r="L29" s="68" cm="1">
        <f t="array" ref="L29">SUMIF($K3:$K27,"&gt;0",L3:L27)</f>
        <v>175273557.29</v>
      </c>
      <c r="M29" s="69" cm="1">
        <f t="array" ref="M29">SUMIF($K3:$K27,"&gt;0",M3:M27)</f>
        <v>175173557.29</v>
      </c>
      <c r="N29" s="69" cm="1">
        <f t="array" ref="N29">SUMIF($K3:$K27,"&gt;0",N3:N27)</f>
        <v>175173557.29</v>
      </c>
    </row>
    <row r="30" ht="21" customHeight="1">
      <c r="A30" s="70"/>
      <c r="B30" s="71"/>
      <c r="C30" s="71"/>
      <c r="D30" s="72"/>
      <c r="E30" s="72"/>
      <c r="F30" s="71"/>
      <c r="G30" s="72"/>
      <c r="H30" s="72"/>
      <c r="I30" s="71"/>
      <c r="J30" s="73"/>
      <c r="K30" t="str" s="73" cm="1">
        <f t="array" ref="K30">"PPN (C) = "&amp;MAX(K3:K27)&amp;"% x B"</f>
        <v>PPN (C) = 11,00% x B</v>
      </c>
      <c r="L30" s="74" cm="1">
        <f t="array" ref="L30">L29*MAX($K3:$K27)%</f>
        <v>19280091.3019</v>
      </c>
      <c r="M30" s="69" cm="1">
        <f t="array" ref="M30">M29*MAX($K3:$K27)%</f>
        <v>19269091.3019</v>
      </c>
      <c r="N30" s="69" cm="1">
        <f t="array" ref="N30">N29*MAX($K3:$K27)%</f>
        <v>19269091.3019</v>
      </c>
    </row>
    <row r="31" ht="21" customHeight="1">
      <c r="A31" s="70"/>
      <c r="B31" s="71"/>
      <c r="C31" s="71"/>
      <c r="D31" s="72"/>
      <c r="E31" s="72"/>
      <c r="F31" s="72"/>
      <c r="G31" s="72"/>
      <c r="H31" s="72"/>
      <c r="I31" s="71"/>
      <c r="J31" s="73"/>
      <c r="K31" t="s" s="75">
        <v>42</v>
      </c>
      <c r="L31" s="76" cm="1">
        <f t="array" ref="L31">L28+L30</f>
        <v>194936668.3619</v>
      </c>
      <c r="M31" s="69" cm="1">
        <f t="array" ref="M31">M28+M30</f>
        <v>194825478.3619</v>
      </c>
      <c r="N31" s="69" cm="1">
        <f t="array" ref="N31">N28+N30</f>
        <v>194825478.3619</v>
      </c>
    </row>
    <row r="32" ht="20.5" customHeight="1">
      <c r="A32" s="70"/>
      <c r="B32" s="71"/>
      <c r="C32" s="71"/>
      <c r="D32" s="72"/>
      <c r="E32" s="72"/>
      <c r="F32" s="72"/>
      <c r="G32" s="72"/>
      <c r="H32" s="72"/>
      <c r="I32" s="71"/>
      <c r="J32" s="73"/>
      <c r="K32" t="s" s="75">
        <v>43</v>
      </c>
      <c r="L32" s="68" cm="1">
        <f t="array" ref="L32">ROUNDDOWN(L31,2)</f>
        <v>194936668.36</v>
      </c>
      <c r="M32" s="68" cm="1">
        <f t="array" ref="M32">ROUNDDOWN(M31,2)</f>
        <v>194825478.36</v>
      </c>
      <c r="N32" s="68" cm="1">
        <f t="array" ref="N32">ROUNDDOWN(N31,-3)</f>
        <v>194825000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35.xml><?xml version="1.0" encoding="utf-8"?>
<worksheet xmlns:r="http://schemas.openxmlformats.org/officeDocument/2006/relationships" xmlns="http://schemas.openxmlformats.org/spreadsheetml/2006/main">
  <sheetPr>
    <pageSetUpPr fitToPage="1"/>
  </sheetPr>
  <dimension ref="A1:I11"/>
  <sheetViews>
    <sheetView workbookViewId="0" showGridLines="0" defaultGridColor="1"/>
  </sheetViews>
  <sheetFormatPr defaultColWidth="16.6667" defaultRowHeight="19.9" customHeight="1" outlineLevelRow="0" outlineLevelCol="0"/>
  <cols>
    <col min="1" max="1" width="130.883" style="148" customWidth="1"/>
    <col min="2" max="3" width="18.0312" style="148" customWidth="1"/>
    <col min="4" max="5" width="21.3828" style="148" customWidth="1"/>
    <col min="6" max="6" width="9.71094" style="148" customWidth="1"/>
    <col min="7" max="7" width="21.3828" style="148" customWidth="1"/>
    <col min="8" max="9" width="26.3828" style="148" customWidth="1"/>
    <col min="10" max="16384" width="16.6719" style="148" customWidth="1"/>
  </cols>
  <sheetData>
    <row r="1" ht="37.2" customHeight="1">
      <c r="A1" t="s" s="140">
        <v>222</v>
      </c>
      <c r="B1" t="s" s="140">
        <v>192</v>
      </c>
      <c r="C1" t="s" s="140">
        <v>193</v>
      </c>
      <c r="D1" t="s" s="140">
        <v>10</v>
      </c>
      <c r="E1" t="s" s="140">
        <v>194</v>
      </c>
      <c r="F1" t="s" s="140">
        <v>195</v>
      </c>
      <c r="G1" t="s" s="140">
        <v>196</v>
      </c>
      <c r="H1" t="s" s="140">
        <v>197</v>
      </c>
      <c r="I1" t="s" s="140">
        <v>198</v>
      </c>
    </row>
    <row r="2" ht="21.2" customHeight="1">
      <c r="A2" t="s" s="133">
        <v>16</v>
      </c>
      <c r="B2" s="134"/>
      <c r="C2" s="134"/>
      <c r="D2" s="134"/>
      <c r="E2" s="134"/>
      <c r="F2" s="134"/>
      <c r="G2" s="134"/>
      <c r="H2" s="134"/>
      <c r="I2" s="134"/>
    </row>
    <row r="3" ht="21.2" customHeight="1">
      <c r="A3" t="s" s="133">
        <v>18</v>
      </c>
      <c r="B3" t="s" s="133">
        <v>19</v>
      </c>
      <c r="C3" t="s" s="133">
        <v>169</v>
      </c>
      <c r="D3" s="141">
        <v>12793750</v>
      </c>
      <c r="E3" t="s" s="133">
        <v>199</v>
      </c>
      <c r="F3" s="135">
        <v>11</v>
      </c>
      <c r="G3" t="s" s="133">
        <v>200</v>
      </c>
      <c r="H3" s="134"/>
      <c r="I3" s="134"/>
    </row>
    <row r="4" ht="21.2" customHeight="1">
      <c r="A4" t="s" s="133">
        <v>21</v>
      </c>
      <c r="B4" t="s" s="133">
        <v>19</v>
      </c>
      <c r="C4" t="s" s="133">
        <v>169</v>
      </c>
      <c r="D4" s="141">
        <v>560000</v>
      </c>
      <c r="E4" t="s" s="133">
        <v>201</v>
      </c>
      <c r="F4" s="135">
        <v>11</v>
      </c>
      <c r="G4" t="s" s="133">
        <v>202</v>
      </c>
      <c r="H4" s="134"/>
      <c r="I4" s="134"/>
    </row>
    <row r="5" ht="21.2" customHeight="1">
      <c r="A5" t="s" s="133">
        <v>23</v>
      </c>
      <c r="B5" t="s" s="133">
        <v>19</v>
      </c>
      <c r="C5" t="s" s="133">
        <v>169</v>
      </c>
      <c r="D5" s="141">
        <v>5289000</v>
      </c>
      <c r="E5" t="s" s="133">
        <v>203</v>
      </c>
      <c r="F5" s="135">
        <v>11</v>
      </c>
      <c r="G5" t="s" s="133">
        <v>204</v>
      </c>
      <c r="H5" s="134"/>
      <c r="I5" s="134"/>
    </row>
    <row r="6" ht="21.2" customHeight="1">
      <c r="A6" t="s" s="133">
        <v>205</v>
      </c>
      <c r="B6" s="134"/>
      <c r="C6" s="134"/>
      <c r="D6" s="134"/>
      <c r="E6" s="134"/>
      <c r="F6" s="134"/>
      <c r="G6" s="134"/>
      <c r="H6" s="134"/>
      <c r="I6" s="134"/>
    </row>
    <row r="7" ht="21.2" customHeight="1">
      <c r="A7" t="s" s="133">
        <v>32</v>
      </c>
      <c r="B7" t="s" s="133">
        <v>27</v>
      </c>
      <c r="C7" t="s" s="133">
        <v>223</v>
      </c>
      <c r="D7" s="142">
        <v>261087.38</v>
      </c>
      <c r="E7" t="s" s="133">
        <v>224</v>
      </c>
      <c r="F7" s="135">
        <v>11</v>
      </c>
      <c r="G7" t="s" s="133">
        <v>225</v>
      </c>
      <c r="H7" s="134"/>
      <c r="I7" s="134"/>
    </row>
    <row r="8" ht="21.2" customHeight="1">
      <c r="A8" t="s" s="133">
        <v>34</v>
      </c>
      <c r="B8" t="s" s="133">
        <v>35</v>
      </c>
      <c r="C8" t="s" s="133">
        <v>226</v>
      </c>
      <c r="D8" s="142">
        <v>3563.33</v>
      </c>
      <c r="E8" t="s" s="133">
        <v>227</v>
      </c>
      <c r="F8" s="135">
        <v>11</v>
      </c>
      <c r="G8" t="s" s="133">
        <v>228</v>
      </c>
      <c r="H8" s="134"/>
      <c r="I8" s="134"/>
    </row>
    <row r="9" ht="21.2" customHeight="1">
      <c r="A9" t="s" s="133">
        <v>212</v>
      </c>
      <c r="B9" t="s" s="133">
        <v>19</v>
      </c>
      <c r="C9" t="s" s="133">
        <v>169</v>
      </c>
      <c r="D9" s="142">
        <v>382829.77</v>
      </c>
      <c r="E9" t="s" s="133">
        <v>229</v>
      </c>
      <c r="F9" s="135">
        <v>0</v>
      </c>
      <c r="G9" t="s" s="133">
        <v>229</v>
      </c>
      <c r="H9" s="134"/>
      <c r="I9" s="134"/>
    </row>
    <row r="10" ht="22.2" customHeight="1">
      <c r="A10" t="s" s="149">
        <v>230</v>
      </c>
      <c r="B10" s="134"/>
      <c r="C10" s="134"/>
      <c r="D10" s="134"/>
      <c r="E10" s="134"/>
      <c r="F10" s="134"/>
      <c r="G10" t="s" s="140">
        <v>231</v>
      </c>
      <c r="H10" s="134"/>
      <c r="I10" s="134"/>
    </row>
    <row r="11" ht="22.2" customHeight="1">
      <c r="A11" t="s" s="149">
        <v>232</v>
      </c>
      <c r="B11" s="134"/>
      <c r="C11" s="134"/>
      <c r="D11" s="134"/>
      <c r="E11" s="134"/>
      <c r="F11" s="134"/>
      <c r="G11" t="s" s="140">
        <v>233</v>
      </c>
      <c r="H11" s="134"/>
      <c r="I11" s="134"/>
    </row>
  </sheetData>
  <mergeCells count="4">
    <mergeCell ref="A10:F10"/>
    <mergeCell ref="G10:I10"/>
    <mergeCell ref="A11:F11"/>
    <mergeCell ref="G11:I11"/>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36.xml><?xml version="1.0" encoding="utf-8"?>
<worksheet xmlns:r="http://schemas.openxmlformats.org/officeDocument/2006/relationships" xmlns="http://schemas.openxmlformats.org/spreadsheetml/2006/main">
  <sheetPr>
    <pageSetUpPr fitToPage="1"/>
  </sheetPr>
  <dimension ref="A1:N29"/>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150" customWidth="1"/>
    <col min="2" max="2" width="43.0312" style="150" customWidth="1"/>
    <col min="3" max="3" width="2.75" style="150" customWidth="1"/>
    <col min="4" max="6" width="10.3672" style="150" customWidth="1"/>
    <col min="7" max="7" width="11.6875" style="150" customWidth="1"/>
    <col min="8" max="11" width="13.5156" style="150" customWidth="1"/>
    <col min="12" max="14" width="14.2344" style="150" customWidth="1"/>
    <col min="15" max="16384" width="16.3516" style="150"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16</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t="s" s="18">
        <v>17</v>
      </c>
      <c r="B4" t="s" s="19">
        <v>18</v>
      </c>
      <c r="C4" s="20"/>
      <c r="D4" s="21">
        <v>1</v>
      </c>
      <c r="E4" s="21" cm="1">
        <f t="array" ref="E4">D4</f>
        <v>1</v>
      </c>
      <c r="F4" s="21" cm="1">
        <f t="array" ref="F4">D4</f>
        <v>1</v>
      </c>
      <c r="G4" t="s" s="22">
        <v>19</v>
      </c>
      <c r="H4" s="21">
        <v>16050000</v>
      </c>
      <c r="I4" s="21">
        <v>15650000</v>
      </c>
      <c r="J4" s="21">
        <v>15650000</v>
      </c>
      <c r="K4" s="21">
        <v>11</v>
      </c>
      <c r="L4" s="21" cm="1">
        <f t="array" ref="L4">IF(D4&gt;0,IF($D4&lt;=0,0,D4*H4),"")</f>
        <v>16050000</v>
      </c>
      <c r="M4" s="21" cm="1">
        <f t="array" ref="M4">IF(E4&gt;0,IF($D4&lt;=0,0,ROUND(E4*I4,2)),"")</f>
        <v>15650000</v>
      </c>
      <c r="N4" s="23" cm="1">
        <f t="array" ref="N4">IF(F4&gt;0,IF($D4&lt;=0,0,ROUND(F4*J4,2)),"")</f>
        <v>15650000</v>
      </c>
    </row>
    <row r="5" ht="20.5" customHeight="1">
      <c r="A5" s="29"/>
      <c r="B5" t="s" s="19">
        <v>45</v>
      </c>
      <c r="C5" s="24"/>
      <c r="D5" s="30"/>
      <c r="E5" s="26"/>
      <c r="F5" s="26"/>
      <c r="G5" s="30"/>
      <c r="H5" s="26"/>
      <c r="I5" s="30"/>
      <c r="J5" s="30"/>
      <c r="K5" s="26"/>
      <c r="L5" t="str" s="30" cm="1">
        <f t="array" ref="L5">IF(D5&gt;0,IF($D5&lt;=0,0,D5*H5),"")</f>
      </c>
      <c r="M5" t="str" s="30" cm="1">
        <f t="array" ref="M5">IF(E5&gt;0,IF($D5&lt;=0,0,ROUND(E5*I5,2)),"")</f>
      </c>
      <c r="N5" t="str" s="31" cm="1">
        <f t="array" ref="N5">IF(F5&gt;0,IF($D5&lt;=0,0,ROUND(F5*J5,2)),"")</f>
      </c>
    </row>
    <row r="6" ht="20.5" customHeight="1">
      <c r="A6" t="s" s="18">
        <v>86</v>
      </c>
      <c r="B6" t="s" s="19">
        <v>30</v>
      </c>
      <c r="C6" s="20"/>
      <c r="D6" s="78">
        <v>4135.2</v>
      </c>
      <c r="E6" s="21" cm="1">
        <f t="array" ref="E6">D6</f>
        <v>4135.2</v>
      </c>
      <c r="F6" s="21" cm="1">
        <f t="array" ref="F6">D6</f>
        <v>4135.2</v>
      </c>
      <c r="G6" t="s" s="22">
        <v>27</v>
      </c>
      <c r="H6" s="21">
        <v>38501.07</v>
      </c>
      <c r="I6" s="21">
        <v>38501.07</v>
      </c>
      <c r="J6" s="21">
        <v>38501.07</v>
      </c>
      <c r="K6" s="21">
        <v>11</v>
      </c>
      <c r="L6" s="21" cm="1">
        <f t="array" ref="L6">IF(D6&gt;0,IF($D6&lt;=0,0,D6*H6),"")</f>
        <v>159209624.664</v>
      </c>
      <c r="M6" s="21" cm="1">
        <f t="array" ref="M6">IF(E6&gt;0,IF($D6&lt;=0,0,ROUND(E6*I6,2)),"")</f>
        <v>159209624.66</v>
      </c>
      <c r="N6" s="23" cm="1">
        <f t="array" ref="N6">IF(F6&gt;0,IF($D6&lt;=0,0,ROUND(F6*J6,2)),"")</f>
        <v>159209624.66</v>
      </c>
    </row>
    <row r="7" ht="20.5" customHeight="1">
      <c r="A7" s="29"/>
      <c r="B7" t="s" s="19">
        <v>36</v>
      </c>
      <c r="C7" s="24"/>
      <c r="D7" s="26"/>
      <c r="E7" s="26"/>
      <c r="F7" s="26"/>
      <c r="G7" s="30"/>
      <c r="H7" s="30"/>
      <c r="I7" s="30"/>
      <c r="J7" s="30"/>
      <c r="K7" s="26"/>
      <c r="L7" t="str" s="30" cm="1">
        <f t="array" ref="L7">IF(D7&gt;0,IF($D7&lt;=0,0,D7*H8),"")</f>
      </c>
      <c r="M7" s="26"/>
      <c r="N7" s="28"/>
    </row>
    <row r="8" ht="20.6" customHeight="1">
      <c r="A8" s="33">
        <v>1</v>
      </c>
      <c r="B8" t="s" s="34">
        <v>37</v>
      </c>
      <c r="C8" s="35"/>
      <c r="D8" s="36">
        <v>1</v>
      </c>
      <c r="E8" s="36" cm="1">
        <f t="array" ref="E8">D8</f>
        <v>1</v>
      </c>
      <c r="F8" s="36" cm="1">
        <f t="array" ref="F8">D8</f>
        <v>1</v>
      </c>
      <c r="G8" t="s" s="37">
        <v>19</v>
      </c>
      <c r="H8" s="36">
        <v>382993</v>
      </c>
      <c r="I8" s="36">
        <v>382233</v>
      </c>
      <c r="J8" s="36">
        <v>382233</v>
      </c>
      <c r="K8" s="36">
        <v>0</v>
      </c>
      <c r="L8" s="36" cm="1">
        <f t="array" ref="L8">IF(D8&gt;0,IF($D8&lt;=0,0,D8*H8),"")</f>
        <v>382993</v>
      </c>
      <c r="M8" s="36" cm="1">
        <f t="array" ref="M8">IF(E8&gt;0,IF($D8&lt;=0,0,ROUND(E8*I8,2)),"")</f>
        <v>382233</v>
      </c>
      <c r="N8" s="38" cm="1">
        <f t="array" ref="N8">IF(F8&gt;0,IF($D8&lt;=0,0,ROUND(F8*J8,2)),"")</f>
        <v>382233</v>
      </c>
    </row>
    <row r="9" ht="8.75" customHeight="1" hidden="1">
      <c r="A9" s="39"/>
      <c r="B9" s="40"/>
      <c r="C9" s="41"/>
      <c r="D9" s="42"/>
      <c r="E9" s="42"/>
      <c r="F9" s="42"/>
      <c r="G9" s="43"/>
      <c r="H9" s="42"/>
      <c r="I9" s="42"/>
      <c r="J9" s="42"/>
      <c r="K9" s="42"/>
      <c r="L9" s="42"/>
      <c r="M9" s="42"/>
      <c r="N9" s="44"/>
    </row>
    <row r="10" ht="8.75" customHeight="1" hidden="1">
      <c r="A10" s="39"/>
      <c r="B10" s="40"/>
      <c r="C10" s="45"/>
      <c r="D10" s="46"/>
      <c r="E10" s="46"/>
      <c r="F10" s="46"/>
      <c r="G10" s="47"/>
      <c r="H10" s="46"/>
      <c r="I10" s="46"/>
      <c r="J10" s="46"/>
      <c r="K10" s="46"/>
      <c r="L10" s="46"/>
      <c r="M10" s="46"/>
      <c r="N10" s="48"/>
    </row>
    <row r="11" ht="8.75" customHeight="1" hidden="1">
      <c r="A11" s="39"/>
      <c r="B11" s="40"/>
      <c r="C11" s="41"/>
      <c r="D11" s="42"/>
      <c r="E11" s="42"/>
      <c r="F11" s="42"/>
      <c r="G11" s="43"/>
      <c r="H11" s="42"/>
      <c r="I11" s="42"/>
      <c r="J11" s="42"/>
      <c r="K11" s="42"/>
      <c r="L11" s="42"/>
      <c r="M11" s="42"/>
      <c r="N11" s="44"/>
    </row>
    <row r="12" ht="8.75" customHeight="1" hidden="1">
      <c r="A12" s="39"/>
      <c r="B12" s="40"/>
      <c r="C12" s="45"/>
      <c r="D12" s="46"/>
      <c r="E12" s="46"/>
      <c r="F12" s="46"/>
      <c r="G12" s="47"/>
      <c r="H12" s="46"/>
      <c r="I12" s="46"/>
      <c r="J12" s="46"/>
      <c r="K12" s="46"/>
      <c r="L12" s="46"/>
      <c r="M12" s="46"/>
      <c r="N12" s="48"/>
    </row>
    <row r="13" ht="8.75" customHeight="1" hidden="1">
      <c r="A13" s="39"/>
      <c r="B13" s="40"/>
      <c r="C13" s="41"/>
      <c r="D13" s="42"/>
      <c r="E13" s="42"/>
      <c r="F13" s="42"/>
      <c r="G13" s="43"/>
      <c r="H13" s="42"/>
      <c r="I13" s="42"/>
      <c r="J13" s="42"/>
      <c r="K13" s="42"/>
      <c r="L13" s="42"/>
      <c r="M13" s="42"/>
      <c r="N13" s="44"/>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3"/>
      <c r="I15" s="43"/>
      <c r="J15" s="43"/>
      <c r="K15" s="42"/>
      <c r="L15" s="43"/>
      <c r="M15" s="43"/>
      <c r="N15" s="49"/>
    </row>
    <row r="16" ht="8.75" customHeight="1" hidden="1">
      <c r="A16" s="39"/>
      <c r="B16" s="40"/>
      <c r="C16" s="45"/>
      <c r="D16" s="46"/>
      <c r="E16" s="46"/>
      <c r="F16" s="46"/>
      <c r="G16" s="47"/>
      <c r="H16" s="50"/>
      <c r="I16" s="50"/>
      <c r="J16" s="50"/>
      <c r="K16" s="46"/>
      <c r="L16" s="46"/>
      <c r="M16" s="46"/>
      <c r="N16" s="48"/>
    </row>
    <row r="17" ht="8.75" customHeight="1" hidden="1">
      <c r="A17" s="39"/>
      <c r="B17" s="40"/>
      <c r="C17" s="41"/>
      <c r="D17" s="42"/>
      <c r="E17" s="42"/>
      <c r="F17" s="42"/>
      <c r="G17" s="43"/>
      <c r="H17" s="43"/>
      <c r="I17" s="43"/>
      <c r="J17" s="43"/>
      <c r="K17" s="42"/>
      <c r="L17" s="43"/>
      <c r="M17" s="43"/>
      <c r="N17" s="49"/>
    </row>
    <row r="18" ht="8.75" customHeight="1" hidden="1">
      <c r="A18" s="39"/>
      <c r="B18" s="40"/>
      <c r="C18" s="45"/>
      <c r="D18" s="46"/>
      <c r="E18" s="46"/>
      <c r="F18" s="46"/>
      <c r="G18" s="47"/>
      <c r="H18" s="46"/>
      <c r="I18" s="46"/>
      <c r="J18" s="46"/>
      <c r="K18" s="46"/>
      <c r="L18" s="46"/>
      <c r="M18" s="46"/>
      <c r="N18" s="48"/>
    </row>
    <row r="19" ht="8.75" customHeight="1" hidden="1">
      <c r="A19" s="39"/>
      <c r="B19" s="40"/>
      <c r="C19" s="41"/>
      <c r="D19" s="42"/>
      <c r="E19" s="42"/>
      <c r="F19" s="42"/>
      <c r="G19" s="43"/>
      <c r="H19" s="42"/>
      <c r="I19" s="42"/>
      <c r="J19" s="42"/>
      <c r="K19" s="42"/>
      <c r="L19" s="42"/>
      <c r="M19" s="42"/>
      <c r="N19" s="44"/>
    </row>
    <row r="20" ht="8.75" customHeight="1" hidden="1">
      <c r="A20" s="51"/>
      <c r="B20" s="40"/>
      <c r="C20" s="45"/>
      <c r="D20" s="46"/>
      <c r="E20" s="46"/>
      <c r="F20" s="46"/>
      <c r="G20" s="47"/>
      <c r="H20" s="46"/>
      <c r="I20" s="46"/>
      <c r="J20" s="46"/>
      <c r="K20" s="46"/>
      <c r="L20" s="46"/>
      <c r="M20" s="46"/>
      <c r="N20" s="48"/>
    </row>
    <row r="21" ht="8.75" customHeight="1" hidden="1">
      <c r="A21" s="51"/>
      <c r="B21" s="40"/>
      <c r="C21" s="41"/>
      <c r="D21" s="42"/>
      <c r="E21" s="42"/>
      <c r="F21" s="42"/>
      <c r="G21" s="43"/>
      <c r="H21" s="42"/>
      <c r="I21" s="42"/>
      <c r="J21" s="42"/>
      <c r="K21" s="42"/>
      <c r="L21" s="42"/>
      <c r="M21" s="42"/>
      <c r="N21" s="44"/>
    </row>
    <row r="22" ht="8.75" customHeight="1" hidden="1">
      <c r="A22" s="39"/>
      <c r="B22" s="40"/>
      <c r="C22" s="45"/>
      <c r="D22" s="46"/>
      <c r="E22" s="46"/>
      <c r="F22" s="46"/>
      <c r="G22" s="47"/>
      <c r="H22" s="46"/>
      <c r="I22" s="46"/>
      <c r="J22" s="46"/>
      <c r="K22" s="46"/>
      <c r="L22" s="47"/>
      <c r="M22" s="47"/>
      <c r="N22" s="52"/>
    </row>
    <row r="23" ht="8.75" customHeight="1" hidden="1">
      <c r="A23" s="39"/>
      <c r="B23" s="40"/>
      <c r="C23" s="41"/>
      <c r="D23" s="42"/>
      <c r="E23" s="42"/>
      <c r="F23" s="42"/>
      <c r="G23" s="43"/>
      <c r="H23" s="42"/>
      <c r="I23" s="42"/>
      <c r="J23" s="42"/>
      <c r="K23" s="42"/>
      <c r="L23" s="42"/>
      <c r="M23" s="42"/>
      <c r="N23" s="44"/>
    </row>
    <row r="24" ht="8.75" customHeight="1" hidden="1">
      <c r="A24" s="39"/>
      <c r="B24" s="40"/>
      <c r="C24" s="45"/>
      <c r="D24" s="46"/>
      <c r="E24" s="46"/>
      <c r="F24" s="46"/>
      <c r="G24" s="47"/>
      <c r="H24" s="46"/>
      <c r="I24" s="46"/>
      <c r="J24" s="46"/>
      <c r="K24" s="46"/>
      <c r="L24" s="47"/>
      <c r="M24" s="47"/>
      <c r="N24" s="52"/>
    </row>
    <row r="25" ht="20.85" customHeight="1">
      <c r="A25" s="53"/>
      <c r="B25" s="54"/>
      <c r="C25" s="54"/>
      <c r="D25" s="55"/>
      <c r="E25" s="55"/>
      <c r="F25" s="55"/>
      <c r="G25" s="56"/>
      <c r="H25" s="56"/>
      <c r="I25" s="54"/>
      <c r="J25" s="57"/>
      <c r="K25" t="s" s="58">
        <v>38</v>
      </c>
      <c r="L25" s="59" cm="1">
        <f t="array" ref="L25">SUM(L1:L24)</f>
        <v>175642617.664</v>
      </c>
      <c r="M25" s="59" cm="1">
        <f t="array" ref="M25">SUM(M1:M24)</f>
        <v>175241857.66</v>
      </c>
      <c r="N25" s="59" cm="1">
        <f t="array" ref="N25">SUM(N1:N24)</f>
        <v>175241857.66</v>
      </c>
    </row>
    <row r="26" ht="21" customHeight="1">
      <c r="A26" s="60"/>
      <c r="B26" t="s" s="61">
        <v>39</v>
      </c>
      <c r="C26" s="62"/>
      <c r="D26" s="63" cm="1">
        <f t="array" ref="D26">ROUND(IF(L26&lt;=100000000,L26*0.24%,IF(AND(L26&gt;100000000,L26&lt;=500000000),100000000*0.24%+(L26-100000000)*0.19%,IF(AND(L26&gt;500000000,L26&lt;=1000000000),100000000*0.24%+400000000*0.19%+(L26-500000000)*0.15%,IF(AND(L26&gt;1000000000,L26&lt;=5000000000),100000000*0.24%+400000000*0.19%+500000000*0.15%+(L26-1000000000)*0.12%,IF(L26&gt;5000000000,100000000*0.24%+400000000*0.19%+500000000*0.15%+4000000000*0.12%+(L26-5000000000)*0.1%,"Bingung komputer"))))),2)</f>
        <v>382993.29</v>
      </c>
      <c r="E26" s="64" cm="1">
        <f t="array" ref="E26">ROUND(IF(M26&lt;=100000000,M26*0.24%,IF(AND(M26&gt;100000000,M26&lt;=500000000),100000000*0.24%+(M26-100000000)*0.19%,IF(AND(M26&gt;500000000,M26&lt;=1000000000),100000000*0.24%+400000000*0.19%+(M26-500000000)*0.15%,IF(AND(M26&gt;1000000000,M26&lt;=5000000000),100000000*0.24%+400000000*0.19%+500000000*0.15%+(M26-1000000000)*0.12%,IF(M26&gt;5000000000,100000000*0.24%+400000000*0.19%+500000000*0.15%+4000000000*0.12%+(M26-5000000000)*0.1%,"Bingung komputer"))))),2)</f>
        <v>382233.29</v>
      </c>
      <c r="F26" s="64" cm="1">
        <f t="array" ref="F26">ROUND(IF(N26&lt;=100000000,N26*0.24%,IF(AND(N26&gt;100000000,N26&lt;=500000000),100000000*0.24%+(N26-100000000)*0.19%,IF(AND(N26&gt;500000000,N26&lt;=1000000000),100000000*0.24%+400000000*0.19%+(N26-500000000)*0.15%,IF(AND(N26&gt;1000000000,N26&lt;=5000000000),100000000*0.24%+400000000*0.19%+500000000*0.15%+(N26-1000000000)*0.12%,IF(N26&gt;5000000000,100000000*0.24%+400000000*0.19%+500000000*0.15%+4000000000*0.12%+(N26-5000000000)*0.1%,"Bingung komputer"))))),2)</f>
        <v>382233.29</v>
      </c>
      <c r="G26" s="65"/>
      <c r="H26" s="66"/>
      <c r="I26" s="62"/>
      <c r="J26" s="67"/>
      <c r="K26" t="str" s="67" cm="1">
        <f t="array" ref="K26">"Jumlah Terkena Pajak "&amp;MAX(K3:K24)&amp;"% (B)"</f>
        <v>Jumlah Terkena Pajak 11,00% (B)</v>
      </c>
      <c r="L26" s="68" cm="1">
        <f t="array" ref="L26">SUMIF($K3:$K24,"&gt;0",L3:L24)</f>
        <v>175259624.664</v>
      </c>
      <c r="M26" s="69" cm="1">
        <f t="array" ref="M26">SUMIF($K3:$K24,"&gt;0",M3:M24)</f>
        <v>174859624.66</v>
      </c>
      <c r="N26" s="69" cm="1">
        <f t="array" ref="N26">SUMIF($K3:$K24,"&gt;0",N3:N24)</f>
        <v>174859624.66</v>
      </c>
    </row>
    <row r="27" ht="21" customHeight="1">
      <c r="A27" s="70"/>
      <c r="B27" s="71"/>
      <c r="C27" s="71"/>
      <c r="D27" s="72"/>
      <c r="E27" s="72"/>
      <c r="F27" s="71"/>
      <c r="G27" s="72"/>
      <c r="H27" s="72"/>
      <c r="I27" s="71"/>
      <c r="J27" s="73"/>
      <c r="K27" t="str" s="73" cm="1">
        <f t="array" ref="K27">"PPN (C) = "&amp;MAX(K3:K24)&amp;"% x B"</f>
        <v>PPN (C) = 11,00% x B</v>
      </c>
      <c r="L27" s="74" cm="1">
        <f t="array" ref="L27">L26*MAX($K3:$K24)%</f>
        <v>19278558.71304</v>
      </c>
      <c r="M27" s="69" cm="1">
        <f t="array" ref="M27">M26*MAX($K3:$K24)%</f>
        <v>19234558.7126</v>
      </c>
      <c r="N27" s="69" cm="1">
        <f t="array" ref="N27">N26*MAX($K3:$K24)%</f>
        <v>19234558.7126</v>
      </c>
    </row>
    <row r="28" ht="21" customHeight="1">
      <c r="A28" s="70"/>
      <c r="B28" s="71"/>
      <c r="C28" s="71"/>
      <c r="D28" s="72"/>
      <c r="E28" s="72"/>
      <c r="F28" s="72"/>
      <c r="G28" s="72"/>
      <c r="H28" s="72"/>
      <c r="I28" s="71"/>
      <c r="J28" s="73"/>
      <c r="K28" t="s" s="75">
        <v>42</v>
      </c>
      <c r="L28" s="76" cm="1">
        <f t="array" ref="L28">L25+L27</f>
        <v>194921176.37704</v>
      </c>
      <c r="M28" s="69" cm="1">
        <f t="array" ref="M28">M25+M27</f>
        <v>194476416.3726</v>
      </c>
      <c r="N28" s="69" cm="1">
        <f t="array" ref="N28">N25+N27</f>
        <v>194476416.3726</v>
      </c>
    </row>
    <row r="29" ht="20.5" customHeight="1">
      <c r="A29" s="70"/>
      <c r="B29" s="71"/>
      <c r="C29" s="71"/>
      <c r="D29" s="72"/>
      <c r="E29" s="72"/>
      <c r="F29" s="72"/>
      <c r="G29" s="72"/>
      <c r="H29" s="72"/>
      <c r="I29" s="71"/>
      <c r="J29" s="73"/>
      <c r="K29" t="s" s="75">
        <v>43</v>
      </c>
      <c r="L29" s="68" cm="1">
        <f t="array" ref="L29">ROUNDDOWN(L28,2)</f>
        <v>194921176.37</v>
      </c>
      <c r="M29" s="68" cm="1">
        <f t="array" ref="M29">ROUNDDOWN(M28,2)</f>
        <v>194476416.37</v>
      </c>
      <c r="N29" s="68" cm="1">
        <f t="array" ref="N29">ROUNDDOWN(N28,-3)</f>
        <v>194476000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37.xml><?xml version="1.0" encoding="utf-8"?>
<worksheet xmlns:r="http://schemas.openxmlformats.org/officeDocument/2006/relationships" xmlns="http://schemas.openxmlformats.org/spreadsheetml/2006/main">
  <sheetPr>
    <pageSetUpPr fitToPage="1"/>
  </sheetPr>
  <dimension ref="A1:N31"/>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151" customWidth="1"/>
    <col min="2" max="2" width="43.0312" style="151" customWidth="1"/>
    <col min="3" max="3" width="2.75" style="151" customWidth="1"/>
    <col min="4" max="6" width="10.3672" style="151" customWidth="1"/>
    <col min="7" max="7" width="11.6875" style="151" customWidth="1"/>
    <col min="8" max="11" width="13.5156" style="151" customWidth="1"/>
    <col min="12" max="14" width="14.2344" style="151" customWidth="1"/>
    <col min="15" max="16384" width="16.3516" style="151"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109</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s="95">
        <v>1</v>
      </c>
      <c r="B4" t="s" s="19">
        <v>110</v>
      </c>
      <c r="C4" s="20"/>
      <c r="D4" s="21">
        <v>1</v>
      </c>
      <c r="E4" s="21" cm="1">
        <f t="array" ref="E4">D4</f>
        <v>1</v>
      </c>
      <c r="F4" s="21" cm="1">
        <f t="array" ref="F4">D4</f>
        <v>1</v>
      </c>
      <c r="G4" t="s" s="22">
        <v>19</v>
      </c>
      <c r="H4" s="21" cm="1">
        <f t="array" ref="H4">ROUNDDOWN((99760500*0.1)*100/111,-2)</f>
        <v>8987400</v>
      </c>
      <c r="I4" s="21">
        <v>8987000</v>
      </c>
      <c r="J4" s="21">
        <v>8987000</v>
      </c>
      <c r="K4" s="21">
        <v>11</v>
      </c>
      <c r="L4" s="21" cm="1">
        <f t="array" ref="L4">IF(D4&gt;0,IF($D4&lt;=0,0,D4*H4),"")</f>
        <v>8987400</v>
      </c>
      <c r="M4" s="21" cm="1">
        <f t="array" ref="M4">IF(E4&gt;0,IF($D4&lt;=0,0,ROUND(E4*I4,2)),"")</f>
        <v>8987000</v>
      </c>
      <c r="N4" s="23" cm="1">
        <f t="array" ref="N4">IF(F4&gt;0,IF($D4&lt;=0,0,ROUND(F4*J4,2)),"")</f>
        <v>8987000</v>
      </c>
    </row>
    <row r="5" ht="20.5" customHeight="1">
      <c r="A5" s="95">
        <v>2</v>
      </c>
      <c r="B5" t="s" s="19">
        <v>111</v>
      </c>
      <c r="C5" s="24"/>
      <c r="D5" s="26">
        <v>1</v>
      </c>
      <c r="E5" s="26" cm="1">
        <f t="array" ref="E5">D5</f>
        <v>1</v>
      </c>
      <c r="F5" s="26" cm="1">
        <f t="array" ref="F5">D5</f>
        <v>1</v>
      </c>
      <c r="G5" t="s" s="27">
        <v>19</v>
      </c>
      <c r="H5" s="26" cm="1">
        <f t="array" ref="H5">ROUNDDOWN((99760500*0.2)*100/111,-2)</f>
        <v>17974800</v>
      </c>
      <c r="I5" s="26">
        <v>17974000</v>
      </c>
      <c r="J5" s="26">
        <v>17974000</v>
      </c>
      <c r="K5" s="26">
        <v>11</v>
      </c>
      <c r="L5" s="26" cm="1">
        <f t="array" ref="L5">IF(D5&gt;0,IF($D5&lt;=0,0,D5*H5),"")</f>
        <v>17974800</v>
      </c>
      <c r="M5" s="26" cm="1">
        <f t="array" ref="M5">IF(E5&gt;0,IF($D5&lt;=0,0,ROUND(E5*I5,2)),"")</f>
        <v>17974000</v>
      </c>
      <c r="N5" s="28" cm="1">
        <f t="array" ref="N5">IF(F5&gt;0,IF($D5&lt;=0,0,ROUND(F5*J5,2)),"")</f>
        <v>17974000</v>
      </c>
    </row>
    <row r="6" ht="20.5" customHeight="1">
      <c r="A6" s="95">
        <v>3</v>
      </c>
      <c r="B6" t="s" s="19">
        <v>112</v>
      </c>
      <c r="C6" s="20"/>
      <c r="D6" s="21">
        <v>1</v>
      </c>
      <c r="E6" s="21" cm="1">
        <f t="array" ref="E6">D6</f>
        <v>1</v>
      </c>
      <c r="F6" s="21" cm="1">
        <f t="array" ref="F6">D6</f>
        <v>1</v>
      </c>
      <c r="G6" t="s" s="22">
        <v>19</v>
      </c>
      <c r="H6" s="21" cm="1">
        <f t="array" ref="H6">ROUNDDOWN((99760500*0.25)*100/111,-2)</f>
        <v>22468500</v>
      </c>
      <c r="I6" s="21">
        <v>22468000</v>
      </c>
      <c r="J6" s="21">
        <v>22468000</v>
      </c>
      <c r="K6" s="21">
        <v>11</v>
      </c>
      <c r="L6" s="21" cm="1">
        <f t="array" ref="L6">IF(D6&gt;0,IF($D6&lt;=0,0,D6*H6),"")</f>
        <v>22468500</v>
      </c>
      <c r="M6" s="21" cm="1">
        <f t="array" ref="M6">IF(E6&gt;0,IF($D6&lt;=0,0,ROUND(E6*I6,2)),"")</f>
        <v>22468000</v>
      </c>
      <c r="N6" s="23" cm="1">
        <f t="array" ref="N6">IF(F6&gt;0,IF($D6&lt;=0,0,ROUND(F6*J6,2)),"")</f>
        <v>22468000</v>
      </c>
    </row>
    <row r="7" ht="68.5" customHeight="1">
      <c r="A7" s="95">
        <v>5</v>
      </c>
      <c r="B7" t="s" s="19">
        <v>113</v>
      </c>
      <c r="C7" s="24"/>
      <c r="D7" s="26">
        <v>1</v>
      </c>
      <c r="E7" s="26" cm="1">
        <f t="array" ref="E7">D7</f>
        <v>1</v>
      </c>
      <c r="F7" s="26" cm="1">
        <f t="array" ref="F7">D7</f>
        <v>1</v>
      </c>
      <c r="G7" t="s" s="27">
        <v>19</v>
      </c>
      <c r="H7" s="26" cm="1">
        <f t="array" ref="H7">ROUNDDOWN((99760500*0.25)*100/111,-2)</f>
        <v>22468500</v>
      </c>
      <c r="I7" s="26">
        <v>22468000</v>
      </c>
      <c r="J7" s="26">
        <v>22468000</v>
      </c>
      <c r="K7" s="26">
        <v>11</v>
      </c>
      <c r="L7" s="26" cm="1">
        <f t="array" ref="L7">IF(D7&gt;0,IF($D7&lt;=0,0,D7*H7),"")</f>
        <v>22468500</v>
      </c>
      <c r="M7" s="26" cm="1">
        <f t="array" ref="M7">IF(E7&gt;0,IF($D7&lt;=0,0,ROUND(E7*I7,2)),"")</f>
        <v>22468000</v>
      </c>
      <c r="N7" s="28" cm="1">
        <f t="array" ref="N7">IF(F7&gt;0,IF($D7&lt;=0,0,ROUND(F7*J7,2)),"")</f>
        <v>22468000</v>
      </c>
    </row>
    <row r="8" ht="32.5" customHeight="1">
      <c r="A8" s="95">
        <v>6</v>
      </c>
      <c r="B8" t="s" s="19">
        <v>114</v>
      </c>
      <c r="C8" s="20"/>
      <c r="D8" s="21">
        <v>1</v>
      </c>
      <c r="E8" s="21" cm="1">
        <f t="array" ref="E8">D8</f>
        <v>1</v>
      </c>
      <c r="F8" s="21" cm="1">
        <f t="array" ref="F8">D8</f>
        <v>1</v>
      </c>
      <c r="G8" t="s" s="22">
        <v>19</v>
      </c>
      <c r="H8" s="21" cm="1">
        <f t="array" ref="H8">ROUNDDOWN((99760500*0.05)*100/111,-2)</f>
        <v>4493700</v>
      </c>
      <c r="I8" s="21">
        <v>4450000</v>
      </c>
      <c r="J8" s="21">
        <v>4450000</v>
      </c>
      <c r="K8" s="21">
        <v>11</v>
      </c>
      <c r="L8" s="21" cm="1">
        <f t="array" ref="L8">IF(D8&gt;0,IF($D8&lt;=0,0,D8*H8),"")</f>
        <v>4493700</v>
      </c>
      <c r="M8" s="21" cm="1">
        <f t="array" ref="M8">IF(E8&gt;0,IF($D8&lt;=0,0,ROUND(E8*I8,2)),"")</f>
        <v>4450000</v>
      </c>
      <c r="N8" s="23" cm="1">
        <f t="array" ref="N8">IF(F8&gt;0,IF($D8&lt;=0,0,ROUND(F8*J8,2)),"")</f>
        <v>4450000</v>
      </c>
    </row>
    <row r="9" ht="20.5" customHeight="1">
      <c r="A9" s="95">
        <v>7</v>
      </c>
      <c r="B9" t="s" s="19">
        <v>115</v>
      </c>
      <c r="C9" s="24"/>
      <c r="D9" s="26">
        <v>1</v>
      </c>
      <c r="E9" s="26" cm="1">
        <f t="array" ref="E9">D9</f>
        <v>1</v>
      </c>
      <c r="F9" s="26" cm="1">
        <f t="array" ref="F9">D9</f>
        <v>1</v>
      </c>
      <c r="G9" t="s" s="27">
        <v>19</v>
      </c>
      <c r="H9" s="26" cm="1">
        <f t="array" ref="H9">ROUNDDOWN((99760500*0.15)*100/111,-2)</f>
        <v>13481100</v>
      </c>
      <c r="I9" s="26">
        <v>13450000</v>
      </c>
      <c r="J9" s="26">
        <v>13450000</v>
      </c>
      <c r="K9" s="26">
        <v>11</v>
      </c>
      <c r="L9" s="26" cm="1">
        <f t="array" ref="L9">IF(D9&gt;0,IF($D9&lt;=0,0,D9*H9),"")</f>
        <v>13481100</v>
      </c>
      <c r="M9" s="26" cm="1">
        <f t="array" ref="M9">IF(E9&gt;0,IF($D9&lt;=0,0,ROUND(E9*I9,2)),"")</f>
        <v>13450000</v>
      </c>
      <c r="N9" s="28" cm="1">
        <f t="array" ref="N9">IF(F9&gt;0,IF($D9&lt;=0,0,ROUND(F9*J9,2)),"")</f>
        <v>13450000</v>
      </c>
    </row>
    <row r="10" ht="20.6" customHeight="1">
      <c r="A10" s="33">
        <v>8</v>
      </c>
      <c r="B10" t="s" s="34">
        <v>37</v>
      </c>
      <c r="C10" s="35"/>
      <c r="D10" s="36">
        <v>1</v>
      </c>
      <c r="E10" s="36" cm="1">
        <f t="array" ref="E10">D10</f>
        <v>1</v>
      </c>
      <c r="F10" s="36" cm="1">
        <f t="array" ref="F10">D10</f>
        <v>1</v>
      </c>
      <c r="G10" t="s" s="37">
        <v>19</v>
      </c>
      <c r="H10" s="36">
        <v>215697.6</v>
      </c>
      <c r="I10" s="36">
        <v>215600</v>
      </c>
      <c r="J10" s="36">
        <v>215600</v>
      </c>
      <c r="K10" s="36">
        <v>0</v>
      </c>
      <c r="L10" s="36" cm="1">
        <f t="array" ref="L10">IF(D10&gt;0,IF($D10&lt;=0,0,D10*H10),"")</f>
        <v>215697.6</v>
      </c>
      <c r="M10" s="36" cm="1">
        <f t="array" ref="M10">IF(E10&gt;0,IF($D10&lt;=0,0,ROUND(E10*I10,2)),"")</f>
        <v>215600</v>
      </c>
      <c r="N10" s="38" cm="1">
        <f t="array" ref="N10">IF(F10&gt;0,IF($D10&lt;=0,0,ROUND(F10*J10,2)),"")</f>
        <v>215600</v>
      </c>
    </row>
    <row r="11" ht="8.75" customHeight="1" hidden="1">
      <c r="A11" s="39"/>
      <c r="B11" s="40"/>
      <c r="C11" s="41"/>
      <c r="D11" s="42"/>
      <c r="E11" s="42"/>
      <c r="F11" s="42"/>
      <c r="G11" s="43"/>
      <c r="H11" s="42"/>
      <c r="I11" s="42"/>
      <c r="J11" s="42"/>
      <c r="K11" s="42"/>
      <c r="L11" s="42"/>
      <c r="M11" s="42"/>
      <c r="N11" s="44"/>
    </row>
    <row r="12" ht="8.75" customHeight="1" hidden="1">
      <c r="A12" s="39"/>
      <c r="B12" s="40"/>
      <c r="C12" s="45"/>
      <c r="D12" s="46"/>
      <c r="E12" s="46"/>
      <c r="F12" s="46"/>
      <c r="G12" s="47"/>
      <c r="H12" s="46"/>
      <c r="I12" s="46"/>
      <c r="J12" s="46"/>
      <c r="K12" s="46"/>
      <c r="L12" s="46"/>
      <c r="M12" s="46"/>
      <c r="N12" s="48"/>
    </row>
    <row r="13" ht="8.75" customHeight="1" hidden="1">
      <c r="A13" s="39"/>
      <c r="B13" s="40"/>
      <c r="C13" s="41"/>
      <c r="D13" s="42"/>
      <c r="E13" s="42"/>
      <c r="F13" s="42"/>
      <c r="G13" s="43"/>
      <c r="H13" s="42"/>
      <c r="I13" s="42"/>
      <c r="J13" s="42"/>
      <c r="K13" s="42"/>
      <c r="L13" s="42"/>
      <c r="M13" s="42"/>
      <c r="N13" s="44"/>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2"/>
      <c r="I15" s="42"/>
      <c r="J15" s="42"/>
      <c r="K15" s="42"/>
      <c r="L15" s="42"/>
      <c r="M15" s="42"/>
      <c r="N15" s="44"/>
    </row>
    <row r="16" ht="8.75" customHeight="1" hidden="1">
      <c r="A16" s="39"/>
      <c r="B16" s="40"/>
      <c r="C16" s="45"/>
      <c r="D16" s="46"/>
      <c r="E16" s="46"/>
      <c r="F16" s="46"/>
      <c r="G16" s="47"/>
      <c r="H16" s="46"/>
      <c r="I16" s="46"/>
      <c r="J16" s="46"/>
      <c r="K16" s="46"/>
      <c r="L16" s="46"/>
      <c r="M16" s="46"/>
      <c r="N16" s="48"/>
    </row>
    <row r="17" ht="8.75" customHeight="1" hidden="1">
      <c r="A17" s="39"/>
      <c r="B17" s="40"/>
      <c r="C17" s="41"/>
      <c r="D17" s="42"/>
      <c r="E17" s="42"/>
      <c r="F17" s="42"/>
      <c r="G17" s="43"/>
      <c r="H17" s="43"/>
      <c r="I17" s="43"/>
      <c r="J17" s="43"/>
      <c r="K17" s="42"/>
      <c r="L17" s="43"/>
      <c r="M17" s="43"/>
      <c r="N17" s="49"/>
    </row>
    <row r="18" ht="8.75" customHeight="1" hidden="1">
      <c r="A18" s="39"/>
      <c r="B18" s="40"/>
      <c r="C18" s="45"/>
      <c r="D18" s="46"/>
      <c r="E18" s="46"/>
      <c r="F18" s="46"/>
      <c r="G18" s="47"/>
      <c r="H18" s="50"/>
      <c r="I18" s="50"/>
      <c r="J18" s="50"/>
      <c r="K18" s="46"/>
      <c r="L18" s="46"/>
      <c r="M18" s="46"/>
      <c r="N18" s="48"/>
    </row>
    <row r="19" ht="8.75" customHeight="1" hidden="1">
      <c r="A19" s="39"/>
      <c r="B19" s="40"/>
      <c r="C19" s="41"/>
      <c r="D19" s="42"/>
      <c r="E19" s="42"/>
      <c r="F19" s="42"/>
      <c r="G19" s="43"/>
      <c r="H19" s="43"/>
      <c r="I19" s="43"/>
      <c r="J19" s="43"/>
      <c r="K19" s="42"/>
      <c r="L19" s="43"/>
      <c r="M19" s="43"/>
      <c r="N19" s="49"/>
    </row>
    <row r="20" ht="8.75" customHeight="1" hidden="1">
      <c r="A20" s="39"/>
      <c r="B20" s="40"/>
      <c r="C20" s="45"/>
      <c r="D20" s="46"/>
      <c r="E20" s="46"/>
      <c r="F20" s="46"/>
      <c r="G20" s="47"/>
      <c r="H20" s="46"/>
      <c r="I20" s="46"/>
      <c r="J20" s="46"/>
      <c r="K20" s="46"/>
      <c r="L20" s="46"/>
      <c r="M20" s="46"/>
      <c r="N20" s="48"/>
    </row>
    <row r="21" ht="8.75" customHeight="1" hidden="1">
      <c r="A21" s="39"/>
      <c r="B21" s="40"/>
      <c r="C21" s="41"/>
      <c r="D21" s="42"/>
      <c r="E21" s="42"/>
      <c r="F21" s="42"/>
      <c r="G21" s="43"/>
      <c r="H21" s="42"/>
      <c r="I21" s="42"/>
      <c r="J21" s="42"/>
      <c r="K21" s="42"/>
      <c r="L21" s="42"/>
      <c r="M21" s="42"/>
      <c r="N21" s="44"/>
    </row>
    <row r="22" ht="8.75" customHeight="1" hidden="1">
      <c r="A22" s="51"/>
      <c r="B22" s="40"/>
      <c r="C22" s="45"/>
      <c r="D22" s="46"/>
      <c r="E22" s="46"/>
      <c r="F22" s="46"/>
      <c r="G22" s="47"/>
      <c r="H22" s="46"/>
      <c r="I22" s="46"/>
      <c r="J22" s="46"/>
      <c r="K22" s="46"/>
      <c r="L22" s="46"/>
      <c r="M22" s="46"/>
      <c r="N22" s="48"/>
    </row>
    <row r="23" ht="8.75" customHeight="1" hidden="1">
      <c r="A23" s="51"/>
      <c r="B23" s="40"/>
      <c r="C23" s="41"/>
      <c r="D23" s="42"/>
      <c r="E23" s="42"/>
      <c r="F23" s="42"/>
      <c r="G23" s="43"/>
      <c r="H23" s="42"/>
      <c r="I23" s="42"/>
      <c r="J23" s="42"/>
      <c r="K23" s="42"/>
      <c r="L23" s="42"/>
      <c r="M23" s="42"/>
      <c r="N23" s="44"/>
    </row>
    <row r="24" ht="8.75" customHeight="1" hidden="1">
      <c r="A24" s="39"/>
      <c r="B24" s="40"/>
      <c r="C24" s="45"/>
      <c r="D24" s="46"/>
      <c r="E24" s="46"/>
      <c r="F24" s="46"/>
      <c r="G24" s="47"/>
      <c r="H24" s="46"/>
      <c r="I24" s="46"/>
      <c r="J24" s="46"/>
      <c r="K24" s="46"/>
      <c r="L24" s="47"/>
      <c r="M24" s="47"/>
      <c r="N24" s="52"/>
    </row>
    <row r="25" ht="8.75" customHeight="1" hidden="1">
      <c r="A25" s="39"/>
      <c r="B25" s="40"/>
      <c r="C25" s="41"/>
      <c r="D25" s="42"/>
      <c r="E25" s="42"/>
      <c r="F25" s="42"/>
      <c r="G25" s="43"/>
      <c r="H25" s="42"/>
      <c r="I25" s="42"/>
      <c r="J25" s="42"/>
      <c r="K25" s="42"/>
      <c r="L25" s="42"/>
      <c r="M25" s="42"/>
      <c r="N25" s="44"/>
    </row>
    <row r="26" ht="8.75" customHeight="1" hidden="1">
      <c r="A26" s="39"/>
      <c r="B26" s="40"/>
      <c r="C26" s="45"/>
      <c r="D26" s="46"/>
      <c r="E26" s="46"/>
      <c r="F26" s="46"/>
      <c r="G26" s="47"/>
      <c r="H26" s="46"/>
      <c r="I26" s="46"/>
      <c r="J26" s="46"/>
      <c r="K26" s="46"/>
      <c r="L26" s="47"/>
      <c r="M26" s="47"/>
      <c r="N26" s="52"/>
    </row>
    <row r="27" ht="20.85" customHeight="1">
      <c r="A27" s="108"/>
      <c r="B27" s="54"/>
      <c r="C27" s="54"/>
      <c r="D27" s="55"/>
      <c r="E27" s="55"/>
      <c r="F27" s="55"/>
      <c r="G27" s="56"/>
      <c r="H27" s="56"/>
      <c r="I27" s="54"/>
      <c r="J27" s="57"/>
      <c r="K27" t="s" s="58">
        <v>38</v>
      </c>
      <c r="L27" s="59" cm="1">
        <f t="array" ref="L27">SUM(L1:L26)</f>
        <v>90089697.59999999</v>
      </c>
      <c r="M27" s="59" cm="1">
        <f t="array" ref="M27">SUM(M1:M26)</f>
        <v>90012600</v>
      </c>
      <c r="N27" s="59" cm="1">
        <f t="array" ref="N27">SUM(N1:N26)</f>
        <v>90012600</v>
      </c>
    </row>
    <row r="28" ht="21" customHeight="1">
      <c r="A28" s="63" cm="1">
        <f t="array" ref="A28">ROUND(IF(I28&lt;=100000000,I28*0.24%,IF(AND(I28&gt;100000000,I28&lt;=500000000),100000000*0.24%+(I28-100000000)*0.19%,IF(AND(I28&gt;500000000,I28&lt;=1000000000),100000000*0.24%+400000000*0.19%+(I28-500000000)*0.15%,IF(AND(I28&gt;1000000000,I28&lt;=5000000000),100000000*0.24%+400000000*0.19%+500000000*0.15%+(I28-1000000000)*0.12%,IF(I28&gt;5000000000,100000000*0.24%+400000000*0.19%+500000000*0.15%+4000000000*0.12%+(I28-5000000000)*0.1%,"Bingung komputer"))))),2)</f>
        <v>239425.2</v>
      </c>
      <c r="B28" t="s" s="109">
        <v>39</v>
      </c>
      <c r="C28" s="62"/>
      <c r="D28" s="63" cm="1">
        <f t="array" ref="D28">ROUND(IF(L28&lt;=100000000,L28*0.24%,IF(AND(L28&gt;100000000,L28&lt;=500000000),100000000*0.24%+(L28-100000000)*0.19%,IF(AND(L28&gt;500000000,L28&lt;=1000000000),100000000*0.24%+400000000*0.19%+(L28-500000000)*0.15%,IF(AND(L28&gt;1000000000,L28&lt;=5000000000),100000000*0.24%+400000000*0.19%+500000000*0.15%+(L28-1000000000)*0.12%,IF(L28&gt;5000000000,100000000*0.24%+400000000*0.19%+500000000*0.15%+4000000000*0.12%+(L28-5000000000)*0.1%,"Bingung komputer"))))),2)</f>
        <v>215697.6</v>
      </c>
      <c r="E28" s="64" cm="1">
        <f t="array" ref="E28">ROUND(IF(M28&lt;=100000000,M28*0.24%,IF(AND(M28&gt;100000000,M28&lt;=500000000),100000000*0.24%+(M28-100000000)*0.19%,IF(AND(M28&gt;500000000,M28&lt;=1000000000),100000000*0.24%+400000000*0.19%+(M28-500000000)*0.15%,IF(AND(M28&gt;1000000000,M28&lt;=5000000000),100000000*0.24%+400000000*0.19%+500000000*0.15%+(M28-1000000000)*0.12%,IF(M28&gt;5000000000,100000000*0.24%+400000000*0.19%+500000000*0.15%+4000000000*0.12%+(M28-5000000000)*0.1%,"Bingung komputer"))))),2)</f>
        <v>215512.8</v>
      </c>
      <c r="F28" s="64" cm="1">
        <f t="array" ref="F28">ROUND(IF(N28&lt;=100000000,N28*0.24%,IF(AND(N28&gt;100000000,N28&lt;=500000000),100000000*0.24%+(N28-100000000)*0.19%,IF(AND(N28&gt;500000000,N28&lt;=1000000000),100000000*0.24%+400000000*0.19%+(N28-500000000)*0.15%,IF(AND(N28&gt;1000000000,N28&lt;=5000000000),100000000*0.24%+400000000*0.19%+500000000*0.15%+(N28-1000000000)*0.12%,IF(N28&gt;5000000000,100000000*0.24%+400000000*0.19%+500000000*0.15%+4000000000*0.12%+(N28-5000000000)*0.1%,"Bingung komputer"))))),2)</f>
        <v>215512.8</v>
      </c>
      <c r="G28" s="65"/>
      <c r="H28" s="66" cm="1">
        <f t="array" ref="H28">I$28*(100/111)</f>
        <v>89874324.32432429</v>
      </c>
      <c r="I28" s="68">
        <v>99760500</v>
      </c>
      <c r="J28" s="67"/>
      <c r="K28" t="str" s="67" cm="1">
        <f t="array" ref="K28">"Jumlah Terkena Pajak "&amp;MAX(K3:K26)&amp;"% (B)"</f>
        <v>Jumlah Terkena Pajak 11,00% (B)</v>
      </c>
      <c r="L28" s="68" cm="1">
        <f t="array" ref="L28">SUMIF($K3:$K26,"&gt;0",L3:L26)</f>
        <v>89874000</v>
      </c>
      <c r="M28" s="69" cm="1">
        <f t="array" ref="M28">SUMIF($K3:$K26,"&gt;0",M3:M26)</f>
        <v>89797000</v>
      </c>
      <c r="N28" s="69" cm="1">
        <f t="array" ref="N28">SUMIF($K3:$K26,"&gt;0",N3:N26)</f>
        <v>89797000</v>
      </c>
    </row>
    <row r="29" ht="21" customHeight="1">
      <c r="A29" s="70"/>
      <c r="B29" s="71"/>
      <c r="C29" s="71"/>
      <c r="D29" s="72"/>
      <c r="E29" s="72"/>
      <c r="F29" s="71"/>
      <c r="G29" s="72"/>
      <c r="H29" s="72"/>
      <c r="I29" s="74" cm="1">
        <f t="array" ref="I29">A$28+I$28</f>
        <v>99999925.2</v>
      </c>
      <c r="J29" s="73"/>
      <c r="K29" t="str" s="73" cm="1">
        <f t="array" ref="K29">"PPN (C) = "&amp;MAX(K3:K26)&amp;"% x B"</f>
        <v>PPN (C) = 11,00% x B</v>
      </c>
      <c r="L29" s="74" cm="1">
        <f t="array" ref="L29">L28*MAX($K3:$K26)%</f>
        <v>9886140</v>
      </c>
      <c r="M29" s="69" cm="1">
        <f t="array" ref="M29">M28*MAX($K3:$K26)%</f>
        <v>9877670</v>
      </c>
      <c r="N29" s="69" cm="1">
        <f t="array" ref="N29">N28*MAX($K3:$K26)%</f>
        <v>9877670</v>
      </c>
    </row>
    <row r="30" ht="21" customHeight="1">
      <c r="A30" s="70"/>
      <c r="B30" s="71"/>
      <c r="C30" s="71"/>
      <c r="D30" s="72"/>
      <c r="E30" s="72"/>
      <c r="F30" s="72"/>
      <c r="G30" s="72"/>
      <c r="H30" s="72"/>
      <c r="I30" s="71"/>
      <c r="J30" s="73"/>
      <c r="K30" t="s" s="75">
        <v>42</v>
      </c>
      <c r="L30" s="76" cm="1">
        <f t="array" ref="L30">L27+L29</f>
        <v>99975837.59999999</v>
      </c>
      <c r="M30" s="69" cm="1">
        <f t="array" ref="M30">M27+M29</f>
        <v>99890270</v>
      </c>
      <c r="N30" s="69" cm="1">
        <f t="array" ref="N30">N27+N29</f>
        <v>99890270</v>
      </c>
    </row>
    <row r="31" ht="20.5" customHeight="1">
      <c r="A31" s="70"/>
      <c r="B31" s="71"/>
      <c r="C31" s="71"/>
      <c r="D31" s="72"/>
      <c r="E31" s="72"/>
      <c r="F31" s="72"/>
      <c r="G31" s="72"/>
      <c r="H31" s="72"/>
      <c r="I31" s="71"/>
      <c r="J31" s="73"/>
      <c r="K31" t="s" s="75">
        <v>43</v>
      </c>
      <c r="L31" s="68" cm="1">
        <f t="array" ref="L31">ROUNDDOWN(L30,2)</f>
        <v>99975837.59999999</v>
      </c>
      <c r="M31" s="68" cm="1">
        <f t="array" ref="M31">ROUNDDOWN(M30,2)</f>
        <v>99890270</v>
      </c>
      <c r="N31" s="68" cm="1">
        <f t="array" ref="N31">ROUNDDOWN(N30,-3)</f>
        <v>99890000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38.xml><?xml version="1.0" encoding="utf-8"?>
<worksheet xmlns:r="http://schemas.openxmlformats.org/officeDocument/2006/relationships" xmlns="http://schemas.openxmlformats.org/spreadsheetml/2006/main">
  <sheetPr>
    <pageSetUpPr fitToPage="1"/>
  </sheetPr>
  <dimension ref="A1:N31"/>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152" customWidth="1"/>
    <col min="2" max="2" width="43.0312" style="152" customWidth="1"/>
    <col min="3" max="3" width="2.75" style="152" customWidth="1"/>
    <col min="4" max="6" width="10.3672" style="152" customWidth="1"/>
    <col min="7" max="7" width="11.6875" style="152" customWidth="1"/>
    <col min="8" max="11" width="13.5156" style="152" customWidth="1"/>
    <col min="12" max="14" width="14.2344" style="152" customWidth="1"/>
    <col min="15" max="16384" width="16.3516" style="152"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109</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s="95">
        <v>1</v>
      </c>
      <c r="B4" t="s" s="19">
        <v>110</v>
      </c>
      <c r="C4" s="20"/>
      <c r="D4" s="21">
        <v>1</v>
      </c>
      <c r="E4" s="21" cm="1">
        <f t="array" ref="E4">D4</f>
        <v>1</v>
      </c>
      <c r="F4" s="21" cm="1">
        <f t="array" ref="F4">D4</f>
        <v>1</v>
      </c>
      <c r="G4" t="s" s="22">
        <v>19</v>
      </c>
      <c r="H4" s="21" cm="1">
        <f t="array" ref="H4">ROUNDDOWN((99760500*0.1)*100/111,-2)</f>
        <v>8987400</v>
      </c>
      <c r="I4" s="21">
        <v>8987000</v>
      </c>
      <c r="J4" s="21">
        <v>8987000</v>
      </c>
      <c r="K4" s="21">
        <v>11</v>
      </c>
      <c r="L4" s="21" cm="1">
        <f t="array" ref="L4">IF(D4&gt;0,IF($D4&lt;=0,0,D4*H4),"")</f>
        <v>8987400</v>
      </c>
      <c r="M4" s="21" cm="1">
        <f t="array" ref="M4">IF(E4&gt;0,IF($D4&lt;=0,0,ROUND(E4*I4,2)),"")</f>
        <v>8987000</v>
      </c>
      <c r="N4" s="23" cm="1">
        <f t="array" ref="N4">IF(F4&gt;0,IF($D4&lt;=0,0,ROUND(F4*J4,2)),"")</f>
        <v>8987000</v>
      </c>
    </row>
    <row r="5" ht="20.5" customHeight="1">
      <c r="A5" s="95">
        <v>2</v>
      </c>
      <c r="B5" t="s" s="19">
        <v>111</v>
      </c>
      <c r="C5" s="24"/>
      <c r="D5" s="26">
        <v>1</v>
      </c>
      <c r="E5" s="26" cm="1">
        <f t="array" ref="E5">D5</f>
        <v>1</v>
      </c>
      <c r="F5" s="26" cm="1">
        <f t="array" ref="F5">D5</f>
        <v>1</v>
      </c>
      <c r="G5" t="s" s="27">
        <v>19</v>
      </c>
      <c r="H5" s="26" cm="1">
        <f t="array" ref="H5">ROUNDDOWN((99760500*0.2)*100/111,-2)</f>
        <v>17974800</v>
      </c>
      <c r="I5" s="26">
        <v>17974000</v>
      </c>
      <c r="J5" s="26">
        <v>17974000</v>
      </c>
      <c r="K5" s="26">
        <v>11</v>
      </c>
      <c r="L5" s="26" cm="1">
        <f t="array" ref="L5">IF(D5&gt;0,IF($D5&lt;=0,0,D5*H5),"")</f>
        <v>17974800</v>
      </c>
      <c r="M5" s="26" cm="1">
        <f t="array" ref="M5">IF(E5&gt;0,IF($D5&lt;=0,0,ROUND(E5*I5,2)),"")</f>
        <v>17974000</v>
      </c>
      <c r="N5" s="28" cm="1">
        <f t="array" ref="N5">IF(F5&gt;0,IF($D5&lt;=0,0,ROUND(F5*J5,2)),"")</f>
        <v>17974000</v>
      </c>
    </row>
    <row r="6" ht="20.5" customHeight="1">
      <c r="A6" s="95">
        <v>3</v>
      </c>
      <c r="B6" t="s" s="19">
        <v>112</v>
      </c>
      <c r="C6" s="20"/>
      <c r="D6" s="21">
        <v>1</v>
      </c>
      <c r="E6" s="21" cm="1">
        <f t="array" ref="E6">D6</f>
        <v>1</v>
      </c>
      <c r="F6" s="21" cm="1">
        <f t="array" ref="F6">D6</f>
        <v>1</v>
      </c>
      <c r="G6" t="s" s="22">
        <v>19</v>
      </c>
      <c r="H6" s="21" cm="1">
        <f t="array" ref="H6">ROUNDDOWN((99760500*0.25)*100/111,-2)</f>
        <v>22468500</v>
      </c>
      <c r="I6" s="21">
        <v>22468000</v>
      </c>
      <c r="J6" s="21">
        <v>22468000</v>
      </c>
      <c r="K6" s="21">
        <v>11</v>
      </c>
      <c r="L6" s="21" cm="1">
        <f t="array" ref="L6">IF(D6&gt;0,IF($D6&lt;=0,0,D6*H6),"")</f>
        <v>22468500</v>
      </c>
      <c r="M6" s="21" cm="1">
        <f t="array" ref="M6">IF(E6&gt;0,IF($D6&lt;=0,0,ROUND(E6*I6,2)),"")</f>
        <v>22468000</v>
      </c>
      <c r="N6" s="23" cm="1">
        <f t="array" ref="N6">IF(F6&gt;0,IF($D6&lt;=0,0,ROUND(F6*J6,2)),"")</f>
        <v>22468000</v>
      </c>
    </row>
    <row r="7" ht="68.5" customHeight="1">
      <c r="A7" s="95">
        <v>5</v>
      </c>
      <c r="B7" t="s" s="19">
        <v>113</v>
      </c>
      <c r="C7" s="24"/>
      <c r="D7" s="26">
        <v>1</v>
      </c>
      <c r="E7" s="26" cm="1">
        <f t="array" ref="E7">D7</f>
        <v>1</v>
      </c>
      <c r="F7" s="26" cm="1">
        <f t="array" ref="F7">D7</f>
        <v>1</v>
      </c>
      <c r="G7" t="s" s="27">
        <v>19</v>
      </c>
      <c r="H7" s="26" cm="1">
        <f t="array" ref="H7">ROUNDDOWN((99760500*0.25)*100/111,-2)</f>
        <v>22468500</v>
      </c>
      <c r="I7" s="26">
        <v>22468000</v>
      </c>
      <c r="J7" s="26">
        <v>22468000</v>
      </c>
      <c r="K7" s="26">
        <v>11</v>
      </c>
      <c r="L7" s="26" cm="1">
        <f t="array" ref="L7">IF(D7&gt;0,IF($D7&lt;=0,0,D7*H7),"")</f>
        <v>22468500</v>
      </c>
      <c r="M7" s="26" cm="1">
        <f t="array" ref="M7">IF(E7&gt;0,IF($D7&lt;=0,0,ROUND(E7*I7,2)),"")</f>
        <v>22468000</v>
      </c>
      <c r="N7" s="28" cm="1">
        <f t="array" ref="N7">IF(F7&gt;0,IF($D7&lt;=0,0,ROUND(F7*J7,2)),"")</f>
        <v>22468000</v>
      </c>
    </row>
    <row r="8" ht="32.5" customHeight="1">
      <c r="A8" s="95">
        <v>6</v>
      </c>
      <c r="B8" t="s" s="19">
        <v>114</v>
      </c>
      <c r="C8" s="20"/>
      <c r="D8" s="21">
        <v>1</v>
      </c>
      <c r="E8" s="21" cm="1">
        <f t="array" ref="E8">D8</f>
        <v>1</v>
      </c>
      <c r="F8" s="21" cm="1">
        <f t="array" ref="F8">D8</f>
        <v>1</v>
      </c>
      <c r="G8" t="s" s="22">
        <v>19</v>
      </c>
      <c r="H8" s="21" cm="1">
        <f t="array" ref="H8">ROUNDDOWN((99760500*0.05)*100/111,-2)</f>
        <v>4493700</v>
      </c>
      <c r="I8" s="21">
        <v>4450000</v>
      </c>
      <c r="J8" s="21">
        <v>4450000</v>
      </c>
      <c r="K8" s="21">
        <v>11</v>
      </c>
      <c r="L8" s="21" cm="1">
        <f t="array" ref="L8">IF(D8&gt;0,IF($D8&lt;=0,0,D8*H8),"")</f>
        <v>4493700</v>
      </c>
      <c r="M8" s="21" cm="1">
        <f t="array" ref="M8">IF(E8&gt;0,IF($D8&lt;=0,0,ROUND(E8*I8,2)),"")</f>
        <v>4450000</v>
      </c>
      <c r="N8" s="23" cm="1">
        <f t="array" ref="N8">IF(F8&gt;0,IF($D8&lt;=0,0,ROUND(F8*J8,2)),"")</f>
        <v>4450000</v>
      </c>
    </row>
    <row r="9" ht="20.5" customHeight="1">
      <c r="A9" s="95">
        <v>7</v>
      </c>
      <c r="B9" t="s" s="19">
        <v>115</v>
      </c>
      <c r="C9" s="24"/>
      <c r="D9" s="26">
        <v>1</v>
      </c>
      <c r="E9" s="26" cm="1">
        <f t="array" ref="E9">D9</f>
        <v>1</v>
      </c>
      <c r="F9" s="26" cm="1">
        <f t="array" ref="F9">D9</f>
        <v>1</v>
      </c>
      <c r="G9" t="s" s="27">
        <v>19</v>
      </c>
      <c r="H9" s="26" cm="1">
        <f t="array" ref="H9">ROUNDDOWN((99760500*0.15)*100/111,-2)</f>
        <v>13481100</v>
      </c>
      <c r="I9" s="26">
        <v>13450000</v>
      </c>
      <c r="J9" s="26">
        <v>13450000</v>
      </c>
      <c r="K9" s="26">
        <v>11</v>
      </c>
      <c r="L9" s="26" cm="1">
        <f t="array" ref="L9">IF(D9&gt;0,IF($D9&lt;=0,0,D9*H9),"")</f>
        <v>13481100</v>
      </c>
      <c r="M9" s="26" cm="1">
        <f t="array" ref="M9">IF(E9&gt;0,IF($D9&lt;=0,0,ROUND(E9*I9,2)),"")</f>
        <v>13450000</v>
      </c>
      <c r="N9" s="28" cm="1">
        <f t="array" ref="N9">IF(F9&gt;0,IF($D9&lt;=0,0,ROUND(F9*J9,2)),"")</f>
        <v>13450000</v>
      </c>
    </row>
    <row r="10" ht="20.6" customHeight="1">
      <c r="A10" s="33">
        <v>8</v>
      </c>
      <c r="B10" t="s" s="34">
        <v>37</v>
      </c>
      <c r="C10" s="35"/>
      <c r="D10" s="36">
        <v>1</v>
      </c>
      <c r="E10" s="36" cm="1">
        <f t="array" ref="E10">D10</f>
        <v>1</v>
      </c>
      <c r="F10" s="36" cm="1">
        <f t="array" ref="F10">D10</f>
        <v>1</v>
      </c>
      <c r="G10" t="s" s="37">
        <v>19</v>
      </c>
      <c r="H10" s="36">
        <v>215697.6</v>
      </c>
      <c r="I10" s="36">
        <v>215600</v>
      </c>
      <c r="J10" s="36">
        <v>215600</v>
      </c>
      <c r="K10" s="36">
        <v>0</v>
      </c>
      <c r="L10" s="36" cm="1">
        <f t="array" ref="L10">IF(D10&gt;0,IF($D10&lt;=0,0,D10*H10),"")</f>
        <v>215697.6</v>
      </c>
      <c r="M10" s="36" cm="1">
        <f t="array" ref="M10">IF(E10&gt;0,IF($D10&lt;=0,0,ROUND(E10*I10,2)),"")</f>
        <v>215600</v>
      </c>
      <c r="N10" s="38" cm="1">
        <f t="array" ref="N10">IF(F10&gt;0,IF($D10&lt;=0,0,ROUND(F10*J10,2)),"")</f>
        <v>215600</v>
      </c>
    </row>
    <row r="11" ht="8.75" customHeight="1" hidden="1">
      <c r="A11" s="39"/>
      <c r="B11" s="40"/>
      <c r="C11" s="41"/>
      <c r="D11" s="42"/>
      <c r="E11" s="42"/>
      <c r="F11" s="42"/>
      <c r="G11" s="43"/>
      <c r="H11" s="42"/>
      <c r="I11" s="42"/>
      <c r="J11" s="42"/>
      <c r="K11" s="42"/>
      <c r="L11" s="42"/>
      <c r="M11" s="42"/>
      <c r="N11" s="44"/>
    </row>
    <row r="12" ht="8.75" customHeight="1" hidden="1">
      <c r="A12" s="39"/>
      <c r="B12" s="40"/>
      <c r="C12" s="45"/>
      <c r="D12" s="46"/>
      <c r="E12" s="46"/>
      <c r="F12" s="46"/>
      <c r="G12" s="47"/>
      <c r="H12" s="46"/>
      <c r="I12" s="46"/>
      <c r="J12" s="46"/>
      <c r="K12" s="46"/>
      <c r="L12" s="46"/>
      <c r="M12" s="46"/>
      <c r="N12" s="48"/>
    </row>
    <row r="13" ht="8.75" customHeight="1" hidden="1">
      <c r="A13" s="39"/>
      <c r="B13" s="40"/>
      <c r="C13" s="41"/>
      <c r="D13" s="42"/>
      <c r="E13" s="42"/>
      <c r="F13" s="42"/>
      <c r="G13" s="43"/>
      <c r="H13" s="42"/>
      <c r="I13" s="42"/>
      <c r="J13" s="42"/>
      <c r="K13" s="42"/>
      <c r="L13" s="42"/>
      <c r="M13" s="42"/>
      <c r="N13" s="44"/>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2"/>
      <c r="I15" s="42"/>
      <c r="J15" s="42"/>
      <c r="K15" s="42"/>
      <c r="L15" s="42"/>
      <c r="M15" s="42"/>
      <c r="N15" s="44"/>
    </row>
    <row r="16" ht="8.75" customHeight="1" hidden="1">
      <c r="A16" s="39"/>
      <c r="B16" s="40"/>
      <c r="C16" s="45"/>
      <c r="D16" s="46"/>
      <c r="E16" s="46"/>
      <c r="F16" s="46"/>
      <c r="G16" s="47"/>
      <c r="H16" s="46"/>
      <c r="I16" s="46"/>
      <c r="J16" s="46"/>
      <c r="K16" s="46"/>
      <c r="L16" s="46"/>
      <c r="M16" s="46"/>
      <c r="N16" s="48"/>
    </row>
    <row r="17" ht="8.75" customHeight="1" hidden="1">
      <c r="A17" s="39"/>
      <c r="B17" s="40"/>
      <c r="C17" s="41"/>
      <c r="D17" s="42"/>
      <c r="E17" s="42"/>
      <c r="F17" s="42"/>
      <c r="G17" s="43"/>
      <c r="H17" s="43"/>
      <c r="I17" s="43"/>
      <c r="J17" s="43"/>
      <c r="K17" s="42"/>
      <c r="L17" s="43"/>
      <c r="M17" s="43"/>
      <c r="N17" s="49"/>
    </row>
    <row r="18" ht="8.75" customHeight="1" hidden="1">
      <c r="A18" s="39"/>
      <c r="B18" s="40"/>
      <c r="C18" s="45"/>
      <c r="D18" s="46"/>
      <c r="E18" s="46"/>
      <c r="F18" s="46"/>
      <c r="G18" s="47"/>
      <c r="H18" s="50"/>
      <c r="I18" s="50"/>
      <c r="J18" s="50"/>
      <c r="K18" s="46"/>
      <c r="L18" s="46"/>
      <c r="M18" s="46"/>
      <c r="N18" s="48"/>
    </row>
    <row r="19" ht="8.75" customHeight="1" hidden="1">
      <c r="A19" s="39"/>
      <c r="B19" s="40"/>
      <c r="C19" s="41"/>
      <c r="D19" s="42"/>
      <c r="E19" s="42"/>
      <c r="F19" s="42"/>
      <c r="G19" s="43"/>
      <c r="H19" s="43"/>
      <c r="I19" s="43"/>
      <c r="J19" s="43"/>
      <c r="K19" s="42"/>
      <c r="L19" s="43"/>
      <c r="M19" s="43"/>
      <c r="N19" s="49"/>
    </row>
    <row r="20" ht="8.75" customHeight="1" hidden="1">
      <c r="A20" s="39"/>
      <c r="B20" s="40"/>
      <c r="C20" s="45"/>
      <c r="D20" s="46"/>
      <c r="E20" s="46"/>
      <c r="F20" s="46"/>
      <c r="G20" s="47"/>
      <c r="H20" s="46"/>
      <c r="I20" s="46"/>
      <c r="J20" s="46"/>
      <c r="K20" s="46"/>
      <c r="L20" s="46"/>
      <c r="M20" s="46"/>
      <c r="N20" s="48"/>
    </row>
    <row r="21" ht="8.75" customHeight="1" hidden="1">
      <c r="A21" s="39"/>
      <c r="B21" s="40"/>
      <c r="C21" s="41"/>
      <c r="D21" s="42"/>
      <c r="E21" s="42"/>
      <c r="F21" s="42"/>
      <c r="G21" s="43"/>
      <c r="H21" s="42"/>
      <c r="I21" s="42"/>
      <c r="J21" s="42"/>
      <c r="K21" s="42"/>
      <c r="L21" s="42"/>
      <c r="M21" s="42"/>
      <c r="N21" s="44"/>
    </row>
    <row r="22" ht="8.75" customHeight="1" hidden="1">
      <c r="A22" s="51"/>
      <c r="B22" s="40"/>
      <c r="C22" s="45"/>
      <c r="D22" s="46"/>
      <c r="E22" s="46"/>
      <c r="F22" s="46"/>
      <c r="G22" s="47"/>
      <c r="H22" s="46"/>
      <c r="I22" s="46"/>
      <c r="J22" s="46"/>
      <c r="K22" s="46"/>
      <c r="L22" s="46"/>
      <c r="M22" s="46"/>
      <c r="N22" s="48"/>
    </row>
    <row r="23" ht="8.75" customHeight="1" hidden="1">
      <c r="A23" s="51"/>
      <c r="B23" s="40"/>
      <c r="C23" s="41"/>
      <c r="D23" s="42"/>
      <c r="E23" s="42"/>
      <c r="F23" s="42"/>
      <c r="G23" s="43"/>
      <c r="H23" s="42"/>
      <c r="I23" s="42"/>
      <c r="J23" s="42"/>
      <c r="K23" s="42"/>
      <c r="L23" s="42"/>
      <c r="M23" s="42"/>
      <c r="N23" s="44"/>
    </row>
    <row r="24" ht="8.75" customHeight="1" hidden="1">
      <c r="A24" s="39"/>
      <c r="B24" s="40"/>
      <c r="C24" s="45"/>
      <c r="D24" s="46"/>
      <c r="E24" s="46"/>
      <c r="F24" s="46"/>
      <c r="G24" s="47"/>
      <c r="H24" s="46"/>
      <c r="I24" s="46"/>
      <c r="J24" s="46"/>
      <c r="K24" s="46"/>
      <c r="L24" s="47"/>
      <c r="M24" s="47"/>
      <c r="N24" s="52"/>
    </row>
    <row r="25" ht="8.75" customHeight="1" hidden="1">
      <c r="A25" s="39"/>
      <c r="B25" s="40"/>
      <c r="C25" s="41"/>
      <c r="D25" s="42"/>
      <c r="E25" s="42"/>
      <c r="F25" s="42"/>
      <c r="G25" s="43"/>
      <c r="H25" s="42"/>
      <c r="I25" s="42"/>
      <c r="J25" s="42"/>
      <c r="K25" s="42"/>
      <c r="L25" s="42"/>
      <c r="M25" s="42"/>
      <c r="N25" s="44"/>
    </row>
    <row r="26" ht="8.75" customHeight="1" hidden="1">
      <c r="A26" s="39"/>
      <c r="B26" s="40"/>
      <c r="C26" s="45"/>
      <c r="D26" s="46"/>
      <c r="E26" s="46"/>
      <c r="F26" s="46"/>
      <c r="G26" s="47"/>
      <c r="H26" s="46"/>
      <c r="I26" s="46"/>
      <c r="J26" s="46"/>
      <c r="K26" s="46"/>
      <c r="L26" s="47"/>
      <c r="M26" s="47"/>
      <c r="N26" s="52"/>
    </row>
    <row r="27" ht="20.85" customHeight="1">
      <c r="A27" s="108"/>
      <c r="B27" s="54"/>
      <c r="C27" s="54"/>
      <c r="D27" s="55"/>
      <c r="E27" s="55"/>
      <c r="F27" s="55"/>
      <c r="G27" s="56"/>
      <c r="H27" s="56"/>
      <c r="I27" s="54"/>
      <c r="J27" s="57"/>
      <c r="K27" t="s" s="58">
        <v>38</v>
      </c>
      <c r="L27" s="59" cm="1">
        <f t="array" ref="L27">SUM(L1:L26)</f>
        <v>90089697.59999999</v>
      </c>
      <c r="M27" s="59" cm="1">
        <f t="array" ref="M27">SUM(M1:M26)</f>
        <v>90012600</v>
      </c>
      <c r="N27" s="59" cm="1">
        <f t="array" ref="N27">SUM(N1:N26)</f>
        <v>90012600</v>
      </c>
    </row>
    <row r="28" ht="21" customHeight="1">
      <c r="A28" s="63" cm="1">
        <f t="array" ref="A28">ROUND(IF(I28&lt;=100000000,I28*0.24%,IF(AND(I28&gt;100000000,I28&lt;=500000000),100000000*0.24%+(I28-100000000)*0.19%,IF(AND(I28&gt;500000000,I28&lt;=1000000000),100000000*0.24%+400000000*0.19%+(I28-500000000)*0.15%,IF(AND(I28&gt;1000000000,I28&lt;=5000000000),100000000*0.24%+400000000*0.19%+500000000*0.15%+(I28-1000000000)*0.12%,IF(I28&gt;5000000000,100000000*0.24%+400000000*0.19%+500000000*0.15%+4000000000*0.12%+(I28-5000000000)*0.1%,"Bingung komputer"))))),2)</f>
        <v>239425.2</v>
      </c>
      <c r="B28" t="s" s="109">
        <v>39</v>
      </c>
      <c r="C28" s="62"/>
      <c r="D28" s="63" cm="1">
        <f t="array" ref="D28">ROUND(IF(L28&lt;=100000000,L28*0.24%,IF(AND(L28&gt;100000000,L28&lt;=500000000),100000000*0.24%+(L28-100000000)*0.19%,IF(AND(L28&gt;500000000,L28&lt;=1000000000),100000000*0.24%+400000000*0.19%+(L28-500000000)*0.15%,IF(AND(L28&gt;1000000000,L28&lt;=5000000000),100000000*0.24%+400000000*0.19%+500000000*0.15%+(L28-1000000000)*0.12%,IF(L28&gt;5000000000,100000000*0.24%+400000000*0.19%+500000000*0.15%+4000000000*0.12%+(L28-5000000000)*0.1%,"Bingung komputer"))))),2)</f>
        <v>215697.6</v>
      </c>
      <c r="E28" s="64" cm="1">
        <f t="array" ref="E28">ROUND(IF(M28&lt;=100000000,M28*0.24%,IF(AND(M28&gt;100000000,M28&lt;=500000000),100000000*0.24%+(M28-100000000)*0.19%,IF(AND(M28&gt;500000000,M28&lt;=1000000000),100000000*0.24%+400000000*0.19%+(M28-500000000)*0.15%,IF(AND(M28&gt;1000000000,M28&lt;=5000000000),100000000*0.24%+400000000*0.19%+500000000*0.15%+(M28-1000000000)*0.12%,IF(M28&gt;5000000000,100000000*0.24%+400000000*0.19%+500000000*0.15%+4000000000*0.12%+(M28-5000000000)*0.1%,"Bingung komputer"))))),2)</f>
        <v>215512.8</v>
      </c>
      <c r="F28" s="64" cm="1">
        <f t="array" ref="F28">ROUND(IF(N28&lt;=100000000,N28*0.24%,IF(AND(N28&gt;100000000,N28&lt;=500000000),100000000*0.24%+(N28-100000000)*0.19%,IF(AND(N28&gt;500000000,N28&lt;=1000000000),100000000*0.24%+400000000*0.19%+(N28-500000000)*0.15%,IF(AND(N28&gt;1000000000,N28&lt;=5000000000),100000000*0.24%+400000000*0.19%+500000000*0.15%+(N28-1000000000)*0.12%,IF(N28&gt;5000000000,100000000*0.24%+400000000*0.19%+500000000*0.15%+4000000000*0.12%+(N28-5000000000)*0.1%,"Bingung komputer"))))),2)</f>
        <v>215512.8</v>
      </c>
      <c r="G28" s="65"/>
      <c r="H28" s="66" cm="1">
        <f t="array" ref="H28">I$28*(100/111)</f>
        <v>89874324.32432429</v>
      </c>
      <c r="I28" s="68">
        <v>99760500</v>
      </c>
      <c r="J28" s="67"/>
      <c r="K28" t="str" s="67" cm="1">
        <f t="array" ref="K28">"Jumlah Terkena Pajak "&amp;MAX(K3:K26)&amp;"% (B)"</f>
        <v>Jumlah Terkena Pajak 11,00% (B)</v>
      </c>
      <c r="L28" s="68" cm="1">
        <f t="array" ref="L28">SUMIF($K3:$K26,"&gt;0",L3:L26)</f>
        <v>89874000</v>
      </c>
      <c r="M28" s="69" cm="1">
        <f t="array" ref="M28">SUMIF($K3:$K26,"&gt;0",M3:M26)</f>
        <v>89797000</v>
      </c>
      <c r="N28" s="69" cm="1">
        <f t="array" ref="N28">SUMIF($K3:$K26,"&gt;0",N3:N26)</f>
        <v>89797000</v>
      </c>
    </row>
    <row r="29" ht="21" customHeight="1">
      <c r="A29" s="70"/>
      <c r="B29" s="71"/>
      <c r="C29" s="71"/>
      <c r="D29" s="72"/>
      <c r="E29" s="72"/>
      <c r="F29" s="71"/>
      <c r="G29" s="72"/>
      <c r="H29" s="72"/>
      <c r="I29" s="74" cm="1">
        <f t="array" ref="I29">A$28+I$28</f>
        <v>99999925.2</v>
      </c>
      <c r="J29" s="73"/>
      <c r="K29" t="str" s="73" cm="1">
        <f t="array" ref="K29">"PPN (C) = "&amp;MAX(K3:K26)&amp;"% x B"</f>
        <v>PPN (C) = 11,00% x B</v>
      </c>
      <c r="L29" s="74" cm="1">
        <f t="array" ref="L29">L28*MAX($K3:$K26)%</f>
        <v>9886140</v>
      </c>
      <c r="M29" s="69" cm="1">
        <f t="array" ref="M29">M28*MAX($K3:$K26)%</f>
        <v>9877670</v>
      </c>
      <c r="N29" s="69" cm="1">
        <f t="array" ref="N29">N28*MAX($K3:$K26)%</f>
        <v>9877670</v>
      </c>
    </row>
    <row r="30" ht="21" customHeight="1">
      <c r="A30" s="70"/>
      <c r="B30" s="71"/>
      <c r="C30" s="71"/>
      <c r="D30" s="72"/>
      <c r="E30" s="72"/>
      <c r="F30" s="72"/>
      <c r="G30" s="72"/>
      <c r="H30" s="72"/>
      <c r="I30" s="71"/>
      <c r="J30" s="73"/>
      <c r="K30" t="s" s="75">
        <v>42</v>
      </c>
      <c r="L30" s="76" cm="1">
        <f t="array" ref="L30">L27+L29</f>
        <v>99975837.59999999</v>
      </c>
      <c r="M30" s="69" cm="1">
        <f t="array" ref="M30">M27+M29</f>
        <v>99890270</v>
      </c>
      <c r="N30" s="69" cm="1">
        <f t="array" ref="N30">N27+N29</f>
        <v>99890270</v>
      </c>
    </row>
    <row r="31" ht="20.5" customHeight="1">
      <c r="A31" s="70"/>
      <c r="B31" s="71"/>
      <c r="C31" s="71"/>
      <c r="D31" s="72"/>
      <c r="E31" s="72"/>
      <c r="F31" s="72"/>
      <c r="G31" s="72"/>
      <c r="H31" s="72"/>
      <c r="I31" s="71"/>
      <c r="J31" s="73"/>
      <c r="K31" t="s" s="75">
        <v>43</v>
      </c>
      <c r="L31" s="68" cm="1">
        <f t="array" ref="L31">ROUNDDOWN(L30,2)</f>
        <v>99975837.59999999</v>
      </c>
      <c r="M31" s="68" cm="1">
        <f t="array" ref="M31">ROUNDDOWN(M30,2)</f>
        <v>99890270</v>
      </c>
      <c r="N31" s="68" cm="1">
        <f t="array" ref="N31">ROUNDDOWN(N30,-3)</f>
        <v>99890000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39.xml><?xml version="1.0" encoding="utf-8"?>
<worksheet xmlns:r="http://schemas.openxmlformats.org/officeDocument/2006/relationships" xmlns="http://schemas.openxmlformats.org/spreadsheetml/2006/main">
  <sheetPr>
    <pageSetUpPr fitToPage="1"/>
  </sheetPr>
  <dimension ref="A1:N31"/>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153" customWidth="1"/>
    <col min="2" max="2" width="43.0312" style="153" customWidth="1"/>
    <col min="3" max="3" width="2.75" style="153" customWidth="1"/>
    <col min="4" max="6" width="10.3672" style="153" customWidth="1"/>
    <col min="7" max="7" width="11.6875" style="153" customWidth="1"/>
    <col min="8" max="11" width="13.5156" style="153" customWidth="1"/>
    <col min="12" max="14" width="14.2344" style="153" customWidth="1"/>
    <col min="15" max="16384" width="16.3516" style="153"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109</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s="95">
        <v>1</v>
      </c>
      <c r="B4" t="s" s="19">
        <v>110</v>
      </c>
      <c r="C4" s="20"/>
      <c r="D4" s="21">
        <v>1</v>
      </c>
      <c r="E4" s="21" cm="1">
        <f t="array" ref="E4">D4</f>
        <v>1</v>
      </c>
      <c r="F4" s="21" cm="1">
        <f t="array" ref="F4">D4</f>
        <v>1</v>
      </c>
      <c r="G4" t="s" s="22">
        <v>19</v>
      </c>
      <c r="H4" s="21" cm="1">
        <f t="array" ref="H4">ROUNDDOWN((99760500*0.1)*100/111,-2)</f>
        <v>8987400</v>
      </c>
      <c r="I4" s="21">
        <v>8987000</v>
      </c>
      <c r="J4" s="21">
        <v>8987000</v>
      </c>
      <c r="K4" s="21">
        <v>11</v>
      </c>
      <c r="L4" s="21" cm="1">
        <f t="array" ref="L4">IF(D4&gt;0,IF($D4&lt;=0,0,D4*H4),"")</f>
        <v>8987400</v>
      </c>
      <c r="M4" s="21" cm="1">
        <f t="array" ref="M4">IF(E4&gt;0,IF($D4&lt;=0,0,ROUND(E4*I4,2)),"")</f>
        <v>8987000</v>
      </c>
      <c r="N4" s="23" cm="1">
        <f t="array" ref="N4">IF(F4&gt;0,IF($D4&lt;=0,0,ROUND(F4*J4,2)),"")</f>
        <v>8987000</v>
      </c>
    </row>
    <row r="5" ht="20.5" customHeight="1">
      <c r="A5" s="95">
        <v>2</v>
      </c>
      <c r="B5" t="s" s="19">
        <v>111</v>
      </c>
      <c r="C5" s="24"/>
      <c r="D5" s="26">
        <v>1</v>
      </c>
      <c r="E5" s="26" cm="1">
        <f t="array" ref="E5">D5</f>
        <v>1</v>
      </c>
      <c r="F5" s="26" cm="1">
        <f t="array" ref="F5">D5</f>
        <v>1</v>
      </c>
      <c r="G5" t="s" s="27">
        <v>19</v>
      </c>
      <c r="H5" s="26" cm="1">
        <f t="array" ref="H5">ROUNDDOWN((99760500*0.2)*100/111,-2)</f>
        <v>17974800</v>
      </c>
      <c r="I5" s="26">
        <v>17974000</v>
      </c>
      <c r="J5" s="26">
        <v>17974000</v>
      </c>
      <c r="K5" s="26">
        <v>11</v>
      </c>
      <c r="L5" s="26" cm="1">
        <f t="array" ref="L5">IF(D5&gt;0,IF($D5&lt;=0,0,D5*H5),"")</f>
        <v>17974800</v>
      </c>
      <c r="M5" s="26" cm="1">
        <f t="array" ref="M5">IF(E5&gt;0,IF($D5&lt;=0,0,ROUND(E5*I5,2)),"")</f>
        <v>17974000</v>
      </c>
      <c r="N5" s="28" cm="1">
        <f t="array" ref="N5">IF(F5&gt;0,IF($D5&lt;=0,0,ROUND(F5*J5,2)),"")</f>
        <v>17974000</v>
      </c>
    </row>
    <row r="6" ht="20.5" customHeight="1">
      <c r="A6" s="95">
        <v>3</v>
      </c>
      <c r="B6" t="s" s="19">
        <v>112</v>
      </c>
      <c r="C6" s="20"/>
      <c r="D6" s="21">
        <v>1</v>
      </c>
      <c r="E6" s="21" cm="1">
        <f t="array" ref="E6">D6</f>
        <v>1</v>
      </c>
      <c r="F6" s="21" cm="1">
        <f t="array" ref="F6">D6</f>
        <v>1</v>
      </c>
      <c r="G6" t="s" s="22">
        <v>19</v>
      </c>
      <c r="H6" s="21" cm="1">
        <f t="array" ref="H6">ROUNDDOWN((99760500*0.25)*100/111,-2)</f>
        <v>22468500</v>
      </c>
      <c r="I6" s="21">
        <v>22468000</v>
      </c>
      <c r="J6" s="21">
        <v>22468000</v>
      </c>
      <c r="K6" s="21">
        <v>11</v>
      </c>
      <c r="L6" s="21" cm="1">
        <f t="array" ref="L6">IF(D6&gt;0,IF($D6&lt;=0,0,D6*H6),"")</f>
        <v>22468500</v>
      </c>
      <c r="M6" s="21" cm="1">
        <f t="array" ref="M6">IF(E6&gt;0,IF($D6&lt;=0,0,ROUND(E6*I6,2)),"")</f>
        <v>22468000</v>
      </c>
      <c r="N6" s="23" cm="1">
        <f t="array" ref="N6">IF(F6&gt;0,IF($D6&lt;=0,0,ROUND(F6*J6,2)),"")</f>
        <v>22468000</v>
      </c>
    </row>
    <row r="7" ht="68.5" customHeight="1">
      <c r="A7" s="95">
        <v>5</v>
      </c>
      <c r="B7" t="s" s="19">
        <v>113</v>
      </c>
      <c r="C7" s="24"/>
      <c r="D7" s="26">
        <v>1</v>
      </c>
      <c r="E7" s="26" cm="1">
        <f t="array" ref="E7">D7</f>
        <v>1</v>
      </c>
      <c r="F7" s="26" cm="1">
        <f t="array" ref="F7">D7</f>
        <v>1</v>
      </c>
      <c r="G7" t="s" s="27">
        <v>19</v>
      </c>
      <c r="H7" s="26" cm="1">
        <f t="array" ref="H7">ROUNDDOWN((99760500*0.25)*100/111,-2)</f>
        <v>22468500</v>
      </c>
      <c r="I7" s="26">
        <v>22468000</v>
      </c>
      <c r="J7" s="26">
        <v>22468000</v>
      </c>
      <c r="K7" s="26">
        <v>11</v>
      </c>
      <c r="L7" s="26" cm="1">
        <f t="array" ref="L7">IF(D7&gt;0,IF($D7&lt;=0,0,D7*H7),"")</f>
        <v>22468500</v>
      </c>
      <c r="M7" s="26" cm="1">
        <f t="array" ref="M7">IF(E7&gt;0,IF($D7&lt;=0,0,ROUND(E7*I7,2)),"")</f>
        <v>22468000</v>
      </c>
      <c r="N7" s="28" cm="1">
        <f t="array" ref="N7">IF(F7&gt;0,IF($D7&lt;=0,0,ROUND(F7*J7,2)),"")</f>
        <v>22468000</v>
      </c>
    </row>
    <row r="8" ht="32.5" customHeight="1">
      <c r="A8" s="95">
        <v>6</v>
      </c>
      <c r="B8" t="s" s="19">
        <v>114</v>
      </c>
      <c r="C8" s="20"/>
      <c r="D8" s="21">
        <v>1</v>
      </c>
      <c r="E8" s="21" cm="1">
        <f t="array" ref="E8">D8</f>
        <v>1</v>
      </c>
      <c r="F8" s="21" cm="1">
        <f t="array" ref="F8">D8</f>
        <v>1</v>
      </c>
      <c r="G8" t="s" s="22">
        <v>19</v>
      </c>
      <c r="H8" s="21" cm="1">
        <f t="array" ref="H8">ROUNDDOWN((99760500*0.05)*100/111,-2)</f>
        <v>4493700</v>
      </c>
      <c r="I8" s="21">
        <v>4450000</v>
      </c>
      <c r="J8" s="21">
        <v>4450000</v>
      </c>
      <c r="K8" s="21">
        <v>11</v>
      </c>
      <c r="L8" s="21" cm="1">
        <f t="array" ref="L8">IF(D8&gt;0,IF($D8&lt;=0,0,D8*H8),"")</f>
        <v>4493700</v>
      </c>
      <c r="M8" s="21" cm="1">
        <f t="array" ref="M8">IF(E8&gt;0,IF($D8&lt;=0,0,ROUND(E8*I8,2)),"")</f>
        <v>4450000</v>
      </c>
      <c r="N8" s="23" cm="1">
        <f t="array" ref="N8">IF(F8&gt;0,IF($D8&lt;=0,0,ROUND(F8*J8,2)),"")</f>
        <v>4450000</v>
      </c>
    </row>
    <row r="9" ht="20.5" customHeight="1">
      <c r="A9" s="95">
        <v>7</v>
      </c>
      <c r="B9" t="s" s="19">
        <v>115</v>
      </c>
      <c r="C9" s="24"/>
      <c r="D9" s="26">
        <v>1</v>
      </c>
      <c r="E9" s="26" cm="1">
        <f t="array" ref="E9">D9</f>
        <v>1</v>
      </c>
      <c r="F9" s="26" cm="1">
        <f t="array" ref="F9">D9</f>
        <v>1</v>
      </c>
      <c r="G9" t="s" s="27">
        <v>19</v>
      </c>
      <c r="H9" s="26" cm="1">
        <f t="array" ref="H9">ROUNDDOWN((99760500*0.15)*100/111,-2)</f>
        <v>13481100</v>
      </c>
      <c r="I9" s="26">
        <v>13450000</v>
      </c>
      <c r="J9" s="26">
        <v>13450000</v>
      </c>
      <c r="K9" s="26">
        <v>11</v>
      </c>
      <c r="L9" s="26" cm="1">
        <f t="array" ref="L9">IF(D9&gt;0,IF($D9&lt;=0,0,D9*H9),"")</f>
        <v>13481100</v>
      </c>
      <c r="M9" s="26" cm="1">
        <f t="array" ref="M9">IF(E9&gt;0,IF($D9&lt;=0,0,ROUND(E9*I9,2)),"")</f>
        <v>13450000</v>
      </c>
      <c r="N9" s="28" cm="1">
        <f t="array" ref="N9">IF(F9&gt;0,IF($D9&lt;=0,0,ROUND(F9*J9,2)),"")</f>
        <v>13450000</v>
      </c>
    </row>
    <row r="10" ht="20.6" customHeight="1">
      <c r="A10" s="33">
        <v>8</v>
      </c>
      <c r="B10" t="s" s="34">
        <v>37</v>
      </c>
      <c r="C10" s="35"/>
      <c r="D10" s="36">
        <v>1</v>
      </c>
      <c r="E10" s="36" cm="1">
        <f t="array" ref="E10">D10</f>
        <v>1</v>
      </c>
      <c r="F10" s="36" cm="1">
        <f t="array" ref="F10">D10</f>
        <v>1</v>
      </c>
      <c r="G10" t="s" s="37">
        <v>19</v>
      </c>
      <c r="H10" s="36">
        <v>215697.6</v>
      </c>
      <c r="I10" s="36">
        <v>215600</v>
      </c>
      <c r="J10" s="36">
        <v>215600</v>
      </c>
      <c r="K10" s="36">
        <v>0</v>
      </c>
      <c r="L10" s="36" cm="1">
        <f t="array" ref="L10">IF(D10&gt;0,IF($D10&lt;=0,0,D10*H10),"")</f>
        <v>215697.6</v>
      </c>
      <c r="M10" s="36" cm="1">
        <f t="array" ref="M10">IF(E10&gt;0,IF($D10&lt;=0,0,ROUND(E10*I10,2)),"")</f>
        <v>215600</v>
      </c>
      <c r="N10" s="38" cm="1">
        <f t="array" ref="N10">IF(F10&gt;0,IF($D10&lt;=0,0,ROUND(F10*J10,2)),"")</f>
        <v>215600</v>
      </c>
    </row>
    <row r="11" ht="8.75" customHeight="1" hidden="1">
      <c r="A11" s="39"/>
      <c r="B11" s="40"/>
      <c r="C11" s="41"/>
      <c r="D11" s="42"/>
      <c r="E11" s="42"/>
      <c r="F11" s="42"/>
      <c r="G11" s="43"/>
      <c r="H11" s="42"/>
      <c r="I11" s="42"/>
      <c r="J11" s="42"/>
      <c r="K11" s="42"/>
      <c r="L11" s="42"/>
      <c r="M11" s="42"/>
      <c r="N11" s="44"/>
    </row>
    <row r="12" ht="8.75" customHeight="1" hidden="1">
      <c r="A12" s="39"/>
      <c r="B12" s="40"/>
      <c r="C12" s="45"/>
      <c r="D12" s="46"/>
      <c r="E12" s="46"/>
      <c r="F12" s="46"/>
      <c r="G12" s="47"/>
      <c r="H12" s="46"/>
      <c r="I12" s="46"/>
      <c r="J12" s="46"/>
      <c r="K12" s="46"/>
      <c r="L12" s="46"/>
      <c r="M12" s="46"/>
      <c r="N12" s="48"/>
    </row>
    <row r="13" ht="8.75" customHeight="1" hidden="1">
      <c r="A13" s="39"/>
      <c r="B13" s="40"/>
      <c r="C13" s="41"/>
      <c r="D13" s="42"/>
      <c r="E13" s="42"/>
      <c r="F13" s="42"/>
      <c r="G13" s="43"/>
      <c r="H13" s="42"/>
      <c r="I13" s="42"/>
      <c r="J13" s="42"/>
      <c r="K13" s="42"/>
      <c r="L13" s="42"/>
      <c r="M13" s="42"/>
      <c r="N13" s="44"/>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2"/>
      <c r="I15" s="42"/>
      <c r="J15" s="42"/>
      <c r="K15" s="42"/>
      <c r="L15" s="42"/>
      <c r="M15" s="42"/>
      <c r="N15" s="44"/>
    </row>
    <row r="16" ht="8.75" customHeight="1" hidden="1">
      <c r="A16" s="39"/>
      <c r="B16" s="40"/>
      <c r="C16" s="45"/>
      <c r="D16" s="46"/>
      <c r="E16" s="46"/>
      <c r="F16" s="46"/>
      <c r="G16" s="47"/>
      <c r="H16" s="46"/>
      <c r="I16" s="46"/>
      <c r="J16" s="46"/>
      <c r="K16" s="46"/>
      <c r="L16" s="46"/>
      <c r="M16" s="46"/>
      <c r="N16" s="48"/>
    </row>
    <row r="17" ht="8.75" customHeight="1" hidden="1">
      <c r="A17" s="39"/>
      <c r="B17" s="40"/>
      <c r="C17" s="41"/>
      <c r="D17" s="42"/>
      <c r="E17" s="42"/>
      <c r="F17" s="42"/>
      <c r="G17" s="43"/>
      <c r="H17" s="43"/>
      <c r="I17" s="43"/>
      <c r="J17" s="43"/>
      <c r="K17" s="42"/>
      <c r="L17" s="43"/>
      <c r="M17" s="43"/>
      <c r="N17" s="49"/>
    </row>
    <row r="18" ht="8.75" customHeight="1" hidden="1">
      <c r="A18" s="39"/>
      <c r="B18" s="40"/>
      <c r="C18" s="45"/>
      <c r="D18" s="46"/>
      <c r="E18" s="46"/>
      <c r="F18" s="46"/>
      <c r="G18" s="47"/>
      <c r="H18" s="50"/>
      <c r="I18" s="50"/>
      <c r="J18" s="50"/>
      <c r="K18" s="46"/>
      <c r="L18" s="46"/>
      <c r="M18" s="46"/>
      <c r="N18" s="48"/>
    </row>
    <row r="19" ht="8.75" customHeight="1" hidden="1">
      <c r="A19" s="39"/>
      <c r="B19" s="40"/>
      <c r="C19" s="41"/>
      <c r="D19" s="42"/>
      <c r="E19" s="42"/>
      <c r="F19" s="42"/>
      <c r="G19" s="43"/>
      <c r="H19" s="43"/>
      <c r="I19" s="43"/>
      <c r="J19" s="43"/>
      <c r="K19" s="42"/>
      <c r="L19" s="43"/>
      <c r="M19" s="43"/>
      <c r="N19" s="49"/>
    </row>
    <row r="20" ht="8.75" customHeight="1" hidden="1">
      <c r="A20" s="39"/>
      <c r="B20" s="40"/>
      <c r="C20" s="45"/>
      <c r="D20" s="46"/>
      <c r="E20" s="46"/>
      <c r="F20" s="46"/>
      <c r="G20" s="47"/>
      <c r="H20" s="46"/>
      <c r="I20" s="46"/>
      <c r="J20" s="46"/>
      <c r="K20" s="46"/>
      <c r="L20" s="46"/>
      <c r="M20" s="46"/>
      <c r="N20" s="48"/>
    </row>
    <row r="21" ht="8.75" customHeight="1" hidden="1">
      <c r="A21" s="39"/>
      <c r="B21" s="40"/>
      <c r="C21" s="41"/>
      <c r="D21" s="42"/>
      <c r="E21" s="42"/>
      <c r="F21" s="42"/>
      <c r="G21" s="43"/>
      <c r="H21" s="42"/>
      <c r="I21" s="42"/>
      <c r="J21" s="42"/>
      <c r="K21" s="42"/>
      <c r="L21" s="42"/>
      <c r="M21" s="42"/>
      <c r="N21" s="44"/>
    </row>
    <row r="22" ht="8.75" customHeight="1" hidden="1">
      <c r="A22" s="51"/>
      <c r="B22" s="40"/>
      <c r="C22" s="45"/>
      <c r="D22" s="46"/>
      <c r="E22" s="46"/>
      <c r="F22" s="46"/>
      <c r="G22" s="47"/>
      <c r="H22" s="46"/>
      <c r="I22" s="46"/>
      <c r="J22" s="46"/>
      <c r="K22" s="46"/>
      <c r="L22" s="46"/>
      <c r="M22" s="46"/>
      <c r="N22" s="48"/>
    </row>
    <row r="23" ht="8.75" customHeight="1" hidden="1">
      <c r="A23" s="51"/>
      <c r="B23" s="40"/>
      <c r="C23" s="41"/>
      <c r="D23" s="42"/>
      <c r="E23" s="42"/>
      <c r="F23" s="42"/>
      <c r="G23" s="43"/>
      <c r="H23" s="42"/>
      <c r="I23" s="42"/>
      <c r="J23" s="42"/>
      <c r="K23" s="42"/>
      <c r="L23" s="42"/>
      <c r="M23" s="42"/>
      <c r="N23" s="44"/>
    </row>
    <row r="24" ht="8.75" customHeight="1" hidden="1">
      <c r="A24" s="39"/>
      <c r="B24" s="40"/>
      <c r="C24" s="45"/>
      <c r="D24" s="46"/>
      <c r="E24" s="46"/>
      <c r="F24" s="46"/>
      <c r="G24" s="47"/>
      <c r="H24" s="46"/>
      <c r="I24" s="46"/>
      <c r="J24" s="46"/>
      <c r="K24" s="46"/>
      <c r="L24" s="47"/>
      <c r="M24" s="47"/>
      <c r="N24" s="52"/>
    </row>
    <row r="25" ht="8.75" customHeight="1" hidden="1">
      <c r="A25" s="39"/>
      <c r="B25" s="40"/>
      <c r="C25" s="41"/>
      <c r="D25" s="42"/>
      <c r="E25" s="42"/>
      <c r="F25" s="42"/>
      <c r="G25" s="43"/>
      <c r="H25" s="42"/>
      <c r="I25" s="42"/>
      <c r="J25" s="42"/>
      <c r="K25" s="42"/>
      <c r="L25" s="42"/>
      <c r="M25" s="42"/>
      <c r="N25" s="44"/>
    </row>
    <row r="26" ht="8.75" customHeight="1" hidden="1">
      <c r="A26" s="39"/>
      <c r="B26" s="40"/>
      <c r="C26" s="45"/>
      <c r="D26" s="46"/>
      <c r="E26" s="46"/>
      <c r="F26" s="46"/>
      <c r="G26" s="47"/>
      <c r="H26" s="46"/>
      <c r="I26" s="46"/>
      <c r="J26" s="46"/>
      <c r="K26" s="46"/>
      <c r="L26" s="47"/>
      <c r="M26" s="47"/>
      <c r="N26" s="52"/>
    </row>
    <row r="27" ht="20.85" customHeight="1">
      <c r="A27" s="108"/>
      <c r="B27" s="54"/>
      <c r="C27" s="54"/>
      <c r="D27" s="55"/>
      <c r="E27" s="55"/>
      <c r="F27" s="55"/>
      <c r="G27" s="56"/>
      <c r="H27" s="56"/>
      <c r="I27" s="54"/>
      <c r="J27" s="57"/>
      <c r="K27" t="s" s="58">
        <v>38</v>
      </c>
      <c r="L27" s="59" cm="1">
        <f t="array" ref="L27">SUM(L1:L26)</f>
        <v>90089697.59999999</v>
      </c>
      <c r="M27" s="59" cm="1">
        <f t="array" ref="M27">SUM(M1:M26)</f>
        <v>90012600</v>
      </c>
      <c r="N27" s="59" cm="1">
        <f t="array" ref="N27">SUM(N1:N26)</f>
        <v>90012600</v>
      </c>
    </row>
    <row r="28" ht="21" customHeight="1">
      <c r="A28" s="63" cm="1">
        <f t="array" ref="A28">ROUND(IF(I28&lt;=100000000,I28*0.24%,IF(AND(I28&gt;100000000,I28&lt;=500000000),100000000*0.24%+(I28-100000000)*0.19%,IF(AND(I28&gt;500000000,I28&lt;=1000000000),100000000*0.24%+400000000*0.19%+(I28-500000000)*0.15%,IF(AND(I28&gt;1000000000,I28&lt;=5000000000),100000000*0.24%+400000000*0.19%+500000000*0.15%+(I28-1000000000)*0.12%,IF(I28&gt;5000000000,100000000*0.24%+400000000*0.19%+500000000*0.15%+4000000000*0.12%+(I28-5000000000)*0.1%,"Bingung komputer"))))),2)</f>
        <v>239425.2</v>
      </c>
      <c r="B28" t="s" s="109">
        <v>39</v>
      </c>
      <c r="C28" s="62"/>
      <c r="D28" s="63" cm="1">
        <f t="array" ref="D28">ROUND(IF(L28&lt;=100000000,L28*0.24%,IF(AND(L28&gt;100000000,L28&lt;=500000000),100000000*0.24%+(L28-100000000)*0.19%,IF(AND(L28&gt;500000000,L28&lt;=1000000000),100000000*0.24%+400000000*0.19%+(L28-500000000)*0.15%,IF(AND(L28&gt;1000000000,L28&lt;=5000000000),100000000*0.24%+400000000*0.19%+500000000*0.15%+(L28-1000000000)*0.12%,IF(L28&gt;5000000000,100000000*0.24%+400000000*0.19%+500000000*0.15%+4000000000*0.12%+(L28-5000000000)*0.1%,"Bingung komputer"))))),2)</f>
        <v>215697.6</v>
      </c>
      <c r="E28" s="64" cm="1">
        <f t="array" ref="E28">ROUND(IF(M28&lt;=100000000,M28*0.24%,IF(AND(M28&gt;100000000,M28&lt;=500000000),100000000*0.24%+(M28-100000000)*0.19%,IF(AND(M28&gt;500000000,M28&lt;=1000000000),100000000*0.24%+400000000*0.19%+(M28-500000000)*0.15%,IF(AND(M28&gt;1000000000,M28&lt;=5000000000),100000000*0.24%+400000000*0.19%+500000000*0.15%+(M28-1000000000)*0.12%,IF(M28&gt;5000000000,100000000*0.24%+400000000*0.19%+500000000*0.15%+4000000000*0.12%+(M28-5000000000)*0.1%,"Bingung komputer"))))),2)</f>
        <v>215512.8</v>
      </c>
      <c r="F28" s="64" cm="1">
        <f t="array" ref="F28">ROUND(IF(N28&lt;=100000000,N28*0.24%,IF(AND(N28&gt;100000000,N28&lt;=500000000),100000000*0.24%+(N28-100000000)*0.19%,IF(AND(N28&gt;500000000,N28&lt;=1000000000),100000000*0.24%+400000000*0.19%+(N28-500000000)*0.15%,IF(AND(N28&gt;1000000000,N28&lt;=5000000000),100000000*0.24%+400000000*0.19%+500000000*0.15%+(N28-1000000000)*0.12%,IF(N28&gt;5000000000,100000000*0.24%+400000000*0.19%+500000000*0.15%+4000000000*0.12%+(N28-5000000000)*0.1%,"Bingung komputer"))))),2)</f>
        <v>215512.8</v>
      </c>
      <c r="G28" s="65"/>
      <c r="H28" s="66" cm="1">
        <f t="array" ref="H28">I$28*(100/111)</f>
        <v>89874324.32432429</v>
      </c>
      <c r="I28" s="68">
        <v>99760500</v>
      </c>
      <c r="J28" s="67"/>
      <c r="K28" t="str" s="67" cm="1">
        <f t="array" ref="K28">"Jumlah Terkena Pajak "&amp;MAX(K3:K26)&amp;"% (B)"</f>
        <v>Jumlah Terkena Pajak 11,00% (B)</v>
      </c>
      <c r="L28" s="68" cm="1">
        <f t="array" ref="L28">SUMIF($K3:$K26,"&gt;0",L3:L26)</f>
        <v>89874000</v>
      </c>
      <c r="M28" s="69" cm="1">
        <f t="array" ref="M28">SUMIF($K3:$K26,"&gt;0",M3:M26)</f>
        <v>89797000</v>
      </c>
      <c r="N28" s="69" cm="1">
        <f t="array" ref="N28">SUMIF($K3:$K26,"&gt;0",N3:N26)</f>
        <v>89797000</v>
      </c>
    </row>
    <row r="29" ht="21" customHeight="1">
      <c r="A29" s="70"/>
      <c r="B29" s="71"/>
      <c r="C29" s="71"/>
      <c r="D29" s="72"/>
      <c r="E29" s="72"/>
      <c r="F29" s="71"/>
      <c r="G29" s="72"/>
      <c r="H29" s="72"/>
      <c r="I29" s="74" cm="1">
        <f t="array" ref="I29">A$28+I$28</f>
        <v>99999925.2</v>
      </c>
      <c r="J29" s="73"/>
      <c r="K29" t="str" s="73" cm="1">
        <f t="array" ref="K29">"PPN (C) = "&amp;MAX(K3:K26)&amp;"% x B"</f>
        <v>PPN (C) = 11,00% x B</v>
      </c>
      <c r="L29" s="74" cm="1">
        <f t="array" ref="L29">L28*MAX($K3:$K26)%</f>
        <v>9886140</v>
      </c>
      <c r="M29" s="69" cm="1">
        <f t="array" ref="M29">M28*MAX($K3:$K26)%</f>
        <v>9877670</v>
      </c>
      <c r="N29" s="69" cm="1">
        <f t="array" ref="N29">N28*MAX($K3:$K26)%</f>
        <v>9877670</v>
      </c>
    </row>
    <row r="30" ht="21" customHeight="1">
      <c r="A30" s="70"/>
      <c r="B30" s="71"/>
      <c r="C30" s="71"/>
      <c r="D30" s="72"/>
      <c r="E30" s="72"/>
      <c r="F30" s="72"/>
      <c r="G30" s="72"/>
      <c r="H30" s="72"/>
      <c r="I30" s="71"/>
      <c r="J30" s="73"/>
      <c r="K30" t="s" s="75">
        <v>42</v>
      </c>
      <c r="L30" s="76" cm="1">
        <f t="array" ref="L30">L27+L29</f>
        <v>99975837.59999999</v>
      </c>
      <c r="M30" s="69" cm="1">
        <f t="array" ref="M30">M27+M29</f>
        <v>99890270</v>
      </c>
      <c r="N30" s="69" cm="1">
        <f t="array" ref="N30">N27+N29</f>
        <v>99890270</v>
      </c>
    </row>
    <row r="31" ht="20.5" customHeight="1">
      <c r="A31" s="70"/>
      <c r="B31" s="71"/>
      <c r="C31" s="71"/>
      <c r="D31" s="72"/>
      <c r="E31" s="72"/>
      <c r="F31" s="72"/>
      <c r="G31" s="72"/>
      <c r="H31" s="72"/>
      <c r="I31" s="71"/>
      <c r="J31" s="73"/>
      <c r="K31" t="s" s="75">
        <v>43</v>
      </c>
      <c r="L31" s="68" cm="1">
        <f t="array" ref="L31">ROUNDDOWN(L30,2)</f>
        <v>99975837.59999999</v>
      </c>
      <c r="M31" s="68" cm="1">
        <f t="array" ref="M31">ROUNDDOWN(M30,2)</f>
        <v>99890270</v>
      </c>
      <c r="N31" s="68" cm="1">
        <f t="array" ref="N31">ROUNDDOWN(N30,-3)</f>
        <v>99890000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40.xml><?xml version="1.0" encoding="utf-8"?>
<worksheet xmlns:r="http://schemas.openxmlformats.org/officeDocument/2006/relationships" xmlns="http://schemas.openxmlformats.org/spreadsheetml/2006/main">
  <sheetPr>
    <pageSetUpPr fitToPage="1"/>
  </sheetPr>
  <dimension ref="A1:N31"/>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154" customWidth="1"/>
    <col min="2" max="2" width="43.0312" style="154" customWidth="1"/>
    <col min="3" max="3" width="2.75" style="154" customWidth="1"/>
    <col min="4" max="6" width="10.3672" style="154" customWidth="1"/>
    <col min="7" max="7" width="11.6875" style="154" customWidth="1"/>
    <col min="8" max="11" width="13.5156" style="154" customWidth="1"/>
    <col min="12" max="14" width="14.2344" style="154" customWidth="1"/>
    <col min="15" max="16384" width="16.3516" style="154"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109</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s="95">
        <v>1</v>
      </c>
      <c r="B4" t="s" s="19">
        <v>110</v>
      </c>
      <c r="C4" s="20"/>
      <c r="D4" s="21">
        <v>1</v>
      </c>
      <c r="E4" s="21" cm="1">
        <f t="array" ref="E4">D4</f>
        <v>1</v>
      </c>
      <c r="F4" s="21" cm="1">
        <f t="array" ref="F4">D4</f>
        <v>1</v>
      </c>
      <c r="G4" t="s" s="22">
        <v>19</v>
      </c>
      <c r="H4" s="21" cm="1">
        <f t="array" ref="H4">ROUNDDOWN((99760500*0.1)*100/111,-2)</f>
        <v>8987400</v>
      </c>
      <c r="I4" s="21">
        <v>8988000</v>
      </c>
      <c r="J4" s="21">
        <v>8988000</v>
      </c>
      <c r="K4" s="21">
        <v>11</v>
      </c>
      <c r="L4" s="21" cm="1">
        <f t="array" ref="L4">IF(D4&gt;0,IF($D4&lt;=0,0,D4*H4),"")</f>
        <v>8987400</v>
      </c>
      <c r="M4" s="21" cm="1">
        <f t="array" ref="M4">IF(E4&gt;0,IF($D4&lt;=0,0,ROUND(E4*I4,2)),"")</f>
        <v>8988000</v>
      </c>
      <c r="N4" s="23" cm="1">
        <f t="array" ref="N4">IF(F4&gt;0,IF($D4&lt;=0,0,ROUND(F4*J4,2)),"")</f>
        <v>8988000</v>
      </c>
    </row>
    <row r="5" ht="20.5" customHeight="1">
      <c r="A5" s="95">
        <v>2</v>
      </c>
      <c r="B5" t="s" s="19">
        <v>111</v>
      </c>
      <c r="C5" s="24"/>
      <c r="D5" s="26">
        <v>1</v>
      </c>
      <c r="E5" s="26" cm="1">
        <f t="array" ref="E5">D5</f>
        <v>1</v>
      </c>
      <c r="F5" s="26" cm="1">
        <f t="array" ref="F5">D5</f>
        <v>1</v>
      </c>
      <c r="G5" t="s" s="27">
        <v>19</v>
      </c>
      <c r="H5" s="26" cm="1">
        <f t="array" ref="H5">ROUNDDOWN((99760500*0.2)*100/111,-2)</f>
        <v>17974800</v>
      </c>
      <c r="I5" s="26">
        <v>17974000</v>
      </c>
      <c r="J5" s="26">
        <v>17974000</v>
      </c>
      <c r="K5" s="26">
        <v>11</v>
      </c>
      <c r="L5" s="26" cm="1">
        <f t="array" ref="L5">IF(D5&gt;0,IF($D5&lt;=0,0,D5*H5),"")</f>
        <v>17974800</v>
      </c>
      <c r="M5" s="26" cm="1">
        <f t="array" ref="M5">IF(E5&gt;0,IF($D5&lt;=0,0,ROUND(E5*I5,2)),"")</f>
        <v>17974000</v>
      </c>
      <c r="N5" s="28" cm="1">
        <f t="array" ref="N5">IF(F5&gt;0,IF($D5&lt;=0,0,ROUND(F5*J5,2)),"")</f>
        <v>17974000</v>
      </c>
    </row>
    <row r="6" ht="20.5" customHeight="1">
      <c r="A6" s="95">
        <v>3</v>
      </c>
      <c r="B6" t="s" s="19">
        <v>112</v>
      </c>
      <c r="C6" s="20"/>
      <c r="D6" s="21">
        <v>1</v>
      </c>
      <c r="E6" s="21" cm="1">
        <f t="array" ref="E6">D6</f>
        <v>1</v>
      </c>
      <c r="F6" s="21" cm="1">
        <f t="array" ref="F6">D6</f>
        <v>1</v>
      </c>
      <c r="G6" t="s" s="22">
        <v>19</v>
      </c>
      <c r="H6" s="21" cm="1">
        <f t="array" ref="H6">ROUNDDOWN((99760500*0.25)*100/111,-2)</f>
        <v>22468500</v>
      </c>
      <c r="I6" s="21">
        <v>22470000</v>
      </c>
      <c r="J6" s="21">
        <v>22470000</v>
      </c>
      <c r="K6" s="21">
        <v>11</v>
      </c>
      <c r="L6" s="21" cm="1">
        <f t="array" ref="L6">IF(D6&gt;0,IF($D6&lt;=0,0,D6*H6),"")</f>
        <v>22468500</v>
      </c>
      <c r="M6" s="21" cm="1">
        <f t="array" ref="M6">IF(E6&gt;0,IF($D6&lt;=0,0,ROUND(E6*I6,2)),"")</f>
        <v>22470000</v>
      </c>
      <c r="N6" s="23" cm="1">
        <f t="array" ref="N6">IF(F6&gt;0,IF($D6&lt;=0,0,ROUND(F6*J6,2)),"")</f>
        <v>22470000</v>
      </c>
    </row>
    <row r="7" ht="68.5" customHeight="1">
      <c r="A7" s="95">
        <v>5</v>
      </c>
      <c r="B7" t="s" s="19">
        <v>113</v>
      </c>
      <c r="C7" s="24"/>
      <c r="D7" s="26">
        <v>1</v>
      </c>
      <c r="E7" s="26" cm="1">
        <f t="array" ref="E7">D7</f>
        <v>1</v>
      </c>
      <c r="F7" s="26" cm="1">
        <f t="array" ref="F7">D7</f>
        <v>1</v>
      </c>
      <c r="G7" t="s" s="27">
        <v>19</v>
      </c>
      <c r="H7" s="26" cm="1">
        <f t="array" ref="H7">ROUNDDOWN((99760500*0.25)*100/111,-2)</f>
        <v>22468500</v>
      </c>
      <c r="I7" s="26">
        <v>22468000</v>
      </c>
      <c r="J7" s="26">
        <v>22468000</v>
      </c>
      <c r="K7" s="26">
        <v>11</v>
      </c>
      <c r="L7" s="26" cm="1">
        <f t="array" ref="L7">IF(D7&gt;0,IF($D7&lt;=0,0,D7*H7),"")</f>
        <v>22468500</v>
      </c>
      <c r="M7" s="26" cm="1">
        <f t="array" ref="M7">IF(E7&gt;0,IF($D7&lt;=0,0,ROUND(E7*I7,2)),"")</f>
        <v>22468000</v>
      </c>
      <c r="N7" s="28" cm="1">
        <f t="array" ref="N7">IF(F7&gt;0,IF($D7&lt;=0,0,ROUND(F7*J7,2)),"")</f>
        <v>22468000</v>
      </c>
    </row>
    <row r="8" ht="32.5" customHeight="1">
      <c r="A8" s="95">
        <v>6</v>
      </c>
      <c r="B8" t="s" s="19">
        <v>114</v>
      </c>
      <c r="C8" s="20"/>
      <c r="D8" s="21">
        <v>1</v>
      </c>
      <c r="E8" s="21" cm="1">
        <f t="array" ref="E8">D8</f>
        <v>1</v>
      </c>
      <c r="F8" s="21" cm="1">
        <f t="array" ref="F8">D8</f>
        <v>1</v>
      </c>
      <c r="G8" t="s" s="22">
        <v>19</v>
      </c>
      <c r="H8" s="21" cm="1">
        <f t="array" ref="H8">ROUNDDOWN((99760500*0.05)*100/111,-2)</f>
        <v>4493700</v>
      </c>
      <c r="I8" s="21">
        <v>4450000</v>
      </c>
      <c r="J8" s="21">
        <v>4450000</v>
      </c>
      <c r="K8" s="21">
        <v>11</v>
      </c>
      <c r="L8" s="21" cm="1">
        <f t="array" ref="L8">IF(D8&gt;0,IF($D8&lt;=0,0,D8*H8),"")</f>
        <v>4493700</v>
      </c>
      <c r="M8" s="21" cm="1">
        <f t="array" ref="M8">IF(E8&gt;0,IF($D8&lt;=0,0,ROUND(E8*I8,2)),"")</f>
        <v>4450000</v>
      </c>
      <c r="N8" s="23" cm="1">
        <f t="array" ref="N8">IF(F8&gt;0,IF($D8&lt;=0,0,ROUND(F8*J8,2)),"")</f>
        <v>4450000</v>
      </c>
    </row>
    <row r="9" ht="20.5" customHeight="1">
      <c r="A9" s="95">
        <v>7</v>
      </c>
      <c r="B9" t="s" s="19">
        <v>115</v>
      </c>
      <c r="C9" s="24"/>
      <c r="D9" s="26">
        <v>1</v>
      </c>
      <c r="E9" s="26" cm="1">
        <f t="array" ref="E9">D9</f>
        <v>1</v>
      </c>
      <c r="F9" s="26" cm="1">
        <f t="array" ref="F9">D9</f>
        <v>1</v>
      </c>
      <c r="G9" t="s" s="27">
        <v>19</v>
      </c>
      <c r="H9" s="26" cm="1">
        <f t="array" ref="H9">ROUNDDOWN((99760500*0.15)*100/111,-2)</f>
        <v>13481100</v>
      </c>
      <c r="I9" s="26">
        <v>13470000</v>
      </c>
      <c r="J9" s="26">
        <v>13470000</v>
      </c>
      <c r="K9" s="26">
        <v>11</v>
      </c>
      <c r="L9" s="26" cm="1">
        <f t="array" ref="L9">IF(D9&gt;0,IF($D9&lt;=0,0,D9*H9),"")</f>
        <v>13481100</v>
      </c>
      <c r="M9" s="26" cm="1">
        <f t="array" ref="M9">IF(E9&gt;0,IF($D9&lt;=0,0,ROUND(E9*I9,2)),"")</f>
        <v>13470000</v>
      </c>
      <c r="N9" s="28" cm="1">
        <f t="array" ref="N9">IF(F9&gt;0,IF($D9&lt;=0,0,ROUND(F9*J9,2)),"")</f>
        <v>13470000</v>
      </c>
    </row>
    <row r="10" ht="20.6" customHeight="1">
      <c r="A10" s="33">
        <v>8</v>
      </c>
      <c r="B10" t="s" s="34">
        <v>37</v>
      </c>
      <c r="C10" s="35"/>
      <c r="D10" s="36">
        <v>1</v>
      </c>
      <c r="E10" s="36" cm="1">
        <f t="array" ref="E10">D10</f>
        <v>1</v>
      </c>
      <c r="F10" s="36" cm="1">
        <f t="array" ref="F10">D10</f>
        <v>1</v>
      </c>
      <c r="G10" t="s" s="37">
        <v>19</v>
      </c>
      <c r="H10" s="36">
        <v>215697.6</v>
      </c>
      <c r="I10" s="36">
        <v>215600</v>
      </c>
      <c r="J10" s="36">
        <v>215600</v>
      </c>
      <c r="K10" s="36">
        <v>0</v>
      </c>
      <c r="L10" s="36" cm="1">
        <f t="array" ref="L10">IF(D10&gt;0,IF($D10&lt;=0,0,D10*H10),"")</f>
        <v>215697.6</v>
      </c>
      <c r="M10" s="36" cm="1">
        <f t="array" ref="M10">IF(E10&gt;0,IF($D10&lt;=0,0,ROUND(E10*I10,2)),"")</f>
        <v>215600</v>
      </c>
      <c r="N10" s="38" cm="1">
        <f t="array" ref="N10">IF(F10&gt;0,IF($D10&lt;=0,0,ROUND(F10*J10,2)),"")</f>
        <v>215600</v>
      </c>
    </row>
    <row r="11" ht="8.75" customHeight="1" hidden="1">
      <c r="A11" s="39"/>
      <c r="B11" s="40"/>
      <c r="C11" s="41"/>
      <c r="D11" s="42"/>
      <c r="E11" s="42"/>
      <c r="F11" s="42"/>
      <c r="G11" s="43"/>
      <c r="H11" s="42"/>
      <c r="I11" s="42"/>
      <c r="J11" s="42"/>
      <c r="K11" s="42"/>
      <c r="L11" s="42"/>
      <c r="M11" s="42"/>
      <c r="N11" s="44"/>
    </row>
    <row r="12" ht="8.75" customHeight="1" hidden="1">
      <c r="A12" s="39"/>
      <c r="B12" s="40"/>
      <c r="C12" s="45"/>
      <c r="D12" s="46"/>
      <c r="E12" s="46"/>
      <c r="F12" s="46"/>
      <c r="G12" s="47"/>
      <c r="H12" s="46"/>
      <c r="I12" s="46"/>
      <c r="J12" s="46"/>
      <c r="K12" s="46"/>
      <c r="L12" s="46"/>
      <c r="M12" s="46"/>
      <c r="N12" s="48"/>
    </row>
    <row r="13" ht="8.75" customHeight="1" hidden="1">
      <c r="A13" s="39"/>
      <c r="B13" s="40"/>
      <c r="C13" s="41"/>
      <c r="D13" s="42"/>
      <c r="E13" s="42"/>
      <c r="F13" s="42"/>
      <c r="G13" s="43"/>
      <c r="H13" s="42"/>
      <c r="I13" s="42"/>
      <c r="J13" s="42"/>
      <c r="K13" s="42"/>
      <c r="L13" s="42"/>
      <c r="M13" s="42"/>
      <c r="N13" s="44"/>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2"/>
      <c r="I15" s="42"/>
      <c r="J15" s="42"/>
      <c r="K15" s="42"/>
      <c r="L15" s="42"/>
      <c r="M15" s="42"/>
      <c r="N15" s="44"/>
    </row>
    <row r="16" ht="8.75" customHeight="1" hidden="1">
      <c r="A16" s="39"/>
      <c r="B16" s="40"/>
      <c r="C16" s="45"/>
      <c r="D16" s="46"/>
      <c r="E16" s="46"/>
      <c r="F16" s="46"/>
      <c r="G16" s="47"/>
      <c r="H16" s="46"/>
      <c r="I16" s="46"/>
      <c r="J16" s="46"/>
      <c r="K16" s="46"/>
      <c r="L16" s="46"/>
      <c r="M16" s="46"/>
      <c r="N16" s="48"/>
    </row>
    <row r="17" ht="8.75" customHeight="1" hidden="1">
      <c r="A17" s="39"/>
      <c r="B17" s="40"/>
      <c r="C17" s="41"/>
      <c r="D17" s="42"/>
      <c r="E17" s="42"/>
      <c r="F17" s="42"/>
      <c r="G17" s="43"/>
      <c r="H17" s="43"/>
      <c r="I17" s="43"/>
      <c r="J17" s="43"/>
      <c r="K17" s="42"/>
      <c r="L17" s="43"/>
      <c r="M17" s="43"/>
      <c r="N17" s="49"/>
    </row>
    <row r="18" ht="8.75" customHeight="1" hidden="1">
      <c r="A18" s="39"/>
      <c r="B18" s="40"/>
      <c r="C18" s="45"/>
      <c r="D18" s="46"/>
      <c r="E18" s="46"/>
      <c r="F18" s="46"/>
      <c r="G18" s="47"/>
      <c r="H18" s="50"/>
      <c r="I18" s="50"/>
      <c r="J18" s="50"/>
      <c r="K18" s="46"/>
      <c r="L18" s="46"/>
      <c r="M18" s="46"/>
      <c r="N18" s="48"/>
    </row>
    <row r="19" ht="8.75" customHeight="1" hidden="1">
      <c r="A19" s="39"/>
      <c r="B19" s="40"/>
      <c r="C19" s="41"/>
      <c r="D19" s="42"/>
      <c r="E19" s="42"/>
      <c r="F19" s="42"/>
      <c r="G19" s="43"/>
      <c r="H19" s="43"/>
      <c r="I19" s="43"/>
      <c r="J19" s="43"/>
      <c r="K19" s="42"/>
      <c r="L19" s="43"/>
      <c r="M19" s="43"/>
      <c r="N19" s="49"/>
    </row>
    <row r="20" ht="8.75" customHeight="1" hidden="1">
      <c r="A20" s="39"/>
      <c r="B20" s="40"/>
      <c r="C20" s="45"/>
      <c r="D20" s="46"/>
      <c r="E20" s="46"/>
      <c r="F20" s="46"/>
      <c r="G20" s="47"/>
      <c r="H20" s="46"/>
      <c r="I20" s="46"/>
      <c r="J20" s="46"/>
      <c r="K20" s="46"/>
      <c r="L20" s="46"/>
      <c r="M20" s="46"/>
      <c r="N20" s="48"/>
    </row>
    <row r="21" ht="8.75" customHeight="1" hidden="1">
      <c r="A21" s="39"/>
      <c r="B21" s="40"/>
      <c r="C21" s="41"/>
      <c r="D21" s="42"/>
      <c r="E21" s="42"/>
      <c r="F21" s="42"/>
      <c r="G21" s="43"/>
      <c r="H21" s="42"/>
      <c r="I21" s="42"/>
      <c r="J21" s="42"/>
      <c r="K21" s="42"/>
      <c r="L21" s="42"/>
      <c r="M21" s="42"/>
      <c r="N21" s="44"/>
    </row>
    <row r="22" ht="8.75" customHeight="1" hidden="1">
      <c r="A22" s="51"/>
      <c r="B22" s="40"/>
      <c r="C22" s="45"/>
      <c r="D22" s="46"/>
      <c r="E22" s="46"/>
      <c r="F22" s="46"/>
      <c r="G22" s="47"/>
      <c r="H22" s="46"/>
      <c r="I22" s="46"/>
      <c r="J22" s="46"/>
      <c r="K22" s="46"/>
      <c r="L22" s="46"/>
      <c r="M22" s="46"/>
      <c r="N22" s="48"/>
    </row>
    <row r="23" ht="8.75" customHeight="1" hidden="1">
      <c r="A23" s="51"/>
      <c r="B23" s="40"/>
      <c r="C23" s="41"/>
      <c r="D23" s="42"/>
      <c r="E23" s="42"/>
      <c r="F23" s="42"/>
      <c r="G23" s="43"/>
      <c r="H23" s="42"/>
      <c r="I23" s="42"/>
      <c r="J23" s="42"/>
      <c r="K23" s="42"/>
      <c r="L23" s="42"/>
      <c r="M23" s="42"/>
      <c r="N23" s="44"/>
    </row>
    <row r="24" ht="8.75" customHeight="1" hidden="1">
      <c r="A24" s="39"/>
      <c r="B24" s="40"/>
      <c r="C24" s="45"/>
      <c r="D24" s="46"/>
      <c r="E24" s="46"/>
      <c r="F24" s="46"/>
      <c r="G24" s="47"/>
      <c r="H24" s="46"/>
      <c r="I24" s="46"/>
      <c r="J24" s="46"/>
      <c r="K24" s="46"/>
      <c r="L24" s="47"/>
      <c r="M24" s="47"/>
      <c r="N24" s="52"/>
    </row>
    <row r="25" ht="8.75" customHeight="1" hidden="1">
      <c r="A25" s="39"/>
      <c r="B25" s="40"/>
      <c r="C25" s="41"/>
      <c r="D25" s="42"/>
      <c r="E25" s="42"/>
      <c r="F25" s="42"/>
      <c r="G25" s="43"/>
      <c r="H25" s="42"/>
      <c r="I25" s="42"/>
      <c r="J25" s="42"/>
      <c r="K25" s="42"/>
      <c r="L25" s="42"/>
      <c r="M25" s="42"/>
      <c r="N25" s="44"/>
    </row>
    <row r="26" ht="8.75" customHeight="1" hidden="1">
      <c r="A26" s="39"/>
      <c r="B26" s="40"/>
      <c r="C26" s="45"/>
      <c r="D26" s="46"/>
      <c r="E26" s="46"/>
      <c r="F26" s="46"/>
      <c r="G26" s="47"/>
      <c r="H26" s="46"/>
      <c r="I26" s="46"/>
      <c r="J26" s="46"/>
      <c r="K26" s="46"/>
      <c r="L26" s="47"/>
      <c r="M26" s="47"/>
      <c r="N26" s="52"/>
    </row>
    <row r="27" ht="20.85" customHeight="1">
      <c r="A27" s="108"/>
      <c r="B27" s="54"/>
      <c r="C27" s="54"/>
      <c r="D27" s="55"/>
      <c r="E27" s="55"/>
      <c r="F27" s="55"/>
      <c r="G27" s="56"/>
      <c r="H27" s="56"/>
      <c r="I27" s="54"/>
      <c r="J27" s="57"/>
      <c r="K27" t="s" s="58">
        <v>38</v>
      </c>
      <c r="L27" s="59" cm="1">
        <f t="array" ref="L27">SUM(L1:L26)</f>
        <v>90089697.59999999</v>
      </c>
      <c r="M27" s="59" cm="1">
        <f t="array" ref="M27">SUM(M1:M26)</f>
        <v>90035600</v>
      </c>
      <c r="N27" s="59" cm="1">
        <f t="array" ref="N27">SUM(N1:N26)</f>
        <v>90035600</v>
      </c>
    </row>
    <row r="28" ht="21" customHeight="1">
      <c r="A28" s="63" cm="1">
        <f t="array" ref="A28">ROUND(IF(I28&lt;=100000000,I28*0.24%,IF(AND(I28&gt;100000000,I28&lt;=500000000),100000000*0.24%+(I28-100000000)*0.19%,IF(AND(I28&gt;500000000,I28&lt;=1000000000),100000000*0.24%+400000000*0.19%+(I28-500000000)*0.15%,IF(AND(I28&gt;1000000000,I28&lt;=5000000000),100000000*0.24%+400000000*0.19%+500000000*0.15%+(I28-1000000000)*0.12%,IF(I28&gt;5000000000,100000000*0.24%+400000000*0.19%+500000000*0.15%+4000000000*0.12%+(I28-5000000000)*0.1%,"Bingung komputer"))))),2)</f>
        <v>239425.2</v>
      </c>
      <c r="B28" t="s" s="109">
        <v>39</v>
      </c>
      <c r="C28" s="62"/>
      <c r="D28" s="63" cm="1">
        <f t="array" ref="D28">ROUND(IF(L28&lt;=100000000,L28*0.24%,IF(AND(L28&gt;100000000,L28&lt;=500000000),100000000*0.24%+(L28-100000000)*0.19%,IF(AND(L28&gt;500000000,L28&lt;=1000000000),100000000*0.24%+400000000*0.19%+(L28-500000000)*0.15%,IF(AND(L28&gt;1000000000,L28&lt;=5000000000),100000000*0.24%+400000000*0.19%+500000000*0.15%+(L28-1000000000)*0.12%,IF(L28&gt;5000000000,100000000*0.24%+400000000*0.19%+500000000*0.15%+4000000000*0.12%+(L28-5000000000)*0.1%,"Bingung komputer"))))),2)</f>
        <v>215697.6</v>
      </c>
      <c r="E28" s="64" cm="1">
        <f t="array" ref="E28">ROUND(IF(M28&lt;=100000000,M28*0.24%,IF(AND(M28&gt;100000000,M28&lt;=500000000),100000000*0.24%+(M28-100000000)*0.19%,IF(AND(M28&gt;500000000,M28&lt;=1000000000),100000000*0.24%+400000000*0.19%+(M28-500000000)*0.15%,IF(AND(M28&gt;1000000000,M28&lt;=5000000000),100000000*0.24%+400000000*0.19%+500000000*0.15%+(M28-1000000000)*0.12%,IF(M28&gt;5000000000,100000000*0.24%+400000000*0.19%+500000000*0.15%+4000000000*0.12%+(M28-5000000000)*0.1%,"Bingung komputer"))))),2)</f>
        <v>215568</v>
      </c>
      <c r="F28" s="64" cm="1">
        <f t="array" ref="F28">ROUND(IF(N28&lt;=100000000,N28*0.24%,IF(AND(N28&gt;100000000,N28&lt;=500000000),100000000*0.24%+(N28-100000000)*0.19%,IF(AND(N28&gt;500000000,N28&lt;=1000000000),100000000*0.24%+400000000*0.19%+(N28-500000000)*0.15%,IF(AND(N28&gt;1000000000,N28&lt;=5000000000),100000000*0.24%+400000000*0.19%+500000000*0.15%+(N28-1000000000)*0.12%,IF(N28&gt;5000000000,100000000*0.24%+400000000*0.19%+500000000*0.15%+4000000000*0.12%+(N28-5000000000)*0.1%,"Bingung komputer"))))),2)</f>
        <v>215568</v>
      </c>
      <c r="G28" s="65"/>
      <c r="H28" s="66" cm="1">
        <f t="array" ref="H28">I$28*(100/111)</f>
        <v>89874324.32432429</v>
      </c>
      <c r="I28" s="68">
        <v>99760500</v>
      </c>
      <c r="J28" s="67"/>
      <c r="K28" t="str" s="67" cm="1">
        <f t="array" ref="K28">"Jumlah Terkena Pajak "&amp;MAX(K3:K26)&amp;"% (B)"</f>
        <v>Jumlah Terkena Pajak 11,00% (B)</v>
      </c>
      <c r="L28" s="68" cm="1">
        <f t="array" ref="L28">SUMIF($K3:$K26,"&gt;0",L3:L26)</f>
        <v>89874000</v>
      </c>
      <c r="M28" s="69" cm="1">
        <f t="array" ref="M28">SUMIF($K3:$K26,"&gt;0",M3:M26)</f>
        <v>89820000</v>
      </c>
      <c r="N28" s="69" cm="1">
        <f t="array" ref="N28">SUMIF($K3:$K26,"&gt;0",N3:N26)</f>
        <v>89820000</v>
      </c>
    </row>
    <row r="29" ht="21" customHeight="1">
      <c r="A29" s="70"/>
      <c r="B29" s="71"/>
      <c r="C29" s="71"/>
      <c r="D29" s="72"/>
      <c r="E29" s="72"/>
      <c r="F29" s="71"/>
      <c r="G29" s="72"/>
      <c r="H29" s="72"/>
      <c r="I29" s="74" cm="1">
        <f t="array" ref="I29">A$28+I$28</f>
        <v>99999925.2</v>
      </c>
      <c r="J29" s="73"/>
      <c r="K29" t="str" s="73" cm="1">
        <f t="array" ref="K29">"PPN (C) = "&amp;MAX(K3:K26)&amp;"% x B"</f>
        <v>PPN (C) = 11,00% x B</v>
      </c>
      <c r="L29" s="74" cm="1">
        <f t="array" ref="L29">L28*MAX($K3:$K26)%</f>
        <v>9886140</v>
      </c>
      <c r="M29" s="69" cm="1">
        <f t="array" ref="M29">M28*MAX($K3:$K26)%</f>
        <v>9880200</v>
      </c>
      <c r="N29" s="69" cm="1">
        <f t="array" ref="N29">N28*MAX($K3:$K26)%</f>
        <v>9880200</v>
      </c>
    </row>
    <row r="30" ht="21" customHeight="1">
      <c r="A30" s="70"/>
      <c r="B30" s="71"/>
      <c r="C30" s="71"/>
      <c r="D30" s="72"/>
      <c r="E30" s="72"/>
      <c r="F30" s="72"/>
      <c r="G30" s="72"/>
      <c r="H30" s="72"/>
      <c r="I30" s="71"/>
      <c r="J30" s="73"/>
      <c r="K30" t="s" s="75">
        <v>42</v>
      </c>
      <c r="L30" s="76" cm="1">
        <f t="array" ref="L30">L27+L29</f>
        <v>99975837.59999999</v>
      </c>
      <c r="M30" s="69" cm="1">
        <f t="array" ref="M30">M27+M29</f>
        <v>99915800</v>
      </c>
      <c r="N30" s="69" cm="1">
        <f t="array" ref="N30">N27+N29</f>
        <v>99915800</v>
      </c>
    </row>
    <row r="31" ht="20.5" customHeight="1">
      <c r="A31" s="70"/>
      <c r="B31" s="71"/>
      <c r="C31" s="71"/>
      <c r="D31" s="72"/>
      <c r="E31" s="72"/>
      <c r="F31" s="72"/>
      <c r="G31" s="72"/>
      <c r="H31" s="72"/>
      <c r="I31" s="71"/>
      <c r="J31" s="73"/>
      <c r="K31" t="s" s="75">
        <v>43</v>
      </c>
      <c r="L31" s="68" cm="1">
        <f t="array" ref="L31">ROUNDDOWN(L30,2)</f>
        <v>99975837.59999999</v>
      </c>
      <c r="M31" s="68" cm="1">
        <f t="array" ref="M31">ROUNDDOWN(M30,2)</f>
        <v>99915800</v>
      </c>
      <c r="N31" s="68" cm="1">
        <f t="array" ref="N31">ROUNDDOWN(N30,-3)</f>
        <v>99915000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41.xml><?xml version="1.0" encoding="utf-8"?>
<worksheet xmlns:r="http://schemas.openxmlformats.org/officeDocument/2006/relationships" xmlns="http://schemas.openxmlformats.org/spreadsheetml/2006/main">
  <sheetPr>
    <pageSetUpPr fitToPage="1"/>
  </sheetPr>
  <dimension ref="A1:N31"/>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155" customWidth="1"/>
    <col min="2" max="2" width="43.0312" style="155" customWidth="1"/>
    <col min="3" max="3" width="2.75" style="155" customWidth="1"/>
    <col min="4" max="6" width="10.3672" style="155" customWidth="1"/>
    <col min="7" max="7" width="11.6875" style="155" customWidth="1"/>
    <col min="8" max="11" width="13.5156" style="155" customWidth="1"/>
    <col min="12" max="14" width="14.2344" style="155" customWidth="1"/>
    <col min="15" max="16384" width="16.3516" style="155"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109</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s="95">
        <v>1</v>
      </c>
      <c r="B4" t="s" s="19">
        <v>110</v>
      </c>
      <c r="C4" s="20"/>
      <c r="D4" s="21">
        <v>1</v>
      </c>
      <c r="E4" s="21" cm="1">
        <f t="array" ref="E4">D4</f>
        <v>1</v>
      </c>
      <c r="F4" s="21" cm="1">
        <f t="array" ref="F4">D4</f>
        <v>1</v>
      </c>
      <c r="G4" t="s" s="22">
        <v>19</v>
      </c>
      <c r="H4" s="21" cm="1">
        <f t="array" ref="H4">ROUNDDOWN((99760500*0.1)*100/111,-2)</f>
        <v>8987400</v>
      </c>
      <c r="I4" s="21">
        <v>8988000</v>
      </c>
      <c r="J4" s="21">
        <v>8988000</v>
      </c>
      <c r="K4" s="21">
        <v>11</v>
      </c>
      <c r="L4" s="21" cm="1">
        <f t="array" ref="L4">IF(D4&gt;0,IF($D4&lt;=0,0,D4*H4),"")</f>
        <v>8987400</v>
      </c>
      <c r="M4" s="21" cm="1">
        <f t="array" ref="M4">IF(E4&gt;0,IF($D4&lt;=0,0,ROUND(E4*I4,2)),"")</f>
        <v>8988000</v>
      </c>
      <c r="N4" s="23" cm="1">
        <f t="array" ref="N4">IF(F4&gt;0,IF($D4&lt;=0,0,ROUND(F4*J4,2)),"")</f>
        <v>8988000</v>
      </c>
    </row>
    <row r="5" ht="20.5" customHeight="1">
      <c r="A5" s="95">
        <v>2</v>
      </c>
      <c r="B5" t="s" s="19">
        <v>111</v>
      </c>
      <c r="C5" s="24"/>
      <c r="D5" s="26">
        <v>1</v>
      </c>
      <c r="E5" s="26" cm="1">
        <f t="array" ref="E5">D5</f>
        <v>1</v>
      </c>
      <c r="F5" s="26" cm="1">
        <f t="array" ref="F5">D5</f>
        <v>1</v>
      </c>
      <c r="G5" t="s" s="27">
        <v>19</v>
      </c>
      <c r="H5" s="26" cm="1">
        <f t="array" ref="H5">ROUNDDOWN((99760500*0.2)*100/111,-2)</f>
        <v>17974800</v>
      </c>
      <c r="I5" s="26">
        <v>17974000</v>
      </c>
      <c r="J5" s="26">
        <v>17974000</v>
      </c>
      <c r="K5" s="26">
        <v>11</v>
      </c>
      <c r="L5" s="26" cm="1">
        <f t="array" ref="L5">IF(D5&gt;0,IF($D5&lt;=0,0,D5*H5),"")</f>
        <v>17974800</v>
      </c>
      <c r="M5" s="26" cm="1">
        <f t="array" ref="M5">IF(E5&gt;0,IF($D5&lt;=0,0,ROUND(E5*I5,2)),"")</f>
        <v>17974000</v>
      </c>
      <c r="N5" s="28" cm="1">
        <f t="array" ref="N5">IF(F5&gt;0,IF($D5&lt;=0,0,ROUND(F5*J5,2)),"")</f>
        <v>17974000</v>
      </c>
    </row>
    <row r="6" ht="20.5" customHeight="1">
      <c r="A6" s="95">
        <v>3</v>
      </c>
      <c r="B6" t="s" s="19">
        <v>112</v>
      </c>
      <c r="C6" s="20"/>
      <c r="D6" s="21">
        <v>1</v>
      </c>
      <c r="E6" s="21" cm="1">
        <f t="array" ref="E6">D6</f>
        <v>1</v>
      </c>
      <c r="F6" s="21" cm="1">
        <f t="array" ref="F6">D6</f>
        <v>1</v>
      </c>
      <c r="G6" t="s" s="22">
        <v>19</v>
      </c>
      <c r="H6" s="21" cm="1">
        <f t="array" ref="H6">ROUNDDOWN((99760500*0.25)*100/111,-2)</f>
        <v>22468500</v>
      </c>
      <c r="I6" s="21">
        <v>22470000</v>
      </c>
      <c r="J6" s="21">
        <v>22470000</v>
      </c>
      <c r="K6" s="21">
        <v>11</v>
      </c>
      <c r="L6" s="21" cm="1">
        <f t="array" ref="L6">IF(D6&gt;0,IF($D6&lt;=0,0,D6*H6),"")</f>
        <v>22468500</v>
      </c>
      <c r="M6" s="21" cm="1">
        <f t="array" ref="M6">IF(E6&gt;0,IF($D6&lt;=0,0,ROUND(E6*I6,2)),"")</f>
        <v>22470000</v>
      </c>
      <c r="N6" s="23" cm="1">
        <f t="array" ref="N6">IF(F6&gt;0,IF($D6&lt;=0,0,ROUND(F6*J6,2)),"")</f>
        <v>22470000</v>
      </c>
    </row>
    <row r="7" ht="68.5" customHeight="1">
      <c r="A7" s="95">
        <v>5</v>
      </c>
      <c r="B7" t="s" s="19">
        <v>113</v>
      </c>
      <c r="C7" s="24"/>
      <c r="D7" s="26">
        <v>1</v>
      </c>
      <c r="E7" s="26" cm="1">
        <f t="array" ref="E7">D7</f>
        <v>1</v>
      </c>
      <c r="F7" s="26" cm="1">
        <f t="array" ref="F7">D7</f>
        <v>1</v>
      </c>
      <c r="G7" t="s" s="27">
        <v>19</v>
      </c>
      <c r="H7" s="26" cm="1">
        <f t="array" ref="H7">ROUNDDOWN((99760500*0.25)*100/111,-2)</f>
        <v>22468500</v>
      </c>
      <c r="I7" s="26">
        <v>22468000</v>
      </c>
      <c r="J7" s="26">
        <v>22468000</v>
      </c>
      <c r="K7" s="26">
        <v>11</v>
      </c>
      <c r="L7" s="26" cm="1">
        <f t="array" ref="L7">IF(D7&gt;0,IF($D7&lt;=0,0,D7*H7),"")</f>
        <v>22468500</v>
      </c>
      <c r="M7" s="26" cm="1">
        <f t="array" ref="M7">IF(E7&gt;0,IF($D7&lt;=0,0,ROUND(E7*I7,2)),"")</f>
        <v>22468000</v>
      </c>
      <c r="N7" s="28" cm="1">
        <f t="array" ref="N7">IF(F7&gt;0,IF($D7&lt;=0,0,ROUND(F7*J7,2)),"")</f>
        <v>22468000</v>
      </c>
    </row>
    <row r="8" ht="32.5" customHeight="1">
      <c r="A8" s="95">
        <v>6</v>
      </c>
      <c r="B8" t="s" s="19">
        <v>114</v>
      </c>
      <c r="C8" s="20"/>
      <c r="D8" s="21">
        <v>1</v>
      </c>
      <c r="E8" s="21" cm="1">
        <f t="array" ref="E8">D8</f>
        <v>1</v>
      </c>
      <c r="F8" s="21" cm="1">
        <f t="array" ref="F8">D8</f>
        <v>1</v>
      </c>
      <c r="G8" t="s" s="22">
        <v>19</v>
      </c>
      <c r="H8" s="21" cm="1">
        <f t="array" ref="H8">ROUNDDOWN((99760500*0.05)*100/111,-2)</f>
        <v>4493700</v>
      </c>
      <c r="I8" s="21">
        <v>4450000</v>
      </c>
      <c r="J8" s="21">
        <v>4450000</v>
      </c>
      <c r="K8" s="21">
        <v>11</v>
      </c>
      <c r="L8" s="21" cm="1">
        <f t="array" ref="L8">IF(D8&gt;0,IF($D8&lt;=0,0,D8*H8),"")</f>
        <v>4493700</v>
      </c>
      <c r="M8" s="21" cm="1">
        <f t="array" ref="M8">IF(E8&gt;0,IF($D8&lt;=0,0,ROUND(E8*I8,2)),"")</f>
        <v>4450000</v>
      </c>
      <c r="N8" s="23" cm="1">
        <f t="array" ref="N8">IF(F8&gt;0,IF($D8&lt;=0,0,ROUND(F8*J8,2)),"")</f>
        <v>4450000</v>
      </c>
    </row>
    <row r="9" ht="20.5" customHeight="1">
      <c r="A9" s="95">
        <v>7</v>
      </c>
      <c r="B9" t="s" s="19">
        <v>115</v>
      </c>
      <c r="C9" s="24"/>
      <c r="D9" s="26">
        <v>1</v>
      </c>
      <c r="E9" s="26" cm="1">
        <f t="array" ref="E9">D9</f>
        <v>1</v>
      </c>
      <c r="F9" s="26" cm="1">
        <f t="array" ref="F9">D9</f>
        <v>1</v>
      </c>
      <c r="G9" t="s" s="27">
        <v>19</v>
      </c>
      <c r="H9" s="26" cm="1">
        <f t="array" ref="H9">ROUNDDOWN((99760500*0.15)*100/111,-2)</f>
        <v>13481100</v>
      </c>
      <c r="I9" s="26">
        <v>13470000</v>
      </c>
      <c r="J9" s="26">
        <v>13470000</v>
      </c>
      <c r="K9" s="26">
        <v>11</v>
      </c>
      <c r="L9" s="26" cm="1">
        <f t="array" ref="L9">IF(D9&gt;0,IF($D9&lt;=0,0,D9*H9),"")</f>
        <v>13481100</v>
      </c>
      <c r="M9" s="26" cm="1">
        <f t="array" ref="M9">IF(E9&gt;0,IF($D9&lt;=0,0,ROUND(E9*I9,2)),"")</f>
        <v>13470000</v>
      </c>
      <c r="N9" s="28" cm="1">
        <f t="array" ref="N9">IF(F9&gt;0,IF($D9&lt;=0,0,ROUND(F9*J9,2)),"")</f>
        <v>13470000</v>
      </c>
    </row>
    <row r="10" ht="20.6" customHeight="1">
      <c r="A10" s="33">
        <v>8</v>
      </c>
      <c r="B10" t="s" s="34">
        <v>37</v>
      </c>
      <c r="C10" s="35"/>
      <c r="D10" s="36">
        <v>1</v>
      </c>
      <c r="E10" s="36" cm="1">
        <f t="array" ref="E10">D10</f>
        <v>1</v>
      </c>
      <c r="F10" s="36" cm="1">
        <f t="array" ref="F10">D10</f>
        <v>1</v>
      </c>
      <c r="G10" t="s" s="37">
        <v>19</v>
      </c>
      <c r="H10" s="36">
        <v>215697.6</v>
      </c>
      <c r="I10" s="36">
        <v>215600</v>
      </c>
      <c r="J10" s="36">
        <v>215600</v>
      </c>
      <c r="K10" s="36">
        <v>0</v>
      </c>
      <c r="L10" s="36" cm="1">
        <f t="array" ref="L10">IF(D10&gt;0,IF($D10&lt;=0,0,D10*H10),"")</f>
        <v>215697.6</v>
      </c>
      <c r="M10" s="36" cm="1">
        <f t="array" ref="M10">IF(E10&gt;0,IF($D10&lt;=0,0,ROUND(E10*I10,2)),"")</f>
        <v>215600</v>
      </c>
      <c r="N10" s="38" cm="1">
        <f t="array" ref="N10">IF(F10&gt;0,IF($D10&lt;=0,0,ROUND(F10*J10,2)),"")</f>
        <v>215600</v>
      </c>
    </row>
    <row r="11" ht="8.75" customHeight="1" hidden="1">
      <c r="A11" s="39"/>
      <c r="B11" s="40"/>
      <c r="C11" s="41"/>
      <c r="D11" s="42"/>
      <c r="E11" s="42"/>
      <c r="F11" s="42"/>
      <c r="G11" s="43"/>
      <c r="H11" s="42"/>
      <c r="I11" s="42"/>
      <c r="J11" s="42"/>
      <c r="K11" s="42"/>
      <c r="L11" s="42"/>
      <c r="M11" s="42"/>
      <c r="N11" s="44"/>
    </row>
    <row r="12" ht="8.75" customHeight="1" hidden="1">
      <c r="A12" s="39"/>
      <c r="B12" s="40"/>
      <c r="C12" s="45"/>
      <c r="D12" s="46"/>
      <c r="E12" s="46"/>
      <c r="F12" s="46"/>
      <c r="G12" s="47"/>
      <c r="H12" s="46"/>
      <c r="I12" s="46"/>
      <c r="J12" s="46"/>
      <c r="K12" s="46"/>
      <c r="L12" s="46"/>
      <c r="M12" s="46"/>
      <c r="N12" s="48"/>
    </row>
    <row r="13" ht="8.75" customHeight="1" hidden="1">
      <c r="A13" s="39"/>
      <c r="B13" s="40"/>
      <c r="C13" s="41"/>
      <c r="D13" s="42"/>
      <c r="E13" s="42"/>
      <c r="F13" s="42"/>
      <c r="G13" s="43"/>
      <c r="H13" s="42"/>
      <c r="I13" s="42"/>
      <c r="J13" s="42"/>
      <c r="K13" s="42"/>
      <c r="L13" s="42"/>
      <c r="M13" s="42"/>
      <c r="N13" s="44"/>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2"/>
      <c r="I15" s="42"/>
      <c r="J15" s="42"/>
      <c r="K15" s="42"/>
      <c r="L15" s="42"/>
      <c r="M15" s="42"/>
      <c r="N15" s="44"/>
    </row>
    <row r="16" ht="8.75" customHeight="1" hidden="1">
      <c r="A16" s="39"/>
      <c r="B16" s="40"/>
      <c r="C16" s="45"/>
      <c r="D16" s="46"/>
      <c r="E16" s="46"/>
      <c r="F16" s="46"/>
      <c r="G16" s="47"/>
      <c r="H16" s="46"/>
      <c r="I16" s="46"/>
      <c r="J16" s="46"/>
      <c r="K16" s="46"/>
      <c r="L16" s="46"/>
      <c r="M16" s="46"/>
      <c r="N16" s="48"/>
    </row>
    <row r="17" ht="8.75" customHeight="1" hidden="1">
      <c r="A17" s="39"/>
      <c r="B17" s="40"/>
      <c r="C17" s="41"/>
      <c r="D17" s="42"/>
      <c r="E17" s="42"/>
      <c r="F17" s="42"/>
      <c r="G17" s="43"/>
      <c r="H17" s="43"/>
      <c r="I17" s="43"/>
      <c r="J17" s="43"/>
      <c r="K17" s="42"/>
      <c r="L17" s="43"/>
      <c r="M17" s="43"/>
      <c r="N17" s="49"/>
    </row>
    <row r="18" ht="8.75" customHeight="1" hidden="1">
      <c r="A18" s="39"/>
      <c r="B18" s="40"/>
      <c r="C18" s="45"/>
      <c r="D18" s="46"/>
      <c r="E18" s="46"/>
      <c r="F18" s="46"/>
      <c r="G18" s="47"/>
      <c r="H18" s="50"/>
      <c r="I18" s="50"/>
      <c r="J18" s="50"/>
      <c r="K18" s="46"/>
      <c r="L18" s="46"/>
      <c r="M18" s="46"/>
      <c r="N18" s="48"/>
    </row>
    <row r="19" ht="8.75" customHeight="1" hidden="1">
      <c r="A19" s="39"/>
      <c r="B19" s="40"/>
      <c r="C19" s="41"/>
      <c r="D19" s="42"/>
      <c r="E19" s="42"/>
      <c r="F19" s="42"/>
      <c r="G19" s="43"/>
      <c r="H19" s="43"/>
      <c r="I19" s="43"/>
      <c r="J19" s="43"/>
      <c r="K19" s="42"/>
      <c r="L19" s="43"/>
      <c r="M19" s="43"/>
      <c r="N19" s="49"/>
    </row>
    <row r="20" ht="8.75" customHeight="1" hidden="1">
      <c r="A20" s="39"/>
      <c r="B20" s="40"/>
      <c r="C20" s="45"/>
      <c r="D20" s="46"/>
      <c r="E20" s="46"/>
      <c r="F20" s="46"/>
      <c r="G20" s="47"/>
      <c r="H20" s="46"/>
      <c r="I20" s="46"/>
      <c r="J20" s="46"/>
      <c r="K20" s="46"/>
      <c r="L20" s="46"/>
      <c r="M20" s="46"/>
      <c r="N20" s="48"/>
    </row>
    <row r="21" ht="8.75" customHeight="1" hidden="1">
      <c r="A21" s="39"/>
      <c r="B21" s="40"/>
      <c r="C21" s="41"/>
      <c r="D21" s="42"/>
      <c r="E21" s="42"/>
      <c r="F21" s="42"/>
      <c r="G21" s="43"/>
      <c r="H21" s="42"/>
      <c r="I21" s="42"/>
      <c r="J21" s="42"/>
      <c r="K21" s="42"/>
      <c r="L21" s="42"/>
      <c r="M21" s="42"/>
      <c r="N21" s="44"/>
    </row>
    <row r="22" ht="8.75" customHeight="1" hidden="1">
      <c r="A22" s="51"/>
      <c r="B22" s="40"/>
      <c r="C22" s="45"/>
      <c r="D22" s="46"/>
      <c r="E22" s="46"/>
      <c r="F22" s="46"/>
      <c r="G22" s="47"/>
      <c r="H22" s="46"/>
      <c r="I22" s="46"/>
      <c r="J22" s="46"/>
      <c r="K22" s="46"/>
      <c r="L22" s="46"/>
      <c r="M22" s="46"/>
      <c r="N22" s="48"/>
    </row>
    <row r="23" ht="8.75" customHeight="1" hidden="1">
      <c r="A23" s="51"/>
      <c r="B23" s="40"/>
      <c r="C23" s="41"/>
      <c r="D23" s="42"/>
      <c r="E23" s="42"/>
      <c r="F23" s="42"/>
      <c r="G23" s="43"/>
      <c r="H23" s="42"/>
      <c r="I23" s="42"/>
      <c r="J23" s="42"/>
      <c r="K23" s="42"/>
      <c r="L23" s="42"/>
      <c r="M23" s="42"/>
      <c r="N23" s="44"/>
    </row>
    <row r="24" ht="8.75" customHeight="1" hidden="1">
      <c r="A24" s="39"/>
      <c r="B24" s="40"/>
      <c r="C24" s="45"/>
      <c r="D24" s="46"/>
      <c r="E24" s="46"/>
      <c r="F24" s="46"/>
      <c r="G24" s="47"/>
      <c r="H24" s="46"/>
      <c r="I24" s="46"/>
      <c r="J24" s="46"/>
      <c r="K24" s="46"/>
      <c r="L24" s="47"/>
      <c r="M24" s="47"/>
      <c r="N24" s="52"/>
    </row>
    <row r="25" ht="8.75" customHeight="1" hidden="1">
      <c r="A25" s="39"/>
      <c r="B25" s="40"/>
      <c r="C25" s="41"/>
      <c r="D25" s="42"/>
      <c r="E25" s="42"/>
      <c r="F25" s="42"/>
      <c r="G25" s="43"/>
      <c r="H25" s="42"/>
      <c r="I25" s="42"/>
      <c r="J25" s="42"/>
      <c r="K25" s="42"/>
      <c r="L25" s="42"/>
      <c r="M25" s="42"/>
      <c r="N25" s="44"/>
    </row>
    <row r="26" ht="8.75" customHeight="1" hidden="1">
      <c r="A26" s="39"/>
      <c r="B26" s="40"/>
      <c r="C26" s="45"/>
      <c r="D26" s="46"/>
      <c r="E26" s="46"/>
      <c r="F26" s="46"/>
      <c r="G26" s="47"/>
      <c r="H26" s="46"/>
      <c r="I26" s="46"/>
      <c r="J26" s="46"/>
      <c r="K26" s="46"/>
      <c r="L26" s="47"/>
      <c r="M26" s="47"/>
      <c r="N26" s="52"/>
    </row>
    <row r="27" ht="20.85" customHeight="1">
      <c r="A27" s="108"/>
      <c r="B27" s="54"/>
      <c r="C27" s="54"/>
      <c r="D27" s="55"/>
      <c r="E27" s="55"/>
      <c r="F27" s="55"/>
      <c r="G27" s="56"/>
      <c r="H27" s="56"/>
      <c r="I27" s="54"/>
      <c r="J27" s="57"/>
      <c r="K27" t="s" s="58">
        <v>38</v>
      </c>
      <c r="L27" s="59" cm="1">
        <f t="array" ref="L27">SUM(L1:L26)</f>
        <v>90089697.59999999</v>
      </c>
      <c r="M27" s="59" cm="1">
        <f t="array" ref="M27">SUM(M1:M26)</f>
        <v>90035600</v>
      </c>
      <c r="N27" s="59" cm="1">
        <f t="array" ref="N27">SUM(N1:N26)</f>
        <v>90035600</v>
      </c>
    </row>
    <row r="28" ht="21" customHeight="1">
      <c r="A28" s="63" cm="1">
        <f t="array" ref="A28">ROUND(IF(I28&lt;=100000000,I28*0.24%,IF(AND(I28&gt;100000000,I28&lt;=500000000),100000000*0.24%+(I28-100000000)*0.19%,IF(AND(I28&gt;500000000,I28&lt;=1000000000),100000000*0.24%+400000000*0.19%+(I28-500000000)*0.15%,IF(AND(I28&gt;1000000000,I28&lt;=5000000000),100000000*0.24%+400000000*0.19%+500000000*0.15%+(I28-1000000000)*0.12%,IF(I28&gt;5000000000,100000000*0.24%+400000000*0.19%+500000000*0.15%+4000000000*0.12%+(I28-5000000000)*0.1%,"Bingung komputer"))))),2)</f>
        <v>239425.2</v>
      </c>
      <c r="B28" t="s" s="109">
        <v>39</v>
      </c>
      <c r="C28" s="62"/>
      <c r="D28" s="63" cm="1">
        <f t="array" ref="D28">ROUND(IF(L28&lt;=100000000,L28*0.24%,IF(AND(L28&gt;100000000,L28&lt;=500000000),100000000*0.24%+(L28-100000000)*0.19%,IF(AND(L28&gt;500000000,L28&lt;=1000000000),100000000*0.24%+400000000*0.19%+(L28-500000000)*0.15%,IF(AND(L28&gt;1000000000,L28&lt;=5000000000),100000000*0.24%+400000000*0.19%+500000000*0.15%+(L28-1000000000)*0.12%,IF(L28&gt;5000000000,100000000*0.24%+400000000*0.19%+500000000*0.15%+4000000000*0.12%+(L28-5000000000)*0.1%,"Bingung komputer"))))),2)</f>
        <v>215697.6</v>
      </c>
      <c r="E28" s="64" cm="1">
        <f t="array" ref="E28">ROUND(IF(M28&lt;=100000000,M28*0.24%,IF(AND(M28&gt;100000000,M28&lt;=500000000),100000000*0.24%+(M28-100000000)*0.19%,IF(AND(M28&gt;500000000,M28&lt;=1000000000),100000000*0.24%+400000000*0.19%+(M28-500000000)*0.15%,IF(AND(M28&gt;1000000000,M28&lt;=5000000000),100000000*0.24%+400000000*0.19%+500000000*0.15%+(M28-1000000000)*0.12%,IF(M28&gt;5000000000,100000000*0.24%+400000000*0.19%+500000000*0.15%+4000000000*0.12%+(M28-5000000000)*0.1%,"Bingung komputer"))))),2)</f>
        <v>215568</v>
      </c>
      <c r="F28" s="64" cm="1">
        <f t="array" ref="F28">ROUND(IF(N28&lt;=100000000,N28*0.24%,IF(AND(N28&gt;100000000,N28&lt;=500000000),100000000*0.24%+(N28-100000000)*0.19%,IF(AND(N28&gt;500000000,N28&lt;=1000000000),100000000*0.24%+400000000*0.19%+(N28-500000000)*0.15%,IF(AND(N28&gt;1000000000,N28&lt;=5000000000),100000000*0.24%+400000000*0.19%+500000000*0.15%+(N28-1000000000)*0.12%,IF(N28&gt;5000000000,100000000*0.24%+400000000*0.19%+500000000*0.15%+4000000000*0.12%+(N28-5000000000)*0.1%,"Bingung komputer"))))),2)</f>
        <v>215568</v>
      </c>
      <c r="G28" s="65"/>
      <c r="H28" s="66" cm="1">
        <f t="array" ref="H28">I$28*(100/111)</f>
        <v>89874324.32432429</v>
      </c>
      <c r="I28" s="68">
        <v>99760500</v>
      </c>
      <c r="J28" s="67"/>
      <c r="K28" t="str" s="67" cm="1">
        <f t="array" ref="K28">"Jumlah Terkena Pajak "&amp;MAX(K3:K26)&amp;"% (B)"</f>
        <v>Jumlah Terkena Pajak 11,00% (B)</v>
      </c>
      <c r="L28" s="68" cm="1">
        <f t="array" ref="L28">SUMIF($K3:$K26,"&gt;0",L3:L26)</f>
        <v>89874000</v>
      </c>
      <c r="M28" s="69" cm="1">
        <f t="array" ref="M28">SUMIF($K3:$K26,"&gt;0",M3:M26)</f>
        <v>89820000</v>
      </c>
      <c r="N28" s="69" cm="1">
        <f t="array" ref="N28">SUMIF($K3:$K26,"&gt;0",N3:N26)</f>
        <v>89820000</v>
      </c>
    </row>
    <row r="29" ht="21" customHeight="1">
      <c r="A29" s="70"/>
      <c r="B29" s="71"/>
      <c r="C29" s="71"/>
      <c r="D29" s="72"/>
      <c r="E29" s="72"/>
      <c r="F29" s="71"/>
      <c r="G29" s="72"/>
      <c r="H29" s="72"/>
      <c r="I29" s="74" cm="1">
        <f t="array" ref="I29">A$28+I$28</f>
        <v>99999925.2</v>
      </c>
      <c r="J29" s="73"/>
      <c r="K29" t="str" s="73" cm="1">
        <f t="array" ref="K29">"PPN (C) = "&amp;MAX(K3:K26)&amp;"% x B"</f>
        <v>PPN (C) = 11,00% x B</v>
      </c>
      <c r="L29" s="74" cm="1">
        <f t="array" ref="L29">L28*MAX($K3:$K26)%</f>
        <v>9886140</v>
      </c>
      <c r="M29" s="69" cm="1">
        <f t="array" ref="M29">M28*MAX($K3:$K26)%</f>
        <v>9880200</v>
      </c>
      <c r="N29" s="69" cm="1">
        <f t="array" ref="N29">N28*MAX($K3:$K26)%</f>
        <v>9880200</v>
      </c>
    </row>
    <row r="30" ht="21" customHeight="1">
      <c r="A30" s="70"/>
      <c r="B30" s="71"/>
      <c r="C30" s="71"/>
      <c r="D30" s="72"/>
      <c r="E30" s="72"/>
      <c r="F30" s="72"/>
      <c r="G30" s="72"/>
      <c r="H30" s="72"/>
      <c r="I30" s="71"/>
      <c r="J30" s="73"/>
      <c r="K30" t="s" s="75">
        <v>42</v>
      </c>
      <c r="L30" s="76" cm="1">
        <f t="array" ref="L30">L27+L29</f>
        <v>99975837.59999999</v>
      </c>
      <c r="M30" s="69" cm="1">
        <f t="array" ref="M30">M27+M29</f>
        <v>99915800</v>
      </c>
      <c r="N30" s="69" cm="1">
        <f t="array" ref="N30">N27+N29</f>
        <v>99915800</v>
      </c>
    </row>
    <row r="31" ht="20.5" customHeight="1">
      <c r="A31" s="70"/>
      <c r="B31" s="71"/>
      <c r="C31" s="71"/>
      <c r="D31" s="72"/>
      <c r="E31" s="72"/>
      <c r="F31" s="72"/>
      <c r="G31" s="72"/>
      <c r="H31" s="72"/>
      <c r="I31" s="71"/>
      <c r="J31" s="73"/>
      <c r="K31" t="s" s="75">
        <v>43</v>
      </c>
      <c r="L31" s="68" cm="1">
        <f t="array" ref="L31">ROUNDDOWN(L30,2)</f>
        <v>99975837.59999999</v>
      </c>
      <c r="M31" s="68" cm="1">
        <f t="array" ref="M31">ROUNDDOWN(M30,2)</f>
        <v>99915800</v>
      </c>
      <c r="N31" s="68" cm="1">
        <f t="array" ref="N31">ROUNDDOWN(N30,-3)</f>
        <v>99915000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42.xml><?xml version="1.0" encoding="utf-8"?>
<worksheet xmlns:r="http://schemas.openxmlformats.org/officeDocument/2006/relationships" xmlns="http://schemas.openxmlformats.org/spreadsheetml/2006/main">
  <sheetPr>
    <pageSetUpPr fitToPage="1"/>
  </sheetPr>
  <dimension ref="A1:N31"/>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156" customWidth="1"/>
    <col min="2" max="2" width="43.0312" style="156" customWidth="1"/>
    <col min="3" max="3" width="2.75" style="156" customWidth="1"/>
    <col min="4" max="6" width="10.3672" style="156" customWidth="1"/>
    <col min="7" max="7" width="11.6875" style="156" customWidth="1"/>
    <col min="8" max="11" width="13.5156" style="156" customWidth="1"/>
    <col min="12" max="14" width="14.2344" style="156" customWidth="1"/>
    <col min="15" max="16384" width="16.3516" style="156"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109</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s="95">
        <v>1</v>
      </c>
      <c r="B4" t="s" s="19">
        <v>110</v>
      </c>
      <c r="C4" s="20"/>
      <c r="D4" s="21">
        <v>1</v>
      </c>
      <c r="E4" s="21" cm="1">
        <f t="array" ref="E4">D4</f>
        <v>1</v>
      </c>
      <c r="F4" s="21" cm="1">
        <f t="array" ref="F4">D4</f>
        <v>1</v>
      </c>
      <c r="G4" t="s" s="22">
        <v>19</v>
      </c>
      <c r="H4" s="21" cm="1">
        <f t="array" ref="H4">ROUNDDOWN((99760500*0.1)*100/111,-2)</f>
        <v>8987400</v>
      </c>
      <c r="I4" s="21">
        <v>8980000</v>
      </c>
      <c r="J4" s="21">
        <v>8980000</v>
      </c>
      <c r="K4" s="21">
        <v>11</v>
      </c>
      <c r="L4" s="21" cm="1">
        <f t="array" ref="L4">IF(D4&gt;0,IF($D4&lt;=0,0,D4*H4),"")</f>
        <v>8987400</v>
      </c>
      <c r="M4" s="21" cm="1">
        <f t="array" ref="M4">IF(E4&gt;0,IF($D4&lt;=0,0,ROUND(E4*I4,2)),"")</f>
        <v>8980000</v>
      </c>
      <c r="N4" s="23" cm="1">
        <f t="array" ref="N4">IF(F4&gt;0,IF($D4&lt;=0,0,ROUND(F4*J4,2)),"")</f>
        <v>8980000</v>
      </c>
    </row>
    <row r="5" ht="20.5" customHeight="1">
      <c r="A5" s="95">
        <v>2</v>
      </c>
      <c r="B5" t="s" s="19">
        <v>111</v>
      </c>
      <c r="C5" s="24"/>
      <c r="D5" s="26">
        <v>1</v>
      </c>
      <c r="E5" s="26" cm="1">
        <f t="array" ref="E5">D5</f>
        <v>1</v>
      </c>
      <c r="F5" s="26" cm="1">
        <f t="array" ref="F5">D5</f>
        <v>1</v>
      </c>
      <c r="G5" t="s" s="27">
        <v>19</v>
      </c>
      <c r="H5" s="26" cm="1">
        <f t="array" ref="H5">ROUNDDOWN((99760500*0.2)*100/111,-2)</f>
        <v>17974800</v>
      </c>
      <c r="I5" s="26">
        <v>17971000</v>
      </c>
      <c r="J5" s="26">
        <v>17971000</v>
      </c>
      <c r="K5" s="26">
        <v>11</v>
      </c>
      <c r="L5" s="26" cm="1">
        <f t="array" ref="L5">IF(D5&gt;0,IF($D5&lt;=0,0,D5*H5),"")</f>
        <v>17974800</v>
      </c>
      <c r="M5" s="26" cm="1">
        <f t="array" ref="M5">IF(E5&gt;0,IF($D5&lt;=0,0,ROUND(E5*I5,2)),"")</f>
        <v>17971000</v>
      </c>
      <c r="N5" s="28" cm="1">
        <f t="array" ref="N5">IF(F5&gt;0,IF($D5&lt;=0,0,ROUND(F5*J5,2)),"")</f>
        <v>17971000</v>
      </c>
    </row>
    <row r="6" ht="20.5" customHeight="1">
      <c r="A6" s="95">
        <v>3</v>
      </c>
      <c r="B6" t="s" s="19">
        <v>112</v>
      </c>
      <c r="C6" s="20"/>
      <c r="D6" s="21">
        <v>1</v>
      </c>
      <c r="E6" s="21" cm="1">
        <f t="array" ref="E6">D6</f>
        <v>1</v>
      </c>
      <c r="F6" s="21" cm="1">
        <f t="array" ref="F6">D6</f>
        <v>1</v>
      </c>
      <c r="G6" t="s" s="22">
        <v>19</v>
      </c>
      <c r="H6" s="21" cm="1">
        <f t="array" ref="H6">ROUNDDOWN((99760500*0.25)*100/111,-2)</f>
        <v>22468500</v>
      </c>
      <c r="I6" s="21">
        <v>22460000</v>
      </c>
      <c r="J6" s="21">
        <v>22460000</v>
      </c>
      <c r="K6" s="21">
        <v>11</v>
      </c>
      <c r="L6" s="21" cm="1">
        <f t="array" ref="L6">IF(D6&gt;0,IF($D6&lt;=0,0,D6*H6),"")</f>
        <v>22468500</v>
      </c>
      <c r="M6" s="21" cm="1">
        <f t="array" ref="M6">IF(E6&gt;0,IF($D6&lt;=0,0,ROUND(E6*I6,2)),"")</f>
        <v>22460000</v>
      </c>
      <c r="N6" s="23" cm="1">
        <f t="array" ref="N6">IF(F6&gt;0,IF($D6&lt;=0,0,ROUND(F6*J6,2)),"")</f>
        <v>22460000</v>
      </c>
    </row>
    <row r="7" ht="68.5" customHeight="1">
      <c r="A7" s="95">
        <v>5</v>
      </c>
      <c r="B7" t="s" s="19">
        <v>113</v>
      </c>
      <c r="C7" s="24"/>
      <c r="D7" s="26">
        <v>1</v>
      </c>
      <c r="E7" s="26" cm="1">
        <f t="array" ref="E7">D7</f>
        <v>1</v>
      </c>
      <c r="F7" s="26" cm="1">
        <f t="array" ref="F7">D7</f>
        <v>1</v>
      </c>
      <c r="G7" t="s" s="27">
        <v>19</v>
      </c>
      <c r="H7" s="26" cm="1">
        <f t="array" ref="H7">ROUNDDOWN((99760500*0.25)*100/111,-2)</f>
        <v>22468500</v>
      </c>
      <c r="I7" s="26">
        <v>22460000</v>
      </c>
      <c r="J7" s="26">
        <v>22460000</v>
      </c>
      <c r="K7" s="26">
        <v>11</v>
      </c>
      <c r="L7" s="26" cm="1">
        <f t="array" ref="L7">IF(D7&gt;0,IF($D7&lt;=0,0,D7*H7),"")</f>
        <v>22468500</v>
      </c>
      <c r="M7" s="26" cm="1">
        <f t="array" ref="M7">IF(E7&gt;0,IF($D7&lt;=0,0,ROUND(E7*I7,2)),"")</f>
        <v>22460000</v>
      </c>
      <c r="N7" s="28" cm="1">
        <f t="array" ref="N7">IF(F7&gt;0,IF($D7&lt;=0,0,ROUND(F7*J7,2)),"")</f>
        <v>22460000</v>
      </c>
    </row>
    <row r="8" ht="32.5" customHeight="1">
      <c r="A8" s="95">
        <v>6</v>
      </c>
      <c r="B8" t="s" s="19">
        <v>114</v>
      </c>
      <c r="C8" s="20"/>
      <c r="D8" s="21">
        <v>1</v>
      </c>
      <c r="E8" s="21" cm="1">
        <f t="array" ref="E8">D8</f>
        <v>1</v>
      </c>
      <c r="F8" s="21" cm="1">
        <f t="array" ref="F8">D8</f>
        <v>1</v>
      </c>
      <c r="G8" t="s" s="22">
        <v>19</v>
      </c>
      <c r="H8" s="21" cm="1">
        <f t="array" ref="H8">ROUNDDOWN((99760500*0.05)*100/111,-2)</f>
        <v>4493700</v>
      </c>
      <c r="I8" s="21">
        <v>4492000</v>
      </c>
      <c r="J8" s="21">
        <v>4492000</v>
      </c>
      <c r="K8" s="21">
        <v>11</v>
      </c>
      <c r="L8" s="21" cm="1">
        <f t="array" ref="L8">IF(D8&gt;0,IF($D8&lt;=0,0,D8*H8),"")</f>
        <v>4493700</v>
      </c>
      <c r="M8" s="21" cm="1">
        <f t="array" ref="M8">IF(E8&gt;0,IF($D8&lt;=0,0,ROUND(E8*I8,2)),"")</f>
        <v>4492000</v>
      </c>
      <c r="N8" s="23" cm="1">
        <f t="array" ref="N8">IF(F8&gt;0,IF($D8&lt;=0,0,ROUND(F8*J8,2)),"")</f>
        <v>4492000</v>
      </c>
    </row>
    <row r="9" ht="20.5" customHeight="1">
      <c r="A9" s="95">
        <v>7</v>
      </c>
      <c r="B9" t="s" s="19">
        <v>115</v>
      </c>
      <c r="C9" s="24"/>
      <c r="D9" s="26">
        <v>1</v>
      </c>
      <c r="E9" s="26" cm="1">
        <f t="array" ref="E9">D9</f>
        <v>1</v>
      </c>
      <c r="F9" s="26" cm="1">
        <f t="array" ref="F9">D9</f>
        <v>1</v>
      </c>
      <c r="G9" t="s" s="27">
        <v>19</v>
      </c>
      <c r="H9" s="26" cm="1">
        <f t="array" ref="H9">ROUNDDOWN((99760500*0.15)*100/111,-2)</f>
        <v>13481100</v>
      </c>
      <c r="I9" s="26">
        <v>13478000</v>
      </c>
      <c r="J9" s="26">
        <v>13478000</v>
      </c>
      <c r="K9" s="26">
        <v>11</v>
      </c>
      <c r="L9" s="26" cm="1">
        <f t="array" ref="L9">IF(D9&gt;0,IF($D9&lt;=0,0,D9*H9),"")</f>
        <v>13481100</v>
      </c>
      <c r="M9" s="26" cm="1">
        <f t="array" ref="M9">IF(E9&gt;0,IF($D9&lt;=0,0,ROUND(E9*I9,2)),"")</f>
        <v>13478000</v>
      </c>
      <c r="N9" s="28" cm="1">
        <f t="array" ref="N9">IF(F9&gt;0,IF($D9&lt;=0,0,ROUND(F9*J9,2)),"")</f>
        <v>13478000</v>
      </c>
    </row>
    <row r="10" ht="20.6" customHeight="1">
      <c r="A10" s="33">
        <v>8</v>
      </c>
      <c r="B10" t="s" s="34">
        <v>37</v>
      </c>
      <c r="C10" s="35"/>
      <c r="D10" s="36">
        <v>1</v>
      </c>
      <c r="E10" s="36" cm="1">
        <f t="array" ref="E10">D10</f>
        <v>1</v>
      </c>
      <c r="F10" s="36" cm="1">
        <f t="array" ref="F10">D10</f>
        <v>1</v>
      </c>
      <c r="G10" t="s" s="37">
        <v>19</v>
      </c>
      <c r="H10" s="36">
        <v>215697.6</v>
      </c>
      <c r="I10" s="36">
        <v>215618.4</v>
      </c>
      <c r="J10" s="36">
        <v>215618.4</v>
      </c>
      <c r="K10" s="36">
        <v>0</v>
      </c>
      <c r="L10" s="36" cm="1">
        <f t="array" ref="L10">IF(D10&gt;0,IF($D10&lt;=0,0,D10*H10),"")</f>
        <v>215697.6</v>
      </c>
      <c r="M10" s="36" cm="1">
        <f t="array" ref="M10">IF(E10&gt;0,IF($D10&lt;=0,0,ROUND(E10*I10,2)),"")</f>
        <v>215618.4</v>
      </c>
      <c r="N10" s="38" cm="1">
        <f t="array" ref="N10">IF(F10&gt;0,IF($D10&lt;=0,0,ROUND(F10*J10,2)),"")</f>
        <v>215618.4</v>
      </c>
    </row>
    <row r="11" ht="8.75" customHeight="1" hidden="1">
      <c r="A11" s="39"/>
      <c r="B11" s="40"/>
      <c r="C11" s="41"/>
      <c r="D11" s="42"/>
      <c r="E11" s="42"/>
      <c r="F11" s="42"/>
      <c r="G11" s="43"/>
      <c r="H11" s="42"/>
      <c r="I11" s="42"/>
      <c r="J11" s="42"/>
      <c r="K11" s="42"/>
      <c r="L11" s="42"/>
      <c r="M11" s="42"/>
      <c r="N11" s="44"/>
    </row>
    <row r="12" ht="8.75" customHeight="1" hidden="1">
      <c r="A12" s="39"/>
      <c r="B12" s="40"/>
      <c r="C12" s="45"/>
      <c r="D12" s="46"/>
      <c r="E12" s="46"/>
      <c r="F12" s="46"/>
      <c r="G12" s="47"/>
      <c r="H12" s="46"/>
      <c r="I12" s="46"/>
      <c r="J12" s="46"/>
      <c r="K12" s="46"/>
      <c r="L12" s="46"/>
      <c r="M12" s="46"/>
      <c r="N12" s="48"/>
    </row>
    <row r="13" ht="8.75" customHeight="1" hidden="1">
      <c r="A13" s="39"/>
      <c r="B13" s="40"/>
      <c r="C13" s="41"/>
      <c r="D13" s="42"/>
      <c r="E13" s="42"/>
      <c r="F13" s="42"/>
      <c r="G13" s="43"/>
      <c r="H13" s="42"/>
      <c r="I13" s="42"/>
      <c r="J13" s="42"/>
      <c r="K13" s="42"/>
      <c r="L13" s="42"/>
      <c r="M13" s="42"/>
      <c r="N13" s="44"/>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2"/>
      <c r="I15" s="42"/>
      <c r="J15" s="42"/>
      <c r="K15" s="42"/>
      <c r="L15" s="42"/>
      <c r="M15" s="42"/>
      <c r="N15" s="44"/>
    </row>
    <row r="16" ht="8.75" customHeight="1" hidden="1">
      <c r="A16" s="39"/>
      <c r="B16" s="40"/>
      <c r="C16" s="45"/>
      <c r="D16" s="46"/>
      <c r="E16" s="46"/>
      <c r="F16" s="46"/>
      <c r="G16" s="47"/>
      <c r="H16" s="46"/>
      <c r="I16" s="46"/>
      <c r="J16" s="46"/>
      <c r="K16" s="46"/>
      <c r="L16" s="46"/>
      <c r="M16" s="46"/>
      <c r="N16" s="48"/>
    </row>
    <row r="17" ht="8.75" customHeight="1" hidden="1">
      <c r="A17" s="39"/>
      <c r="B17" s="40"/>
      <c r="C17" s="41"/>
      <c r="D17" s="42"/>
      <c r="E17" s="42"/>
      <c r="F17" s="42"/>
      <c r="G17" s="43"/>
      <c r="H17" s="43"/>
      <c r="I17" s="43"/>
      <c r="J17" s="43"/>
      <c r="K17" s="42"/>
      <c r="L17" s="43"/>
      <c r="M17" s="43"/>
      <c r="N17" s="49"/>
    </row>
    <row r="18" ht="8.75" customHeight="1" hidden="1">
      <c r="A18" s="39"/>
      <c r="B18" s="40"/>
      <c r="C18" s="45"/>
      <c r="D18" s="46"/>
      <c r="E18" s="46"/>
      <c r="F18" s="46"/>
      <c r="G18" s="47"/>
      <c r="H18" s="50"/>
      <c r="I18" s="50"/>
      <c r="J18" s="50"/>
      <c r="K18" s="46"/>
      <c r="L18" s="46"/>
      <c r="M18" s="46"/>
      <c r="N18" s="48"/>
    </row>
    <row r="19" ht="8.75" customHeight="1" hidden="1">
      <c r="A19" s="39"/>
      <c r="B19" s="40"/>
      <c r="C19" s="41"/>
      <c r="D19" s="42"/>
      <c r="E19" s="42"/>
      <c r="F19" s="42"/>
      <c r="G19" s="43"/>
      <c r="H19" s="43"/>
      <c r="I19" s="43"/>
      <c r="J19" s="43"/>
      <c r="K19" s="42"/>
      <c r="L19" s="43"/>
      <c r="M19" s="43"/>
      <c r="N19" s="49"/>
    </row>
    <row r="20" ht="8.75" customHeight="1" hidden="1">
      <c r="A20" s="39"/>
      <c r="B20" s="40"/>
      <c r="C20" s="45"/>
      <c r="D20" s="46"/>
      <c r="E20" s="46"/>
      <c r="F20" s="46"/>
      <c r="G20" s="47"/>
      <c r="H20" s="46"/>
      <c r="I20" s="46"/>
      <c r="J20" s="46"/>
      <c r="K20" s="46"/>
      <c r="L20" s="46"/>
      <c r="M20" s="46"/>
      <c r="N20" s="48"/>
    </row>
    <row r="21" ht="8.75" customHeight="1" hidden="1">
      <c r="A21" s="39"/>
      <c r="B21" s="40"/>
      <c r="C21" s="41"/>
      <c r="D21" s="42"/>
      <c r="E21" s="42"/>
      <c r="F21" s="42"/>
      <c r="G21" s="43"/>
      <c r="H21" s="42"/>
      <c r="I21" s="42"/>
      <c r="J21" s="42"/>
      <c r="K21" s="42"/>
      <c r="L21" s="42"/>
      <c r="M21" s="42"/>
      <c r="N21" s="44"/>
    </row>
    <row r="22" ht="8.75" customHeight="1" hidden="1">
      <c r="A22" s="51"/>
      <c r="B22" s="40"/>
      <c r="C22" s="45"/>
      <c r="D22" s="46"/>
      <c r="E22" s="46"/>
      <c r="F22" s="46"/>
      <c r="G22" s="47"/>
      <c r="H22" s="46"/>
      <c r="I22" s="46"/>
      <c r="J22" s="46"/>
      <c r="K22" s="46"/>
      <c r="L22" s="46"/>
      <c r="M22" s="46"/>
      <c r="N22" s="48"/>
    </row>
    <row r="23" ht="8.75" customHeight="1" hidden="1">
      <c r="A23" s="51"/>
      <c r="B23" s="40"/>
      <c r="C23" s="41"/>
      <c r="D23" s="42"/>
      <c r="E23" s="42"/>
      <c r="F23" s="42"/>
      <c r="G23" s="43"/>
      <c r="H23" s="42"/>
      <c r="I23" s="42"/>
      <c r="J23" s="42"/>
      <c r="K23" s="42"/>
      <c r="L23" s="42"/>
      <c r="M23" s="42"/>
      <c r="N23" s="44"/>
    </row>
    <row r="24" ht="8.75" customHeight="1" hidden="1">
      <c r="A24" s="39"/>
      <c r="B24" s="40"/>
      <c r="C24" s="45"/>
      <c r="D24" s="46"/>
      <c r="E24" s="46"/>
      <c r="F24" s="46"/>
      <c r="G24" s="47"/>
      <c r="H24" s="46"/>
      <c r="I24" s="46"/>
      <c r="J24" s="46"/>
      <c r="K24" s="46"/>
      <c r="L24" s="47"/>
      <c r="M24" s="47"/>
      <c r="N24" s="52"/>
    </row>
    <row r="25" ht="8.75" customHeight="1" hidden="1">
      <c r="A25" s="39"/>
      <c r="B25" s="40"/>
      <c r="C25" s="41"/>
      <c r="D25" s="42"/>
      <c r="E25" s="42"/>
      <c r="F25" s="42"/>
      <c r="G25" s="43"/>
      <c r="H25" s="42"/>
      <c r="I25" s="42"/>
      <c r="J25" s="42"/>
      <c r="K25" s="42"/>
      <c r="L25" s="42"/>
      <c r="M25" s="42"/>
      <c r="N25" s="44"/>
    </row>
    <row r="26" ht="8.75" customHeight="1" hidden="1">
      <c r="A26" s="39"/>
      <c r="B26" s="40"/>
      <c r="C26" s="45"/>
      <c r="D26" s="46"/>
      <c r="E26" s="46"/>
      <c r="F26" s="46"/>
      <c r="G26" s="47"/>
      <c r="H26" s="46"/>
      <c r="I26" s="46"/>
      <c r="J26" s="46"/>
      <c r="K26" s="46"/>
      <c r="L26" s="47"/>
      <c r="M26" s="47"/>
      <c r="N26" s="52"/>
    </row>
    <row r="27" ht="20.85" customHeight="1">
      <c r="A27" s="108"/>
      <c r="B27" s="54"/>
      <c r="C27" s="54"/>
      <c r="D27" s="55"/>
      <c r="E27" s="55"/>
      <c r="F27" s="55"/>
      <c r="G27" s="56"/>
      <c r="H27" s="56"/>
      <c r="I27" s="54"/>
      <c r="J27" s="57"/>
      <c r="K27" t="s" s="58">
        <v>38</v>
      </c>
      <c r="L27" s="59" cm="1">
        <f t="array" ref="L27">SUM(L1:L26)</f>
        <v>90089697.59999999</v>
      </c>
      <c r="M27" s="59" cm="1">
        <f t="array" ref="M27">SUM(M1:M26)</f>
        <v>90056618.40000001</v>
      </c>
      <c r="N27" s="59" cm="1">
        <f t="array" ref="N27">SUM(N1:N26)</f>
        <v>90056618.40000001</v>
      </c>
    </row>
    <row r="28" ht="21" customHeight="1">
      <c r="A28" s="63" cm="1">
        <f t="array" ref="A28">ROUND(IF(I28&lt;=100000000,I28*0.24%,IF(AND(I28&gt;100000000,I28&lt;=500000000),100000000*0.24%+(I28-100000000)*0.19%,IF(AND(I28&gt;500000000,I28&lt;=1000000000),100000000*0.24%+400000000*0.19%+(I28-500000000)*0.15%,IF(AND(I28&gt;1000000000,I28&lt;=5000000000),100000000*0.24%+400000000*0.19%+500000000*0.15%+(I28-1000000000)*0.12%,IF(I28&gt;5000000000,100000000*0.24%+400000000*0.19%+500000000*0.15%+4000000000*0.12%+(I28-5000000000)*0.1%,"Bingung komputer"))))),2)</f>
        <v>239425.2</v>
      </c>
      <c r="B28" t="s" s="109">
        <v>39</v>
      </c>
      <c r="C28" s="62"/>
      <c r="D28" s="63" cm="1">
        <f t="array" ref="D28">ROUND(IF(L28&lt;=100000000,L28*0.24%,IF(AND(L28&gt;100000000,L28&lt;=500000000),100000000*0.24%+(L28-100000000)*0.19%,IF(AND(L28&gt;500000000,L28&lt;=1000000000),100000000*0.24%+400000000*0.19%+(L28-500000000)*0.15%,IF(AND(L28&gt;1000000000,L28&lt;=5000000000),100000000*0.24%+400000000*0.19%+500000000*0.15%+(L28-1000000000)*0.12%,IF(L28&gt;5000000000,100000000*0.24%+400000000*0.19%+500000000*0.15%+4000000000*0.12%+(L28-5000000000)*0.1%,"Bingung komputer"))))),2)</f>
        <v>215697.6</v>
      </c>
      <c r="E28" s="64" cm="1">
        <f t="array" ref="E28">ROUND(IF(M28&lt;=100000000,M28*0.24%,IF(AND(M28&gt;100000000,M28&lt;=500000000),100000000*0.24%+(M28-100000000)*0.19%,IF(AND(M28&gt;500000000,M28&lt;=1000000000),100000000*0.24%+400000000*0.19%+(M28-500000000)*0.15%,IF(AND(M28&gt;1000000000,M28&lt;=5000000000),100000000*0.24%+400000000*0.19%+500000000*0.15%+(M28-1000000000)*0.12%,IF(M28&gt;5000000000,100000000*0.24%+400000000*0.19%+500000000*0.15%+4000000000*0.12%+(M28-5000000000)*0.1%,"Bingung komputer"))))),2)</f>
        <v>215618.4</v>
      </c>
      <c r="F28" s="64" cm="1">
        <f t="array" ref="F28">ROUND(IF(N28&lt;=100000000,N28*0.24%,IF(AND(N28&gt;100000000,N28&lt;=500000000),100000000*0.24%+(N28-100000000)*0.19%,IF(AND(N28&gt;500000000,N28&lt;=1000000000),100000000*0.24%+400000000*0.19%+(N28-500000000)*0.15%,IF(AND(N28&gt;1000000000,N28&lt;=5000000000),100000000*0.24%+400000000*0.19%+500000000*0.15%+(N28-1000000000)*0.12%,IF(N28&gt;5000000000,100000000*0.24%+400000000*0.19%+500000000*0.15%+4000000000*0.12%+(N28-5000000000)*0.1%,"Bingung komputer"))))),2)</f>
        <v>215618.4</v>
      </c>
      <c r="G28" s="65"/>
      <c r="H28" s="66" cm="1">
        <f t="array" ref="H28">I$28*(100/111)</f>
        <v>89874324.32432429</v>
      </c>
      <c r="I28" s="68">
        <v>99760500</v>
      </c>
      <c r="J28" s="67"/>
      <c r="K28" t="str" s="67" cm="1">
        <f t="array" ref="K28">"Jumlah Terkena Pajak "&amp;MAX(K3:K26)&amp;"% (B)"</f>
        <v>Jumlah Terkena Pajak 11,00% (B)</v>
      </c>
      <c r="L28" s="68" cm="1">
        <f t="array" ref="L28">SUMIF($K3:$K26,"&gt;0",L3:L26)</f>
        <v>89874000</v>
      </c>
      <c r="M28" s="69" cm="1">
        <f t="array" ref="M28">SUMIF($K3:$K26,"&gt;0",M3:M26)</f>
        <v>89841000</v>
      </c>
      <c r="N28" s="69" cm="1">
        <f t="array" ref="N28">SUMIF($K3:$K26,"&gt;0",N3:N26)</f>
        <v>89841000</v>
      </c>
    </row>
    <row r="29" ht="21" customHeight="1">
      <c r="A29" s="70"/>
      <c r="B29" s="71"/>
      <c r="C29" s="71"/>
      <c r="D29" s="72"/>
      <c r="E29" s="72"/>
      <c r="F29" s="71"/>
      <c r="G29" s="72"/>
      <c r="H29" s="72"/>
      <c r="I29" s="74" cm="1">
        <f t="array" ref="I29">A$28+I$28</f>
        <v>99999925.2</v>
      </c>
      <c r="J29" s="73"/>
      <c r="K29" t="str" s="73" cm="1">
        <f t="array" ref="K29">"PPN (C) = "&amp;MAX(K3:K26)&amp;"% x B"</f>
        <v>PPN (C) = 11,00% x B</v>
      </c>
      <c r="L29" s="74" cm="1">
        <f t="array" ref="L29">L28*MAX($K3:$K26)%</f>
        <v>9886140</v>
      </c>
      <c r="M29" s="69" cm="1">
        <f t="array" ref="M29">M28*MAX($K3:$K26)%</f>
        <v>9882510</v>
      </c>
      <c r="N29" s="69" cm="1">
        <f t="array" ref="N29">N28*MAX($K3:$K26)%</f>
        <v>9882510</v>
      </c>
    </row>
    <row r="30" ht="21" customHeight="1">
      <c r="A30" s="70"/>
      <c r="B30" s="71"/>
      <c r="C30" s="71"/>
      <c r="D30" s="72"/>
      <c r="E30" s="72"/>
      <c r="F30" s="72"/>
      <c r="G30" s="72"/>
      <c r="H30" s="72"/>
      <c r="I30" s="71"/>
      <c r="J30" s="73"/>
      <c r="K30" t="s" s="75">
        <v>42</v>
      </c>
      <c r="L30" s="76" cm="1">
        <f t="array" ref="L30">L27+L29</f>
        <v>99975837.59999999</v>
      </c>
      <c r="M30" s="69" cm="1">
        <f t="array" ref="M30">M27+M29</f>
        <v>99939128.40000001</v>
      </c>
      <c r="N30" s="69" cm="1">
        <f t="array" ref="N30">N27+N29</f>
        <v>99939128.40000001</v>
      </c>
    </row>
    <row r="31" ht="20.5" customHeight="1">
      <c r="A31" s="70"/>
      <c r="B31" s="71"/>
      <c r="C31" s="71"/>
      <c r="D31" s="72"/>
      <c r="E31" s="72"/>
      <c r="F31" s="72"/>
      <c r="G31" s="72"/>
      <c r="H31" s="72"/>
      <c r="I31" s="71"/>
      <c r="J31" s="73"/>
      <c r="K31" t="s" s="75">
        <v>43</v>
      </c>
      <c r="L31" s="68" cm="1">
        <f t="array" ref="L31">ROUNDDOWN(L30,2)</f>
        <v>99975837.59999999</v>
      </c>
      <c r="M31" s="68" cm="1">
        <f t="array" ref="M31">ROUNDDOWN(M30,2)</f>
        <v>99939128.40000001</v>
      </c>
      <c r="N31" s="68" cm="1">
        <f t="array" ref="N31">ROUNDDOWN(N30,-3)</f>
        <v>99939000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43.xml><?xml version="1.0" encoding="utf-8"?>
<worksheet xmlns:r="http://schemas.openxmlformats.org/officeDocument/2006/relationships" xmlns="http://schemas.openxmlformats.org/spreadsheetml/2006/main">
  <sheetPr>
    <pageSetUpPr fitToPage="1"/>
  </sheetPr>
  <dimension ref="A1:N31"/>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157" customWidth="1"/>
    <col min="2" max="2" width="43.0312" style="157" customWidth="1"/>
    <col min="3" max="3" width="2.75" style="157" customWidth="1"/>
    <col min="4" max="6" width="10.3672" style="157" customWidth="1"/>
    <col min="7" max="7" width="11.6875" style="157" customWidth="1"/>
    <col min="8" max="11" width="13.5156" style="157" customWidth="1"/>
    <col min="12" max="14" width="14.2344" style="157" customWidth="1"/>
    <col min="15" max="16384" width="16.3516" style="157"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109</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s="95">
        <v>1</v>
      </c>
      <c r="B4" t="s" s="19">
        <v>110</v>
      </c>
      <c r="C4" s="20"/>
      <c r="D4" s="21">
        <v>1</v>
      </c>
      <c r="E4" s="21" cm="1">
        <f t="array" ref="E4">D4</f>
        <v>1</v>
      </c>
      <c r="F4" s="21" cm="1">
        <f t="array" ref="F4">D4</f>
        <v>1</v>
      </c>
      <c r="G4" t="s" s="22">
        <v>19</v>
      </c>
      <c r="H4" s="21" cm="1">
        <f t="array" ref="H4">ROUNDDOWN((49890500*0.1)*100/111,-2)</f>
        <v>4494600</v>
      </c>
      <c r="I4" s="21">
        <v>4490000</v>
      </c>
      <c r="J4" s="21">
        <v>4490000</v>
      </c>
      <c r="K4" s="21">
        <v>11</v>
      </c>
      <c r="L4" s="21" cm="1">
        <f t="array" ref="L4">IF(D4&gt;0,IF($D4&lt;=0,0,D4*H4),"")</f>
        <v>4494600</v>
      </c>
      <c r="M4" s="21" cm="1">
        <f t="array" ref="M4">IF(E4&gt;0,IF($D4&lt;=0,0,ROUND(E4*I4,2)),"")</f>
        <v>4490000</v>
      </c>
      <c r="N4" s="23" cm="1">
        <f t="array" ref="N4">IF(F4&gt;0,IF($D4&lt;=0,0,ROUND(F4*J4,2)),"")</f>
        <v>4490000</v>
      </c>
    </row>
    <row r="5" ht="20.5" customHeight="1">
      <c r="A5" s="95">
        <v>2</v>
      </c>
      <c r="B5" t="s" s="19">
        <v>111</v>
      </c>
      <c r="C5" s="24"/>
      <c r="D5" s="26">
        <v>1</v>
      </c>
      <c r="E5" s="26" cm="1">
        <f t="array" ref="E5">D5</f>
        <v>1</v>
      </c>
      <c r="F5" s="26" cm="1">
        <f t="array" ref="F5">D5</f>
        <v>1</v>
      </c>
      <c r="G5" t="s" s="27">
        <v>19</v>
      </c>
      <c r="H5" s="26" cm="1">
        <f t="array" ref="H5">ROUNDDOWN((49890500*0.2)*100/111,-2)</f>
        <v>8989200</v>
      </c>
      <c r="I5" s="26">
        <v>8980000</v>
      </c>
      <c r="J5" s="26">
        <v>8980000</v>
      </c>
      <c r="K5" s="26">
        <v>11</v>
      </c>
      <c r="L5" s="26" cm="1">
        <f t="array" ref="L5">IF(D5&gt;0,IF($D5&lt;=0,0,D5*H5),"")</f>
        <v>8989200</v>
      </c>
      <c r="M5" s="26" cm="1">
        <f t="array" ref="M5">IF(E5&gt;0,IF($D5&lt;=0,0,ROUND(E5*I5,2)),"")</f>
        <v>8980000</v>
      </c>
      <c r="N5" s="28" cm="1">
        <f t="array" ref="N5">IF(F5&gt;0,IF($D5&lt;=0,0,ROUND(F5*J5,2)),"")</f>
        <v>8980000</v>
      </c>
    </row>
    <row r="6" ht="20.5" customHeight="1">
      <c r="A6" s="95">
        <v>3</v>
      </c>
      <c r="B6" t="s" s="19">
        <v>112</v>
      </c>
      <c r="C6" s="20"/>
      <c r="D6" s="21">
        <v>1</v>
      </c>
      <c r="E6" s="21" cm="1">
        <f t="array" ref="E6">D6</f>
        <v>1</v>
      </c>
      <c r="F6" s="21" cm="1">
        <f t="array" ref="F6">D6</f>
        <v>1</v>
      </c>
      <c r="G6" t="s" s="22">
        <v>19</v>
      </c>
      <c r="H6" s="21" cm="1">
        <f t="array" ref="H6">ROUNDDOWN((49890500*0.25)*100/111,-2)</f>
        <v>11236500</v>
      </c>
      <c r="I6" s="21">
        <v>11225000</v>
      </c>
      <c r="J6" s="21">
        <v>11225000</v>
      </c>
      <c r="K6" s="21">
        <v>11</v>
      </c>
      <c r="L6" s="21" cm="1">
        <f t="array" ref="L6">IF(D6&gt;0,IF($D6&lt;=0,0,D6*H6),"")</f>
        <v>11236500</v>
      </c>
      <c r="M6" s="21" cm="1">
        <f t="array" ref="M6">IF(E6&gt;0,IF($D6&lt;=0,0,ROUND(E6*I6,2)),"")</f>
        <v>11225000</v>
      </c>
      <c r="N6" s="23" cm="1">
        <f t="array" ref="N6">IF(F6&gt;0,IF($D6&lt;=0,0,ROUND(F6*J6,2)),"")</f>
        <v>11225000</v>
      </c>
    </row>
    <row r="7" ht="68.5" customHeight="1">
      <c r="A7" s="95">
        <v>5</v>
      </c>
      <c r="B7" t="s" s="19">
        <v>113</v>
      </c>
      <c r="C7" s="24"/>
      <c r="D7" s="26">
        <v>1</v>
      </c>
      <c r="E7" s="26" cm="1">
        <f t="array" ref="E7">D7</f>
        <v>1</v>
      </c>
      <c r="F7" s="26" cm="1">
        <f t="array" ref="F7">D7</f>
        <v>1</v>
      </c>
      <c r="G7" t="s" s="27">
        <v>19</v>
      </c>
      <c r="H7" s="26" cm="1">
        <f t="array" ref="H7">ROUNDDOWN((49890500*0.25)*100/111,-2)</f>
        <v>11236500</v>
      </c>
      <c r="I7" s="26">
        <v>11225000</v>
      </c>
      <c r="J7" s="26">
        <v>11225000</v>
      </c>
      <c r="K7" s="26">
        <v>11</v>
      </c>
      <c r="L7" s="26" cm="1">
        <f t="array" ref="L7">IF(D7&gt;0,IF($D7&lt;=0,0,D7*H7),"")</f>
        <v>11236500</v>
      </c>
      <c r="M7" s="26" cm="1">
        <f t="array" ref="M7">IF(E7&gt;0,IF($D7&lt;=0,0,ROUND(E7*I7,2)),"")</f>
        <v>11225000</v>
      </c>
      <c r="N7" s="28" cm="1">
        <f t="array" ref="N7">IF(F7&gt;0,IF($D7&lt;=0,0,ROUND(F7*J7,2)),"")</f>
        <v>11225000</v>
      </c>
    </row>
    <row r="8" ht="32.5" customHeight="1">
      <c r="A8" s="95">
        <v>6</v>
      </c>
      <c r="B8" t="s" s="19">
        <v>114</v>
      </c>
      <c r="C8" s="20"/>
      <c r="D8" s="21">
        <v>1</v>
      </c>
      <c r="E8" s="21" cm="1">
        <f t="array" ref="E8">D8</f>
        <v>1</v>
      </c>
      <c r="F8" s="21" cm="1">
        <f t="array" ref="F8">D8</f>
        <v>1</v>
      </c>
      <c r="G8" t="s" s="22">
        <v>19</v>
      </c>
      <c r="H8" s="21" cm="1">
        <f t="array" ref="H8">ROUNDDOWN((49890500*0.05)*100/111,-2)</f>
        <v>2247300</v>
      </c>
      <c r="I8" s="21">
        <v>2245000</v>
      </c>
      <c r="J8" s="21">
        <v>2245000</v>
      </c>
      <c r="K8" s="21">
        <v>11</v>
      </c>
      <c r="L8" s="21" cm="1">
        <f t="array" ref="L8">IF(D8&gt;0,IF($D8&lt;=0,0,D8*H8),"")</f>
        <v>2247300</v>
      </c>
      <c r="M8" s="21" cm="1">
        <f t="array" ref="M8">IF(E8&gt;0,IF($D8&lt;=0,0,ROUND(E8*I8,2)),"")</f>
        <v>2245000</v>
      </c>
      <c r="N8" s="23" cm="1">
        <f t="array" ref="N8">IF(F8&gt;0,IF($D8&lt;=0,0,ROUND(F8*J8,2)),"")</f>
        <v>2245000</v>
      </c>
    </row>
    <row r="9" ht="20.5" customHeight="1">
      <c r="A9" s="95">
        <v>7</v>
      </c>
      <c r="B9" t="s" s="19">
        <v>115</v>
      </c>
      <c r="C9" s="24"/>
      <c r="D9" s="26">
        <v>1</v>
      </c>
      <c r="E9" s="26" cm="1">
        <f t="array" ref="E9">D9</f>
        <v>1</v>
      </c>
      <c r="F9" s="26" cm="1">
        <f t="array" ref="F9">D9</f>
        <v>1</v>
      </c>
      <c r="G9" t="s" s="27">
        <v>19</v>
      </c>
      <c r="H9" s="26" cm="1">
        <f t="array" ref="H9">ROUNDDOWN((49890500*0.15)*100/111,-2)</f>
        <v>6741900</v>
      </c>
      <c r="I9" s="26">
        <v>6735000</v>
      </c>
      <c r="J9" s="26">
        <v>6735000</v>
      </c>
      <c r="K9" s="26">
        <v>11</v>
      </c>
      <c r="L9" s="26" cm="1">
        <f t="array" ref="L9">IF(D9&gt;0,IF($D9&lt;=0,0,D9*H9),"")</f>
        <v>6741900</v>
      </c>
      <c r="M9" s="26" cm="1">
        <f t="array" ref="M9">IF(E9&gt;0,IF($D9&lt;=0,0,ROUND(E9*I9,2)),"")</f>
        <v>6735000</v>
      </c>
      <c r="N9" s="28" cm="1">
        <f t="array" ref="N9">IF(F9&gt;0,IF($D9&lt;=0,0,ROUND(F9*J9,2)),"")</f>
        <v>6735000</v>
      </c>
    </row>
    <row r="10" ht="20.6" customHeight="1">
      <c r="A10" s="33">
        <v>8</v>
      </c>
      <c r="B10" t="s" s="34">
        <v>37</v>
      </c>
      <c r="C10" s="35"/>
      <c r="D10" s="36">
        <v>1</v>
      </c>
      <c r="E10" s="36" cm="1">
        <f t="array" ref="E10">D10</f>
        <v>1</v>
      </c>
      <c r="F10" s="36" cm="1">
        <f t="array" ref="F10">D10</f>
        <v>1</v>
      </c>
      <c r="G10" t="s" s="37">
        <v>19</v>
      </c>
      <c r="H10" s="36">
        <v>107870.4</v>
      </c>
      <c r="I10" s="36">
        <v>107760</v>
      </c>
      <c r="J10" s="36">
        <v>107760</v>
      </c>
      <c r="K10" s="36">
        <v>0</v>
      </c>
      <c r="L10" s="36" cm="1">
        <f t="array" ref="L10">IF(D10&gt;0,IF($D10&lt;=0,0,D10*H10),"")</f>
        <v>107870.4</v>
      </c>
      <c r="M10" s="36" cm="1">
        <f t="array" ref="M10">IF(E10&gt;0,IF($D10&lt;=0,0,ROUND(E10*I10,2)),"")</f>
        <v>107760</v>
      </c>
      <c r="N10" s="38" cm="1">
        <f t="array" ref="N10">IF(F10&gt;0,IF($D10&lt;=0,0,ROUND(F10*J10,2)),"")</f>
        <v>107760</v>
      </c>
    </row>
    <row r="11" ht="8.75" customHeight="1" hidden="1">
      <c r="A11" s="39"/>
      <c r="B11" s="40"/>
      <c r="C11" s="41"/>
      <c r="D11" s="42"/>
      <c r="E11" s="42"/>
      <c r="F11" s="42"/>
      <c r="G11" s="43"/>
      <c r="H11" s="42"/>
      <c r="I11" s="42"/>
      <c r="J11" s="42"/>
      <c r="K11" s="42"/>
      <c r="L11" s="42"/>
      <c r="M11" s="42"/>
      <c r="N11" s="44"/>
    </row>
    <row r="12" ht="8.75" customHeight="1" hidden="1">
      <c r="A12" s="39"/>
      <c r="B12" s="40"/>
      <c r="C12" s="45"/>
      <c r="D12" s="46"/>
      <c r="E12" s="46"/>
      <c r="F12" s="46"/>
      <c r="G12" s="47"/>
      <c r="H12" s="46"/>
      <c r="I12" s="46"/>
      <c r="J12" s="46"/>
      <c r="K12" s="46"/>
      <c r="L12" s="46"/>
      <c r="M12" s="46"/>
      <c r="N12" s="48"/>
    </row>
    <row r="13" ht="8.75" customHeight="1" hidden="1">
      <c r="A13" s="39"/>
      <c r="B13" s="40"/>
      <c r="C13" s="41"/>
      <c r="D13" s="42"/>
      <c r="E13" s="42"/>
      <c r="F13" s="42"/>
      <c r="G13" s="43"/>
      <c r="H13" s="42"/>
      <c r="I13" s="42"/>
      <c r="J13" s="42"/>
      <c r="K13" s="42"/>
      <c r="L13" s="42"/>
      <c r="M13" s="42"/>
      <c r="N13" s="44"/>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2"/>
      <c r="I15" s="42"/>
      <c r="J15" s="42"/>
      <c r="K15" s="42"/>
      <c r="L15" s="42"/>
      <c r="M15" s="42"/>
      <c r="N15" s="44"/>
    </row>
    <row r="16" ht="8.75" customHeight="1" hidden="1">
      <c r="A16" s="39"/>
      <c r="B16" s="40"/>
      <c r="C16" s="45"/>
      <c r="D16" s="46"/>
      <c r="E16" s="46"/>
      <c r="F16" s="46"/>
      <c r="G16" s="47"/>
      <c r="H16" s="46"/>
      <c r="I16" s="46"/>
      <c r="J16" s="46"/>
      <c r="K16" s="46"/>
      <c r="L16" s="46"/>
      <c r="M16" s="46"/>
      <c r="N16" s="48"/>
    </row>
    <row r="17" ht="8.75" customHeight="1" hidden="1">
      <c r="A17" s="39"/>
      <c r="B17" s="40"/>
      <c r="C17" s="41"/>
      <c r="D17" s="42"/>
      <c r="E17" s="42"/>
      <c r="F17" s="42"/>
      <c r="G17" s="43"/>
      <c r="H17" s="43"/>
      <c r="I17" s="43"/>
      <c r="J17" s="43"/>
      <c r="K17" s="42"/>
      <c r="L17" s="43"/>
      <c r="M17" s="43"/>
      <c r="N17" s="49"/>
    </row>
    <row r="18" ht="8.75" customHeight="1" hidden="1">
      <c r="A18" s="39"/>
      <c r="B18" s="40"/>
      <c r="C18" s="45"/>
      <c r="D18" s="46"/>
      <c r="E18" s="46"/>
      <c r="F18" s="46"/>
      <c r="G18" s="47"/>
      <c r="H18" s="50"/>
      <c r="I18" s="50"/>
      <c r="J18" s="50"/>
      <c r="K18" s="46"/>
      <c r="L18" s="46"/>
      <c r="M18" s="46"/>
      <c r="N18" s="48"/>
    </row>
    <row r="19" ht="8.75" customHeight="1" hidden="1">
      <c r="A19" s="39"/>
      <c r="B19" s="40"/>
      <c r="C19" s="41"/>
      <c r="D19" s="42"/>
      <c r="E19" s="42"/>
      <c r="F19" s="42"/>
      <c r="G19" s="43"/>
      <c r="H19" s="43"/>
      <c r="I19" s="43"/>
      <c r="J19" s="43"/>
      <c r="K19" s="42"/>
      <c r="L19" s="43"/>
      <c r="M19" s="43"/>
      <c r="N19" s="49"/>
    </row>
    <row r="20" ht="8.75" customHeight="1" hidden="1">
      <c r="A20" s="39"/>
      <c r="B20" s="40"/>
      <c r="C20" s="45"/>
      <c r="D20" s="46"/>
      <c r="E20" s="46"/>
      <c r="F20" s="46"/>
      <c r="G20" s="47"/>
      <c r="H20" s="46"/>
      <c r="I20" s="46"/>
      <c r="J20" s="46"/>
      <c r="K20" s="46"/>
      <c r="L20" s="46"/>
      <c r="M20" s="46"/>
      <c r="N20" s="48"/>
    </row>
    <row r="21" ht="8.75" customHeight="1" hidden="1">
      <c r="A21" s="39"/>
      <c r="B21" s="40"/>
      <c r="C21" s="41"/>
      <c r="D21" s="42"/>
      <c r="E21" s="42"/>
      <c r="F21" s="42"/>
      <c r="G21" s="43"/>
      <c r="H21" s="42"/>
      <c r="I21" s="42"/>
      <c r="J21" s="42"/>
      <c r="K21" s="42"/>
      <c r="L21" s="42"/>
      <c r="M21" s="42"/>
      <c r="N21" s="44"/>
    </row>
    <row r="22" ht="8.75" customHeight="1" hidden="1">
      <c r="A22" s="51"/>
      <c r="B22" s="40"/>
      <c r="C22" s="45"/>
      <c r="D22" s="46"/>
      <c r="E22" s="46"/>
      <c r="F22" s="46"/>
      <c r="G22" s="47"/>
      <c r="H22" s="46"/>
      <c r="I22" s="46"/>
      <c r="J22" s="46"/>
      <c r="K22" s="46"/>
      <c r="L22" s="46"/>
      <c r="M22" s="46"/>
      <c r="N22" s="48"/>
    </row>
    <row r="23" ht="8.75" customHeight="1" hidden="1">
      <c r="A23" s="51"/>
      <c r="B23" s="40"/>
      <c r="C23" s="41"/>
      <c r="D23" s="42"/>
      <c r="E23" s="42"/>
      <c r="F23" s="42"/>
      <c r="G23" s="43"/>
      <c r="H23" s="42"/>
      <c r="I23" s="42"/>
      <c r="J23" s="42"/>
      <c r="K23" s="42"/>
      <c r="L23" s="42"/>
      <c r="M23" s="42"/>
      <c r="N23" s="44"/>
    </row>
    <row r="24" ht="8.75" customHeight="1" hidden="1">
      <c r="A24" s="39"/>
      <c r="B24" s="40"/>
      <c r="C24" s="45"/>
      <c r="D24" s="46"/>
      <c r="E24" s="46"/>
      <c r="F24" s="46"/>
      <c r="G24" s="47"/>
      <c r="H24" s="46"/>
      <c r="I24" s="46"/>
      <c r="J24" s="46"/>
      <c r="K24" s="46"/>
      <c r="L24" s="47"/>
      <c r="M24" s="47"/>
      <c r="N24" s="52"/>
    </row>
    <row r="25" ht="8.75" customHeight="1" hidden="1">
      <c r="A25" s="39"/>
      <c r="B25" s="40"/>
      <c r="C25" s="41"/>
      <c r="D25" s="42"/>
      <c r="E25" s="42"/>
      <c r="F25" s="42"/>
      <c r="G25" s="43"/>
      <c r="H25" s="42"/>
      <c r="I25" s="42"/>
      <c r="J25" s="42"/>
      <c r="K25" s="42"/>
      <c r="L25" s="42"/>
      <c r="M25" s="42"/>
      <c r="N25" s="44"/>
    </row>
    <row r="26" ht="8.75" customHeight="1" hidden="1">
      <c r="A26" s="39"/>
      <c r="B26" s="40"/>
      <c r="C26" s="45"/>
      <c r="D26" s="46"/>
      <c r="E26" s="46"/>
      <c r="F26" s="46"/>
      <c r="G26" s="47"/>
      <c r="H26" s="46"/>
      <c r="I26" s="46"/>
      <c r="J26" s="46"/>
      <c r="K26" s="46"/>
      <c r="L26" s="47"/>
      <c r="M26" s="47"/>
      <c r="N26" s="52"/>
    </row>
    <row r="27" ht="20.85" customHeight="1">
      <c r="A27" s="108"/>
      <c r="B27" s="54"/>
      <c r="C27" s="54"/>
      <c r="D27" s="55"/>
      <c r="E27" s="55"/>
      <c r="F27" s="55"/>
      <c r="G27" s="56"/>
      <c r="H27" s="56"/>
      <c r="I27" s="54"/>
      <c r="J27" s="57"/>
      <c r="K27" t="s" s="58">
        <v>38</v>
      </c>
      <c r="L27" s="59" cm="1">
        <f t="array" ref="L27">SUM(L1:L26)</f>
        <v>45053870.4</v>
      </c>
      <c r="M27" s="59" cm="1">
        <f t="array" ref="M27">SUM(M1:M26)</f>
        <v>45007760</v>
      </c>
      <c r="N27" s="59" cm="1">
        <f t="array" ref="N27">SUM(N1:N26)</f>
        <v>45007760</v>
      </c>
    </row>
    <row r="28" ht="21" customHeight="1">
      <c r="A28" s="63" cm="1">
        <f t="array" ref="A28">ROUND(IF(I28&lt;=100000000,I28*0.24%,IF(AND(I28&gt;100000000,I28&lt;=500000000),100000000*0.24%+(I28-100000000)*0.19%,IF(AND(I28&gt;500000000,I28&lt;=1000000000),100000000*0.24%+400000000*0.19%+(I28-500000000)*0.15%,IF(AND(I28&gt;1000000000,I28&lt;=5000000000),100000000*0.24%+400000000*0.19%+500000000*0.15%+(I28-1000000000)*0.12%,IF(I28&gt;5000000000,100000000*0.24%+400000000*0.19%+500000000*0.15%+4000000000*0.12%+(I28-5000000000)*0.1%,"Bingung komputer"))))),2)</f>
        <v>119737.2</v>
      </c>
      <c r="B28" t="s" s="109">
        <v>39</v>
      </c>
      <c r="C28" s="62"/>
      <c r="D28" s="63" cm="1">
        <f t="array" ref="D28">ROUND(IF(L28&lt;=100000000,L28*0.24%,IF(AND(L28&gt;100000000,L28&lt;=500000000),100000000*0.24%+(L28-100000000)*0.19%,IF(AND(L28&gt;500000000,L28&lt;=1000000000),100000000*0.24%+400000000*0.19%+(L28-500000000)*0.15%,IF(AND(L28&gt;1000000000,L28&lt;=5000000000),100000000*0.24%+400000000*0.19%+500000000*0.15%+(L28-1000000000)*0.12%,IF(L28&gt;5000000000,100000000*0.24%+400000000*0.19%+500000000*0.15%+4000000000*0.12%+(L28-5000000000)*0.1%,"Bingung komputer"))))),2)</f>
        <v>107870.4</v>
      </c>
      <c r="E28" s="64" cm="1">
        <f t="array" ref="E28">ROUND(IF(M28&lt;=100000000,M28*0.24%,IF(AND(M28&gt;100000000,M28&lt;=500000000),100000000*0.24%+(M28-100000000)*0.19%,IF(AND(M28&gt;500000000,M28&lt;=1000000000),100000000*0.24%+400000000*0.19%+(M28-500000000)*0.15%,IF(AND(M28&gt;1000000000,M28&lt;=5000000000),100000000*0.24%+400000000*0.19%+500000000*0.15%+(M28-1000000000)*0.12%,IF(M28&gt;5000000000,100000000*0.24%+400000000*0.19%+500000000*0.15%+4000000000*0.12%+(M28-5000000000)*0.1%,"Bingung komputer"))))),2)</f>
        <v>107760</v>
      </c>
      <c r="F28" s="64" cm="1">
        <f t="array" ref="F28">ROUND(IF(N28&lt;=100000000,N28*0.24%,IF(AND(N28&gt;100000000,N28&lt;=500000000),100000000*0.24%+(N28-100000000)*0.19%,IF(AND(N28&gt;500000000,N28&lt;=1000000000),100000000*0.24%+400000000*0.19%+(N28-500000000)*0.15%,IF(AND(N28&gt;1000000000,N28&lt;=5000000000),100000000*0.24%+400000000*0.19%+500000000*0.15%+(N28-1000000000)*0.12%,IF(N28&gt;5000000000,100000000*0.24%+400000000*0.19%+500000000*0.15%+4000000000*0.12%+(N28-5000000000)*0.1%,"Bingung komputer"))))),2)</f>
        <v>107760</v>
      </c>
      <c r="G28" s="65"/>
      <c r="H28" s="66" cm="1">
        <f t="array" ref="H28">I$28*(100/111)</f>
        <v>44946396.3963964</v>
      </c>
      <c r="I28" s="68">
        <v>49890500</v>
      </c>
      <c r="J28" s="67"/>
      <c r="K28" t="str" s="67" cm="1">
        <f t="array" ref="K28">"Jumlah Terkena Pajak "&amp;MAX(K3:K26)&amp;"% (B)"</f>
        <v>Jumlah Terkena Pajak 11,00% (B)</v>
      </c>
      <c r="L28" s="68" cm="1">
        <f t="array" ref="L28">SUMIF($K3:$K26,"&gt;0",L3:L26)</f>
        <v>44946000</v>
      </c>
      <c r="M28" s="69" cm="1">
        <f t="array" ref="M28">SUMIF($K3:$K26,"&gt;0",M3:M26)</f>
        <v>44900000</v>
      </c>
      <c r="N28" s="69" cm="1">
        <f t="array" ref="N28">SUMIF($K3:$K26,"&gt;0",N3:N26)</f>
        <v>44900000</v>
      </c>
    </row>
    <row r="29" ht="21" customHeight="1">
      <c r="A29" s="70"/>
      <c r="B29" s="71"/>
      <c r="C29" s="71"/>
      <c r="D29" s="72"/>
      <c r="E29" s="72"/>
      <c r="F29" s="71"/>
      <c r="G29" s="72"/>
      <c r="H29" s="72"/>
      <c r="I29" s="74" cm="1">
        <f t="array" ref="I29">A$28+I$28</f>
        <v>50010237.2</v>
      </c>
      <c r="J29" s="73"/>
      <c r="K29" t="str" s="73" cm="1">
        <f t="array" ref="K29">"PPN (C) = "&amp;MAX(K3:K26)&amp;"% x B"</f>
        <v>PPN (C) = 11,00% x B</v>
      </c>
      <c r="L29" s="74" cm="1">
        <f t="array" ref="L29">L28*MAX($K3:$K26)%</f>
        <v>4944060</v>
      </c>
      <c r="M29" s="69" cm="1">
        <f t="array" ref="M29">M28*MAX($K3:$K26)%</f>
        <v>4939000</v>
      </c>
      <c r="N29" s="69" cm="1">
        <f t="array" ref="N29">N28*MAX($K3:$K26)%</f>
        <v>4939000</v>
      </c>
    </row>
    <row r="30" ht="21" customHeight="1">
      <c r="A30" s="70"/>
      <c r="B30" s="71"/>
      <c r="C30" s="71"/>
      <c r="D30" s="72"/>
      <c r="E30" s="72"/>
      <c r="F30" s="72"/>
      <c r="G30" s="72"/>
      <c r="H30" s="72"/>
      <c r="I30" s="71"/>
      <c r="J30" s="73"/>
      <c r="K30" t="s" s="75">
        <v>42</v>
      </c>
      <c r="L30" s="76" cm="1">
        <f t="array" ref="L30">L27+L29</f>
        <v>49997930.4</v>
      </c>
      <c r="M30" s="69" cm="1">
        <f t="array" ref="M30">M27+M29</f>
        <v>49946760</v>
      </c>
      <c r="N30" s="69" cm="1">
        <f t="array" ref="N30">N27+N29</f>
        <v>49946760</v>
      </c>
    </row>
    <row r="31" ht="20.5" customHeight="1">
      <c r="A31" s="70"/>
      <c r="B31" s="71"/>
      <c r="C31" s="71"/>
      <c r="D31" s="72"/>
      <c r="E31" s="72"/>
      <c r="F31" s="72"/>
      <c r="G31" s="72"/>
      <c r="H31" s="72"/>
      <c r="I31" s="71"/>
      <c r="J31" s="73"/>
      <c r="K31" t="s" s="75">
        <v>43</v>
      </c>
      <c r="L31" s="68" cm="1">
        <f t="array" ref="L31">ROUNDDOWN(L30,2)</f>
        <v>49997930.4</v>
      </c>
      <c r="M31" s="68" cm="1">
        <f t="array" ref="M31">ROUNDDOWN(M30,2)</f>
        <v>49946760</v>
      </c>
      <c r="N31" s="68" cm="1">
        <f t="array" ref="N31">ROUNDDOWN(N30,-3)</f>
        <v>49946000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44.xml><?xml version="1.0" encoding="utf-8"?>
<worksheet xmlns:r="http://schemas.openxmlformats.org/officeDocument/2006/relationships" xmlns="http://schemas.openxmlformats.org/spreadsheetml/2006/main">
  <sheetPr>
    <pageSetUpPr fitToPage="1"/>
  </sheetPr>
  <dimension ref="A1:N31"/>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158" customWidth="1"/>
    <col min="2" max="2" width="43.0312" style="158" customWidth="1"/>
    <col min="3" max="3" width="2.75" style="158" customWidth="1"/>
    <col min="4" max="6" width="10.3672" style="158" customWidth="1"/>
    <col min="7" max="7" width="11.6875" style="158" customWidth="1"/>
    <col min="8" max="11" width="13.5156" style="158" customWidth="1"/>
    <col min="12" max="14" width="14.2344" style="158" customWidth="1"/>
    <col min="15" max="16384" width="16.3516" style="158"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109</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s="95">
        <v>1</v>
      </c>
      <c r="B4" t="s" s="19">
        <v>110</v>
      </c>
      <c r="C4" s="20"/>
      <c r="D4" s="21">
        <v>1</v>
      </c>
      <c r="E4" s="21" cm="1">
        <f t="array" ref="E4">D4</f>
        <v>1</v>
      </c>
      <c r="F4" s="21" cm="1">
        <f t="array" ref="F4">D4</f>
        <v>1</v>
      </c>
      <c r="G4" t="s" s="22">
        <v>19</v>
      </c>
      <c r="H4" s="21" cm="1">
        <f t="array" ref="H4">ROUNDDOWN((99760500*0.1)*100/111,-2)</f>
        <v>8987400</v>
      </c>
      <c r="I4" s="21">
        <v>8980000</v>
      </c>
      <c r="J4" s="21">
        <v>8980000</v>
      </c>
      <c r="K4" s="21">
        <v>11</v>
      </c>
      <c r="L4" s="21" cm="1">
        <f t="array" ref="L4">IF(D4&gt;0,IF($D4&lt;=0,0,D4*H4),"")</f>
        <v>8987400</v>
      </c>
      <c r="M4" s="21" cm="1">
        <f t="array" ref="M4">IF(E4&gt;0,IF($D4&lt;=0,0,ROUND(E4*I4,2)),"")</f>
        <v>8980000</v>
      </c>
      <c r="N4" s="23" cm="1">
        <f t="array" ref="N4">IF(F4&gt;0,IF($D4&lt;=0,0,ROUND(F4*J4,2)),"")</f>
        <v>8980000</v>
      </c>
    </row>
    <row r="5" ht="20.5" customHeight="1">
      <c r="A5" s="95">
        <v>2</v>
      </c>
      <c r="B5" t="s" s="19">
        <v>111</v>
      </c>
      <c r="C5" s="24"/>
      <c r="D5" s="26">
        <v>1</v>
      </c>
      <c r="E5" s="26" cm="1">
        <f t="array" ref="E5">D5</f>
        <v>1</v>
      </c>
      <c r="F5" s="26" cm="1">
        <f t="array" ref="F5">D5</f>
        <v>1</v>
      </c>
      <c r="G5" t="s" s="27">
        <v>19</v>
      </c>
      <c r="H5" s="26" cm="1">
        <f t="array" ref="H5">ROUNDDOWN((99760500*0.2)*100/111,-2)</f>
        <v>17974800</v>
      </c>
      <c r="I5" s="26">
        <v>17940000</v>
      </c>
      <c r="J5" s="26">
        <v>17940000</v>
      </c>
      <c r="K5" s="26">
        <v>11</v>
      </c>
      <c r="L5" s="26" cm="1">
        <f t="array" ref="L5">IF(D5&gt;0,IF($D5&lt;=0,0,D5*H5),"")</f>
        <v>17974800</v>
      </c>
      <c r="M5" s="26" cm="1">
        <f t="array" ref="M5">IF(E5&gt;0,IF($D5&lt;=0,0,ROUND(E5*I5,2)),"")</f>
        <v>17940000</v>
      </c>
      <c r="N5" s="28" cm="1">
        <f t="array" ref="N5">IF(F5&gt;0,IF($D5&lt;=0,0,ROUND(F5*J5,2)),"")</f>
        <v>17940000</v>
      </c>
    </row>
    <row r="6" ht="20.5" customHeight="1">
      <c r="A6" s="95">
        <v>3</v>
      </c>
      <c r="B6" t="s" s="19">
        <v>112</v>
      </c>
      <c r="C6" s="20"/>
      <c r="D6" s="21">
        <v>1</v>
      </c>
      <c r="E6" s="21" cm="1">
        <f t="array" ref="E6">D6</f>
        <v>1</v>
      </c>
      <c r="F6" s="21" cm="1">
        <f t="array" ref="F6">D6</f>
        <v>1</v>
      </c>
      <c r="G6" t="s" s="22">
        <v>19</v>
      </c>
      <c r="H6" s="21" cm="1">
        <f t="array" ref="H6">ROUNDDOWN((99760500*0.25)*100/111,-2)</f>
        <v>22468500</v>
      </c>
      <c r="I6" s="21">
        <v>22460000</v>
      </c>
      <c r="J6" s="21">
        <v>22460000</v>
      </c>
      <c r="K6" s="21">
        <v>11</v>
      </c>
      <c r="L6" s="21" cm="1">
        <f t="array" ref="L6">IF(D6&gt;0,IF($D6&lt;=0,0,D6*H6),"")</f>
        <v>22468500</v>
      </c>
      <c r="M6" s="21" cm="1">
        <f t="array" ref="M6">IF(E6&gt;0,IF($D6&lt;=0,0,ROUND(E6*I6,2)),"")</f>
        <v>22460000</v>
      </c>
      <c r="N6" s="23" cm="1">
        <f t="array" ref="N6">IF(F6&gt;0,IF($D6&lt;=0,0,ROUND(F6*J6,2)),"")</f>
        <v>22460000</v>
      </c>
    </row>
    <row r="7" ht="68.5" customHeight="1">
      <c r="A7" s="95">
        <v>5</v>
      </c>
      <c r="B7" t="s" s="19">
        <v>113</v>
      </c>
      <c r="C7" s="24"/>
      <c r="D7" s="26">
        <v>1</v>
      </c>
      <c r="E7" s="26" cm="1">
        <f t="array" ref="E7">D7</f>
        <v>1</v>
      </c>
      <c r="F7" s="26" cm="1">
        <f t="array" ref="F7">D7</f>
        <v>1</v>
      </c>
      <c r="G7" t="s" s="27">
        <v>19</v>
      </c>
      <c r="H7" s="26" cm="1">
        <f t="array" ref="H7">ROUNDDOWN((99760500*0.25)*100/111,-2)</f>
        <v>22468500</v>
      </c>
      <c r="I7" s="26">
        <v>22460000</v>
      </c>
      <c r="J7" s="26">
        <v>22460000</v>
      </c>
      <c r="K7" s="26">
        <v>11</v>
      </c>
      <c r="L7" s="26" cm="1">
        <f t="array" ref="L7">IF(D7&gt;0,IF($D7&lt;=0,0,D7*H7),"")</f>
        <v>22468500</v>
      </c>
      <c r="M7" s="26" cm="1">
        <f t="array" ref="M7">IF(E7&gt;0,IF($D7&lt;=0,0,ROUND(E7*I7,2)),"")</f>
        <v>22460000</v>
      </c>
      <c r="N7" s="28" cm="1">
        <f t="array" ref="N7">IF(F7&gt;0,IF($D7&lt;=0,0,ROUND(F7*J7,2)),"")</f>
        <v>22460000</v>
      </c>
    </row>
    <row r="8" ht="32.5" customHeight="1">
      <c r="A8" s="95">
        <v>6</v>
      </c>
      <c r="B8" t="s" s="19">
        <v>114</v>
      </c>
      <c r="C8" s="20"/>
      <c r="D8" s="21">
        <v>1</v>
      </c>
      <c r="E8" s="21" cm="1">
        <f t="array" ref="E8">D8</f>
        <v>1</v>
      </c>
      <c r="F8" s="21" cm="1">
        <f t="array" ref="F8">D8</f>
        <v>1</v>
      </c>
      <c r="G8" t="s" s="22">
        <v>19</v>
      </c>
      <c r="H8" s="21" cm="1">
        <f t="array" ref="H8">ROUNDDOWN((99760500*0.05)*100/111,-2)</f>
        <v>4493700</v>
      </c>
      <c r="I8" s="21">
        <v>4490000</v>
      </c>
      <c r="J8" s="21">
        <v>4490000</v>
      </c>
      <c r="K8" s="21">
        <v>11</v>
      </c>
      <c r="L8" s="21" cm="1">
        <f t="array" ref="L8">IF(D8&gt;0,IF($D8&lt;=0,0,D8*H8),"")</f>
        <v>4493700</v>
      </c>
      <c r="M8" s="21" cm="1">
        <f t="array" ref="M8">IF(E8&gt;0,IF($D8&lt;=0,0,ROUND(E8*I8,2)),"")</f>
        <v>4490000</v>
      </c>
      <c r="N8" s="23" cm="1">
        <f t="array" ref="N8">IF(F8&gt;0,IF($D8&lt;=0,0,ROUND(F8*J8,2)),"")</f>
        <v>4490000</v>
      </c>
    </row>
    <row r="9" ht="20.5" customHeight="1">
      <c r="A9" s="95">
        <v>7</v>
      </c>
      <c r="B9" t="s" s="19">
        <v>115</v>
      </c>
      <c r="C9" s="24"/>
      <c r="D9" s="26">
        <v>1</v>
      </c>
      <c r="E9" s="26" cm="1">
        <f t="array" ref="E9">D9</f>
        <v>1</v>
      </c>
      <c r="F9" s="26" cm="1">
        <f t="array" ref="F9">D9</f>
        <v>1</v>
      </c>
      <c r="G9" t="s" s="27">
        <v>19</v>
      </c>
      <c r="H9" s="26" cm="1">
        <f t="array" ref="H9">ROUNDDOWN((99760500*0.15)*100/111,-2)</f>
        <v>13481100</v>
      </c>
      <c r="I9" s="26">
        <v>13475000</v>
      </c>
      <c r="J9" s="26">
        <v>13475000</v>
      </c>
      <c r="K9" s="26">
        <v>11</v>
      </c>
      <c r="L9" s="26" cm="1">
        <f t="array" ref="L9">IF(D9&gt;0,IF($D9&lt;=0,0,D9*H9),"")</f>
        <v>13481100</v>
      </c>
      <c r="M9" s="26" cm="1">
        <f t="array" ref="M9">IF(E9&gt;0,IF($D9&lt;=0,0,ROUND(E9*I9,2)),"")</f>
        <v>13475000</v>
      </c>
      <c r="N9" s="28" cm="1">
        <f t="array" ref="N9">IF(F9&gt;0,IF($D9&lt;=0,0,ROUND(F9*J9,2)),"")</f>
        <v>13475000</v>
      </c>
    </row>
    <row r="10" ht="20.6" customHeight="1">
      <c r="A10" s="33">
        <v>8</v>
      </c>
      <c r="B10" t="s" s="34">
        <v>37</v>
      </c>
      <c r="C10" s="35"/>
      <c r="D10" s="36">
        <v>1</v>
      </c>
      <c r="E10" s="36" cm="1">
        <f t="array" ref="E10">D10</f>
        <v>1</v>
      </c>
      <c r="F10" s="36" cm="1">
        <f t="array" ref="F10">D10</f>
        <v>1</v>
      </c>
      <c r="G10" t="s" s="37">
        <v>19</v>
      </c>
      <c r="H10" s="36">
        <v>215697.6</v>
      </c>
      <c r="I10" s="36">
        <v>215532</v>
      </c>
      <c r="J10" s="36">
        <v>215532</v>
      </c>
      <c r="K10" s="36">
        <v>0</v>
      </c>
      <c r="L10" s="36" cm="1">
        <f t="array" ref="L10">IF(D10&gt;0,IF($D10&lt;=0,0,D10*H10),"")</f>
        <v>215697.6</v>
      </c>
      <c r="M10" s="36" cm="1">
        <f t="array" ref="M10">IF(E10&gt;0,IF($D10&lt;=0,0,ROUND(E10*I10,2)),"")</f>
        <v>215532</v>
      </c>
      <c r="N10" s="38" cm="1">
        <f t="array" ref="N10">IF(F10&gt;0,IF($D10&lt;=0,0,ROUND(F10*J10,2)),"")</f>
        <v>215532</v>
      </c>
    </row>
    <row r="11" ht="8.75" customHeight="1" hidden="1">
      <c r="A11" s="39"/>
      <c r="B11" s="40"/>
      <c r="C11" s="41"/>
      <c r="D11" s="42"/>
      <c r="E11" s="42"/>
      <c r="F11" s="42"/>
      <c r="G11" s="43"/>
      <c r="H11" s="42"/>
      <c r="I11" s="42"/>
      <c r="J11" s="42"/>
      <c r="K11" s="42"/>
      <c r="L11" s="42"/>
      <c r="M11" s="42"/>
      <c r="N11" s="44"/>
    </row>
    <row r="12" ht="8.75" customHeight="1" hidden="1">
      <c r="A12" s="39"/>
      <c r="B12" s="40"/>
      <c r="C12" s="45"/>
      <c r="D12" s="46"/>
      <c r="E12" s="46"/>
      <c r="F12" s="46"/>
      <c r="G12" s="47"/>
      <c r="H12" s="46"/>
      <c r="I12" s="46"/>
      <c r="J12" s="46"/>
      <c r="K12" s="46"/>
      <c r="L12" s="46"/>
      <c r="M12" s="46"/>
      <c r="N12" s="48"/>
    </row>
    <row r="13" ht="8.75" customHeight="1" hidden="1">
      <c r="A13" s="39"/>
      <c r="B13" s="40"/>
      <c r="C13" s="41"/>
      <c r="D13" s="42"/>
      <c r="E13" s="42"/>
      <c r="F13" s="42"/>
      <c r="G13" s="43"/>
      <c r="H13" s="42"/>
      <c r="I13" s="42"/>
      <c r="J13" s="42"/>
      <c r="K13" s="42"/>
      <c r="L13" s="42"/>
      <c r="M13" s="42"/>
      <c r="N13" s="44"/>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2"/>
      <c r="I15" s="42"/>
      <c r="J15" s="42"/>
      <c r="K15" s="42"/>
      <c r="L15" s="42"/>
      <c r="M15" s="42"/>
      <c r="N15" s="44"/>
    </row>
    <row r="16" ht="8.75" customHeight="1" hidden="1">
      <c r="A16" s="39"/>
      <c r="B16" s="40"/>
      <c r="C16" s="45"/>
      <c r="D16" s="46"/>
      <c r="E16" s="46"/>
      <c r="F16" s="46"/>
      <c r="G16" s="47"/>
      <c r="H16" s="46"/>
      <c r="I16" s="46"/>
      <c r="J16" s="46"/>
      <c r="K16" s="46"/>
      <c r="L16" s="46"/>
      <c r="M16" s="46"/>
      <c r="N16" s="48"/>
    </row>
    <row r="17" ht="8.75" customHeight="1" hidden="1">
      <c r="A17" s="39"/>
      <c r="B17" s="40"/>
      <c r="C17" s="41"/>
      <c r="D17" s="42"/>
      <c r="E17" s="42"/>
      <c r="F17" s="42"/>
      <c r="G17" s="43"/>
      <c r="H17" s="43"/>
      <c r="I17" s="43"/>
      <c r="J17" s="43"/>
      <c r="K17" s="42"/>
      <c r="L17" s="43"/>
      <c r="M17" s="43"/>
      <c r="N17" s="49"/>
    </row>
    <row r="18" ht="8.75" customHeight="1" hidden="1">
      <c r="A18" s="39"/>
      <c r="B18" s="40"/>
      <c r="C18" s="45"/>
      <c r="D18" s="46"/>
      <c r="E18" s="46"/>
      <c r="F18" s="46"/>
      <c r="G18" s="47"/>
      <c r="H18" s="50"/>
      <c r="I18" s="50"/>
      <c r="J18" s="50"/>
      <c r="K18" s="46"/>
      <c r="L18" s="46"/>
      <c r="M18" s="46"/>
      <c r="N18" s="48"/>
    </row>
    <row r="19" ht="8.75" customHeight="1" hidden="1">
      <c r="A19" s="39"/>
      <c r="B19" s="40"/>
      <c r="C19" s="41"/>
      <c r="D19" s="42"/>
      <c r="E19" s="42"/>
      <c r="F19" s="42"/>
      <c r="G19" s="43"/>
      <c r="H19" s="43"/>
      <c r="I19" s="43"/>
      <c r="J19" s="43"/>
      <c r="K19" s="42"/>
      <c r="L19" s="43"/>
      <c r="M19" s="43"/>
      <c r="N19" s="49"/>
    </row>
    <row r="20" ht="8.75" customHeight="1" hidden="1">
      <c r="A20" s="39"/>
      <c r="B20" s="40"/>
      <c r="C20" s="45"/>
      <c r="D20" s="46"/>
      <c r="E20" s="46"/>
      <c r="F20" s="46"/>
      <c r="G20" s="47"/>
      <c r="H20" s="46"/>
      <c r="I20" s="46"/>
      <c r="J20" s="46"/>
      <c r="K20" s="46"/>
      <c r="L20" s="46"/>
      <c r="M20" s="46"/>
      <c r="N20" s="48"/>
    </row>
    <row r="21" ht="8.75" customHeight="1" hidden="1">
      <c r="A21" s="39"/>
      <c r="B21" s="40"/>
      <c r="C21" s="41"/>
      <c r="D21" s="42"/>
      <c r="E21" s="42"/>
      <c r="F21" s="42"/>
      <c r="G21" s="43"/>
      <c r="H21" s="42"/>
      <c r="I21" s="42"/>
      <c r="J21" s="42"/>
      <c r="K21" s="42"/>
      <c r="L21" s="42"/>
      <c r="M21" s="42"/>
      <c r="N21" s="44"/>
    </row>
    <row r="22" ht="8.75" customHeight="1" hidden="1">
      <c r="A22" s="51"/>
      <c r="B22" s="40"/>
      <c r="C22" s="45"/>
      <c r="D22" s="46"/>
      <c r="E22" s="46"/>
      <c r="F22" s="46"/>
      <c r="G22" s="47"/>
      <c r="H22" s="46"/>
      <c r="I22" s="46"/>
      <c r="J22" s="46"/>
      <c r="K22" s="46"/>
      <c r="L22" s="46"/>
      <c r="M22" s="46"/>
      <c r="N22" s="48"/>
    </row>
    <row r="23" ht="8.75" customHeight="1" hidden="1">
      <c r="A23" s="51"/>
      <c r="B23" s="40"/>
      <c r="C23" s="41"/>
      <c r="D23" s="42"/>
      <c r="E23" s="42"/>
      <c r="F23" s="42"/>
      <c r="G23" s="43"/>
      <c r="H23" s="42"/>
      <c r="I23" s="42"/>
      <c r="J23" s="42"/>
      <c r="K23" s="42"/>
      <c r="L23" s="42"/>
      <c r="M23" s="42"/>
      <c r="N23" s="44"/>
    </row>
    <row r="24" ht="8.75" customHeight="1" hidden="1">
      <c r="A24" s="39"/>
      <c r="B24" s="40"/>
      <c r="C24" s="45"/>
      <c r="D24" s="46"/>
      <c r="E24" s="46"/>
      <c r="F24" s="46"/>
      <c r="G24" s="47"/>
      <c r="H24" s="46"/>
      <c r="I24" s="46"/>
      <c r="J24" s="46"/>
      <c r="K24" s="46"/>
      <c r="L24" s="47"/>
      <c r="M24" s="47"/>
      <c r="N24" s="52"/>
    </row>
    <row r="25" ht="8.75" customHeight="1" hidden="1">
      <c r="A25" s="39"/>
      <c r="B25" s="40"/>
      <c r="C25" s="41"/>
      <c r="D25" s="42"/>
      <c r="E25" s="42"/>
      <c r="F25" s="42"/>
      <c r="G25" s="43"/>
      <c r="H25" s="42"/>
      <c r="I25" s="42"/>
      <c r="J25" s="42"/>
      <c r="K25" s="42"/>
      <c r="L25" s="42"/>
      <c r="M25" s="42"/>
      <c r="N25" s="44"/>
    </row>
    <row r="26" ht="8.75" customHeight="1" hidden="1">
      <c r="A26" s="39"/>
      <c r="B26" s="40"/>
      <c r="C26" s="45"/>
      <c r="D26" s="46"/>
      <c r="E26" s="46"/>
      <c r="F26" s="46"/>
      <c r="G26" s="47"/>
      <c r="H26" s="46"/>
      <c r="I26" s="46"/>
      <c r="J26" s="46"/>
      <c r="K26" s="46"/>
      <c r="L26" s="47"/>
      <c r="M26" s="47"/>
      <c r="N26" s="52"/>
    </row>
    <row r="27" ht="20.85" customHeight="1">
      <c r="A27" s="108"/>
      <c r="B27" s="54"/>
      <c r="C27" s="54"/>
      <c r="D27" s="55"/>
      <c r="E27" s="55"/>
      <c r="F27" s="55"/>
      <c r="G27" s="56"/>
      <c r="H27" s="56"/>
      <c r="I27" s="54"/>
      <c r="J27" s="57"/>
      <c r="K27" t="s" s="58">
        <v>38</v>
      </c>
      <c r="L27" s="59" cm="1">
        <f t="array" ref="L27">SUM(L1:L26)</f>
        <v>90089697.59999999</v>
      </c>
      <c r="M27" s="59" cm="1">
        <f t="array" ref="M27">SUM(M1:M26)</f>
        <v>90020532</v>
      </c>
      <c r="N27" s="59" cm="1">
        <f t="array" ref="N27">SUM(N1:N26)</f>
        <v>90020532</v>
      </c>
    </row>
    <row r="28" ht="21" customHeight="1">
      <c r="A28" s="63" cm="1">
        <f t="array" ref="A28">ROUND(IF(I28&lt;=100000000,I28*0.24%,IF(AND(I28&gt;100000000,I28&lt;=500000000),100000000*0.24%+(I28-100000000)*0.19%,IF(AND(I28&gt;500000000,I28&lt;=1000000000),100000000*0.24%+400000000*0.19%+(I28-500000000)*0.15%,IF(AND(I28&gt;1000000000,I28&lt;=5000000000),100000000*0.24%+400000000*0.19%+500000000*0.15%+(I28-1000000000)*0.12%,IF(I28&gt;5000000000,100000000*0.24%+400000000*0.19%+500000000*0.15%+4000000000*0.12%+(I28-5000000000)*0.1%,"Bingung komputer"))))),2)</f>
        <v>239425.2</v>
      </c>
      <c r="B28" t="s" s="109">
        <v>39</v>
      </c>
      <c r="C28" s="62"/>
      <c r="D28" s="63" cm="1">
        <f t="array" ref="D28">ROUND(IF(L28&lt;=100000000,L28*0.24%,IF(AND(L28&gt;100000000,L28&lt;=500000000),100000000*0.24%+(L28-100000000)*0.19%,IF(AND(L28&gt;500000000,L28&lt;=1000000000),100000000*0.24%+400000000*0.19%+(L28-500000000)*0.15%,IF(AND(L28&gt;1000000000,L28&lt;=5000000000),100000000*0.24%+400000000*0.19%+500000000*0.15%+(L28-1000000000)*0.12%,IF(L28&gt;5000000000,100000000*0.24%+400000000*0.19%+500000000*0.15%+4000000000*0.12%+(L28-5000000000)*0.1%,"Bingung komputer"))))),2)</f>
        <v>215697.6</v>
      </c>
      <c r="E28" s="64" cm="1">
        <f t="array" ref="E28">ROUND(IF(M28&lt;=100000000,M28*0.24%,IF(AND(M28&gt;100000000,M28&lt;=500000000),100000000*0.24%+(M28-100000000)*0.19%,IF(AND(M28&gt;500000000,M28&lt;=1000000000),100000000*0.24%+400000000*0.19%+(M28-500000000)*0.15%,IF(AND(M28&gt;1000000000,M28&lt;=5000000000),100000000*0.24%+400000000*0.19%+500000000*0.15%+(M28-1000000000)*0.12%,IF(M28&gt;5000000000,100000000*0.24%+400000000*0.19%+500000000*0.15%+4000000000*0.12%+(M28-5000000000)*0.1%,"Bingung komputer"))))),2)</f>
        <v>215532</v>
      </c>
      <c r="F28" s="64" cm="1">
        <f t="array" ref="F28">ROUND(IF(N28&lt;=100000000,N28*0.24%,IF(AND(N28&gt;100000000,N28&lt;=500000000),100000000*0.24%+(N28-100000000)*0.19%,IF(AND(N28&gt;500000000,N28&lt;=1000000000),100000000*0.24%+400000000*0.19%+(N28-500000000)*0.15%,IF(AND(N28&gt;1000000000,N28&lt;=5000000000),100000000*0.24%+400000000*0.19%+500000000*0.15%+(N28-1000000000)*0.12%,IF(N28&gt;5000000000,100000000*0.24%+400000000*0.19%+500000000*0.15%+4000000000*0.12%+(N28-5000000000)*0.1%,"Bingung komputer"))))),2)</f>
        <v>215532</v>
      </c>
      <c r="G28" s="65"/>
      <c r="H28" s="66" cm="1">
        <f t="array" ref="H28">I$28*(100/111)</f>
        <v>89874324.32432429</v>
      </c>
      <c r="I28" s="68">
        <v>99760500</v>
      </c>
      <c r="J28" s="67"/>
      <c r="K28" t="str" s="67" cm="1">
        <f t="array" ref="K28">"Jumlah Terkena Pajak "&amp;MAX(K3:K26)&amp;"% (B)"</f>
        <v>Jumlah Terkena Pajak 11,00% (B)</v>
      </c>
      <c r="L28" s="68" cm="1">
        <f t="array" ref="L28">SUMIF($K3:$K26,"&gt;0",L3:L26)</f>
        <v>89874000</v>
      </c>
      <c r="M28" s="69" cm="1">
        <f t="array" ref="M28">SUMIF($K3:$K26,"&gt;0",M3:M26)</f>
        <v>89805000</v>
      </c>
      <c r="N28" s="69" cm="1">
        <f t="array" ref="N28">SUMIF($K3:$K26,"&gt;0",N3:N26)</f>
        <v>89805000</v>
      </c>
    </row>
    <row r="29" ht="21" customHeight="1">
      <c r="A29" s="70"/>
      <c r="B29" s="71"/>
      <c r="C29" s="71"/>
      <c r="D29" s="72"/>
      <c r="E29" s="72"/>
      <c r="F29" s="71"/>
      <c r="G29" s="72"/>
      <c r="H29" s="72"/>
      <c r="I29" s="74" cm="1">
        <f t="array" ref="I29">A$28+I$28</f>
        <v>99999925.2</v>
      </c>
      <c r="J29" s="73"/>
      <c r="K29" t="str" s="73" cm="1">
        <f t="array" ref="K29">"PPN (C) = "&amp;MAX(K3:K26)&amp;"% x B"</f>
        <v>PPN (C) = 11,00% x B</v>
      </c>
      <c r="L29" s="74" cm="1">
        <f t="array" ref="L29">L28*MAX($K3:$K26)%</f>
        <v>9886140</v>
      </c>
      <c r="M29" s="69" cm="1">
        <f t="array" ref="M29">M28*MAX($K3:$K26)%</f>
        <v>9878550</v>
      </c>
      <c r="N29" s="69" cm="1">
        <f t="array" ref="N29">N28*MAX($K3:$K26)%</f>
        <v>9878550</v>
      </c>
    </row>
    <row r="30" ht="21" customHeight="1">
      <c r="A30" s="70"/>
      <c r="B30" s="71"/>
      <c r="C30" s="71"/>
      <c r="D30" s="72"/>
      <c r="E30" s="72"/>
      <c r="F30" s="72"/>
      <c r="G30" s="72"/>
      <c r="H30" s="72"/>
      <c r="I30" s="71"/>
      <c r="J30" s="73"/>
      <c r="K30" t="s" s="75">
        <v>42</v>
      </c>
      <c r="L30" s="76" cm="1">
        <f t="array" ref="L30">L27+L29</f>
        <v>99975837.59999999</v>
      </c>
      <c r="M30" s="69" cm="1">
        <f t="array" ref="M30">M27+M29</f>
        <v>99899082</v>
      </c>
      <c r="N30" s="69" cm="1">
        <f t="array" ref="N30">N27+N29</f>
        <v>99899082</v>
      </c>
    </row>
    <row r="31" ht="20.5" customHeight="1">
      <c r="A31" s="70"/>
      <c r="B31" s="71"/>
      <c r="C31" s="71"/>
      <c r="D31" s="72"/>
      <c r="E31" s="72"/>
      <c r="F31" s="72"/>
      <c r="G31" s="72"/>
      <c r="H31" s="72"/>
      <c r="I31" s="71"/>
      <c r="J31" s="73"/>
      <c r="K31" t="s" s="75">
        <v>43</v>
      </c>
      <c r="L31" s="68" cm="1">
        <f t="array" ref="L31">ROUNDDOWN(L30,2)</f>
        <v>99975837.59999999</v>
      </c>
      <c r="M31" s="68" cm="1">
        <f t="array" ref="M31">ROUNDDOWN(M30,2)</f>
        <v>99899082</v>
      </c>
      <c r="N31" s="68" cm="1">
        <f t="array" ref="N31">ROUNDDOWN(N30,-3)</f>
        <v>99899000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45.xml><?xml version="1.0" encoding="utf-8"?>
<worksheet xmlns:r="http://schemas.openxmlformats.org/officeDocument/2006/relationships" xmlns="http://schemas.openxmlformats.org/spreadsheetml/2006/main">
  <sheetPr>
    <pageSetUpPr fitToPage="1"/>
  </sheetPr>
  <dimension ref="A1:N31"/>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159" customWidth="1"/>
    <col min="2" max="2" width="43.0312" style="159" customWidth="1"/>
    <col min="3" max="3" width="2.75" style="159" customWidth="1"/>
    <col min="4" max="6" width="10.3672" style="159" customWidth="1"/>
    <col min="7" max="7" width="11.6875" style="159" customWidth="1"/>
    <col min="8" max="11" width="13.5156" style="159" customWidth="1"/>
    <col min="12" max="14" width="14.2344" style="159" customWidth="1"/>
    <col min="15" max="16384" width="16.3516" style="159"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109</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s="95">
        <v>1</v>
      </c>
      <c r="B4" t="s" s="19">
        <v>110</v>
      </c>
      <c r="C4" s="20"/>
      <c r="D4" s="21">
        <v>1</v>
      </c>
      <c r="E4" s="21" cm="1">
        <f t="array" ref="E4">D4</f>
        <v>1</v>
      </c>
      <c r="F4" s="21" cm="1">
        <f t="array" ref="F4">D4</f>
        <v>1</v>
      </c>
      <c r="G4" t="s" s="22">
        <v>19</v>
      </c>
      <c r="H4" s="21" cm="1">
        <f t="array" ref="H4">ROUNDDOWN((34918000*0.1)*100/111,-2)</f>
        <v>3145700</v>
      </c>
      <c r="I4" s="21">
        <v>3140000</v>
      </c>
      <c r="J4" s="21">
        <v>3140000</v>
      </c>
      <c r="K4" s="21">
        <v>11</v>
      </c>
      <c r="L4" s="21" cm="1">
        <f t="array" ref="L4">IF(D4&gt;0,IF($D4&lt;=0,0,D4*H4),"")</f>
        <v>3145700</v>
      </c>
      <c r="M4" s="21" cm="1">
        <f t="array" ref="M4">IF(E4&gt;0,IF($D4&lt;=0,0,ROUND(E4*I4,2)),"")</f>
        <v>3140000</v>
      </c>
      <c r="N4" s="23" cm="1">
        <f t="array" ref="N4">IF(F4&gt;0,IF($D4&lt;=0,0,ROUND(F4*J4,2)),"")</f>
        <v>3140000</v>
      </c>
    </row>
    <row r="5" ht="20.5" customHeight="1">
      <c r="A5" s="95">
        <v>2</v>
      </c>
      <c r="B5" t="s" s="19">
        <v>111</v>
      </c>
      <c r="C5" s="24"/>
      <c r="D5" s="26">
        <v>1</v>
      </c>
      <c r="E5" s="26" cm="1">
        <f t="array" ref="E5">D5</f>
        <v>1</v>
      </c>
      <c r="F5" s="26" cm="1">
        <f t="array" ref="F5">D5</f>
        <v>1</v>
      </c>
      <c r="G5" t="s" s="27">
        <v>19</v>
      </c>
      <c r="H5" s="26" cm="1">
        <f t="array" ref="H5">ROUNDDOWN((34918000*0.2)*100/111,-2)</f>
        <v>6291500</v>
      </c>
      <c r="I5" s="26">
        <v>6290000</v>
      </c>
      <c r="J5" s="26">
        <v>6290000</v>
      </c>
      <c r="K5" s="26">
        <v>11</v>
      </c>
      <c r="L5" s="26" cm="1">
        <f t="array" ref="L5">IF(D5&gt;0,IF($D5&lt;=0,0,D5*H5),"")</f>
        <v>6291500</v>
      </c>
      <c r="M5" s="26" cm="1">
        <f t="array" ref="M5">IF(E5&gt;0,IF($D5&lt;=0,0,ROUND(E5*I5,2)),"")</f>
        <v>6290000</v>
      </c>
      <c r="N5" s="28" cm="1">
        <f t="array" ref="N5">IF(F5&gt;0,IF($D5&lt;=0,0,ROUND(F5*J5,2)),"")</f>
        <v>6290000</v>
      </c>
    </row>
    <row r="6" ht="20.5" customHeight="1">
      <c r="A6" s="95">
        <v>3</v>
      </c>
      <c r="B6" t="s" s="19">
        <v>112</v>
      </c>
      <c r="C6" s="20"/>
      <c r="D6" s="21">
        <v>1</v>
      </c>
      <c r="E6" s="21" cm="1">
        <f t="array" ref="E6">D6</f>
        <v>1</v>
      </c>
      <c r="F6" s="21" cm="1">
        <f t="array" ref="F6">D6</f>
        <v>1</v>
      </c>
      <c r="G6" t="s" s="22">
        <v>19</v>
      </c>
      <c r="H6" s="21" cm="1">
        <f t="array" ref="H6">ROUNDDOWN((34918000*0.25)*100/111,-2)</f>
        <v>7864400</v>
      </c>
      <c r="I6" s="21">
        <v>7860000</v>
      </c>
      <c r="J6" s="21">
        <v>7860000</v>
      </c>
      <c r="K6" s="21">
        <v>11</v>
      </c>
      <c r="L6" s="21" cm="1">
        <f t="array" ref="L6">IF(D6&gt;0,IF($D6&lt;=0,0,D6*H6),"")</f>
        <v>7864400</v>
      </c>
      <c r="M6" s="21" cm="1">
        <f t="array" ref="M6">IF(E6&gt;0,IF($D6&lt;=0,0,ROUND(E6*I6,2)),"")</f>
        <v>7860000</v>
      </c>
      <c r="N6" s="23" cm="1">
        <f t="array" ref="N6">IF(F6&gt;0,IF($D6&lt;=0,0,ROUND(F6*J6,2)),"")</f>
        <v>7860000</v>
      </c>
    </row>
    <row r="7" ht="68.5" customHeight="1">
      <c r="A7" s="95">
        <v>5</v>
      </c>
      <c r="B7" t="s" s="19">
        <v>113</v>
      </c>
      <c r="C7" s="24"/>
      <c r="D7" s="26">
        <v>1</v>
      </c>
      <c r="E7" s="26" cm="1">
        <f t="array" ref="E7">D7</f>
        <v>1</v>
      </c>
      <c r="F7" s="26" cm="1">
        <f t="array" ref="F7">D7</f>
        <v>1</v>
      </c>
      <c r="G7" t="s" s="27">
        <v>19</v>
      </c>
      <c r="H7" s="26" cm="1">
        <f t="array" ref="H7">ROUNDDOWN((34918000*0.25)*100/111,-2)</f>
        <v>7864400</v>
      </c>
      <c r="I7" s="26">
        <v>7860100</v>
      </c>
      <c r="J7" s="26">
        <v>7860100</v>
      </c>
      <c r="K7" s="26">
        <v>11</v>
      </c>
      <c r="L7" s="26" cm="1">
        <f t="array" ref="L7">IF(D7&gt;0,IF($D7&lt;=0,0,D7*H7),"")</f>
        <v>7864400</v>
      </c>
      <c r="M7" s="26" cm="1">
        <f t="array" ref="M7">IF(E7&gt;0,IF($D7&lt;=0,0,ROUND(E7*I7,2)),"")</f>
        <v>7860100</v>
      </c>
      <c r="N7" s="28" cm="1">
        <f t="array" ref="N7">IF(F7&gt;0,IF($D7&lt;=0,0,ROUND(F7*J7,2)),"")</f>
        <v>7860100</v>
      </c>
    </row>
    <row r="8" ht="32.5" customHeight="1">
      <c r="A8" s="95">
        <v>6</v>
      </c>
      <c r="B8" t="s" s="19">
        <v>114</v>
      </c>
      <c r="C8" s="20"/>
      <c r="D8" s="21">
        <v>1</v>
      </c>
      <c r="E8" s="21" cm="1">
        <f t="array" ref="E8">D8</f>
        <v>1</v>
      </c>
      <c r="F8" s="21" cm="1">
        <f t="array" ref="F8">D8</f>
        <v>1</v>
      </c>
      <c r="G8" t="s" s="22">
        <v>19</v>
      </c>
      <c r="H8" s="21" cm="1">
        <f t="array" ref="H8">ROUNDDOWN((34918000*0.05)*100/111,-2)</f>
        <v>1572800</v>
      </c>
      <c r="I8" s="21">
        <v>1575000</v>
      </c>
      <c r="J8" s="21">
        <v>1575000</v>
      </c>
      <c r="K8" s="21">
        <v>11</v>
      </c>
      <c r="L8" s="21" cm="1">
        <f t="array" ref="L8">IF(D8&gt;0,IF($D8&lt;=0,0,D8*H8),"")</f>
        <v>1572800</v>
      </c>
      <c r="M8" s="21" cm="1">
        <f t="array" ref="M8">IF(E8&gt;0,IF($D8&lt;=0,0,ROUND(E8*I8,2)),"")</f>
        <v>1575000</v>
      </c>
      <c r="N8" s="23" cm="1">
        <f t="array" ref="N8">IF(F8&gt;0,IF($D8&lt;=0,0,ROUND(F8*J8,2)),"")</f>
        <v>1575000</v>
      </c>
    </row>
    <row r="9" ht="20.5" customHeight="1">
      <c r="A9" s="95">
        <v>7</v>
      </c>
      <c r="B9" t="s" s="19">
        <v>115</v>
      </c>
      <c r="C9" s="24"/>
      <c r="D9" s="26">
        <v>1</v>
      </c>
      <c r="E9" s="26" cm="1">
        <f t="array" ref="E9">D9</f>
        <v>1</v>
      </c>
      <c r="F9" s="26" cm="1">
        <f t="array" ref="F9">D9</f>
        <v>1</v>
      </c>
      <c r="G9" t="s" s="27">
        <v>19</v>
      </c>
      <c r="H9" s="26" cm="1">
        <f t="array" ref="H9">ROUNDDOWN((34918000*0.15)*100/111,-2)</f>
        <v>4718600</v>
      </c>
      <c r="I9" s="26">
        <v>4700000</v>
      </c>
      <c r="J9" s="26">
        <v>4700000</v>
      </c>
      <c r="K9" s="26">
        <v>11</v>
      </c>
      <c r="L9" s="26" cm="1">
        <f t="array" ref="L9">IF(D9&gt;0,IF($D9&lt;=0,0,D9*H9),"")</f>
        <v>4718600</v>
      </c>
      <c r="M9" s="26" cm="1">
        <f t="array" ref="M9">IF(E9&gt;0,IF($D9&lt;=0,0,ROUND(E9*I9,2)),"")</f>
        <v>4700000</v>
      </c>
      <c r="N9" s="28" cm="1">
        <f t="array" ref="N9">IF(F9&gt;0,IF($D9&lt;=0,0,ROUND(F9*J9,2)),"")</f>
        <v>4700000</v>
      </c>
    </row>
    <row r="10" ht="20.6" customHeight="1">
      <c r="A10" s="33">
        <v>8</v>
      </c>
      <c r="B10" t="s" s="34">
        <v>37</v>
      </c>
      <c r="C10" s="35"/>
      <c r="D10" s="36">
        <v>1</v>
      </c>
      <c r="E10" s="36" cm="1">
        <f t="array" ref="E10">D10</f>
        <v>1</v>
      </c>
      <c r="F10" s="36" cm="1">
        <f t="array" ref="F10">D10</f>
        <v>1</v>
      </c>
      <c r="G10" t="s" s="37">
        <v>19</v>
      </c>
      <c r="H10" s="36">
        <v>75497.759999999995</v>
      </c>
      <c r="I10" s="36">
        <v>75420.240000000005</v>
      </c>
      <c r="J10" s="36">
        <v>75420.240000000005</v>
      </c>
      <c r="K10" s="36">
        <v>0</v>
      </c>
      <c r="L10" s="36" cm="1">
        <f t="array" ref="L10">IF(D10&gt;0,IF($D10&lt;=0,0,D10*H10),"")</f>
        <v>75497.759999999995</v>
      </c>
      <c r="M10" s="36" cm="1">
        <f t="array" ref="M10">IF(E10&gt;0,IF($D10&lt;=0,0,ROUND(E10*I10,2)),"")</f>
        <v>75420.240000000005</v>
      </c>
      <c r="N10" s="38" cm="1">
        <f t="array" ref="N10">IF(F10&gt;0,IF($D10&lt;=0,0,ROUND(F10*J10,2)),"")</f>
        <v>75420.240000000005</v>
      </c>
    </row>
    <row r="11" ht="8.75" customHeight="1" hidden="1">
      <c r="A11" s="39"/>
      <c r="B11" s="40"/>
      <c r="C11" s="41"/>
      <c r="D11" s="42"/>
      <c r="E11" s="42"/>
      <c r="F11" s="42"/>
      <c r="G11" s="43"/>
      <c r="H11" s="42"/>
      <c r="I11" s="42"/>
      <c r="J11" s="42"/>
      <c r="K11" s="42"/>
      <c r="L11" s="42"/>
      <c r="M11" s="42"/>
      <c r="N11" s="44"/>
    </row>
    <row r="12" ht="8.75" customHeight="1" hidden="1">
      <c r="A12" s="39"/>
      <c r="B12" s="40"/>
      <c r="C12" s="45"/>
      <c r="D12" s="46"/>
      <c r="E12" s="46"/>
      <c r="F12" s="46"/>
      <c r="G12" s="47"/>
      <c r="H12" s="46"/>
      <c r="I12" s="46"/>
      <c r="J12" s="46"/>
      <c r="K12" s="46"/>
      <c r="L12" s="46"/>
      <c r="M12" s="46"/>
      <c r="N12" s="48"/>
    </row>
    <row r="13" ht="8.75" customHeight="1" hidden="1">
      <c r="A13" s="39"/>
      <c r="B13" s="40"/>
      <c r="C13" s="41"/>
      <c r="D13" s="42"/>
      <c r="E13" s="42"/>
      <c r="F13" s="42"/>
      <c r="G13" s="43"/>
      <c r="H13" s="42"/>
      <c r="I13" s="42"/>
      <c r="J13" s="42"/>
      <c r="K13" s="42"/>
      <c r="L13" s="42"/>
      <c r="M13" s="42"/>
      <c r="N13" s="44"/>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2"/>
      <c r="I15" s="42"/>
      <c r="J15" s="42"/>
      <c r="K15" s="42"/>
      <c r="L15" s="42"/>
      <c r="M15" s="42"/>
      <c r="N15" s="44"/>
    </row>
    <row r="16" ht="8.75" customHeight="1" hidden="1">
      <c r="A16" s="39"/>
      <c r="B16" s="40"/>
      <c r="C16" s="45"/>
      <c r="D16" s="46"/>
      <c r="E16" s="46"/>
      <c r="F16" s="46"/>
      <c r="G16" s="47"/>
      <c r="H16" s="46"/>
      <c r="I16" s="46"/>
      <c r="J16" s="46"/>
      <c r="K16" s="46"/>
      <c r="L16" s="46"/>
      <c r="M16" s="46"/>
      <c r="N16" s="48"/>
    </row>
    <row r="17" ht="8.75" customHeight="1" hidden="1">
      <c r="A17" s="39"/>
      <c r="B17" s="40"/>
      <c r="C17" s="41"/>
      <c r="D17" s="42"/>
      <c r="E17" s="42"/>
      <c r="F17" s="42"/>
      <c r="G17" s="43"/>
      <c r="H17" s="43"/>
      <c r="I17" s="43"/>
      <c r="J17" s="43"/>
      <c r="K17" s="42"/>
      <c r="L17" s="43"/>
      <c r="M17" s="43"/>
      <c r="N17" s="49"/>
    </row>
    <row r="18" ht="8.75" customHeight="1" hidden="1">
      <c r="A18" s="39"/>
      <c r="B18" s="40"/>
      <c r="C18" s="45"/>
      <c r="D18" s="46"/>
      <c r="E18" s="46"/>
      <c r="F18" s="46"/>
      <c r="G18" s="47"/>
      <c r="H18" s="50"/>
      <c r="I18" s="50"/>
      <c r="J18" s="50"/>
      <c r="K18" s="46"/>
      <c r="L18" s="46"/>
      <c r="M18" s="46"/>
      <c r="N18" s="48"/>
    </row>
    <row r="19" ht="8.75" customHeight="1" hidden="1">
      <c r="A19" s="39"/>
      <c r="B19" s="40"/>
      <c r="C19" s="41"/>
      <c r="D19" s="42"/>
      <c r="E19" s="42"/>
      <c r="F19" s="42"/>
      <c r="G19" s="43"/>
      <c r="H19" s="43"/>
      <c r="I19" s="43"/>
      <c r="J19" s="43"/>
      <c r="K19" s="42"/>
      <c r="L19" s="43"/>
      <c r="M19" s="43"/>
      <c r="N19" s="49"/>
    </row>
    <row r="20" ht="8.75" customHeight="1" hidden="1">
      <c r="A20" s="39"/>
      <c r="B20" s="40"/>
      <c r="C20" s="45"/>
      <c r="D20" s="46"/>
      <c r="E20" s="46"/>
      <c r="F20" s="46"/>
      <c r="G20" s="47"/>
      <c r="H20" s="46"/>
      <c r="I20" s="46"/>
      <c r="J20" s="46"/>
      <c r="K20" s="46"/>
      <c r="L20" s="46"/>
      <c r="M20" s="46"/>
      <c r="N20" s="48"/>
    </row>
    <row r="21" ht="8.75" customHeight="1" hidden="1">
      <c r="A21" s="39"/>
      <c r="B21" s="40"/>
      <c r="C21" s="41"/>
      <c r="D21" s="42"/>
      <c r="E21" s="42"/>
      <c r="F21" s="42"/>
      <c r="G21" s="43"/>
      <c r="H21" s="42"/>
      <c r="I21" s="42"/>
      <c r="J21" s="42"/>
      <c r="K21" s="42"/>
      <c r="L21" s="42"/>
      <c r="M21" s="42"/>
      <c r="N21" s="44"/>
    </row>
    <row r="22" ht="8.75" customHeight="1" hidden="1">
      <c r="A22" s="51"/>
      <c r="B22" s="40"/>
      <c r="C22" s="45"/>
      <c r="D22" s="46"/>
      <c r="E22" s="46"/>
      <c r="F22" s="46"/>
      <c r="G22" s="47"/>
      <c r="H22" s="46"/>
      <c r="I22" s="46"/>
      <c r="J22" s="46"/>
      <c r="K22" s="46"/>
      <c r="L22" s="46"/>
      <c r="M22" s="46"/>
      <c r="N22" s="48"/>
    </row>
    <row r="23" ht="8.75" customHeight="1" hidden="1">
      <c r="A23" s="51"/>
      <c r="B23" s="40"/>
      <c r="C23" s="41"/>
      <c r="D23" s="42"/>
      <c r="E23" s="42"/>
      <c r="F23" s="42"/>
      <c r="G23" s="43"/>
      <c r="H23" s="42"/>
      <c r="I23" s="42"/>
      <c r="J23" s="42"/>
      <c r="K23" s="42"/>
      <c r="L23" s="42"/>
      <c r="M23" s="42"/>
      <c r="N23" s="44"/>
    </row>
    <row r="24" ht="8.75" customHeight="1" hidden="1">
      <c r="A24" s="39"/>
      <c r="B24" s="40"/>
      <c r="C24" s="45"/>
      <c r="D24" s="46"/>
      <c r="E24" s="46"/>
      <c r="F24" s="46"/>
      <c r="G24" s="47"/>
      <c r="H24" s="46"/>
      <c r="I24" s="46"/>
      <c r="J24" s="46"/>
      <c r="K24" s="46"/>
      <c r="L24" s="47"/>
      <c r="M24" s="47"/>
      <c r="N24" s="52"/>
    </row>
    <row r="25" ht="8.75" customHeight="1" hidden="1">
      <c r="A25" s="39"/>
      <c r="B25" s="40"/>
      <c r="C25" s="41"/>
      <c r="D25" s="42"/>
      <c r="E25" s="42"/>
      <c r="F25" s="42"/>
      <c r="G25" s="43"/>
      <c r="H25" s="42"/>
      <c r="I25" s="42"/>
      <c r="J25" s="42"/>
      <c r="K25" s="42"/>
      <c r="L25" s="42"/>
      <c r="M25" s="42"/>
      <c r="N25" s="44"/>
    </row>
    <row r="26" ht="8.75" customHeight="1" hidden="1">
      <c r="A26" s="39"/>
      <c r="B26" s="40"/>
      <c r="C26" s="45"/>
      <c r="D26" s="46"/>
      <c r="E26" s="46"/>
      <c r="F26" s="46"/>
      <c r="G26" s="47"/>
      <c r="H26" s="46"/>
      <c r="I26" s="46"/>
      <c r="J26" s="46"/>
      <c r="K26" s="46"/>
      <c r="L26" s="47"/>
      <c r="M26" s="47"/>
      <c r="N26" s="52"/>
    </row>
    <row r="27" ht="20.85" customHeight="1">
      <c r="A27" s="108"/>
      <c r="B27" s="54"/>
      <c r="C27" s="54"/>
      <c r="D27" s="55"/>
      <c r="E27" s="55"/>
      <c r="F27" s="55"/>
      <c r="G27" s="56"/>
      <c r="H27" s="56"/>
      <c r="I27" s="54"/>
      <c r="J27" s="57"/>
      <c r="K27" t="s" s="58">
        <v>38</v>
      </c>
      <c r="L27" s="59" cm="1">
        <f t="array" ref="L27">SUM(L1:L26)</f>
        <v>31532897.76</v>
      </c>
      <c r="M27" s="59" cm="1">
        <f t="array" ref="M27">SUM(M1:M26)</f>
        <v>31500520.24</v>
      </c>
      <c r="N27" s="59" cm="1">
        <f t="array" ref="N27">SUM(N1:N26)</f>
        <v>31500520.24</v>
      </c>
    </row>
    <row r="28" ht="21" customHeight="1">
      <c r="A28" s="63" cm="1">
        <f t="array" ref="A28">ROUND(IF(I28&lt;=100000000,I28*0.24%,IF(AND(I28&gt;100000000,I28&lt;=500000000),100000000*0.24%+(I28-100000000)*0.19%,IF(AND(I28&gt;500000000,I28&lt;=1000000000),100000000*0.24%+400000000*0.19%+(I28-500000000)*0.15%,IF(AND(I28&gt;1000000000,I28&lt;=5000000000),100000000*0.24%+400000000*0.19%+500000000*0.15%+(I28-1000000000)*0.12%,IF(I28&gt;5000000000,100000000*0.24%+400000000*0.19%+500000000*0.15%+4000000000*0.12%+(I28-5000000000)*0.1%,"Bingung komputer"))))),2)</f>
        <v>83803.2</v>
      </c>
      <c r="B28" t="s" s="109">
        <v>39</v>
      </c>
      <c r="C28" s="62"/>
      <c r="D28" s="63" cm="1">
        <f t="array" ref="D28">ROUND(IF(L28&lt;=100000000,L28*0.24%,IF(AND(L28&gt;100000000,L28&lt;=500000000),100000000*0.24%+(L28-100000000)*0.19%,IF(AND(L28&gt;500000000,L28&lt;=1000000000),100000000*0.24%+400000000*0.19%+(L28-500000000)*0.15%,IF(AND(L28&gt;1000000000,L28&lt;=5000000000),100000000*0.24%+400000000*0.19%+500000000*0.15%+(L28-1000000000)*0.12%,IF(L28&gt;5000000000,100000000*0.24%+400000000*0.19%+500000000*0.15%+4000000000*0.12%+(L28-5000000000)*0.1%,"Bingung komputer"))))),2)</f>
        <v>75497.759999999995</v>
      </c>
      <c r="E28" s="64" cm="1">
        <f t="array" ref="E28">ROUND(IF(M28&lt;=100000000,M28*0.24%,IF(AND(M28&gt;100000000,M28&lt;=500000000),100000000*0.24%+(M28-100000000)*0.19%,IF(AND(M28&gt;500000000,M28&lt;=1000000000),100000000*0.24%+400000000*0.19%+(M28-500000000)*0.15%,IF(AND(M28&gt;1000000000,M28&lt;=5000000000),100000000*0.24%+400000000*0.19%+500000000*0.15%+(M28-1000000000)*0.12%,IF(M28&gt;5000000000,100000000*0.24%+400000000*0.19%+500000000*0.15%+4000000000*0.12%+(M28-5000000000)*0.1%,"Bingung komputer"))))),2)</f>
        <v>75420.240000000005</v>
      </c>
      <c r="F28" s="64" cm="1">
        <f t="array" ref="F28">ROUND(IF(N28&lt;=100000000,N28*0.24%,IF(AND(N28&gt;100000000,N28&lt;=500000000),100000000*0.24%+(N28-100000000)*0.19%,IF(AND(N28&gt;500000000,N28&lt;=1000000000),100000000*0.24%+400000000*0.19%+(N28-500000000)*0.15%,IF(AND(N28&gt;1000000000,N28&lt;=5000000000),100000000*0.24%+400000000*0.19%+500000000*0.15%+(N28-1000000000)*0.12%,IF(N28&gt;5000000000,100000000*0.24%+400000000*0.19%+500000000*0.15%+4000000000*0.12%+(N28-5000000000)*0.1%,"Bingung komputer"))))),2)</f>
        <v>75420.240000000005</v>
      </c>
      <c r="G28" s="65"/>
      <c r="H28" s="66" cm="1">
        <f t="array" ref="H28">I$28*(100/111)</f>
        <v>31457657.6576577</v>
      </c>
      <c r="I28" s="68">
        <v>34918000</v>
      </c>
      <c r="J28" s="67"/>
      <c r="K28" t="str" s="67" cm="1">
        <f t="array" ref="K28">"Jumlah Terkena Pajak "&amp;MAX(K3:K26)&amp;"% (B)"</f>
        <v>Jumlah Terkena Pajak 11,00% (B)</v>
      </c>
      <c r="L28" s="68" cm="1">
        <f t="array" ref="L28">SUMIF($K3:$K26,"&gt;0",L3:L26)</f>
        <v>31457400</v>
      </c>
      <c r="M28" s="69" cm="1">
        <f t="array" ref="M28">SUMIF($K3:$K26,"&gt;0",M3:M26)</f>
        <v>31425100</v>
      </c>
      <c r="N28" s="69" cm="1">
        <f t="array" ref="N28">SUMIF($K3:$K26,"&gt;0",N3:N26)</f>
        <v>31425100</v>
      </c>
    </row>
    <row r="29" ht="21" customHeight="1">
      <c r="A29" s="70"/>
      <c r="B29" s="71"/>
      <c r="C29" s="71"/>
      <c r="D29" s="72"/>
      <c r="E29" s="72"/>
      <c r="F29" s="71"/>
      <c r="G29" s="72"/>
      <c r="H29" s="72"/>
      <c r="I29" s="74" cm="1">
        <f t="array" ref="I29">A$28+I$28</f>
        <v>35001803.2</v>
      </c>
      <c r="J29" s="73"/>
      <c r="K29" t="str" s="73" cm="1">
        <f t="array" ref="K29">"PPN (C) = "&amp;MAX(K3:K26)&amp;"% x B"</f>
        <v>PPN (C) = 11,00% x B</v>
      </c>
      <c r="L29" s="74" cm="1">
        <f t="array" ref="L29">L28*MAX($K3:$K26)%</f>
        <v>3460314</v>
      </c>
      <c r="M29" s="69" cm="1">
        <f t="array" ref="M29">M28*MAX($K3:$K26)%</f>
        <v>3456761</v>
      </c>
      <c r="N29" s="69" cm="1">
        <f t="array" ref="N29">N28*MAX($K3:$K26)%</f>
        <v>3456761</v>
      </c>
    </row>
    <row r="30" ht="21" customHeight="1">
      <c r="A30" s="70"/>
      <c r="B30" s="71"/>
      <c r="C30" s="71"/>
      <c r="D30" s="72"/>
      <c r="E30" s="72"/>
      <c r="F30" s="72"/>
      <c r="G30" s="72"/>
      <c r="H30" s="72"/>
      <c r="I30" s="71"/>
      <c r="J30" s="73"/>
      <c r="K30" t="s" s="75">
        <v>42</v>
      </c>
      <c r="L30" s="76" cm="1">
        <f t="array" ref="L30">L27+L29</f>
        <v>34993211.76</v>
      </c>
      <c r="M30" s="69" cm="1">
        <f t="array" ref="M30">M27+M29</f>
        <v>34957281.24</v>
      </c>
      <c r="N30" s="69" cm="1">
        <f t="array" ref="N30">N27+N29</f>
        <v>34957281.24</v>
      </c>
    </row>
    <row r="31" ht="20.5" customHeight="1">
      <c r="A31" s="70"/>
      <c r="B31" s="71"/>
      <c r="C31" s="71"/>
      <c r="D31" s="72"/>
      <c r="E31" s="72"/>
      <c r="F31" s="72"/>
      <c r="G31" s="72"/>
      <c r="H31" s="72"/>
      <c r="I31" s="71"/>
      <c r="J31" s="73"/>
      <c r="K31" t="s" s="75">
        <v>43</v>
      </c>
      <c r="L31" s="68" cm="1">
        <f t="array" ref="L31">ROUNDDOWN(L30,2)</f>
        <v>34993211.76</v>
      </c>
      <c r="M31" s="68" cm="1">
        <f t="array" ref="M31">ROUNDDOWN(M30,2)</f>
        <v>34957281.24</v>
      </c>
      <c r="N31" s="68" cm="1">
        <f t="array" ref="N31">ROUNDDOWN(N30,-3)</f>
        <v>34957000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46.xml><?xml version="1.0" encoding="utf-8"?>
<worksheet xmlns:r="http://schemas.openxmlformats.org/officeDocument/2006/relationships" xmlns="http://schemas.openxmlformats.org/spreadsheetml/2006/main">
  <sheetPr>
    <pageSetUpPr fitToPage="1"/>
  </sheetPr>
  <dimension ref="A1:N31"/>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160" customWidth="1"/>
    <col min="2" max="2" width="43.0312" style="160" customWidth="1"/>
    <col min="3" max="3" width="2.75" style="160" customWidth="1"/>
    <col min="4" max="6" width="10.3672" style="160" customWidth="1"/>
    <col min="7" max="7" width="11.6875" style="160" customWidth="1"/>
    <col min="8" max="11" width="13.5156" style="160" customWidth="1"/>
    <col min="12" max="14" width="14.2344" style="160" customWidth="1"/>
    <col min="15" max="16384" width="16.3516" style="160"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109</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s="95">
        <v>1</v>
      </c>
      <c r="B4" t="s" s="19">
        <v>110</v>
      </c>
      <c r="C4" s="20"/>
      <c r="D4" s="21">
        <v>1</v>
      </c>
      <c r="E4" s="21" cm="1">
        <f t="array" ref="E4">D4</f>
        <v>1</v>
      </c>
      <c r="F4" s="21" cm="1">
        <f t="array" ref="F4">D4</f>
        <v>1</v>
      </c>
      <c r="G4" t="s" s="22">
        <v>19</v>
      </c>
      <c r="H4" s="21" cm="1">
        <f t="array" ref="H4">ROUNDDOWN((44900000*0.1)*100/111,-2)</f>
        <v>4045000</v>
      </c>
      <c r="I4" s="21">
        <v>4040000</v>
      </c>
      <c r="J4" s="21">
        <v>4040000</v>
      </c>
      <c r="K4" s="21">
        <v>11</v>
      </c>
      <c r="L4" s="21" cm="1">
        <f t="array" ref="L4">IF(D4&gt;0,IF($D4&lt;=0,0,D4*H4),"")</f>
        <v>4045000</v>
      </c>
      <c r="M4" s="21" cm="1">
        <f t="array" ref="M4">IF(E4&gt;0,IF($D4&lt;=0,0,ROUND(E4*I4,2)),"")</f>
        <v>4040000</v>
      </c>
      <c r="N4" s="23" cm="1">
        <f t="array" ref="N4">IF(F4&gt;0,IF($D4&lt;=0,0,ROUND(F4*J4,2)),"")</f>
        <v>4040000</v>
      </c>
    </row>
    <row r="5" ht="20.5" customHeight="1">
      <c r="A5" s="95">
        <v>2</v>
      </c>
      <c r="B5" t="s" s="19">
        <v>111</v>
      </c>
      <c r="C5" s="24"/>
      <c r="D5" s="26">
        <v>1</v>
      </c>
      <c r="E5" s="26" cm="1">
        <f t="array" ref="E5">D5</f>
        <v>1</v>
      </c>
      <c r="F5" s="26" cm="1">
        <f t="array" ref="F5">D5</f>
        <v>1</v>
      </c>
      <c r="G5" t="s" s="27">
        <v>19</v>
      </c>
      <c r="H5" s="26" cm="1">
        <f t="array" ref="H5">ROUNDDOWN((44900000*0.2)*100/111,-2)</f>
        <v>8090000</v>
      </c>
      <c r="I5" s="26">
        <v>8050000</v>
      </c>
      <c r="J5" s="26">
        <v>8050000</v>
      </c>
      <c r="K5" s="26">
        <v>11</v>
      </c>
      <c r="L5" s="26" cm="1">
        <f t="array" ref="L5">IF(D5&gt;0,IF($D5&lt;=0,0,D5*H5),"")</f>
        <v>8090000</v>
      </c>
      <c r="M5" s="26" cm="1">
        <f t="array" ref="M5">IF(E5&gt;0,IF($D5&lt;=0,0,ROUND(E5*I5,2)),"")</f>
        <v>8050000</v>
      </c>
      <c r="N5" s="28" cm="1">
        <f t="array" ref="N5">IF(F5&gt;0,IF($D5&lt;=0,0,ROUND(F5*J5,2)),"")</f>
        <v>8050000</v>
      </c>
    </row>
    <row r="6" ht="20.5" customHeight="1">
      <c r="A6" s="95">
        <v>3</v>
      </c>
      <c r="B6" t="s" s="19">
        <v>112</v>
      </c>
      <c r="C6" s="20"/>
      <c r="D6" s="21">
        <v>1</v>
      </c>
      <c r="E6" s="21" cm="1">
        <f t="array" ref="E6">D6</f>
        <v>1</v>
      </c>
      <c r="F6" s="21" cm="1">
        <f t="array" ref="F6">D6</f>
        <v>1</v>
      </c>
      <c r="G6" t="s" s="22">
        <v>19</v>
      </c>
      <c r="H6" s="21" cm="1">
        <f t="array" ref="H6">ROUNDDOWN((44900000*0.25)*100/111,-2)</f>
        <v>10112600</v>
      </c>
      <c r="I6" s="21">
        <v>10110000</v>
      </c>
      <c r="J6" s="21">
        <v>10110000</v>
      </c>
      <c r="K6" s="21">
        <v>11</v>
      </c>
      <c r="L6" s="21" cm="1">
        <f t="array" ref="L6">IF(D6&gt;0,IF($D6&lt;=0,0,D6*H6),"")</f>
        <v>10112600</v>
      </c>
      <c r="M6" s="21" cm="1">
        <f t="array" ref="M6">IF(E6&gt;0,IF($D6&lt;=0,0,ROUND(E6*I6,2)),"")</f>
        <v>10110000</v>
      </c>
      <c r="N6" s="23" cm="1">
        <f t="array" ref="N6">IF(F6&gt;0,IF($D6&lt;=0,0,ROUND(F6*J6,2)),"")</f>
        <v>10110000</v>
      </c>
    </row>
    <row r="7" ht="68.5" customHeight="1">
      <c r="A7" s="95">
        <v>5</v>
      </c>
      <c r="B7" t="s" s="19">
        <v>113</v>
      </c>
      <c r="C7" s="24"/>
      <c r="D7" s="26">
        <v>1</v>
      </c>
      <c r="E7" s="26" cm="1">
        <f t="array" ref="E7">D7</f>
        <v>1</v>
      </c>
      <c r="F7" s="26" cm="1">
        <f t="array" ref="F7">D7</f>
        <v>1</v>
      </c>
      <c r="G7" t="s" s="27">
        <v>19</v>
      </c>
      <c r="H7" s="26" cm="1">
        <f t="array" ref="H7">ROUNDDOWN((44900000*0.25)*100/111,-2)</f>
        <v>10112600</v>
      </c>
      <c r="I7" s="26">
        <v>10105000</v>
      </c>
      <c r="J7" s="26">
        <v>10105000</v>
      </c>
      <c r="K7" s="26">
        <v>11</v>
      </c>
      <c r="L7" s="26" cm="1">
        <f t="array" ref="L7">IF(D7&gt;0,IF($D7&lt;=0,0,D7*H7),"")</f>
        <v>10112600</v>
      </c>
      <c r="M7" s="26" cm="1">
        <f t="array" ref="M7">IF(E7&gt;0,IF($D7&lt;=0,0,ROUND(E7*I7,2)),"")</f>
        <v>10105000</v>
      </c>
      <c r="N7" s="28" cm="1">
        <f t="array" ref="N7">IF(F7&gt;0,IF($D7&lt;=0,0,ROUND(F7*J7,2)),"")</f>
        <v>10105000</v>
      </c>
    </row>
    <row r="8" ht="32.5" customHeight="1">
      <c r="A8" s="95">
        <v>6</v>
      </c>
      <c r="B8" t="s" s="19">
        <v>114</v>
      </c>
      <c r="C8" s="20"/>
      <c r="D8" s="21">
        <v>1</v>
      </c>
      <c r="E8" s="21" cm="1">
        <f t="array" ref="E8">D8</f>
        <v>1</v>
      </c>
      <c r="F8" s="21" cm="1">
        <f t="array" ref="F8">D8</f>
        <v>1</v>
      </c>
      <c r="G8" t="s" s="22">
        <v>19</v>
      </c>
      <c r="H8" s="21" cm="1">
        <f t="array" ref="H8">ROUNDDOWN((44900000*0.05)*100/111,-2)</f>
        <v>2022500</v>
      </c>
      <c r="I8" s="21">
        <v>2000000</v>
      </c>
      <c r="J8" s="21">
        <v>2000000</v>
      </c>
      <c r="K8" s="21">
        <v>11</v>
      </c>
      <c r="L8" s="21" cm="1">
        <f t="array" ref="L8">IF(D8&gt;0,IF($D8&lt;=0,0,D8*H8),"")</f>
        <v>2022500</v>
      </c>
      <c r="M8" s="21" cm="1">
        <f t="array" ref="M8">IF(E8&gt;0,IF($D8&lt;=0,0,ROUND(E8*I8,2)),"")</f>
        <v>2000000</v>
      </c>
      <c r="N8" s="23" cm="1">
        <f t="array" ref="N8">IF(F8&gt;0,IF($D8&lt;=0,0,ROUND(F8*J8,2)),"")</f>
        <v>2000000</v>
      </c>
    </row>
    <row r="9" ht="20.5" customHeight="1">
      <c r="A9" s="95">
        <v>7</v>
      </c>
      <c r="B9" t="s" s="19">
        <v>115</v>
      </c>
      <c r="C9" s="24"/>
      <c r="D9" s="26">
        <v>1</v>
      </c>
      <c r="E9" s="26" cm="1">
        <f t="array" ref="E9">D9</f>
        <v>1</v>
      </c>
      <c r="F9" s="26" cm="1">
        <f t="array" ref="F9">D9</f>
        <v>1</v>
      </c>
      <c r="G9" t="s" s="27">
        <v>19</v>
      </c>
      <c r="H9" s="26" cm="1">
        <f t="array" ref="H9">ROUNDDOWN((44900000*0.15)*100/111,-2)</f>
        <v>6067500</v>
      </c>
      <c r="I9" s="26">
        <v>6050000</v>
      </c>
      <c r="J9" s="26">
        <v>6050000</v>
      </c>
      <c r="K9" s="26">
        <v>11</v>
      </c>
      <c r="L9" s="26" cm="1">
        <f t="array" ref="L9">IF(D9&gt;0,IF($D9&lt;=0,0,D9*H9),"")</f>
        <v>6067500</v>
      </c>
      <c r="M9" s="26" cm="1">
        <f t="array" ref="M9">IF(E9&gt;0,IF($D9&lt;=0,0,ROUND(E9*I9,2)),"")</f>
        <v>6050000</v>
      </c>
      <c r="N9" s="28" cm="1">
        <f t="array" ref="N9">IF(F9&gt;0,IF($D9&lt;=0,0,ROUND(F9*J9,2)),"")</f>
        <v>6050000</v>
      </c>
    </row>
    <row r="10" ht="20.6" customHeight="1">
      <c r="A10" s="33">
        <v>8</v>
      </c>
      <c r="B10" t="s" s="34">
        <v>37</v>
      </c>
      <c r="C10" s="35"/>
      <c r="D10" s="36">
        <v>1</v>
      </c>
      <c r="E10" s="36" cm="1">
        <f t="array" ref="E10">D10</f>
        <v>1</v>
      </c>
      <c r="F10" s="36" cm="1">
        <f t="array" ref="F10">D10</f>
        <v>1</v>
      </c>
      <c r="G10" t="s" s="37">
        <v>19</v>
      </c>
      <c r="H10" s="36">
        <v>97119.36</v>
      </c>
      <c r="I10" s="36">
        <v>96852</v>
      </c>
      <c r="J10" s="36">
        <v>96852</v>
      </c>
      <c r="K10" s="36">
        <v>0</v>
      </c>
      <c r="L10" s="36" cm="1">
        <f t="array" ref="L10">IF(D10&gt;0,IF($D10&lt;=0,0,D10*H10),"")</f>
        <v>97119.36</v>
      </c>
      <c r="M10" s="36" cm="1">
        <f t="array" ref="M10">IF(E10&gt;0,IF($D10&lt;=0,0,ROUND(E10*I10,2)),"")</f>
        <v>96852</v>
      </c>
      <c r="N10" s="38" cm="1">
        <f t="array" ref="N10">IF(F10&gt;0,IF($D10&lt;=0,0,ROUND(F10*J10,2)),"")</f>
        <v>96852</v>
      </c>
    </row>
    <row r="11" ht="8.75" customHeight="1" hidden="1">
      <c r="A11" s="39"/>
      <c r="B11" s="40"/>
      <c r="C11" s="41"/>
      <c r="D11" s="42"/>
      <c r="E11" s="42"/>
      <c r="F11" s="42"/>
      <c r="G11" s="43"/>
      <c r="H11" s="42"/>
      <c r="I11" s="42"/>
      <c r="J11" s="42"/>
      <c r="K11" s="42"/>
      <c r="L11" s="42"/>
      <c r="M11" s="42"/>
      <c r="N11" s="44"/>
    </row>
    <row r="12" ht="8.75" customHeight="1" hidden="1">
      <c r="A12" s="39"/>
      <c r="B12" s="40"/>
      <c r="C12" s="45"/>
      <c r="D12" s="46"/>
      <c r="E12" s="46"/>
      <c r="F12" s="46"/>
      <c r="G12" s="47"/>
      <c r="H12" s="46"/>
      <c r="I12" s="46"/>
      <c r="J12" s="46"/>
      <c r="K12" s="46"/>
      <c r="L12" s="46"/>
      <c r="M12" s="46"/>
      <c r="N12" s="48"/>
    </row>
    <row r="13" ht="8.75" customHeight="1" hidden="1">
      <c r="A13" s="39"/>
      <c r="B13" s="40"/>
      <c r="C13" s="41"/>
      <c r="D13" s="42"/>
      <c r="E13" s="42"/>
      <c r="F13" s="42"/>
      <c r="G13" s="43"/>
      <c r="H13" s="42"/>
      <c r="I13" s="42"/>
      <c r="J13" s="42"/>
      <c r="K13" s="42"/>
      <c r="L13" s="42"/>
      <c r="M13" s="42"/>
      <c r="N13" s="44"/>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2"/>
      <c r="I15" s="42"/>
      <c r="J15" s="42"/>
      <c r="K15" s="42"/>
      <c r="L15" s="42"/>
      <c r="M15" s="42"/>
      <c r="N15" s="44"/>
    </row>
    <row r="16" ht="8.75" customHeight="1" hidden="1">
      <c r="A16" s="39"/>
      <c r="B16" s="40"/>
      <c r="C16" s="45"/>
      <c r="D16" s="46"/>
      <c r="E16" s="46"/>
      <c r="F16" s="46"/>
      <c r="G16" s="47"/>
      <c r="H16" s="46"/>
      <c r="I16" s="46"/>
      <c r="J16" s="46"/>
      <c r="K16" s="46"/>
      <c r="L16" s="46"/>
      <c r="M16" s="46"/>
      <c r="N16" s="48"/>
    </row>
    <row r="17" ht="8.75" customHeight="1" hidden="1">
      <c r="A17" s="39"/>
      <c r="B17" s="40"/>
      <c r="C17" s="41"/>
      <c r="D17" s="42"/>
      <c r="E17" s="42"/>
      <c r="F17" s="42"/>
      <c r="G17" s="43"/>
      <c r="H17" s="43"/>
      <c r="I17" s="43"/>
      <c r="J17" s="43"/>
      <c r="K17" s="42"/>
      <c r="L17" s="43"/>
      <c r="M17" s="43"/>
      <c r="N17" s="49"/>
    </row>
    <row r="18" ht="8.75" customHeight="1" hidden="1">
      <c r="A18" s="39"/>
      <c r="B18" s="40"/>
      <c r="C18" s="45"/>
      <c r="D18" s="46"/>
      <c r="E18" s="46"/>
      <c r="F18" s="46"/>
      <c r="G18" s="47"/>
      <c r="H18" s="50"/>
      <c r="I18" s="50"/>
      <c r="J18" s="50"/>
      <c r="K18" s="46"/>
      <c r="L18" s="46"/>
      <c r="M18" s="46"/>
      <c r="N18" s="48"/>
    </row>
    <row r="19" ht="8.75" customHeight="1" hidden="1">
      <c r="A19" s="39"/>
      <c r="B19" s="40"/>
      <c r="C19" s="41"/>
      <c r="D19" s="42"/>
      <c r="E19" s="42"/>
      <c r="F19" s="42"/>
      <c r="G19" s="43"/>
      <c r="H19" s="43"/>
      <c r="I19" s="43"/>
      <c r="J19" s="43"/>
      <c r="K19" s="42"/>
      <c r="L19" s="43"/>
      <c r="M19" s="43"/>
      <c r="N19" s="49"/>
    </row>
    <row r="20" ht="8.75" customHeight="1" hidden="1">
      <c r="A20" s="39"/>
      <c r="B20" s="40"/>
      <c r="C20" s="45"/>
      <c r="D20" s="46"/>
      <c r="E20" s="46"/>
      <c r="F20" s="46"/>
      <c r="G20" s="47"/>
      <c r="H20" s="46"/>
      <c r="I20" s="46"/>
      <c r="J20" s="46"/>
      <c r="K20" s="46"/>
      <c r="L20" s="46"/>
      <c r="M20" s="46"/>
      <c r="N20" s="48"/>
    </row>
    <row r="21" ht="8.75" customHeight="1" hidden="1">
      <c r="A21" s="39"/>
      <c r="B21" s="40"/>
      <c r="C21" s="41"/>
      <c r="D21" s="42"/>
      <c r="E21" s="42"/>
      <c r="F21" s="42"/>
      <c r="G21" s="43"/>
      <c r="H21" s="42"/>
      <c r="I21" s="42"/>
      <c r="J21" s="42"/>
      <c r="K21" s="42"/>
      <c r="L21" s="42"/>
      <c r="M21" s="42"/>
      <c r="N21" s="44"/>
    </row>
    <row r="22" ht="8.75" customHeight="1" hidden="1">
      <c r="A22" s="51"/>
      <c r="B22" s="40"/>
      <c r="C22" s="45"/>
      <c r="D22" s="46"/>
      <c r="E22" s="46"/>
      <c r="F22" s="46"/>
      <c r="G22" s="47"/>
      <c r="H22" s="46"/>
      <c r="I22" s="46"/>
      <c r="J22" s="46"/>
      <c r="K22" s="46"/>
      <c r="L22" s="46"/>
      <c r="M22" s="46"/>
      <c r="N22" s="48"/>
    </row>
    <row r="23" ht="8.75" customHeight="1" hidden="1">
      <c r="A23" s="51"/>
      <c r="B23" s="40"/>
      <c r="C23" s="41"/>
      <c r="D23" s="42"/>
      <c r="E23" s="42"/>
      <c r="F23" s="42"/>
      <c r="G23" s="43"/>
      <c r="H23" s="42"/>
      <c r="I23" s="42"/>
      <c r="J23" s="42"/>
      <c r="K23" s="42"/>
      <c r="L23" s="42"/>
      <c r="M23" s="42"/>
      <c r="N23" s="44"/>
    </row>
    <row r="24" ht="8.75" customHeight="1" hidden="1">
      <c r="A24" s="39"/>
      <c r="B24" s="40"/>
      <c r="C24" s="45"/>
      <c r="D24" s="46"/>
      <c r="E24" s="46"/>
      <c r="F24" s="46"/>
      <c r="G24" s="47"/>
      <c r="H24" s="46"/>
      <c r="I24" s="46"/>
      <c r="J24" s="46"/>
      <c r="K24" s="46"/>
      <c r="L24" s="47"/>
      <c r="M24" s="47"/>
      <c r="N24" s="52"/>
    </row>
    <row r="25" ht="8.75" customHeight="1" hidden="1">
      <c r="A25" s="39"/>
      <c r="B25" s="40"/>
      <c r="C25" s="41"/>
      <c r="D25" s="42"/>
      <c r="E25" s="42"/>
      <c r="F25" s="42"/>
      <c r="G25" s="43"/>
      <c r="H25" s="42"/>
      <c r="I25" s="42"/>
      <c r="J25" s="42"/>
      <c r="K25" s="42"/>
      <c r="L25" s="42"/>
      <c r="M25" s="42"/>
      <c r="N25" s="44"/>
    </row>
    <row r="26" ht="8.75" customHeight="1" hidden="1">
      <c r="A26" s="39"/>
      <c r="B26" s="40"/>
      <c r="C26" s="45"/>
      <c r="D26" s="46"/>
      <c r="E26" s="46"/>
      <c r="F26" s="46"/>
      <c r="G26" s="47"/>
      <c r="H26" s="46"/>
      <c r="I26" s="46"/>
      <c r="J26" s="46"/>
      <c r="K26" s="46"/>
      <c r="L26" s="47"/>
      <c r="M26" s="47"/>
      <c r="N26" s="52"/>
    </row>
    <row r="27" ht="20.85" customHeight="1">
      <c r="A27" s="108"/>
      <c r="B27" s="54"/>
      <c r="C27" s="54"/>
      <c r="D27" s="55"/>
      <c r="E27" s="55"/>
      <c r="F27" s="55"/>
      <c r="G27" s="56"/>
      <c r="H27" s="56"/>
      <c r="I27" s="54"/>
      <c r="J27" s="57"/>
      <c r="K27" t="s" s="58">
        <v>38</v>
      </c>
      <c r="L27" s="59" cm="1">
        <f t="array" ref="L27">SUM(L1:L26)</f>
        <v>40547319.36</v>
      </c>
      <c r="M27" s="59" cm="1">
        <f t="array" ref="M27">SUM(M1:M26)</f>
        <v>40451852</v>
      </c>
      <c r="N27" s="59" cm="1">
        <f t="array" ref="N27">SUM(N1:N26)</f>
        <v>40451852</v>
      </c>
    </row>
    <row r="28" ht="21" customHeight="1">
      <c r="A28" s="63" cm="1">
        <f t="array" ref="A28">ROUND(IF(I28&lt;=100000000,I28*0.24%,IF(AND(I28&gt;100000000,I28&lt;=500000000),100000000*0.24%+(I28-100000000)*0.19%,IF(AND(I28&gt;500000000,I28&lt;=1000000000),100000000*0.24%+400000000*0.19%+(I28-500000000)*0.15%,IF(AND(I28&gt;1000000000,I28&lt;=5000000000),100000000*0.24%+400000000*0.19%+500000000*0.15%+(I28-1000000000)*0.12%,IF(I28&gt;5000000000,100000000*0.24%+400000000*0.19%+500000000*0.15%+4000000000*0.12%+(I28-5000000000)*0.1%,"Bingung komputer"))))),2)</f>
        <v>107760</v>
      </c>
      <c r="B28" t="s" s="109">
        <v>39</v>
      </c>
      <c r="C28" s="62"/>
      <c r="D28" s="63" cm="1">
        <f t="array" ref="D28">ROUND(IF(L28&lt;=100000000,L28*0.24%,IF(AND(L28&gt;100000000,L28&lt;=500000000),100000000*0.24%+(L28-100000000)*0.19%,IF(AND(L28&gt;500000000,L28&lt;=1000000000),100000000*0.24%+400000000*0.19%+(L28-500000000)*0.15%,IF(AND(L28&gt;1000000000,L28&lt;=5000000000),100000000*0.24%+400000000*0.19%+500000000*0.15%+(L28-1000000000)*0.12%,IF(L28&gt;5000000000,100000000*0.24%+400000000*0.19%+500000000*0.15%+4000000000*0.12%+(L28-5000000000)*0.1%,"Bingung komputer"))))),2)</f>
        <v>97080.48</v>
      </c>
      <c r="E28" s="64" cm="1">
        <f t="array" ref="E28">ROUND(IF(M28&lt;=100000000,M28*0.24%,IF(AND(M28&gt;100000000,M28&lt;=500000000),100000000*0.24%+(M28-100000000)*0.19%,IF(AND(M28&gt;500000000,M28&lt;=1000000000),100000000*0.24%+400000000*0.19%+(M28-500000000)*0.15%,IF(AND(M28&gt;1000000000,M28&lt;=5000000000),100000000*0.24%+400000000*0.19%+500000000*0.15%+(M28-1000000000)*0.12%,IF(M28&gt;5000000000,100000000*0.24%+400000000*0.19%+500000000*0.15%+4000000000*0.12%+(M28-5000000000)*0.1%,"Bingung komputer"))))),2)</f>
        <v>96852</v>
      </c>
      <c r="F28" s="64" cm="1">
        <f t="array" ref="F28">ROUND(IF(N28&lt;=100000000,N28*0.24%,IF(AND(N28&gt;100000000,N28&lt;=500000000),100000000*0.24%+(N28-100000000)*0.19%,IF(AND(N28&gt;500000000,N28&lt;=1000000000),100000000*0.24%+400000000*0.19%+(N28-500000000)*0.15%,IF(AND(N28&gt;1000000000,N28&lt;=5000000000),100000000*0.24%+400000000*0.19%+500000000*0.15%+(N28-1000000000)*0.12%,IF(N28&gt;5000000000,100000000*0.24%+400000000*0.19%+500000000*0.15%+4000000000*0.12%+(N28-5000000000)*0.1%,"Bingung komputer"))))),2)</f>
        <v>96852</v>
      </c>
      <c r="G28" s="65"/>
      <c r="H28" s="66" cm="1">
        <f t="array" ref="H28">I$28*(100/111)</f>
        <v>40450450.4504505</v>
      </c>
      <c r="I28" s="68">
        <v>44900000</v>
      </c>
      <c r="J28" s="67"/>
      <c r="K28" t="str" s="67" cm="1">
        <f t="array" ref="K28">"Jumlah Terkena Pajak "&amp;MAX(K3:K26)&amp;"% (B)"</f>
        <v>Jumlah Terkena Pajak 11,00% (B)</v>
      </c>
      <c r="L28" s="68" cm="1">
        <f t="array" ref="L28">SUMIF($K3:$K26,"&gt;0",L3:L26)</f>
        <v>40450200</v>
      </c>
      <c r="M28" s="69" cm="1">
        <f t="array" ref="M28">SUMIF($K3:$K26,"&gt;0",M3:M26)</f>
        <v>40355000</v>
      </c>
      <c r="N28" s="69" cm="1">
        <f t="array" ref="N28">SUMIF($K3:$K26,"&gt;0",N3:N26)</f>
        <v>40355000</v>
      </c>
    </row>
    <row r="29" ht="21" customHeight="1">
      <c r="A29" s="70"/>
      <c r="B29" s="71"/>
      <c r="C29" s="71"/>
      <c r="D29" s="72"/>
      <c r="E29" s="72"/>
      <c r="F29" s="71"/>
      <c r="G29" s="72"/>
      <c r="H29" s="72"/>
      <c r="I29" s="74" cm="1">
        <f t="array" ref="I29">A$28+I$28</f>
        <v>45007760</v>
      </c>
      <c r="J29" s="73"/>
      <c r="K29" t="str" s="73" cm="1">
        <f t="array" ref="K29">"PPN (C) = "&amp;MAX(K3:K26)&amp;"% x B"</f>
        <v>PPN (C) = 11,00% x B</v>
      </c>
      <c r="L29" s="74" cm="1">
        <f t="array" ref="L29">L28*MAX($K3:$K26)%</f>
        <v>4449522</v>
      </c>
      <c r="M29" s="69" cm="1">
        <f t="array" ref="M29">M28*MAX($K3:$K26)%</f>
        <v>4439050</v>
      </c>
      <c r="N29" s="69" cm="1">
        <f t="array" ref="N29">N28*MAX($K3:$K26)%</f>
        <v>4439050</v>
      </c>
    </row>
    <row r="30" ht="21" customHeight="1">
      <c r="A30" s="70"/>
      <c r="B30" s="71"/>
      <c r="C30" s="71"/>
      <c r="D30" s="72"/>
      <c r="E30" s="72"/>
      <c r="F30" s="72"/>
      <c r="G30" s="72"/>
      <c r="H30" s="72"/>
      <c r="I30" s="71"/>
      <c r="J30" s="73"/>
      <c r="K30" t="s" s="75">
        <v>42</v>
      </c>
      <c r="L30" s="76" cm="1">
        <f t="array" ref="L30">L27+L29</f>
        <v>44996841.36</v>
      </c>
      <c r="M30" s="69" cm="1">
        <f t="array" ref="M30">M27+M29</f>
        <v>44890902</v>
      </c>
      <c r="N30" s="69" cm="1">
        <f t="array" ref="N30">N27+N29</f>
        <v>44890902</v>
      </c>
    </row>
    <row r="31" ht="20.5" customHeight="1">
      <c r="A31" s="70"/>
      <c r="B31" s="71"/>
      <c r="C31" s="71"/>
      <c r="D31" s="72"/>
      <c r="E31" s="72"/>
      <c r="F31" s="72"/>
      <c r="G31" s="72"/>
      <c r="H31" s="72"/>
      <c r="I31" s="71"/>
      <c r="J31" s="73"/>
      <c r="K31" t="s" s="75">
        <v>43</v>
      </c>
      <c r="L31" s="68" cm="1">
        <f t="array" ref="L31">ROUNDDOWN(L30,2)</f>
        <v>44996841.36</v>
      </c>
      <c r="M31" s="68" cm="1">
        <f t="array" ref="M31">ROUNDDOWN(M30,2)</f>
        <v>44890902</v>
      </c>
      <c r="N31" s="68" cm="1">
        <f t="array" ref="N31">ROUNDDOWN(N30,-3)</f>
        <v>44890000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47.xml><?xml version="1.0" encoding="utf-8"?>
<worksheet xmlns:r="http://schemas.openxmlformats.org/officeDocument/2006/relationships" xmlns="http://schemas.openxmlformats.org/spreadsheetml/2006/main">
  <sheetPr>
    <pageSetUpPr fitToPage="1"/>
  </sheetPr>
  <dimension ref="A1:N31"/>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161" customWidth="1"/>
    <col min="2" max="2" width="43.0312" style="161" customWidth="1"/>
    <col min="3" max="3" width="2.75" style="161" customWidth="1"/>
    <col min="4" max="6" width="10.3672" style="161" customWidth="1"/>
    <col min="7" max="7" width="11.6875" style="161" customWidth="1"/>
    <col min="8" max="11" width="13.5156" style="161" customWidth="1"/>
    <col min="12" max="14" width="14.2344" style="161" customWidth="1"/>
    <col min="15" max="16384" width="16.3516" style="161"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109</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s="95">
        <v>1</v>
      </c>
      <c r="B4" t="s" s="19">
        <v>110</v>
      </c>
      <c r="C4" s="20"/>
      <c r="D4" s="21">
        <v>1</v>
      </c>
      <c r="E4" s="21" cm="1">
        <f t="array" ref="E4">D4</f>
        <v>1</v>
      </c>
      <c r="F4" s="21" cm="1">
        <f t="array" ref="F4">D4</f>
        <v>1</v>
      </c>
      <c r="G4" t="s" s="22">
        <v>19</v>
      </c>
      <c r="H4" s="21" cm="1">
        <f t="array" ref="H4">ROUNDDOWN((99760500*0.1)*100/111,-2)</f>
        <v>8987400</v>
      </c>
      <c r="I4" s="21">
        <v>8790000</v>
      </c>
      <c r="J4" s="21">
        <v>8790000</v>
      </c>
      <c r="K4" s="21">
        <v>11</v>
      </c>
      <c r="L4" s="21" cm="1">
        <f t="array" ref="L4">IF(D4&gt;0,IF($D4&lt;=0,0,D4*H4),"")</f>
        <v>8987400</v>
      </c>
      <c r="M4" s="21" cm="1">
        <f t="array" ref="M4">IF(E4&gt;0,IF($D4&lt;=0,0,ROUND(E4*I4,2)),"")</f>
        <v>8790000</v>
      </c>
      <c r="N4" s="23" cm="1">
        <f t="array" ref="N4">IF(F4&gt;0,IF($D4&lt;=0,0,ROUND(F4*J4,2)),"")</f>
        <v>8790000</v>
      </c>
    </row>
    <row r="5" ht="20.5" customHeight="1">
      <c r="A5" s="95">
        <v>2</v>
      </c>
      <c r="B5" t="s" s="19">
        <v>111</v>
      </c>
      <c r="C5" s="24"/>
      <c r="D5" s="26">
        <v>1</v>
      </c>
      <c r="E5" s="26" cm="1">
        <f t="array" ref="E5">D5</f>
        <v>1</v>
      </c>
      <c r="F5" s="26" cm="1">
        <f t="array" ref="F5">D5</f>
        <v>1</v>
      </c>
      <c r="G5" t="s" s="27">
        <v>19</v>
      </c>
      <c r="H5" s="26" cm="1">
        <f t="array" ref="H5">ROUNDDOWN((99760500*0.2)*100/111,-2)</f>
        <v>17974800</v>
      </c>
      <c r="I5" s="26">
        <v>17000000</v>
      </c>
      <c r="J5" s="26">
        <v>17000000</v>
      </c>
      <c r="K5" s="26">
        <v>11</v>
      </c>
      <c r="L5" s="26" cm="1">
        <f t="array" ref="L5">IF(D5&gt;0,IF($D5&lt;=0,0,D5*H5),"")</f>
        <v>17974800</v>
      </c>
      <c r="M5" s="26" cm="1">
        <f t="array" ref="M5">IF(E5&gt;0,IF($D5&lt;=0,0,ROUND(E5*I5,2)),"")</f>
        <v>17000000</v>
      </c>
      <c r="N5" s="28" cm="1">
        <f t="array" ref="N5">IF(F5&gt;0,IF($D5&lt;=0,0,ROUND(F5*J5,2)),"")</f>
        <v>17000000</v>
      </c>
    </row>
    <row r="6" ht="20.5" customHeight="1">
      <c r="A6" s="95">
        <v>3</v>
      </c>
      <c r="B6" t="s" s="19">
        <v>112</v>
      </c>
      <c r="C6" s="20"/>
      <c r="D6" s="21">
        <v>1</v>
      </c>
      <c r="E6" s="21" cm="1">
        <f t="array" ref="E6">D6</f>
        <v>1</v>
      </c>
      <c r="F6" s="21" cm="1">
        <f t="array" ref="F6">D6</f>
        <v>1</v>
      </c>
      <c r="G6" t="s" s="22">
        <v>19</v>
      </c>
      <c r="H6" s="21" cm="1">
        <f t="array" ref="H6">ROUNDDOWN((99760500*0.25)*100/111,-2)</f>
        <v>22468500</v>
      </c>
      <c r="I6" s="21">
        <v>24000000</v>
      </c>
      <c r="J6" s="21">
        <v>24000000</v>
      </c>
      <c r="K6" s="21">
        <v>11</v>
      </c>
      <c r="L6" s="21" cm="1">
        <f t="array" ref="L6">IF(D6&gt;0,IF($D6&lt;=0,0,D6*H6),"")</f>
        <v>22468500</v>
      </c>
      <c r="M6" s="21" cm="1">
        <f t="array" ref="M6">IF(E6&gt;0,IF($D6&lt;=0,0,ROUND(E6*I6,2)),"")</f>
        <v>24000000</v>
      </c>
      <c r="N6" s="23" cm="1">
        <f t="array" ref="N6">IF(F6&gt;0,IF($D6&lt;=0,0,ROUND(F6*J6,2)),"")</f>
        <v>24000000</v>
      </c>
    </row>
    <row r="7" ht="68.5" customHeight="1">
      <c r="A7" s="95">
        <v>5</v>
      </c>
      <c r="B7" t="s" s="19">
        <v>113</v>
      </c>
      <c r="C7" s="24"/>
      <c r="D7" s="26">
        <v>1</v>
      </c>
      <c r="E7" s="26" cm="1">
        <f t="array" ref="E7">D7</f>
        <v>1</v>
      </c>
      <c r="F7" s="26" cm="1">
        <f t="array" ref="F7">D7</f>
        <v>1</v>
      </c>
      <c r="G7" t="s" s="27">
        <v>19</v>
      </c>
      <c r="H7" s="26" cm="1">
        <f t="array" ref="H7">ROUNDDOWN((99760500*0.25)*100/111,-2)</f>
        <v>22468500</v>
      </c>
      <c r="I7" s="26">
        <v>24000000</v>
      </c>
      <c r="J7" s="26">
        <v>24000000</v>
      </c>
      <c r="K7" s="26">
        <v>11</v>
      </c>
      <c r="L7" s="26" cm="1">
        <f t="array" ref="L7">IF(D7&gt;0,IF($D7&lt;=0,0,D7*H7),"")</f>
        <v>22468500</v>
      </c>
      <c r="M7" s="26" cm="1">
        <f t="array" ref="M7">IF(E7&gt;0,IF($D7&lt;=0,0,ROUND(E7*I7,2)),"")</f>
        <v>24000000</v>
      </c>
      <c r="N7" s="28" cm="1">
        <f t="array" ref="N7">IF(F7&gt;0,IF($D7&lt;=0,0,ROUND(F7*J7,2)),"")</f>
        <v>24000000</v>
      </c>
    </row>
    <row r="8" ht="32.5" customHeight="1">
      <c r="A8" s="95">
        <v>6</v>
      </c>
      <c r="B8" t="s" s="19">
        <v>114</v>
      </c>
      <c r="C8" s="20"/>
      <c r="D8" s="21">
        <v>1</v>
      </c>
      <c r="E8" s="21" cm="1">
        <f t="array" ref="E8">D8</f>
        <v>1</v>
      </c>
      <c r="F8" s="21" cm="1">
        <f t="array" ref="F8">D8</f>
        <v>1</v>
      </c>
      <c r="G8" t="s" s="22">
        <v>19</v>
      </c>
      <c r="H8" s="21" cm="1">
        <f t="array" ref="H8">ROUNDDOWN((99760500*0.05)*100/111,-2)</f>
        <v>4493700</v>
      </c>
      <c r="I8" s="21">
        <v>4000000</v>
      </c>
      <c r="J8" s="21">
        <v>4000000</v>
      </c>
      <c r="K8" s="21">
        <v>11</v>
      </c>
      <c r="L8" s="21" cm="1">
        <f t="array" ref="L8">IF(D8&gt;0,IF($D8&lt;=0,0,D8*H8),"")</f>
        <v>4493700</v>
      </c>
      <c r="M8" s="21" cm="1">
        <f t="array" ref="M8">IF(E8&gt;0,IF($D8&lt;=0,0,ROUND(E8*I8,2)),"")</f>
        <v>4000000</v>
      </c>
      <c r="N8" s="23" cm="1">
        <f t="array" ref="N8">IF(F8&gt;0,IF($D8&lt;=0,0,ROUND(F8*J8,2)),"")</f>
        <v>4000000</v>
      </c>
    </row>
    <row r="9" ht="20.5" customHeight="1">
      <c r="A9" s="95">
        <v>7</v>
      </c>
      <c r="B9" t="s" s="19">
        <v>115</v>
      </c>
      <c r="C9" s="24"/>
      <c r="D9" s="26">
        <v>1</v>
      </c>
      <c r="E9" s="26" cm="1">
        <f t="array" ref="E9">D9</f>
        <v>1</v>
      </c>
      <c r="F9" s="26" cm="1">
        <f t="array" ref="F9">D9</f>
        <v>1</v>
      </c>
      <c r="G9" t="s" s="27">
        <v>19</v>
      </c>
      <c r="H9" s="26" cm="1">
        <f t="array" ref="H9">ROUNDDOWN((99760500*0.15)*100/111,-2)</f>
        <v>13481100</v>
      </c>
      <c r="I9" s="26">
        <v>12000000</v>
      </c>
      <c r="J9" s="26">
        <v>12000000</v>
      </c>
      <c r="K9" s="26">
        <v>11</v>
      </c>
      <c r="L9" s="26" cm="1">
        <f t="array" ref="L9">IF(D9&gt;0,IF($D9&lt;=0,0,D9*H9),"")</f>
        <v>13481100</v>
      </c>
      <c r="M9" s="26" cm="1">
        <f t="array" ref="M9">IF(E9&gt;0,IF($D9&lt;=0,0,ROUND(E9*I9,2)),"")</f>
        <v>12000000</v>
      </c>
      <c r="N9" s="28" cm="1">
        <f t="array" ref="N9">IF(F9&gt;0,IF($D9&lt;=0,0,ROUND(F9*J9,2)),"")</f>
        <v>12000000</v>
      </c>
    </row>
    <row r="10" ht="20.6" customHeight="1">
      <c r="A10" s="33">
        <v>8</v>
      </c>
      <c r="B10" t="s" s="34">
        <v>37</v>
      </c>
      <c r="C10" s="35"/>
      <c r="D10" s="36">
        <v>1</v>
      </c>
      <c r="E10" s="36" cm="1">
        <f t="array" ref="E10">D10</f>
        <v>1</v>
      </c>
      <c r="F10" s="36" cm="1">
        <f t="array" ref="F10">D10</f>
        <v>1</v>
      </c>
      <c r="G10" t="s" s="37">
        <v>19</v>
      </c>
      <c r="H10" s="36">
        <v>215697.6</v>
      </c>
      <c r="I10" s="36">
        <v>240000</v>
      </c>
      <c r="J10" s="36">
        <v>240000</v>
      </c>
      <c r="K10" s="36">
        <v>0</v>
      </c>
      <c r="L10" s="36" cm="1">
        <f t="array" ref="L10">IF(D10&gt;0,IF($D10&lt;=0,0,D10*H10),"")</f>
        <v>215697.6</v>
      </c>
      <c r="M10" s="36" cm="1">
        <f t="array" ref="M10">IF(E10&gt;0,IF($D10&lt;=0,0,ROUND(E10*I10,2)),"")</f>
        <v>240000</v>
      </c>
      <c r="N10" s="38" cm="1">
        <f t="array" ref="N10">IF(F10&gt;0,IF($D10&lt;=0,0,ROUND(F10*J10,2)),"")</f>
        <v>240000</v>
      </c>
    </row>
    <row r="11" ht="8.75" customHeight="1" hidden="1">
      <c r="A11" s="39"/>
      <c r="B11" s="40"/>
      <c r="C11" s="41"/>
      <c r="D11" s="42"/>
      <c r="E11" s="42"/>
      <c r="F11" s="42"/>
      <c r="G11" s="43"/>
      <c r="H11" s="42"/>
      <c r="I11" s="42"/>
      <c r="J11" s="42"/>
      <c r="K11" s="42"/>
      <c r="L11" s="42"/>
      <c r="M11" s="42"/>
      <c r="N11" s="44"/>
    </row>
    <row r="12" ht="8.75" customHeight="1" hidden="1">
      <c r="A12" s="39"/>
      <c r="B12" s="40"/>
      <c r="C12" s="45"/>
      <c r="D12" s="46"/>
      <c r="E12" s="46"/>
      <c r="F12" s="46"/>
      <c r="G12" s="47"/>
      <c r="H12" s="46"/>
      <c r="I12" s="46"/>
      <c r="J12" s="46"/>
      <c r="K12" s="46"/>
      <c r="L12" s="46"/>
      <c r="M12" s="46"/>
      <c r="N12" s="48"/>
    </row>
    <row r="13" ht="8.75" customHeight="1" hidden="1">
      <c r="A13" s="39"/>
      <c r="B13" s="40"/>
      <c r="C13" s="41"/>
      <c r="D13" s="42"/>
      <c r="E13" s="42"/>
      <c r="F13" s="42"/>
      <c r="G13" s="43"/>
      <c r="H13" s="42"/>
      <c r="I13" s="42"/>
      <c r="J13" s="42"/>
      <c r="K13" s="42"/>
      <c r="L13" s="42"/>
      <c r="M13" s="42"/>
      <c r="N13" s="44"/>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2"/>
      <c r="I15" s="42"/>
      <c r="J15" s="42"/>
      <c r="K15" s="42"/>
      <c r="L15" s="42"/>
      <c r="M15" s="42"/>
      <c r="N15" s="44"/>
    </row>
    <row r="16" ht="8.75" customHeight="1" hidden="1">
      <c r="A16" s="39"/>
      <c r="B16" s="40"/>
      <c r="C16" s="45"/>
      <c r="D16" s="46"/>
      <c r="E16" s="46"/>
      <c r="F16" s="46"/>
      <c r="G16" s="47"/>
      <c r="H16" s="46"/>
      <c r="I16" s="46"/>
      <c r="J16" s="46"/>
      <c r="K16" s="46"/>
      <c r="L16" s="46"/>
      <c r="M16" s="46"/>
      <c r="N16" s="48"/>
    </row>
    <row r="17" ht="8.75" customHeight="1" hidden="1">
      <c r="A17" s="39"/>
      <c r="B17" s="40"/>
      <c r="C17" s="41"/>
      <c r="D17" s="42"/>
      <c r="E17" s="42"/>
      <c r="F17" s="42"/>
      <c r="G17" s="43"/>
      <c r="H17" s="43"/>
      <c r="I17" s="43"/>
      <c r="J17" s="43"/>
      <c r="K17" s="42"/>
      <c r="L17" s="43"/>
      <c r="M17" s="43"/>
      <c r="N17" s="49"/>
    </row>
    <row r="18" ht="8.75" customHeight="1" hidden="1">
      <c r="A18" s="39"/>
      <c r="B18" s="40"/>
      <c r="C18" s="45"/>
      <c r="D18" s="46"/>
      <c r="E18" s="46"/>
      <c r="F18" s="46"/>
      <c r="G18" s="47"/>
      <c r="H18" s="50"/>
      <c r="I18" s="50"/>
      <c r="J18" s="50"/>
      <c r="K18" s="46"/>
      <c r="L18" s="46"/>
      <c r="M18" s="46"/>
      <c r="N18" s="48"/>
    </row>
    <row r="19" ht="8.75" customHeight="1" hidden="1">
      <c r="A19" s="39"/>
      <c r="B19" s="40"/>
      <c r="C19" s="41"/>
      <c r="D19" s="42"/>
      <c r="E19" s="42"/>
      <c r="F19" s="42"/>
      <c r="G19" s="43"/>
      <c r="H19" s="43"/>
      <c r="I19" s="43"/>
      <c r="J19" s="43"/>
      <c r="K19" s="42"/>
      <c r="L19" s="43"/>
      <c r="M19" s="43"/>
      <c r="N19" s="49"/>
    </row>
    <row r="20" ht="8.75" customHeight="1" hidden="1">
      <c r="A20" s="39"/>
      <c r="B20" s="40"/>
      <c r="C20" s="45"/>
      <c r="D20" s="46"/>
      <c r="E20" s="46"/>
      <c r="F20" s="46"/>
      <c r="G20" s="47"/>
      <c r="H20" s="46"/>
      <c r="I20" s="46"/>
      <c r="J20" s="46"/>
      <c r="K20" s="46"/>
      <c r="L20" s="46"/>
      <c r="M20" s="46"/>
      <c r="N20" s="48"/>
    </row>
    <row r="21" ht="8.75" customHeight="1" hidden="1">
      <c r="A21" s="39"/>
      <c r="B21" s="40"/>
      <c r="C21" s="41"/>
      <c r="D21" s="42"/>
      <c r="E21" s="42"/>
      <c r="F21" s="42"/>
      <c r="G21" s="43"/>
      <c r="H21" s="42"/>
      <c r="I21" s="42"/>
      <c r="J21" s="42"/>
      <c r="K21" s="42"/>
      <c r="L21" s="42"/>
      <c r="M21" s="42"/>
      <c r="N21" s="44"/>
    </row>
    <row r="22" ht="8.75" customHeight="1" hidden="1">
      <c r="A22" s="51"/>
      <c r="B22" s="40"/>
      <c r="C22" s="45"/>
      <c r="D22" s="46"/>
      <c r="E22" s="46"/>
      <c r="F22" s="46"/>
      <c r="G22" s="47"/>
      <c r="H22" s="46"/>
      <c r="I22" s="46"/>
      <c r="J22" s="46"/>
      <c r="K22" s="46"/>
      <c r="L22" s="46"/>
      <c r="M22" s="46"/>
      <c r="N22" s="48"/>
    </row>
    <row r="23" ht="8.75" customHeight="1" hidden="1">
      <c r="A23" s="51"/>
      <c r="B23" s="40"/>
      <c r="C23" s="41"/>
      <c r="D23" s="42"/>
      <c r="E23" s="42"/>
      <c r="F23" s="42"/>
      <c r="G23" s="43"/>
      <c r="H23" s="42"/>
      <c r="I23" s="42"/>
      <c r="J23" s="42"/>
      <c r="K23" s="42"/>
      <c r="L23" s="42"/>
      <c r="M23" s="42"/>
      <c r="N23" s="44"/>
    </row>
    <row r="24" ht="8.75" customHeight="1" hidden="1">
      <c r="A24" s="39"/>
      <c r="B24" s="40"/>
      <c r="C24" s="45"/>
      <c r="D24" s="46"/>
      <c r="E24" s="46"/>
      <c r="F24" s="46"/>
      <c r="G24" s="47"/>
      <c r="H24" s="46"/>
      <c r="I24" s="46"/>
      <c r="J24" s="46"/>
      <c r="K24" s="46"/>
      <c r="L24" s="47"/>
      <c r="M24" s="47"/>
      <c r="N24" s="52"/>
    </row>
    <row r="25" ht="8.75" customHeight="1" hidden="1">
      <c r="A25" s="39"/>
      <c r="B25" s="40"/>
      <c r="C25" s="41"/>
      <c r="D25" s="42"/>
      <c r="E25" s="42"/>
      <c r="F25" s="42"/>
      <c r="G25" s="43"/>
      <c r="H25" s="42"/>
      <c r="I25" s="42"/>
      <c r="J25" s="42"/>
      <c r="K25" s="42"/>
      <c r="L25" s="42"/>
      <c r="M25" s="42"/>
      <c r="N25" s="44"/>
    </row>
    <row r="26" ht="8.75" customHeight="1" hidden="1">
      <c r="A26" s="39"/>
      <c r="B26" s="40"/>
      <c r="C26" s="45"/>
      <c r="D26" s="46"/>
      <c r="E26" s="46"/>
      <c r="F26" s="46"/>
      <c r="G26" s="47"/>
      <c r="H26" s="46"/>
      <c r="I26" s="46"/>
      <c r="J26" s="46"/>
      <c r="K26" s="46"/>
      <c r="L26" s="47"/>
      <c r="M26" s="47"/>
      <c r="N26" s="52"/>
    </row>
    <row r="27" ht="20.85" customHeight="1">
      <c r="A27" s="108"/>
      <c r="B27" s="54"/>
      <c r="C27" s="54"/>
      <c r="D27" s="55"/>
      <c r="E27" s="55"/>
      <c r="F27" s="55"/>
      <c r="G27" s="56"/>
      <c r="H27" s="56"/>
      <c r="I27" s="54"/>
      <c r="J27" s="57"/>
      <c r="K27" t="s" s="58">
        <v>38</v>
      </c>
      <c r="L27" s="59" cm="1">
        <f t="array" ref="L27">SUM(L1:L26)</f>
        <v>90089697.59999999</v>
      </c>
      <c r="M27" s="59" cm="1">
        <f t="array" ref="M27">SUM(M1:M26)</f>
        <v>90030000</v>
      </c>
      <c r="N27" s="59" cm="1">
        <f t="array" ref="N27">SUM(N1:N26)</f>
        <v>90030000</v>
      </c>
    </row>
    <row r="28" ht="21" customHeight="1">
      <c r="A28" s="63" cm="1">
        <f t="array" ref="A28">ROUND(IF(I28&lt;=100000000,I28*0.24%,IF(AND(I28&gt;100000000,I28&lt;=500000000),100000000*0.24%+(I28-100000000)*0.19%,IF(AND(I28&gt;500000000,I28&lt;=1000000000),100000000*0.24%+400000000*0.19%+(I28-500000000)*0.15%,IF(AND(I28&gt;1000000000,I28&lt;=5000000000),100000000*0.24%+400000000*0.19%+500000000*0.15%+(I28-1000000000)*0.12%,IF(I28&gt;5000000000,100000000*0.24%+400000000*0.19%+500000000*0.15%+4000000000*0.12%+(I28-5000000000)*0.1%,"Bingung komputer"))))),2)</f>
        <v>0</v>
      </c>
      <c r="B28" t="s" s="109">
        <v>39</v>
      </c>
      <c r="C28" s="62"/>
      <c r="D28" s="63" cm="1">
        <f t="array" ref="D28">ROUND(IF(L28&lt;=100000000,L28*0.24%,IF(AND(L28&gt;100000000,L28&lt;=500000000),100000000*0.24%+(L28-100000000)*0.19%,IF(AND(L28&gt;500000000,L28&lt;=1000000000),100000000*0.24%+400000000*0.19%+(L28-500000000)*0.15%,IF(AND(L28&gt;1000000000,L28&lt;=5000000000),100000000*0.24%+400000000*0.19%+500000000*0.15%+(L28-1000000000)*0.12%,IF(L28&gt;5000000000,100000000*0.24%+400000000*0.19%+500000000*0.15%+4000000000*0.12%+(L28-5000000000)*0.1%,"Bingung komputer"))))),2)</f>
        <v>215697.6</v>
      </c>
      <c r="E28" s="64" cm="1">
        <f t="array" ref="E28">ROUND(IF(M28&lt;=100000000,M28*0.24%,IF(AND(M28&gt;100000000,M28&lt;=500000000),100000000*0.24%+(M28-100000000)*0.19%,IF(AND(M28&gt;500000000,M28&lt;=1000000000),100000000*0.24%+400000000*0.19%+(M28-500000000)*0.15%,IF(AND(M28&gt;1000000000,M28&lt;=5000000000),100000000*0.24%+400000000*0.19%+500000000*0.15%+(M28-1000000000)*0.12%,IF(M28&gt;5000000000,100000000*0.24%+400000000*0.19%+500000000*0.15%+4000000000*0.12%+(M28-5000000000)*0.1%,"Bingung komputer"))))),2)</f>
        <v>215496</v>
      </c>
      <c r="F28" s="64" cm="1">
        <f t="array" ref="F28">ROUND(IF(N28&lt;=100000000,N28*0.24%,IF(AND(N28&gt;100000000,N28&lt;=500000000),100000000*0.24%+(N28-100000000)*0.19%,IF(AND(N28&gt;500000000,N28&lt;=1000000000),100000000*0.24%+400000000*0.19%+(N28-500000000)*0.15%,IF(AND(N28&gt;1000000000,N28&lt;=5000000000),100000000*0.24%+400000000*0.19%+500000000*0.15%+(N28-1000000000)*0.12%,IF(N28&gt;5000000000,100000000*0.24%+400000000*0.19%+500000000*0.15%+4000000000*0.12%+(N28-5000000000)*0.1%,"Bingung komputer"))))),2)</f>
        <v>215496</v>
      </c>
      <c r="G28" s="65"/>
      <c r="H28" s="66"/>
      <c r="I28" s="68"/>
      <c r="J28" s="67"/>
      <c r="K28" t="str" s="67" cm="1">
        <f t="array" ref="K28">"Jumlah Terkena Pajak "&amp;MAX(K3:K26)&amp;"% (B)"</f>
        <v>Jumlah Terkena Pajak 11,00% (B)</v>
      </c>
      <c r="L28" s="68" cm="1">
        <f t="array" ref="L28">SUMIF($K3:$K26,"&gt;0",L3:L26)</f>
        <v>89874000</v>
      </c>
      <c r="M28" s="69" cm="1">
        <f t="array" ref="M28">SUMIF($K3:$K26,"&gt;0",M3:M26)</f>
        <v>89790000</v>
      </c>
      <c r="N28" s="69" cm="1">
        <f t="array" ref="N28">SUMIF($K3:$K26,"&gt;0",N3:N26)</f>
        <v>89790000</v>
      </c>
    </row>
    <row r="29" ht="21" customHeight="1">
      <c r="A29" s="70"/>
      <c r="B29" s="71"/>
      <c r="C29" s="71"/>
      <c r="D29" s="72"/>
      <c r="E29" s="72"/>
      <c r="F29" s="71"/>
      <c r="G29" s="72"/>
      <c r="H29" s="72"/>
      <c r="I29" s="74"/>
      <c r="J29" s="73"/>
      <c r="K29" t="str" s="73" cm="1">
        <f t="array" ref="K29">"PPN (C) = "&amp;MAX(K3:K26)&amp;"% x B"</f>
        <v>PPN (C) = 11,00% x B</v>
      </c>
      <c r="L29" s="74" cm="1">
        <f t="array" ref="L29">L28*MAX($K3:$K26)%</f>
        <v>9886140</v>
      </c>
      <c r="M29" s="69" cm="1">
        <f t="array" ref="M29">M28*MAX($K3:$K26)%</f>
        <v>9876900</v>
      </c>
      <c r="N29" s="69" cm="1">
        <f t="array" ref="N29">N28*MAX($K3:$K26)%</f>
        <v>9876900</v>
      </c>
    </row>
    <row r="30" ht="21" customHeight="1">
      <c r="A30" s="70"/>
      <c r="B30" s="71"/>
      <c r="C30" s="71"/>
      <c r="D30" s="72"/>
      <c r="E30" s="72"/>
      <c r="F30" s="72"/>
      <c r="G30" s="72"/>
      <c r="H30" s="72"/>
      <c r="I30" s="71"/>
      <c r="J30" s="73"/>
      <c r="K30" t="s" s="75">
        <v>42</v>
      </c>
      <c r="L30" s="76" cm="1">
        <f t="array" ref="L30">L27+L29</f>
        <v>99975837.59999999</v>
      </c>
      <c r="M30" s="69" cm="1">
        <f t="array" ref="M30">M27+M29</f>
        <v>99906900</v>
      </c>
      <c r="N30" s="69" cm="1">
        <f t="array" ref="N30">N27+N29</f>
        <v>99906900</v>
      </c>
    </row>
    <row r="31" ht="20.5" customHeight="1">
      <c r="A31" s="70"/>
      <c r="B31" s="71"/>
      <c r="C31" s="71"/>
      <c r="D31" s="72"/>
      <c r="E31" s="72"/>
      <c r="F31" s="72"/>
      <c r="G31" s="72"/>
      <c r="H31" s="72"/>
      <c r="I31" s="71"/>
      <c r="J31" s="73"/>
      <c r="K31" t="s" s="75">
        <v>43</v>
      </c>
      <c r="L31" s="68" cm="1">
        <f t="array" ref="L31">ROUNDDOWN(L30,2)</f>
        <v>99975837.59999999</v>
      </c>
      <c r="M31" s="68" cm="1">
        <f t="array" ref="M31">ROUNDDOWN(M30,2)</f>
        <v>99906900</v>
      </c>
      <c r="N31" s="68" cm="1">
        <f t="array" ref="N31">ROUNDDOWN(N30,-3)</f>
        <v>99906000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48.xml><?xml version="1.0" encoding="utf-8"?>
<worksheet xmlns:r="http://schemas.openxmlformats.org/officeDocument/2006/relationships" xmlns="http://schemas.openxmlformats.org/spreadsheetml/2006/main">
  <sheetPr>
    <pageSetUpPr fitToPage="1"/>
  </sheetPr>
  <dimension ref="A1:N32"/>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162" customWidth="1"/>
    <col min="2" max="2" width="43.0312" style="162" customWidth="1"/>
    <col min="3" max="3" width="2.75" style="162" customWidth="1"/>
    <col min="4" max="6" width="10.3672" style="162" customWidth="1"/>
    <col min="7" max="7" width="11.6875" style="162" customWidth="1"/>
    <col min="8" max="11" width="13.5156" style="162" customWidth="1"/>
    <col min="12" max="14" width="14.2344" style="162" customWidth="1"/>
    <col min="15" max="16384" width="16.3516" style="162"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16</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t="s" s="18">
        <v>17</v>
      </c>
      <c r="B4" t="s" s="19">
        <v>18</v>
      </c>
      <c r="C4" s="20"/>
      <c r="D4" s="21">
        <v>1</v>
      </c>
      <c r="E4" s="21" cm="1">
        <f t="array" ref="E4">D4</f>
        <v>1</v>
      </c>
      <c r="F4" s="21" cm="1">
        <f t="array" ref="F4">D4</f>
        <v>1</v>
      </c>
      <c r="G4" t="s" s="22">
        <v>19</v>
      </c>
      <c r="H4" s="21">
        <v>19699500</v>
      </c>
      <c r="I4" s="21">
        <v>19642000</v>
      </c>
      <c r="J4" s="21">
        <v>19642000</v>
      </c>
      <c r="K4" s="21">
        <v>11</v>
      </c>
      <c r="L4" s="21" cm="1">
        <f t="array" ref="L4">IF(D4&gt;0,IF($D4&lt;=0,0,D4*H4),"")</f>
        <v>19699500</v>
      </c>
      <c r="M4" s="21" cm="1">
        <f t="array" ref="M4">IF(E4&gt;0,IF($D4&lt;=0,0,ROUND(E4*I4,2)),"")</f>
        <v>19642000</v>
      </c>
      <c r="N4" s="23" cm="1">
        <f t="array" ref="N4">IF(F4&gt;0,IF($D4&lt;=0,0,ROUND(F4*J4,2)),"")</f>
        <v>19642000</v>
      </c>
    </row>
    <row r="5" ht="20.5" customHeight="1">
      <c r="A5" t="s" s="18">
        <v>20</v>
      </c>
      <c r="B5" t="s" s="19">
        <v>21</v>
      </c>
      <c r="C5" s="24"/>
      <c r="D5" s="26">
        <v>1</v>
      </c>
      <c r="E5" s="26" cm="1">
        <f t="array" ref="E5">D5</f>
        <v>1</v>
      </c>
      <c r="F5" s="26" cm="1">
        <f t="array" ref="F5">D5</f>
        <v>1</v>
      </c>
      <c r="G5" t="s" s="27">
        <v>19</v>
      </c>
      <c r="H5" s="26">
        <v>660000</v>
      </c>
      <c r="I5" s="26">
        <v>650000</v>
      </c>
      <c r="J5" s="26">
        <v>650000</v>
      </c>
      <c r="K5" s="26">
        <v>11</v>
      </c>
      <c r="L5" s="26" cm="1">
        <f t="array" ref="L5">IF(D5&gt;0,IF($D5&lt;=0,0,D5*H5),"")</f>
        <v>660000</v>
      </c>
      <c r="M5" s="26" cm="1">
        <f t="array" ref="M5">IF(E5&gt;0,IF($D5&lt;=0,0,ROUND(E5*I5,2)),"")</f>
        <v>650000</v>
      </c>
      <c r="N5" s="28" cm="1">
        <f t="array" ref="N5">IF(F5&gt;0,IF($D5&lt;=0,0,ROUND(F5*J5,2)),"")</f>
        <v>650000</v>
      </c>
    </row>
    <row r="6" ht="20.5" customHeight="1">
      <c r="A6" t="s" s="18">
        <v>22</v>
      </c>
      <c r="B6" t="s" s="19">
        <v>23</v>
      </c>
      <c r="C6" s="20"/>
      <c r="D6" s="21">
        <v>1</v>
      </c>
      <c r="E6" s="21" cm="1">
        <f t="array" ref="E6">D6</f>
        <v>1</v>
      </c>
      <c r="F6" s="21" cm="1">
        <f t="array" ref="F6">D6</f>
        <v>1</v>
      </c>
      <c r="G6" t="s" s="22">
        <v>19</v>
      </c>
      <c r="H6" s="21">
        <v>5039000</v>
      </c>
      <c r="I6" s="21">
        <v>4969000</v>
      </c>
      <c r="J6" s="21">
        <v>4969000</v>
      </c>
      <c r="K6" s="21">
        <v>11</v>
      </c>
      <c r="L6" s="21" cm="1">
        <f t="array" ref="L6">IF(D6&gt;0,IF($D6&lt;=0,0,D6*H6),"")</f>
        <v>5039000</v>
      </c>
      <c r="M6" s="21" cm="1">
        <f t="array" ref="M6">IF(E6&gt;0,IF($D6&lt;=0,0,ROUND(E6*I6,2)),"")</f>
        <v>4969000</v>
      </c>
      <c r="N6" s="23" cm="1">
        <f t="array" ref="N6">IF(F6&gt;0,IF($D6&lt;=0,0,ROUND(F6*J6,2)),"")</f>
        <v>4969000</v>
      </c>
    </row>
    <row r="7" ht="20.5" customHeight="1">
      <c r="A7" s="29"/>
      <c r="B7" t="s" s="19">
        <v>28</v>
      </c>
      <c r="C7" s="24"/>
      <c r="D7" s="30"/>
      <c r="E7" s="26"/>
      <c r="F7" s="26"/>
      <c r="G7" s="30"/>
      <c r="H7" s="26"/>
      <c r="I7" s="30"/>
      <c r="J7" s="30"/>
      <c r="K7" s="26"/>
      <c r="L7" t="str" s="30" cm="1">
        <f t="array" ref="L7">IF(D7&gt;0,IF($D7&lt;=0,0,D7*H7),"")</f>
      </c>
      <c r="M7" t="str" s="30" cm="1">
        <f t="array" ref="M7">IF(E7&gt;0,IF($D7&lt;=0,0,ROUND(E7*I7,2)),"")</f>
      </c>
      <c r="N7" t="str" s="31" cm="1">
        <f t="array" ref="N7">IF(F7&gt;0,IF($D7&lt;=0,0,ROUND(F7*J7,2)),"")</f>
      </c>
    </row>
    <row r="8" ht="20.5" customHeight="1">
      <c r="A8" t="s" s="18">
        <v>31</v>
      </c>
      <c r="B8" t="s" s="19">
        <v>32</v>
      </c>
      <c r="C8" s="20"/>
      <c r="D8" s="78">
        <v>465.2</v>
      </c>
      <c r="E8" s="21" cm="1">
        <f t="array" ref="E8">D8</f>
        <v>465.2</v>
      </c>
      <c r="F8" s="21" cm="1">
        <f t="array" ref="F8">D8</f>
        <v>465.2</v>
      </c>
      <c r="G8" t="s" s="22">
        <v>27</v>
      </c>
      <c r="H8" s="21">
        <v>275073.89</v>
      </c>
      <c r="I8" s="32">
        <v>275058.74</v>
      </c>
      <c r="J8" s="32">
        <v>275058.74</v>
      </c>
      <c r="K8" s="21">
        <v>11</v>
      </c>
      <c r="L8" s="21" cm="1">
        <f t="array" ref="L8">IF(D8&gt;0,IF($D8&lt;=0,0,D8*H8),"")</f>
        <v>127964373.628</v>
      </c>
      <c r="M8" s="21" cm="1">
        <f t="array" ref="M8">IF(E8&gt;0,IF($D8&lt;=0,0,ROUND(E8*I8,2)),"")</f>
        <v>127957325.85</v>
      </c>
      <c r="N8" s="23" cm="1">
        <f t="array" ref="N8">IF(F8&gt;0,IF($D8&lt;=0,0,ROUND(F8*J8,2)),"")</f>
        <v>127957325.85</v>
      </c>
    </row>
    <row r="9" ht="20.5" customHeight="1">
      <c r="A9" t="s" s="18">
        <v>33</v>
      </c>
      <c r="B9" t="s" s="19">
        <v>34</v>
      </c>
      <c r="C9" s="24"/>
      <c r="D9" s="26">
        <v>2800</v>
      </c>
      <c r="E9" s="26" cm="1">
        <f t="array" ref="E9">D9</f>
        <v>2800</v>
      </c>
      <c r="F9" s="26" cm="1">
        <f t="array" ref="F9">D9</f>
        <v>2800</v>
      </c>
      <c r="G9" t="s" s="27">
        <v>35</v>
      </c>
      <c r="H9" s="26">
        <v>2996.59</v>
      </c>
      <c r="I9" s="122">
        <v>2993.76</v>
      </c>
      <c r="J9" s="122">
        <v>2993.76</v>
      </c>
      <c r="K9" s="26">
        <v>11</v>
      </c>
      <c r="L9" s="26" cm="1">
        <f t="array" ref="L9">IF(D9&gt;0,IF($D9&lt;=0,0,D9*H9),"")</f>
        <v>8390452</v>
      </c>
      <c r="M9" s="26" cm="1">
        <f t="array" ref="M9">IF(E9&gt;0,IF($D9&lt;=0,0,ROUND(E9*I9,2)),"")</f>
        <v>8382528</v>
      </c>
      <c r="N9" s="28" cm="1">
        <f t="array" ref="N9">IF(F9&gt;0,IF($D9&lt;=0,0,ROUND(F9*J9,2)),"")</f>
        <v>8382528</v>
      </c>
    </row>
    <row r="10" ht="20.5" customHeight="1">
      <c r="A10" s="29"/>
      <c r="B10" t="s" s="19">
        <v>36</v>
      </c>
      <c r="C10" s="20"/>
      <c r="D10" s="21"/>
      <c r="E10" s="21"/>
      <c r="F10" s="21"/>
      <c r="G10" s="79"/>
      <c r="H10" s="79"/>
      <c r="I10" s="79"/>
      <c r="J10" s="79"/>
      <c r="K10" s="21"/>
      <c r="L10" t="str" s="79" cm="1">
        <f t="array" ref="L10">IF(D10&gt;0,IF($D10&lt;=0,0,D10*H11),"")</f>
      </c>
      <c r="M10" s="21"/>
      <c r="N10" s="23"/>
    </row>
    <row r="11" ht="20.6" customHeight="1">
      <c r="A11" s="33">
        <v>1</v>
      </c>
      <c r="B11" t="s" s="34">
        <v>37</v>
      </c>
      <c r="C11" s="80"/>
      <c r="D11" s="81">
        <v>1</v>
      </c>
      <c r="E11" s="81" cm="1">
        <f t="array" ref="E11">D11</f>
        <v>1</v>
      </c>
      <c r="F11" s="81" cm="1">
        <f t="array" ref="F11">D11</f>
        <v>1</v>
      </c>
      <c r="G11" t="s" s="82">
        <v>19</v>
      </c>
      <c r="H11" s="138">
        <v>357331.31</v>
      </c>
      <c r="I11" s="138">
        <v>357041.63</v>
      </c>
      <c r="J11" s="138">
        <v>357041.63</v>
      </c>
      <c r="K11" s="81">
        <v>0</v>
      </c>
      <c r="L11" s="81" cm="1">
        <f t="array" ref="L11">IF(D11&gt;0,IF($D11&lt;=0,0,D11*H11),"")</f>
        <v>357331.31</v>
      </c>
      <c r="M11" s="81" cm="1">
        <f t="array" ref="M11">IF(E11&gt;0,IF($D11&lt;=0,0,ROUND(E11*I11,2)),"")</f>
        <v>357041.63</v>
      </c>
      <c r="N11" s="83" cm="1">
        <f t="array" ref="N11">IF(F11&gt;0,IF($D11&lt;=0,0,ROUND(F11*J11,2)),"")</f>
        <v>357041.63</v>
      </c>
    </row>
    <row r="12" ht="8.75" customHeight="1" hidden="1">
      <c r="A12" s="39"/>
      <c r="B12" s="40"/>
      <c r="C12" s="45"/>
      <c r="D12" s="46"/>
      <c r="E12" s="46"/>
      <c r="F12" s="46"/>
      <c r="G12" s="47"/>
      <c r="H12" s="46"/>
      <c r="I12" s="46"/>
      <c r="J12" s="46"/>
      <c r="K12" s="46"/>
      <c r="L12" s="46"/>
      <c r="M12" s="46"/>
      <c r="N12" s="48"/>
    </row>
    <row r="13" ht="8.75" customHeight="1" hidden="1">
      <c r="A13" s="39"/>
      <c r="B13" s="40"/>
      <c r="C13" s="41"/>
      <c r="D13" s="42"/>
      <c r="E13" s="42"/>
      <c r="F13" s="42"/>
      <c r="G13" s="43"/>
      <c r="H13" s="42"/>
      <c r="I13" s="42"/>
      <c r="J13" s="42"/>
      <c r="K13" s="42"/>
      <c r="L13" s="42"/>
      <c r="M13" s="42"/>
      <c r="N13" s="44"/>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2"/>
      <c r="I15" s="42"/>
      <c r="J15" s="42"/>
      <c r="K15" s="42"/>
      <c r="L15" s="42"/>
      <c r="M15" s="42"/>
      <c r="N15" s="44"/>
    </row>
    <row r="16" ht="8.75" customHeight="1" hidden="1">
      <c r="A16" s="39"/>
      <c r="B16" s="40"/>
      <c r="C16" s="45"/>
      <c r="D16" s="46"/>
      <c r="E16" s="46"/>
      <c r="F16" s="46"/>
      <c r="G16" s="47"/>
      <c r="H16" s="46"/>
      <c r="I16" s="46"/>
      <c r="J16" s="46"/>
      <c r="K16" s="46"/>
      <c r="L16" s="46"/>
      <c r="M16" s="46"/>
      <c r="N16" s="48"/>
    </row>
    <row r="17" ht="8.75" customHeight="1" hidden="1">
      <c r="A17" s="39"/>
      <c r="B17" s="40"/>
      <c r="C17" s="41"/>
      <c r="D17" s="42"/>
      <c r="E17" s="42"/>
      <c r="F17" s="42"/>
      <c r="G17" s="43"/>
      <c r="H17" s="42"/>
      <c r="I17" s="42"/>
      <c r="J17" s="42"/>
      <c r="K17" s="42"/>
      <c r="L17" s="42"/>
      <c r="M17" s="42"/>
      <c r="N17" s="44"/>
    </row>
    <row r="18" ht="8.75" customHeight="1" hidden="1">
      <c r="A18" s="39"/>
      <c r="B18" s="40"/>
      <c r="C18" s="45"/>
      <c r="D18" s="46"/>
      <c r="E18" s="46"/>
      <c r="F18" s="46"/>
      <c r="G18" s="47"/>
      <c r="H18" s="47"/>
      <c r="I18" s="47"/>
      <c r="J18" s="47"/>
      <c r="K18" s="46"/>
      <c r="L18" s="47"/>
      <c r="M18" s="47"/>
      <c r="N18" s="52"/>
    </row>
    <row r="19" ht="8.75" customHeight="1" hidden="1">
      <c r="A19" s="39"/>
      <c r="B19" s="40"/>
      <c r="C19" s="41"/>
      <c r="D19" s="42"/>
      <c r="E19" s="42"/>
      <c r="F19" s="42"/>
      <c r="G19" s="43"/>
      <c r="H19" s="84"/>
      <c r="I19" s="84"/>
      <c r="J19" s="84"/>
      <c r="K19" s="42"/>
      <c r="L19" s="42"/>
      <c r="M19" s="42"/>
      <c r="N19" s="44"/>
    </row>
    <row r="20" ht="8.75" customHeight="1" hidden="1">
      <c r="A20" s="39"/>
      <c r="B20" s="40"/>
      <c r="C20" s="45"/>
      <c r="D20" s="46"/>
      <c r="E20" s="46"/>
      <c r="F20" s="46"/>
      <c r="G20" s="47"/>
      <c r="H20" s="47"/>
      <c r="I20" s="47"/>
      <c r="J20" s="47"/>
      <c r="K20" s="46"/>
      <c r="L20" s="47"/>
      <c r="M20" s="47"/>
      <c r="N20" s="52"/>
    </row>
    <row r="21" ht="8.75" customHeight="1" hidden="1">
      <c r="A21" s="39"/>
      <c r="B21" s="40"/>
      <c r="C21" s="41"/>
      <c r="D21" s="42"/>
      <c r="E21" s="42"/>
      <c r="F21" s="42"/>
      <c r="G21" s="43"/>
      <c r="H21" s="42"/>
      <c r="I21" s="42"/>
      <c r="J21" s="42"/>
      <c r="K21" s="42"/>
      <c r="L21" s="42"/>
      <c r="M21" s="42"/>
      <c r="N21" s="44"/>
    </row>
    <row r="22" ht="8.75" customHeight="1" hidden="1">
      <c r="A22" s="39"/>
      <c r="B22" s="40"/>
      <c r="C22" s="45"/>
      <c r="D22" s="46"/>
      <c r="E22" s="46"/>
      <c r="F22" s="46"/>
      <c r="G22" s="47"/>
      <c r="H22" s="46"/>
      <c r="I22" s="46"/>
      <c r="J22" s="46"/>
      <c r="K22" s="46"/>
      <c r="L22" s="46"/>
      <c r="M22" s="46"/>
      <c r="N22" s="48"/>
    </row>
    <row r="23" ht="8.75" customHeight="1" hidden="1">
      <c r="A23" s="51"/>
      <c r="B23" s="40"/>
      <c r="C23" s="41"/>
      <c r="D23" s="42"/>
      <c r="E23" s="42"/>
      <c r="F23" s="42"/>
      <c r="G23" s="43"/>
      <c r="H23" s="42"/>
      <c r="I23" s="42"/>
      <c r="J23" s="42"/>
      <c r="K23" s="42"/>
      <c r="L23" s="42"/>
      <c r="M23" s="42"/>
      <c r="N23" s="44"/>
    </row>
    <row r="24" ht="8.75" customHeight="1" hidden="1">
      <c r="A24" s="51"/>
      <c r="B24" s="40"/>
      <c r="C24" s="45"/>
      <c r="D24" s="46"/>
      <c r="E24" s="46"/>
      <c r="F24" s="46"/>
      <c r="G24" s="47"/>
      <c r="H24" s="46"/>
      <c r="I24" s="46"/>
      <c r="J24" s="46"/>
      <c r="K24" s="46"/>
      <c r="L24" s="46"/>
      <c r="M24" s="46"/>
      <c r="N24" s="48"/>
    </row>
    <row r="25" ht="8.75" customHeight="1" hidden="1">
      <c r="A25" s="39"/>
      <c r="B25" s="40"/>
      <c r="C25" s="41"/>
      <c r="D25" s="42"/>
      <c r="E25" s="42"/>
      <c r="F25" s="42"/>
      <c r="G25" s="43"/>
      <c r="H25" s="42"/>
      <c r="I25" s="42"/>
      <c r="J25" s="42"/>
      <c r="K25" s="42"/>
      <c r="L25" s="43"/>
      <c r="M25" s="43"/>
      <c r="N25" s="49"/>
    </row>
    <row r="26" ht="8.75" customHeight="1" hidden="1">
      <c r="A26" s="39"/>
      <c r="B26" s="40"/>
      <c r="C26" s="45"/>
      <c r="D26" s="46"/>
      <c r="E26" s="46"/>
      <c r="F26" s="46"/>
      <c r="G26" s="47"/>
      <c r="H26" s="46"/>
      <c r="I26" s="46"/>
      <c r="J26" s="46"/>
      <c r="K26" s="46"/>
      <c r="L26" s="46"/>
      <c r="M26" s="46"/>
      <c r="N26" s="48"/>
    </row>
    <row r="27" ht="8.75" customHeight="1" hidden="1">
      <c r="A27" s="39"/>
      <c r="B27" s="40"/>
      <c r="C27" s="41"/>
      <c r="D27" s="42"/>
      <c r="E27" s="42"/>
      <c r="F27" s="42"/>
      <c r="G27" s="43"/>
      <c r="H27" s="42"/>
      <c r="I27" s="42"/>
      <c r="J27" s="42"/>
      <c r="K27" s="42"/>
      <c r="L27" s="43"/>
      <c r="M27" s="43"/>
      <c r="N27" s="49"/>
    </row>
    <row r="28" ht="20.85" customHeight="1">
      <c r="A28" s="53"/>
      <c r="B28" s="54"/>
      <c r="C28" s="54"/>
      <c r="D28" s="55"/>
      <c r="E28" s="55"/>
      <c r="F28" s="55"/>
      <c r="G28" s="56"/>
      <c r="H28" s="56"/>
      <c r="I28" s="54"/>
      <c r="J28" s="57"/>
      <c r="K28" t="s" s="58">
        <v>38</v>
      </c>
      <c r="L28" s="59" cm="1">
        <f t="array" ref="L28">SUM(L1:L27)</f>
        <v>162110656.938</v>
      </c>
      <c r="M28" s="59" cm="1">
        <f t="array" ref="M28">SUM(M1:M27)</f>
        <v>161957895.48</v>
      </c>
      <c r="N28" s="59" cm="1">
        <f t="array" ref="N28">SUM(N1:N27)</f>
        <v>161957895.48</v>
      </c>
    </row>
    <row r="29" ht="21" customHeight="1">
      <c r="A29" s="60"/>
      <c r="B29" t="s" s="61">
        <v>39</v>
      </c>
      <c r="C29" s="62"/>
      <c r="D29" s="63" cm="1">
        <f t="array" ref="D29">ROUND(IF(L29&lt;=100000000,L29*0.24%,IF(AND(L29&gt;100000000,L29&lt;=500000000),100000000*0.24%+(L29-100000000)*0.19%,IF(AND(L29&gt;500000000,L29&lt;=1000000000),100000000*0.24%+400000000*0.19%+(L29-500000000)*0.15%,IF(AND(L29&gt;1000000000,L29&lt;=5000000000),100000000*0.24%+400000000*0.19%+500000000*0.15%+(L29-1000000000)*0.12%,IF(L29&gt;5000000000,100000000*0.24%+400000000*0.19%+500000000*0.15%+4000000000*0.12%+(L29-5000000000)*0.1%,"Bingung komputer"))))),2)</f>
        <v>357331.32</v>
      </c>
      <c r="E29" s="64" cm="1">
        <f t="array" ref="E29">ROUND(IF(M29&lt;=100000000,M29*0.24%,IF(AND(M29&gt;100000000,M29&lt;=500000000),100000000*0.24%+(M29-100000000)*0.19%,IF(AND(M29&gt;500000000,M29&lt;=1000000000),100000000*0.24%+400000000*0.19%+(M29-500000000)*0.15%,IF(AND(M29&gt;1000000000,M29&lt;=5000000000),100000000*0.24%+400000000*0.19%+500000000*0.15%+(M29-1000000000)*0.12%,IF(M29&gt;5000000000,100000000*0.24%+400000000*0.19%+500000000*0.15%+4000000000*0.12%+(M29-5000000000)*0.1%,"Bingung komputer"))))),2)</f>
        <v>357041.62</v>
      </c>
      <c r="F29" s="64" cm="1">
        <f t="array" ref="F29">ROUND(IF(N29&lt;=100000000,N29*0.24%,IF(AND(N29&gt;100000000,N29&lt;=500000000),100000000*0.24%+(N29-100000000)*0.19%,IF(AND(N29&gt;500000000,N29&lt;=1000000000),100000000*0.24%+400000000*0.19%+(N29-500000000)*0.15%,IF(AND(N29&gt;1000000000,N29&lt;=5000000000),100000000*0.24%+400000000*0.19%+500000000*0.15%+(N29-1000000000)*0.12%,IF(N29&gt;5000000000,100000000*0.24%+400000000*0.19%+500000000*0.15%+4000000000*0.12%+(N29-5000000000)*0.1%,"Bingung komputer"))))),2)</f>
        <v>357041.62</v>
      </c>
      <c r="G29" s="65"/>
      <c r="H29" s="66"/>
      <c r="I29" s="62"/>
      <c r="J29" s="67"/>
      <c r="K29" t="str" s="67" cm="1">
        <f t="array" ref="K29">"Jumlah Terkena Pajak "&amp;MAX(K3:K27)&amp;"% (B)"</f>
        <v>Jumlah Terkena Pajak 11,00% (B)</v>
      </c>
      <c r="L29" s="68" cm="1">
        <f t="array" ref="L29">SUMIF($K3:$K27,"&gt;0",L3:L27)</f>
        <v>161753325.628</v>
      </c>
      <c r="M29" s="69" cm="1">
        <f t="array" ref="M29">SUMIF($K3:$K27,"&gt;0",M3:M27)</f>
        <v>161600853.85</v>
      </c>
      <c r="N29" s="69" cm="1">
        <f t="array" ref="N29">SUMIF($K3:$K27,"&gt;0",N3:N27)</f>
        <v>161600853.85</v>
      </c>
    </row>
    <row r="30" ht="21" customHeight="1">
      <c r="A30" s="70"/>
      <c r="B30" s="71"/>
      <c r="C30" s="71"/>
      <c r="D30" s="72"/>
      <c r="E30" s="72"/>
      <c r="F30" s="71"/>
      <c r="G30" s="72"/>
      <c r="H30" s="72"/>
      <c r="I30" s="71"/>
      <c r="J30" s="73"/>
      <c r="K30" t="str" s="73" cm="1">
        <f t="array" ref="K30">"PPN (C) = "&amp;MAX(K3:K27)&amp;"% x B"</f>
        <v>PPN (C) = 11,00% x B</v>
      </c>
      <c r="L30" s="74" cm="1">
        <f t="array" ref="L30">L29*MAX($K3:$K27)%</f>
        <v>17792865.81908</v>
      </c>
      <c r="M30" s="69" cm="1">
        <f t="array" ref="M30">M29*MAX($K3:$K27)%</f>
        <v>17776093.9235</v>
      </c>
      <c r="N30" s="69" cm="1">
        <f t="array" ref="N30">N29*MAX($K3:$K27)%</f>
        <v>17776093.9235</v>
      </c>
    </row>
    <row r="31" ht="21" customHeight="1">
      <c r="A31" s="70"/>
      <c r="B31" s="71"/>
      <c r="C31" s="71"/>
      <c r="D31" s="72"/>
      <c r="E31" s="72"/>
      <c r="F31" s="72"/>
      <c r="G31" s="72"/>
      <c r="H31" s="72"/>
      <c r="I31" s="71"/>
      <c r="J31" s="73"/>
      <c r="K31" t="s" s="75">
        <v>42</v>
      </c>
      <c r="L31" s="76" cm="1">
        <f t="array" ref="L31">L28+L30</f>
        <v>179903522.75708</v>
      </c>
      <c r="M31" s="69" cm="1">
        <f t="array" ref="M31">M28+M30</f>
        <v>179733989.4035</v>
      </c>
      <c r="N31" s="69" cm="1">
        <f t="array" ref="N31">N28+N30</f>
        <v>179733989.4035</v>
      </c>
    </row>
    <row r="32" ht="20.5" customHeight="1">
      <c r="A32" s="70"/>
      <c r="B32" s="71"/>
      <c r="C32" s="71"/>
      <c r="D32" s="72"/>
      <c r="E32" s="72"/>
      <c r="F32" s="72"/>
      <c r="G32" s="72"/>
      <c r="H32" s="72"/>
      <c r="I32" s="71"/>
      <c r="J32" s="73"/>
      <c r="K32" t="s" s="75">
        <v>43</v>
      </c>
      <c r="L32" s="68" cm="1">
        <f t="array" ref="L32">ROUNDDOWN(L31,2)</f>
        <v>179903522.75</v>
      </c>
      <c r="M32" s="68" cm="1">
        <f t="array" ref="M32">ROUNDDOWN(M31,2)</f>
        <v>179733989.4</v>
      </c>
      <c r="N32" s="68" cm="1">
        <f t="array" ref="N32">ROUNDDOWN(N31,-3)</f>
        <v>179733000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49.xml><?xml version="1.0" encoding="utf-8"?>
<worksheet xmlns:r="http://schemas.openxmlformats.org/officeDocument/2006/relationships" xmlns="http://schemas.openxmlformats.org/spreadsheetml/2006/main">
  <sheetPr>
    <pageSetUpPr fitToPage="1"/>
  </sheetPr>
  <dimension ref="A1:N32"/>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163" customWidth="1"/>
    <col min="2" max="2" width="43.0312" style="163" customWidth="1"/>
    <col min="3" max="3" width="2.75" style="163" customWidth="1"/>
    <col min="4" max="6" width="10.3672" style="163" customWidth="1"/>
    <col min="7" max="7" width="11.6875" style="163" customWidth="1"/>
    <col min="8" max="11" width="13.5156" style="163" customWidth="1"/>
    <col min="12" max="14" width="14.2344" style="163" customWidth="1"/>
    <col min="15" max="16384" width="16.3516" style="163"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16</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t="s" s="18">
        <v>17</v>
      </c>
      <c r="B4" t="s" s="19">
        <v>18</v>
      </c>
      <c r="C4" s="20"/>
      <c r="D4" s="21">
        <v>1</v>
      </c>
      <c r="E4" s="21" cm="1">
        <f t="array" ref="E4">D4</f>
        <v>1</v>
      </c>
      <c r="F4" s="21" cm="1">
        <f t="array" ref="F4">D4</f>
        <v>1</v>
      </c>
      <c r="G4" t="s" s="22">
        <v>19</v>
      </c>
      <c r="H4" s="21">
        <v>19475250</v>
      </c>
      <c r="I4" s="21">
        <v>19429250</v>
      </c>
      <c r="J4" s="21">
        <v>19429250</v>
      </c>
      <c r="K4" s="21">
        <v>11</v>
      </c>
      <c r="L4" s="21" cm="1">
        <f t="array" ref="L4">IF(D4&gt;0,IF($D4&lt;=0,0,D4*H4),"")</f>
        <v>19475250</v>
      </c>
      <c r="M4" s="21" cm="1">
        <f t="array" ref="M4">IF(E4&gt;0,IF($D4&lt;=0,0,ROUND(E4*I4,2)),"")</f>
        <v>19429250</v>
      </c>
      <c r="N4" s="23" cm="1">
        <f t="array" ref="N4">IF(F4&gt;0,IF($D4&lt;=0,0,ROUND(F4*J4,2)),"")</f>
        <v>19429250</v>
      </c>
    </row>
    <row r="5" ht="20.5" customHeight="1">
      <c r="A5" t="s" s="18">
        <v>20</v>
      </c>
      <c r="B5" t="s" s="19">
        <v>21</v>
      </c>
      <c r="C5" s="24"/>
      <c r="D5" s="26">
        <v>1</v>
      </c>
      <c r="E5" s="26" cm="1">
        <f t="array" ref="E5">D5</f>
        <v>1</v>
      </c>
      <c r="F5" s="26" cm="1">
        <f t="array" ref="F5">D5</f>
        <v>1</v>
      </c>
      <c r="G5" t="s" s="27">
        <v>19</v>
      </c>
      <c r="H5" s="26">
        <v>660000</v>
      </c>
      <c r="I5" s="26">
        <v>640000</v>
      </c>
      <c r="J5" s="26">
        <v>640000</v>
      </c>
      <c r="K5" s="26">
        <v>11</v>
      </c>
      <c r="L5" s="26" cm="1">
        <f t="array" ref="L5">IF(D5&gt;0,IF($D5&lt;=0,0,D5*H5),"")</f>
        <v>660000</v>
      </c>
      <c r="M5" s="26" cm="1">
        <f t="array" ref="M5">IF(E5&gt;0,IF($D5&lt;=0,0,ROUND(E5*I5,2)),"")</f>
        <v>640000</v>
      </c>
      <c r="N5" s="28" cm="1">
        <f t="array" ref="N5">IF(F5&gt;0,IF($D5&lt;=0,0,ROUND(F5*J5,2)),"")</f>
        <v>640000</v>
      </c>
    </row>
    <row r="6" ht="20.5" customHeight="1">
      <c r="A6" t="s" s="18">
        <v>22</v>
      </c>
      <c r="B6" t="s" s="19">
        <v>23</v>
      </c>
      <c r="C6" s="20"/>
      <c r="D6" s="21">
        <v>1</v>
      </c>
      <c r="E6" s="21" cm="1">
        <f t="array" ref="E6">D6</f>
        <v>1</v>
      </c>
      <c r="F6" s="21" cm="1">
        <f t="array" ref="F6">D6</f>
        <v>1</v>
      </c>
      <c r="G6" t="s" s="22">
        <v>19</v>
      </c>
      <c r="H6" s="21">
        <v>5039000</v>
      </c>
      <c r="I6" s="21">
        <v>5019000</v>
      </c>
      <c r="J6" s="21">
        <v>5019000</v>
      </c>
      <c r="K6" s="21">
        <v>11</v>
      </c>
      <c r="L6" s="21" cm="1">
        <f t="array" ref="L6">IF(D6&gt;0,IF($D6&lt;=0,0,D6*H6),"")</f>
        <v>5039000</v>
      </c>
      <c r="M6" s="21" cm="1">
        <f t="array" ref="M6">IF(E6&gt;0,IF($D6&lt;=0,0,ROUND(E6*I6,2)),"")</f>
        <v>5019000</v>
      </c>
      <c r="N6" s="23" cm="1">
        <f t="array" ref="N6">IF(F6&gt;0,IF($D6&lt;=0,0,ROUND(F6*J6,2)),"")</f>
        <v>5019000</v>
      </c>
    </row>
    <row r="7" ht="20.5" customHeight="1">
      <c r="A7" s="29"/>
      <c r="B7" t="s" s="19">
        <v>28</v>
      </c>
      <c r="C7" s="24"/>
      <c r="D7" s="30"/>
      <c r="E7" s="26"/>
      <c r="F7" s="26"/>
      <c r="G7" s="30"/>
      <c r="H7" s="26"/>
      <c r="I7" s="30"/>
      <c r="J7" s="30"/>
      <c r="K7" s="26"/>
      <c r="L7" t="str" s="30" cm="1">
        <f t="array" ref="L7">IF(D7&gt;0,IF($D7&lt;=0,0,D7*H7),"")</f>
      </c>
      <c r="M7" t="str" s="30" cm="1">
        <f t="array" ref="M7">IF(E7&gt;0,IF($D7&lt;=0,0,ROUND(E7*I7,2)),"")</f>
      </c>
      <c r="N7" t="str" s="31" cm="1">
        <f t="array" ref="N7">IF(F7&gt;0,IF($D7&lt;=0,0,ROUND(F7*J7,2)),"")</f>
      </c>
    </row>
    <row r="8" ht="20.5" customHeight="1">
      <c r="A8" t="s" s="18">
        <v>31</v>
      </c>
      <c r="B8" t="s" s="19">
        <v>32</v>
      </c>
      <c r="C8" s="20"/>
      <c r="D8" s="78">
        <v>456</v>
      </c>
      <c r="E8" s="21" cm="1">
        <f t="array" ref="E8">D8</f>
        <v>456</v>
      </c>
      <c r="F8" s="21" cm="1">
        <f t="array" ref="F8">D8</f>
        <v>456</v>
      </c>
      <c r="G8" t="s" s="22">
        <v>27</v>
      </c>
      <c r="H8" s="21">
        <v>274539.81</v>
      </c>
      <c r="I8" s="21">
        <v>274539.2</v>
      </c>
      <c r="J8" s="21">
        <v>274539.2</v>
      </c>
      <c r="K8" s="21">
        <v>11</v>
      </c>
      <c r="L8" s="21" cm="1">
        <f t="array" ref="L8">IF(D8&gt;0,IF($D8&lt;=0,0,D8*H8),"")</f>
        <v>125190153.36</v>
      </c>
      <c r="M8" s="21" cm="1">
        <f t="array" ref="M8">IF(E8&gt;0,IF($D8&lt;=0,0,ROUND(E8*I8,2)),"")</f>
        <v>125189875.2</v>
      </c>
      <c r="N8" s="23" cm="1">
        <f t="array" ref="N8">IF(F8&gt;0,IF($D8&lt;=0,0,ROUND(F8*J8,2)),"")</f>
        <v>125189875.2</v>
      </c>
    </row>
    <row r="9" ht="20.5" customHeight="1">
      <c r="A9" t="s" s="18">
        <v>33</v>
      </c>
      <c r="B9" t="s" s="19">
        <v>34</v>
      </c>
      <c r="C9" s="24"/>
      <c r="D9" s="26">
        <v>3750</v>
      </c>
      <c r="E9" s="26" cm="1">
        <f t="array" ref="E9">D9</f>
        <v>3750</v>
      </c>
      <c r="F9" s="26" cm="1">
        <f t="array" ref="F9">D9</f>
        <v>3750</v>
      </c>
      <c r="G9" t="s" s="27">
        <v>35</v>
      </c>
      <c r="H9" s="26">
        <v>2996.59</v>
      </c>
      <c r="I9" s="122">
        <v>2996.48</v>
      </c>
      <c r="J9" s="122">
        <v>2996.48</v>
      </c>
      <c r="K9" s="26">
        <v>11</v>
      </c>
      <c r="L9" s="26" cm="1">
        <f t="array" ref="L9">IF(D9&gt;0,IF($D9&lt;=0,0,D9*H9),"")</f>
        <v>11237212.5</v>
      </c>
      <c r="M9" s="26" cm="1">
        <f t="array" ref="M9">IF(E9&gt;0,IF($D9&lt;=0,0,ROUND(E9*I9,2)),"")</f>
        <v>11236800</v>
      </c>
      <c r="N9" s="28" cm="1">
        <f t="array" ref="N9">IF(F9&gt;0,IF($D9&lt;=0,0,ROUND(F9*J9,2)),"")</f>
        <v>11236800</v>
      </c>
    </row>
    <row r="10" ht="20.5" customHeight="1">
      <c r="A10" s="29"/>
      <c r="B10" t="s" s="19">
        <v>36</v>
      </c>
      <c r="C10" s="20"/>
      <c r="D10" s="21"/>
      <c r="E10" s="21"/>
      <c r="F10" s="21"/>
      <c r="G10" s="79"/>
      <c r="H10" s="79"/>
      <c r="I10" s="79"/>
      <c r="J10" s="79"/>
      <c r="K10" s="21"/>
      <c r="L10" t="str" s="79" cm="1">
        <f t="array" ref="L10">IF(D10&gt;0,IF($D10&lt;=0,0,D10*H11),"")</f>
      </c>
      <c r="M10" s="21"/>
      <c r="N10" s="23"/>
    </row>
    <row r="11" ht="20.6" customHeight="1">
      <c r="A11" s="33">
        <v>1</v>
      </c>
      <c r="B11" t="s" s="34">
        <v>37</v>
      </c>
      <c r="C11" s="80"/>
      <c r="D11" s="81">
        <v>1</v>
      </c>
      <c r="E11" s="81" cm="1">
        <f t="array" ref="E11">D11</f>
        <v>1</v>
      </c>
      <c r="F11" s="81" cm="1">
        <f t="array" ref="F11">D11</f>
        <v>1</v>
      </c>
      <c r="G11" t="s" s="82">
        <v>19</v>
      </c>
      <c r="H11" s="138">
        <v>357043.06</v>
      </c>
      <c r="I11" s="138">
        <v>356878.33</v>
      </c>
      <c r="J11" s="138">
        <v>356878.33</v>
      </c>
      <c r="K11" s="81">
        <v>0</v>
      </c>
      <c r="L11" s="81" cm="1">
        <f t="array" ref="L11">IF(D11&gt;0,IF($D11&lt;=0,0,D11*H11),"")</f>
        <v>357043.06</v>
      </c>
      <c r="M11" s="81" cm="1">
        <f t="array" ref="M11">IF(E11&gt;0,IF($D11&lt;=0,0,ROUND(E11*I11,2)),"")</f>
        <v>356878.33</v>
      </c>
      <c r="N11" s="83" cm="1">
        <f t="array" ref="N11">IF(F11&gt;0,IF($D11&lt;=0,0,ROUND(F11*J11,2)),"")</f>
        <v>356878.33</v>
      </c>
    </row>
    <row r="12" ht="8.75" customHeight="1" hidden="1">
      <c r="A12" s="39"/>
      <c r="B12" s="40"/>
      <c r="C12" s="45"/>
      <c r="D12" s="46"/>
      <c r="E12" s="46"/>
      <c r="F12" s="46"/>
      <c r="G12" s="47"/>
      <c r="H12" s="46"/>
      <c r="I12" s="46"/>
      <c r="J12" s="46"/>
      <c r="K12" s="46"/>
      <c r="L12" s="46"/>
      <c r="M12" s="46"/>
      <c r="N12" s="48"/>
    </row>
    <row r="13" ht="8.75" customHeight="1" hidden="1">
      <c r="A13" s="39"/>
      <c r="B13" s="40"/>
      <c r="C13" s="41"/>
      <c r="D13" s="42"/>
      <c r="E13" s="42"/>
      <c r="F13" s="42"/>
      <c r="G13" s="43"/>
      <c r="H13" s="42"/>
      <c r="I13" s="42"/>
      <c r="J13" s="42"/>
      <c r="K13" s="42"/>
      <c r="L13" s="42"/>
      <c r="M13" s="42"/>
      <c r="N13" s="44"/>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2"/>
      <c r="I15" s="42"/>
      <c r="J15" s="42"/>
      <c r="K15" s="42"/>
      <c r="L15" s="42"/>
      <c r="M15" s="42"/>
      <c r="N15" s="44"/>
    </row>
    <row r="16" ht="8.75" customHeight="1" hidden="1">
      <c r="A16" s="39"/>
      <c r="B16" s="40"/>
      <c r="C16" s="45"/>
      <c r="D16" s="46"/>
      <c r="E16" s="46"/>
      <c r="F16" s="46"/>
      <c r="G16" s="47"/>
      <c r="H16" s="46"/>
      <c r="I16" s="46"/>
      <c r="J16" s="46"/>
      <c r="K16" s="46"/>
      <c r="L16" s="46"/>
      <c r="M16" s="46"/>
      <c r="N16" s="48"/>
    </row>
    <row r="17" ht="8.75" customHeight="1" hidden="1">
      <c r="A17" s="39"/>
      <c r="B17" s="40"/>
      <c r="C17" s="41"/>
      <c r="D17" s="42"/>
      <c r="E17" s="42"/>
      <c r="F17" s="42"/>
      <c r="G17" s="43"/>
      <c r="H17" s="42"/>
      <c r="I17" s="42"/>
      <c r="J17" s="42"/>
      <c r="K17" s="42"/>
      <c r="L17" s="42"/>
      <c r="M17" s="42"/>
      <c r="N17" s="44"/>
    </row>
    <row r="18" ht="8.75" customHeight="1" hidden="1">
      <c r="A18" s="39"/>
      <c r="B18" s="40"/>
      <c r="C18" s="45"/>
      <c r="D18" s="46"/>
      <c r="E18" s="46"/>
      <c r="F18" s="46"/>
      <c r="G18" s="47"/>
      <c r="H18" s="47"/>
      <c r="I18" s="47"/>
      <c r="J18" s="47"/>
      <c r="K18" s="46"/>
      <c r="L18" s="47"/>
      <c r="M18" s="47"/>
      <c r="N18" s="52"/>
    </row>
    <row r="19" ht="8.75" customHeight="1" hidden="1">
      <c r="A19" s="39"/>
      <c r="B19" s="40"/>
      <c r="C19" s="41"/>
      <c r="D19" s="42"/>
      <c r="E19" s="42"/>
      <c r="F19" s="42"/>
      <c r="G19" s="43"/>
      <c r="H19" s="84"/>
      <c r="I19" s="84"/>
      <c r="J19" s="84"/>
      <c r="K19" s="42"/>
      <c r="L19" s="42"/>
      <c r="M19" s="42"/>
      <c r="N19" s="44"/>
    </row>
    <row r="20" ht="8.75" customHeight="1" hidden="1">
      <c r="A20" s="39"/>
      <c r="B20" s="40"/>
      <c r="C20" s="45"/>
      <c r="D20" s="46"/>
      <c r="E20" s="46"/>
      <c r="F20" s="46"/>
      <c r="G20" s="47"/>
      <c r="H20" s="47"/>
      <c r="I20" s="47"/>
      <c r="J20" s="47"/>
      <c r="K20" s="46"/>
      <c r="L20" s="47"/>
      <c r="M20" s="47"/>
      <c r="N20" s="52"/>
    </row>
    <row r="21" ht="8.75" customHeight="1" hidden="1">
      <c r="A21" s="39"/>
      <c r="B21" s="40"/>
      <c r="C21" s="41"/>
      <c r="D21" s="42"/>
      <c r="E21" s="42"/>
      <c r="F21" s="42"/>
      <c r="G21" s="43"/>
      <c r="H21" s="42"/>
      <c r="I21" s="42"/>
      <c r="J21" s="42"/>
      <c r="K21" s="42"/>
      <c r="L21" s="42"/>
      <c r="M21" s="42"/>
      <c r="N21" s="44"/>
    </row>
    <row r="22" ht="8.75" customHeight="1" hidden="1">
      <c r="A22" s="39"/>
      <c r="B22" s="40"/>
      <c r="C22" s="45"/>
      <c r="D22" s="46"/>
      <c r="E22" s="46"/>
      <c r="F22" s="46"/>
      <c r="G22" s="47"/>
      <c r="H22" s="46"/>
      <c r="I22" s="46"/>
      <c r="J22" s="46"/>
      <c r="K22" s="46"/>
      <c r="L22" s="46"/>
      <c r="M22" s="46"/>
      <c r="N22" s="48"/>
    </row>
    <row r="23" ht="8.75" customHeight="1" hidden="1">
      <c r="A23" s="51"/>
      <c r="B23" s="40"/>
      <c r="C23" s="41"/>
      <c r="D23" s="42"/>
      <c r="E23" s="42"/>
      <c r="F23" s="42"/>
      <c r="G23" s="43"/>
      <c r="H23" s="42"/>
      <c r="I23" s="42"/>
      <c r="J23" s="42"/>
      <c r="K23" s="42"/>
      <c r="L23" s="42"/>
      <c r="M23" s="42"/>
      <c r="N23" s="44"/>
    </row>
    <row r="24" ht="8.75" customHeight="1" hidden="1">
      <c r="A24" s="51"/>
      <c r="B24" s="40"/>
      <c r="C24" s="45"/>
      <c r="D24" s="46"/>
      <c r="E24" s="46"/>
      <c r="F24" s="46"/>
      <c r="G24" s="47"/>
      <c r="H24" s="46"/>
      <c r="I24" s="46"/>
      <c r="J24" s="46"/>
      <c r="K24" s="46"/>
      <c r="L24" s="46"/>
      <c r="M24" s="46"/>
      <c r="N24" s="48"/>
    </row>
    <row r="25" ht="8.75" customHeight="1" hidden="1">
      <c r="A25" s="39"/>
      <c r="B25" s="40"/>
      <c r="C25" s="41"/>
      <c r="D25" s="42"/>
      <c r="E25" s="42"/>
      <c r="F25" s="42"/>
      <c r="G25" s="43"/>
      <c r="H25" s="42"/>
      <c r="I25" s="42"/>
      <c r="J25" s="42"/>
      <c r="K25" s="42"/>
      <c r="L25" s="43"/>
      <c r="M25" s="43"/>
      <c r="N25" s="49"/>
    </row>
    <row r="26" ht="8.75" customHeight="1" hidden="1">
      <c r="A26" s="39"/>
      <c r="B26" s="40"/>
      <c r="C26" s="45"/>
      <c r="D26" s="46"/>
      <c r="E26" s="46"/>
      <c r="F26" s="46"/>
      <c r="G26" s="47"/>
      <c r="H26" s="46"/>
      <c r="I26" s="46"/>
      <c r="J26" s="46"/>
      <c r="K26" s="46"/>
      <c r="L26" s="46"/>
      <c r="M26" s="46"/>
      <c r="N26" s="48"/>
    </row>
    <row r="27" ht="8.75" customHeight="1" hidden="1">
      <c r="A27" s="39"/>
      <c r="B27" s="40"/>
      <c r="C27" s="41"/>
      <c r="D27" s="42"/>
      <c r="E27" s="42"/>
      <c r="F27" s="42"/>
      <c r="G27" s="43"/>
      <c r="H27" s="42"/>
      <c r="I27" s="42"/>
      <c r="J27" s="42"/>
      <c r="K27" s="42"/>
      <c r="L27" s="43"/>
      <c r="M27" s="43"/>
      <c r="N27" s="49"/>
    </row>
    <row r="28" ht="20.85" customHeight="1">
      <c r="A28" s="53"/>
      <c r="B28" s="54"/>
      <c r="C28" s="54"/>
      <c r="D28" s="55"/>
      <c r="E28" s="55"/>
      <c r="F28" s="55"/>
      <c r="G28" s="56"/>
      <c r="H28" s="56"/>
      <c r="I28" s="54"/>
      <c r="J28" s="57"/>
      <c r="K28" t="s" s="58">
        <v>38</v>
      </c>
      <c r="L28" s="59" cm="1">
        <f t="array" ref="L28">SUM(L1:L27)</f>
        <v>161958658.92</v>
      </c>
      <c r="M28" s="59" cm="1">
        <f t="array" ref="M28">SUM(M1:M27)</f>
        <v>161871803.53</v>
      </c>
      <c r="N28" s="59" cm="1">
        <f t="array" ref="N28">SUM(N1:N27)</f>
        <v>161871803.53</v>
      </c>
    </row>
    <row r="29" ht="21" customHeight="1">
      <c r="A29" s="60"/>
      <c r="B29" t="s" s="61">
        <v>39</v>
      </c>
      <c r="C29" s="62"/>
      <c r="D29" s="63" cm="1">
        <f t="array" ref="D29">ROUND(IF(L29&lt;=100000000,L29*0.24%,IF(AND(L29&gt;100000000,L29&lt;=500000000),100000000*0.24%+(L29-100000000)*0.19%,IF(AND(L29&gt;500000000,L29&lt;=1000000000),100000000*0.24%+400000000*0.19%+(L29-500000000)*0.15%,IF(AND(L29&gt;1000000000,L29&lt;=5000000000),100000000*0.24%+400000000*0.19%+500000000*0.15%+(L29-1000000000)*0.12%,IF(L29&gt;5000000000,100000000*0.24%+400000000*0.19%+500000000*0.15%+4000000000*0.12%+(L29-5000000000)*0.1%,"Bingung komputer"))))),2)</f>
        <v>357043.07</v>
      </c>
      <c r="E29" s="64" cm="1">
        <f t="array" ref="E29">ROUND(IF(M29&lt;=100000000,M29*0.24%,IF(AND(M29&gt;100000000,M29&lt;=500000000),100000000*0.24%+(M29-100000000)*0.19%,IF(AND(M29&gt;500000000,M29&lt;=1000000000),100000000*0.24%+400000000*0.19%+(M29-500000000)*0.15%,IF(AND(M29&gt;1000000000,M29&lt;=5000000000),100000000*0.24%+400000000*0.19%+500000000*0.15%+(M29-1000000000)*0.12%,IF(M29&gt;5000000000,100000000*0.24%+400000000*0.19%+500000000*0.15%+4000000000*0.12%+(M29-5000000000)*0.1%,"Bingung komputer"))))),2)</f>
        <v>356878.36</v>
      </c>
      <c r="F29" s="64" cm="1">
        <f t="array" ref="F29">ROUND(IF(N29&lt;=100000000,N29*0.24%,IF(AND(N29&gt;100000000,N29&lt;=500000000),100000000*0.24%+(N29-100000000)*0.19%,IF(AND(N29&gt;500000000,N29&lt;=1000000000),100000000*0.24%+400000000*0.19%+(N29-500000000)*0.15%,IF(AND(N29&gt;1000000000,N29&lt;=5000000000),100000000*0.24%+400000000*0.19%+500000000*0.15%+(N29-1000000000)*0.12%,IF(N29&gt;5000000000,100000000*0.24%+400000000*0.19%+500000000*0.15%+4000000000*0.12%+(N29-5000000000)*0.1%,"Bingung komputer"))))),2)</f>
        <v>356878.36</v>
      </c>
      <c r="G29" s="65"/>
      <c r="H29" s="66"/>
      <c r="I29" s="62"/>
      <c r="J29" s="67"/>
      <c r="K29" t="str" s="67" cm="1">
        <f t="array" ref="K29">"Jumlah Terkena Pajak "&amp;MAX(K3:K27)&amp;"% (B)"</f>
        <v>Jumlah Terkena Pajak 11,00% (B)</v>
      </c>
      <c r="L29" s="68" cm="1">
        <f t="array" ref="L29">SUMIF($K3:$K27,"&gt;0",L3:L27)</f>
        <v>161601615.86</v>
      </c>
      <c r="M29" s="69" cm="1">
        <f t="array" ref="M29">SUMIF($K3:$K27,"&gt;0",M3:M27)</f>
        <v>161514925.2</v>
      </c>
      <c r="N29" s="69" cm="1">
        <f t="array" ref="N29">SUMIF($K3:$K27,"&gt;0",N3:N27)</f>
        <v>161514925.2</v>
      </c>
    </row>
    <row r="30" ht="21" customHeight="1">
      <c r="A30" s="70"/>
      <c r="B30" s="71"/>
      <c r="C30" s="71"/>
      <c r="D30" s="72"/>
      <c r="E30" s="72"/>
      <c r="F30" s="71"/>
      <c r="G30" s="72"/>
      <c r="H30" s="72"/>
      <c r="I30" s="71"/>
      <c r="J30" s="73"/>
      <c r="K30" t="str" s="73" cm="1">
        <f t="array" ref="K30">"PPN (C) = "&amp;MAX(K3:K27)&amp;"% x B"</f>
        <v>PPN (C) = 11,00% x B</v>
      </c>
      <c r="L30" s="74" cm="1">
        <f t="array" ref="L30">L29*MAX($K3:$K27)%</f>
        <v>17776177.7446</v>
      </c>
      <c r="M30" s="69" cm="1">
        <f t="array" ref="M30">M29*MAX($K3:$K27)%</f>
        <v>17766641.772</v>
      </c>
      <c r="N30" s="69" cm="1">
        <f t="array" ref="N30">N29*MAX($K3:$K27)%</f>
        <v>17766641.772</v>
      </c>
    </row>
    <row r="31" ht="21" customHeight="1">
      <c r="A31" s="70"/>
      <c r="B31" s="71"/>
      <c r="C31" s="71"/>
      <c r="D31" s="72"/>
      <c r="E31" s="72"/>
      <c r="F31" s="72"/>
      <c r="G31" s="72"/>
      <c r="H31" s="72"/>
      <c r="I31" s="71"/>
      <c r="J31" s="73"/>
      <c r="K31" t="s" s="75">
        <v>42</v>
      </c>
      <c r="L31" s="76" cm="1">
        <f t="array" ref="L31">L28+L30</f>
        <v>179734836.6646</v>
      </c>
      <c r="M31" s="69" cm="1">
        <f t="array" ref="M31">M28+M30</f>
        <v>179638445.302</v>
      </c>
      <c r="N31" s="69" cm="1">
        <f t="array" ref="N31">N28+N30</f>
        <v>179638445.302</v>
      </c>
    </row>
    <row r="32" ht="20.5" customHeight="1">
      <c r="A32" s="70"/>
      <c r="B32" s="71"/>
      <c r="C32" s="71"/>
      <c r="D32" s="72"/>
      <c r="E32" s="72"/>
      <c r="F32" s="72"/>
      <c r="G32" s="72"/>
      <c r="H32" s="72"/>
      <c r="I32" s="71"/>
      <c r="J32" s="73"/>
      <c r="K32" t="s" s="75">
        <v>43</v>
      </c>
      <c r="L32" s="68" cm="1">
        <f t="array" ref="L32">ROUNDDOWN(L31,2)</f>
        <v>179734836.66</v>
      </c>
      <c r="M32" s="68" cm="1">
        <f t="array" ref="M32">ROUNDDOWN(M31,2)</f>
        <v>179638445.3</v>
      </c>
      <c r="N32" s="68" cm="1">
        <f t="array" ref="N32">ROUNDDOWN(N31,-3)</f>
        <v>179638000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50.xml><?xml version="1.0" encoding="utf-8"?>
<worksheet xmlns:r="http://schemas.openxmlformats.org/officeDocument/2006/relationships" xmlns="http://schemas.openxmlformats.org/spreadsheetml/2006/main">
  <sheetPr>
    <pageSetUpPr fitToPage="1"/>
  </sheetPr>
  <dimension ref="A1:N32"/>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164" customWidth="1"/>
    <col min="2" max="2" width="43.0312" style="164" customWidth="1"/>
    <col min="3" max="3" width="2.75" style="164" customWidth="1"/>
    <col min="4" max="6" width="10.3672" style="164" customWidth="1"/>
    <col min="7" max="7" width="11.6875" style="164" customWidth="1"/>
    <col min="8" max="11" width="13.5156" style="164" customWidth="1"/>
    <col min="12" max="14" width="14.2344" style="164" customWidth="1"/>
    <col min="15" max="16384" width="16.3516" style="164"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16</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t="s" s="18">
        <v>17</v>
      </c>
      <c r="B4" t="s" s="19">
        <v>18</v>
      </c>
      <c r="C4" s="20"/>
      <c r="D4" s="21">
        <v>1</v>
      </c>
      <c r="E4" s="21" cm="1">
        <f t="array" ref="E4">D4</f>
        <v>1</v>
      </c>
      <c r="F4" s="21" cm="1">
        <f t="array" ref="F4">D4</f>
        <v>1</v>
      </c>
      <c r="G4" t="s" s="22">
        <v>19</v>
      </c>
      <c r="H4" s="21">
        <v>11776000</v>
      </c>
      <c r="I4" s="21">
        <v>11753000</v>
      </c>
      <c r="J4" s="21">
        <v>11753000</v>
      </c>
      <c r="K4" s="21">
        <v>11</v>
      </c>
      <c r="L4" s="21" cm="1">
        <f t="array" ref="L4">IF(D4&gt;0,IF($D4&lt;=0,0,D4*H4),"")</f>
        <v>11776000</v>
      </c>
      <c r="M4" s="21" cm="1">
        <f t="array" ref="M4">IF(E4&gt;0,IF($D4&lt;=0,0,ROUND(E4*I4,2)),"")</f>
        <v>11753000</v>
      </c>
      <c r="N4" s="23" cm="1">
        <f t="array" ref="N4">IF(F4&gt;0,IF($D4&lt;=0,0,ROUND(F4*J4,2)),"")</f>
        <v>11753000</v>
      </c>
    </row>
    <row r="5" ht="20.5" customHeight="1">
      <c r="A5" t="s" s="18">
        <v>20</v>
      </c>
      <c r="B5" t="s" s="19">
        <v>21</v>
      </c>
      <c r="C5" s="24"/>
      <c r="D5" s="26">
        <v>1</v>
      </c>
      <c r="E5" s="26" cm="1">
        <f t="array" ref="E5">D5</f>
        <v>1</v>
      </c>
      <c r="F5" s="26" cm="1">
        <f t="array" ref="F5">D5</f>
        <v>1</v>
      </c>
      <c r="G5" t="s" s="27">
        <v>19</v>
      </c>
      <c r="H5" s="26">
        <v>660000</v>
      </c>
      <c r="I5" s="26">
        <v>620000</v>
      </c>
      <c r="J5" s="26">
        <v>620000</v>
      </c>
      <c r="K5" s="26">
        <v>11</v>
      </c>
      <c r="L5" s="26" cm="1">
        <f t="array" ref="L5">IF(D5&gt;0,IF($D5&lt;=0,0,D5*H5),"")</f>
        <v>660000</v>
      </c>
      <c r="M5" s="26" cm="1">
        <f t="array" ref="M5">IF(E5&gt;0,IF($D5&lt;=0,0,ROUND(E5*I5,2)),"")</f>
        <v>620000</v>
      </c>
      <c r="N5" s="28" cm="1">
        <f t="array" ref="N5">IF(F5&gt;0,IF($D5&lt;=0,0,ROUND(F5*J5,2)),"")</f>
        <v>620000</v>
      </c>
    </row>
    <row r="6" ht="20.5" customHeight="1">
      <c r="A6" t="s" s="18">
        <v>22</v>
      </c>
      <c r="B6" t="s" s="19">
        <v>23</v>
      </c>
      <c r="C6" s="20"/>
      <c r="D6" s="21">
        <v>1</v>
      </c>
      <c r="E6" s="21" cm="1">
        <f t="array" ref="E6">D6</f>
        <v>1</v>
      </c>
      <c r="F6" s="21" cm="1">
        <f t="array" ref="F6">D6</f>
        <v>1</v>
      </c>
      <c r="G6" t="s" s="22">
        <v>19</v>
      </c>
      <c r="H6" s="21">
        <v>2731000</v>
      </c>
      <c r="I6" s="21">
        <v>2695000</v>
      </c>
      <c r="J6" s="21">
        <v>2695000</v>
      </c>
      <c r="K6" s="21">
        <v>11</v>
      </c>
      <c r="L6" s="21" cm="1">
        <f t="array" ref="L6">IF(D6&gt;0,IF($D6&lt;=0,0,D6*H6),"")</f>
        <v>2731000</v>
      </c>
      <c r="M6" s="21" cm="1">
        <f t="array" ref="M6">IF(E6&gt;0,IF($D6&lt;=0,0,ROUND(E6*I6,2)),"")</f>
        <v>2695000</v>
      </c>
      <c r="N6" s="23" cm="1">
        <f t="array" ref="N6">IF(F6&gt;0,IF($D6&lt;=0,0,ROUND(F6*J6,2)),"")</f>
        <v>2695000</v>
      </c>
    </row>
    <row r="7" ht="20.5" customHeight="1">
      <c r="A7" s="29"/>
      <c r="B7" t="s" s="19">
        <v>28</v>
      </c>
      <c r="C7" s="24"/>
      <c r="D7" s="30"/>
      <c r="E7" s="26"/>
      <c r="F7" s="26"/>
      <c r="G7" s="30"/>
      <c r="H7" s="26"/>
      <c r="I7" s="30"/>
      <c r="J7" s="30"/>
      <c r="K7" s="26"/>
      <c r="L7" t="str" s="30" cm="1">
        <f t="array" ref="L7">IF(D7&gt;0,IF($D7&lt;=0,0,D7*H7),"")</f>
      </c>
      <c r="M7" t="str" s="30" cm="1">
        <f t="array" ref="M7">IF(E7&gt;0,IF($D7&lt;=0,0,ROUND(E7*I7,2)),"")</f>
      </c>
      <c r="N7" t="str" s="31" cm="1">
        <f t="array" ref="N7">IF(F7&gt;0,IF($D7&lt;=0,0,ROUND(F7*J7,2)),"")</f>
      </c>
    </row>
    <row r="8" ht="20.5" customHeight="1">
      <c r="A8" t="s" s="18">
        <v>31</v>
      </c>
      <c r="B8" t="s" s="19">
        <v>32</v>
      </c>
      <c r="C8" s="20"/>
      <c r="D8" s="78">
        <v>186.75</v>
      </c>
      <c r="E8" s="21" cm="1">
        <f t="array" ref="E8">D8</f>
        <v>186.75</v>
      </c>
      <c r="F8" s="21" cm="1">
        <f t="array" ref="F8">D8</f>
        <v>186.75</v>
      </c>
      <c r="G8" t="s" s="22">
        <v>27</v>
      </c>
      <c r="H8" s="21">
        <v>276676.13</v>
      </c>
      <c r="I8" s="32">
        <v>276674.92</v>
      </c>
      <c r="J8" s="32">
        <v>276674.92</v>
      </c>
      <c r="K8" s="21">
        <v>11</v>
      </c>
      <c r="L8" s="21" cm="1">
        <f t="array" ref="L8">IF(D8&gt;0,IF($D8&lt;=0,0,D8*H8),"")</f>
        <v>51669267.2775</v>
      </c>
      <c r="M8" s="21" cm="1">
        <f t="array" ref="M8">IF(E8&gt;0,IF($D8&lt;=0,0,ROUND(E8*I8,2)),"")</f>
        <v>51669041.31</v>
      </c>
      <c r="N8" s="23" cm="1">
        <f t="array" ref="N8">IF(F8&gt;0,IF($D8&lt;=0,0,ROUND(F8*J8,2)),"")</f>
        <v>51669041.31</v>
      </c>
    </row>
    <row r="9" ht="20.5" customHeight="1">
      <c r="A9" t="s" s="18">
        <v>33</v>
      </c>
      <c r="B9" t="s" s="19">
        <v>34</v>
      </c>
      <c r="C9" s="24"/>
      <c r="D9" s="26">
        <v>1660</v>
      </c>
      <c r="E9" s="26" cm="1">
        <f t="array" ref="E9">D9</f>
        <v>1660</v>
      </c>
      <c r="F9" s="26" cm="1">
        <f t="array" ref="F9">D9</f>
        <v>1660</v>
      </c>
      <c r="G9" t="s" s="27">
        <v>35</v>
      </c>
      <c r="H9" s="26">
        <v>2996.59</v>
      </c>
      <c r="I9" s="122">
        <v>2996.36</v>
      </c>
      <c r="J9" s="122">
        <v>2996.36</v>
      </c>
      <c r="K9" s="26">
        <v>11</v>
      </c>
      <c r="L9" s="26" cm="1">
        <f t="array" ref="L9">IF(D9&gt;0,IF($D9&lt;=0,0,D9*H9),"")</f>
        <v>4974339.4</v>
      </c>
      <c r="M9" s="26" cm="1">
        <f t="array" ref="M9">IF(E9&gt;0,IF($D9&lt;=0,0,ROUND(E9*I9,2)),"")</f>
        <v>4973957.6</v>
      </c>
      <c r="N9" s="28" cm="1">
        <f t="array" ref="N9">IF(F9&gt;0,IF($D9&lt;=0,0,ROUND(F9*J9,2)),"")</f>
        <v>4973957.6</v>
      </c>
    </row>
    <row r="10" ht="20.5" customHeight="1">
      <c r="A10" s="29"/>
      <c r="B10" t="s" s="19">
        <v>36</v>
      </c>
      <c r="C10" s="20"/>
      <c r="D10" s="21"/>
      <c r="E10" s="21"/>
      <c r="F10" s="21"/>
      <c r="G10" s="79"/>
      <c r="H10" s="79"/>
      <c r="I10" s="79"/>
      <c r="J10" s="79"/>
      <c r="K10" s="21"/>
      <c r="L10" t="str" s="79" cm="1">
        <f t="array" ref="L10">IF(D10&gt;0,IF($D10&lt;=0,0,D10*H11),"")</f>
      </c>
      <c r="M10" s="21"/>
      <c r="N10" s="23"/>
    </row>
    <row r="11" ht="20.6" customHeight="1">
      <c r="A11" s="33">
        <v>1</v>
      </c>
      <c r="B11" t="s" s="34">
        <v>37</v>
      </c>
      <c r="C11" s="80"/>
      <c r="D11" s="81">
        <v>1</v>
      </c>
      <c r="E11" s="81" cm="1">
        <f t="array" ref="E11">D11</f>
        <v>1</v>
      </c>
      <c r="F11" s="81" cm="1">
        <f t="array" ref="F11">D11</f>
        <v>1</v>
      </c>
      <c r="G11" t="s" s="82">
        <v>19</v>
      </c>
      <c r="H11" s="138">
        <v>186440.15</v>
      </c>
      <c r="I11" s="81">
        <v>186250.9</v>
      </c>
      <c r="J11" s="81">
        <v>186250.9</v>
      </c>
      <c r="K11" s="81">
        <v>0</v>
      </c>
      <c r="L11" s="81" cm="1">
        <f t="array" ref="L11">IF(D11&gt;0,IF($D11&lt;=0,0,D11*H11),"")</f>
        <v>186440.15</v>
      </c>
      <c r="M11" s="81" cm="1">
        <f t="array" ref="M11">IF(E11&gt;0,IF($D11&lt;=0,0,ROUND(E11*I11,2)),"")</f>
        <v>186250.9</v>
      </c>
      <c r="N11" s="83" cm="1">
        <f t="array" ref="N11">IF(F11&gt;0,IF($D11&lt;=0,0,ROUND(F11*J11,2)),"")</f>
        <v>186250.9</v>
      </c>
    </row>
    <row r="12" ht="8.75" customHeight="1" hidden="1">
      <c r="A12" s="39"/>
      <c r="B12" s="40"/>
      <c r="C12" s="45"/>
      <c r="D12" s="46"/>
      <c r="E12" s="46"/>
      <c r="F12" s="46"/>
      <c r="G12" s="47"/>
      <c r="H12" s="46"/>
      <c r="I12" s="46"/>
      <c r="J12" s="46"/>
      <c r="K12" s="46"/>
      <c r="L12" s="46"/>
      <c r="M12" s="46"/>
      <c r="N12" s="48"/>
    </row>
    <row r="13" ht="8.75" customHeight="1" hidden="1">
      <c r="A13" s="39"/>
      <c r="B13" s="40"/>
      <c r="C13" s="41"/>
      <c r="D13" s="42"/>
      <c r="E13" s="42"/>
      <c r="F13" s="42"/>
      <c r="G13" s="43"/>
      <c r="H13" s="42"/>
      <c r="I13" s="42"/>
      <c r="J13" s="42"/>
      <c r="K13" s="42"/>
      <c r="L13" s="42"/>
      <c r="M13" s="42"/>
      <c r="N13" s="44"/>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2"/>
      <c r="I15" s="42"/>
      <c r="J15" s="42"/>
      <c r="K15" s="42"/>
      <c r="L15" s="42"/>
      <c r="M15" s="42"/>
      <c r="N15" s="44"/>
    </row>
    <row r="16" ht="8.75" customHeight="1" hidden="1">
      <c r="A16" s="39"/>
      <c r="B16" s="40"/>
      <c r="C16" s="45"/>
      <c r="D16" s="46"/>
      <c r="E16" s="46"/>
      <c r="F16" s="46"/>
      <c r="G16" s="47"/>
      <c r="H16" s="46"/>
      <c r="I16" s="46"/>
      <c r="J16" s="46"/>
      <c r="K16" s="46"/>
      <c r="L16" s="46"/>
      <c r="M16" s="46"/>
      <c r="N16" s="48"/>
    </row>
    <row r="17" ht="8.75" customHeight="1" hidden="1">
      <c r="A17" s="39"/>
      <c r="B17" s="40"/>
      <c r="C17" s="41"/>
      <c r="D17" s="42"/>
      <c r="E17" s="42"/>
      <c r="F17" s="42"/>
      <c r="G17" s="43"/>
      <c r="H17" s="42"/>
      <c r="I17" s="42"/>
      <c r="J17" s="42"/>
      <c r="K17" s="42"/>
      <c r="L17" s="42"/>
      <c r="M17" s="42"/>
      <c r="N17" s="44"/>
    </row>
    <row r="18" ht="8.75" customHeight="1" hidden="1">
      <c r="A18" s="39"/>
      <c r="B18" s="40"/>
      <c r="C18" s="45"/>
      <c r="D18" s="46"/>
      <c r="E18" s="46"/>
      <c r="F18" s="46"/>
      <c r="G18" s="47"/>
      <c r="H18" s="47"/>
      <c r="I18" s="47"/>
      <c r="J18" s="47"/>
      <c r="K18" s="46"/>
      <c r="L18" s="47"/>
      <c r="M18" s="47"/>
      <c r="N18" s="52"/>
    </row>
    <row r="19" ht="8.75" customHeight="1" hidden="1">
      <c r="A19" s="39"/>
      <c r="B19" s="40"/>
      <c r="C19" s="41"/>
      <c r="D19" s="42"/>
      <c r="E19" s="42"/>
      <c r="F19" s="42"/>
      <c r="G19" s="43"/>
      <c r="H19" s="84"/>
      <c r="I19" s="84"/>
      <c r="J19" s="84"/>
      <c r="K19" s="42"/>
      <c r="L19" s="42"/>
      <c r="M19" s="42"/>
      <c r="N19" s="44"/>
    </row>
    <row r="20" ht="8.75" customHeight="1" hidden="1">
      <c r="A20" s="39"/>
      <c r="B20" s="40"/>
      <c r="C20" s="45"/>
      <c r="D20" s="46"/>
      <c r="E20" s="46"/>
      <c r="F20" s="46"/>
      <c r="G20" s="47"/>
      <c r="H20" s="47"/>
      <c r="I20" s="47"/>
      <c r="J20" s="47"/>
      <c r="K20" s="46"/>
      <c r="L20" s="47"/>
      <c r="M20" s="47"/>
      <c r="N20" s="52"/>
    </row>
    <row r="21" ht="8.75" customHeight="1" hidden="1">
      <c r="A21" s="39"/>
      <c r="B21" s="40"/>
      <c r="C21" s="41"/>
      <c r="D21" s="42"/>
      <c r="E21" s="42"/>
      <c r="F21" s="42"/>
      <c r="G21" s="43"/>
      <c r="H21" s="42"/>
      <c r="I21" s="42"/>
      <c r="J21" s="42"/>
      <c r="K21" s="42"/>
      <c r="L21" s="42"/>
      <c r="M21" s="42"/>
      <c r="N21" s="44"/>
    </row>
    <row r="22" ht="8.75" customHeight="1" hidden="1">
      <c r="A22" s="39"/>
      <c r="B22" s="40"/>
      <c r="C22" s="45"/>
      <c r="D22" s="46"/>
      <c r="E22" s="46"/>
      <c r="F22" s="46"/>
      <c r="G22" s="47"/>
      <c r="H22" s="46"/>
      <c r="I22" s="46"/>
      <c r="J22" s="46"/>
      <c r="K22" s="46"/>
      <c r="L22" s="46"/>
      <c r="M22" s="46"/>
      <c r="N22" s="48"/>
    </row>
    <row r="23" ht="8.75" customHeight="1" hidden="1">
      <c r="A23" s="51"/>
      <c r="B23" s="40"/>
      <c r="C23" s="41"/>
      <c r="D23" s="42"/>
      <c r="E23" s="42"/>
      <c r="F23" s="42"/>
      <c r="G23" s="43"/>
      <c r="H23" s="42"/>
      <c r="I23" s="42"/>
      <c r="J23" s="42"/>
      <c r="K23" s="42"/>
      <c r="L23" s="42"/>
      <c r="M23" s="42"/>
      <c r="N23" s="44"/>
    </row>
    <row r="24" ht="8.75" customHeight="1" hidden="1">
      <c r="A24" s="51"/>
      <c r="B24" s="40"/>
      <c r="C24" s="45"/>
      <c r="D24" s="46"/>
      <c r="E24" s="46"/>
      <c r="F24" s="46"/>
      <c r="G24" s="47"/>
      <c r="H24" s="46"/>
      <c r="I24" s="46"/>
      <c r="J24" s="46"/>
      <c r="K24" s="46"/>
      <c r="L24" s="46"/>
      <c r="M24" s="46"/>
      <c r="N24" s="48"/>
    </row>
    <row r="25" ht="8.75" customHeight="1" hidden="1">
      <c r="A25" s="39"/>
      <c r="B25" s="40"/>
      <c r="C25" s="41"/>
      <c r="D25" s="42"/>
      <c r="E25" s="42"/>
      <c r="F25" s="42"/>
      <c r="G25" s="43"/>
      <c r="H25" s="42"/>
      <c r="I25" s="42"/>
      <c r="J25" s="42"/>
      <c r="K25" s="42"/>
      <c r="L25" s="43"/>
      <c r="M25" s="43"/>
      <c r="N25" s="49"/>
    </row>
    <row r="26" ht="8.75" customHeight="1" hidden="1">
      <c r="A26" s="39"/>
      <c r="B26" s="40"/>
      <c r="C26" s="45"/>
      <c r="D26" s="46"/>
      <c r="E26" s="46"/>
      <c r="F26" s="46"/>
      <c r="G26" s="47"/>
      <c r="H26" s="46"/>
      <c r="I26" s="46"/>
      <c r="J26" s="46"/>
      <c r="K26" s="46"/>
      <c r="L26" s="46"/>
      <c r="M26" s="46"/>
      <c r="N26" s="48"/>
    </row>
    <row r="27" ht="8.75" customHeight="1" hidden="1">
      <c r="A27" s="39"/>
      <c r="B27" s="40"/>
      <c r="C27" s="41"/>
      <c r="D27" s="42"/>
      <c r="E27" s="42"/>
      <c r="F27" s="42"/>
      <c r="G27" s="43"/>
      <c r="H27" s="42"/>
      <c r="I27" s="42"/>
      <c r="J27" s="42"/>
      <c r="K27" s="42"/>
      <c r="L27" s="43"/>
      <c r="M27" s="43"/>
      <c r="N27" s="49"/>
    </row>
    <row r="28" ht="20.85" customHeight="1">
      <c r="A28" s="53"/>
      <c r="B28" s="54"/>
      <c r="C28" s="54"/>
      <c r="D28" s="55"/>
      <c r="E28" s="55"/>
      <c r="F28" s="55"/>
      <c r="G28" s="56"/>
      <c r="H28" s="56"/>
      <c r="I28" s="54"/>
      <c r="J28" s="57"/>
      <c r="K28" t="s" s="58">
        <v>38</v>
      </c>
      <c r="L28" s="59" cm="1">
        <f t="array" ref="L28">SUM(L1:L27)</f>
        <v>71997046.8275</v>
      </c>
      <c r="M28" s="59" cm="1">
        <f t="array" ref="M28">SUM(M1:M27)</f>
        <v>71897249.81</v>
      </c>
      <c r="N28" s="59" cm="1">
        <f t="array" ref="N28">SUM(N1:N27)</f>
        <v>71897249.81</v>
      </c>
    </row>
    <row r="29" ht="21" customHeight="1">
      <c r="A29" s="60"/>
      <c r="B29" t="s" s="61">
        <v>39</v>
      </c>
      <c r="C29" s="62"/>
      <c r="D29" s="63" cm="1">
        <f t="array" ref="D29">ROUND(IF(L29&lt;=100000000,L29*0.24%,IF(AND(L29&gt;100000000,L29&lt;=500000000),100000000*0.24%+(L29-100000000)*0.19%,IF(AND(L29&gt;500000000,L29&lt;=1000000000),100000000*0.24%+400000000*0.19%+(L29-500000000)*0.15%,IF(AND(L29&gt;1000000000,L29&lt;=5000000000),100000000*0.24%+400000000*0.19%+500000000*0.15%+(L29-1000000000)*0.12%,IF(L29&gt;5000000000,100000000*0.24%+400000000*0.19%+500000000*0.15%+4000000000*0.12%+(L29-5000000000)*0.1%,"Bingung komputer"))))),2)</f>
        <v>172345.46</v>
      </c>
      <c r="E29" s="64" cm="1">
        <f t="array" ref="E29">ROUND(IF(M29&lt;=100000000,M29*0.24%,IF(AND(M29&gt;100000000,M29&lt;=500000000),100000000*0.24%+(M29-100000000)*0.19%,IF(AND(M29&gt;500000000,M29&lt;=1000000000),100000000*0.24%+400000000*0.19%+(M29-500000000)*0.15%,IF(AND(M29&gt;1000000000,M29&lt;=5000000000),100000000*0.24%+400000000*0.19%+500000000*0.15%+(M29-1000000000)*0.12%,IF(M29&gt;5000000000,100000000*0.24%+400000000*0.19%+500000000*0.15%+4000000000*0.12%+(M29-5000000000)*0.1%,"Bingung komputer"))))),2)</f>
        <v>172106.4</v>
      </c>
      <c r="F29" s="64" cm="1">
        <f t="array" ref="F29">ROUND(IF(N29&lt;=100000000,N29*0.24%,IF(AND(N29&gt;100000000,N29&lt;=500000000),100000000*0.24%+(N29-100000000)*0.19%,IF(AND(N29&gt;500000000,N29&lt;=1000000000),100000000*0.24%+400000000*0.19%+(N29-500000000)*0.15%,IF(AND(N29&gt;1000000000,N29&lt;=5000000000),100000000*0.24%+400000000*0.19%+500000000*0.15%+(N29-1000000000)*0.12%,IF(N29&gt;5000000000,100000000*0.24%+400000000*0.19%+500000000*0.15%+4000000000*0.12%+(N29-5000000000)*0.1%,"Bingung komputer"))))),2)</f>
        <v>172106.4</v>
      </c>
      <c r="G29" s="65"/>
      <c r="H29" s="66"/>
      <c r="I29" s="62"/>
      <c r="J29" s="67"/>
      <c r="K29" t="str" s="67" cm="1">
        <f t="array" ref="K29">"Jumlah Terkena Pajak "&amp;MAX(K3:K27)&amp;"% (B)"</f>
        <v>Jumlah Terkena Pajak 11,00% (B)</v>
      </c>
      <c r="L29" s="68" cm="1">
        <f t="array" ref="L29">SUMIF($K3:$K27,"&gt;0",L3:L27)</f>
        <v>71810606.67749999</v>
      </c>
      <c r="M29" s="69" cm="1">
        <f t="array" ref="M29">SUMIF($K3:$K27,"&gt;0",M3:M27)</f>
        <v>71710998.91</v>
      </c>
      <c r="N29" s="69" cm="1">
        <f t="array" ref="N29">SUMIF($K3:$K27,"&gt;0",N3:N27)</f>
        <v>71710998.91</v>
      </c>
    </row>
    <row r="30" ht="21" customHeight="1">
      <c r="A30" s="70"/>
      <c r="B30" s="71"/>
      <c r="C30" s="71"/>
      <c r="D30" s="72"/>
      <c r="E30" s="72"/>
      <c r="F30" s="71"/>
      <c r="G30" s="72"/>
      <c r="H30" s="72"/>
      <c r="I30" s="71"/>
      <c r="J30" s="73"/>
      <c r="K30" t="str" s="73" cm="1">
        <f t="array" ref="K30">"PPN (C) = "&amp;MAX(K3:K27)&amp;"% x B"</f>
        <v>PPN (C) = 11,00% x B</v>
      </c>
      <c r="L30" s="74" cm="1">
        <f t="array" ref="L30">L29*MAX($K3:$K27)%</f>
        <v>7899166.734525</v>
      </c>
      <c r="M30" s="69" cm="1">
        <f t="array" ref="M30">M29*MAX($K3:$K27)%</f>
        <v>7888209.8801</v>
      </c>
      <c r="N30" s="69" cm="1">
        <f t="array" ref="N30">N29*MAX($K3:$K27)%</f>
        <v>7888209.8801</v>
      </c>
    </row>
    <row r="31" ht="21" customHeight="1">
      <c r="A31" s="70"/>
      <c r="B31" s="71"/>
      <c r="C31" s="71"/>
      <c r="D31" s="72"/>
      <c r="E31" s="72"/>
      <c r="F31" s="72"/>
      <c r="G31" s="72"/>
      <c r="H31" s="72"/>
      <c r="I31" s="71"/>
      <c r="J31" s="73"/>
      <c r="K31" t="s" s="75">
        <v>42</v>
      </c>
      <c r="L31" s="76" cm="1">
        <f t="array" ref="L31">L28+L30</f>
        <v>79896213.562025</v>
      </c>
      <c r="M31" s="69" cm="1">
        <f t="array" ref="M31">M28+M30</f>
        <v>79785459.6901</v>
      </c>
      <c r="N31" s="69" cm="1">
        <f t="array" ref="N31">N28+N30</f>
        <v>79785459.6901</v>
      </c>
    </row>
    <row r="32" ht="20.5" customHeight="1">
      <c r="A32" s="70"/>
      <c r="B32" s="71"/>
      <c r="C32" s="71"/>
      <c r="D32" s="72"/>
      <c r="E32" s="72"/>
      <c r="F32" s="72"/>
      <c r="G32" s="72"/>
      <c r="H32" s="72"/>
      <c r="I32" s="71"/>
      <c r="J32" s="73"/>
      <c r="K32" t="s" s="75">
        <v>43</v>
      </c>
      <c r="L32" s="68" cm="1">
        <f t="array" ref="L32">ROUNDDOWN(L31,2)</f>
        <v>79896213.56</v>
      </c>
      <c r="M32" s="68" cm="1">
        <f t="array" ref="M32">ROUNDDOWN(M31,2)</f>
        <v>79785459.69</v>
      </c>
      <c r="N32" s="68" cm="1">
        <f t="array" ref="N32">ROUNDDOWN(N31,-3)</f>
        <v>79785000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51.xml><?xml version="1.0" encoding="utf-8"?>
<worksheet xmlns:r="http://schemas.openxmlformats.org/officeDocument/2006/relationships" xmlns="http://schemas.openxmlformats.org/spreadsheetml/2006/main">
  <sheetPr>
    <pageSetUpPr fitToPage="1"/>
  </sheetPr>
  <dimension ref="A1:N32"/>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165" customWidth="1"/>
    <col min="2" max="2" width="43.0312" style="165" customWidth="1"/>
    <col min="3" max="3" width="2.75" style="165" customWidth="1"/>
    <col min="4" max="6" width="10.3672" style="165" customWidth="1"/>
    <col min="7" max="7" width="11.6875" style="165" customWidth="1"/>
    <col min="8" max="11" width="13.5156" style="165" customWidth="1"/>
    <col min="12" max="14" width="14.2344" style="165" customWidth="1"/>
    <col min="15" max="16384" width="16.3516" style="165"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16</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t="s" s="18">
        <v>17</v>
      </c>
      <c r="B4" t="s" s="19">
        <v>18</v>
      </c>
      <c r="C4" s="20"/>
      <c r="D4" s="21">
        <v>1</v>
      </c>
      <c r="E4" s="21" cm="1">
        <f t="array" ref="E4">D4</f>
        <v>1</v>
      </c>
      <c r="F4" s="21" cm="1">
        <f t="array" ref="F4">D4</f>
        <v>1</v>
      </c>
      <c r="G4" t="s" s="22">
        <v>19</v>
      </c>
      <c r="H4" s="21">
        <v>19699500</v>
      </c>
      <c r="I4" s="21">
        <v>19596000</v>
      </c>
      <c r="J4" s="21">
        <v>19596000</v>
      </c>
      <c r="K4" s="21">
        <v>11</v>
      </c>
      <c r="L4" s="21" cm="1">
        <f t="array" ref="L4">IF(D4&gt;0,IF($D4&lt;=0,0,D4*H4),"")</f>
        <v>19699500</v>
      </c>
      <c r="M4" s="21" cm="1">
        <f t="array" ref="M4">IF(E4&gt;0,IF($D4&lt;=0,0,ROUND(E4*I4,2)),"")</f>
        <v>19596000</v>
      </c>
      <c r="N4" s="23" cm="1">
        <f t="array" ref="N4">IF(F4&gt;0,IF($D4&lt;=0,0,ROUND(F4*J4,2)),"")</f>
        <v>19596000</v>
      </c>
    </row>
    <row r="5" ht="20.5" customHeight="1">
      <c r="A5" t="s" s="18">
        <v>20</v>
      </c>
      <c r="B5" t="s" s="19">
        <v>21</v>
      </c>
      <c r="C5" s="24"/>
      <c r="D5" s="26">
        <v>1</v>
      </c>
      <c r="E5" s="26" cm="1">
        <f t="array" ref="E5">D5</f>
        <v>1</v>
      </c>
      <c r="F5" s="26" cm="1">
        <f t="array" ref="F5">D5</f>
        <v>1</v>
      </c>
      <c r="G5" t="s" s="27">
        <v>19</v>
      </c>
      <c r="H5" s="26">
        <v>660000</v>
      </c>
      <c r="I5" s="26">
        <v>620000</v>
      </c>
      <c r="J5" s="26">
        <v>620000</v>
      </c>
      <c r="K5" s="26">
        <v>11</v>
      </c>
      <c r="L5" s="26" cm="1">
        <f t="array" ref="L5">IF(D5&gt;0,IF($D5&lt;=0,0,D5*H5),"")</f>
        <v>660000</v>
      </c>
      <c r="M5" s="26" cm="1">
        <f t="array" ref="M5">IF(E5&gt;0,IF($D5&lt;=0,0,ROUND(E5*I5,2)),"")</f>
        <v>620000</v>
      </c>
      <c r="N5" s="28" cm="1">
        <f t="array" ref="N5">IF(F5&gt;0,IF($D5&lt;=0,0,ROUND(F5*J5,2)),"")</f>
        <v>620000</v>
      </c>
    </row>
    <row r="6" ht="20.5" customHeight="1">
      <c r="A6" t="s" s="18">
        <v>22</v>
      </c>
      <c r="B6" t="s" s="19">
        <v>23</v>
      </c>
      <c r="C6" s="20"/>
      <c r="D6" s="21">
        <v>1</v>
      </c>
      <c r="E6" s="21" cm="1">
        <f t="array" ref="E6">D6</f>
        <v>1</v>
      </c>
      <c r="F6" s="21" cm="1">
        <f t="array" ref="F6">D6</f>
        <v>1</v>
      </c>
      <c r="G6" t="s" s="22">
        <v>19</v>
      </c>
      <c r="H6" s="21">
        <v>5039000</v>
      </c>
      <c r="I6" s="21">
        <v>5050000</v>
      </c>
      <c r="J6" s="21">
        <v>5050000</v>
      </c>
      <c r="K6" s="21">
        <v>11</v>
      </c>
      <c r="L6" s="21" cm="1">
        <f t="array" ref="L6">IF(D6&gt;0,IF($D6&lt;=0,0,D6*H6),"")</f>
        <v>5039000</v>
      </c>
      <c r="M6" s="21" cm="1">
        <f t="array" ref="M6">IF(E6&gt;0,IF($D6&lt;=0,0,ROUND(E6*I6,2)),"")</f>
        <v>5050000</v>
      </c>
      <c r="N6" s="23" cm="1">
        <f t="array" ref="N6">IF(F6&gt;0,IF($D6&lt;=0,0,ROUND(F6*J6,2)),"")</f>
        <v>5050000</v>
      </c>
    </row>
    <row r="7" ht="20.5" customHeight="1">
      <c r="A7" s="29"/>
      <c r="B7" t="s" s="19">
        <v>28</v>
      </c>
      <c r="C7" s="24"/>
      <c r="D7" s="30"/>
      <c r="E7" s="26"/>
      <c r="F7" s="26"/>
      <c r="G7" s="30"/>
      <c r="H7" s="26"/>
      <c r="I7" s="30"/>
      <c r="J7" s="30"/>
      <c r="K7" s="26"/>
      <c r="L7" t="str" s="30" cm="1">
        <f t="array" ref="L7">IF(D7&gt;0,IF($D7&lt;=0,0,D7*H7),"")</f>
      </c>
      <c r="M7" t="str" s="30" cm="1">
        <f t="array" ref="M7">IF(E7&gt;0,IF($D7&lt;=0,0,ROUND(E7*I7,2)),"")</f>
      </c>
      <c r="N7" t="str" s="31" cm="1">
        <f t="array" ref="N7">IF(F7&gt;0,IF($D7&lt;=0,0,ROUND(F7*J7,2)),"")</f>
      </c>
    </row>
    <row r="8" ht="20.5" customHeight="1">
      <c r="A8" t="s" s="18">
        <v>31</v>
      </c>
      <c r="B8" t="s" s="19">
        <v>32</v>
      </c>
      <c r="C8" s="20"/>
      <c r="D8" s="78">
        <v>469.8</v>
      </c>
      <c r="E8" s="21" cm="1">
        <f t="array" ref="E8">D8</f>
        <v>469.8</v>
      </c>
      <c r="F8" s="21" cm="1">
        <f t="array" ref="F8">D8</f>
        <v>469.8</v>
      </c>
      <c r="G8" t="s" s="22">
        <v>27</v>
      </c>
      <c r="H8" s="21">
        <v>274539.81</v>
      </c>
      <c r="I8" s="32">
        <v>274506.12</v>
      </c>
      <c r="J8" s="32">
        <v>274506.12</v>
      </c>
      <c r="K8" s="21">
        <v>11</v>
      </c>
      <c r="L8" s="21" cm="1">
        <f t="array" ref="L8">IF(D8&gt;0,IF($D8&lt;=0,0,D8*H8),"")</f>
        <v>128978802.738</v>
      </c>
      <c r="M8" s="21" cm="1">
        <f t="array" ref="M8">IF(E8&gt;0,IF($D8&lt;=0,0,ROUND(E8*I8,2)),"")</f>
        <v>128962975.18</v>
      </c>
      <c r="N8" s="23" cm="1">
        <f t="array" ref="N8">IF(F8&gt;0,IF($D8&lt;=0,0,ROUND(F8*J8,2)),"")</f>
        <v>128962975.18</v>
      </c>
    </row>
    <row r="9" ht="20.5" customHeight="1">
      <c r="A9" t="s" s="18">
        <v>33</v>
      </c>
      <c r="B9" t="s" s="19">
        <v>34</v>
      </c>
      <c r="C9" s="24"/>
      <c r="D9" s="26">
        <v>2475</v>
      </c>
      <c r="E9" s="26" cm="1">
        <f t="array" ref="E9">D9</f>
        <v>2475</v>
      </c>
      <c r="F9" s="26" cm="1">
        <f t="array" ref="F9">D9</f>
        <v>2475</v>
      </c>
      <c r="G9" t="s" s="27">
        <v>35</v>
      </c>
      <c r="H9" s="26">
        <v>2996.59</v>
      </c>
      <c r="I9" s="122">
        <v>2996.31</v>
      </c>
      <c r="J9" s="122">
        <v>2996.31</v>
      </c>
      <c r="K9" s="26">
        <v>11</v>
      </c>
      <c r="L9" s="26" cm="1">
        <f t="array" ref="L9">IF(D9&gt;0,IF($D9&lt;=0,0,D9*H9),"")</f>
        <v>7416560.25</v>
      </c>
      <c r="M9" s="26" cm="1">
        <f t="array" ref="M9">IF(E9&gt;0,IF($D9&lt;=0,0,ROUND(E9*I9,2)),"")</f>
        <v>7415867.25</v>
      </c>
      <c r="N9" s="28" cm="1">
        <f t="array" ref="N9">IF(F9&gt;0,IF($D9&lt;=0,0,ROUND(F9*J9,2)),"")</f>
        <v>7415867.25</v>
      </c>
    </row>
    <row r="10" ht="20.5" customHeight="1">
      <c r="A10" s="29"/>
      <c r="B10" t="s" s="19">
        <v>36</v>
      </c>
      <c r="C10" s="20"/>
      <c r="D10" s="21"/>
      <c r="E10" s="21"/>
      <c r="F10" s="21"/>
      <c r="G10" s="79"/>
      <c r="H10" s="79"/>
      <c r="I10" s="79"/>
      <c r="J10" s="79"/>
      <c r="K10" s="21"/>
      <c r="L10" t="str" s="79" cm="1">
        <f t="array" ref="L10">IF(D10&gt;0,IF($D10&lt;=0,0,D10*H11),"")</f>
      </c>
      <c r="M10" s="21"/>
      <c r="N10" s="23"/>
    </row>
    <row r="11" ht="20.6" customHeight="1">
      <c r="A11" s="33">
        <v>1</v>
      </c>
      <c r="B11" t="s" s="34">
        <v>37</v>
      </c>
      <c r="C11" s="80"/>
      <c r="D11" s="81">
        <v>1</v>
      </c>
      <c r="E11" s="81" cm="1">
        <f t="array" ref="E11">D11</f>
        <v>1</v>
      </c>
      <c r="F11" s="81" cm="1">
        <f t="array" ref="F11">D11</f>
        <v>1</v>
      </c>
      <c r="G11" t="s" s="82">
        <v>19</v>
      </c>
      <c r="H11" s="138">
        <v>357408.33</v>
      </c>
      <c r="I11" s="138">
        <v>357125.18</v>
      </c>
      <c r="J11" s="138">
        <v>357125.18</v>
      </c>
      <c r="K11" s="81">
        <v>0</v>
      </c>
      <c r="L11" s="81" cm="1">
        <f t="array" ref="L11">IF(D11&gt;0,IF($D11&lt;=0,0,D11*H11),"")</f>
        <v>357408.33</v>
      </c>
      <c r="M11" s="81" cm="1">
        <f t="array" ref="M11">IF(E11&gt;0,IF($D11&lt;=0,0,ROUND(E11*I11,2)),"")</f>
        <v>357125.18</v>
      </c>
      <c r="N11" s="83" cm="1">
        <f t="array" ref="N11">IF(F11&gt;0,IF($D11&lt;=0,0,ROUND(F11*J11,2)),"")</f>
        <v>357125.18</v>
      </c>
    </row>
    <row r="12" ht="8.75" customHeight="1" hidden="1">
      <c r="A12" s="39"/>
      <c r="B12" s="40"/>
      <c r="C12" s="45"/>
      <c r="D12" s="46"/>
      <c r="E12" s="46"/>
      <c r="F12" s="46"/>
      <c r="G12" s="47"/>
      <c r="H12" s="46"/>
      <c r="I12" s="46"/>
      <c r="J12" s="46"/>
      <c r="K12" s="46"/>
      <c r="L12" s="46"/>
      <c r="M12" s="46"/>
      <c r="N12" s="48"/>
    </row>
    <row r="13" ht="8.75" customHeight="1" hidden="1">
      <c r="A13" s="39"/>
      <c r="B13" s="40"/>
      <c r="C13" s="41"/>
      <c r="D13" s="42"/>
      <c r="E13" s="42"/>
      <c r="F13" s="42"/>
      <c r="G13" s="43"/>
      <c r="H13" s="42"/>
      <c r="I13" s="42"/>
      <c r="J13" s="42"/>
      <c r="K13" s="42"/>
      <c r="L13" s="42"/>
      <c r="M13" s="42"/>
      <c r="N13" s="44"/>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2"/>
      <c r="I15" s="42"/>
      <c r="J15" s="42"/>
      <c r="K15" s="42"/>
      <c r="L15" s="42"/>
      <c r="M15" s="42"/>
      <c r="N15" s="44"/>
    </row>
    <row r="16" ht="8.75" customHeight="1" hidden="1">
      <c r="A16" s="39"/>
      <c r="B16" s="40"/>
      <c r="C16" s="45"/>
      <c r="D16" s="46"/>
      <c r="E16" s="46"/>
      <c r="F16" s="46"/>
      <c r="G16" s="47"/>
      <c r="H16" s="46"/>
      <c r="I16" s="46"/>
      <c r="J16" s="46"/>
      <c r="K16" s="46"/>
      <c r="L16" s="46"/>
      <c r="M16" s="46"/>
      <c r="N16" s="48"/>
    </row>
    <row r="17" ht="8.75" customHeight="1" hidden="1">
      <c r="A17" s="39"/>
      <c r="B17" s="40"/>
      <c r="C17" s="41"/>
      <c r="D17" s="42"/>
      <c r="E17" s="42"/>
      <c r="F17" s="42"/>
      <c r="G17" s="43"/>
      <c r="H17" s="42"/>
      <c r="I17" s="42"/>
      <c r="J17" s="42"/>
      <c r="K17" s="42"/>
      <c r="L17" s="42"/>
      <c r="M17" s="42"/>
      <c r="N17" s="44"/>
    </row>
    <row r="18" ht="8.75" customHeight="1" hidden="1">
      <c r="A18" s="39"/>
      <c r="B18" s="40"/>
      <c r="C18" s="45"/>
      <c r="D18" s="46"/>
      <c r="E18" s="46"/>
      <c r="F18" s="46"/>
      <c r="G18" s="47"/>
      <c r="H18" s="47"/>
      <c r="I18" s="47"/>
      <c r="J18" s="47"/>
      <c r="K18" s="46"/>
      <c r="L18" s="47"/>
      <c r="M18" s="47"/>
      <c r="N18" s="52"/>
    </row>
    <row r="19" ht="8.75" customHeight="1" hidden="1">
      <c r="A19" s="39"/>
      <c r="B19" s="40"/>
      <c r="C19" s="41"/>
      <c r="D19" s="42"/>
      <c r="E19" s="42"/>
      <c r="F19" s="42"/>
      <c r="G19" s="43"/>
      <c r="H19" s="84"/>
      <c r="I19" s="84"/>
      <c r="J19" s="84"/>
      <c r="K19" s="42"/>
      <c r="L19" s="42"/>
      <c r="M19" s="42"/>
      <c r="N19" s="44"/>
    </row>
    <row r="20" ht="8.75" customHeight="1" hidden="1">
      <c r="A20" s="39"/>
      <c r="B20" s="40"/>
      <c r="C20" s="45"/>
      <c r="D20" s="46"/>
      <c r="E20" s="46"/>
      <c r="F20" s="46"/>
      <c r="G20" s="47"/>
      <c r="H20" s="47"/>
      <c r="I20" s="47"/>
      <c r="J20" s="47"/>
      <c r="K20" s="46"/>
      <c r="L20" s="47"/>
      <c r="M20" s="47"/>
      <c r="N20" s="52"/>
    </row>
    <row r="21" ht="8.75" customHeight="1" hidden="1">
      <c r="A21" s="39"/>
      <c r="B21" s="40"/>
      <c r="C21" s="41"/>
      <c r="D21" s="42"/>
      <c r="E21" s="42"/>
      <c r="F21" s="42"/>
      <c r="G21" s="43"/>
      <c r="H21" s="42"/>
      <c r="I21" s="42"/>
      <c r="J21" s="42"/>
      <c r="K21" s="42"/>
      <c r="L21" s="42"/>
      <c r="M21" s="42"/>
      <c r="N21" s="44"/>
    </row>
    <row r="22" ht="8.75" customHeight="1" hidden="1">
      <c r="A22" s="39"/>
      <c r="B22" s="40"/>
      <c r="C22" s="45"/>
      <c r="D22" s="46"/>
      <c r="E22" s="46"/>
      <c r="F22" s="46"/>
      <c r="G22" s="47"/>
      <c r="H22" s="46"/>
      <c r="I22" s="46"/>
      <c r="J22" s="46"/>
      <c r="K22" s="46"/>
      <c r="L22" s="46"/>
      <c r="M22" s="46"/>
      <c r="N22" s="48"/>
    </row>
    <row r="23" ht="8.75" customHeight="1" hidden="1">
      <c r="A23" s="51"/>
      <c r="B23" s="40"/>
      <c r="C23" s="41"/>
      <c r="D23" s="42"/>
      <c r="E23" s="42"/>
      <c r="F23" s="42"/>
      <c r="G23" s="43"/>
      <c r="H23" s="42"/>
      <c r="I23" s="42"/>
      <c r="J23" s="42"/>
      <c r="K23" s="42"/>
      <c r="L23" s="42"/>
      <c r="M23" s="42"/>
      <c r="N23" s="44"/>
    </row>
    <row r="24" ht="8.75" customHeight="1" hidden="1">
      <c r="A24" s="51"/>
      <c r="B24" s="40"/>
      <c r="C24" s="45"/>
      <c r="D24" s="46"/>
      <c r="E24" s="46"/>
      <c r="F24" s="46"/>
      <c r="G24" s="47"/>
      <c r="H24" s="46"/>
      <c r="I24" s="46"/>
      <c r="J24" s="46"/>
      <c r="K24" s="46"/>
      <c r="L24" s="46"/>
      <c r="M24" s="46"/>
      <c r="N24" s="48"/>
    </row>
    <row r="25" ht="8.75" customHeight="1" hidden="1">
      <c r="A25" s="39"/>
      <c r="B25" s="40"/>
      <c r="C25" s="41"/>
      <c r="D25" s="42"/>
      <c r="E25" s="42"/>
      <c r="F25" s="42"/>
      <c r="G25" s="43"/>
      <c r="H25" s="42"/>
      <c r="I25" s="42"/>
      <c r="J25" s="42"/>
      <c r="K25" s="42"/>
      <c r="L25" s="43"/>
      <c r="M25" s="43"/>
      <c r="N25" s="49"/>
    </row>
    <row r="26" ht="8.75" customHeight="1" hidden="1">
      <c r="A26" s="39"/>
      <c r="B26" s="40"/>
      <c r="C26" s="45"/>
      <c r="D26" s="46"/>
      <c r="E26" s="46"/>
      <c r="F26" s="46"/>
      <c r="G26" s="47"/>
      <c r="H26" s="46"/>
      <c r="I26" s="46"/>
      <c r="J26" s="46"/>
      <c r="K26" s="46"/>
      <c r="L26" s="46"/>
      <c r="M26" s="46"/>
      <c r="N26" s="48"/>
    </row>
    <row r="27" ht="8.75" customHeight="1" hidden="1">
      <c r="A27" s="39"/>
      <c r="B27" s="40"/>
      <c r="C27" s="41"/>
      <c r="D27" s="42"/>
      <c r="E27" s="42"/>
      <c r="F27" s="42"/>
      <c r="G27" s="43"/>
      <c r="H27" s="42"/>
      <c r="I27" s="42"/>
      <c r="J27" s="42"/>
      <c r="K27" s="42"/>
      <c r="L27" s="43"/>
      <c r="M27" s="43"/>
      <c r="N27" s="49"/>
    </row>
    <row r="28" ht="20.85" customHeight="1">
      <c r="A28" s="53"/>
      <c r="B28" s="54"/>
      <c r="C28" s="54"/>
      <c r="D28" s="55"/>
      <c r="E28" s="55"/>
      <c r="F28" s="55"/>
      <c r="G28" s="56"/>
      <c r="H28" s="56"/>
      <c r="I28" s="54"/>
      <c r="J28" s="57"/>
      <c r="K28" t="s" s="58">
        <v>38</v>
      </c>
      <c r="L28" s="59" cm="1">
        <f t="array" ref="L28">SUM(L1:L27)</f>
        <v>162151271.318</v>
      </c>
      <c r="M28" s="59" cm="1">
        <f t="array" ref="M28">SUM(M1:M27)</f>
        <v>162001967.61</v>
      </c>
      <c r="N28" s="59" cm="1">
        <f t="array" ref="N28">SUM(N1:N27)</f>
        <v>162001967.61</v>
      </c>
    </row>
    <row r="29" ht="21" customHeight="1">
      <c r="A29" s="60"/>
      <c r="B29" t="s" s="61">
        <v>39</v>
      </c>
      <c r="C29" s="62"/>
      <c r="D29" s="63" cm="1">
        <f t="array" ref="D29">ROUND(IF(L29&lt;=100000000,L29*0.24%,IF(AND(L29&gt;100000000,L29&lt;=500000000),100000000*0.24%+(L29-100000000)*0.19%,IF(AND(L29&gt;500000000,L29&lt;=1000000000),100000000*0.24%+400000000*0.19%+(L29-500000000)*0.15%,IF(AND(L29&gt;1000000000,L29&lt;=5000000000),100000000*0.24%+400000000*0.19%+500000000*0.15%+(L29-1000000000)*0.12%,IF(L29&gt;5000000000,100000000*0.24%+400000000*0.19%+500000000*0.15%+4000000000*0.12%+(L29-5000000000)*0.1%,"Bingung komputer"))))),2)</f>
        <v>357408.34</v>
      </c>
      <c r="E29" s="64" cm="1">
        <f t="array" ref="E29">ROUND(IF(M29&lt;=100000000,M29*0.24%,IF(AND(M29&gt;100000000,M29&lt;=500000000),100000000*0.24%+(M29-100000000)*0.19%,IF(AND(M29&gt;500000000,M29&lt;=1000000000),100000000*0.24%+400000000*0.19%+(M29-500000000)*0.15%,IF(AND(M29&gt;1000000000,M29&lt;=5000000000),100000000*0.24%+400000000*0.19%+500000000*0.15%+(M29-1000000000)*0.12%,IF(M29&gt;5000000000,100000000*0.24%+400000000*0.19%+500000000*0.15%+4000000000*0.12%+(M29-5000000000)*0.1%,"Bingung komputer"))))),2)</f>
        <v>357125.2</v>
      </c>
      <c r="F29" s="64" cm="1">
        <f t="array" ref="F29">ROUND(IF(N29&lt;=100000000,N29*0.24%,IF(AND(N29&gt;100000000,N29&lt;=500000000),100000000*0.24%+(N29-100000000)*0.19%,IF(AND(N29&gt;500000000,N29&lt;=1000000000),100000000*0.24%+400000000*0.19%+(N29-500000000)*0.15%,IF(AND(N29&gt;1000000000,N29&lt;=5000000000),100000000*0.24%+400000000*0.19%+500000000*0.15%+(N29-1000000000)*0.12%,IF(N29&gt;5000000000,100000000*0.24%+400000000*0.19%+500000000*0.15%+4000000000*0.12%+(N29-5000000000)*0.1%,"Bingung komputer"))))),2)</f>
        <v>357125.2</v>
      </c>
      <c r="G29" s="65"/>
      <c r="H29" s="66"/>
      <c r="I29" s="62"/>
      <c r="J29" s="67"/>
      <c r="K29" t="str" s="67" cm="1">
        <f t="array" ref="K29">"Jumlah Terkena Pajak "&amp;MAX(K3:K27)&amp;"% (B)"</f>
        <v>Jumlah Terkena Pajak 11,00% (B)</v>
      </c>
      <c r="L29" s="68" cm="1">
        <f t="array" ref="L29">SUMIF($K3:$K27,"&gt;0",L3:L27)</f>
        <v>161793862.988</v>
      </c>
      <c r="M29" s="69" cm="1">
        <f t="array" ref="M29">SUMIF($K3:$K27,"&gt;0",M3:M27)</f>
        <v>161644842.43</v>
      </c>
      <c r="N29" s="69" cm="1">
        <f t="array" ref="N29">SUMIF($K3:$K27,"&gt;0",N3:N27)</f>
        <v>161644842.43</v>
      </c>
    </row>
    <row r="30" ht="21" customHeight="1">
      <c r="A30" s="70"/>
      <c r="B30" s="71"/>
      <c r="C30" s="71"/>
      <c r="D30" s="72"/>
      <c r="E30" s="72"/>
      <c r="F30" s="71"/>
      <c r="G30" s="72"/>
      <c r="H30" s="72"/>
      <c r="I30" s="71"/>
      <c r="J30" s="73"/>
      <c r="K30" t="str" s="73" cm="1">
        <f t="array" ref="K30">"PPN (C) = "&amp;MAX(K3:K27)&amp;"% x B"</f>
        <v>PPN (C) = 11,00% x B</v>
      </c>
      <c r="L30" s="74" cm="1">
        <f t="array" ref="L30">L29*MAX($K3:$K27)%</f>
        <v>17797324.92868</v>
      </c>
      <c r="M30" s="69" cm="1">
        <f t="array" ref="M30">M29*MAX($K3:$K27)%</f>
        <v>17780932.6673</v>
      </c>
      <c r="N30" s="69" cm="1">
        <f t="array" ref="N30">N29*MAX($K3:$K27)%</f>
        <v>17780932.6673</v>
      </c>
    </row>
    <row r="31" ht="21" customHeight="1">
      <c r="A31" s="70"/>
      <c r="B31" s="71"/>
      <c r="C31" s="71"/>
      <c r="D31" s="72"/>
      <c r="E31" s="72"/>
      <c r="F31" s="72"/>
      <c r="G31" s="72"/>
      <c r="H31" s="72"/>
      <c r="I31" s="71"/>
      <c r="J31" s="73"/>
      <c r="K31" t="s" s="75">
        <v>42</v>
      </c>
      <c r="L31" s="76" cm="1">
        <f t="array" ref="L31">L28+L30</f>
        <v>179948596.24668</v>
      </c>
      <c r="M31" s="69" cm="1">
        <f t="array" ref="M31">M28+M30</f>
        <v>179782900.2773</v>
      </c>
      <c r="N31" s="69" cm="1">
        <f t="array" ref="N31">N28+N30</f>
        <v>179782900.2773</v>
      </c>
    </row>
    <row r="32" ht="20.5" customHeight="1">
      <c r="A32" s="70"/>
      <c r="B32" s="71"/>
      <c r="C32" s="71"/>
      <c r="D32" s="72"/>
      <c r="E32" s="72"/>
      <c r="F32" s="72"/>
      <c r="G32" s="72"/>
      <c r="H32" s="72"/>
      <c r="I32" s="71"/>
      <c r="J32" s="73"/>
      <c r="K32" t="s" s="75">
        <v>43</v>
      </c>
      <c r="L32" s="68" cm="1">
        <f t="array" ref="L32">ROUNDDOWN(L31,2)</f>
        <v>179948596.24</v>
      </c>
      <c r="M32" s="68" cm="1">
        <f t="array" ref="M32">ROUNDDOWN(M31,2)</f>
        <v>179782900.27</v>
      </c>
      <c r="N32" s="68" cm="1">
        <f t="array" ref="N32">ROUNDDOWN(N31,-3)</f>
        <v>179782000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52.xml><?xml version="1.0" encoding="utf-8"?>
<worksheet xmlns:r="http://schemas.openxmlformats.org/officeDocument/2006/relationships" xmlns="http://schemas.openxmlformats.org/spreadsheetml/2006/main">
  <sheetPr>
    <pageSetUpPr fitToPage="1"/>
  </sheetPr>
  <dimension ref="A1:N32"/>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166" customWidth="1"/>
    <col min="2" max="2" width="43.0312" style="166" customWidth="1"/>
    <col min="3" max="3" width="2.75" style="166" customWidth="1"/>
    <col min="4" max="6" width="10.3672" style="166" customWidth="1"/>
    <col min="7" max="7" width="11.6875" style="166" customWidth="1"/>
    <col min="8" max="11" width="13.5156" style="166" customWidth="1"/>
    <col min="12" max="14" width="14.2344" style="166" customWidth="1"/>
    <col min="15" max="16384" width="16.3516" style="166"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16</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t="s" s="18">
        <v>17</v>
      </c>
      <c r="B4" t="s" s="19">
        <v>18</v>
      </c>
      <c r="C4" s="20"/>
      <c r="D4" s="21">
        <v>1</v>
      </c>
      <c r="E4" s="21" cm="1">
        <f t="array" ref="E4">D4</f>
        <v>1</v>
      </c>
      <c r="F4" s="21" cm="1">
        <f t="array" ref="F4">D4</f>
        <v>1</v>
      </c>
      <c r="G4" t="s" s="22">
        <v>19</v>
      </c>
      <c r="H4" s="21">
        <v>19699500</v>
      </c>
      <c r="I4" s="21">
        <v>19652350</v>
      </c>
      <c r="J4" s="21">
        <v>19652350</v>
      </c>
      <c r="K4" s="21">
        <v>11</v>
      </c>
      <c r="L4" s="21" cm="1">
        <f t="array" ref="L4">IF(D4&gt;0,IF($D4&lt;=0,0,D4*H4),"")</f>
        <v>19699500</v>
      </c>
      <c r="M4" s="21" cm="1">
        <f t="array" ref="M4">IF(E4&gt;0,IF($D4&lt;=0,0,ROUND(E4*I4,2)),"")</f>
        <v>19652350</v>
      </c>
      <c r="N4" s="23" cm="1">
        <f t="array" ref="N4">IF(F4&gt;0,IF($D4&lt;=0,0,ROUND(F4*J4,2)),"")</f>
        <v>19652350</v>
      </c>
    </row>
    <row r="5" ht="20.5" customHeight="1">
      <c r="A5" t="s" s="18">
        <v>20</v>
      </c>
      <c r="B5" t="s" s="19">
        <v>21</v>
      </c>
      <c r="C5" s="24"/>
      <c r="D5" s="26">
        <v>1</v>
      </c>
      <c r="E5" s="26" cm="1">
        <f t="array" ref="E5">D5</f>
        <v>1</v>
      </c>
      <c r="F5" s="26" cm="1">
        <f t="array" ref="F5">D5</f>
        <v>1</v>
      </c>
      <c r="G5" t="s" s="27">
        <v>19</v>
      </c>
      <c r="H5" s="26">
        <v>660000</v>
      </c>
      <c r="I5" s="26">
        <v>640000</v>
      </c>
      <c r="J5" s="26">
        <v>640000</v>
      </c>
      <c r="K5" s="26">
        <v>11</v>
      </c>
      <c r="L5" s="26" cm="1">
        <f t="array" ref="L5">IF(D5&gt;0,IF($D5&lt;=0,0,D5*H5),"")</f>
        <v>660000</v>
      </c>
      <c r="M5" s="26" cm="1">
        <f t="array" ref="M5">IF(E5&gt;0,IF($D5&lt;=0,0,ROUND(E5*I5,2)),"")</f>
        <v>640000</v>
      </c>
      <c r="N5" s="28" cm="1">
        <f t="array" ref="N5">IF(F5&gt;0,IF($D5&lt;=0,0,ROUND(F5*J5,2)),"")</f>
        <v>640000</v>
      </c>
    </row>
    <row r="6" ht="20.5" customHeight="1">
      <c r="A6" t="s" s="18">
        <v>22</v>
      </c>
      <c r="B6" t="s" s="19">
        <v>23</v>
      </c>
      <c r="C6" s="20"/>
      <c r="D6" s="21">
        <v>1</v>
      </c>
      <c r="E6" s="21" cm="1">
        <f t="array" ref="E6">D6</f>
        <v>1</v>
      </c>
      <c r="F6" s="21" cm="1">
        <f t="array" ref="F6">D6</f>
        <v>1</v>
      </c>
      <c r="G6" t="s" s="22">
        <v>19</v>
      </c>
      <c r="H6" s="21">
        <v>5039000</v>
      </c>
      <c r="I6" s="21">
        <v>5015000</v>
      </c>
      <c r="J6" s="21">
        <v>5015000</v>
      </c>
      <c r="K6" s="21">
        <v>11</v>
      </c>
      <c r="L6" s="21" cm="1">
        <f t="array" ref="L6">IF(D6&gt;0,IF($D6&lt;=0,0,D6*H6),"")</f>
        <v>5039000</v>
      </c>
      <c r="M6" s="21" cm="1">
        <f t="array" ref="M6">IF(E6&gt;0,IF($D6&lt;=0,0,ROUND(E6*I6,2)),"")</f>
        <v>5015000</v>
      </c>
      <c r="N6" s="23" cm="1">
        <f t="array" ref="N6">IF(F6&gt;0,IF($D6&lt;=0,0,ROUND(F6*J6,2)),"")</f>
        <v>5015000</v>
      </c>
    </row>
    <row r="7" ht="20.5" customHeight="1">
      <c r="A7" s="29"/>
      <c r="B7" t="s" s="19">
        <v>28</v>
      </c>
      <c r="C7" s="24"/>
      <c r="D7" s="30"/>
      <c r="E7" s="26"/>
      <c r="F7" s="26"/>
      <c r="G7" s="30"/>
      <c r="H7" s="26"/>
      <c r="I7" s="30"/>
      <c r="J7" s="30"/>
      <c r="K7" s="26"/>
      <c r="L7" t="str" s="30" cm="1">
        <f t="array" ref="L7">IF(D7&gt;0,IF($D7&lt;=0,0,D7*H7),"")</f>
      </c>
      <c r="M7" t="str" s="30" cm="1">
        <f t="array" ref="M7">IF(E7&gt;0,IF($D7&lt;=0,0,ROUND(E7*I7,2)),"")</f>
      </c>
      <c r="N7" t="str" s="31" cm="1">
        <f t="array" ref="N7">IF(F7&gt;0,IF($D7&lt;=0,0,ROUND(F7*J7,2)),"")</f>
      </c>
    </row>
    <row r="8" ht="20.5" customHeight="1">
      <c r="A8" t="s" s="18">
        <v>31</v>
      </c>
      <c r="B8" t="s" s="19">
        <v>32</v>
      </c>
      <c r="C8" s="20"/>
      <c r="D8" s="78">
        <v>525.8</v>
      </c>
      <c r="E8" s="21" cm="1">
        <f t="array" ref="E8">D8</f>
        <v>525.8</v>
      </c>
      <c r="F8" s="21" cm="1">
        <f t="array" ref="F8">D8</f>
        <v>525.8</v>
      </c>
      <c r="G8" t="s" s="22">
        <v>27</v>
      </c>
      <c r="H8" s="21">
        <v>274539.81</v>
      </c>
      <c r="I8" s="32">
        <v>274526.34</v>
      </c>
      <c r="J8" s="32">
        <v>274526.34</v>
      </c>
      <c r="K8" s="21">
        <v>11</v>
      </c>
      <c r="L8" s="21" cm="1">
        <f t="array" ref="L8">IF(D8&gt;0,IF($D8&lt;=0,0,D8*H8),"")</f>
        <v>144353032.098</v>
      </c>
      <c r="M8" s="21" cm="1">
        <f t="array" ref="M8">IF(E8&gt;0,IF($D8&lt;=0,0,ROUND(E8*I8,2)),"")</f>
        <v>144345949.57</v>
      </c>
      <c r="N8" s="23" cm="1">
        <f t="array" ref="N8">IF(F8&gt;0,IF($D8&lt;=0,0,ROUND(F8*J8,2)),"")</f>
        <v>144345949.57</v>
      </c>
    </row>
    <row r="9" ht="20.5" customHeight="1">
      <c r="A9" t="s" s="18">
        <v>33</v>
      </c>
      <c r="B9" t="s" s="19">
        <v>34</v>
      </c>
      <c r="C9" s="24"/>
      <c r="D9" s="26">
        <v>3250</v>
      </c>
      <c r="E9" s="26" cm="1">
        <f t="array" ref="E9">D9</f>
        <v>3250</v>
      </c>
      <c r="F9" s="26" cm="1">
        <f t="array" ref="F9">D9</f>
        <v>3250</v>
      </c>
      <c r="G9" t="s" s="27">
        <v>35</v>
      </c>
      <c r="H9" s="26">
        <v>2996.59</v>
      </c>
      <c r="I9" s="122">
        <v>2996.48</v>
      </c>
      <c r="J9" s="122">
        <v>2996.48</v>
      </c>
      <c r="K9" s="26">
        <v>11</v>
      </c>
      <c r="L9" s="26" cm="1">
        <f t="array" ref="L9">IF(D9&gt;0,IF($D9&lt;=0,0,D9*H9),"")</f>
        <v>9738917.5</v>
      </c>
      <c r="M9" s="26" cm="1">
        <f t="array" ref="M9">IF(E9&gt;0,IF($D9&lt;=0,0,ROUND(E9*I9,2)),"")</f>
        <v>9738560</v>
      </c>
      <c r="N9" s="28" cm="1">
        <f t="array" ref="N9">IF(F9&gt;0,IF($D9&lt;=0,0,ROUND(F9*J9,2)),"")</f>
        <v>9738560</v>
      </c>
    </row>
    <row r="10" ht="20.5" customHeight="1">
      <c r="A10" s="29"/>
      <c r="B10" t="s" s="19">
        <v>36</v>
      </c>
      <c r="C10" s="20"/>
      <c r="D10" s="21"/>
      <c r="E10" s="21"/>
      <c r="F10" s="21"/>
      <c r="G10" s="79"/>
      <c r="H10" s="79"/>
      <c r="I10" s="79"/>
      <c r="J10" s="79"/>
      <c r="K10" s="21"/>
      <c r="L10" t="str" s="79" cm="1">
        <f t="array" ref="L10">IF(D10&gt;0,IF($D10&lt;=0,0,D10*H11),"")</f>
      </c>
      <c r="M10" s="21"/>
      <c r="N10" s="23"/>
    </row>
    <row r="11" ht="20.6" customHeight="1">
      <c r="A11" s="33">
        <v>1</v>
      </c>
      <c r="B11" t="s" s="34">
        <v>37</v>
      </c>
      <c r="C11" s="80"/>
      <c r="D11" s="81">
        <v>1</v>
      </c>
      <c r="E11" s="81" cm="1">
        <f t="array" ref="E11">D11</f>
        <v>1</v>
      </c>
      <c r="F11" s="81" cm="1">
        <f t="array" ref="F11">D11</f>
        <v>1</v>
      </c>
      <c r="G11" t="s" s="82">
        <v>19</v>
      </c>
      <c r="H11" s="138">
        <v>391031.84</v>
      </c>
      <c r="I11" s="81">
        <v>390844.5</v>
      </c>
      <c r="J11" s="81">
        <v>390844.5</v>
      </c>
      <c r="K11" s="81">
        <v>0</v>
      </c>
      <c r="L11" s="81" cm="1">
        <f t="array" ref="L11">IF(D11&gt;0,IF($D11&lt;=0,0,D11*H11),"")</f>
        <v>391031.84</v>
      </c>
      <c r="M11" s="81" cm="1">
        <f t="array" ref="M11">IF(E11&gt;0,IF($D11&lt;=0,0,ROUND(E11*I11,2)),"")</f>
        <v>390844.5</v>
      </c>
      <c r="N11" s="83" cm="1">
        <f t="array" ref="N11">IF(F11&gt;0,IF($D11&lt;=0,0,ROUND(F11*J11,2)),"")</f>
        <v>390844.5</v>
      </c>
    </row>
    <row r="12" ht="8.75" customHeight="1" hidden="1">
      <c r="A12" s="39"/>
      <c r="B12" s="40"/>
      <c r="C12" s="45"/>
      <c r="D12" s="46"/>
      <c r="E12" s="46"/>
      <c r="F12" s="46"/>
      <c r="G12" s="47"/>
      <c r="H12" s="46"/>
      <c r="I12" s="46"/>
      <c r="J12" s="46"/>
      <c r="K12" s="46"/>
      <c r="L12" s="46"/>
      <c r="M12" s="46"/>
      <c r="N12" s="48"/>
    </row>
    <row r="13" ht="8.75" customHeight="1" hidden="1">
      <c r="A13" s="39"/>
      <c r="B13" s="40"/>
      <c r="C13" s="41"/>
      <c r="D13" s="42"/>
      <c r="E13" s="42"/>
      <c r="F13" s="42"/>
      <c r="G13" s="43"/>
      <c r="H13" s="42"/>
      <c r="I13" s="42"/>
      <c r="J13" s="42"/>
      <c r="K13" s="42"/>
      <c r="L13" s="42"/>
      <c r="M13" s="42"/>
      <c r="N13" s="44"/>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2"/>
      <c r="I15" s="42"/>
      <c r="J15" s="42"/>
      <c r="K15" s="42"/>
      <c r="L15" s="42"/>
      <c r="M15" s="42"/>
      <c r="N15" s="44"/>
    </row>
    <row r="16" ht="8.75" customHeight="1" hidden="1">
      <c r="A16" s="39"/>
      <c r="B16" s="40"/>
      <c r="C16" s="45"/>
      <c r="D16" s="46"/>
      <c r="E16" s="46"/>
      <c r="F16" s="46"/>
      <c r="G16" s="47"/>
      <c r="H16" s="46"/>
      <c r="I16" s="46"/>
      <c r="J16" s="46"/>
      <c r="K16" s="46"/>
      <c r="L16" s="46"/>
      <c r="M16" s="46"/>
      <c r="N16" s="48"/>
    </row>
    <row r="17" ht="8.75" customHeight="1" hidden="1">
      <c r="A17" s="39"/>
      <c r="B17" s="40"/>
      <c r="C17" s="41"/>
      <c r="D17" s="42"/>
      <c r="E17" s="42"/>
      <c r="F17" s="42"/>
      <c r="G17" s="43"/>
      <c r="H17" s="42"/>
      <c r="I17" s="42"/>
      <c r="J17" s="42"/>
      <c r="K17" s="42"/>
      <c r="L17" s="42"/>
      <c r="M17" s="42"/>
      <c r="N17" s="44"/>
    </row>
    <row r="18" ht="8.75" customHeight="1" hidden="1">
      <c r="A18" s="39"/>
      <c r="B18" s="40"/>
      <c r="C18" s="45"/>
      <c r="D18" s="46"/>
      <c r="E18" s="46"/>
      <c r="F18" s="46"/>
      <c r="G18" s="47"/>
      <c r="H18" s="47"/>
      <c r="I18" s="47"/>
      <c r="J18" s="47"/>
      <c r="K18" s="46"/>
      <c r="L18" s="47"/>
      <c r="M18" s="47"/>
      <c r="N18" s="52"/>
    </row>
    <row r="19" ht="8.75" customHeight="1" hidden="1">
      <c r="A19" s="39"/>
      <c r="B19" s="40"/>
      <c r="C19" s="41"/>
      <c r="D19" s="42"/>
      <c r="E19" s="42"/>
      <c r="F19" s="42"/>
      <c r="G19" s="43"/>
      <c r="H19" s="84"/>
      <c r="I19" s="84"/>
      <c r="J19" s="84"/>
      <c r="K19" s="42"/>
      <c r="L19" s="42"/>
      <c r="M19" s="42"/>
      <c r="N19" s="44"/>
    </row>
    <row r="20" ht="8.75" customHeight="1" hidden="1">
      <c r="A20" s="39"/>
      <c r="B20" s="40"/>
      <c r="C20" s="45"/>
      <c r="D20" s="46"/>
      <c r="E20" s="46"/>
      <c r="F20" s="46"/>
      <c r="G20" s="47"/>
      <c r="H20" s="47"/>
      <c r="I20" s="47"/>
      <c r="J20" s="47"/>
      <c r="K20" s="46"/>
      <c r="L20" s="47"/>
      <c r="M20" s="47"/>
      <c r="N20" s="52"/>
    </row>
    <row r="21" ht="8.75" customHeight="1" hidden="1">
      <c r="A21" s="39"/>
      <c r="B21" s="40"/>
      <c r="C21" s="41"/>
      <c r="D21" s="42"/>
      <c r="E21" s="42"/>
      <c r="F21" s="42"/>
      <c r="G21" s="43"/>
      <c r="H21" s="42"/>
      <c r="I21" s="42"/>
      <c r="J21" s="42"/>
      <c r="K21" s="42"/>
      <c r="L21" s="42"/>
      <c r="M21" s="42"/>
      <c r="N21" s="44"/>
    </row>
    <row r="22" ht="8.75" customHeight="1" hidden="1">
      <c r="A22" s="39"/>
      <c r="B22" s="40"/>
      <c r="C22" s="45"/>
      <c r="D22" s="46"/>
      <c r="E22" s="46"/>
      <c r="F22" s="46"/>
      <c r="G22" s="47"/>
      <c r="H22" s="46"/>
      <c r="I22" s="46"/>
      <c r="J22" s="46"/>
      <c r="K22" s="46"/>
      <c r="L22" s="46"/>
      <c r="M22" s="46"/>
      <c r="N22" s="48"/>
    </row>
    <row r="23" ht="8.75" customHeight="1" hidden="1">
      <c r="A23" s="51"/>
      <c r="B23" s="40"/>
      <c r="C23" s="41"/>
      <c r="D23" s="42"/>
      <c r="E23" s="42"/>
      <c r="F23" s="42"/>
      <c r="G23" s="43"/>
      <c r="H23" s="42"/>
      <c r="I23" s="42"/>
      <c r="J23" s="42"/>
      <c r="K23" s="42"/>
      <c r="L23" s="42"/>
      <c r="M23" s="42"/>
      <c r="N23" s="44"/>
    </row>
    <row r="24" ht="8.75" customHeight="1" hidden="1">
      <c r="A24" s="51"/>
      <c r="B24" s="40"/>
      <c r="C24" s="45"/>
      <c r="D24" s="46"/>
      <c r="E24" s="46"/>
      <c r="F24" s="46"/>
      <c r="G24" s="47"/>
      <c r="H24" s="46"/>
      <c r="I24" s="46"/>
      <c r="J24" s="46"/>
      <c r="K24" s="46"/>
      <c r="L24" s="46"/>
      <c r="M24" s="46"/>
      <c r="N24" s="48"/>
    </row>
    <row r="25" ht="8.75" customHeight="1" hidden="1">
      <c r="A25" s="39"/>
      <c r="B25" s="40"/>
      <c r="C25" s="41"/>
      <c r="D25" s="42"/>
      <c r="E25" s="42"/>
      <c r="F25" s="42"/>
      <c r="G25" s="43"/>
      <c r="H25" s="42"/>
      <c r="I25" s="42"/>
      <c r="J25" s="42"/>
      <c r="K25" s="42"/>
      <c r="L25" s="43"/>
      <c r="M25" s="43"/>
      <c r="N25" s="49"/>
    </row>
    <row r="26" ht="8.75" customHeight="1" hidden="1">
      <c r="A26" s="39"/>
      <c r="B26" s="40"/>
      <c r="C26" s="45"/>
      <c r="D26" s="46"/>
      <c r="E26" s="46"/>
      <c r="F26" s="46"/>
      <c r="G26" s="47"/>
      <c r="H26" s="46"/>
      <c r="I26" s="46"/>
      <c r="J26" s="46"/>
      <c r="K26" s="46"/>
      <c r="L26" s="46"/>
      <c r="M26" s="46"/>
      <c r="N26" s="48"/>
    </row>
    <row r="27" ht="8.75" customHeight="1" hidden="1">
      <c r="A27" s="39"/>
      <c r="B27" s="40"/>
      <c r="C27" s="41"/>
      <c r="D27" s="42"/>
      <c r="E27" s="42"/>
      <c r="F27" s="42"/>
      <c r="G27" s="43"/>
      <c r="H27" s="42"/>
      <c r="I27" s="42"/>
      <c r="J27" s="42"/>
      <c r="K27" s="42"/>
      <c r="L27" s="43"/>
      <c r="M27" s="43"/>
      <c r="N27" s="49"/>
    </row>
    <row r="28" ht="20.85" customHeight="1">
      <c r="A28" s="53"/>
      <c r="B28" s="54"/>
      <c r="C28" s="54"/>
      <c r="D28" s="55"/>
      <c r="E28" s="55"/>
      <c r="F28" s="55"/>
      <c r="G28" s="56"/>
      <c r="H28" s="56"/>
      <c r="I28" s="54"/>
      <c r="J28" s="57"/>
      <c r="K28" t="s" s="58">
        <v>38</v>
      </c>
      <c r="L28" s="59" cm="1">
        <f t="array" ref="L28">SUM(L1:L27)</f>
        <v>179881481.438</v>
      </c>
      <c r="M28" s="59" cm="1">
        <f t="array" ref="M28">SUM(M1:M27)</f>
        <v>179782704.07</v>
      </c>
      <c r="N28" s="59" cm="1">
        <f t="array" ref="N28">SUM(N1:N27)</f>
        <v>179782704.07</v>
      </c>
    </row>
    <row r="29" ht="21" customHeight="1">
      <c r="A29" s="60"/>
      <c r="B29" t="s" s="61">
        <v>39</v>
      </c>
      <c r="C29" s="62"/>
      <c r="D29" s="63" cm="1">
        <f t="array" ref="D29">ROUND(IF(L29&lt;=100000000,L29*0.24%,IF(AND(L29&gt;100000000,L29&lt;=500000000),100000000*0.24%+(L29-100000000)*0.19%,IF(AND(L29&gt;500000000,L29&lt;=1000000000),100000000*0.24%+400000000*0.19%+(L29-500000000)*0.15%,IF(AND(L29&gt;1000000000,L29&lt;=5000000000),100000000*0.24%+400000000*0.19%+500000000*0.15%+(L29-1000000000)*0.12%,IF(L29&gt;5000000000,100000000*0.24%+400000000*0.19%+500000000*0.15%+4000000000*0.12%+(L29-5000000000)*0.1%,"Bingung komputer"))))),2)</f>
        <v>391031.85</v>
      </c>
      <c r="E29" s="64" cm="1">
        <f t="array" ref="E29">ROUND(IF(M29&lt;=100000000,M29*0.24%,IF(AND(M29&gt;100000000,M29&lt;=500000000),100000000*0.24%+(M29-100000000)*0.19%,IF(AND(M29&gt;500000000,M29&lt;=1000000000),100000000*0.24%+400000000*0.19%+(M29-500000000)*0.15%,IF(AND(M29&gt;1000000000,M29&lt;=5000000000),100000000*0.24%+400000000*0.19%+500000000*0.15%+(M29-1000000000)*0.12%,IF(M29&gt;5000000000,100000000*0.24%+400000000*0.19%+500000000*0.15%+4000000000*0.12%+(M29-5000000000)*0.1%,"Bingung komputer"))))),2)</f>
        <v>390844.53</v>
      </c>
      <c r="F29" s="64" cm="1">
        <f t="array" ref="F29">ROUND(IF(N29&lt;=100000000,N29*0.24%,IF(AND(N29&gt;100000000,N29&lt;=500000000),100000000*0.24%+(N29-100000000)*0.19%,IF(AND(N29&gt;500000000,N29&lt;=1000000000),100000000*0.24%+400000000*0.19%+(N29-500000000)*0.15%,IF(AND(N29&gt;1000000000,N29&lt;=5000000000),100000000*0.24%+400000000*0.19%+500000000*0.15%+(N29-1000000000)*0.12%,IF(N29&gt;5000000000,100000000*0.24%+400000000*0.19%+500000000*0.15%+4000000000*0.12%+(N29-5000000000)*0.1%,"Bingung komputer"))))),2)</f>
        <v>390844.53</v>
      </c>
      <c r="G29" s="65"/>
      <c r="H29" s="66"/>
      <c r="I29" s="62"/>
      <c r="J29" s="67"/>
      <c r="K29" t="str" s="67" cm="1">
        <f t="array" ref="K29">"Jumlah Terkena Pajak "&amp;MAX(K3:K27)&amp;"% (B)"</f>
        <v>Jumlah Terkena Pajak 11,00% (B)</v>
      </c>
      <c r="L29" s="68" cm="1">
        <f t="array" ref="L29">SUMIF($K3:$K27,"&gt;0",L3:L27)</f>
        <v>179490449.598</v>
      </c>
      <c r="M29" s="69" cm="1">
        <f t="array" ref="M29">SUMIF($K3:$K27,"&gt;0",M3:M27)</f>
        <v>179391859.57</v>
      </c>
      <c r="N29" s="69" cm="1">
        <f t="array" ref="N29">SUMIF($K3:$K27,"&gt;0",N3:N27)</f>
        <v>179391859.57</v>
      </c>
    </row>
    <row r="30" ht="21" customHeight="1">
      <c r="A30" s="70"/>
      <c r="B30" s="71"/>
      <c r="C30" s="71"/>
      <c r="D30" s="72"/>
      <c r="E30" s="72"/>
      <c r="F30" s="71"/>
      <c r="G30" s="72"/>
      <c r="H30" s="72"/>
      <c r="I30" s="71"/>
      <c r="J30" s="73"/>
      <c r="K30" t="str" s="73" cm="1">
        <f t="array" ref="K30">"PPN (C) = "&amp;MAX(K3:K27)&amp;"% x B"</f>
        <v>PPN (C) = 11,00% x B</v>
      </c>
      <c r="L30" s="74" cm="1">
        <f t="array" ref="L30">L29*MAX($K3:$K27)%</f>
        <v>19743949.45578</v>
      </c>
      <c r="M30" s="69" cm="1">
        <f t="array" ref="M30">M29*MAX($K3:$K27)%</f>
        <v>19733104.5527</v>
      </c>
      <c r="N30" s="69" cm="1">
        <f t="array" ref="N30">N29*MAX($K3:$K27)%</f>
        <v>19733104.5527</v>
      </c>
    </row>
    <row r="31" ht="21" customHeight="1">
      <c r="A31" s="70"/>
      <c r="B31" s="71"/>
      <c r="C31" s="71"/>
      <c r="D31" s="72"/>
      <c r="E31" s="72"/>
      <c r="F31" s="72"/>
      <c r="G31" s="72"/>
      <c r="H31" s="72"/>
      <c r="I31" s="71"/>
      <c r="J31" s="73"/>
      <c r="K31" t="s" s="75">
        <v>42</v>
      </c>
      <c r="L31" s="76" cm="1">
        <f t="array" ref="L31">L28+L30</f>
        <v>199625430.89378</v>
      </c>
      <c r="M31" s="69" cm="1">
        <f t="array" ref="M31">M28+M30</f>
        <v>199515808.6227</v>
      </c>
      <c r="N31" s="69" cm="1">
        <f t="array" ref="N31">N28+N30</f>
        <v>199515808.6227</v>
      </c>
    </row>
    <row r="32" ht="20.5" customHeight="1">
      <c r="A32" s="70"/>
      <c r="B32" s="71"/>
      <c r="C32" s="71"/>
      <c r="D32" s="72"/>
      <c r="E32" s="72"/>
      <c r="F32" s="72"/>
      <c r="G32" s="72"/>
      <c r="H32" s="72"/>
      <c r="I32" s="71"/>
      <c r="J32" s="73"/>
      <c r="K32" t="s" s="75">
        <v>43</v>
      </c>
      <c r="L32" s="68" cm="1">
        <f t="array" ref="L32">ROUNDDOWN(L31,2)</f>
        <v>199625430.89</v>
      </c>
      <c r="M32" s="68" cm="1">
        <f t="array" ref="M32">ROUNDDOWN(M31,2)</f>
        <v>199515808.62</v>
      </c>
      <c r="N32" s="68" cm="1">
        <f t="array" ref="N32">ROUNDDOWN(N31,-3)</f>
        <v>199515000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53.xml><?xml version="1.0" encoding="utf-8"?>
<worksheet xmlns:r="http://schemas.openxmlformats.org/officeDocument/2006/relationships" xmlns="http://schemas.openxmlformats.org/spreadsheetml/2006/main">
  <sheetPr>
    <pageSetUpPr fitToPage="1"/>
  </sheetPr>
  <dimension ref="A1:N32"/>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167" customWidth="1"/>
    <col min="2" max="2" width="43.0312" style="167" customWidth="1"/>
    <col min="3" max="3" width="2.75" style="167" customWidth="1"/>
    <col min="4" max="6" width="10.3672" style="167" customWidth="1"/>
    <col min="7" max="7" width="11.6875" style="167" customWidth="1"/>
    <col min="8" max="11" width="13.5156" style="167" customWidth="1"/>
    <col min="12" max="14" width="14.2344" style="167" customWidth="1"/>
    <col min="15" max="16384" width="16.3516" style="167"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16</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t="s" s="18">
        <v>17</v>
      </c>
      <c r="B4" t="s" s="19">
        <v>18</v>
      </c>
      <c r="C4" s="20"/>
      <c r="D4" s="21">
        <v>1</v>
      </c>
      <c r="E4" s="21" cm="1">
        <f t="array" ref="E4">D4</f>
        <v>1</v>
      </c>
      <c r="F4" s="21" cm="1">
        <f t="array" ref="F4">D4</f>
        <v>1</v>
      </c>
      <c r="G4" t="s" s="22">
        <v>19</v>
      </c>
      <c r="H4" s="21">
        <v>19699500</v>
      </c>
      <c r="I4" s="21">
        <v>19652350</v>
      </c>
      <c r="J4" s="21">
        <v>19652350</v>
      </c>
      <c r="K4" s="21">
        <v>11</v>
      </c>
      <c r="L4" s="21" cm="1">
        <f t="array" ref="L4">IF(D4&gt;0,IF($D4&lt;=0,0,D4*H4),"")</f>
        <v>19699500</v>
      </c>
      <c r="M4" s="21" cm="1">
        <f t="array" ref="M4">IF(E4&gt;0,IF($D4&lt;=0,0,ROUND(E4*I4,2)),"")</f>
        <v>19652350</v>
      </c>
      <c r="N4" s="23" cm="1">
        <f t="array" ref="N4">IF(F4&gt;0,IF($D4&lt;=0,0,ROUND(F4*J4,2)),"")</f>
        <v>19652350</v>
      </c>
    </row>
    <row r="5" ht="20.5" customHeight="1">
      <c r="A5" t="s" s="18">
        <v>20</v>
      </c>
      <c r="B5" t="s" s="19">
        <v>21</v>
      </c>
      <c r="C5" s="24"/>
      <c r="D5" s="26">
        <v>1</v>
      </c>
      <c r="E5" s="26" cm="1">
        <f t="array" ref="E5">D5</f>
        <v>1</v>
      </c>
      <c r="F5" s="26" cm="1">
        <f t="array" ref="F5">D5</f>
        <v>1</v>
      </c>
      <c r="G5" t="s" s="27">
        <v>19</v>
      </c>
      <c r="H5" s="26">
        <v>660000</v>
      </c>
      <c r="I5" s="26">
        <v>640000</v>
      </c>
      <c r="J5" s="26">
        <v>640000</v>
      </c>
      <c r="K5" s="26">
        <v>11</v>
      </c>
      <c r="L5" s="26" cm="1">
        <f t="array" ref="L5">IF(D5&gt;0,IF($D5&lt;=0,0,D5*H5),"")</f>
        <v>660000</v>
      </c>
      <c r="M5" s="26" cm="1">
        <f t="array" ref="M5">IF(E5&gt;0,IF($D5&lt;=0,0,ROUND(E5*I5,2)),"")</f>
        <v>640000</v>
      </c>
      <c r="N5" s="28" cm="1">
        <f t="array" ref="N5">IF(F5&gt;0,IF($D5&lt;=0,0,ROUND(F5*J5,2)),"")</f>
        <v>640000</v>
      </c>
    </row>
    <row r="6" ht="20.5" customHeight="1">
      <c r="A6" t="s" s="18">
        <v>22</v>
      </c>
      <c r="B6" t="s" s="19">
        <v>23</v>
      </c>
      <c r="C6" s="20"/>
      <c r="D6" s="21">
        <v>1</v>
      </c>
      <c r="E6" s="21" cm="1">
        <f t="array" ref="E6">D6</f>
        <v>1</v>
      </c>
      <c r="F6" s="21" cm="1">
        <f t="array" ref="F6">D6</f>
        <v>1</v>
      </c>
      <c r="G6" t="s" s="22">
        <v>19</v>
      </c>
      <c r="H6" s="21">
        <v>4462000</v>
      </c>
      <c r="I6" s="21">
        <v>4435000</v>
      </c>
      <c r="J6" s="21">
        <v>4435000</v>
      </c>
      <c r="K6" s="21">
        <v>11</v>
      </c>
      <c r="L6" s="21" cm="1">
        <f t="array" ref="L6">IF(D6&gt;0,IF($D6&lt;=0,0,D6*H6),"")</f>
        <v>4462000</v>
      </c>
      <c r="M6" s="21" cm="1">
        <f t="array" ref="M6">IF(E6&gt;0,IF($D6&lt;=0,0,ROUND(E6*I6,2)),"")</f>
        <v>4435000</v>
      </c>
      <c r="N6" s="23" cm="1">
        <f t="array" ref="N6">IF(F6&gt;0,IF($D6&lt;=0,0,ROUND(F6*J6,2)),"")</f>
        <v>4435000</v>
      </c>
    </row>
    <row r="7" ht="20.5" customHeight="1">
      <c r="A7" s="29"/>
      <c r="B7" t="s" s="19">
        <v>28</v>
      </c>
      <c r="C7" s="24"/>
      <c r="D7" s="30"/>
      <c r="E7" s="26"/>
      <c r="F7" s="26"/>
      <c r="G7" s="30"/>
      <c r="H7" s="26"/>
      <c r="I7" s="30"/>
      <c r="J7" s="30"/>
      <c r="K7" s="26"/>
      <c r="L7" t="str" s="30" cm="1">
        <f t="array" ref="L7">IF(D7&gt;0,IF($D7&lt;=0,0,D7*H7),"")</f>
      </c>
      <c r="M7" t="str" s="30" cm="1">
        <f t="array" ref="M7">IF(E7&gt;0,IF($D7&lt;=0,0,ROUND(E7*I7,2)),"")</f>
      </c>
      <c r="N7" t="str" s="31" cm="1">
        <f t="array" ref="N7">IF(F7&gt;0,IF($D7&lt;=0,0,ROUND(F7*J7,2)),"")</f>
      </c>
    </row>
    <row r="8" ht="20.5" customHeight="1">
      <c r="A8" t="s" s="18">
        <v>31</v>
      </c>
      <c r="B8" t="s" s="19">
        <v>32</v>
      </c>
      <c r="C8" s="20"/>
      <c r="D8" s="78">
        <v>372</v>
      </c>
      <c r="E8" s="21" cm="1">
        <f t="array" ref="E8">D8</f>
        <v>372</v>
      </c>
      <c r="F8" s="21" cm="1">
        <f t="array" ref="F8">D8</f>
        <v>372</v>
      </c>
      <c r="G8" t="s" s="22">
        <v>27</v>
      </c>
      <c r="H8" s="21">
        <v>274539.81</v>
      </c>
      <c r="I8" s="32">
        <v>274526.34</v>
      </c>
      <c r="J8" s="32">
        <v>274526.34</v>
      </c>
      <c r="K8" s="21">
        <v>11</v>
      </c>
      <c r="L8" s="21" cm="1">
        <f t="array" ref="L8">IF(D8&gt;0,IF($D8&lt;=0,0,D8*H8),"")</f>
        <v>102128809.32</v>
      </c>
      <c r="M8" s="21" cm="1">
        <f t="array" ref="M8">IF(E8&gt;0,IF($D8&lt;=0,0,ROUND(E8*I8,2)),"")</f>
        <v>102123798.48</v>
      </c>
      <c r="N8" s="23" cm="1">
        <f t="array" ref="N8">IF(F8&gt;0,IF($D8&lt;=0,0,ROUND(F8*J8,2)),"")</f>
        <v>102123798.48</v>
      </c>
    </row>
    <row r="9" ht="20.5" customHeight="1">
      <c r="A9" t="s" s="18">
        <v>33</v>
      </c>
      <c r="B9" t="s" s="19">
        <v>34</v>
      </c>
      <c r="C9" s="24"/>
      <c r="D9" s="26">
        <v>2600</v>
      </c>
      <c r="E9" s="26" cm="1">
        <f t="array" ref="E9">D9</f>
        <v>2600</v>
      </c>
      <c r="F9" s="26" cm="1">
        <f t="array" ref="F9">D9</f>
        <v>2600</v>
      </c>
      <c r="G9" t="s" s="27">
        <v>35</v>
      </c>
      <c r="H9" s="26">
        <v>2996.59</v>
      </c>
      <c r="I9" s="122">
        <v>2996.48</v>
      </c>
      <c r="J9" s="122">
        <v>2996.48</v>
      </c>
      <c r="K9" s="26">
        <v>11</v>
      </c>
      <c r="L9" s="26" cm="1">
        <f t="array" ref="L9">IF(D9&gt;0,IF($D9&lt;=0,0,D9*H9),"")</f>
        <v>7791134</v>
      </c>
      <c r="M9" s="26" cm="1">
        <f t="array" ref="M9">IF(E9&gt;0,IF($D9&lt;=0,0,ROUND(E9*I9,2)),"")</f>
        <v>7790848</v>
      </c>
      <c r="N9" s="28" cm="1">
        <f t="array" ref="N9">IF(F9&gt;0,IF($D9&lt;=0,0,ROUND(F9*J9,2)),"")</f>
        <v>7790848</v>
      </c>
    </row>
    <row r="10" ht="20.5" customHeight="1">
      <c r="A10" s="29"/>
      <c r="B10" t="s" s="19">
        <v>36</v>
      </c>
      <c r="C10" s="20"/>
      <c r="D10" s="21"/>
      <c r="E10" s="21"/>
      <c r="F10" s="21"/>
      <c r="G10" s="79"/>
      <c r="H10" s="79"/>
      <c r="I10" s="79"/>
      <c r="J10" s="79"/>
      <c r="K10" s="21"/>
      <c r="L10" t="str" s="79" cm="1">
        <f t="array" ref="L10">IF(D10&gt;0,IF($D10&lt;=0,0,D10*H11),"")</f>
      </c>
      <c r="M10" s="21"/>
      <c r="N10" s="23"/>
    </row>
    <row r="11" ht="20.6" customHeight="1">
      <c r="A11" s="33">
        <v>1</v>
      </c>
      <c r="B11" t="s" s="34">
        <v>37</v>
      </c>
      <c r="C11" s="80"/>
      <c r="D11" s="81">
        <v>1</v>
      </c>
      <c r="E11" s="81" cm="1">
        <f t="array" ref="E11">D11</f>
        <v>1</v>
      </c>
      <c r="F11" s="81" cm="1">
        <f t="array" ref="F11">D11</f>
        <v>1</v>
      </c>
      <c r="G11" t="s" s="82">
        <v>19</v>
      </c>
      <c r="H11" s="138">
        <v>306008.73</v>
      </c>
      <c r="I11" s="138">
        <v>305819.77</v>
      </c>
      <c r="J11" s="138">
        <v>305819.77</v>
      </c>
      <c r="K11" s="81">
        <v>0</v>
      </c>
      <c r="L11" s="81" cm="1">
        <f t="array" ref="L11">IF(D11&gt;0,IF($D11&lt;=0,0,D11*H11),"")</f>
        <v>306008.73</v>
      </c>
      <c r="M11" s="81" cm="1">
        <f t="array" ref="M11">IF(E11&gt;0,IF($D11&lt;=0,0,ROUND(E11*I11,2)),"")</f>
        <v>305819.77</v>
      </c>
      <c r="N11" s="83" cm="1">
        <f t="array" ref="N11">IF(F11&gt;0,IF($D11&lt;=0,0,ROUND(F11*J11,2)),"")</f>
        <v>305819.77</v>
      </c>
    </row>
    <row r="12" ht="8.75" customHeight="1" hidden="1">
      <c r="A12" s="39"/>
      <c r="B12" s="40"/>
      <c r="C12" s="45"/>
      <c r="D12" s="46"/>
      <c r="E12" s="46"/>
      <c r="F12" s="46"/>
      <c r="G12" s="47"/>
      <c r="H12" s="46"/>
      <c r="I12" s="46"/>
      <c r="J12" s="46"/>
      <c r="K12" s="46"/>
      <c r="L12" s="46"/>
      <c r="M12" s="46"/>
      <c r="N12" s="48"/>
    </row>
    <row r="13" ht="8.75" customHeight="1" hidden="1">
      <c r="A13" s="39"/>
      <c r="B13" s="40"/>
      <c r="C13" s="41"/>
      <c r="D13" s="42"/>
      <c r="E13" s="42"/>
      <c r="F13" s="42"/>
      <c r="G13" s="43"/>
      <c r="H13" s="42"/>
      <c r="I13" s="42"/>
      <c r="J13" s="42"/>
      <c r="K13" s="42"/>
      <c r="L13" s="42"/>
      <c r="M13" s="42"/>
      <c r="N13" s="44"/>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2"/>
      <c r="I15" s="42"/>
      <c r="J15" s="42"/>
      <c r="K15" s="42"/>
      <c r="L15" s="42"/>
      <c r="M15" s="42"/>
      <c r="N15" s="44"/>
    </row>
    <row r="16" ht="8.75" customHeight="1" hidden="1">
      <c r="A16" s="39"/>
      <c r="B16" s="40"/>
      <c r="C16" s="45"/>
      <c r="D16" s="46"/>
      <c r="E16" s="46"/>
      <c r="F16" s="46"/>
      <c r="G16" s="47"/>
      <c r="H16" s="46"/>
      <c r="I16" s="46"/>
      <c r="J16" s="46"/>
      <c r="K16" s="46"/>
      <c r="L16" s="46"/>
      <c r="M16" s="46"/>
      <c r="N16" s="48"/>
    </row>
    <row r="17" ht="8.75" customHeight="1" hidden="1">
      <c r="A17" s="39"/>
      <c r="B17" s="40"/>
      <c r="C17" s="41"/>
      <c r="D17" s="42"/>
      <c r="E17" s="42"/>
      <c r="F17" s="42"/>
      <c r="G17" s="43"/>
      <c r="H17" s="42"/>
      <c r="I17" s="42"/>
      <c r="J17" s="42"/>
      <c r="K17" s="42"/>
      <c r="L17" s="42"/>
      <c r="M17" s="42"/>
      <c r="N17" s="44"/>
    </row>
    <row r="18" ht="8.75" customHeight="1" hidden="1">
      <c r="A18" s="39"/>
      <c r="B18" s="40"/>
      <c r="C18" s="45"/>
      <c r="D18" s="46"/>
      <c r="E18" s="46"/>
      <c r="F18" s="46"/>
      <c r="G18" s="47"/>
      <c r="H18" s="47"/>
      <c r="I18" s="47"/>
      <c r="J18" s="47"/>
      <c r="K18" s="46"/>
      <c r="L18" s="47"/>
      <c r="M18" s="47"/>
      <c r="N18" s="52"/>
    </row>
    <row r="19" ht="8.75" customHeight="1" hidden="1">
      <c r="A19" s="39"/>
      <c r="B19" s="40"/>
      <c r="C19" s="41"/>
      <c r="D19" s="42"/>
      <c r="E19" s="42"/>
      <c r="F19" s="42"/>
      <c r="G19" s="43"/>
      <c r="H19" s="84"/>
      <c r="I19" s="84"/>
      <c r="J19" s="84"/>
      <c r="K19" s="42"/>
      <c r="L19" s="42"/>
      <c r="M19" s="42"/>
      <c r="N19" s="44"/>
    </row>
    <row r="20" ht="8.75" customHeight="1" hidden="1">
      <c r="A20" s="39"/>
      <c r="B20" s="40"/>
      <c r="C20" s="45"/>
      <c r="D20" s="46"/>
      <c r="E20" s="46"/>
      <c r="F20" s="46"/>
      <c r="G20" s="47"/>
      <c r="H20" s="47"/>
      <c r="I20" s="47"/>
      <c r="J20" s="47"/>
      <c r="K20" s="46"/>
      <c r="L20" s="47"/>
      <c r="M20" s="47"/>
      <c r="N20" s="52"/>
    </row>
    <row r="21" ht="8.75" customHeight="1" hidden="1">
      <c r="A21" s="39"/>
      <c r="B21" s="40"/>
      <c r="C21" s="41"/>
      <c r="D21" s="42"/>
      <c r="E21" s="42"/>
      <c r="F21" s="42"/>
      <c r="G21" s="43"/>
      <c r="H21" s="42"/>
      <c r="I21" s="42"/>
      <c r="J21" s="42"/>
      <c r="K21" s="42"/>
      <c r="L21" s="42"/>
      <c r="M21" s="42"/>
      <c r="N21" s="44"/>
    </row>
    <row r="22" ht="8.75" customHeight="1" hidden="1">
      <c r="A22" s="39"/>
      <c r="B22" s="40"/>
      <c r="C22" s="45"/>
      <c r="D22" s="46"/>
      <c r="E22" s="46"/>
      <c r="F22" s="46"/>
      <c r="G22" s="47"/>
      <c r="H22" s="46"/>
      <c r="I22" s="46"/>
      <c r="J22" s="46"/>
      <c r="K22" s="46"/>
      <c r="L22" s="46"/>
      <c r="M22" s="46"/>
      <c r="N22" s="48"/>
    </row>
    <row r="23" ht="8.75" customHeight="1" hidden="1">
      <c r="A23" s="51"/>
      <c r="B23" s="40"/>
      <c r="C23" s="41"/>
      <c r="D23" s="42"/>
      <c r="E23" s="42"/>
      <c r="F23" s="42"/>
      <c r="G23" s="43"/>
      <c r="H23" s="42"/>
      <c r="I23" s="42"/>
      <c r="J23" s="42"/>
      <c r="K23" s="42"/>
      <c r="L23" s="42"/>
      <c r="M23" s="42"/>
      <c r="N23" s="44"/>
    </row>
    <row r="24" ht="8.75" customHeight="1" hidden="1">
      <c r="A24" s="51"/>
      <c r="B24" s="40"/>
      <c r="C24" s="45"/>
      <c r="D24" s="46"/>
      <c r="E24" s="46"/>
      <c r="F24" s="46"/>
      <c r="G24" s="47"/>
      <c r="H24" s="46"/>
      <c r="I24" s="46"/>
      <c r="J24" s="46"/>
      <c r="K24" s="46"/>
      <c r="L24" s="46"/>
      <c r="M24" s="46"/>
      <c r="N24" s="48"/>
    </row>
    <row r="25" ht="8.75" customHeight="1" hidden="1">
      <c r="A25" s="39"/>
      <c r="B25" s="40"/>
      <c r="C25" s="41"/>
      <c r="D25" s="42"/>
      <c r="E25" s="42"/>
      <c r="F25" s="42"/>
      <c r="G25" s="43"/>
      <c r="H25" s="42"/>
      <c r="I25" s="42"/>
      <c r="J25" s="42"/>
      <c r="K25" s="42"/>
      <c r="L25" s="43"/>
      <c r="M25" s="43"/>
      <c r="N25" s="49"/>
    </row>
    <row r="26" ht="8.75" customHeight="1" hidden="1">
      <c r="A26" s="39"/>
      <c r="B26" s="40"/>
      <c r="C26" s="45"/>
      <c r="D26" s="46"/>
      <c r="E26" s="46"/>
      <c r="F26" s="46"/>
      <c r="G26" s="47"/>
      <c r="H26" s="46"/>
      <c r="I26" s="46"/>
      <c r="J26" s="46"/>
      <c r="K26" s="46"/>
      <c r="L26" s="46"/>
      <c r="M26" s="46"/>
      <c r="N26" s="48"/>
    </row>
    <row r="27" ht="8.75" customHeight="1" hidden="1">
      <c r="A27" s="39"/>
      <c r="B27" s="40"/>
      <c r="C27" s="41"/>
      <c r="D27" s="42"/>
      <c r="E27" s="42"/>
      <c r="F27" s="42"/>
      <c r="G27" s="43"/>
      <c r="H27" s="42"/>
      <c r="I27" s="42"/>
      <c r="J27" s="42"/>
      <c r="K27" s="42"/>
      <c r="L27" s="43"/>
      <c r="M27" s="43"/>
      <c r="N27" s="49"/>
    </row>
    <row r="28" ht="20.85" customHeight="1">
      <c r="A28" s="53"/>
      <c r="B28" s="54"/>
      <c r="C28" s="54"/>
      <c r="D28" s="55"/>
      <c r="E28" s="55"/>
      <c r="F28" s="55"/>
      <c r="G28" s="56"/>
      <c r="H28" s="56"/>
      <c r="I28" s="54"/>
      <c r="J28" s="57"/>
      <c r="K28" t="s" s="58">
        <v>38</v>
      </c>
      <c r="L28" s="59" cm="1">
        <f t="array" ref="L28">SUM(L1:L27)</f>
        <v>135047452.05</v>
      </c>
      <c r="M28" s="59" cm="1">
        <f t="array" ref="M28">SUM(M1:M27)</f>
        <v>134947816.25</v>
      </c>
      <c r="N28" s="59" cm="1">
        <f t="array" ref="N28">SUM(N1:N27)</f>
        <v>134947816.25</v>
      </c>
    </row>
    <row r="29" ht="21" customHeight="1">
      <c r="A29" s="60"/>
      <c r="B29" t="s" s="61">
        <v>39</v>
      </c>
      <c r="C29" s="62"/>
      <c r="D29" s="63" cm="1">
        <f t="array" ref="D29">ROUND(IF(L29&lt;=100000000,L29*0.24%,IF(AND(L29&gt;100000000,L29&lt;=500000000),100000000*0.24%+(L29-100000000)*0.19%,IF(AND(L29&gt;500000000,L29&lt;=1000000000),100000000*0.24%+400000000*0.19%+(L29-500000000)*0.15%,IF(AND(L29&gt;1000000000,L29&lt;=5000000000),100000000*0.24%+400000000*0.19%+500000000*0.15%+(L29-1000000000)*0.12%,IF(L29&gt;5000000000,100000000*0.24%+400000000*0.19%+500000000*0.15%+4000000000*0.12%+(L29-5000000000)*0.1%,"Bingung komputer"))))),2)</f>
        <v>306008.74</v>
      </c>
      <c r="E29" s="64" cm="1">
        <f t="array" ref="E29">ROUND(IF(M29&lt;=100000000,M29*0.24%,IF(AND(M29&gt;100000000,M29&lt;=500000000),100000000*0.24%+(M29-100000000)*0.19%,IF(AND(M29&gt;500000000,M29&lt;=1000000000),100000000*0.24%+400000000*0.19%+(M29-500000000)*0.15%,IF(AND(M29&gt;1000000000,M29&lt;=5000000000),100000000*0.24%+400000000*0.19%+500000000*0.15%+(M29-1000000000)*0.12%,IF(M29&gt;5000000000,100000000*0.24%+400000000*0.19%+500000000*0.15%+4000000000*0.12%+(M29-5000000000)*0.1%,"Bingung komputer"))))),2)</f>
        <v>305819.79</v>
      </c>
      <c r="F29" s="64" cm="1">
        <f t="array" ref="F29">ROUND(IF(N29&lt;=100000000,N29*0.24%,IF(AND(N29&gt;100000000,N29&lt;=500000000),100000000*0.24%+(N29-100000000)*0.19%,IF(AND(N29&gt;500000000,N29&lt;=1000000000),100000000*0.24%+400000000*0.19%+(N29-500000000)*0.15%,IF(AND(N29&gt;1000000000,N29&lt;=5000000000),100000000*0.24%+400000000*0.19%+500000000*0.15%+(N29-1000000000)*0.12%,IF(N29&gt;5000000000,100000000*0.24%+400000000*0.19%+500000000*0.15%+4000000000*0.12%+(N29-5000000000)*0.1%,"Bingung komputer"))))),2)</f>
        <v>305819.79</v>
      </c>
      <c r="G29" s="65"/>
      <c r="H29" s="66"/>
      <c r="I29" s="62"/>
      <c r="J29" s="67"/>
      <c r="K29" t="str" s="67" cm="1">
        <f t="array" ref="K29">"Jumlah Terkena Pajak "&amp;MAX(K3:K27)&amp;"% (B)"</f>
        <v>Jumlah Terkena Pajak 11,00% (B)</v>
      </c>
      <c r="L29" s="68" cm="1">
        <f t="array" ref="L29">SUMIF($K3:$K27,"&gt;0",L3:L27)</f>
        <v>134741443.32</v>
      </c>
      <c r="M29" s="69" cm="1">
        <f t="array" ref="M29">SUMIF($K3:$K27,"&gt;0",M3:M27)</f>
        <v>134641996.48</v>
      </c>
      <c r="N29" s="69" cm="1">
        <f t="array" ref="N29">SUMIF($K3:$K27,"&gt;0",N3:N27)</f>
        <v>134641996.48</v>
      </c>
    </row>
    <row r="30" ht="21" customHeight="1">
      <c r="A30" s="70"/>
      <c r="B30" s="71"/>
      <c r="C30" s="71"/>
      <c r="D30" s="72"/>
      <c r="E30" s="72"/>
      <c r="F30" s="71"/>
      <c r="G30" s="72"/>
      <c r="H30" s="72"/>
      <c r="I30" s="71"/>
      <c r="J30" s="73"/>
      <c r="K30" t="str" s="73" cm="1">
        <f t="array" ref="K30">"PPN (C) = "&amp;MAX(K3:K27)&amp;"% x B"</f>
        <v>PPN (C) = 11,00% x B</v>
      </c>
      <c r="L30" s="74" cm="1">
        <f t="array" ref="L30">L29*MAX($K3:$K27)%</f>
        <v>14821558.7652</v>
      </c>
      <c r="M30" s="69" cm="1">
        <f t="array" ref="M30">M29*MAX($K3:$K27)%</f>
        <v>14810619.6128</v>
      </c>
      <c r="N30" s="69" cm="1">
        <f t="array" ref="N30">N29*MAX($K3:$K27)%</f>
        <v>14810619.6128</v>
      </c>
    </row>
    <row r="31" ht="21" customHeight="1">
      <c r="A31" s="70"/>
      <c r="B31" s="71"/>
      <c r="C31" s="71"/>
      <c r="D31" s="72"/>
      <c r="E31" s="72"/>
      <c r="F31" s="72"/>
      <c r="G31" s="72"/>
      <c r="H31" s="72"/>
      <c r="I31" s="71"/>
      <c r="J31" s="73"/>
      <c r="K31" t="s" s="75">
        <v>42</v>
      </c>
      <c r="L31" s="76" cm="1">
        <f t="array" ref="L31">L28+L30</f>
        <v>149869010.8152</v>
      </c>
      <c r="M31" s="69" cm="1">
        <f t="array" ref="M31">M28+M30</f>
        <v>149758435.8628</v>
      </c>
      <c r="N31" s="69" cm="1">
        <f t="array" ref="N31">N28+N30</f>
        <v>149758435.8628</v>
      </c>
    </row>
    <row r="32" ht="20.5" customHeight="1">
      <c r="A32" s="70"/>
      <c r="B32" s="71"/>
      <c r="C32" s="71"/>
      <c r="D32" s="72"/>
      <c r="E32" s="72"/>
      <c r="F32" s="72"/>
      <c r="G32" s="72"/>
      <c r="H32" s="72"/>
      <c r="I32" s="71"/>
      <c r="J32" s="73"/>
      <c r="K32" t="s" s="75">
        <v>43</v>
      </c>
      <c r="L32" s="68" cm="1">
        <f t="array" ref="L32">ROUNDDOWN(L31,2)</f>
        <v>149869010.81</v>
      </c>
      <c r="M32" s="68" cm="1">
        <f t="array" ref="M32">ROUNDDOWN(M31,2)</f>
        <v>149758435.86</v>
      </c>
      <c r="N32" s="68" cm="1">
        <f t="array" ref="N32">ROUNDDOWN(N31,-3)</f>
        <v>149758000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54.xml><?xml version="1.0" encoding="utf-8"?>
<worksheet xmlns:r="http://schemas.openxmlformats.org/officeDocument/2006/relationships" xmlns="http://schemas.openxmlformats.org/spreadsheetml/2006/main">
  <sheetPr>
    <pageSetUpPr fitToPage="1"/>
  </sheetPr>
  <dimension ref="A1:N32"/>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168" customWidth="1"/>
    <col min="2" max="2" width="43.0312" style="168" customWidth="1"/>
    <col min="3" max="3" width="2.75" style="168" customWidth="1"/>
    <col min="4" max="6" width="10.3672" style="168" customWidth="1"/>
    <col min="7" max="7" width="11.6875" style="168" customWidth="1"/>
    <col min="8" max="11" width="13.5156" style="168" customWidth="1"/>
    <col min="12" max="14" width="14.2344" style="168" customWidth="1"/>
    <col min="15" max="16384" width="16.3516" style="168"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16</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t="s" s="18">
        <v>17</v>
      </c>
      <c r="B4" t="s" s="19">
        <v>18</v>
      </c>
      <c r="C4" s="20"/>
      <c r="D4" s="21">
        <v>1</v>
      </c>
      <c r="E4" s="21" cm="1">
        <f t="array" ref="E4">D4</f>
        <v>1</v>
      </c>
      <c r="F4" s="21" cm="1">
        <f t="array" ref="F4">D4</f>
        <v>1</v>
      </c>
      <c r="G4" t="s" s="22">
        <v>19</v>
      </c>
      <c r="H4" s="21">
        <v>19699500</v>
      </c>
      <c r="I4" s="21">
        <v>19652350</v>
      </c>
      <c r="J4" s="21">
        <v>19652350</v>
      </c>
      <c r="K4" s="21">
        <v>11</v>
      </c>
      <c r="L4" s="21" cm="1">
        <f t="array" ref="L4">IF(D4&gt;0,IF($D4&lt;=0,0,D4*H4),"")</f>
        <v>19699500</v>
      </c>
      <c r="M4" s="21" cm="1">
        <f t="array" ref="M4">IF(E4&gt;0,IF($D4&lt;=0,0,ROUND(E4*I4,2)),"")</f>
        <v>19652350</v>
      </c>
      <c r="N4" s="23" cm="1">
        <f t="array" ref="N4">IF(F4&gt;0,IF($D4&lt;=0,0,ROUND(F4*J4,2)),"")</f>
        <v>19652350</v>
      </c>
    </row>
    <row r="5" ht="20.5" customHeight="1">
      <c r="A5" t="s" s="18">
        <v>20</v>
      </c>
      <c r="B5" t="s" s="19">
        <v>21</v>
      </c>
      <c r="C5" s="24"/>
      <c r="D5" s="26">
        <v>1</v>
      </c>
      <c r="E5" s="26" cm="1">
        <f t="array" ref="E5">D5</f>
        <v>1</v>
      </c>
      <c r="F5" s="26" cm="1">
        <f t="array" ref="F5">D5</f>
        <v>1</v>
      </c>
      <c r="G5" t="s" s="27">
        <v>19</v>
      </c>
      <c r="H5" s="26">
        <v>660000</v>
      </c>
      <c r="I5" s="26">
        <v>640000</v>
      </c>
      <c r="J5" s="26">
        <v>640000</v>
      </c>
      <c r="K5" s="26">
        <v>11</v>
      </c>
      <c r="L5" s="26" cm="1">
        <f t="array" ref="L5">IF(D5&gt;0,IF($D5&lt;=0,0,D5*H5),"")</f>
        <v>660000</v>
      </c>
      <c r="M5" s="26" cm="1">
        <f t="array" ref="M5">IF(E5&gt;0,IF($D5&lt;=0,0,ROUND(E5*I5,2)),"")</f>
        <v>640000</v>
      </c>
      <c r="N5" s="28" cm="1">
        <f t="array" ref="N5">IF(F5&gt;0,IF($D5&lt;=0,0,ROUND(F5*J5,2)),"")</f>
        <v>640000</v>
      </c>
    </row>
    <row r="6" ht="20.5" customHeight="1">
      <c r="A6" t="s" s="18">
        <v>22</v>
      </c>
      <c r="B6" t="s" s="19">
        <v>23</v>
      </c>
      <c r="C6" s="20"/>
      <c r="D6" s="21">
        <v>1</v>
      </c>
      <c r="E6" s="21" cm="1">
        <f t="array" ref="E6">D6</f>
        <v>1</v>
      </c>
      <c r="F6" s="21" cm="1">
        <f t="array" ref="F6">D6</f>
        <v>1</v>
      </c>
      <c r="G6" t="s" s="22">
        <v>19</v>
      </c>
      <c r="H6" s="21">
        <v>4462000</v>
      </c>
      <c r="I6" s="21">
        <v>4435000</v>
      </c>
      <c r="J6" s="21">
        <v>4435000</v>
      </c>
      <c r="K6" s="21">
        <v>11</v>
      </c>
      <c r="L6" s="21" cm="1">
        <f t="array" ref="L6">IF(D6&gt;0,IF($D6&lt;=0,0,D6*H6),"")</f>
        <v>4462000</v>
      </c>
      <c r="M6" s="21" cm="1">
        <f t="array" ref="M6">IF(E6&gt;0,IF($D6&lt;=0,0,ROUND(E6*I6,2)),"")</f>
        <v>4435000</v>
      </c>
      <c r="N6" s="23" cm="1">
        <f t="array" ref="N6">IF(F6&gt;0,IF($D6&lt;=0,0,ROUND(F6*J6,2)),"")</f>
        <v>4435000</v>
      </c>
    </row>
    <row r="7" ht="20.5" customHeight="1">
      <c r="A7" s="29"/>
      <c r="B7" t="s" s="19">
        <v>28</v>
      </c>
      <c r="C7" s="24"/>
      <c r="D7" s="30"/>
      <c r="E7" s="26"/>
      <c r="F7" s="26"/>
      <c r="G7" s="30"/>
      <c r="H7" s="26"/>
      <c r="I7" s="30"/>
      <c r="J7" s="30"/>
      <c r="K7" s="26"/>
      <c r="L7" t="str" s="30" cm="1">
        <f t="array" ref="L7">IF(D7&gt;0,IF($D7&lt;=0,0,D7*H7),"")</f>
      </c>
      <c r="M7" t="str" s="30" cm="1">
        <f t="array" ref="M7">IF(E7&gt;0,IF($D7&lt;=0,0,ROUND(E7*I7,2)),"")</f>
      </c>
      <c r="N7" t="str" s="31" cm="1">
        <f t="array" ref="N7">IF(F7&gt;0,IF($D7&lt;=0,0,ROUND(F7*J7,2)),"")</f>
      </c>
    </row>
    <row r="8" ht="20.5" customHeight="1">
      <c r="A8" t="s" s="18">
        <v>31</v>
      </c>
      <c r="B8" t="s" s="19">
        <v>32</v>
      </c>
      <c r="C8" s="20"/>
      <c r="D8" s="78">
        <v>540</v>
      </c>
      <c r="E8" s="21" cm="1">
        <f t="array" ref="E8">D8</f>
        <v>540</v>
      </c>
      <c r="F8" s="21" cm="1">
        <f t="array" ref="F8">D8</f>
        <v>540</v>
      </c>
      <c r="G8" t="s" s="22">
        <v>27</v>
      </c>
      <c r="H8" s="21">
        <v>274539.81</v>
      </c>
      <c r="I8" s="32">
        <v>274526.34</v>
      </c>
      <c r="J8" s="32">
        <v>274526.34</v>
      </c>
      <c r="K8" s="21">
        <v>11</v>
      </c>
      <c r="L8" s="21" cm="1">
        <f t="array" ref="L8">IF(D8&gt;0,IF($D8&lt;=0,0,D8*H8),"")</f>
        <v>148251497.4</v>
      </c>
      <c r="M8" s="21" cm="1">
        <f t="array" ref="M8">IF(E8&gt;0,IF($D8&lt;=0,0,ROUND(E8*I8,2)),"")</f>
        <v>148244223.6</v>
      </c>
      <c r="N8" s="23" cm="1">
        <f t="array" ref="N8">IF(F8&gt;0,IF($D8&lt;=0,0,ROUND(F8*J8,2)),"")</f>
        <v>148244223.6</v>
      </c>
    </row>
    <row r="9" ht="20.5" customHeight="1">
      <c r="A9" t="s" s="18">
        <v>33</v>
      </c>
      <c r="B9" t="s" s="19">
        <v>34</v>
      </c>
      <c r="C9" s="24"/>
      <c r="D9" s="26">
        <v>2250</v>
      </c>
      <c r="E9" s="26" cm="1">
        <f t="array" ref="E9">D9</f>
        <v>2250</v>
      </c>
      <c r="F9" s="26" cm="1">
        <f t="array" ref="F9">D9</f>
        <v>2250</v>
      </c>
      <c r="G9" t="s" s="27">
        <v>35</v>
      </c>
      <c r="H9" s="26">
        <v>2996.59</v>
      </c>
      <c r="I9" s="122">
        <v>2996.48</v>
      </c>
      <c r="J9" s="122">
        <v>2996.48</v>
      </c>
      <c r="K9" s="26">
        <v>11</v>
      </c>
      <c r="L9" s="26" cm="1">
        <f t="array" ref="L9">IF(D9&gt;0,IF($D9&lt;=0,0,D9*H9),"")</f>
        <v>6742327.5</v>
      </c>
      <c r="M9" s="26" cm="1">
        <f t="array" ref="M9">IF(E9&gt;0,IF($D9&lt;=0,0,ROUND(E9*I9,2)),"")</f>
        <v>6742080</v>
      </c>
      <c r="N9" s="28" cm="1">
        <f t="array" ref="N9">IF(F9&gt;0,IF($D9&lt;=0,0,ROUND(F9*J9,2)),"")</f>
        <v>6742080</v>
      </c>
    </row>
    <row r="10" ht="20.5" customHeight="1">
      <c r="A10" s="29"/>
      <c r="B10" t="s" s="19">
        <v>36</v>
      </c>
      <c r="C10" s="20"/>
      <c r="D10" s="21"/>
      <c r="E10" s="21"/>
      <c r="F10" s="21"/>
      <c r="G10" s="79"/>
      <c r="H10" s="79"/>
      <c r="I10" s="79"/>
      <c r="J10" s="79"/>
      <c r="K10" s="21"/>
      <c r="L10" t="str" s="79" cm="1">
        <f t="array" ref="L10">IF(D10&gt;0,IF($D10&lt;=0,0,D10*H11),"")</f>
      </c>
      <c r="M10" s="21"/>
      <c r="N10" s="23"/>
    </row>
    <row r="11" ht="20.6" customHeight="1">
      <c r="A11" s="33">
        <v>1</v>
      </c>
      <c r="B11" t="s" s="34">
        <v>37</v>
      </c>
      <c r="C11" s="80"/>
      <c r="D11" s="81">
        <v>1</v>
      </c>
      <c r="E11" s="81" cm="1">
        <f t="array" ref="E11">D11</f>
        <v>1</v>
      </c>
      <c r="F11" s="81" cm="1">
        <f t="array" ref="F11">D11</f>
        <v>1</v>
      </c>
      <c r="G11" t="s" s="82">
        <v>19</v>
      </c>
      <c r="H11" s="138">
        <v>391649.11</v>
      </c>
      <c r="I11" s="138">
        <v>391455.92</v>
      </c>
      <c r="J11" s="138">
        <v>391455.92</v>
      </c>
      <c r="K11" s="81">
        <v>0</v>
      </c>
      <c r="L11" s="81" cm="1">
        <f t="array" ref="L11">IF(D11&gt;0,IF($D11&lt;=0,0,D11*H11),"")</f>
        <v>391649.11</v>
      </c>
      <c r="M11" s="81" cm="1">
        <f t="array" ref="M11">IF(E11&gt;0,IF($D11&lt;=0,0,ROUND(E11*I11,2)),"")</f>
        <v>391455.92</v>
      </c>
      <c r="N11" s="83" cm="1">
        <f t="array" ref="N11">IF(F11&gt;0,IF($D11&lt;=0,0,ROUND(F11*J11,2)),"")</f>
        <v>391455.92</v>
      </c>
    </row>
    <row r="12" ht="8.75" customHeight="1" hidden="1">
      <c r="A12" s="39"/>
      <c r="B12" s="40"/>
      <c r="C12" s="45"/>
      <c r="D12" s="46"/>
      <c r="E12" s="46"/>
      <c r="F12" s="46"/>
      <c r="G12" s="47"/>
      <c r="H12" s="46"/>
      <c r="I12" s="46"/>
      <c r="J12" s="46"/>
      <c r="K12" s="46"/>
      <c r="L12" s="46"/>
      <c r="M12" s="46"/>
      <c r="N12" s="48"/>
    </row>
    <row r="13" ht="8.75" customHeight="1" hidden="1">
      <c r="A13" s="39"/>
      <c r="B13" s="40"/>
      <c r="C13" s="41"/>
      <c r="D13" s="42"/>
      <c r="E13" s="42"/>
      <c r="F13" s="42"/>
      <c r="G13" s="43"/>
      <c r="H13" s="42"/>
      <c r="I13" s="42"/>
      <c r="J13" s="42"/>
      <c r="K13" s="42"/>
      <c r="L13" s="42"/>
      <c r="M13" s="42"/>
      <c r="N13" s="44"/>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2"/>
      <c r="I15" s="42"/>
      <c r="J15" s="42"/>
      <c r="K15" s="42"/>
      <c r="L15" s="42"/>
      <c r="M15" s="42"/>
      <c r="N15" s="44"/>
    </row>
    <row r="16" ht="8.75" customHeight="1" hidden="1">
      <c r="A16" s="39"/>
      <c r="B16" s="40"/>
      <c r="C16" s="45"/>
      <c r="D16" s="46"/>
      <c r="E16" s="46"/>
      <c r="F16" s="46"/>
      <c r="G16" s="47"/>
      <c r="H16" s="46"/>
      <c r="I16" s="46"/>
      <c r="J16" s="46"/>
      <c r="K16" s="46"/>
      <c r="L16" s="46"/>
      <c r="M16" s="46"/>
      <c r="N16" s="48"/>
    </row>
    <row r="17" ht="8.75" customHeight="1" hidden="1">
      <c r="A17" s="39"/>
      <c r="B17" s="40"/>
      <c r="C17" s="41"/>
      <c r="D17" s="42"/>
      <c r="E17" s="42"/>
      <c r="F17" s="42"/>
      <c r="G17" s="43"/>
      <c r="H17" s="42"/>
      <c r="I17" s="42"/>
      <c r="J17" s="42"/>
      <c r="K17" s="42"/>
      <c r="L17" s="42"/>
      <c r="M17" s="42"/>
      <c r="N17" s="44"/>
    </row>
    <row r="18" ht="8.75" customHeight="1" hidden="1">
      <c r="A18" s="39"/>
      <c r="B18" s="40"/>
      <c r="C18" s="45"/>
      <c r="D18" s="46"/>
      <c r="E18" s="46"/>
      <c r="F18" s="46"/>
      <c r="G18" s="47"/>
      <c r="H18" s="47"/>
      <c r="I18" s="47"/>
      <c r="J18" s="47"/>
      <c r="K18" s="46"/>
      <c r="L18" s="47"/>
      <c r="M18" s="47"/>
      <c r="N18" s="52"/>
    </row>
    <row r="19" ht="8.75" customHeight="1" hidden="1">
      <c r="A19" s="39"/>
      <c r="B19" s="40"/>
      <c r="C19" s="41"/>
      <c r="D19" s="42"/>
      <c r="E19" s="42"/>
      <c r="F19" s="42"/>
      <c r="G19" s="43"/>
      <c r="H19" s="84"/>
      <c r="I19" s="84"/>
      <c r="J19" s="84"/>
      <c r="K19" s="42"/>
      <c r="L19" s="42"/>
      <c r="M19" s="42"/>
      <c r="N19" s="44"/>
    </row>
    <row r="20" ht="8.75" customHeight="1" hidden="1">
      <c r="A20" s="39"/>
      <c r="B20" s="40"/>
      <c r="C20" s="45"/>
      <c r="D20" s="46"/>
      <c r="E20" s="46"/>
      <c r="F20" s="46"/>
      <c r="G20" s="47"/>
      <c r="H20" s="47"/>
      <c r="I20" s="47"/>
      <c r="J20" s="47"/>
      <c r="K20" s="46"/>
      <c r="L20" s="47"/>
      <c r="M20" s="47"/>
      <c r="N20" s="52"/>
    </row>
    <row r="21" ht="8.75" customHeight="1" hidden="1">
      <c r="A21" s="39"/>
      <c r="B21" s="40"/>
      <c r="C21" s="41"/>
      <c r="D21" s="42"/>
      <c r="E21" s="42"/>
      <c r="F21" s="42"/>
      <c r="G21" s="43"/>
      <c r="H21" s="42"/>
      <c r="I21" s="42"/>
      <c r="J21" s="42"/>
      <c r="K21" s="42"/>
      <c r="L21" s="42"/>
      <c r="M21" s="42"/>
      <c r="N21" s="44"/>
    </row>
    <row r="22" ht="8.75" customHeight="1" hidden="1">
      <c r="A22" s="39"/>
      <c r="B22" s="40"/>
      <c r="C22" s="45"/>
      <c r="D22" s="46"/>
      <c r="E22" s="46"/>
      <c r="F22" s="46"/>
      <c r="G22" s="47"/>
      <c r="H22" s="46"/>
      <c r="I22" s="46"/>
      <c r="J22" s="46"/>
      <c r="K22" s="46"/>
      <c r="L22" s="46"/>
      <c r="M22" s="46"/>
      <c r="N22" s="48"/>
    </row>
    <row r="23" ht="8.75" customHeight="1" hidden="1">
      <c r="A23" s="51"/>
      <c r="B23" s="40"/>
      <c r="C23" s="41"/>
      <c r="D23" s="42"/>
      <c r="E23" s="42"/>
      <c r="F23" s="42"/>
      <c r="G23" s="43"/>
      <c r="H23" s="42"/>
      <c r="I23" s="42"/>
      <c r="J23" s="42"/>
      <c r="K23" s="42"/>
      <c r="L23" s="42"/>
      <c r="M23" s="42"/>
      <c r="N23" s="44"/>
    </row>
    <row r="24" ht="8.75" customHeight="1" hidden="1">
      <c r="A24" s="51"/>
      <c r="B24" s="40"/>
      <c r="C24" s="45"/>
      <c r="D24" s="46"/>
      <c r="E24" s="46"/>
      <c r="F24" s="46"/>
      <c r="G24" s="47"/>
      <c r="H24" s="46"/>
      <c r="I24" s="46"/>
      <c r="J24" s="46"/>
      <c r="K24" s="46"/>
      <c r="L24" s="46"/>
      <c r="M24" s="46"/>
      <c r="N24" s="48"/>
    </row>
    <row r="25" ht="8.75" customHeight="1" hidden="1">
      <c r="A25" s="39"/>
      <c r="B25" s="40"/>
      <c r="C25" s="41"/>
      <c r="D25" s="42"/>
      <c r="E25" s="42"/>
      <c r="F25" s="42"/>
      <c r="G25" s="43"/>
      <c r="H25" s="42"/>
      <c r="I25" s="42"/>
      <c r="J25" s="42"/>
      <c r="K25" s="42"/>
      <c r="L25" s="43"/>
      <c r="M25" s="43"/>
      <c r="N25" s="49"/>
    </row>
    <row r="26" ht="8.75" customHeight="1" hidden="1">
      <c r="A26" s="39"/>
      <c r="B26" s="40"/>
      <c r="C26" s="45"/>
      <c r="D26" s="46"/>
      <c r="E26" s="46"/>
      <c r="F26" s="46"/>
      <c r="G26" s="47"/>
      <c r="H26" s="46"/>
      <c r="I26" s="46"/>
      <c r="J26" s="46"/>
      <c r="K26" s="46"/>
      <c r="L26" s="46"/>
      <c r="M26" s="46"/>
      <c r="N26" s="48"/>
    </row>
    <row r="27" ht="8.75" customHeight="1" hidden="1">
      <c r="A27" s="39"/>
      <c r="B27" s="40"/>
      <c r="C27" s="41"/>
      <c r="D27" s="42"/>
      <c r="E27" s="42"/>
      <c r="F27" s="42"/>
      <c r="G27" s="43"/>
      <c r="H27" s="42"/>
      <c r="I27" s="42"/>
      <c r="J27" s="42"/>
      <c r="K27" s="42"/>
      <c r="L27" s="43"/>
      <c r="M27" s="43"/>
      <c r="N27" s="49"/>
    </row>
    <row r="28" ht="20.85" customHeight="1">
      <c r="A28" s="53"/>
      <c r="B28" s="54"/>
      <c r="C28" s="54"/>
      <c r="D28" s="55"/>
      <c r="E28" s="55"/>
      <c r="F28" s="55"/>
      <c r="G28" s="56"/>
      <c r="H28" s="56"/>
      <c r="I28" s="54"/>
      <c r="J28" s="57"/>
      <c r="K28" t="s" s="58">
        <v>38</v>
      </c>
      <c r="L28" s="59" cm="1">
        <f t="array" ref="L28">SUM(L1:L27)</f>
        <v>180206974.01</v>
      </c>
      <c r="M28" s="59" cm="1">
        <f t="array" ref="M28">SUM(M1:M27)</f>
        <v>180105109.52</v>
      </c>
      <c r="N28" s="59" cm="1">
        <f t="array" ref="N28">SUM(N1:N27)</f>
        <v>180105109.52</v>
      </c>
    </row>
    <row r="29" ht="21" customHeight="1">
      <c r="A29" s="60"/>
      <c r="B29" t="s" s="61">
        <v>39</v>
      </c>
      <c r="C29" s="62"/>
      <c r="D29" s="63" cm="1">
        <f t="array" ref="D29">ROUND(IF(L29&lt;=100000000,L29*0.24%,IF(AND(L29&gt;100000000,L29&lt;=500000000),100000000*0.24%+(L29-100000000)*0.19%,IF(AND(L29&gt;500000000,L29&lt;=1000000000),100000000*0.24%+400000000*0.19%+(L29-500000000)*0.15%,IF(AND(L29&gt;1000000000,L29&lt;=5000000000),100000000*0.24%+400000000*0.19%+500000000*0.15%+(L29-1000000000)*0.12%,IF(L29&gt;5000000000,100000000*0.24%+400000000*0.19%+500000000*0.15%+4000000000*0.12%+(L29-5000000000)*0.1%,"Bingung komputer"))))),2)</f>
        <v>391649.12</v>
      </c>
      <c r="E29" s="64" cm="1">
        <f t="array" ref="E29">ROUND(IF(M29&lt;=100000000,M29*0.24%,IF(AND(M29&gt;100000000,M29&lt;=500000000),100000000*0.24%+(M29-100000000)*0.19%,IF(AND(M29&gt;500000000,M29&lt;=1000000000),100000000*0.24%+400000000*0.19%+(M29-500000000)*0.15%,IF(AND(M29&gt;1000000000,M29&lt;=5000000000),100000000*0.24%+400000000*0.19%+500000000*0.15%+(M29-1000000000)*0.12%,IF(M29&gt;5000000000,100000000*0.24%+400000000*0.19%+500000000*0.15%+4000000000*0.12%+(M29-5000000000)*0.1%,"Bingung komputer"))))),2)</f>
        <v>391455.94</v>
      </c>
      <c r="F29" s="64" cm="1">
        <f t="array" ref="F29">ROUND(IF(N29&lt;=100000000,N29*0.24%,IF(AND(N29&gt;100000000,N29&lt;=500000000),100000000*0.24%+(N29-100000000)*0.19%,IF(AND(N29&gt;500000000,N29&lt;=1000000000),100000000*0.24%+400000000*0.19%+(N29-500000000)*0.15%,IF(AND(N29&gt;1000000000,N29&lt;=5000000000),100000000*0.24%+400000000*0.19%+500000000*0.15%+(N29-1000000000)*0.12%,IF(N29&gt;5000000000,100000000*0.24%+400000000*0.19%+500000000*0.15%+4000000000*0.12%+(N29-5000000000)*0.1%,"Bingung komputer"))))),2)</f>
        <v>391455.94</v>
      </c>
      <c r="G29" s="65"/>
      <c r="H29" s="66"/>
      <c r="I29" s="62"/>
      <c r="J29" s="67"/>
      <c r="K29" t="str" s="67" cm="1">
        <f t="array" ref="K29">"Jumlah Terkena Pajak "&amp;MAX(K3:K27)&amp;"% (B)"</f>
        <v>Jumlah Terkena Pajak 11,00% (B)</v>
      </c>
      <c r="L29" s="68" cm="1">
        <f t="array" ref="L29">SUMIF($K3:$K27,"&gt;0",L3:L27)</f>
        <v>179815324.9</v>
      </c>
      <c r="M29" s="69" cm="1">
        <f t="array" ref="M29">SUMIF($K3:$K27,"&gt;0",M3:M27)</f>
        <v>179713653.6</v>
      </c>
      <c r="N29" s="69" cm="1">
        <f t="array" ref="N29">SUMIF($K3:$K27,"&gt;0",N3:N27)</f>
        <v>179713653.6</v>
      </c>
    </row>
    <row r="30" ht="21" customHeight="1">
      <c r="A30" s="70"/>
      <c r="B30" s="71"/>
      <c r="C30" s="71"/>
      <c r="D30" s="72"/>
      <c r="E30" s="72"/>
      <c r="F30" s="71"/>
      <c r="G30" s="72"/>
      <c r="H30" s="72"/>
      <c r="I30" s="71"/>
      <c r="J30" s="73"/>
      <c r="K30" t="str" s="73" cm="1">
        <f t="array" ref="K30">"PPN (C) = "&amp;MAX(K3:K27)&amp;"% x B"</f>
        <v>PPN (C) = 11,00% x B</v>
      </c>
      <c r="L30" s="74" cm="1">
        <f t="array" ref="L30">L29*MAX($K3:$K27)%</f>
        <v>19779685.739</v>
      </c>
      <c r="M30" s="69" cm="1">
        <f t="array" ref="M30">M29*MAX($K3:$K27)%</f>
        <v>19768501.896</v>
      </c>
      <c r="N30" s="69" cm="1">
        <f t="array" ref="N30">N29*MAX($K3:$K27)%</f>
        <v>19768501.896</v>
      </c>
    </row>
    <row r="31" ht="21" customHeight="1">
      <c r="A31" s="70"/>
      <c r="B31" s="71"/>
      <c r="C31" s="71"/>
      <c r="D31" s="72"/>
      <c r="E31" s="72"/>
      <c r="F31" s="72"/>
      <c r="G31" s="72"/>
      <c r="H31" s="72"/>
      <c r="I31" s="71"/>
      <c r="J31" s="73"/>
      <c r="K31" t="s" s="75">
        <v>42</v>
      </c>
      <c r="L31" s="76" cm="1">
        <f t="array" ref="L31">L28+L30</f>
        <v>199986659.749</v>
      </c>
      <c r="M31" s="69" cm="1">
        <f t="array" ref="M31">M28+M30</f>
        <v>199873611.416</v>
      </c>
      <c r="N31" s="69" cm="1">
        <f t="array" ref="N31">N28+N30</f>
        <v>199873611.416</v>
      </c>
    </row>
    <row r="32" ht="20.5" customHeight="1">
      <c r="A32" s="70"/>
      <c r="B32" s="71"/>
      <c r="C32" s="71"/>
      <c r="D32" s="72"/>
      <c r="E32" s="72"/>
      <c r="F32" s="72"/>
      <c r="G32" s="72"/>
      <c r="H32" s="72"/>
      <c r="I32" s="71"/>
      <c r="J32" s="73"/>
      <c r="K32" t="s" s="75">
        <v>43</v>
      </c>
      <c r="L32" s="68" cm="1">
        <f t="array" ref="L32">ROUNDDOWN(L31,2)</f>
        <v>199986659.74</v>
      </c>
      <c r="M32" s="68" cm="1">
        <f t="array" ref="M32">ROUNDDOWN(M31,2)</f>
        <v>199873611.41</v>
      </c>
      <c r="N32" s="68" cm="1">
        <f t="array" ref="N32">ROUNDDOWN(N31,-3)</f>
        <v>199873000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55.xml><?xml version="1.0" encoding="utf-8"?>
<worksheet xmlns:r="http://schemas.openxmlformats.org/officeDocument/2006/relationships" xmlns="http://schemas.openxmlformats.org/spreadsheetml/2006/main">
  <sheetPr>
    <pageSetUpPr fitToPage="1"/>
  </sheetPr>
  <dimension ref="A1:N32"/>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169" customWidth="1"/>
    <col min="2" max="2" width="43.0312" style="169" customWidth="1"/>
    <col min="3" max="3" width="2.75" style="169" customWidth="1"/>
    <col min="4" max="6" width="10.3672" style="169" customWidth="1"/>
    <col min="7" max="7" width="11.6875" style="169" customWidth="1"/>
    <col min="8" max="11" width="13.5156" style="169" customWidth="1"/>
    <col min="12" max="14" width="14.2344" style="169" customWidth="1"/>
    <col min="15" max="16384" width="16.3516" style="169"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16</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t="s" s="18">
        <v>17</v>
      </c>
      <c r="B4" t="s" s="19">
        <v>18</v>
      </c>
      <c r="C4" s="20"/>
      <c r="D4" s="21">
        <v>1</v>
      </c>
      <c r="E4" s="21" cm="1">
        <f t="array" ref="E4">D4</f>
        <v>1</v>
      </c>
      <c r="F4" s="21" cm="1">
        <f t="array" ref="F4">D4</f>
        <v>1</v>
      </c>
      <c r="G4" t="s" s="22">
        <v>19</v>
      </c>
      <c r="H4" s="21">
        <v>13495250</v>
      </c>
      <c r="I4" s="21">
        <v>13472250</v>
      </c>
      <c r="J4" s="21">
        <v>13472250</v>
      </c>
      <c r="K4" s="21">
        <v>11</v>
      </c>
      <c r="L4" s="21" cm="1">
        <f t="array" ref="L4">IF(D4&gt;0,IF($D4&lt;=0,0,D4*H4),"")</f>
        <v>13495250</v>
      </c>
      <c r="M4" s="21" cm="1">
        <f t="array" ref="M4">IF(E4&gt;0,IF($D4&lt;=0,0,ROUND(E4*I4,2)),"")</f>
        <v>13472250</v>
      </c>
      <c r="N4" s="23" cm="1">
        <f t="array" ref="N4">IF(F4&gt;0,IF($D4&lt;=0,0,ROUND(F4*J4,2)),"")</f>
        <v>13472250</v>
      </c>
    </row>
    <row r="5" ht="20.5" customHeight="1">
      <c r="A5" t="s" s="18">
        <v>20</v>
      </c>
      <c r="B5" t="s" s="19">
        <v>21</v>
      </c>
      <c r="C5" s="24"/>
      <c r="D5" s="26">
        <v>1</v>
      </c>
      <c r="E5" s="26" cm="1">
        <f t="array" ref="E5">D5</f>
        <v>1</v>
      </c>
      <c r="F5" s="26" cm="1">
        <f t="array" ref="F5">D5</f>
        <v>1</v>
      </c>
      <c r="G5" t="s" s="27">
        <v>19</v>
      </c>
      <c r="H5" s="26">
        <v>660000</v>
      </c>
      <c r="I5" s="26">
        <v>640000</v>
      </c>
      <c r="J5" s="26">
        <v>640000</v>
      </c>
      <c r="K5" s="26">
        <v>11</v>
      </c>
      <c r="L5" s="26" cm="1">
        <f t="array" ref="L5">IF(D5&gt;0,IF($D5&lt;=0,0,D5*H5),"")</f>
        <v>660000</v>
      </c>
      <c r="M5" s="26" cm="1">
        <f t="array" ref="M5">IF(E5&gt;0,IF($D5&lt;=0,0,ROUND(E5*I5,2)),"")</f>
        <v>640000</v>
      </c>
      <c r="N5" s="28" cm="1">
        <f t="array" ref="N5">IF(F5&gt;0,IF($D5&lt;=0,0,ROUND(F5*J5,2)),"")</f>
        <v>640000</v>
      </c>
    </row>
    <row r="6" ht="20.5" customHeight="1">
      <c r="A6" t="s" s="18">
        <v>22</v>
      </c>
      <c r="B6" t="s" s="19">
        <v>23</v>
      </c>
      <c r="C6" s="20"/>
      <c r="D6" s="21">
        <v>1</v>
      </c>
      <c r="E6" s="21" cm="1">
        <f t="array" ref="E6">D6</f>
        <v>1</v>
      </c>
      <c r="F6" s="21" cm="1">
        <f t="array" ref="F6">D6</f>
        <v>1</v>
      </c>
      <c r="G6" t="s" s="22">
        <v>19</v>
      </c>
      <c r="H6" s="21">
        <v>4462000</v>
      </c>
      <c r="I6" s="21">
        <v>4402000</v>
      </c>
      <c r="J6" s="21">
        <v>4402000</v>
      </c>
      <c r="K6" s="21">
        <v>11</v>
      </c>
      <c r="L6" s="21" cm="1">
        <f t="array" ref="L6">IF(D6&gt;0,IF($D6&lt;=0,0,D6*H6),"")</f>
        <v>4462000</v>
      </c>
      <c r="M6" s="21" cm="1">
        <f t="array" ref="M6">IF(E6&gt;0,IF($D6&lt;=0,0,ROUND(E6*I6,2)),"")</f>
        <v>4402000</v>
      </c>
      <c r="N6" s="23" cm="1">
        <f t="array" ref="N6">IF(F6&gt;0,IF($D6&lt;=0,0,ROUND(F6*J6,2)),"")</f>
        <v>4402000</v>
      </c>
    </row>
    <row r="7" ht="20.5" customHeight="1">
      <c r="A7" s="29"/>
      <c r="B7" t="s" s="19">
        <v>28</v>
      </c>
      <c r="C7" s="24"/>
      <c r="D7" s="30"/>
      <c r="E7" s="26"/>
      <c r="F7" s="26"/>
      <c r="G7" s="30"/>
      <c r="H7" s="26"/>
      <c r="I7" s="30"/>
      <c r="J7" s="30"/>
      <c r="K7" s="26"/>
      <c r="L7" t="str" s="30" cm="1">
        <f t="array" ref="L7">IF(D7&gt;0,IF($D7&lt;=0,0,D7*H7),"")</f>
      </c>
      <c r="M7" t="str" s="30" cm="1">
        <f t="array" ref="M7">IF(E7&gt;0,IF($D7&lt;=0,0,ROUND(E7*I7,2)),"")</f>
      </c>
      <c r="N7" t="str" s="31" cm="1">
        <f t="array" ref="N7">IF(F7&gt;0,IF($D7&lt;=0,0,ROUND(F7*J7,2)),"")</f>
      </c>
    </row>
    <row r="8" ht="20.5" customHeight="1">
      <c r="A8" t="s" s="18">
        <v>31</v>
      </c>
      <c r="B8" t="s" s="19">
        <v>32</v>
      </c>
      <c r="C8" s="20"/>
      <c r="D8" s="78">
        <v>490</v>
      </c>
      <c r="E8" s="21" cm="1">
        <f t="array" ref="E8">D8</f>
        <v>490</v>
      </c>
      <c r="F8" s="21" cm="1">
        <f t="array" ref="F8">D8</f>
        <v>490</v>
      </c>
      <c r="G8" t="s" s="22">
        <v>27</v>
      </c>
      <c r="H8" s="21">
        <v>274539.81</v>
      </c>
      <c r="I8" s="32">
        <v>274507.03</v>
      </c>
      <c r="J8" s="32">
        <v>274507.03</v>
      </c>
      <c r="K8" s="21">
        <v>11</v>
      </c>
      <c r="L8" s="21" cm="1">
        <f t="array" ref="L8">IF(D8&gt;0,IF($D8&lt;=0,0,D8*H8),"")</f>
        <v>134524506.9</v>
      </c>
      <c r="M8" s="21" cm="1">
        <f t="array" ref="M8">IF(E8&gt;0,IF($D8&lt;=0,0,ROUND(E8*I8,2)),"")</f>
        <v>134508444.7</v>
      </c>
      <c r="N8" s="23" cm="1">
        <f t="array" ref="N8">IF(F8&gt;0,IF($D8&lt;=0,0,ROUND(F8*J8,2)),"")</f>
        <v>134508444.7</v>
      </c>
    </row>
    <row r="9" ht="20.5" customHeight="1">
      <c r="A9" t="s" s="18">
        <v>33</v>
      </c>
      <c r="B9" t="s" s="19">
        <v>34</v>
      </c>
      <c r="C9" s="24"/>
      <c r="D9" s="26">
        <v>2800</v>
      </c>
      <c r="E9" s="26" cm="1">
        <f t="array" ref="E9">D9</f>
        <v>2800</v>
      </c>
      <c r="F9" s="26" cm="1">
        <f t="array" ref="F9">D9</f>
        <v>2800</v>
      </c>
      <c r="G9" t="s" s="27">
        <v>35</v>
      </c>
      <c r="H9" s="26">
        <v>2996.59</v>
      </c>
      <c r="I9" s="122">
        <v>2996.48</v>
      </c>
      <c r="J9" s="122">
        <v>2996.48</v>
      </c>
      <c r="K9" s="26">
        <v>11</v>
      </c>
      <c r="L9" s="26" cm="1">
        <f t="array" ref="L9">IF(D9&gt;0,IF($D9&lt;=0,0,D9*H9),"")</f>
        <v>8390452</v>
      </c>
      <c r="M9" s="26" cm="1">
        <f t="array" ref="M9">IF(E9&gt;0,IF($D9&lt;=0,0,ROUND(E9*I9,2)),"")</f>
        <v>8390144</v>
      </c>
      <c r="N9" s="28" cm="1">
        <f t="array" ref="N9">IF(F9&gt;0,IF($D9&lt;=0,0,ROUND(F9*J9,2)),"")</f>
        <v>8390144</v>
      </c>
    </row>
    <row r="10" ht="20.5" customHeight="1">
      <c r="A10" s="29"/>
      <c r="B10" t="s" s="19">
        <v>36</v>
      </c>
      <c r="C10" s="20"/>
      <c r="D10" s="21"/>
      <c r="E10" s="21"/>
      <c r="F10" s="21"/>
      <c r="G10" s="79"/>
      <c r="H10" s="79"/>
      <c r="I10" s="79"/>
      <c r="J10" s="79"/>
      <c r="K10" s="21"/>
      <c r="L10" t="str" s="79" cm="1">
        <f t="array" ref="L10">IF(D10&gt;0,IF($D10&lt;=0,0,D10*H11),"")</f>
      </c>
      <c r="M10" s="21"/>
      <c r="N10" s="23"/>
    </row>
    <row r="11" ht="20.6" customHeight="1">
      <c r="A11" s="33">
        <v>1</v>
      </c>
      <c r="B11" t="s" s="34">
        <v>37</v>
      </c>
      <c r="C11" s="80"/>
      <c r="D11" s="81">
        <v>1</v>
      </c>
      <c r="E11" s="81" cm="1">
        <f t="array" ref="E11">D11</f>
        <v>1</v>
      </c>
      <c r="F11" s="81" cm="1">
        <f t="array" ref="F11">D11</f>
        <v>1</v>
      </c>
      <c r="G11" t="s" s="82">
        <v>19</v>
      </c>
      <c r="H11" s="138">
        <v>356911.19</v>
      </c>
      <c r="I11" s="138">
        <v>356684.37</v>
      </c>
      <c r="J11" s="138">
        <v>356684.37</v>
      </c>
      <c r="K11" s="81">
        <v>0</v>
      </c>
      <c r="L11" s="81" cm="1">
        <f t="array" ref="L11">IF(D11&gt;0,IF($D11&lt;=0,0,D11*H11),"")</f>
        <v>356911.19</v>
      </c>
      <c r="M11" s="81" cm="1">
        <f t="array" ref="M11">IF(E11&gt;0,IF($D11&lt;=0,0,ROUND(E11*I11,2)),"")</f>
        <v>356684.37</v>
      </c>
      <c r="N11" s="83" cm="1">
        <f t="array" ref="N11">IF(F11&gt;0,IF($D11&lt;=0,0,ROUND(F11*J11,2)),"")</f>
        <v>356684.37</v>
      </c>
    </row>
    <row r="12" ht="8.75" customHeight="1" hidden="1">
      <c r="A12" s="39"/>
      <c r="B12" s="40"/>
      <c r="C12" s="45"/>
      <c r="D12" s="46"/>
      <c r="E12" s="46"/>
      <c r="F12" s="46"/>
      <c r="G12" s="47"/>
      <c r="H12" s="46"/>
      <c r="I12" s="46"/>
      <c r="J12" s="46"/>
      <c r="K12" s="46"/>
      <c r="L12" s="46"/>
      <c r="M12" s="46"/>
      <c r="N12" s="48"/>
    </row>
    <row r="13" ht="8.75" customHeight="1" hidden="1">
      <c r="A13" s="39"/>
      <c r="B13" s="40"/>
      <c r="C13" s="41"/>
      <c r="D13" s="42"/>
      <c r="E13" s="42"/>
      <c r="F13" s="42"/>
      <c r="G13" s="43"/>
      <c r="H13" s="42"/>
      <c r="I13" s="42"/>
      <c r="J13" s="42"/>
      <c r="K13" s="42"/>
      <c r="L13" s="42"/>
      <c r="M13" s="42"/>
      <c r="N13" s="44"/>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2"/>
      <c r="I15" s="42"/>
      <c r="J15" s="42"/>
      <c r="K15" s="42"/>
      <c r="L15" s="42"/>
      <c r="M15" s="42"/>
      <c r="N15" s="44"/>
    </row>
    <row r="16" ht="8.75" customHeight="1" hidden="1">
      <c r="A16" s="39"/>
      <c r="B16" s="40"/>
      <c r="C16" s="45"/>
      <c r="D16" s="46"/>
      <c r="E16" s="46"/>
      <c r="F16" s="46"/>
      <c r="G16" s="47"/>
      <c r="H16" s="46"/>
      <c r="I16" s="46"/>
      <c r="J16" s="46"/>
      <c r="K16" s="46"/>
      <c r="L16" s="46"/>
      <c r="M16" s="46"/>
      <c r="N16" s="48"/>
    </row>
    <row r="17" ht="8.75" customHeight="1" hidden="1">
      <c r="A17" s="39"/>
      <c r="B17" s="40"/>
      <c r="C17" s="41"/>
      <c r="D17" s="42"/>
      <c r="E17" s="42"/>
      <c r="F17" s="42"/>
      <c r="G17" s="43"/>
      <c r="H17" s="42"/>
      <c r="I17" s="42"/>
      <c r="J17" s="42"/>
      <c r="K17" s="42"/>
      <c r="L17" s="42"/>
      <c r="M17" s="42"/>
      <c r="N17" s="44"/>
    </row>
    <row r="18" ht="8.75" customHeight="1" hidden="1">
      <c r="A18" s="39"/>
      <c r="B18" s="40"/>
      <c r="C18" s="45"/>
      <c r="D18" s="46"/>
      <c r="E18" s="46"/>
      <c r="F18" s="46"/>
      <c r="G18" s="47"/>
      <c r="H18" s="47"/>
      <c r="I18" s="47"/>
      <c r="J18" s="47"/>
      <c r="K18" s="46"/>
      <c r="L18" s="47"/>
      <c r="M18" s="47"/>
      <c r="N18" s="52"/>
    </row>
    <row r="19" ht="8.75" customHeight="1" hidden="1">
      <c r="A19" s="39"/>
      <c r="B19" s="40"/>
      <c r="C19" s="41"/>
      <c r="D19" s="42"/>
      <c r="E19" s="42"/>
      <c r="F19" s="42"/>
      <c r="G19" s="43"/>
      <c r="H19" s="84"/>
      <c r="I19" s="84"/>
      <c r="J19" s="84"/>
      <c r="K19" s="42"/>
      <c r="L19" s="42"/>
      <c r="M19" s="42"/>
      <c r="N19" s="44"/>
    </row>
    <row r="20" ht="8.75" customHeight="1" hidden="1">
      <c r="A20" s="39"/>
      <c r="B20" s="40"/>
      <c r="C20" s="45"/>
      <c r="D20" s="46"/>
      <c r="E20" s="46"/>
      <c r="F20" s="46"/>
      <c r="G20" s="47"/>
      <c r="H20" s="47"/>
      <c r="I20" s="47"/>
      <c r="J20" s="47"/>
      <c r="K20" s="46"/>
      <c r="L20" s="47"/>
      <c r="M20" s="47"/>
      <c r="N20" s="52"/>
    </row>
    <row r="21" ht="8.75" customHeight="1" hidden="1">
      <c r="A21" s="39"/>
      <c r="B21" s="40"/>
      <c r="C21" s="41"/>
      <c r="D21" s="42"/>
      <c r="E21" s="42"/>
      <c r="F21" s="42"/>
      <c r="G21" s="43"/>
      <c r="H21" s="42"/>
      <c r="I21" s="42"/>
      <c r="J21" s="42"/>
      <c r="K21" s="42"/>
      <c r="L21" s="42"/>
      <c r="M21" s="42"/>
      <c r="N21" s="44"/>
    </row>
    <row r="22" ht="8.75" customHeight="1" hidden="1">
      <c r="A22" s="39"/>
      <c r="B22" s="40"/>
      <c r="C22" s="45"/>
      <c r="D22" s="46"/>
      <c r="E22" s="46"/>
      <c r="F22" s="46"/>
      <c r="G22" s="47"/>
      <c r="H22" s="46"/>
      <c r="I22" s="46"/>
      <c r="J22" s="46"/>
      <c r="K22" s="46"/>
      <c r="L22" s="46"/>
      <c r="M22" s="46"/>
      <c r="N22" s="48"/>
    </row>
    <row r="23" ht="8.75" customHeight="1" hidden="1">
      <c r="A23" s="51"/>
      <c r="B23" s="40"/>
      <c r="C23" s="41"/>
      <c r="D23" s="42"/>
      <c r="E23" s="42"/>
      <c r="F23" s="42"/>
      <c r="G23" s="43"/>
      <c r="H23" s="42"/>
      <c r="I23" s="42"/>
      <c r="J23" s="42"/>
      <c r="K23" s="42"/>
      <c r="L23" s="42"/>
      <c r="M23" s="42"/>
      <c r="N23" s="44"/>
    </row>
    <row r="24" ht="8.75" customHeight="1" hidden="1">
      <c r="A24" s="51"/>
      <c r="B24" s="40"/>
      <c r="C24" s="45"/>
      <c r="D24" s="46"/>
      <c r="E24" s="46"/>
      <c r="F24" s="46"/>
      <c r="G24" s="47"/>
      <c r="H24" s="46"/>
      <c r="I24" s="46"/>
      <c r="J24" s="46"/>
      <c r="K24" s="46"/>
      <c r="L24" s="46"/>
      <c r="M24" s="46"/>
      <c r="N24" s="48"/>
    </row>
    <row r="25" ht="8.75" customHeight="1" hidden="1">
      <c r="A25" s="39"/>
      <c r="B25" s="40"/>
      <c r="C25" s="41"/>
      <c r="D25" s="42"/>
      <c r="E25" s="42"/>
      <c r="F25" s="42"/>
      <c r="G25" s="43"/>
      <c r="H25" s="42"/>
      <c r="I25" s="42"/>
      <c r="J25" s="42"/>
      <c r="K25" s="42"/>
      <c r="L25" s="43"/>
      <c r="M25" s="43"/>
      <c r="N25" s="49"/>
    </row>
    <row r="26" ht="8.75" customHeight="1" hidden="1">
      <c r="A26" s="39"/>
      <c r="B26" s="40"/>
      <c r="C26" s="45"/>
      <c r="D26" s="46"/>
      <c r="E26" s="46"/>
      <c r="F26" s="46"/>
      <c r="G26" s="47"/>
      <c r="H26" s="46"/>
      <c r="I26" s="46"/>
      <c r="J26" s="46"/>
      <c r="K26" s="46"/>
      <c r="L26" s="46"/>
      <c r="M26" s="46"/>
      <c r="N26" s="48"/>
    </row>
    <row r="27" ht="8.75" customHeight="1" hidden="1">
      <c r="A27" s="39"/>
      <c r="B27" s="40"/>
      <c r="C27" s="41"/>
      <c r="D27" s="42"/>
      <c r="E27" s="42"/>
      <c r="F27" s="42"/>
      <c r="G27" s="43"/>
      <c r="H27" s="42"/>
      <c r="I27" s="42"/>
      <c r="J27" s="42"/>
      <c r="K27" s="42"/>
      <c r="L27" s="43"/>
      <c r="M27" s="43"/>
      <c r="N27" s="49"/>
    </row>
    <row r="28" ht="20.85" customHeight="1">
      <c r="A28" s="53"/>
      <c r="B28" s="54"/>
      <c r="C28" s="54"/>
      <c r="D28" s="55"/>
      <c r="E28" s="55"/>
      <c r="F28" s="55"/>
      <c r="G28" s="56"/>
      <c r="H28" s="56"/>
      <c r="I28" s="54"/>
      <c r="J28" s="57"/>
      <c r="K28" t="s" s="58">
        <v>38</v>
      </c>
      <c r="L28" s="59" cm="1">
        <f t="array" ref="L28">SUM(L1:L27)</f>
        <v>161889120.09</v>
      </c>
      <c r="M28" s="59" cm="1">
        <f t="array" ref="M28">SUM(M1:M27)</f>
        <v>161769523.07</v>
      </c>
      <c r="N28" s="59" cm="1">
        <f t="array" ref="N28">SUM(N1:N27)</f>
        <v>161769523.07</v>
      </c>
    </row>
    <row r="29" ht="21" customHeight="1">
      <c r="A29" s="60"/>
      <c r="B29" t="s" s="61">
        <v>39</v>
      </c>
      <c r="C29" s="62"/>
      <c r="D29" s="63" cm="1">
        <f t="array" ref="D29">ROUND(IF(L29&lt;=100000000,L29*0.24%,IF(AND(L29&gt;100000000,L29&lt;=500000000),100000000*0.24%+(L29-100000000)*0.19%,IF(AND(L29&gt;500000000,L29&lt;=1000000000),100000000*0.24%+400000000*0.19%+(L29-500000000)*0.15%,IF(AND(L29&gt;1000000000,L29&lt;=5000000000),100000000*0.24%+400000000*0.19%+500000000*0.15%+(L29-1000000000)*0.12%,IF(L29&gt;5000000000,100000000*0.24%+400000000*0.19%+500000000*0.15%+4000000000*0.12%+(L29-5000000000)*0.1%,"Bingung komputer"))))),2)</f>
        <v>356911.2</v>
      </c>
      <c r="E29" s="64" cm="1">
        <f t="array" ref="E29">ROUND(IF(M29&lt;=100000000,M29*0.24%,IF(AND(M29&gt;100000000,M29&lt;=500000000),100000000*0.24%+(M29-100000000)*0.19%,IF(AND(M29&gt;500000000,M29&lt;=1000000000),100000000*0.24%+400000000*0.19%+(M29-500000000)*0.15%,IF(AND(M29&gt;1000000000,M29&lt;=5000000000),100000000*0.24%+400000000*0.19%+500000000*0.15%+(M29-1000000000)*0.12%,IF(M29&gt;5000000000,100000000*0.24%+400000000*0.19%+500000000*0.15%+4000000000*0.12%+(M29-5000000000)*0.1%,"Bingung komputer"))))),2)</f>
        <v>356684.39</v>
      </c>
      <c r="F29" s="64" cm="1">
        <f t="array" ref="F29">ROUND(IF(N29&lt;=100000000,N29*0.24%,IF(AND(N29&gt;100000000,N29&lt;=500000000),100000000*0.24%+(N29-100000000)*0.19%,IF(AND(N29&gt;500000000,N29&lt;=1000000000),100000000*0.24%+400000000*0.19%+(N29-500000000)*0.15%,IF(AND(N29&gt;1000000000,N29&lt;=5000000000),100000000*0.24%+400000000*0.19%+500000000*0.15%+(N29-1000000000)*0.12%,IF(N29&gt;5000000000,100000000*0.24%+400000000*0.19%+500000000*0.15%+4000000000*0.12%+(N29-5000000000)*0.1%,"Bingung komputer"))))),2)</f>
        <v>356684.39</v>
      </c>
      <c r="G29" s="65"/>
      <c r="H29" s="66"/>
      <c r="I29" s="62"/>
      <c r="J29" s="67"/>
      <c r="K29" t="str" s="67" cm="1">
        <f t="array" ref="K29">"Jumlah Terkena Pajak "&amp;MAX(K3:K27)&amp;"% (B)"</f>
        <v>Jumlah Terkena Pajak 11,00% (B)</v>
      </c>
      <c r="L29" s="68" cm="1">
        <f t="array" ref="L29">SUMIF($K3:$K27,"&gt;0",L3:L27)</f>
        <v>161532208.9</v>
      </c>
      <c r="M29" s="69" cm="1">
        <f t="array" ref="M29">SUMIF($K3:$K27,"&gt;0",M3:M27)</f>
        <v>161412838.7</v>
      </c>
      <c r="N29" s="69" cm="1">
        <f t="array" ref="N29">SUMIF($K3:$K27,"&gt;0",N3:N27)</f>
        <v>161412838.7</v>
      </c>
    </row>
    <row r="30" ht="21" customHeight="1">
      <c r="A30" s="70"/>
      <c r="B30" s="71"/>
      <c r="C30" s="71"/>
      <c r="D30" s="72"/>
      <c r="E30" s="72"/>
      <c r="F30" s="71"/>
      <c r="G30" s="72"/>
      <c r="H30" s="72"/>
      <c r="I30" s="71"/>
      <c r="J30" s="73"/>
      <c r="K30" t="str" s="73" cm="1">
        <f t="array" ref="K30">"PPN (C) = "&amp;MAX(K3:K27)&amp;"% x B"</f>
        <v>PPN (C) = 11,00% x B</v>
      </c>
      <c r="L30" s="74" cm="1">
        <f t="array" ref="L30">L29*MAX($K3:$K27)%</f>
        <v>17768542.979</v>
      </c>
      <c r="M30" s="69" cm="1">
        <f t="array" ref="M30">M29*MAX($K3:$K27)%</f>
        <v>17755412.257</v>
      </c>
      <c r="N30" s="69" cm="1">
        <f t="array" ref="N30">N29*MAX($K3:$K27)%</f>
        <v>17755412.257</v>
      </c>
    </row>
    <row r="31" ht="21" customHeight="1">
      <c r="A31" s="70"/>
      <c r="B31" s="71"/>
      <c r="C31" s="71"/>
      <c r="D31" s="72"/>
      <c r="E31" s="72"/>
      <c r="F31" s="72"/>
      <c r="G31" s="72"/>
      <c r="H31" s="72"/>
      <c r="I31" s="71"/>
      <c r="J31" s="73"/>
      <c r="K31" t="s" s="75">
        <v>42</v>
      </c>
      <c r="L31" s="76" cm="1">
        <f t="array" ref="L31">L28+L30</f>
        <v>179657663.069</v>
      </c>
      <c r="M31" s="69" cm="1">
        <f t="array" ref="M31">M28+M30</f>
        <v>179524935.327</v>
      </c>
      <c r="N31" s="69" cm="1">
        <f t="array" ref="N31">N28+N30</f>
        <v>179524935.327</v>
      </c>
    </row>
    <row r="32" ht="20.5" customHeight="1">
      <c r="A32" s="70"/>
      <c r="B32" s="71"/>
      <c r="C32" s="71"/>
      <c r="D32" s="72"/>
      <c r="E32" s="72"/>
      <c r="F32" s="72"/>
      <c r="G32" s="72"/>
      <c r="H32" s="72"/>
      <c r="I32" s="71"/>
      <c r="J32" s="73"/>
      <c r="K32" t="s" s="75">
        <v>43</v>
      </c>
      <c r="L32" s="68" cm="1">
        <f t="array" ref="L32">ROUNDDOWN(L31,2)</f>
        <v>179657663.06</v>
      </c>
      <c r="M32" s="68" cm="1">
        <f t="array" ref="M32">ROUNDDOWN(M31,2)</f>
        <v>179524935.32</v>
      </c>
      <c r="N32" s="68" cm="1">
        <f t="array" ref="N32">ROUNDDOWN(N31,-3)</f>
        <v>179524000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56.xml><?xml version="1.0" encoding="utf-8"?>
<worksheet xmlns:r="http://schemas.openxmlformats.org/officeDocument/2006/relationships" xmlns="http://schemas.openxmlformats.org/spreadsheetml/2006/main">
  <sheetPr>
    <pageSetUpPr fitToPage="1"/>
  </sheetPr>
  <dimension ref="A1:N32"/>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170" customWidth="1"/>
    <col min="2" max="2" width="43.0312" style="170" customWidth="1"/>
    <col min="3" max="3" width="2.75" style="170" customWidth="1"/>
    <col min="4" max="6" width="10.3672" style="170" customWidth="1"/>
    <col min="7" max="7" width="11.6875" style="170" customWidth="1"/>
    <col min="8" max="11" width="13.5156" style="170" customWidth="1"/>
    <col min="12" max="14" width="14.2344" style="170" customWidth="1"/>
    <col min="15" max="16384" width="16.3516" style="170"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16</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t="s" s="18">
        <v>17</v>
      </c>
      <c r="B4" t="s" s="19">
        <v>18</v>
      </c>
      <c r="C4" s="20"/>
      <c r="D4" s="21">
        <v>1</v>
      </c>
      <c r="E4" s="21" cm="1">
        <f t="array" ref="E4">D4</f>
        <v>1</v>
      </c>
      <c r="F4" s="21" cm="1">
        <f t="array" ref="F4">D4</f>
        <v>1</v>
      </c>
      <c r="G4" t="s" s="22">
        <v>19</v>
      </c>
      <c r="H4" s="21">
        <v>13495250</v>
      </c>
      <c r="I4" s="21">
        <v>13437750</v>
      </c>
      <c r="J4" s="21">
        <v>13437750</v>
      </c>
      <c r="K4" s="21">
        <v>11</v>
      </c>
      <c r="L4" s="21" cm="1">
        <f t="array" ref="L4">IF(D4&gt;0,IF($D4&lt;=0,0,D4*H4),"")</f>
        <v>13495250</v>
      </c>
      <c r="M4" s="21" cm="1">
        <f t="array" ref="M4">IF(E4&gt;0,IF($D4&lt;=0,0,ROUND(E4*I4,2)),"")</f>
        <v>13437750</v>
      </c>
      <c r="N4" s="23" cm="1">
        <f t="array" ref="N4">IF(F4&gt;0,IF($D4&lt;=0,0,ROUND(F4*J4,2)),"")</f>
        <v>13437750</v>
      </c>
    </row>
    <row r="5" ht="20.5" customHeight="1">
      <c r="A5" t="s" s="18">
        <v>20</v>
      </c>
      <c r="B5" t="s" s="19">
        <v>21</v>
      </c>
      <c r="C5" s="24"/>
      <c r="D5" s="26">
        <v>1</v>
      </c>
      <c r="E5" s="26" cm="1">
        <f t="array" ref="E5">D5</f>
        <v>1</v>
      </c>
      <c r="F5" s="26" cm="1">
        <f t="array" ref="F5">D5</f>
        <v>1</v>
      </c>
      <c r="G5" t="s" s="27">
        <v>19</v>
      </c>
      <c r="H5" s="26">
        <v>660000</v>
      </c>
      <c r="I5" s="26">
        <v>660000</v>
      </c>
      <c r="J5" s="26">
        <v>660000</v>
      </c>
      <c r="K5" s="26">
        <v>11</v>
      </c>
      <c r="L5" s="26" cm="1">
        <f t="array" ref="L5">IF(D5&gt;0,IF($D5&lt;=0,0,D5*H5),"")</f>
        <v>660000</v>
      </c>
      <c r="M5" s="26" cm="1">
        <f t="array" ref="M5">IF(E5&gt;0,IF($D5&lt;=0,0,ROUND(E5*I5,2)),"")</f>
        <v>660000</v>
      </c>
      <c r="N5" s="28" cm="1">
        <f t="array" ref="N5">IF(F5&gt;0,IF($D5&lt;=0,0,ROUND(F5*J5,2)),"")</f>
        <v>660000</v>
      </c>
    </row>
    <row r="6" ht="20.5" customHeight="1">
      <c r="A6" t="s" s="18">
        <v>22</v>
      </c>
      <c r="B6" t="s" s="19">
        <v>23</v>
      </c>
      <c r="C6" s="20"/>
      <c r="D6" s="21">
        <v>1</v>
      </c>
      <c r="E6" s="21" cm="1">
        <f t="array" ref="E6">D6</f>
        <v>1</v>
      </c>
      <c r="F6" s="21" cm="1">
        <f t="array" ref="F6">D6</f>
        <v>1</v>
      </c>
      <c r="G6" t="s" s="22">
        <v>19</v>
      </c>
      <c r="H6" s="21">
        <v>5039000</v>
      </c>
      <c r="I6" s="21">
        <v>4955000</v>
      </c>
      <c r="J6" s="21">
        <v>4955000</v>
      </c>
      <c r="K6" s="21">
        <v>11</v>
      </c>
      <c r="L6" s="21" cm="1">
        <f t="array" ref="L6">IF(D6&gt;0,IF($D6&lt;=0,0,D6*H6),"")</f>
        <v>5039000</v>
      </c>
      <c r="M6" s="21" cm="1">
        <f t="array" ref="M6">IF(E6&gt;0,IF($D6&lt;=0,0,ROUND(E6*I6,2)),"")</f>
        <v>4955000</v>
      </c>
      <c r="N6" s="23" cm="1">
        <f t="array" ref="N6">IF(F6&gt;0,IF($D6&lt;=0,0,ROUND(F6*J6,2)),"")</f>
        <v>4955000</v>
      </c>
    </row>
    <row r="7" ht="20.5" customHeight="1">
      <c r="A7" s="29"/>
      <c r="B7" t="s" s="19">
        <v>28</v>
      </c>
      <c r="C7" s="24"/>
      <c r="D7" s="30"/>
      <c r="E7" s="26"/>
      <c r="F7" s="26"/>
      <c r="G7" s="30"/>
      <c r="H7" s="26"/>
      <c r="I7" s="30"/>
      <c r="J7" s="30"/>
      <c r="K7" s="26"/>
      <c r="L7" t="str" s="30" cm="1">
        <f t="array" ref="L7">IF(D7&gt;0,IF($D7&lt;=0,0,D7*H7),"")</f>
      </c>
      <c r="M7" t="str" s="30" cm="1">
        <f t="array" ref="M7">IF(E7&gt;0,IF($D7&lt;=0,0,ROUND(E7*I7,2)),"")</f>
      </c>
      <c r="N7" t="str" s="31" cm="1">
        <f t="array" ref="N7">IF(F7&gt;0,IF($D7&lt;=0,0,ROUND(F7*J7,2)),"")</f>
      </c>
    </row>
    <row r="8" ht="20.5" customHeight="1">
      <c r="A8" t="s" s="18">
        <v>31</v>
      </c>
      <c r="B8" t="s" s="19">
        <v>32</v>
      </c>
      <c r="C8" s="20"/>
      <c r="D8" s="78">
        <v>386.8</v>
      </c>
      <c r="E8" s="21" cm="1">
        <f t="array" ref="E8">D8</f>
        <v>386.8</v>
      </c>
      <c r="F8" s="21" cm="1">
        <f t="array" ref="F8">D8</f>
        <v>386.8</v>
      </c>
      <c r="G8" t="s" s="22">
        <v>27</v>
      </c>
      <c r="H8" s="21">
        <v>274539.81</v>
      </c>
      <c r="I8" s="21">
        <v>274519.9</v>
      </c>
      <c r="J8" s="21">
        <v>274519.9</v>
      </c>
      <c r="K8" s="21">
        <v>11</v>
      </c>
      <c r="L8" s="21" cm="1">
        <f t="array" ref="L8">IF(D8&gt;0,IF($D8&lt;=0,0,D8*H8),"")</f>
        <v>106191998.508</v>
      </c>
      <c r="M8" s="21" cm="1">
        <f t="array" ref="M8">IF(E8&gt;0,IF($D8&lt;=0,0,ROUND(E8*I8,2)),"")</f>
        <v>106184297.32</v>
      </c>
      <c r="N8" s="23" cm="1">
        <f t="array" ref="N8">IF(F8&gt;0,IF($D8&lt;=0,0,ROUND(F8*J8,2)),"")</f>
        <v>106184297.32</v>
      </c>
    </row>
    <row r="9" ht="20.5" customHeight="1">
      <c r="A9" t="s" s="18">
        <v>33</v>
      </c>
      <c r="B9" t="s" s="19">
        <v>34</v>
      </c>
      <c r="C9" s="24"/>
      <c r="D9" s="26">
        <v>3150</v>
      </c>
      <c r="E9" s="26" cm="1">
        <f t="array" ref="E9">D9</f>
        <v>3150</v>
      </c>
      <c r="F9" s="26" cm="1">
        <f t="array" ref="F9">D9</f>
        <v>3150</v>
      </c>
      <c r="G9" t="s" s="27">
        <v>35</v>
      </c>
      <c r="H9" s="26">
        <v>2996.59</v>
      </c>
      <c r="I9" s="122">
        <v>2996.48</v>
      </c>
      <c r="J9" s="122">
        <v>2996.48</v>
      </c>
      <c r="K9" s="26">
        <v>11</v>
      </c>
      <c r="L9" s="26" cm="1">
        <f t="array" ref="L9">IF(D9&gt;0,IF($D9&lt;=0,0,D9*H9),"")</f>
        <v>9439258.5</v>
      </c>
      <c r="M9" s="26" cm="1">
        <f t="array" ref="M9">IF(E9&gt;0,IF($D9&lt;=0,0,ROUND(E9*I9,2)),"")</f>
        <v>9438912</v>
      </c>
      <c r="N9" s="28" cm="1">
        <f t="array" ref="N9">IF(F9&gt;0,IF($D9&lt;=0,0,ROUND(F9*J9,2)),"")</f>
        <v>9438912</v>
      </c>
    </row>
    <row r="10" ht="20.5" customHeight="1">
      <c r="A10" s="29"/>
      <c r="B10" t="s" s="19">
        <v>36</v>
      </c>
      <c r="C10" s="20"/>
      <c r="D10" s="21"/>
      <c r="E10" s="21"/>
      <c r="F10" s="21"/>
      <c r="G10" s="79"/>
      <c r="H10" s="79"/>
      <c r="I10" s="79"/>
      <c r="J10" s="79"/>
      <c r="K10" s="21"/>
      <c r="L10" t="str" s="79" cm="1">
        <f t="array" ref="L10">IF(D10&gt;0,IF($D10&lt;=0,0,D10*H11),"")</f>
      </c>
      <c r="M10" s="21"/>
      <c r="N10" s="23"/>
    </row>
    <row r="11" ht="20.6" customHeight="1">
      <c r="A11" s="33">
        <v>1</v>
      </c>
      <c r="B11" t="s" s="34">
        <v>37</v>
      </c>
      <c r="C11" s="80"/>
      <c r="D11" s="81">
        <v>1</v>
      </c>
      <c r="E11" s="81" cm="1">
        <f t="array" ref="E11">D11</f>
        <v>1</v>
      </c>
      <c r="F11" s="81" cm="1">
        <f t="array" ref="F11">D11</f>
        <v>1</v>
      </c>
      <c r="G11" t="s" s="82">
        <v>19</v>
      </c>
      <c r="H11" s="138">
        <v>306168.45</v>
      </c>
      <c r="I11" s="81">
        <v>305884.3</v>
      </c>
      <c r="J11" s="81">
        <v>305884.3</v>
      </c>
      <c r="K11" s="81">
        <v>0</v>
      </c>
      <c r="L11" s="81" cm="1">
        <f t="array" ref="L11">IF(D11&gt;0,IF($D11&lt;=0,0,D11*H11),"")</f>
        <v>306168.45</v>
      </c>
      <c r="M11" s="81" cm="1">
        <f t="array" ref="M11">IF(E11&gt;0,IF($D11&lt;=0,0,ROUND(E11*I11,2)),"")</f>
        <v>305884.3</v>
      </c>
      <c r="N11" s="83" cm="1">
        <f t="array" ref="N11">IF(F11&gt;0,IF($D11&lt;=0,0,ROUND(F11*J11,2)),"")</f>
        <v>305884.3</v>
      </c>
    </row>
    <row r="12" ht="8.75" customHeight="1" hidden="1">
      <c r="A12" s="39"/>
      <c r="B12" s="40"/>
      <c r="C12" s="45"/>
      <c r="D12" s="46"/>
      <c r="E12" s="46"/>
      <c r="F12" s="46"/>
      <c r="G12" s="47"/>
      <c r="H12" s="46"/>
      <c r="I12" s="46"/>
      <c r="J12" s="46"/>
      <c r="K12" s="46"/>
      <c r="L12" s="46"/>
      <c r="M12" s="46"/>
      <c r="N12" s="48"/>
    </row>
    <row r="13" ht="8.75" customHeight="1" hidden="1">
      <c r="A13" s="39"/>
      <c r="B13" s="40"/>
      <c r="C13" s="41"/>
      <c r="D13" s="42"/>
      <c r="E13" s="42"/>
      <c r="F13" s="42"/>
      <c r="G13" s="43"/>
      <c r="H13" s="42"/>
      <c r="I13" s="42"/>
      <c r="J13" s="42"/>
      <c r="K13" s="42"/>
      <c r="L13" s="42"/>
      <c r="M13" s="42"/>
      <c r="N13" s="44"/>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2"/>
      <c r="I15" s="42"/>
      <c r="J15" s="42"/>
      <c r="K15" s="42"/>
      <c r="L15" s="42"/>
      <c r="M15" s="42"/>
      <c r="N15" s="44"/>
    </row>
    <row r="16" ht="8.75" customHeight="1" hidden="1">
      <c r="A16" s="39"/>
      <c r="B16" s="40"/>
      <c r="C16" s="45"/>
      <c r="D16" s="46"/>
      <c r="E16" s="46"/>
      <c r="F16" s="46"/>
      <c r="G16" s="47"/>
      <c r="H16" s="46"/>
      <c r="I16" s="46"/>
      <c r="J16" s="46"/>
      <c r="K16" s="46"/>
      <c r="L16" s="46"/>
      <c r="M16" s="46"/>
      <c r="N16" s="48"/>
    </row>
    <row r="17" ht="8.75" customHeight="1" hidden="1">
      <c r="A17" s="39"/>
      <c r="B17" s="40"/>
      <c r="C17" s="41"/>
      <c r="D17" s="42"/>
      <c r="E17" s="42"/>
      <c r="F17" s="42"/>
      <c r="G17" s="43"/>
      <c r="H17" s="42"/>
      <c r="I17" s="42"/>
      <c r="J17" s="42"/>
      <c r="K17" s="42"/>
      <c r="L17" s="42"/>
      <c r="M17" s="42"/>
      <c r="N17" s="44"/>
    </row>
    <row r="18" ht="8.75" customHeight="1" hidden="1">
      <c r="A18" s="39"/>
      <c r="B18" s="40"/>
      <c r="C18" s="45"/>
      <c r="D18" s="46"/>
      <c r="E18" s="46"/>
      <c r="F18" s="46"/>
      <c r="G18" s="47"/>
      <c r="H18" s="47"/>
      <c r="I18" s="47"/>
      <c r="J18" s="47"/>
      <c r="K18" s="46"/>
      <c r="L18" s="47"/>
      <c r="M18" s="47"/>
      <c r="N18" s="52"/>
    </row>
    <row r="19" ht="8.75" customHeight="1" hidden="1">
      <c r="A19" s="39"/>
      <c r="B19" s="40"/>
      <c r="C19" s="41"/>
      <c r="D19" s="42"/>
      <c r="E19" s="42"/>
      <c r="F19" s="42"/>
      <c r="G19" s="43"/>
      <c r="H19" s="84"/>
      <c r="I19" s="84"/>
      <c r="J19" s="84"/>
      <c r="K19" s="42"/>
      <c r="L19" s="42"/>
      <c r="M19" s="42"/>
      <c r="N19" s="44"/>
    </row>
    <row r="20" ht="8.75" customHeight="1" hidden="1">
      <c r="A20" s="39"/>
      <c r="B20" s="40"/>
      <c r="C20" s="45"/>
      <c r="D20" s="46"/>
      <c r="E20" s="46"/>
      <c r="F20" s="46"/>
      <c r="G20" s="47"/>
      <c r="H20" s="47"/>
      <c r="I20" s="47"/>
      <c r="J20" s="47"/>
      <c r="K20" s="46"/>
      <c r="L20" s="47"/>
      <c r="M20" s="47"/>
      <c r="N20" s="52"/>
    </row>
    <row r="21" ht="8.75" customHeight="1" hidden="1">
      <c r="A21" s="39"/>
      <c r="B21" s="40"/>
      <c r="C21" s="41"/>
      <c r="D21" s="42"/>
      <c r="E21" s="42"/>
      <c r="F21" s="42"/>
      <c r="G21" s="43"/>
      <c r="H21" s="42"/>
      <c r="I21" s="42"/>
      <c r="J21" s="42"/>
      <c r="K21" s="42"/>
      <c r="L21" s="42"/>
      <c r="M21" s="42"/>
      <c r="N21" s="44"/>
    </row>
    <row r="22" ht="8.75" customHeight="1" hidden="1">
      <c r="A22" s="39"/>
      <c r="B22" s="40"/>
      <c r="C22" s="45"/>
      <c r="D22" s="46"/>
      <c r="E22" s="46"/>
      <c r="F22" s="46"/>
      <c r="G22" s="47"/>
      <c r="H22" s="46"/>
      <c r="I22" s="46"/>
      <c r="J22" s="46"/>
      <c r="K22" s="46"/>
      <c r="L22" s="46"/>
      <c r="M22" s="46"/>
      <c r="N22" s="48"/>
    </row>
    <row r="23" ht="8.75" customHeight="1" hidden="1">
      <c r="A23" s="51"/>
      <c r="B23" s="40"/>
      <c r="C23" s="41"/>
      <c r="D23" s="42"/>
      <c r="E23" s="42"/>
      <c r="F23" s="42"/>
      <c r="G23" s="43"/>
      <c r="H23" s="42"/>
      <c r="I23" s="42"/>
      <c r="J23" s="42"/>
      <c r="K23" s="42"/>
      <c r="L23" s="42"/>
      <c r="M23" s="42"/>
      <c r="N23" s="44"/>
    </row>
    <row r="24" ht="8.75" customHeight="1" hidden="1">
      <c r="A24" s="51"/>
      <c r="B24" s="40"/>
      <c r="C24" s="45"/>
      <c r="D24" s="46"/>
      <c r="E24" s="46"/>
      <c r="F24" s="46"/>
      <c r="G24" s="47"/>
      <c r="H24" s="46"/>
      <c r="I24" s="46"/>
      <c r="J24" s="46"/>
      <c r="K24" s="46"/>
      <c r="L24" s="46"/>
      <c r="M24" s="46"/>
      <c r="N24" s="48"/>
    </row>
    <row r="25" ht="8.75" customHeight="1" hidden="1">
      <c r="A25" s="39"/>
      <c r="B25" s="40"/>
      <c r="C25" s="41"/>
      <c r="D25" s="42"/>
      <c r="E25" s="42"/>
      <c r="F25" s="42"/>
      <c r="G25" s="43"/>
      <c r="H25" s="42"/>
      <c r="I25" s="42"/>
      <c r="J25" s="42"/>
      <c r="K25" s="42"/>
      <c r="L25" s="43"/>
      <c r="M25" s="43"/>
      <c r="N25" s="49"/>
    </row>
    <row r="26" ht="8.75" customHeight="1" hidden="1">
      <c r="A26" s="39"/>
      <c r="B26" s="40"/>
      <c r="C26" s="45"/>
      <c r="D26" s="46"/>
      <c r="E26" s="46"/>
      <c r="F26" s="46"/>
      <c r="G26" s="47"/>
      <c r="H26" s="46"/>
      <c r="I26" s="46"/>
      <c r="J26" s="46"/>
      <c r="K26" s="46"/>
      <c r="L26" s="46"/>
      <c r="M26" s="46"/>
      <c r="N26" s="48"/>
    </row>
    <row r="27" ht="8.75" customHeight="1" hidden="1">
      <c r="A27" s="39"/>
      <c r="B27" s="40"/>
      <c r="C27" s="41"/>
      <c r="D27" s="42"/>
      <c r="E27" s="42"/>
      <c r="F27" s="42"/>
      <c r="G27" s="43"/>
      <c r="H27" s="42"/>
      <c r="I27" s="42"/>
      <c r="J27" s="42"/>
      <c r="K27" s="42"/>
      <c r="L27" s="43"/>
      <c r="M27" s="43"/>
      <c r="N27" s="49"/>
    </row>
    <row r="28" ht="20.85" customHeight="1">
      <c r="A28" s="53"/>
      <c r="B28" s="54"/>
      <c r="C28" s="54"/>
      <c r="D28" s="55"/>
      <c r="E28" s="55"/>
      <c r="F28" s="55"/>
      <c r="G28" s="56"/>
      <c r="H28" s="56"/>
      <c r="I28" s="54"/>
      <c r="J28" s="57"/>
      <c r="K28" t="s" s="58">
        <v>38</v>
      </c>
      <c r="L28" s="59" cm="1">
        <f t="array" ref="L28">SUM(L1:L27)</f>
        <v>135131675.458</v>
      </c>
      <c r="M28" s="59" cm="1">
        <f t="array" ref="M28">SUM(M1:M27)</f>
        <v>134981843.62</v>
      </c>
      <c r="N28" s="59" cm="1">
        <f t="array" ref="N28">SUM(N1:N27)</f>
        <v>134981843.62</v>
      </c>
    </row>
    <row r="29" ht="21" customHeight="1">
      <c r="A29" s="60"/>
      <c r="B29" t="s" s="61">
        <v>39</v>
      </c>
      <c r="C29" s="62"/>
      <c r="D29" s="63" cm="1">
        <f t="array" ref="D29">ROUND(IF(L29&lt;=100000000,L29*0.24%,IF(AND(L29&gt;100000000,L29&lt;=500000000),100000000*0.24%+(L29-100000000)*0.19%,IF(AND(L29&gt;500000000,L29&lt;=1000000000),100000000*0.24%+400000000*0.19%+(L29-500000000)*0.15%,IF(AND(L29&gt;1000000000,L29&lt;=5000000000),100000000*0.24%+400000000*0.19%+500000000*0.15%+(L29-1000000000)*0.12%,IF(L29&gt;5000000000,100000000*0.24%+400000000*0.19%+500000000*0.15%+4000000000*0.12%+(L29-5000000000)*0.1%,"Bingung komputer"))))),2)</f>
        <v>306168.46</v>
      </c>
      <c r="E29" s="64" cm="1">
        <f t="array" ref="E29">ROUND(IF(M29&lt;=100000000,M29*0.24%,IF(AND(M29&gt;100000000,M29&lt;=500000000),100000000*0.24%+(M29-100000000)*0.19%,IF(AND(M29&gt;500000000,M29&lt;=1000000000),100000000*0.24%+400000000*0.19%+(M29-500000000)*0.15%,IF(AND(M29&gt;1000000000,M29&lt;=5000000000),100000000*0.24%+400000000*0.19%+500000000*0.15%+(M29-1000000000)*0.12%,IF(M29&gt;5000000000,100000000*0.24%+400000000*0.19%+500000000*0.15%+4000000000*0.12%+(M29-5000000000)*0.1%,"Bingung komputer"))))),2)</f>
        <v>305884.32</v>
      </c>
      <c r="F29" s="64" cm="1">
        <f t="array" ref="F29">ROUND(IF(N29&lt;=100000000,N29*0.24%,IF(AND(N29&gt;100000000,N29&lt;=500000000),100000000*0.24%+(N29-100000000)*0.19%,IF(AND(N29&gt;500000000,N29&lt;=1000000000),100000000*0.24%+400000000*0.19%+(N29-500000000)*0.15%,IF(AND(N29&gt;1000000000,N29&lt;=5000000000),100000000*0.24%+400000000*0.19%+500000000*0.15%+(N29-1000000000)*0.12%,IF(N29&gt;5000000000,100000000*0.24%+400000000*0.19%+500000000*0.15%+4000000000*0.12%+(N29-5000000000)*0.1%,"Bingung komputer"))))),2)</f>
        <v>305884.32</v>
      </c>
      <c r="G29" s="65"/>
      <c r="H29" s="66"/>
      <c r="I29" s="62"/>
      <c r="J29" s="67"/>
      <c r="K29" t="str" s="67" cm="1">
        <f t="array" ref="K29">"Jumlah Terkena Pajak "&amp;MAX(K3:K27)&amp;"% (B)"</f>
        <v>Jumlah Terkena Pajak 11,00% (B)</v>
      </c>
      <c r="L29" s="68" cm="1">
        <f t="array" ref="L29">SUMIF($K3:$K27,"&gt;0",L3:L27)</f>
        <v>134825507.008</v>
      </c>
      <c r="M29" s="69" cm="1">
        <f t="array" ref="M29">SUMIF($K3:$K27,"&gt;0",M3:M27)</f>
        <v>134675959.32</v>
      </c>
      <c r="N29" s="69" cm="1">
        <f t="array" ref="N29">SUMIF($K3:$K27,"&gt;0",N3:N27)</f>
        <v>134675959.32</v>
      </c>
    </row>
    <row r="30" ht="21" customHeight="1">
      <c r="A30" s="70"/>
      <c r="B30" s="71"/>
      <c r="C30" s="71"/>
      <c r="D30" s="72"/>
      <c r="E30" s="72"/>
      <c r="F30" s="71"/>
      <c r="G30" s="72"/>
      <c r="H30" s="72"/>
      <c r="I30" s="71"/>
      <c r="J30" s="73"/>
      <c r="K30" t="str" s="73" cm="1">
        <f t="array" ref="K30">"PPN (C) = "&amp;MAX(K3:K27)&amp;"% x B"</f>
        <v>PPN (C) = 11,00% x B</v>
      </c>
      <c r="L30" s="74" cm="1">
        <f t="array" ref="L30">L29*MAX($K3:$K27)%</f>
        <v>14830805.77088</v>
      </c>
      <c r="M30" s="69" cm="1">
        <f t="array" ref="M30">M29*MAX($K3:$K27)%</f>
        <v>14814355.5252</v>
      </c>
      <c r="N30" s="69" cm="1">
        <f t="array" ref="N30">N29*MAX($K3:$K27)%</f>
        <v>14814355.5252</v>
      </c>
    </row>
    <row r="31" ht="21" customHeight="1">
      <c r="A31" s="70"/>
      <c r="B31" s="71"/>
      <c r="C31" s="71"/>
      <c r="D31" s="72"/>
      <c r="E31" s="72"/>
      <c r="F31" s="72"/>
      <c r="G31" s="72"/>
      <c r="H31" s="72"/>
      <c r="I31" s="71"/>
      <c r="J31" s="73"/>
      <c r="K31" t="s" s="75">
        <v>42</v>
      </c>
      <c r="L31" s="76" cm="1">
        <f t="array" ref="L31">L28+L30</f>
        <v>149962481.22888</v>
      </c>
      <c r="M31" s="69" cm="1">
        <f t="array" ref="M31">M28+M30</f>
        <v>149796199.1452</v>
      </c>
      <c r="N31" s="69" cm="1">
        <f t="array" ref="N31">N28+N30</f>
        <v>149796199.1452</v>
      </c>
    </row>
    <row r="32" ht="20.5" customHeight="1">
      <c r="A32" s="70"/>
      <c r="B32" s="71"/>
      <c r="C32" s="71"/>
      <c r="D32" s="72"/>
      <c r="E32" s="72"/>
      <c r="F32" s="72"/>
      <c r="G32" s="72"/>
      <c r="H32" s="72"/>
      <c r="I32" s="71"/>
      <c r="J32" s="73"/>
      <c r="K32" t="s" s="75">
        <v>43</v>
      </c>
      <c r="L32" s="68" cm="1">
        <f t="array" ref="L32">ROUNDDOWN(L31,2)</f>
        <v>149962481.22</v>
      </c>
      <c r="M32" s="68" cm="1">
        <f t="array" ref="M32">ROUNDDOWN(M31,2)</f>
        <v>149796199.14</v>
      </c>
      <c r="N32" s="68" cm="1">
        <f t="array" ref="N32">ROUNDDOWN(N31,-3)</f>
        <v>149796000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57.xml><?xml version="1.0" encoding="utf-8"?>
<worksheet xmlns:r="http://schemas.openxmlformats.org/officeDocument/2006/relationships" xmlns="http://schemas.openxmlformats.org/spreadsheetml/2006/main">
  <sheetPr>
    <pageSetUpPr fitToPage="1"/>
  </sheetPr>
  <dimension ref="A1:N34"/>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171" customWidth="1"/>
    <col min="2" max="2" width="43.0312" style="171" customWidth="1"/>
    <col min="3" max="3" width="2.75" style="171" customWidth="1"/>
    <col min="4" max="6" width="10.3672" style="171" customWidth="1"/>
    <col min="7" max="7" width="11.6875" style="171" customWidth="1"/>
    <col min="8" max="11" width="13.5156" style="171" customWidth="1"/>
    <col min="12" max="14" width="14.2344" style="171" customWidth="1"/>
    <col min="15" max="16384" width="16.3516" style="171"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16</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t="s" s="18">
        <v>17</v>
      </c>
      <c r="B4" t="s" s="19">
        <v>18</v>
      </c>
      <c r="C4" s="20"/>
      <c r="D4" s="21">
        <v>1</v>
      </c>
      <c r="E4" s="21" cm="1">
        <f t="array" ref="E4">D4</f>
        <v>1</v>
      </c>
      <c r="F4" s="21" cm="1">
        <f t="array" ref="F4">D4</f>
        <v>1</v>
      </c>
      <c r="G4" t="s" s="22">
        <v>19</v>
      </c>
      <c r="H4" s="21">
        <v>7515250</v>
      </c>
      <c r="I4" s="21">
        <v>7480750</v>
      </c>
      <c r="J4" s="21">
        <v>7480750</v>
      </c>
      <c r="K4" s="21">
        <v>11</v>
      </c>
      <c r="L4" s="21" cm="1">
        <f t="array" ref="L4">IF(D4&gt;0,IF($D4&lt;=0,0,D4*H4),"")</f>
        <v>7515250</v>
      </c>
      <c r="M4" s="21" cm="1">
        <f t="array" ref="M4">IF(E4&gt;0,IF($D4&lt;=0,0,ROUND(E4*I4,2)),"")</f>
        <v>7480750</v>
      </c>
      <c r="N4" s="23" cm="1">
        <f t="array" ref="N4">IF(F4&gt;0,IF($D4&lt;=0,0,ROUND(F4*J4,2)),"")</f>
        <v>7480750</v>
      </c>
    </row>
    <row r="5" ht="20.5" customHeight="1">
      <c r="A5" t="s" s="18">
        <v>20</v>
      </c>
      <c r="B5" t="s" s="19">
        <v>21</v>
      </c>
      <c r="C5" s="24"/>
      <c r="D5" s="26">
        <v>1</v>
      </c>
      <c r="E5" s="26" cm="1">
        <f t="array" ref="E5">D5</f>
        <v>1</v>
      </c>
      <c r="F5" s="26" cm="1">
        <f t="array" ref="F5">D5</f>
        <v>1</v>
      </c>
      <c r="G5" t="s" s="27">
        <v>19</v>
      </c>
      <c r="H5" s="26">
        <v>660000</v>
      </c>
      <c r="I5" s="26">
        <v>630000</v>
      </c>
      <c r="J5" s="26">
        <v>630000</v>
      </c>
      <c r="K5" s="26">
        <v>11</v>
      </c>
      <c r="L5" s="26" cm="1">
        <f t="array" ref="L5">IF(D5&gt;0,IF($D5&lt;=0,0,D5*H5),"")</f>
        <v>660000</v>
      </c>
      <c r="M5" s="26" cm="1">
        <f t="array" ref="M5">IF(E5&gt;0,IF($D5&lt;=0,0,ROUND(E5*I5,2)),"")</f>
        <v>630000</v>
      </c>
      <c r="N5" s="28" cm="1">
        <f t="array" ref="N5">IF(F5&gt;0,IF($D5&lt;=0,0,ROUND(F5*J5,2)),"")</f>
        <v>630000</v>
      </c>
    </row>
    <row r="6" ht="20.5" customHeight="1">
      <c r="A6" t="s" s="18">
        <v>22</v>
      </c>
      <c r="B6" t="s" s="19">
        <v>23</v>
      </c>
      <c r="C6" s="20"/>
      <c r="D6" s="21">
        <v>1</v>
      </c>
      <c r="E6" s="21" cm="1">
        <f t="array" ref="E6">D6</f>
        <v>1</v>
      </c>
      <c r="F6" s="21" cm="1">
        <f t="array" ref="F6">D6</f>
        <v>1</v>
      </c>
      <c r="G6" t="s" s="22">
        <v>19</v>
      </c>
      <c r="H6" s="21">
        <v>3298000</v>
      </c>
      <c r="I6" s="21">
        <v>3250000</v>
      </c>
      <c r="J6" s="21">
        <v>3250000</v>
      </c>
      <c r="K6" s="21">
        <v>11</v>
      </c>
      <c r="L6" s="21" cm="1">
        <f t="array" ref="L6">IF(D6&gt;0,IF($D6&lt;=0,0,D6*H6),"")</f>
        <v>3298000</v>
      </c>
      <c r="M6" s="21" cm="1">
        <f t="array" ref="M6">IF(E6&gt;0,IF($D6&lt;=0,0,ROUND(E6*I6,2)),"")</f>
        <v>3250000</v>
      </c>
      <c r="N6" s="23" cm="1">
        <f t="array" ref="N6">IF(F6&gt;0,IF($D6&lt;=0,0,ROUND(F6*J6,2)),"")</f>
        <v>3250000</v>
      </c>
    </row>
    <row r="7" ht="20.5" customHeight="1">
      <c r="A7" s="29"/>
      <c r="B7" t="s" s="19">
        <v>24</v>
      </c>
      <c r="C7" s="24"/>
      <c r="D7" s="30"/>
      <c r="E7" s="26"/>
      <c r="F7" s="26"/>
      <c r="G7" s="30"/>
      <c r="H7" s="26"/>
      <c r="I7" s="30"/>
      <c r="J7" s="30"/>
      <c r="K7" s="26"/>
      <c r="L7" t="str" s="30" cm="1">
        <f t="array" ref="L7">IF(D7&gt;0,IF($D7&lt;=0,0,D7*H7),"")</f>
      </c>
      <c r="M7" t="str" s="30" cm="1">
        <f t="array" ref="M7">IF(E7&gt;0,IF($D7&lt;=0,0,ROUND(E7*I7,2)),"")</f>
      </c>
      <c r="N7" t="str" s="31" cm="1">
        <f t="array" ref="N7">IF(F7&gt;0,IF($D7&lt;=0,0,ROUND(F7*J7,2)),"")</f>
      </c>
    </row>
    <row r="8" ht="20.5" customHeight="1">
      <c r="A8" t="s" s="18">
        <v>25</v>
      </c>
      <c r="B8" t="s" s="19">
        <v>26</v>
      </c>
      <c r="C8" s="20"/>
      <c r="D8" s="78">
        <v>486</v>
      </c>
      <c r="E8" s="21" cm="1">
        <f t="array" ref="E8">D8</f>
        <v>486</v>
      </c>
      <c r="F8" s="21" cm="1">
        <f t="array" ref="F8">D8</f>
        <v>486</v>
      </c>
      <c r="G8" t="s" s="22">
        <v>27</v>
      </c>
      <c r="H8" s="21">
        <v>35065.04</v>
      </c>
      <c r="I8" s="32">
        <v>35056.92</v>
      </c>
      <c r="J8" s="32">
        <v>35056.92</v>
      </c>
      <c r="K8" s="21">
        <v>11</v>
      </c>
      <c r="L8" s="21" cm="1">
        <f t="array" ref="L8">IF(D8&gt;0,IF($D8&lt;=0,0,D8*H8),"")</f>
        <v>17041609.44</v>
      </c>
      <c r="M8" s="21" cm="1">
        <f t="array" ref="M8">IF(E8&gt;0,IF($D8&lt;=0,0,ROUND(E8*I8,2)),"")</f>
        <v>17037663.12</v>
      </c>
      <c r="N8" s="23" cm="1">
        <f t="array" ref="N8">IF(F8&gt;0,IF($D8&lt;=0,0,ROUND(F8*J8,2)),"")</f>
        <v>17037663.12</v>
      </c>
    </row>
    <row r="9" ht="20.5" customHeight="1">
      <c r="A9" s="29"/>
      <c r="B9" t="s" s="19">
        <v>28</v>
      </c>
      <c r="C9" s="24"/>
      <c r="D9" s="30"/>
      <c r="E9" s="26"/>
      <c r="F9" s="26"/>
      <c r="G9" s="30"/>
      <c r="H9" s="26"/>
      <c r="I9" s="30"/>
      <c r="J9" s="30"/>
      <c r="K9" s="26"/>
      <c r="L9" t="str" s="30" cm="1">
        <f t="array" ref="L9">IF(D9&gt;0,IF($D9&lt;=0,0,D9*H9),"")</f>
      </c>
      <c r="M9" t="str" s="30" cm="1">
        <f t="array" ref="M9">IF(E9&gt;0,IF($D9&lt;=0,0,ROUND(E9*I9,2)),"")</f>
      </c>
      <c r="N9" t="str" s="31" cm="1">
        <f t="array" ref="N9">IF(F9&gt;0,IF($D9&lt;=0,0,ROUND(F9*J9,2)),"")</f>
      </c>
    </row>
    <row r="10" ht="20.5" customHeight="1">
      <c r="A10" t="s" s="18">
        <v>29</v>
      </c>
      <c r="B10" t="s" s="19">
        <v>256</v>
      </c>
      <c r="C10" s="20"/>
      <c r="D10" s="78">
        <v>981.25</v>
      </c>
      <c r="E10" s="21" cm="1">
        <f t="array" ref="E10">D10</f>
        <v>981.25</v>
      </c>
      <c r="F10" s="21" cm="1">
        <f t="array" ref="F10">D10</f>
        <v>981.25</v>
      </c>
      <c r="G10" t="s" s="22">
        <v>27</v>
      </c>
      <c r="H10" s="21">
        <v>44543.07</v>
      </c>
      <c r="I10" s="32">
        <v>44538.28</v>
      </c>
      <c r="J10" s="32">
        <v>44538.28</v>
      </c>
      <c r="K10" s="21">
        <v>11</v>
      </c>
      <c r="L10" s="21" cm="1">
        <f t="array" ref="L10">IF(D10&gt;0,IF($D10&lt;=0,0,D10*H10),"")</f>
        <v>43707887.4375</v>
      </c>
      <c r="M10" s="21" cm="1">
        <f t="array" ref="M10">IF(E10&gt;0,IF($D10&lt;=0,0,ROUND(E10*I10,2)),"")</f>
        <v>43703187.25</v>
      </c>
      <c r="N10" s="23" cm="1">
        <f t="array" ref="N10">IF(F10&gt;0,IF($D10&lt;=0,0,ROUND(F10*J10,2)),"")</f>
        <v>43703187.25</v>
      </c>
    </row>
    <row r="11" ht="20.5" customHeight="1">
      <c r="A11" t="s" s="18">
        <v>257</v>
      </c>
      <c r="B11" t="s" s="19">
        <v>258</v>
      </c>
      <c r="C11" s="24"/>
      <c r="D11" s="172">
        <v>3600</v>
      </c>
      <c r="E11" s="26" cm="1">
        <f t="array" ref="E11">D11</f>
        <v>3600</v>
      </c>
      <c r="F11" s="26" cm="1">
        <f t="array" ref="F11">D11</f>
        <v>3600</v>
      </c>
      <c r="G11" t="s" s="27">
        <v>35</v>
      </c>
      <c r="H11" s="26">
        <v>24842.59</v>
      </c>
      <c r="I11" s="122">
        <v>24840.22</v>
      </c>
      <c r="J11" s="122">
        <v>24840.22</v>
      </c>
      <c r="K11" s="26">
        <v>11</v>
      </c>
      <c r="L11" s="26" cm="1">
        <f t="array" ref="L11">IF(D11&gt;0,IF($D11&lt;=0,0,D11*H11),"")</f>
        <v>89433324</v>
      </c>
      <c r="M11" s="26" cm="1">
        <f t="array" ref="M11">IF(E11&gt;0,IF($D11&lt;=0,0,ROUND(E11*I11,2)),"")</f>
        <v>89424792</v>
      </c>
      <c r="N11" s="28" cm="1">
        <f t="array" ref="N11">IF(F11&gt;0,IF($D11&lt;=0,0,ROUND(F11*J11,2)),"")</f>
        <v>89424792</v>
      </c>
    </row>
    <row r="12" ht="20.5" customHeight="1">
      <c r="A12" s="29"/>
      <c r="B12" t="s" s="19">
        <v>36</v>
      </c>
      <c r="C12" s="20"/>
      <c r="D12" s="21"/>
      <c r="E12" s="21"/>
      <c r="F12" s="21"/>
      <c r="G12" s="79"/>
      <c r="H12" s="79"/>
      <c r="I12" s="79"/>
      <c r="J12" s="79"/>
      <c r="K12" s="21"/>
      <c r="L12" t="str" s="79" cm="1">
        <f t="array" ref="L12">IF(D12&gt;0,IF($D12&lt;=0,0,D12*H13),"")</f>
      </c>
      <c r="M12" s="21"/>
      <c r="N12" s="23"/>
    </row>
    <row r="13" ht="20.6" customHeight="1">
      <c r="A13" s="33">
        <v>1</v>
      </c>
      <c r="B13" t="s" s="34">
        <v>37</v>
      </c>
      <c r="C13" s="80"/>
      <c r="D13" s="81">
        <v>1</v>
      </c>
      <c r="E13" s="81" cm="1">
        <f t="array" ref="E13">D13</f>
        <v>1</v>
      </c>
      <c r="F13" s="81" cm="1">
        <f t="array" ref="F13">D13</f>
        <v>1</v>
      </c>
      <c r="G13" t="s" s="82">
        <v>19</v>
      </c>
      <c r="H13" s="138">
        <v>357146.52</v>
      </c>
      <c r="I13" s="138">
        <v>356900.13</v>
      </c>
      <c r="J13" s="138">
        <v>356900.13</v>
      </c>
      <c r="K13" s="81">
        <v>0</v>
      </c>
      <c r="L13" s="81" cm="1">
        <f t="array" ref="L13">IF(D13&gt;0,IF($D13&lt;=0,0,D13*H13),"")</f>
        <v>357146.52</v>
      </c>
      <c r="M13" s="81" cm="1">
        <f t="array" ref="M13">IF(E13&gt;0,IF($D13&lt;=0,0,ROUND(E13*I13,2)),"")</f>
        <v>356900.13</v>
      </c>
      <c r="N13" s="83" cm="1">
        <f t="array" ref="N13">IF(F13&gt;0,IF($D13&lt;=0,0,ROUND(F13*J13,2)),"")</f>
        <v>356900.13</v>
      </c>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2"/>
      <c r="I15" s="42"/>
      <c r="J15" s="42"/>
      <c r="K15" s="42"/>
      <c r="L15" s="42"/>
      <c r="M15" s="42"/>
      <c r="N15" s="44"/>
    </row>
    <row r="16" ht="8.75" customHeight="1" hidden="1">
      <c r="A16" s="39"/>
      <c r="B16" s="40"/>
      <c r="C16" s="45"/>
      <c r="D16" s="46"/>
      <c r="E16" s="46"/>
      <c r="F16" s="46"/>
      <c r="G16" s="47"/>
      <c r="H16" s="46"/>
      <c r="I16" s="46"/>
      <c r="J16" s="46"/>
      <c r="K16" s="46"/>
      <c r="L16" s="46"/>
      <c r="M16" s="46"/>
      <c r="N16" s="48"/>
    </row>
    <row r="17" ht="8.75" customHeight="1" hidden="1">
      <c r="A17" s="39"/>
      <c r="B17" s="40"/>
      <c r="C17" s="41"/>
      <c r="D17" s="42"/>
      <c r="E17" s="42"/>
      <c r="F17" s="42"/>
      <c r="G17" s="43"/>
      <c r="H17" s="42"/>
      <c r="I17" s="42"/>
      <c r="J17" s="42"/>
      <c r="K17" s="42"/>
      <c r="L17" s="42"/>
      <c r="M17" s="42"/>
      <c r="N17" s="44"/>
    </row>
    <row r="18" ht="8.75" customHeight="1" hidden="1">
      <c r="A18" s="39"/>
      <c r="B18" s="40"/>
      <c r="C18" s="45"/>
      <c r="D18" s="46"/>
      <c r="E18" s="46"/>
      <c r="F18" s="46"/>
      <c r="G18" s="47"/>
      <c r="H18" s="46"/>
      <c r="I18" s="46"/>
      <c r="J18" s="46"/>
      <c r="K18" s="46"/>
      <c r="L18" s="46"/>
      <c r="M18" s="46"/>
      <c r="N18" s="48"/>
    </row>
    <row r="19" ht="8.75" customHeight="1" hidden="1">
      <c r="A19" s="39"/>
      <c r="B19" s="40"/>
      <c r="C19" s="41"/>
      <c r="D19" s="42"/>
      <c r="E19" s="42"/>
      <c r="F19" s="42"/>
      <c r="G19" s="43"/>
      <c r="H19" s="42"/>
      <c r="I19" s="42"/>
      <c r="J19" s="42"/>
      <c r="K19" s="42"/>
      <c r="L19" s="42"/>
      <c r="M19" s="42"/>
      <c r="N19" s="44"/>
    </row>
    <row r="20" ht="8.75" customHeight="1" hidden="1">
      <c r="A20" s="39"/>
      <c r="B20" s="40"/>
      <c r="C20" s="45"/>
      <c r="D20" s="46"/>
      <c r="E20" s="46"/>
      <c r="F20" s="46"/>
      <c r="G20" s="47"/>
      <c r="H20" s="47"/>
      <c r="I20" s="47"/>
      <c r="J20" s="47"/>
      <c r="K20" s="46"/>
      <c r="L20" s="47"/>
      <c r="M20" s="47"/>
      <c r="N20" s="52"/>
    </row>
    <row r="21" ht="8.75" customHeight="1" hidden="1">
      <c r="A21" s="39"/>
      <c r="B21" s="40"/>
      <c r="C21" s="41"/>
      <c r="D21" s="42"/>
      <c r="E21" s="42"/>
      <c r="F21" s="42"/>
      <c r="G21" s="43"/>
      <c r="H21" s="84"/>
      <c r="I21" s="84"/>
      <c r="J21" s="84"/>
      <c r="K21" s="42"/>
      <c r="L21" s="42"/>
      <c r="M21" s="42"/>
      <c r="N21" s="44"/>
    </row>
    <row r="22" ht="8.75" customHeight="1" hidden="1">
      <c r="A22" s="39"/>
      <c r="B22" s="40"/>
      <c r="C22" s="45"/>
      <c r="D22" s="46"/>
      <c r="E22" s="46"/>
      <c r="F22" s="46"/>
      <c r="G22" s="47"/>
      <c r="H22" s="47"/>
      <c r="I22" s="47"/>
      <c r="J22" s="47"/>
      <c r="K22" s="46"/>
      <c r="L22" s="47"/>
      <c r="M22" s="47"/>
      <c r="N22" s="52"/>
    </row>
    <row r="23" ht="8.75" customHeight="1" hidden="1">
      <c r="A23" s="39"/>
      <c r="B23" s="40"/>
      <c r="C23" s="41"/>
      <c r="D23" s="42"/>
      <c r="E23" s="42"/>
      <c r="F23" s="42"/>
      <c r="G23" s="43"/>
      <c r="H23" s="42"/>
      <c r="I23" s="42"/>
      <c r="J23" s="42"/>
      <c r="K23" s="42"/>
      <c r="L23" s="42"/>
      <c r="M23" s="42"/>
      <c r="N23" s="44"/>
    </row>
    <row r="24" ht="8.75" customHeight="1" hidden="1">
      <c r="A24" s="39"/>
      <c r="B24" s="40"/>
      <c r="C24" s="45"/>
      <c r="D24" s="46"/>
      <c r="E24" s="46"/>
      <c r="F24" s="46"/>
      <c r="G24" s="47"/>
      <c r="H24" s="46"/>
      <c r="I24" s="46"/>
      <c r="J24" s="46"/>
      <c r="K24" s="46"/>
      <c r="L24" s="46"/>
      <c r="M24" s="46"/>
      <c r="N24" s="48"/>
    </row>
    <row r="25" ht="8.75" customHeight="1" hidden="1">
      <c r="A25" s="51"/>
      <c r="B25" s="40"/>
      <c r="C25" s="41"/>
      <c r="D25" s="42"/>
      <c r="E25" s="42"/>
      <c r="F25" s="42"/>
      <c r="G25" s="43"/>
      <c r="H25" s="42"/>
      <c r="I25" s="42"/>
      <c r="J25" s="42"/>
      <c r="K25" s="42"/>
      <c r="L25" s="42"/>
      <c r="M25" s="42"/>
      <c r="N25" s="44"/>
    </row>
    <row r="26" ht="8.75" customHeight="1" hidden="1">
      <c r="A26" s="51"/>
      <c r="B26" s="40"/>
      <c r="C26" s="45"/>
      <c r="D26" s="46"/>
      <c r="E26" s="46"/>
      <c r="F26" s="46"/>
      <c r="G26" s="47"/>
      <c r="H26" s="46"/>
      <c r="I26" s="46"/>
      <c r="J26" s="46"/>
      <c r="K26" s="46"/>
      <c r="L26" s="46"/>
      <c r="M26" s="46"/>
      <c r="N26" s="48"/>
    </row>
    <row r="27" ht="8.75" customHeight="1" hidden="1">
      <c r="A27" s="39"/>
      <c r="B27" s="40"/>
      <c r="C27" s="41"/>
      <c r="D27" s="42"/>
      <c r="E27" s="42"/>
      <c r="F27" s="42"/>
      <c r="G27" s="43"/>
      <c r="H27" s="42"/>
      <c r="I27" s="42"/>
      <c r="J27" s="42"/>
      <c r="K27" s="42"/>
      <c r="L27" s="43"/>
      <c r="M27" s="43"/>
      <c r="N27" s="49"/>
    </row>
    <row r="28" ht="8.75" customHeight="1" hidden="1">
      <c r="A28" s="39"/>
      <c r="B28" s="40"/>
      <c r="C28" s="45"/>
      <c r="D28" s="46"/>
      <c r="E28" s="46"/>
      <c r="F28" s="46"/>
      <c r="G28" s="47"/>
      <c r="H28" s="46"/>
      <c r="I28" s="46"/>
      <c r="J28" s="46"/>
      <c r="K28" s="46"/>
      <c r="L28" s="46"/>
      <c r="M28" s="46"/>
      <c r="N28" s="48"/>
    </row>
    <row r="29" ht="8.75" customHeight="1" hidden="1">
      <c r="A29" s="39"/>
      <c r="B29" s="40"/>
      <c r="C29" s="41"/>
      <c r="D29" s="42"/>
      <c r="E29" s="42"/>
      <c r="F29" s="42"/>
      <c r="G29" s="43"/>
      <c r="H29" s="42"/>
      <c r="I29" s="42"/>
      <c r="J29" s="42"/>
      <c r="K29" s="42"/>
      <c r="L29" s="43"/>
      <c r="M29" s="43"/>
      <c r="N29" s="49"/>
    </row>
    <row r="30" ht="20.85" customHeight="1">
      <c r="A30" s="53"/>
      <c r="B30" s="54"/>
      <c r="C30" s="54"/>
      <c r="D30" s="55"/>
      <c r="E30" s="55"/>
      <c r="F30" s="55"/>
      <c r="G30" s="56"/>
      <c r="H30" s="56"/>
      <c r="I30" s="54"/>
      <c r="J30" s="57"/>
      <c r="K30" t="s" s="58">
        <v>38</v>
      </c>
      <c r="L30" s="59" cm="1">
        <f t="array" ref="L30">SUM(L1:L29)</f>
        <v>162013217.3975</v>
      </c>
      <c r="M30" s="59" cm="1">
        <f t="array" ref="M30">SUM(M1:M29)</f>
        <v>161883292.5</v>
      </c>
      <c r="N30" s="59" cm="1">
        <f t="array" ref="N30">SUM(N1:N29)</f>
        <v>161883292.5</v>
      </c>
    </row>
    <row r="31" ht="21" customHeight="1">
      <c r="A31" s="60"/>
      <c r="B31" t="s" s="61">
        <v>39</v>
      </c>
      <c r="C31" s="62"/>
      <c r="D31" s="63" cm="1">
        <f t="array" ref="D31">ROUND(IF(L31&lt;=100000000,L31*0.24%,IF(AND(L31&gt;100000000,L31&lt;=500000000),100000000*0.24%+(L31-100000000)*0.19%,IF(AND(L31&gt;500000000,L31&lt;=1000000000),100000000*0.24%+400000000*0.19%+(L31-500000000)*0.15%,IF(AND(L31&gt;1000000000,L31&lt;=5000000000),100000000*0.24%+400000000*0.19%+500000000*0.15%+(L31-1000000000)*0.12%,IF(L31&gt;5000000000,100000000*0.24%+400000000*0.19%+500000000*0.15%+4000000000*0.12%+(L31-5000000000)*0.1%,"Bingung komputer"))))),2)</f>
        <v>357146.53</v>
      </c>
      <c r="E31" s="64" cm="1">
        <f t="array" ref="E31">ROUND(IF(M31&lt;=100000000,M31*0.24%,IF(AND(M31&gt;100000000,M31&lt;=500000000),100000000*0.24%+(M31-100000000)*0.19%,IF(AND(M31&gt;500000000,M31&lt;=1000000000),100000000*0.24%+400000000*0.19%+(M31-500000000)*0.15%,IF(AND(M31&gt;1000000000,M31&lt;=5000000000),100000000*0.24%+400000000*0.19%+500000000*0.15%+(M31-1000000000)*0.12%,IF(M31&gt;5000000000,100000000*0.24%+400000000*0.19%+500000000*0.15%+4000000000*0.12%+(M31-5000000000)*0.1%,"Bingung komputer"))))),2)</f>
        <v>356900.15</v>
      </c>
      <c r="F31" s="64" cm="1">
        <f t="array" ref="F31">ROUND(IF(N31&lt;=100000000,N31*0.24%,IF(AND(N31&gt;100000000,N31&lt;=500000000),100000000*0.24%+(N31-100000000)*0.19%,IF(AND(N31&gt;500000000,N31&lt;=1000000000),100000000*0.24%+400000000*0.19%+(N31-500000000)*0.15%,IF(AND(N31&gt;1000000000,N31&lt;=5000000000),100000000*0.24%+400000000*0.19%+500000000*0.15%+(N31-1000000000)*0.12%,IF(N31&gt;5000000000,100000000*0.24%+400000000*0.19%+500000000*0.15%+4000000000*0.12%+(N31-5000000000)*0.1%,"Bingung komputer"))))),2)</f>
        <v>356900.15</v>
      </c>
      <c r="G31" s="65"/>
      <c r="H31" s="66"/>
      <c r="I31" s="62"/>
      <c r="J31" s="67"/>
      <c r="K31" t="str" s="67" cm="1">
        <f t="array" ref="K31">"Jumlah Terkena Pajak "&amp;MAX(K3:K29)&amp;"% (B)"</f>
        <v>Jumlah Terkena Pajak 11,00% (B)</v>
      </c>
      <c r="L31" s="68" cm="1">
        <f t="array" ref="L31">SUMIF($K3:$K29,"&gt;0",L3:L29)</f>
        <v>161656070.8775</v>
      </c>
      <c r="M31" s="69" cm="1">
        <f t="array" ref="M31">SUMIF($K3:$K29,"&gt;0",M3:M29)</f>
        <v>161526392.37</v>
      </c>
      <c r="N31" s="69" cm="1">
        <f t="array" ref="N31">SUMIF($K3:$K29,"&gt;0",N3:N29)</f>
        <v>161526392.37</v>
      </c>
    </row>
    <row r="32" ht="21" customHeight="1">
      <c r="A32" s="70"/>
      <c r="B32" s="71"/>
      <c r="C32" s="71"/>
      <c r="D32" s="72"/>
      <c r="E32" s="72"/>
      <c r="F32" s="71"/>
      <c r="G32" s="72"/>
      <c r="H32" s="72"/>
      <c r="I32" s="71"/>
      <c r="J32" s="73"/>
      <c r="K32" t="str" s="73" cm="1">
        <f t="array" ref="K32">"PPN (C) = "&amp;MAX(K3:K29)&amp;"% x B"</f>
        <v>PPN (C) = 11,00% x B</v>
      </c>
      <c r="L32" s="74" cm="1">
        <f t="array" ref="L32">L31*MAX($K3:$K29)%</f>
        <v>17782167.796525</v>
      </c>
      <c r="M32" s="69" cm="1">
        <f t="array" ref="M32">M31*MAX($K3:$K29)%</f>
        <v>17767903.1607</v>
      </c>
      <c r="N32" s="69" cm="1">
        <f t="array" ref="N32">N31*MAX($K3:$K29)%</f>
        <v>17767903.1607</v>
      </c>
    </row>
    <row r="33" ht="21" customHeight="1">
      <c r="A33" s="70"/>
      <c r="B33" s="71"/>
      <c r="C33" s="71"/>
      <c r="D33" s="72"/>
      <c r="E33" s="72"/>
      <c r="F33" s="72"/>
      <c r="G33" s="72"/>
      <c r="H33" s="72"/>
      <c r="I33" s="71"/>
      <c r="J33" s="73"/>
      <c r="K33" t="s" s="75">
        <v>42</v>
      </c>
      <c r="L33" s="76" cm="1">
        <f t="array" ref="L33">L30+L32</f>
        <v>179795385.194025</v>
      </c>
      <c r="M33" s="69" cm="1">
        <f t="array" ref="M33">M30+M32</f>
        <v>179651195.6607</v>
      </c>
      <c r="N33" s="69" cm="1">
        <f t="array" ref="N33">N30+N32</f>
        <v>179651195.6607</v>
      </c>
    </row>
    <row r="34" ht="20.5" customHeight="1">
      <c r="A34" s="70"/>
      <c r="B34" s="71"/>
      <c r="C34" s="71"/>
      <c r="D34" s="72"/>
      <c r="E34" s="72"/>
      <c r="F34" s="72"/>
      <c r="G34" s="72"/>
      <c r="H34" s="72"/>
      <c r="I34" s="71"/>
      <c r="J34" s="73"/>
      <c r="K34" t="s" s="75">
        <v>43</v>
      </c>
      <c r="L34" s="68" cm="1">
        <f t="array" ref="L34">ROUNDDOWN(L33,2)</f>
        <v>179795385.19</v>
      </c>
      <c r="M34" s="68" cm="1">
        <f t="array" ref="M34">ROUNDDOWN(M33,2)</f>
        <v>179651195.66</v>
      </c>
      <c r="N34" s="68" cm="1">
        <f t="array" ref="N34">ROUNDDOWN(N33,-3)</f>
        <v>179651000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58.xml><?xml version="1.0" encoding="utf-8"?>
<worksheet xmlns:r="http://schemas.openxmlformats.org/officeDocument/2006/relationships" xmlns="http://schemas.openxmlformats.org/spreadsheetml/2006/main">
  <sheetPr>
    <pageSetUpPr fitToPage="1"/>
  </sheetPr>
  <dimension ref="A1:N31"/>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173" customWidth="1"/>
    <col min="2" max="2" width="43.0312" style="173" customWidth="1"/>
    <col min="3" max="3" width="2.75" style="173" customWidth="1"/>
    <col min="4" max="6" width="10.3672" style="173" customWidth="1"/>
    <col min="7" max="7" width="11.6875" style="173" customWidth="1"/>
    <col min="8" max="11" width="13.5156" style="173" customWidth="1"/>
    <col min="12" max="14" width="14.2344" style="173" customWidth="1"/>
    <col min="15" max="16384" width="16.3516" style="173"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109</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s="95">
        <v>1</v>
      </c>
      <c r="B4" t="s" s="19">
        <v>110</v>
      </c>
      <c r="C4" s="20"/>
      <c r="D4" s="21">
        <v>1</v>
      </c>
      <c r="E4" s="21" cm="1">
        <f t="array" ref="E4">D4</f>
        <v>1</v>
      </c>
      <c r="F4" s="21" cm="1">
        <f t="array" ref="F4">D4</f>
        <v>1</v>
      </c>
      <c r="G4" t="s" s="22">
        <v>19</v>
      </c>
      <c r="H4" s="21" cm="1">
        <f t="array" ref="H4">ROUNDDOWN((F$30*0.1)*100/111,-2)</f>
        <v>8989500</v>
      </c>
      <c r="I4" s="21">
        <v>8989500</v>
      </c>
      <c r="J4" s="21">
        <v>8989500</v>
      </c>
      <c r="K4" s="21">
        <v>11</v>
      </c>
      <c r="L4" s="21" cm="1">
        <f t="array" ref="L4">IF(D4&gt;0,IF($D4&lt;=0,0,D4*H4),"")</f>
        <v>8989500</v>
      </c>
      <c r="M4" s="21" cm="1">
        <f t="array" ref="M4">IF(E4&gt;0,IF($D4&lt;=0,0,ROUND(E4*I4,2)),"")</f>
        <v>8989500</v>
      </c>
      <c r="N4" s="23" cm="1">
        <f t="array" ref="N4">IF(F4&gt;0,IF($D4&lt;=0,0,ROUND(F4*J4,2)),"")</f>
        <v>8989500</v>
      </c>
    </row>
    <row r="5" ht="20.5" customHeight="1">
      <c r="A5" s="95">
        <v>2</v>
      </c>
      <c r="B5" t="s" s="19">
        <v>111</v>
      </c>
      <c r="C5" s="24"/>
      <c r="D5" s="26">
        <v>1</v>
      </c>
      <c r="E5" s="26" cm="1">
        <f t="array" ref="E5">D5</f>
        <v>1</v>
      </c>
      <c r="F5" s="26" cm="1">
        <f t="array" ref="F5">D5</f>
        <v>1</v>
      </c>
      <c r="G5" t="s" s="27">
        <v>19</v>
      </c>
      <c r="H5" s="26" cm="1">
        <f t="array" ref="H5">ROUNDDOWN((F$30*0.2)*100/111,-2)</f>
        <v>17979100</v>
      </c>
      <c r="I5" s="26">
        <v>18000000</v>
      </c>
      <c r="J5" s="26">
        <v>18000000</v>
      </c>
      <c r="K5" s="26">
        <v>11</v>
      </c>
      <c r="L5" s="26" cm="1">
        <f t="array" ref="L5">IF(D5&gt;0,IF($D5&lt;=0,0,D5*H5),"")</f>
        <v>17979100</v>
      </c>
      <c r="M5" s="26" cm="1">
        <f t="array" ref="M5">IF(E5&gt;0,IF($D5&lt;=0,0,ROUND(E5*I5,2)),"")</f>
        <v>18000000</v>
      </c>
      <c r="N5" s="28" cm="1">
        <f t="array" ref="N5">IF(F5&gt;0,IF($D5&lt;=0,0,ROUND(F5*J5,2)),"")</f>
        <v>18000000</v>
      </c>
    </row>
    <row r="6" ht="20.5" customHeight="1">
      <c r="A6" s="95">
        <v>3</v>
      </c>
      <c r="B6" t="s" s="19">
        <v>112</v>
      </c>
      <c r="C6" s="20"/>
      <c r="D6" s="21">
        <v>1</v>
      </c>
      <c r="E6" s="21" cm="1">
        <f t="array" ref="E6">D6</f>
        <v>1</v>
      </c>
      <c r="F6" s="21" cm="1">
        <f t="array" ref="F6">D6</f>
        <v>1</v>
      </c>
      <c r="G6" t="s" s="22">
        <v>19</v>
      </c>
      <c r="H6" s="21" cm="1">
        <f t="array" ref="H6">ROUNDDOWN((F$30*0.25)*100/111,-2)</f>
        <v>22473900</v>
      </c>
      <c r="I6" s="21">
        <v>22500000</v>
      </c>
      <c r="J6" s="21">
        <v>22500000</v>
      </c>
      <c r="K6" s="21">
        <v>11</v>
      </c>
      <c r="L6" s="21" cm="1">
        <f t="array" ref="L6">IF(D6&gt;0,IF($D6&lt;=0,0,D6*H6),"")</f>
        <v>22473900</v>
      </c>
      <c r="M6" s="21" cm="1">
        <f t="array" ref="M6">IF(E6&gt;0,IF($D6&lt;=0,0,ROUND(E6*I6,2)),"")</f>
        <v>22500000</v>
      </c>
      <c r="N6" s="23" cm="1">
        <f t="array" ref="N6">IF(F6&gt;0,IF($D6&lt;=0,0,ROUND(F6*J6,2)),"")</f>
        <v>22500000</v>
      </c>
    </row>
    <row r="7" ht="68.5" customHeight="1">
      <c r="A7" s="95">
        <v>5</v>
      </c>
      <c r="B7" t="s" s="19">
        <v>113</v>
      </c>
      <c r="C7" s="24"/>
      <c r="D7" s="26">
        <v>1</v>
      </c>
      <c r="E7" s="26" cm="1">
        <f t="array" ref="E7">D7</f>
        <v>1</v>
      </c>
      <c r="F7" s="26" cm="1">
        <f t="array" ref="F7">D7</f>
        <v>1</v>
      </c>
      <c r="G7" t="s" s="27">
        <v>19</v>
      </c>
      <c r="H7" s="26" cm="1">
        <f t="array" ref="H7">ROUNDDOWN((F$30*0.25)*100/111,-2)</f>
        <v>22473900</v>
      </c>
      <c r="I7" s="26">
        <v>22600000</v>
      </c>
      <c r="J7" s="26">
        <v>22600000</v>
      </c>
      <c r="K7" s="26">
        <v>11</v>
      </c>
      <c r="L7" s="26" cm="1">
        <f t="array" ref="L7">IF(D7&gt;0,IF($D7&lt;=0,0,D7*H7),"")</f>
        <v>22473900</v>
      </c>
      <c r="M7" s="26" cm="1">
        <f t="array" ref="M7">IF(E7&gt;0,IF($D7&lt;=0,0,ROUND(E7*I7,2)),"")</f>
        <v>22600000</v>
      </c>
      <c r="N7" s="28" cm="1">
        <f t="array" ref="N7">IF(F7&gt;0,IF($D7&lt;=0,0,ROUND(F7*J7,2)),"")</f>
        <v>22600000</v>
      </c>
    </row>
    <row r="8" ht="32.5" customHeight="1">
      <c r="A8" s="95">
        <v>6</v>
      </c>
      <c r="B8" t="s" s="19">
        <v>114</v>
      </c>
      <c r="C8" s="20"/>
      <c r="D8" s="21">
        <v>1</v>
      </c>
      <c r="E8" s="21" cm="1">
        <f t="array" ref="E8">D8</f>
        <v>1</v>
      </c>
      <c r="F8" s="21" cm="1">
        <f t="array" ref="F8">D8</f>
        <v>1</v>
      </c>
      <c r="G8" t="s" s="22">
        <v>19</v>
      </c>
      <c r="H8" s="21" cm="1">
        <f t="array" ref="H8">ROUNDDOWN((F$30*0.05)*100/111,-2)</f>
        <v>4494700</v>
      </c>
      <c r="I8" s="21">
        <v>4300000</v>
      </c>
      <c r="J8" s="21">
        <v>4300000</v>
      </c>
      <c r="K8" s="21">
        <v>11</v>
      </c>
      <c r="L8" s="21" cm="1">
        <f t="array" ref="L8">IF(D8&gt;0,IF($D8&lt;=0,0,D8*H8),"")</f>
        <v>4494700</v>
      </c>
      <c r="M8" s="21" cm="1">
        <f t="array" ref="M8">IF(E8&gt;0,IF($D8&lt;=0,0,ROUND(E8*I8,2)),"")</f>
        <v>4300000</v>
      </c>
      <c r="N8" s="23" cm="1">
        <f t="array" ref="N8">IF(F8&gt;0,IF($D8&lt;=0,0,ROUND(F8*J8,2)),"")</f>
        <v>4300000</v>
      </c>
    </row>
    <row r="9" ht="20.5" customHeight="1">
      <c r="A9" s="95">
        <v>7</v>
      </c>
      <c r="B9" t="s" s="19">
        <v>115</v>
      </c>
      <c r="C9" s="24"/>
      <c r="D9" s="26">
        <v>1</v>
      </c>
      <c r="E9" s="26" cm="1">
        <f t="array" ref="E9">D9</f>
        <v>1</v>
      </c>
      <c r="F9" s="26" cm="1">
        <f t="array" ref="F9">D9</f>
        <v>1</v>
      </c>
      <c r="G9" t="s" s="27">
        <v>19</v>
      </c>
      <c r="H9" s="26" cm="1">
        <f t="array" ref="H9">ROUNDDOWN((F$30*0.15)*100/111,-2)</f>
        <v>13484300</v>
      </c>
      <c r="I9" s="26">
        <v>13450000</v>
      </c>
      <c r="J9" s="26">
        <v>13450000</v>
      </c>
      <c r="K9" s="26">
        <v>11</v>
      </c>
      <c r="L9" s="26" cm="1">
        <f t="array" ref="L9">IF(D9&gt;0,IF($D9&lt;=0,0,D9*H9),"")</f>
        <v>13484300</v>
      </c>
      <c r="M9" s="26" cm="1">
        <f t="array" ref="M9">IF(E9&gt;0,IF($D9&lt;=0,0,ROUND(E9*I9,2)),"")</f>
        <v>13450000</v>
      </c>
      <c r="N9" s="28" cm="1">
        <f t="array" ref="N9">IF(F9&gt;0,IF($D9&lt;=0,0,ROUND(F9*J9,2)),"")</f>
        <v>13450000</v>
      </c>
    </row>
    <row r="10" ht="20.6" customHeight="1">
      <c r="A10" s="33">
        <v>8</v>
      </c>
      <c r="B10" t="s" s="34">
        <v>37</v>
      </c>
      <c r="C10" s="35"/>
      <c r="D10" s="36">
        <v>1</v>
      </c>
      <c r="E10" s="36" cm="1">
        <f t="array" ref="E10">D10</f>
        <v>1</v>
      </c>
      <c r="F10" s="36" cm="1">
        <f t="array" ref="F10">D10</f>
        <v>1</v>
      </c>
      <c r="G10" t="s" s="37">
        <v>19</v>
      </c>
      <c r="H10" s="36">
        <v>215748.96</v>
      </c>
      <c r="I10" s="36">
        <v>215614.8</v>
      </c>
      <c r="J10" s="36">
        <v>215614.8</v>
      </c>
      <c r="K10" s="36">
        <v>0</v>
      </c>
      <c r="L10" s="36" cm="1">
        <f t="array" ref="L10">IF(D10&gt;0,IF($D10&lt;=0,0,D10*H10),"")</f>
        <v>215748.96</v>
      </c>
      <c r="M10" s="36" cm="1">
        <f t="array" ref="M10">IF(E10&gt;0,IF($D10&lt;=0,0,ROUND(E10*I10,2)),"")</f>
        <v>215614.8</v>
      </c>
      <c r="N10" s="38" cm="1">
        <f t="array" ref="N10">IF(F10&gt;0,IF($D10&lt;=0,0,ROUND(F10*J10,2)),"")</f>
        <v>215614.8</v>
      </c>
    </row>
    <row r="11" ht="8.75" customHeight="1" hidden="1">
      <c r="A11" s="39"/>
      <c r="B11" s="40"/>
      <c r="C11" s="41"/>
      <c r="D11" s="42"/>
      <c r="E11" s="42"/>
      <c r="F11" s="42"/>
      <c r="G11" s="43"/>
      <c r="H11" s="42"/>
      <c r="I11" s="42"/>
      <c r="J11" s="42"/>
      <c r="K11" s="42"/>
      <c r="L11" s="42"/>
      <c r="M11" s="42"/>
      <c r="N11" s="44"/>
    </row>
    <row r="12" ht="8.75" customHeight="1" hidden="1">
      <c r="A12" s="39"/>
      <c r="B12" s="40"/>
      <c r="C12" s="45"/>
      <c r="D12" s="46"/>
      <c r="E12" s="46"/>
      <c r="F12" s="46"/>
      <c r="G12" s="47"/>
      <c r="H12" s="46"/>
      <c r="I12" s="46"/>
      <c r="J12" s="46"/>
      <c r="K12" s="46"/>
      <c r="L12" s="46"/>
      <c r="M12" s="46"/>
      <c r="N12" s="48"/>
    </row>
    <row r="13" ht="8.75" customHeight="1" hidden="1">
      <c r="A13" s="39"/>
      <c r="B13" s="40"/>
      <c r="C13" s="41"/>
      <c r="D13" s="42"/>
      <c r="E13" s="42"/>
      <c r="F13" s="42"/>
      <c r="G13" s="43"/>
      <c r="H13" s="42"/>
      <c r="I13" s="42"/>
      <c r="J13" s="42"/>
      <c r="K13" s="42"/>
      <c r="L13" s="42"/>
      <c r="M13" s="42"/>
      <c r="N13" s="44"/>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2"/>
      <c r="I15" s="42"/>
      <c r="J15" s="42"/>
      <c r="K15" s="42"/>
      <c r="L15" s="42"/>
      <c r="M15" s="42"/>
      <c r="N15" s="44"/>
    </row>
    <row r="16" ht="8.75" customHeight="1" hidden="1">
      <c r="A16" s="39"/>
      <c r="B16" s="40"/>
      <c r="C16" s="45"/>
      <c r="D16" s="46"/>
      <c r="E16" s="46"/>
      <c r="F16" s="46"/>
      <c r="G16" s="47"/>
      <c r="H16" s="46"/>
      <c r="I16" s="46"/>
      <c r="J16" s="46"/>
      <c r="K16" s="46"/>
      <c r="L16" s="46"/>
      <c r="M16" s="46"/>
      <c r="N16" s="48"/>
    </row>
    <row r="17" ht="8.75" customHeight="1" hidden="1">
      <c r="A17" s="39"/>
      <c r="B17" s="40"/>
      <c r="C17" s="41"/>
      <c r="D17" s="42"/>
      <c r="E17" s="42"/>
      <c r="F17" s="42"/>
      <c r="G17" s="43"/>
      <c r="H17" s="43"/>
      <c r="I17" s="43"/>
      <c r="J17" s="43"/>
      <c r="K17" s="42"/>
      <c r="L17" s="43"/>
      <c r="M17" s="43"/>
      <c r="N17" s="49"/>
    </row>
    <row r="18" ht="8.75" customHeight="1" hidden="1">
      <c r="A18" s="39"/>
      <c r="B18" s="40"/>
      <c r="C18" s="45"/>
      <c r="D18" s="46"/>
      <c r="E18" s="46"/>
      <c r="F18" s="46"/>
      <c r="G18" s="47"/>
      <c r="H18" s="50"/>
      <c r="I18" s="50"/>
      <c r="J18" s="50"/>
      <c r="K18" s="46"/>
      <c r="L18" s="46"/>
      <c r="M18" s="46"/>
      <c r="N18" s="48"/>
    </row>
    <row r="19" ht="8.75" customHeight="1" hidden="1">
      <c r="A19" s="39"/>
      <c r="B19" s="40"/>
      <c r="C19" s="41"/>
      <c r="D19" s="42"/>
      <c r="E19" s="42"/>
      <c r="F19" s="42"/>
      <c r="G19" s="43"/>
      <c r="H19" s="43"/>
      <c r="I19" s="43"/>
      <c r="J19" s="43"/>
      <c r="K19" s="42"/>
      <c r="L19" s="43"/>
      <c r="M19" s="43"/>
      <c r="N19" s="49"/>
    </row>
    <row r="20" ht="8.75" customHeight="1" hidden="1">
      <c r="A20" s="39"/>
      <c r="B20" s="40"/>
      <c r="C20" s="45"/>
      <c r="D20" s="46"/>
      <c r="E20" s="46"/>
      <c r="F20" s="46"/>
      <c r="G20" s="47"/>
      <c r="H20" s="46"/>
      <c r="I20" s="46"/>
      <c r="J20" s="46"/>
      <c r="K20" s="46"/>
      <c r="L20" s="46"/>
      <c r="M20" s="46"/>
      <c r="N20" s="48"/>
    </row>
    <row r="21" ht="8.75" customHeight="1" hidden="1">
      <c r="A21" s="39"/>
      <c r="B21" s="40"/>
      <c r="C21" s="41"/>
      <c r="D21" s="42"/>
      <c r="E21" s="42"/>
      <c r="F21" s="42"/>
      <c r="G21" s="43"/>
      <c r="H21" s="42"/>
      <c r="I21" s="42"/>
      <c r="J21" s="42"/>
      <c r="K21" s="42"/>
      <c r="L21" s="42"/>
      <c r="M21" s="42"/>
      <c r="N21" s="44"/>
    </row>
    <row r="22" ht="8.75" customHeight="1" hidden="1">
      <c r="A22" s="51"/>
      <c r="B22" s="40"/>
      <c r="C22" s="45"/>
      <c r="D22" s="46"/>
      <c r="E22" s="46"/>
      <c r="F22" s="46"/>
      <c r="G22" s="47"/>
      <c r="H22" s="46"/>
      <c r="I22" s="46"/>
      <c r="J22" s="46"/>
      <c r="K22" s="46"/>
      <c r="L22" s="46"/>
      <c r="M22" s="46"/>
      <c r="N22" s="48"/>
    </row>
    <row r="23" ht="8.75" customHeight="1" hidden="1">
      <c r="A23" s="51"/>
      <c r="B23" s="40"/>
      <c r="C23" s="41"/>
      <c r="D23" s="42"/>
      <c r="E23" s="42"/>
      <c r="F23" s="42"/>
      <c r="G23" s="43"/>
      <c r="H23" s="42"/>
      <c r="I23" s="42"/>
      <c r="J23" s="42"/>
      <c r="K23" s="42"/>
      <c r="L23" s="42"/>
      <c r="M23" s="42"/>
      <c r="N23" s="44"/>
    </row>
    <row r="24" ht="8.75" customHeight="1" hidden="1">
      <c r="A24" s="39"/>
      <c r="B24" s="40"/>
      <c r="C24" s="45"/>
      <c r="D24" s="46"/>
      <c r="E24" s="46"/>
      <c r="F24" s="46"/>
      <c r="G24" s="47"/>
      <c r="H24" s="46"/>
      <c r="I24" s="46"/>
      <c r="J24" s="46"/>
      <c r="K24" s="46"/>
      <c r="L24" s="47"/>
      <c r="M24" s="47"/>
      <c r="N24" s="52"/>
    </row>
    <row r="25" ht="8.75" customHeight="1" hidden="1">
      <c r="A25" s="39"/>
      <c r="B25" s="40"/>
      <c r="C25" s="41"/>
      <c r="D25" s="42"/>
      <c r="E25" s="42"/>
      <c r="F25" s="42"/>
      <c r="G25" s="43"/>
      <c r="H25" s="42"/>
      <c r="I25" s="42"/>
      <c r="J25" s="42"/>
      <c r="K25" s="42"/>
      <c r="L25" s="42"/>
      <c r="M25" s="42"/>
      <c r="N25" s="44"/>
    </row>
    <row r="26" ht="8.75" customHeight="1" hidden="1">
      <c r="A26" s="39"/>
      <c r="B26" s="40"/>
      <c r="C26" s="45"/>
      <c r="D26" s="46"/>
      <c r="E26" s="46"/>
      <c r="F26" s="46"/>
      <c r="G26" s="47"/>
      <c r="H26" s="46"/>
      <c r="I26" s="46"/>
      <c r="J26" s="46"/>
      <c r="K26" s="46"/>
      <c r="L26" s="47"/>
      <c r="M26" s="47"/>
      <c r="N26" s="52"/>
    </row>
    <row r="27" ht="20.85" customHeight="1">
      <c r="A27" s="108"/>
      <c r="B27" s="54"/>
      <c r="C27" s="54"/>
      <c r="D27" s="55"/>
      <c r="E27" s="55"/>
      <c r="F27" s="55"/>
      <c r="G27" s="56"/>
      <c r="H27" s="56"/>
      <c r="I27" s="54"/>
      <c r="J27" s="57"/>
      <c r="K27" t="s" s="58">
        <v>38</v>
      </c>
      <c r="L27" s="59" cm="1">
        <f t="array" ref="L27">SUM(L1:L26)</f>
        <v>90111148.95999999</v>
      </c>
      <c r="M27" s="59" cm="1">
        <f t="array" ref="M27">SUM(M1:M26)</f>
        <v>90055114.8</v>
      </c>
      <c r="N27" s="59" cm="1">
        <f t="array" ref="N27">SUM(N1:N26)</f>
        <v>90055114.8</v>
      </c>
    </row>
    <row r="28" ht="21" customHeight="1">
      <c r="A28" s="63" cm="1">
        <f t="array" ref="A28">ROUND(IF(I28&lt;=100000000,I28*0.24%,IF(AND(I28&gt;100000000,I28&lt;=500000000),100000000*0.24%+(I28-100000000)*0.19%,IF(AND(I28&gt;500000000,I28&lt;=1000000000),100000000*0.24%+400000000*0.19%+(I28-500000000)*0.15%,IF(AND(I28&gt;1000000000,I28&lt;=5000000000),100000000*0.24%+400000000*0.19%+500000000*0.15%+(I28-1000000000)*0.12%,IF(I28&gt;5000000000,100000000*0.24%+400000000*0.19%+500000000*0.15%+4000000000*0.12%+(I28-5000000000)*0.1%,"Bingung komputer"))))),2)</f>
        <v>0</v>
      </c>
      <c r="B28" t="s" s="109">
        <v>39</v>
      </c>
      <c r="C28" s="62"/>
      <c r="D28" s="63" cm="1">
        <f t="array" ref="D28">ROUND(IF(L28&lt;=100000000,L28*0.24%,IF(AND(L28&gt;100000000,L28&lt;=500000000),100000000*0.24%+(L28-100000000)*0.19%,IF(AND(L28&gt;500000000,L28&lt;=1000000000),100000000*0.24%+400000000*0.19%+(L28-500000000)*0.15%,IF(AND(L28&gt;1000000000,L28&lt;=5000000000),100000000*0.24%+400000000*0.19%+500000000*0.15%+(L28-1000000000)*0.12%,IF(L28&gt;5000000000,100000000*0.24%+400000000*0.19%+500000000*0.15%+4000000000*0.12%+(L28-5000000000)*0.1%,"Bingung komputer"))))),2)</f>
        <v>215748.96</v>
      </c>
      <c r="E28" s="64" cm="1">
        <f t="array" ref="E28">ROUND(IF(M28&lt;=100000000,M28*0.24%,IF(AND(M28&gt;100000000,M28&lt;=500000000),100000000*0.24%+(M28-100000000)*0.19%,IF(AND(M28&gt;500000000,M28&lt;=1000000000),100000000*0.24%+400000000*0.19%+(M28-500000000)*0.15%,IF(AND(M28&gt;1000000000,M28&lt;=5000000000),100000000*0.24%+400000000*0.19%+500000000*0.15%+(M28-1000000000)*0.12%,IF(M28&gt;5000000000,100000000*0.24%+400000000*0.19%+500000000*0.15%+4000000000*0.12%+(M28-5000000000)*0.1%,"Bingung komputer"))))),2)</f>
        <v>215614.8</v>
      </c>
      <c r="F28" s="64" cm="1">
        <f t="array" ref="F28">ROUND(IF(N28&lt;=100000000,N28*0.24%,IF(AND(N28&gt;100000000,N28&lt;=500000000),100000000*0.24%+(N28-100000000)*0.19%,IF(AND(N28&gt;500000000,N28&lt;=1000000000),100000000*0.24%+400000000*0.19%+(N28-500000000)*0.15%,IF(AND(N28&gt;1000000000,N28&lt;=5000000000),100000000*0.24%+400000000*0.19%+500000000*0.15%+(N28-1000000000)*0.12%,IF(N28&gt;5000000000,100000000*0.24%+400000000*0.19%+500000000*0.15%+4000000000*0.12%+(N28-5000000000)*0.1%,"Bingung komputer"))))),2)</f>
        <v>215614.8</v>
      </c>
      <c r="G28" s="65"/>
      <c r="H28" s="66"/>
      <c r="I28" s="68"/>
      <c r="J28" s="67"/>
      <c r="K28" t="str" s="67" cm="1">
        <f t="array" ref="K28">"Jumlah Terkena Pajak "&amp;MAX(K3:K26)&amp;"% (B)"</f>
        <v>Jumlah Terkena Pajak 11,00% (B)</v>
      </c>
      <c r="L28" s="68" cm="1">
        <f t="array" ref="L28">SUMIF($K3:$K26,"&gt;0",L3:L26)</f>
        <v>89895400</v>
      </c>
      <c r="M28" s="69" cm="1">
        <f t="array" ref="M28">SUMIF($K3:$K26,"&gt;0",M3:M26)</f>
        <v>89839500</v>
      </c>
      <c r="N28" s="69" cm="1">
        <f t="array" ref="N28">SUMIF($K3:$K26,"&gt;0",N3:N26)</f>
        <v>89839500</v>
      </c>
    </row>
    <row r="29" ht="21" customHeight="1">
      <c r="A29" s="70"/>
      <c r="B29" s="71"/>
      <c r="C29" s="71"/>
      <c r="D29" s="72"/>
      <c r="E29" s="72"/>
      <c r="F29" s="71"/>
      <c r="G29" s="72"/>
      <c r="H29" s="72"/>
      <c r="I29" s="74"/>
      <c r="J29" s="73"/>
      <c r="K29" t="str" s="73" cm="1">
        <f t="array" ref="K29">"PPN (C) = "&amp;MAX(K3:K26)&amp;"% x B"</f>
        <v>PPN (C) = 11,00% x B</v>
      </c>
      <c r="L29" s="74" cm="1">
        <f t="array" ref="L29">L28*MAX($K3:$K26)%</f>
        <v>9888494</v>
      </c>
      <c r="M29" s="69" cm="1">
        <f t="array" ref="M29">M28*MAX($K3:$K26)%</f>
        <v>9882345</v>
      </c>
      <c r="N29" s="69" cm="1">
        <f t="array" ref="N29">N28*MAX($K3:$K26)%</f>
        <v>9882345</v>
      </c>
    </row>
    <row r="30" ht="21" customHeight="1">
      <c r="A30" s="70"/>
      <c r="B30" s="71"/>
      <c r="C30" s="71"/>
      <c r="D30" t="s" s="110">
        <v>116</v>
      </c>
      <c r="E30" s="111">
        <v>100000000</v>
      </c>
      <c r="F30" s="113">
        <v>99784180.95999999</v>
      </c>
      <c r="G30" s="72"/>
      <c r="H30" s="72"/>
      <c r="I30" s="71"/>
      <c r="J30" s="73"/>
      <c r="K30" t="s" s="75">
        <v>42</v>
      </c>
      <c r="L30" s="76" cm="1">
        <f t="array" ref="L30">L27+L29</f>
        <v>99999642.95999999</v>
      </c>
      <c r="M30" s="69" cm="1">
        <f t="array" ref="M30">M27+M29</f>
        <v>99937459.8</v>
      </c>
      <c r="N30" s="69" cm="1">
        <f t="array" ref="N30">N27+N29</f>
        <v>99937459.8</v>
      </c>
    </row>
    <row r="31" ht="20.5" customHeight="1">
      <c r="A31" s="70"/>
      <c r="B31" s="71"/>
      <c r="C31" s="71"/>
      <c r="D31" s="72"/>
      <c r="E31" s="72" cm="1">
        <f t="array" ref="E31">E$30-L$31</f>
        <v>357.04</v>
      </c>
      <c r="F31" s="113" cm="1">
        <f t="array" ref="F31">ROUNDDOWN(E$30-D$28,2)</f>
        <v>99784251.04000001</v>
      </c>
      <c r="G31" s="72"/>
      <c r="H31" s="72"/>
      <c r="I31" s="71"/>
      <c r="J31" s="73"/>
      <c r="K31" t="s" s="75">
        <v>43</v>
      </c>
      <c r="L31" s="68" cm="1">
        <f t="array" ref="L31">ROUNDDOWN(L30,2)</f>
        <v>99999642.95999999</v>
      </c>
      <c r="M31" s="68" cm="1">
        <f t="array" ref="M31">ROUNDDOWN(M30,2)</f>
        <v>99937459.8</v>
      </c>
      <c r="N31" s="68" cm="1">
        <f t="array" ref="N31">ROUNDDOWN(N30,-3)</f>
        <v>99937000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59.xml><?xml version="1.0" encoding="utf-8"?>
<worksheet xmlns:r="http://schemas.openxmlformats.org/officeDocument/2006/relationships" xmlns="http://schemas.openxmlformats.org/spreadsheetml/2006/main">
  <sheetPr>
    <pageSetUpPr fitToPage="1"/>
  </sheetPr>
  <dimension ref="A1:N31"/>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174" customWidth="1"/>
    <col min="2" max="2" width="43.0312" style="174" customWidth="1"/>
    <col min="3" max="3" width="2.75" style="174" customWidth="1"/>
    <col min="4" max="6" width="10.3672" style="174" customWidth="1"/>
    <col min="7" max="7" width="11.6875" style="174" customWidth="1"/>
    <col min="8" max="11" width="13.5156" style="174" customWidth="1"/>
    <col min="12" max="14" width="14.2344" style="174" customWidth="1"/>
    <col min="15" max="16384" width="16.3516" style="174"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109</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s="95">
        <v>1</v>
      </c>
      <c r="B4" t="s" s="19">
        <v>110</v>
      </c>
      <c r="C4" s="20"/>
      <c r="D4" s="21">
        <v>1</v>
      </c>
      <c r="E4" s="21" cm="1">
        <f t="array" ref="E4">D4</f>
        <v>1</v>
      </c>
      <c r="F4" s="21" cm="1">
        <f t="array" ref="F4">D4</f>
        <v>1</v>
      </c>
      <c r="G4" t="s" s="22">
        <v>19</v>
      </c>
      <c r="H4" s="21" cm="1">
        <f t="array" ref="H4">ROUNDDOWN((F$30*0.1)*100/111,-2)</f>
        <v>8989500</v>
      </c>
      <c r="I4" s="21">
        <v>8970000</v>
      </c>
      <c r="J4" s="21">
        <v>8970000</v>
      </c>
      <c r="K4" s="21">
        <v>11</v>
      </c>
      <c r="L4" s="21" cm="1">
        <f t="array" ref="L4">IF(D4&gt;0,IF($D4&lt;=0,0,D4*H4),"")</f>
        <v>8989500</v>
      </c>
      <c r="M4" s="21" cm="1">
        <f t="array" ref="M4">IF(E4&gt;0,IF($D4&lt;=0,0,ROUND(E4*I4,2)),"")</f>
        <v>8970000</v>
      </c>
      <c r="N4" s="23" cm="1">
        <f t="array" ref="N4">IF(F4&gt;0,IF($D4&lt;=0,0,ROUND(F4*J4,2)),"")</f>
        <v>8970000</v>
      </c>
    </row>
    <row r="5" ht="20.5" customHeight="1">
      <c r="A5" s="95">
        <v>2</v>
      </c>
      <c r="B5" t="s" s="19">
        <v>111</v>
      </c>
      <c r="C5" s="24"/>
      <c r="D5" s="26">
        <v>1</v>
      </c>
      <c r="E5" s="26" cm="1">
        <f t="array" ref="E5">D5</f>
        <v>1</v>
      </c>
      <c r="F5" s="26" cm="1">
        <f t="array" ref="F5">D5</f>
        <v>1</v>
      </c>
      <c r="G5" t="s" s="27">
        <v>19</v>
      </c>
      <c r="H5" s="26" cm="1">
        <f t="array" ref="H5">ROUNDDOWN((F$30*0.2)*100/111,-2)</f>
        <v>17979100</v>
      </c>
      <c r="I5" s="26">
        <v>17980000</v>
      </c>
      <c r="J5" s="26">
        <v>17980000</v>
      </c>
      <c r="K5" s="26">
        <v>11</v>
      </c>
      <c r="L5" s="26" cm="1">
        <f t="array" ref="L5">IF(D5&gt;0,IF($D5&lt;=0,0,D5*H5),"")</f>
        <v>17979100</v>
      </c>
      <c r="M5" s="26" cm="1">
        <f t="array" ref="M5">IF(E5&gt;0,IF($D5&lt;=0,0,ROUND(E5*I5,2)),"")</f>
        <v>17980000</v>
      </c>
      <c r="N5" s="28" cm="1">
        <f t="array" ref="N5">IF(F5&gt;0,IF($D5&lt;=0,0,ROUND(F5*J5,2)),"")</f>
        <v>17980000</v>
      </c>
    </row>
    <row r="6" ht="20.5" customHeight="1">
      <c r="A6" s="95">
        <v>3</v>
      </c>
      <c r="B6" t="s" s="19">
        <v>112</v>
      </c>
      <c r="C6" s="20"/>
      <c r="D6" s="21">
        <v>1</v>
      </c>
      <c r="E6" s="21" cm="1">
        <f t="array" ref="E6">D6</f>
        <v>1</v>
      </c>
      <c r="F6" s="21" cm="1">
        <f t="array" ref="F6">D6</f>
        <v>1</v>
      </c>
      <c r="G6" t="s" s="22">
        <v>19</v>
      </c>
      <c r="H6" s="21" cm="1">
        <f t="array" ref="H6">ROUNDDOWN((F$30*0.25)*100/111,-2)</f>
        <v>22473900</v>
      </c>
      <c r="I6" s="21">
        <v>22470000</v>
      </c>
      <c r="J6" s="21">
        <v>22470000</v>
      </c>
      <c r="K6" s="21">
        <v>11</v>
      </c>
      <c r="L6" s="21" cm="1">
        <f t="array" ref="L6">IF(D6&gt;0,IF($D6&lt;=0,0,D6*H6),"")</f>
        <v>22473900</v>
      </c>
      <c r="M6" s="21" cm="1">
        <f t="array" ref="M6">IF(E6&gt;0,IF($D6&lt;=0,0,ROUND(E6*I6,2)),"")</f>
        <v>22470000</v>
      </c>
      <c r="N6" s="23" cm="1">
        <f t="array" ref="N6">IF(F6&gt;0,IF($D6&lt;=0,0,ROUND(F6*J6,2)),"")</f>
        <v>22470000</v>
      </c>
    </row>
    <row r="7" ht="68.5" customHeight="1">
      <c r="A7" s="95">
        <v>5</v>
      </c>
      <c r="B7" t="s" s="19">
        <v>113</v>
      </c>
      <c r="C7" s="24"/>
      <c r="D7" s="26">
        <v>1</v>
      </c>
      <c r="E7" s="26" cm="1">
        <f t="array" ref="E7">D7</f>
        <v>1</v>
      </c>
      <c r="F7" s="26" cm="1">
        <f t="array" ref="F7">D7</f>
        <v>1</v>
      </c>
      <c r="G7" t="s" s="27">
        <v>19</v>
      </c>
      <c r="H7" s="26" cm="1">
        <f t="array" ref="H7">ROUNDDOWN((F$30*0.25)*100/111,-2)</f>
        <v>22473900</v>
      </c>
      <c r="I7" s="26">
        <v>22470000</v>
      </c>
      <c r="J7" s="26">
        <v>22470000</v>
      </c>
      <c r="K7" s="26">
        <v>11</v>
      </c>
      <c r="L7" s="26" cm="1">
        <f t="array" ref="L7">IF(D7&gt;0,IF($D7&lt;=0,0,D7*H7),"")</f>
        <v>22473900</v>
      </c>
      <c r="M7" s="26" cm="1">
        <f t="array" ref="M7">IF(E7&gt;0,IF($D7&lt;=0,0,ROUND(E7*I7,2)),"")</f>
        <v>22470000</v>
      </c>
      <c r="N7" s="28" cm="1">
        <f t="array" ref="N7">IF(F7&gt;0,IF($D7&lt;=0,0,ROUND(F7*J7,2)),"")</f>
        <v>22470000</v>
      </c>
    </row>
    <row r="8" ht="32.5" customHeight="1">
      <c r="A8" s="95">
        <v>6</v>
      </c>
      <c r="B8" t="s" s="19">
        <v>114</v>
      </c>
      <c r="C8" s="20"/>
      <c r="D8" s="21">
        <v>1</v>
      </c>
      <c r="E8" s="21" cm="1">
        <f t="array" ref="E8">D8</f>
        <v>1</v>
      </c>
      <c r="F8" s="21" cm="1">
        <f t="array" ref="F8">D8</f>
        <v>1</v>
      </c>
      <c r="G8" t="s" s="22">
        <v>19</v>
      </c>
      <c r="H8" s="21" cm="1">
        <f t="array" ref="H8">ROUNDDOWN((F$30*0.05)*100/111,-2)</f>
        <v>4494700</v>
      </c>
      <c r="I8" s="21">
        <v>4450000</v>
      </c>
      <c r="J8" s="21">
        <v>4450000</v>
      </c>
      <c r="K8" s="21">
        <v>11</v>
      </c>
      <c r="L8" s="21" cm="1">
        <f t="array" ref="L8">IF(D8&gt;0,IF($D8&lt;=0,0,D8*H8),"")</f>
        <v>4494700</v>
      </c>
      <c r="M8" s="21" cm="1">
        <f t="array" ref="M8">IF(E8&gt;0,IF($D8&lt;=0,0,ROUND(E8*I8,2)),"")</f>
        <v>4450000</v>
      </c>
      <c r="N8" s="23" cm="1">
        <f t="array" ref="N8">IF(F8&gt;0,IF($D8&lt;=0,0,ROUND(F8*J8,2)),"")</f>
        <v>4450000</v>
      </c>
    </row>
    <row r="9" ht="20.5" customHeight="1">
      <c r="A9" s="95">
        <v>7</v>
      </c>
      <c r="B9" t="s" s="19">
        <v>115</v>
      </c>
      <c r="C9" s="24"/>
      <c r="D9" s="26">
        <v>1</v>
      </c>
      <c r="E9" s="26" cm="1">
        <f t="array" ref="E9">D9</f>
        <v>1</v>
      </c>
      <c r="F9" s="26" cm="1">
        <f t="array" ref="F9">D9</f>
        <v>1</v>
      </c>
      <c r="G9" t="s" s="27">
        <v>19</v>
      </c>
      <c r="H9" s="26" cm="1">
        <f t="array" ref="H9">ROUNDDOWN((F$30*0.15)*100/111,-2)</f>
        <v>13484300</v>
      </c>
      <c r="I9" s="26">
        <v>13450000</v>
      </c>
      <c r="J9" s="26">
        <v>13450000</v>
      </c>
      <c r="K9" s="26">
        <v>11</v>
      </c>
      <c r="L9" s="26" cm="1">
        <f t="array" ref="L9">IF(D9&gt;0,IF($D9&lt;=0,0,D9*H9),"")</f>
        <v>13484300</v>
      </c>
      <c r="M9" s="26" cm="1">
        <f t="array" ref="M9">IF(E9&gt;0,IF($D9&lt;=0,0,ROUND(E9*I9,2)),"")</f>
        <v>13450000</v>
      </c>
      <c r="N9" s="28" cm="1">
        <f t="array" ref="N9">IF(F9&gt;0,IF($D9&lt;=0,0,ROUND(F9*J9,2)),"")</f>
        <v>13450000</v>
      </c>
    </row>
    <row r="10" ht="20.6" customHeight="1">
      <c r="A10" s="33">
        <v>8</v>
      </c>
      <c r="B10" t="s" s="34">
        <v>37</v>
      </c>
      <c r="C10" s="35"/>
      <c r="D10" s="36">
        <v>1</v>
      </c>
      <c r="E10" s="36" cm="1">
        <f t="array" ref="E10">D10</f>
        <v>1</v>
      </c>
      <c r="F10" s="36" cm="1">
        <f t="array" ref="F10">D10</f>
        <v>1</v>
      </c>
      <c r="G10" t="s" s="37">
        <v>19</v>
      </c>
      <c r="H10" s="36">
        <v>215748.96</v>
      </c>
      <c r="I10" s="36">
        <v>215496</v>
      </c>
      <c r="J10" s="36">
        <v>215496</v>
      </c>
      <c r="K10" s="36">
        <v>0</v>
      </c>
      <c r="L10" s="36" cm="1">
        <f t="array" ref="L10">IF(D10&gt;0,IF($D10&lt;=0,0,D10*H10),"")</f>
        <v>215748.96</v>
      </c>
      <c r="M10" s="36" cm="1">
        <f t="array" ref="M10">IF(E10&gt;0,IF($D10&lt;=0,0,ROUND(E10*I10,2)),"")</f>
        <v>215496</v>
      </c>
      <c r="N10" s="38" cm="1">
        <f t="array" ref="N10">IF(F10&gt;0,IF($D10&lt;=0,0,ROUND(F10*J10,2)),"")</f>
        <v>215496</v>
      </c>
    </row>
    <row r="11" ht="8.75" customHeight="1" hidden="1">
      <c r="A11" s="39"/>
      <c r="B11" s="40"/>
      <c r="C11" s="41"/>
      <c r="D11" s="42"/>
      <c r="E11" s="42"/>
      <c r="F11" s="42"/>
      <c r="G11" s="43"/>
      <c r="H11" s="42"/>
      <c r="I11" s="42"/>
      <c r="J11" s="42"/>
      <c r="K11" s="42"/>
      <c r="L11" s="42"/>
      <c r="M11" s="42"/>
      <c r="N11" s="44"/>
    </row>
    <row r="12" ht="8.75" customHeight="1" hidden="1">
      <c r="A12" s="39"/>
      <c r="B12" s="40"/>
      <c r="C12" s="45"/>
      <c r="D12" s="46"/>
      <c r="E12" s="46"/>
      <c r="F12" s="46"/>
      <c r="G12" s="47"/>
      <c r="H12" s="46"/>
      <c r="I12" s="46"/>
      <c r="J12" s="46"/>
      <c r="K12" s="46"/>
      <c r="L12" s="46"/>
      <c r="M12" s="46"/>
      <c r="N12" s="48"/>
    </row>
    <row r="13" ht="8.75" customHeight="1" hidden="1">
      <c r="A13" s="39"/>
      <c r="B13" s="40"/>
      <c r="C13" s="41"/>
      <c r="D13" s="42"/>
      <c r="E13" s="42"/>
      <c r="F13" s="42"/>
      <c r="G13" s="43"/>
      <c r="H13" s="42"/>
      <c r="I13" s="42"/>
      <c r="J13" s="42"/>
      <c r="K13" s="42"/>
      <c r="L13" s="42"/>
      <c r="M13" s="42"/>
      <c r="N13" s="44"/>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2"/>
      <c r="I15" s="42"/>
      <c r="J15" s="42"/>
      <c r="K15" s="42"/>
      <c r="L15" s="42"/>
      <c r="M15" s="42"/>
      <c r="N15" s="44"/>
    </row>
    <row r="16" ht="8.75" customHeight="1" hidden="1">
      <c r="A16" s="39"/>
      <c r="B16" s="40"/>
      <c r="C16" s="45"/>
      <c r="D16" s="46"/>
      <c r="E16" s="46"/>
      <c r="F16" s="46"/>
      <c r="G16" s="47"/>
      <c r="H16" s="46"/>
      <c r="I16" s="46"/>
      <c r="J16" s="46"/>
      <c r="K16" s="46"/>
      <c r="L16" s="46"/>
      <c r="M16" s="46"/>
      <c r="N16" s="48"/>
    </row>
    <row r="17" ht="8.75" customHeight="1" hidden="1">
      <c r="A17" s="39"/>
      <c r="B17" s="40"/>
      <c r="C17" s="41"/>
      <c r="D17" s="42"/>
      <c r="E17" s="42"/>
      <c r="F17" s="42"/>
      <c r="G17" s="43"/>
      <c r="H17" s="43"/>
      <c r="I17" s="43"/>
      <c r="J17" s="43"/>
      <c r="K17" s="42"/>
      <c r="L17" s="43"/>
      <c r="M17" s="43"/>
      <c r="N17" s="49"/>
    </row>
    <row r="18" ht="8.75" customHeight="1" hidden="1">
      <c r="A18" s="39"/>
      <c r="B18" s="40"/>
      <c r="C18" s="45"/>
      <c r="D18" s="46"/>
      <c r="E18" s="46"/>
      <c r="F18" s="46"/>
      <c r="G18" s="47"/>
      <c r="H18" s="50"/>
      <c r="I18" s="50"/>
      <c r="J18" s="50"/>
      <c r="K18" s="46"/>
      <c r="L18" s="46"/>
      <c r="M18" s="46"/>
      <c r="N18" s="48"/>
    </row>
    <row r="19" ht="8.75" customHeight="1" hidden="1">
      <c r="A19" s="39"/>
      <c r="B19" s="40"/>
      <c r="C19" s="41"/>
      <c r="D19" s="42"/>
      <c r="E19" s="42"/>
      <c r="F19" s="42"/>
      <c r="G19" s="43"/>
      <c r="H19" s="43"/>
      <c r="I19" s="43"/>
      <c r="J19" s="43"/>
      <c r="K19" s="42"/>
      <c r="L19" s="43"/>
      <c r="M19" s="43"/>
      <c r="N19" s="49"/>
    </row>
    <row r="20" ht="8.75" customHeight="1" hidden="1">
      <c r="A20" s="39"/>
      <c r="B20" s="40"/>
      <c r="C20" s="45"/>
      <c r="D20" s="46"/>
      <c r="E20" s="46"/>
      <c r="F20" s="46"/>
      <c r="G20" s="47"/>
      <c r="H20" s="46"/>
      <c r="I20" s="46"/>
      <c r="J20" s="46"/>
      <c r="K20" s="46"/>
      <c r="L20" s="46"/>
      <c r="M20" s="46"/>
      <c r="N20" s="48"/>
    </row>
    <row r="21" ht="8.75" customHeight="1" hidden="1">
      <c r="A21" s="39"/>
      <c r="B21" s="40"/>
      <c r="C21" s="41"/>
      <c r="D21" s="42"/>
      <c r="E21" s="42"/>
      <c r="F21" s="42"/>
      <c r="G21" s="43"/>
      <c r="H21" s="42"/>
      <c r="I21" s="42"/>
      <c r="J21" s="42"/>
      <c r="K21" s="42"/>
      <c r="L21" s="42"/>
      <c r="M21" s="42"/>
      <c r="N21" s="44"/>
    </row>
    <row r="22" ht="8.75" customHeight="1" hidden="1">
      <c r="A22" s="51"/>
      <c r="B22" s="40"/>
      <c r="C22" s="45"/>
      <c r="D22" s="46"/>
      <c r="E22" s="46"/>
      <c r="F22" s="46"/>
      <c r="G22" s="47"/>
      <c r="H22" s="46"/>
      <c r="I22" s="46"/>
      <c r="J22" s="46"/>
      <c r="K22" s="46"/>
      <c r="L22" s="46"/>
      <c r="M22" s="46"/>
      <c r="N22" s="48"/>
    </row>
    <row r="23" ht="8.75" customHeight="1" hidden="1">
      <c r="A23" s="51"/>
      <c r="B23" s="40"/>
      <c r="C23" s="41"/>
      <c r="D23" s="42"/>
      <c r="E23" s="42"/>
      <c r="F23" s="42"/>
      <c r="G23" s="43"/>
      <c r="H23" s="42"/>
      <c r="I23" s="42"/>
      <c r="J23" s="42"/>
      <c r="K23" s="42"/>
      <c r="L23" s="42"/>
      <c r="M23" s="42"/>
      <c r="N23" s="44"/>
    </row>
    <row r="24" ht="8.75" customHeight="1" hidden="1">
      <c r="A24" s="39"/>
      <c r="B24" s="40"/>
      <c r="C24" s="45"/>
      <c r="D24" s="46"/>
      <c r="E24" s="46"/>
      <c r="F24" s="46"/>
      <c r="G24" s="47"/>
      <c r="H24" s="46"/>
      <c r="I24" s="46"/>
      <c r="J24" s="46"/>
      <c r="K24" s="46"/>
      <c r="L24" s="47"/>
      <c r="M24" s="47"/>
      <c r="N24" s="52"/>
    </row>
    <row r="25" ht="8.75" customHeight="1" hidden="1">
      <c r="A25" s="39"/>
      <c r="B25" s="40"/>
      <c r="C25" s="41"/>
      <c r="D25" s="42"/>
      <c r="E25" s="42"/>
      <c r="F25" s="42"/>
      <c r="G25" s="43"/>
      <c r="H25" s="42"/>
      <c r="I25" s="42"/>
      <c r="J25" s="42"/>
      <c r="K25" s="42"/>
      <c r="L25" s="42"/>
      <c r="M25" s="42"/>
      <c r="N25" s="44"/>
    </row>
    <row r="26" ht="8.75" customHeight="1" hidden="1">
      <c r="A26" s="39"/>
      <c r="B26" s="40"/>
      <c r="C26" s="45"/>
      <c r="D26" s="46"/>
      <c r="E26" s="46"/>
      <c r="F26" s="46"/>
      <c r="G26" s="47"/>
      <c r="H26" s="46"/>
      <c r="I26" s="46"/>
      <c r="J26" s="46"/>
      <c r="K26" s="46"/>
      <c r="L26" s="47"/>
      <c r="M26" s="47"/>
      <c r="N26" s="52"/>
    </row>
    <row r="27" ht="20.85" customHeight="1">
      <c r="A27" s="108"/>
      <c r="B27" s="54"/>
      <c r="C27" s="54"/>
      <c r="D27" s="55"/>
      <c r="E27" s="55"/>
      <c r="F27" s="55"/>
      <c r="G27" s="56"/>
      <c r="H27" s="56"/>
      <c r="I27" s="54"/>
      <c r="J27" s="57"/>
      <c r="K27" t="s" s="58">
        <v>38</v>
      </c>
      <c r="L27" s="59" cm="1">
        <f t="array" ref="L27">SUM(L1:L26)</f>
        <v>90111148.95999999</v>
      </c>
      <c r="M27" s="59" cm="1">
        <f t="array" ref="M27">SUM(M1:M26)</f>
        <v>90005496</v>
      </c>
      <c r="N27" s="59" cm="1">
        <f t="array" ref="N27">SUM(N1:N26)</f>
        <v>90005496</v>
      </c>
    </row>
    <row r="28" ht="21" customHeight="1">
      <c r="A28" s="63" cm="1">
        <f t="array" ref="A28">ROUND(IF(I28&lt;=100000000,I28*0.24%,IF(AND(I28&gt;100000000,I28&lt;=500000000),100000000*0.24%+(I28-100000000)*0.19%,IF(AND(I28&gt;500000000,I28&lt;=1000000000),100000000*0.24%+400000000*0.19%+(I28-500000000)*0.15%,IF(AND(I28&gt;1000000000,I28&lt;=5000000000),100000000*0.24%+400000000*0.19%+500000000*0.15%+(I28-1000000000)*0.12%,IF(I28&gt;5000000000,100000000*0.24%+400000000*0.19%+500000000*0.15%+4000000000*0.12%+(I28-5000000000)*0.1%,"Bingung komputer"))))),2)</f>
        <v>0</v>
      </c>
      <c r="B28" t="s" s="109">
        <v>39</v>
      </c>
      <c r="C28" s="62"/>
      <c r="D28" s="63" cm="1">
        <f t="array" ref="D28">ROUND(IF(L28&lt;=100000000,L28*0.24%,IF(AND(L28&gt;100000000,L28&lt;=500000000),100000000*0.24%+(L28-100000000)*0.19%,IF(AND(L28&gt;500000000,L28&lt;=1000000000),100000000*0.24%+400000000*0.19%+(L28-500000000)*0.15%,IF(AND(L28&gt;1000000000,L28&lt;=5000000000),100000000*0.24%+400000000*0.19%+500000000*0.15%+(L28-1000000000)*0.12%,IF(L28&gt;5000000000,100000000*0.24%+400000000*0.19%+500000000*0.15%+4000000000*0.12%+(L28-5000000000)*0.1%,"Bingung komputer"))))),2)</f>
        <v>215748.96</v>
      </c>
      <c r="E28" s="64" cm="1">
        <f t="array" ref="E28">ROUND(IF(M28&lt;=100000000,M28*0.24%,IF(AND(M28&gt;100000000,M28&lt;=500000000),100000000*0.24%+(M28-100000000)*0.19%,IF(AND(M28&gt;500000000,M28&lt;=1000000000),100000000*0.24%+400000000*0.19%+(M28-500000000)*0.15%,IF(AND(M28&gt;1000000000,M28&lt;=5000000000),100000000*0.24%+400000000*0.19%+500000000*0.15%+(M28-1000000000)*0.12%,IF(M28&gt;5000000000,100000000*0.24%+400000000*0.19%+500000000*0.15%+4000000000*0.12%+(M28-5000000000)*0.1%,"Bingung komputer"))))),2)</f>
        <v>215496</v>
      </c>
      <c r="F28" s="64" cm="1">
        <f t="array" ref="F28">ROUND(IF(N28&lt;=100000000,N28*0.24%,IF(AND(N28&gt;100000000,N28&lt;=500000000),100000000*0.24%+(N28-100000000)*0.19%,IF(AND(N28&gt;500000000,N28&lt;=1000000000),100000000*0.24%+400000000*0.19%+(N28-500000000)*0.15%,IF(AND(N28&gt;1000000000,N28&lt;=5000000000),100000000*0.24%+400000000*0.19%+500000000*0.15%+(N28-1000000000)*0.12%,IF(N28&gt;5000000000,100000000*0.24%+400000000*0.19%+500000000*0.15%+4000000000*0.12%+(N28-5000000000)*0.1%,"Bingung komputer"))))),2)</f>
        <v>215496</v>
      </c>
      <c r="G28" s="65"/>
      <c r="H28" s="66"/>
      <c r="I28" s="68"/>
      <c r="J28" s="67"/>
      <c r="K28" t="str" s="67" cm="1">
        <f t="array" ref="K28">"Jumlah Terkena Pajak "&amp;MAX(K3:K26)&amp;"% (B)"</f>
        <v>Jumlah Terkena Pajak 11,00% (B)</v>
      </c>
      <c r="L28" s="68" cm="1">
        <f t="array" ref="L28">SUMIF($K3:$K26,"&gt;0",L3:L26)</f>
        <v>89895400</v>
      </c>
      <c r="M28" s="69" cm="1">
        <f t="array" ref="M28">SUMIF($K3:$K26,"&gt;0",M3:M26)</f>
        <v>89790000</v>
      </c>
      <c r="N28" s="69" cm="1">
        <f t="array" ref="N28">SUMIF($K3:$K26,"&gt;0",N3:N26)</f>
        <v>89790000</v>
      </c>
    </row>
    <row r="29" ht="21" customHeight="1">
      <c r="A29" s="70"/>
      <c r="B29" s="71"/>
      <c r="C29" s="71"/>
      <c r="D29" s="72"/>
      <c r="E29" s="72"/>
      <c r="F29" s="71"/>
      <c r="G29" s="72"/>
      <c r="H29" s="72"/>
      <c r="I29" s="74"/>
      <c r="J29" s="73"/>
      <c r="K29" t="str" s="73" cm="1">
        <f t="array" ref="K29">"PPN (C) = "&amp;MAX(K3:K26)&amp;"% x B"</f>
        <v>PPN (C) = 11,00% x B</v>
      </c>
      <c r="L29" s="74" cm="1">
        <f t="array" ref="L29">L28*MAX($K3:$K26)%</f>
        <v>9888494</v>
      </c>
      <c r="M29" s="69" cm="1">
        <f t="array" ref="M29">M28*MAX($K3:$K26)%</f>
        <v>9876900</v>
      </c>
      <c r="N29" s="69" cm="1">
        <f t="array" ref="N29">N28*MAX($K3:$K26)%</f>
        <v>9876900</v>
      </c>
    </row>
    <row r="30" ht="21" customHeight="1">
      <c r="A30" s="70"/>
      <c r="B30" s="71"/>
      <c r="C30" s="71"/>
      <c r="D30" t="s" s="110">
        <v>116</v>
      </c>
      <c r="E30" s="111">
        <v>100000000</v>
      </c>
      <c r="F30" s="113">
        <v>99784180.95999999</v>
      </c>
      <c r="G30" s="72"/>
      <c r="H30" s="72"/>
      <c r="I30" s="71"/>
      <c r="J30" s="73"/>
      <c r="K30" t="s" s="75">
        <v>42</v>
      </c>
      <c r="L30" s="76" cm="1">
        <f t="array" ref="L30">L27+L29</f>
        <v>99999642.95999999</v>
      </c>
      <c r="M30" s="69" cm="1">
        <f t="array" ref="M30">M27+M29</f>
        <v>99882396</v>
      </c>
      <c r="N30" s="69" cm="1">
        <f t="array" ref="N30">N27+N29</f>
        <v>99882396</v>
      </c>
    </row>
    <row r="31" ht="20.5" customHeight="1">
      <c r="A31" s="70"/>
      <c r="B31" s="71"/>
      <c r="C31" s="71"/>
      <c r="D31" s="72"/>
      <c r="E31" s="72" cm="1">
        <f t="array" ref="E31">E$30-L$31</f>
        <v>357.04</v>
      </c>
      <c r="F31" s="113" cm="1">
        <f t="array" ref="F31">ROUNDDOWN(E$30-D$28,2)</f>
        <v>99784251.04000001</v>
      </c>
      <c r="G31" s="72"/>
      <c r="H31" s="72"/>
      <c r="I31" s="71"/>
      <c r="J31" s="73"/>
      <c r="K31" t="s" s="75">
        <v>43</v>
      </c>
      <c r="L31" s="68" cm="1">
        <f t="array" ref="L31">ROUNDDOWN(L30,2)</f>
        <v>99999642.95999999</v>
      </c>
      <c r="M31" s="68" cm="1">
        <f t="array" ref="M31">ROUNDDOWN(M30,2)</f>
        <v>99882396</v>
      </c>
      <c r="N31" s="68" cm="1">
        <f t="array" ref="N31">ROUNDDOWN(N30,-3)</f>
        <v>99882000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60.xml><?xml version="1.0" encoding="utf-8"?>
<worksheet xmlns:r="http://schemas.openxmlformats.org/officeDocument/2006/relationships" xmlns="http://schemas.openxmlformats.org/spreadsheetml/2006/main">
  <sheetPr>
    <pageSetUpPr fitToPage="1"/>
  </sheetPr>
  <dimension ref="A1:N32"/>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175" customWidth="1"/>
    <col min="2" max="2" width="43.0312" style="175" customWidth="1"/>
    <col min="3" max="3" width="2.75" style="175" customWidth="1"/>
    <col min="4" max="6" width="10.3672" style="175" customWidth="1"/>
    <col min="7" max="7" width="11.6875" style="175" customWidth="1"/>
    <col min="8" max="11" width="13.5156" style="175" customWidth="1"/>
    <col min="12" max="14" width="14.2344" style="175" customWidth="1"/>
    <col min="15" max="16384" width="16.3516" style="175"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16</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t="s" s="18">
        <v>17</v>
      </c>
      <c r="B4" t="s" s="19">
        <v>18</v>
      </c>
      <c r="C4" s="20"/>
      <c r="D4" s="21">
        <v>1</v>
      </c>
      <c r="E4" s="21" cm="1">
        <f t="array" ref="E4">D4</f>
        <v>1</v>
      </c>
      <c r="F4" s="21" cm="1">
        <f t="array" ref="F4">D4</f>
        <v>1</v>
      </c>
      <c r="G4" t="s" s="22">
        <v>19</v>
      </c>
      <c r="H4" s="21">
        <v>16485250</v>
      </c>
      <c r="I4" s="21">
        <v>16417975</v>
      </c>
      <c r="J4" s="21">
        <v>16417975</v>
      </c>
      <c r="K4" s="21">
        <v>11</v>
      </c>
      <c r="L4" s="21" cm="1">
        <f t="array" ref="L4">IF(D4&gt;0,IF($D4&lt;=0,0,D4*H4),"")</f>
        <v>16485250</v>
      </c>
      <c r="M4" s="21" cm="1">
        <f t="array" ref="M4">IF(E4&gt;0,IF($D4&lt;=0,0,ROUND(E4*I4,2)),"")</f>
        <v>16417975</v>
      </c>
      <c r="N4" s="23" cm="1">
        <f t="array" ref="N4">IF(F4&gt;0,IF($D4&lt;=0,0,ROUND(F4*J4,2)),"")</f>
        <v>16417975</v>
      </c>
    </row>
    <row r="5" ht="20.5" customHeight="1">
      <c r="A5" t="s" s="18">
        <v>20</v>
      </c>
      <c r="B5" t="s" s="19">
        <v>21</v>
      </c>
      <c r="C5" s="24"/>
      <c r="D5" s="26">
        <v>1</v>
      </c>
      <c r="E5" s="26" cm="1">
        <f t="array" ref="E5">D5</f>
        <v>1</v>
      </c>
      <c r="F5" s="26" cm="1">
        <f t="array" ref="F5">D5</f>
        <v>1</v>
      </c>
      <c r="G5" t="s" s="27">
        <v>19</v>
      </c>
      <c r="H5" s="26">
        <v>660000</v>
      </c>
      <c r="I5" s="26">
        <v>630000</v>
      </c>
      <c r="J5" s="26">
        <v>630000</v>
      </c>
      <c r="K5" s="26">
        <v>11</v>
      </c>
      <c r="L5" s="26" cm="1">
        <f t="array" ref="L5">IF(D5&gt;0,IF($D5&lt;=0,0,D5*H5),"")</f>
        <v>660000</v>
      </c>
      <c r="M5" s="26" cm="1">
        <f t="array" ref="M5">IF(E5&gt;0,IF($D5&lt;=0,0,ROUND(E5*I5,2)),"")</f>
        <v>630000</v>
      </c>
      <c r="N5" s="28" cm="1">
        <f t="array" ref="N5">IF(F5&gt;0,IF($D5&lt;=0,0,ROUND(F5*J5,2)),"")</f>
        <v>630000</v>
      </c>
    </row>
    <row r="6" ht="20.5" customHeight="1">
      <c r="A6" t="s" s="18">
        <v>22</v>
      </c>
      <c r="B6" t="s" s="19">
        <v>23</v>
      </c>
      <c r="C6" s="20"/>
      <c r="D6" s="21">
        <v>1</v>
      </c>
      <c r="E6" s="21" cm="1">
        <f t="array" ref="E6">D6</f>
        <v>1</v>
      </c>
      <c r="F6" s="21" cm="1">
        <f t="array" ref="F6">D6</f>
        <v>1</v>
      </c>
      <c r="G6" t="s" s="22">
        <v>19</v>
      </c>
      <c r="H6" s="21">
        <v>5039000</v>
      </c>
      <c r="I6" s="21">
        <v>4989000</v>
      </c>
      <c r="J6" s="21">
        <v>4989000</v>
      </c>
      <c r="K6" s="21">
        <v>11</v>
      </c>
      <c r="L6" s="21" cm="1">
        <f t="array" ref="L6">IF(D6&gt;0,IF($D6&lt;=0,0,D6*H6),"")</f>
        <v>5039000</v>
      </c>
      <c r="M6" s="21" cm="1">
        <f t="array" ref="M6">IF(E6&gt;0,IF($D6&lt;=0,0,ROUND(E6*I6,2)),"")</f>
        <v>4989000</v>
      </c>
      <c r="N6" s="23" cm="1">
        <f t="array" ref="N6">IF(F6&gt;0,IF($D6&lt;=0,0,ROUND(F6*J6,2)),"")</f>
        <v>4989000</v>
      </c>
    </row>
    <row r="7" ht="20.5" customHeight="1">
      <c r="A7" s="29"/>
      <c r="B7" t="s" s="19">
        <v>28</v>
      </c>
      <c r="C7" s="24"/>
      <c r="D7" s="30"/>
      <c r="E7" s="26"/>
      <c r="F7" s="26"/>
      <c r="G7" s="30"/>
      <c r="H7" s="26"/>
      <c r="I7" s="30"/>
      <c r="J7" s="30"/>
      <c r="K7" s="26"/>
      <c r="L7" t="str" s="30" cm="1">
        <f t="array" ref="L7">IF(D7&gt;0,IF($D7&lt;=0,0,D7*H7),"")</f>
      </c>
      <c r="M7" t="str" s="30" cm="1">
        <f t="array" ref="M7">IF(E7&gt;0,IF($D7&lt;=0,0,ROUND(E7*I7,2)),"")</f>
      </c>
      <c r="N7" t="str" s="31" cm="1">
        <f t="array" ref="N7">IF(F7&gt;0,IF($D7&lt;=0,0,ROUND(F7*J7,2)),"")</f>
      </c>
    </row>
    <row r="8" ht="20.5" customHeight="1">
      <c r="A8" t="s" s="18">
        <v>31</v>
      </c>
      <c r="B8" t="s" s="19">
        <v>32</v>
      </c>
      <c r="C8" s="20"/>
      <c r="D8" s="78">
        <v>468.75</v>
      </c>
      <c r="E8" s="21" cm="1">
        <f t="array" ref="E8">D8</f>
        <v>468.75</v>
      </c>
      <c r="F8" s="21" cm="1">
        <f t="array" ref="F8">D8</f>
        <v>468.75</v>
      </c>
      <c r="G8" t="s" s="22">
        <v>27</v>
      </c>
      <c r="H8" s="21">
        <v>274539.81</v>
      </c>
      <c r="I8" s="32">
        <v>274519.75</v>
      </c>
      <c r="J8" s="32">
        <v>274519.75</v>
      </c>
      <c r="K8" s="21">
        <v>11</v>
      </c>
      <c r="L8" s="21" cm="1">
        <f t="array" ref="L8">IF(D8&gt;0,IF($D8&lt;=0,0,D8*H8),"")</f>
        <v>128690535.9375</v>
      </c>
      <c r="M8" s="21" cm="1">
        <f t="array" ref="M8">IF(E8&gt;0,IF($D8&lt;=0,0,ROUND(E8*I8,2)),"")</f>
        <v>128681132.81</v>
      </c>
      <c r="N8" s="23" cm="1">
        <f t="array" ref="N8">IF(F8&gt;0,IF($D8&lt;=0,0,ROUND(F8*J8,2)),"")</f>
        <v>128681132.81</v>
      </c>
    </row>
    <row r="9" ht="20.5" customHeight="1">
      <c r="A9" t="s" s="18">
        <v>33</v>
      </c>
      <c r="B9" t="s" s="19">
        <v>34</v>
      </c>
      <c r="C9" s="24"/>
      <c r="D9" s="26">
        <v>3600</v>
      </c>
      <c r="E9" s="26" cm="1">
        <f t="array" ref="E9">D9</f>
        <v>3600</v>
      </c>
      <c r="F9" s="26" cm="1">
        <f t="array" ref="F9">D9</f>
        <v>3600</v>
      </c>
      <c r="G9" t="s" s="27">
        <v>35</v>
      </c>
      <c r="H9" s="26">
        <v>2996.59</v>
      </c>
      <c r="I9" s="122">
        <v>2996.45</v>
      </c>
      <c r="J9" s="122">
        <v>2996.45</v>
      </c>
      <c r="K9" s="26">
        <v>11</v>
      </c>
      <c r="L9" s="26" cm="1">
        <f t="array" ref="L9">IF(D9&gt;0,IF($D9&lt;=0,0,D9*H9),"")</f>
        <v>10787724</v>
      </c>
      <c r="M9" s="26" cm="1">
        <f t="array" ref="M9">IF(E9&gt;0,IF($D9&lt;=0,0,ROUND(E9*I9,2)),"")</f>
        <v>10787220</v>
      </c>
      <c r="N9" s="28" cm="1">
        <f t="array" ref="N9">IF(F9&gt;0,IF($D9&lt;=0,0,ROUND(F9*J9,2)),"")</f>
        <v>10787220</v>
      </c>
    </row>
    <row r="10" ht="20.5" customHeight="1">
      <c r="A10" s="29"/>
      <c r="B10" t="s" s="19">
        <v>36</v>
      </c>
      <c r="C10" s="20"/>
      <c r="D10" s="21"/>
      <c r="E10" s="21"/>
      <c r="F10" s="21"/>
      <c r="G10" s="79"/>
      <c r="H10" s="79"/>
      <c r="I10" s="79"/>
      <c r="J10" s="79"/>
      <c r="K10" s="21"/>
      <c r="L10" t="str" s="79" cm="1">
        <f t="array" ref="L10">IF(D10&gt;0,IF($D10&lt;=0,0,D10*H11),"")</f>
      </c>
      <c r="M10" s="21"/>
      <c r="N10" s="23"/>
    </row>
    <row r="11" ht="20.6" customHeight="1">
      <c r="A11" s="33">
        <v>1</v>
      </c>
      <c r="B11" t="s" s="34">
        <v>37</v>
      </c>
      <c r="C11" s="80"/>
      <c r="D11" s="81">
        <v>1</v>
      </c>
      <c r="E11" s="81" cm="1">
        <f t="array" ref="E11">D11</f>
        <v>1</v>
      </c>
      <c r="F11" s="81" cm="1">
        <f t="array" ref="F11">D11</f>
        <v>1</v>
      </c>
      <c r="G11" t="s" s="82">
        <v>19</v>
      </c>
      <c r="H11" s="138">
        <v>357158.76</v>
      </c>
      <c r="I11" s="81">
        <v>356860.1</v>
      </c>
      <c r="J11" s="81">
        <v>356860.1</v>
      </c>
      <c r="K11" s="81">
        <v>0</v>
      </c>
      <c r="L11" s="81" cm="1">
        <f t="array" ref="L11">IF(D11&gt;0,IF($D11&lt;=0,0,D11*H11),"")</f>
        <v>357158.76</v>
      </c>
      <c r="M11" s="81" cm="1">
        <f t="array" ref="M11">IF(E11&gt;0,IF($D11&lt;=0,0,ROUND(E11*I11,2)),"")</f>
        <v>356860.1</v>
      </c>
      <c r="N11" s="83" cm="1">
        <f t="array" ref="N11">IF(F11&gt;0,IF($D11&lt;=0,0,ROUND(F11*J11,2)),"")</f>
        <v>356860.1</v>
      </c>
    </row>
    <row r="12" ht="8.75" customHeight="1" hidden="1">
      <c r="A12" s="39"/>
      <c r="B12" s="40"/>
      <c r="C12" s="45"/>
      <c r="D12" s="46"/>
      <c r="E12" s="46"/>
      <c r="F12" s="46"/>
      <c r="G12" s="47"/>
      <c r="H12" s="46"/>
      <c r="I12" s="46"/>
      <c r="J12" s="46"/>
      <c r="K12" s="46"/>
      <c r="L12" s="46"/>
      <c r="M12" s="46"/>
      <c r="N12" s="48"/>
    </row>
    <row r="13" ht="8.75" customHeight="1" hidden="1">
      <c r="A13" s="39"/>
      <c r="B13" s="40"/>
      <c r="C13" s="41"/>
      <c r="D13" s="42"/>
      <c r="E13" s="42"/>
      <c r="F13" s="42"/>
      <c r="G13" s="43"/>
      <c r="H13" s="42"/>
      <c r="I13" s="42"/>
      <c r="J13" s="42"/>
      <c r="K13" s="42"/>
      <c r="L13" s="42"/>
      <c r="M13" s="42"/>
      <c r="N13" s="44"/>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2"/>
      <c r="I15" s="42"/>
      <c r="J15" s="42"/>
      <c r="K15" s="42"/>
      <c r="L15" s="42"/>
      <c r="M15" s="42"/>
      <c r="N15" s="44"/>
    </row>
    <row r="16" ht="8.75" customHeight="1" hidden="1">
      <c r="A16" s="39"/>
      <c r="B16" s="40"/>
      <c r="C16" s="45"/>
      <c r="D16" s="46"/>
      <c r="E16" s="46"/>
      <c r="F16" s="46"/>
      <c r="G16" s="47"/>
      <c r="H16" s="46"/>
      <c r="I16" s="46"/>
      <c r="J16" s="46"/>
      <c r="K16" s="46"/>
      <c r="L16" s="46"/>
      <c r="M16" s="46"/>
      <c r="N16" s="48"/>
    </row>
    <row r="17" ht="8.75" customHeight="1" hidden="1">
      <c r="A17" s="39"/>
      <c r="B17" s="40"/>
      <c r="C17" s="41"/>
      <c r="D17" s="42"/>
      <c r="E17" s="42"/>
      <c r="F17" s="42"/>
      <c r="G17" s="43"/>
      <c r="H17" s="42"/>
      <c r="I17" s="42"/>
      <c r="J17" s="42"/>
      <c r="K17" s="42"/>
      <c r="L17" s="42"/>
      <c r="M17" s="42"/>
      <c r="N17" s="44"/>
    </row>
    <row r="18" ht="8.75" customHeight="1" hidden="1">
      <c r="A18" s="39"/>
      <c r="B18" s="40"/>
      <c r="C18" s="45"/>
      <c r="D18" s="46"/>
      <c r="E18" s="46"/>
      <c r="F18" s="46"/>
      <c r="G18" s="47"/>
      <c r="H18" s="47"/>
      <c r="I18" s="47"/>
      <c r="J18" s="47"/>
      <c r="K18" s="46"/>
      <c r="L18" s="47"/>
      <c r="M18" s="47"/>
      <c r="N18" s="52"/>
    </row>
    <row r="19" ht="8.75" customHeight="1" hidden="1">
      <c r="A19" s="39"/>
      <c r="B19" s="40"/>
      <c r="C19" s="41"/>
      <c r="D19" s="42"/>
      <c r="E19" s="42"/>
      <c r="F19" s="42"/>
      <c r="G19" s="43"/>
      <c r="H19" s="84"/>
      <c r="I19" s="84"/>
      <c r="J19" s="84"/>
      <c r="K19" s="42"/>
      <c r="L19" s="42"/>
      <c r="M19" s="42"/>
      <c r="N19" s="44"/>
    </row>
    <row r="20" ht="8.75" customHeight="1" hidden="1">
      <c r="A20" s="39"/>
      <c r="B20" s="40"/>
      <c r="C20" s="45"/>
      <c r="D20" s="46"/>
      <c r="E20" s="46"/>
      <c r="F20" s="46"/>
      <c r="G20" s="47"/>
      <c r="H20" s="47"/>
      <c r="I20" s="47"/>
      <c r="J20" s="47"/>
      <c r="K20" s="46"/>
      <c r="L20" s="47"/>
      <c r="M20" s="47"/>
      <c r="N20" s="52"/>
    </row>
    <row r="21" ht="8.75" customHeight="1" hidden="1">
      <c r="A21" s="39"/>
      <c r="B21" s="40"/>
      <c r="C21" s="41"/>
      <c r="D21" s="42"/>
      <c r="E21" s="42"/>
      <c r="F21" s="42"/>
      <c r="G21" s="43"/>
      <c r="H21" s="42"/>
      <c r="I21" s="42"/>
      <c r="J21" s="42"/>
      <c r="K21" s="42"/>
      <c r="L21" s="42"/>
      <c r="M21" s="42"/>
      <c r="N21" s="44"/>
    </row>
    <row r="22" ht="8.75" customHeight="1" hidden="1">
      <c r="A22" s="39"/>
      <c r="B22" s="40"/>
      <c r="C22" s="45"/>
      <c r="D22" s="46"/>
      <c r="E22" s="46"/>
      <c r="F22" s="46"/>
      <c r="G22" s="47"/>
      <c r="H22" s="46"/>
      <c r="I22" s="46"/>
      <c r="J22" s="46"/>
      <c r="K22" s="46"/>
      <c r="L22" s="46"/>
      <c r="M22" s="46"/>
      <c r="N22" s="48"/>
    </row>
    <row r="23" ht="8.75" customHeight="1" hidden="1">
      <c r="A23" s="51"/>
      <c r="B23" s="40"/>
      <c r="C23" s="41"/>
      <c r="D23" s="42"/>
      <c r="E23" s="42"/>
      <c r="F23" s="42"/>
      <c r="G23" s="43"/>
      <c r="H23" s="42"/>
      <c r="I23" s="42"/>
      <c r="J23" s="42"/>
      <c r="K23" s="42"/>
      <c r="L23" s="42"/>
      <c r="M23" s="42"/>
      <c r="N23" s="44"/>
    </row>
    <row r="24" ht="8.75" customHeight="1" hidden="1">
      <c r="A24" s="51"/>
      <c r="B24" s="40"/>
      <c r="C24" s="45"/>
      <c r="D24" s="46"/>
      <c r="E24" s="46"/>
      <c r="F24" s="46"/>
      <c r="G24" s="47"/>
      <c r="H24" s="46"/>
      <c r="I24" s="46"/>
      <c r="J24" s="46"/>
      <c r="K24" s="46"/>
      <c r="L24" s="46"/>
      <c r="M24" s="46"/>
      <c r="N24" s="48"/>
    </row>
    <row r="25" ht="8.75" customHeight="1" hidden="1">
      <c r="A25" s="39"/>
      <c r="B25" s="40"/>
      <c r="C25" s="41"/>
      <c r="D25" s="42"/>
      <c r="E25" s="42"/>
      <c r="F25" s="42"/>
      <c r="G25" s="43"/>
      <c r="H25" s="42"/>
      <c r="I25" s="42"/>
      <c r="J25" s="42"/>
      <c r="K25" s="42"/>
      <c r="L25" s="43"/>
      <c r="M25" s="43"/>
      <c r="N25" s="49"/>
    </row>
    <row r="26" ht="8.75" customHeight="1" hidden="1">
      <c r="A26" s="39"/>
      <c r="B26" s="40"/>
      <c r="C26" s="45"/>
      <c r="D26" s="46"/>
      <c r="E26" s="46"/>
      <c r="F26" s="46"/>
      <c r="G26" s="47"/>
      <c r="H26" s="46"/>
      <c r="I26" s="46"/>
      <c r="J26" s="46"/>
      <c r="K26" s="46"/>
      <c r="L26" s="46"/>
      <c r="M26" s="46"/>
      <c r="N26" s="48"/>
    </row>
    <row r="27" ht="8.75" customHeight="1" hidden="1">
      <c r="A27" s="39"/>
      <c r="B27" s="40"/>
      <c r="C27" s="41"/>
      <c r="D27" s="42"/>
      <c r="E27" s="42"/>
      <c r="F27" s="42"/>
      <c r="G27" s="43"/>
      <c r="H27" s="42"/>
      <c r="I27" s="42"/>
      <c r="J27" s="42"/>
      <c r="K27" s="42"/>
      <c r="L27" s="43"/>
      <c r="M27" s="43"/>
      <c r="N27" s="49"/>
    </row>
    <row r="28" ht="20.85" customHeight="1">
      <c r="A28" s="53"/>
      <c r="B28" s="54"/>
      <c r="C28" s="54"/>
      <c r="D28" s="55"/>
      <c r="E28" s="55"/>
      <c r="F28" s="55"/>
      <c r="G28" s="56"/>
      <c r="H28" s="56"/>
      <c r="I28" s="54"/>
      <c r="J28" s="57"/>
      <c r="K28" t="s" s="58">
        <v>38</v>
      </c>
      <c r="L28" s="59" cm="1">
        <f t="array" ref="L28">SUM(L1:L27)</f>
        <v>162019668.6975</v>
      </c>
      <c r="M28" s="59" cm="1">
        <f t="array" ref="M28">SUM(M1:M27)</f>
        <v>161862187.91</v>
      </c>
      <c r="N28" s="59" cm="1">
        <f t="array" ref="N28">SUM(N1:N27)</f>
        <v>161862187.91</v>
      </c>
    </row>
    <row r="29" ht="21" customHeight="1">
      <c r="A29" s="60"/>
      <c r="B29" t="s" s="61">
        <v>39</v>
      </c>
      <c r="C29" s="62"/>
      <c r="D29" s="63" cm="1">
        <f t="array" ref="D29">ROUND(IF(L29&lt;=100000000,L29*0.24%,IF(AND(L29&gt;100000000,L29&lt;=500000000),100000000*0.24%+(L29-100000000)*0.19%,IF(AND(L29&gt;500000000,L29&lt;=1000000000),100000000*0.24%+400000000*0.19%+(L29-500000000)*0.15%,IF(AND(L29&gt;1000000000,L29&lt;=5000000000),100000000*0.24%+400000000*0.19%+500000000*0.15%+(L29-1000000000)*0.12%,IF(L29&gt;5000000000,100000000*0.24%+400000000*0.19%+500000000*0.15%+4000000000*0.12%+(L29-5000000000)*0.1%,"Bingung komputer"))))),2)</f>
        <v>357158.77</v>
      </c>
      <c r="E29" s="64" cm="1">
        <f t="array" ref="E29">ROUND(IF(M29&lt;=100000000,M29*0.24%,IF(AND(M29&gt;100000000,M29&lt;=500000000),100000000*0.24%+(M29-100000000)*0.19%,IF(AND(M29&gt;500000000,M29&lt;=1000000000),100000000*0.24%+400000000*0.19%+(M29-500000000)*0.15%,IF(AND(M29&gt;1000000000,M29&lt;=5000000000),100000000*0.24%+400000000*0.19%+500000000*0.15%+(M29-1000000000)*0.12%,IF(M29&gt;5000000000,100000000*0.24%+400000000*0.19%+500000000*0.15%+4000000000*0.12%+(M29-5000000000)*0.1%,"Bingung komputer"))))),2)</f>
        <v>356860.12</v>
      </c>
      <c r="F29" s="64" cm="1">
        <f t="array" ref="F29">ROUND(IF(N29&lt;=100000000,N29*0.24%,IF(AND(N29&gt;100000000,N29&lt;=500000000),100000000*0.24%+(N29-100000000)*0.19%,IF(AND(N29&gt;500000000,N29&lt;=1000000000),100000000*0.24%+400000000*0.19%+(N29-500000000)*0.15%,IF(AND(N29&gt;1000000000,N29&lt;=5000000000),100000000*0.24%+400000000*0.19%+500000000*0.15%+(N29-1000000000)*0.12%,IF(N29&gt;5000000000,100000000*0.24%+400000000*0.19%+500000000*0.15%+4000000000*0.12%+(N29-5000000000)*0.1%,"Bingung komputer"))))),2)</f>
        <v>356860.12</v>
      </c>
      <c r="G29" s="65"/>
      <c r="H29" s="66"/>
      <c r="I29" s="62"/>
      <c r="J29" s="67"/>
      <c r="K29" t="str" s="67" cm="1">
        <f t="array" ref="K29">"Jumlah Terkena Pajak "&amp;MAX(K3:K27)&amp;"% (B)"</f>
        <v>Jumlah Terkena Pajak 11,00% (B)</v>
      </c>
      <c r="L29" s="68" cm="1">
        <f t="array" ref="L29">SUMIF($K3:$K27,"&gt;0",L3:L27)</f>
        <v>161662509.9375</v>
      </c>
      <c r="M29" s="69" cm="1">
        <f t="array" ref="M29">SUMIF($K3:$K27,"&gt;0",M3:M27)</f>
        <v>161505327.81</v>
      </c>
      <c r="N29" s="69" cm="1">
        <f t="array" ref="N29">SUMIF($K3:$K27,"&gt;0",N3:N27)</f>
        <v>161505327.81</v>
      </c>
    </row>
    <row r="30" ht="21" customHeight="1">
      <c r="A30" s="70"/>
      <c r="B30" s="71"/>
      <c r="C30" s="71"/>
      <c r="D30" s="72"/>
      <c r="E30" s="72"/>
      <c r="F30" s="71"/>
      <c r="G30" s="72"/>
      <c r="H30" s="72"/>
      <c r="I30" s="71"/>
      <c r="J30" s="73"/>
      <c r="K30" t="str" s="73" cm="1">
        <f t="array" ref="K30">"PPN (C) = "&amp;MAX(K3:K27)&amp;"% x B"</f>
        <v>PPN (C) = 11,00% x B</v>
      </c>
      <c r="L30" s="74" cm="1">
        <f t="array" ref="L30">L29*MAX($K3:$K27)%</f>
        <v>17782876.093125</v>
      </c>
      <c r="M30" s="69" cm="1">
        <f t="array" ref="M30">M29*MAX($K3:$K27)%</f>
        <v>17765586.0591</v>
      </c>
      <c r="N30" s="69" cm="1">
        <f t="array" ref="N30">N29*MAX($K3:$K27)%</f>
        <v>17765586.0591</v>
      </c>
    </row>
    <row r="31" ht="21" customHeight="1">
      <c r="A31" s="70"/>
      <c r="B31" s="71"/>
      <c r="C31" s="71"/>
      <c r="D31" s="72"/>
      <c r="E31" s="72"/>
      <c r="F31" s="72"/>
      <c r="G31" s="72"/>
      <c r="H31" s="72"/>
      <c r="I31" s="71"/>
      <c r="J31" s="73"/>
      <c r="K31" t="s" s="75">
        <v>42</v>
      </c>
      <c r="L31" s="76" cm="1">
        <f t="array" ref="L31">L28+L30</f>
        <v>179802544.790625</v>
      </c>
      <c r="M31" s="69" cm="1">
        <f t="array" ref="M31">M28+M30</f>
        <v>179627773.9691</v>
      </c>
      <c r="N31" s="69" cm="1">
        <f t="array" ref="N31">N28+N30</f>
        <v>179627773.9691</v>
      </c>
    </row>
    <row r="32" ht="20.5" customHeight="1">
      <c r="A32" s="70"/>
      <c r="B32" s="71"/>
      <c r="C32" s="71"/>
      <c r="D32" s="72"/>
      <c r="E32" s="72"/>
      <c r="F32" s="72"/>
      <c r="G32" s="72"/>
      <c r="H32" s="72"/>
      <c r="I32" s="71"/>
      <c r="J32" s="73"/>
      <c r="K32" t="s" s="75">
        <v>43</v>
      </c>
      <c r="L32" s="68" cm="1">
        <f t="array" ref="L32">ROUNDDOWN(L31,2)</f>
        <v>179802544.79</v>
      </c>
      <c r="M32" s="68" cm="1">
        <f t="array" ref="M32">ROUNDDOWN(M31,2)</f>
        <v>179627773.96</v>
      </c>
      <c r="N32" s="68" cm="1">
        <f t="array" ref="N32">ROUNDDOWN(N31,-3)</f>
        <v>179627000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61.xml><?xml version="1.0" encoding="utf-8"?>
<worksheet xmlns:r="http://schemas.openxmlformats.org/officeDocument/2006/relationships" xmlns="http://schemas.openxmlformats.org/spreadsheetml/2006/main">
  <sheetPr>
    <pageSetUpPr fitToPage="1"/>
  </sheetPr>
  <dimension ref="A1:N31"/>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176" customWidth="1"/>
    <col min="2" max="2" width="43.0312" style="176" customWidth="1"/>
    <col min="3" max="3" width="2.75" style="176" customWidth="1"/>
    <col min="4" max="6" width="10.3672" style="176" customWidth="1"/>
    <col min="7" max="7" width="11.6875" style="176" customWidth="1"/>
    <col min="8" max="11" width="13.5156" style="176" customWidth="1"/>
    <col min="12" max="14" width="14.2344" style="176" customWidth="1"/>
    <col min="15" max="16384" width="16.3516" style="176"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109</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s="95">
        <v>1</v>
      </c>
      <c r="B4" t="s" s="19">
        <v>110</v>
      </c>
      <c r="C4" s="20"/>
      <c r="D4" s="21">
        <v>1</v>
      </c>
      <c r="E4" s="21" cm="1">
        <f t="array" ref="E4">D4</f>
        <v>1</v>
      </c>
      <c r="F4" s="21" cm="1">
        <f t="array" ref="F4">D4</f>
        <v>1</v>
      </c>
      <c r="G4" t="s" s="22">
        <v>19</v>
      </c>
      <c r="H4" s="21" cm="1">
        <f t="array" ref="H4">ROUNDDOWN((F$30*0.1)*100/111,-2)</f>
        <v>7596000</v>
      </c>
      <c r="I4" s="21">
        <v>7550000</v>
      </c>
      <c r="J4" s="21">
        <v>7550000</v>
      </c>
      <c r="K4" s="21">
        <v>11</v>
      </c>
      <c r="L4" s="21" cm="1">
        <f t="array" ref="L4">IF(D4&gt;0,IF($D4&lt;=0,0,D4*H4),"")</f>
        <v>7596000</v>
      </c>
      <c r="M4" s="21" cm="1">
        <f t="array" ref="M4">IF(E4&gt;0,IF($D4&lt;=0,0,ROUND(E4*I4,2)),"")</f>
        <v>7550000</v>
      </c>
      <c r="N4" s="23" cm="1">
        <f t="array" ref="N4">IF(F4&gt;0,IF($D4&lt;=0,0,ROUND(F4*J4,2)),"")</f>
        <v>7550000</v>
      </c>
    </row>
    <row r="5" ht="20.5" customHeight="1">
      <c r="A5" s="95">
        <v>2</v>
      </c>
      <c r="B5" t="s" s="19">
        <v>111</v>
      </c>
      <c r="C5" s="24"/>
      <c r="D5" s="26">
        <v>1</v>
      </c>
      <c r="E5" s="26" cm="1">
        <f t="array" ref="E5">D5</f>
        <v>1</v>
      </c>
      <c r="F5" s="26" cm="1">
        <f t="array" ref="F5">D5</f>
        <v>1</v>
      </c>
      <c r="G5" t="s" s="27">
        <v>19</v>
      </c>
      <c r="H5" s="26" cm="1">
        <f t="array" ref="H5">ROUNDDOWN((F$30*0.2)*100/111,-2)</f>
        <v>15192100</v>
      </c>
      <c r="I5" s="26">
        <v>15300000</v>
      </c>
      <c r="J5" s="26">
        <v>15300000</v>
      </c>
      <c r="K5" s="26">
        <v>11</v>
      </c>
      <c r="L5" s="26" cm="1">
        <f t="array" ref="L5">IF(D5&gt;0,IF($D5&lt;=0,0,D5*H5),"")</f>
        <v>15192100</v>
      </c>
      <c r="M5" s="26" cm="1">
        <f t="array" ref="M5">IF(E5&gt;0,IF($D5&lt;=0,0,ROUND(E5*I5,2)),"")</f>
        <v>15300000</v>
      </c>
      <c r="N5" s="28" cm="1">
        <f t="array" ref="N5">IF(F5&gt;0,IF($D5&lt;=0,0,ROUND(F5*J5,2)),"")</f>
        <v>15300000</v>
      </c>
    </row>
    <row r="6" ht="20.5" customHeight="1">
      <c r="A6" s="95">
        <v>3</v>
      </c>
      <c r="B6" t="s" s="19">
        <v>112</v>
      </c>
      <c r="C6" s="20"/>
      <c r="D6" s="21">
        <v>1</v>
      </c>
      <c r="E6" s="21" cm="1">
        <f t="array" ref="E6">D6</f>
        <v>1</v>
      </c>
      <c r="F6" s="21" cm="1">
        <f t="array" ref="F6">D6</f>
        <v>1</v>
      </c>
      <c r="G6" t="s" s="22">
        <v>19</v>
      </c>
      <c r="H6" s="21" cm="1">
        <f t="array" ref="H6">ROUNDDOWN((F$30*0.25)*100/111,-2)</f>
        <v>18990200</v>
      </c>
      <c r="I6" s="21">
        <v>18750000</v>
      </c>
      <c r="J6" s="21">
        <v>18750000</v>
      </c>
      <c r="K6" s="21">
        <v>11</v>
      </c>
      <c r="L6" s="21" cm="1">
        <f t="array" ref="L6">IF(D6&gt;0,IF($D6&lt;=0,0,D6*H6),"")</f>
        <v>18990200</v>
      </c>
      <c r="M6" s="21" cm="1">
        <f t="array" ref="M6">IF(E6&gt;0,IF($D6&lt;=0,0,ROUND(E6*I6,2)),"")</f>
        <v>18750000</v>
      </c>
      <c r="N6" s="23" cm="1">
        <f t="array" ref="N6">IF(F6&gt;0,IF($D6&lt;=0,0,ROUND(F6*J6,2)),"")</f>
        <v>18750000</v>
      </c>
    </row>
    <row r="7" ht="68.5" customHeight="1">
      <c r="A7" s="95">
        <v>5</v>
      </c>
      <c r="B7" t="s" s="19">
        <v>113</v>
      </c>
      <c r="C7" s="24"/>
      <c r="D7" s="26">
        <v>1</v>
      </c>
      <c r="E7" s="26" cm="1">
        <f t="array" ref="E7">D7</f>
        <v>1</v>
      </c>
      <c r="F7" s="26" cm="1">
        <f t="array" ref="F7">D7</f>
        <v>1</v>
      </c>
      <c r="G7" t="s" s="27">
        <v>19</v>
      </c>
      <c r="H7" s="26" cm="1">
        <f t="array" ref="H7">ROUNDDOWN((F$30*0.25)*100/111,-2)</f>
        <v>18990200</v>
      </c>
      <c r="I7" s="26">
        <v>18700000</v>
      </c>
      <c r="J7" s="26">
        <v>18700000</v>
      </c>
      <c r="K7" s="26">
        <v>11</v>
      </c>
      <c r="L7" s="26" cm="1">
        <f t="array" ref="L7">IF(D7&gt;0,IF($D7&lt;=0,0,D7*H7),"")</f>
        <v>18990200</v>
      </c>
      <c r="M7" s="26" cm="1">
        <f t="array" ref="M7">IF(E7&gt;0,IF($D7&lt;=0,0,ROUND(E7*I7,2)),"")</f>
        <v>18700000</v>
      </c>
      <c r="N7" s="28" cm="1">
        <f t="array" ref="N7">IF(F7&gt;0,IF($D7&lt;=0,0,ROUND(F7*J7,2)),"")</f>
        <v>18700000</v>
      </c>
    </row>
    <row r="8" ht="32.5" customHeight="1">
      <c r="A8" s="95">
        <v>6</v>
      </c>
      <c r="B8" t="s" s="19">
        <v>114</v>
      </c>
      <c r="C8" s="20"/>
      <c r="D8" s="21">
        <v>1</v>
      </c>
      <c r="E8" s="21" cm="1">
        <f t="array" ref="E8">D8</f>
        <v>1</v>
      </c>
      <c r="F8" s="21" cm="1">
        <f t="array" ref="F8">D8</f>
        <v>1</v>
      </c>
      <c r="G8" t="s" s="22">
        <v>19</v>
      </c>
      <c r="H8" s="21" cm="1">
        <f t="array" ref="H8">ROUNDDOWN((F$30*0.05)*100/111,-2)</f>
        <v>3798000</v>
      </c>
      <c r="I8" s="21">
        <v>3900000</v>
      </c>
      <c r="J8" s="21">
        <v>3900000</v>
      </c>
      <c r="K8" s="21">
        <v>11</v>
      </c>
      <c r="L8" s="21" cm="1">
        <f t="array" ref="L8">IF(D8&gt;0,IF($D8&lt;=0,0,D8*H8),"")</f>
        <v>3798000</v>
      </c>
      <c r="M8" s="21" cm="1">
        <f t="array" ref="M8">IF(E8&gt;0,IF($D8&lt;=0,0,ROUND(E8*I8,2)),"")</f>
        <v>3900000</v>
      </c>
      <c r="N8" s="23" cm="1">
        <f t="array" ref="N8">IF(F8&gt;0,IF($D8&lt;=0,0,ROUND(F8*J8,2)),"")</f>
        <v>3900000</v>
      </c>
    </row>
    <row r="9" ht="20.5" customHeight="1">
      <c r="A9" s="95">
        <v>7</v>
      </c>
      <c r="B9" t="s" s="19">
        <v>115</v>
      </c>
      <c r="C9" s="24"/>
      <c r="D9" s="26">
        <v>1</v>
      </c>
      <c r="E9" s="26" cm="1">
        <f t="array" ref="E9">D9</f>
        <v>1</v>
      </c>
      <c r="F9" s="26" cm="1">
        <f t="array" ref="F9">D9</f>
        <v>1</v>
      </c>
      <c r="G9" t="s" s="27">
        <v>19</v>
      </c>
      <c r="H9" s="26" cm="1">
        <f t="array" ref="H9">ROUNDDOWN((F$30*0.15)*100/111,-2)</f>
        <v>11394100</v>
      </c>
      <c r="I9" s="26">
        <v>11700000</v>
      </c>
      <c r="J9" s="26">
        <v>11700000</v>
      </c>
      <c r="K9" s="26">
        <v>11</v>
      </c>
      <c r="L9" s="26" cm="1">
        <f t="array" ref="L9">IF(D9&gt;0,IF($D9&lt;=0,0,D9*H9),"")</f>
        <v>11394100</v>
      </c>
      <c r="M9" s="26" cm="1">
        <f t="array" ref="M9">IF(E9&gt;0,IF($D9&lt;=0,0,ROUND(E9*I9,2)),"")</f>
        <v>11700000</v>
      </c>
      <c r="N9" s="28" cm="1">
        <f t="array" ref="N9">IF(F9&gt;0,IF($D9&lt;=0,0,ROUND(F9*J9,2)),"")</f>
        <v>11700000</v>
      </c>
    </row>
    <row r="10" ht="20.6" customHeight="1">
      <c r="A10" s="33">
        <v>8</v>
      </c>
      <c r="B10" t="s" s="34">
        <v>37</v>
      </c>
      <c r="C10" s="35"/>
      <c r="D10" s="36">
        <v>1</v>
      </c>
      <c r="E10" s="36" cm="1">
        <f t="array" ref="E10">D10</f>
        <v>1</v>
      </c>
      <c r="F10" s="36" cm="1">
        <f t="array" ref="F10">D10</f>
        <v>1</v>
      </c>
      <c r="G10" t="s" s="37">
        <v>19</v>
      </c>
      <c r="H10" s="36">
        <v>182305.44</v>
      </c>
      <c r="I10" s="36">
        <v>182160</v>
      </c>
      <c r="J10" s="36">
        <v>182160</v>
      </c>
      <c r="K10" s="36">
        <v>0</v>
      </c>
      <c r="L10" s="36" cm="1">
        <f t="array" ref="L10">IF(D10&gt;0,IF($D10&lt;=0,0,D10*H10),"")</f>
        <v>182305.44</v>
      </c>
      <c r="M10" s="36" cm="1">
        <f t="array" ref="M10">IF(E10&gt;0,IF($D10&lt;=0,0,ROUND(E10*I10,2)),"")</f>
        <v>182160</v>
      </c>
      <c r="N10" s="38" cm="1">
        <f t="array" ref="N10">IF(F10&gt;0,IF($D10&lt;=0,0,ROUND(F10*J10,2)),"")</f>
        <v>182160</v>
      </c>
    </row>
    <row r="11" ht="8.75" customHeight="1" hidden="1">
      <c r="A11" s="39"/>
      <c r="B11" s="40"/>
      <c r="C11" s="41"/>
      <c r="D11" s="42"/>
      <c r="E11" s="42"/>
      <c r="F11" s="42"/>
      <c r="G11" s="43"/>
      <c r="H11" s="42"/>
      <c r="I11" s="42"/>
      <c r="J11" s="42"/>
      <c r="K11" s="42"/>
      <c r="L11" s="42"/>
      <c r="M11" s="42"/>
      <c r="N11" s="44"/>
    </row>
    <row r="12" ht="8.75" customHeight="1" hidden="1">
      <c r="A12" s="39"/>
      <c r="B12" s="40"/>
      <c r="C12" s="45"/>
      <c r="D12" s="46"/>
      <c r="E12" s="46"/>
      <c r="F12" s="46"/>
      <c r="G12" s="47"/>
      <c r="H12" s="46"/>
      <c r="I12" s="46"/>
      <c r="J12" s="46"/>
      <c r="K12" s="46"/>
      <c r="L12" s="46"/>
      <c r="M12" s="46"/>
      <c r="N12" s="48"/>
    </row>
    <row r="13" ht="8.75" customHeight="1" hidden="1">
      <c r="A13" s="39"/>
      <c r="B13" s="40"/>
      <c r="C13" s="41"/>
      <c r="D13" s="42"/>
      <c r="E13" s="42"/>
      <c r="F13" s="42"/>
      <c r="G13" s="43"/>
      <c r="H13" s="42"/>
      <c r="I13" s="42"/>
      <c r="J13" s="42"/>
      <c r="K13" s="42"/>
      <c r="L13" s="42"/>
      <c r="M13" s="42"/>
      <c r="N13" s="44"/>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2"/>
      <c r="I15" s="42"/>
      <c r="J15" s="42"/>
      <c r="K15" s="42"/>
      <c r="L15" s="42"/>
      <c r="M15" s="42"/>
      <c r="N15" s="44"/>
    </row>
    <row r="16" ht="8.75" customHeight="1" hidden="1">
      <c r="A16" s="39"/>
      <c r="B16" s="40"/>
      <c r="C16" s="45"/>
      <c r="D16" s="46"/>
      <c r="E16" s="46"/>
      <c r="F16" s="46"/>
      <c r="G16" s="47"/>
      <c r="H16" s="46"/>
      <c r="I16" s="46"/>
      <c r="J16" s="46"/>
      <c r="K16" s="46"/>
      <c r="L16" s="46"/>
      <c r="M16" s="46"/>
      <c r="N16" s="48"/>
    </row>
    <row r="17" ht="8.75" customHeight="1" hidden="1">
      <c r="A17" s="39"/>
      <c r="B17" s="40"/>
      <c r="C17" s="41"/>
      <c r="D17" s="42"/>
      <c r="E17" s="42"/>
      <c r="F17" s="42"/>
      <c r="G17" s="43"/>
      <c r="H17" s="43"/>
      <c r="I17" s="43"/>
      <c r="J17" s="43"/>
      <c r="K17" s="42"/>
      <c r="L17" s="43"/>
      <c r="M17" s="43"/>
      <c r="N17" s="49"/>
    </row>
    <row r="18" ht="8.75" customHeight="1" hidden="1">
      <c r="A18" s="39"/>
      <c r="B18" s="40"/>
      <c r="C18" s="45"/>
      <c r="D18" s="46"/>
      <c r="E18" s="46"/>
      <c r="F18" s="46"/>
      <c r="G18" s="47"/>
      <c r="H18" s="50"/>
      <c r="I18" s="50"/>
      <c r="J18" s="50"/>
      <c r="K18" s="46"/>
      <c r="L18" s="46"/>
      <c r="M18" s="46"/>
      <c r="N18" s="48"/>
    </row>
    <row r="19" ht="8.75" customHeight="1" hidden="1">
      <c r="A19" s="39"/>
      <c r="B19" s="40"/>
      <c r="C19" s="41"/>
      <c r="D19" s="42"/>
      <c r="E19" s="42"/>
      <c r="F19" s="42"/>
      <c r="G19" s="43"/>
      <c r="H19" s="43"/>
      <c r="I19" s="43"/>
      <c r="J19" s="43"/>
      <c r="K19" s="42"/>
      <c r="L19" s="43"/>
      <c r="M19" s="43"/>
      <c r="N19" s="49"/>
    </row>
    <row r="20" ht="8.75" customHeight="1" hidden="1">
      <c r="A20" s="39"/>
      <c r="B20" s="40"/>
      <c r="C20" s="45"/>
      <c r="D20" s="46"/>
      <c r="E20" s="46"/>
      <c r="F20" s="46"/>
      <c r="G20" s="47"/>
      <c r="H20" s="46"/>
      <c r="I20" s="46"/>
      <c r="J20" s="46"/>
      <c r="K20" s="46"/>
      <c r="L20" s="46"/>
      <c r="M20" s="46"/>
      <c r="N20" s="48"/>
    </row>
    <row r="21" ht="8.75" customHeight="1" hidden="1">
      <c r="A21" s="39"/>
      <c r="B21" s="40"/>
      <c r="C21" s="41"/>
      <c r="D21" s="42"/>
      <c r="E21" s="42"/>
      <c r="F21" s="42"/>
      <c r="G21" s="43"/>
      <c r="H21" s="42"/>
      <c r="I21" s="42"/>
      <c r="J21" s="42"/>
      <c r="K21" s="42"/>
      <c r="L21" s="42"/>
      <c r="M21" s="42"/>
      <c r="N21" s="44"/>
    </row>
    <row r="22" ht="8.75" customHeight="1" hidden="1">
      <c r="A22" s="51"/>
      <c r="B22" s="40"/>
      <c r="C22" s="45"/>
      <c r="D22" s="46"/>
      <c r="E22" s="46"/>
      <c r="F22" s="46"/>
      <c r="G22" s="47"/>
      <c r="H22" s="46"/>
      <c r="I22" s="46"/>
      <c r="J22" s="46"/>
      <c r="K22" s="46"/>
      <c r="L22" s="46"/>
      <c r="M22" s="46"/>
      <c r="N22" s="48"/>
    </row>
    <row r="23" ht="8.75" customHeight="1" hidden="1">
      <c r="A23" s="51"/>
      <c r="B23" s="40"/>
      <c r="C23" s="41"/>
      <c r="D23" s="42"/>
      <c r="E23" s="42"/>
      <c r="F23" s="42"/>
      <c r="G23" s="43"/>
      <c r="H23" s="42"/>
      <c r="I23" s="42"/>
      <c r="J23" s="42"/>
      <c r="K23" s="42"/>
      <c r="L23" s="42"/>
      <c r="M23" s="42"/>
      <c r="N23" s="44"/>
    </row>
    <row r="24" ht="8.75" customHeight="1" hidden="1">
      <c r="A24" s="39"/>
      <c r="B24" s="40"/>
      <c r="C24" s="45"/>
      <c r="D24" s="46"/>
      <c r="E24" s="46"/>
      <c r="F24" s="46"/>
      <c r="G24" s="47"/>
      <c r="H24" s="46"/>
      <c r="I24" s="46"/>
      <c r="J24" s="46"/>
      <c r="K24" s="46"/>
      <c r="L24" s="47"/>
      <c r="M24" s="47"/>
      <c r="N24" s="52"/>
    </row>
    <row r="25" ht="8.75" customHeight="1" hidden="1">
      <c r="A25" s="39"/>
      <c r="B25" s="40"/>
      <c r="C25" s="41"/>
      <c r="D25" s="42"/>
      <c r="E25" s="42"/>
      <c r="F25" s="42"/>
      <c r="G25" s="43"/>
      <c r="H25" s="42"/>
      <c r="I25" s="42"/>
      <c r="J25" s="42"/>
      <c r="K25" s="42"/>
      <c r="L25" s="42"/>
      <c r="M25" s="42"/>
      <c r="N25" s="44"/>
    </row>
    <row r="26" ht="8.75" customHeight="1" hidden="1">
      <c r="A26" s="39"/>
      <c r="B26" s="40"/>
      <c r="C26" s="45"/>
      <c r="D26" s="46"/>
      <c r="E26" s="46"/>
      <c r="F26" s="46"/>
      <c r="G26" s="47"/>
      <c r="H26" s="46"/>
      <c r="I26" s="46"/>
      <c r="J26" s="46"/>
      <c r="K26" s="46"/>
      <c r="L26" s="47"/>
      <c r="M26" s="47"/>
      <c r="N26" s="52"/>
    </row>
    <row r="27" ht="20.85" customHeight="1">
      <c r="A27" s="108"/>
      <c r="B27" s="54"/>
      <c r="C27" s="54"/>
      <c r="D27" s="55"/>
      <c r="E27" s="55"/>
      <c r="F27" s="55"/>
      <c r="G27" s="56"/>
      <c r="H27" s="56"/>
      <c r="I27" s="54"/>
      <c r="J27" s="57"/>
      <c r="K27" t="s" s="58">
        <v>38</v>
      </c>
      <c r="L27" s="59" cm="1">
        <f t="array" ref="L27">SUM(L1:L26)</f>
        <v>76142905.44</v>
      </c>
      <c r="M27" s="59" cm="1">
        <f t="array" ref="M27">SUM(M1:M26)</f>
        <v>76082160</v>
      </c>
      <c r="N27" s="59" cm="1">
        <f t="array" ref="N27">SUM(N1:N26)</f>
        <v>76082160</v>
      </c>
    </row>
    <row r="28" ht="21" customHeight="1">
      <c r="A28" s="63" cm="1">
        <f t="array" ref="A28">ROUND(IF(I28&lt;=100000000,I28*0.24%,IF(AND(I28&gt;100000000,I28&lt;=500000000),100000000*0.24%+(I28-100000000)*0.19%,IF(AND(I28&gt;500000000,I28&lt;=1000000000),100000000*0.24%+400000000*0.19%+(I28-500000000)*0.15%,IF(AND(I28&gt;1000000000,I28&lt;=5000000000),100000000*0.24%+400000000*0.19%+500000000*0.15%+(I28-1000000000)*0.12%,IF(I28&gt;5000000000,100000000*0.24%+400000000*0.19%+500000000*0.15%+4000000000*0.12%+(I28-5000000000)*0.1%,"Bingung komputer"))))),2)</f>
        <v>0</v>
      </c>
      <c r="B28" t="s" s="109">
        <v>39</v>
      </c>
      <c r="C28" s="62"/>
      <c r="D28" s="63" cm="1">
        <f t="array" ref="D28">ROUND(IF(L28&lt;=100000000,L28*0.24%,IF(AND(L28&gt;100000000,L28&lt;=500000000),100000000*0.24%+(L28-100000000)*0.19%,IF(AND(L28&gt;500000000,L28&lt;=1000000000),100000000*0.24%+400000000*0.19%+(L28-500000000)*0.15%,IF(AND(L28&gt;1000000000,L28&lt;=5000000000),100000000*0.24%+400000000*0.19%+500000000*0.15%+(L28-1000000000)*0.12%,IF(L28&gt;5000000000,100000000*0.24%+400000000*0.19%+500000000*0.15%+4000000000*0.12%+(L28-5000000000)*0.1%,"Bingung komputer"))))),2)</f>
        <v>182305.44</v>
      </c>
      <c r="E28" s="64" cm="1">
        <f t="array" ref="E28">ROUND(IF(M28&lt;=100000000,M28*0.24%,IF(AND(M28&gt;100000000,M28&lt;=500000000),100000000*0.24%+(M28-100000000)*0.19%,IF(AND(M28&gt;500000000,M28&lt;=1000000000),100000000*0.24%+400000000*0.19%+(M28-500000000)*0.15%,IF(AND(M28&gt;1000000000,M28&lt;=5000000000),100000000*0.24%+400000000*0.19%+500000000*0.15%+(M28-1000000000)*0.12%,IF(M28&gt;5000000000,100000000*0.24%+400000000*0.19%+500000000*0.15%+4000000000*0.12%+(M28-5000000000)*0.1%,"Bingung komputer"))))),2)</f>
        <v>182160</v>
      </c>
      <c r="F28" s="64" cm="1">
        <f t="array" ref="F28">ROUND(IF(N28&lt;=100000000,N28*0.24%,IF(AND(N28&gt;100000000,N28&lt;=500000000),100000000*0.24%+(N28-100000000)*0.19%,IF(AND(N28&gt;500000000,N28&lt;=1000000000),100000000*0.24%+400000000*0.19%+(N28-500000000)*0.15%,IF(AND(N28&gt;1000000000,N28&lt;=5000000000),100000000*0.24%+400000000*0.19%+500000000*0.15%+(N28-1000000000)*0.12%,IF(N28&gt;5000000000,100000000*0.24%+400000000*0.19%+500000000*0.15%+4000000000*0.12%+(N28-5000000000)*0.1%,"Bingung komputer"))))),2)</f>
        <v>182160</v>
      </c>
      <c r="G28" s="65"/>
      <c r="H28" s="66"/>
      <c r="I28" s="68"/>
      <c r="J28" s="67"/>
      <c r="K28" t="str" s="67" cm="1">
        <f t="array" ref="K28">"Jumlah Terkena Pajak "&amp;MAX(K3:K26)&amp;"% (B)"</f>
        <v>Jumlah Terkena Pajak 11,00% (B)</v>
      </c>
      <c r="L28" s="68" cm="1">
        <f t="array" ref="L28">SUMIF($K3:$K26,"&gt;0",L3:L26)</f>
        <v>75960600</v>
      </c>
      <c r="M28" s="69" cm="1">
        <f t="array" ref="M28">SUMIF($K3:$K26,"&gt;0",M3:M26)</f>
        <v>75900000</v>
      </c>
      <c r="N28" s="69" cm="1">
        <f t="array" ref="N28">SUMIF($K3:$K26,"&gt;0",N3:N26)</f>
        <v>75900000</v>
      </c>
    </row>
    <row r="29" ht="21" customHeight="1">
      <c r="A29" s="70"/>
      <c r="B29" s="71"/>
      <c r="C29" s="71"/>
      <c r="D29" s="72"/>
      <c r="E29" s="72"/>
      <c r="F29" s="71"/>
      <c r="G29" s="72"/>
      <c r="H29" s="72"/>
      <c r="I29" s="74"/>
      <c r="J29" s="73"/>
      <c r="K29" t="str" s="73" cm="1">
        <f t="array" ref="K29">"PPN (C) = "&amp;MAX(K3:K26)&amp;"% x B"</f>
        <v>PPN (C) = 11,00% x B</v>
      </c>
      <c r="L29" s="74" cm="1">
        <f t="array" ref="L29">L28*MAX($K3:$K26)%</f>
        <v>8355666</v>
      </c>
      <c r="M29" s="69" cm="1">
        <f t="array" ref="M29">M28*MAX($K3:$K26)%</f>
        <v>8349000</v>
      </c>
      <c r="N29" s="69" cm="1">
        <f t="array" ref="N29">N28*MAX($K3:$K26)%</f>
        <v>8349000</v>
      </c>
    </row>
    <row r="30" ht="21" customHeight="1">
      <c r="A30" s="70"/>
      <c r="B30" s="71"/>
      <c r="C30" s="71"/>
      <c r="D30" t="s" s="110">
        <v>116</v>
      </c>
      <c r="E30" s="111">
        <v>84500000</v>
      </c>
      <c r="F30" s="113">
        <v>84316613.12</v>
      </c>
      <c r="G30" s="72"/>
      <c r="H30" s="72"/>
      <c r="I30" s="71"/>
      <c r="J30" s="73"/>
      <c r="K30" t="s" s="75">
        <v>42</v>
      </c>
      <c r="L30" s="76" cm="1">
        <f t="array" ref="L30">L27+L29</f>
        <v>84498571.44</v>
      </c>
      <c r="M30" s="69" cm="1">
        <f t="array" ref="M30">M27+M29</f>
        <v>84431160</v>
      </c>
      <c r="N30" s="69" cm="1">
        <f t="array" ref="N30">N27+N29</f>
        <v>84431160</v>
      </c>
    </row>
    <row r="31" ht="20.5" customHeight="1">
      <c r="A31" s="70"/>
      <c r="B31" s="71"/>
      <c r="C31" s="71"/>
      <c r="D31" s="72"/>
      <c r="E31" s="72" cm="1">
        <f t="array" ref="E31">E$30-L$31</f>
        <v>1428.56</v>
      </c>
      <c r="F31" s="113" cm="1">
        <f t="array" ref="F31">ROUNDDOWN(E$30-D$28,2)</f>
        <v>84317694.56</v>
      </c>
      <c r="G31" s="72"/>
      <c r="H31" s="72"/>
      <c r="I31" s="71"/>
      <c r="J31" s="73"/>
      <c r="K31" t="s" s="75">
        <v>43</v>
      </c>
      <c r="L31" s="68" cm="1">
        <f t="array" ref="L31">ROUNDDOWN(L30,2)</f>
        <v>84498571.44</v>
      </c>
      <c r="M31" s="68" cm="1">
        <f t="array" ref="M31">ROUNDDOWN(M30,2)</f>
        <v>84431160</v>
      </c>
      <c r="N31" s="68" cm="1">
        <f t="array" ref="N31">ROUNDDOWN(N30,-3)</f>
        <v>84431000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62.xml><?xml version="1.0" encoding="utf-8"?>
<worksheet xmlns:r="http://schemas.openxmlformats.org/officeDocument/2006/relationships" xmlns="http://schemas.openxmlformats.org/spreadsheetml/2006/main">
  <sheetPr>
    <pageSetUpPr fitToPage="1"/>
  </sheetPr>
  <dimension ref="A1:N32"/>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177" customWidth="1"/>
    <col min="2" max="2" width="43.0312" style="177" customWidth="1"/>
    <col min="3" max="3" width="2.75" style="177" customWidth="1"/>
    <col min="4" max="6" width="10.3672" style="177" customWidth="1"/>
    <col min="7" max="7" width="11.6875" style="177" customWidth="1"/>
    <col min="8" max="11" width="13.5156" style="177" customWidth="1"/>
    <col min="12" max="14" width="14.2344" style="177" customWidth="1"/>
    <col min="15" max="16384" width="16.3516" style="177"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16</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t="s" s="18">
        <v>17</v>
      </c>
      <c r="B4" t="s" s="19">
        <v>18</v>
      </c>
      <c r="C4" s="20"/>
      <c r="D4" s="21">
        <v>1</v>
      </c>
      <c r="E4" s="21" cm="1">
        <f t="array" ref="E4">D4</f>
        <v>1</v>
      </c>
      <c r="F4" s="21" cm="1">
        <f t="array" ref="F4">D4</f>
        <v>1</v>
      </c>
      <c r="G4" t="s" s="22">
        <v>19</v>
      </c>
      <c r="H4" s="21">
        <v>19699500</v>
      </c>
      <c r="I4" s="21">
        <v>19699500</v>
      </c>
      <c r="J4" s="21">
        <v>19699500</v>
      </c>
      <c r="K4" s="21">
        <v>11</v>
      </c>
      <c r="L4" s="21" cm="1">
        <f t="array" ref="L4">IF(D4&gt;0,IF($D4&lt;=0,0,D4*H4),"")</f>
        <v>19699500</v>
      </c>
      <c r="M4" s="21" cm="1">
        <f t="array" ref="M4">IF(E4&gt;0,IF($D4&lt;=0,0,ROUND(E4*I4,2)),"")</f>
        <v>19699500</v>
      </c>
      <c r="N4" s="23" cm="1">
        <f t="array" ref="N4">IF(F4&gt;0,IF($D4&lt;=0,0,ROUND(F4*J4,2)),"")</f>
        <v>19699500</v>
      </c>
    </row>
    <row r="5" ht="20.5" customHeight="1">
      <c r="A5" t="s" s="18">
        <v>20</v>
      </c>
      <c r="B5" t="s" s="19">
        <v>21</v>
      </c>
      <c r="C5" s="24"/>
      <c r="D5" s="26">
        <v>1</v>
      </c>
      <c r="E5" s="26" cm="1">
        <f t="array" ref="E5">D5</f>
        <v>1</v>
      </c>
      <c r="F5" s="26" cm="1">
        <f t="array" ref="F5">D5</f>
        <v>1</v>
      </c>
      <c r="G5" t="s" s="27">
        <v>19</v>
      </c>
      <c r="H5" s="26">
        <v>660000</v>
      </c>
      <c r="I5" s="26">
        <v>620000</v>
      </c>
      <c r="J5" s="26">
        <v>620000</v>
      </c>
      <c r="K5" s="26">
        <v>11</v>
      </c>
      <c r="L5" s="26" cm="1">
        <f t="array" ref="L5">IF(D5&gt;0,IF($D5&lt;=0,0,D5*H5),"")</f>
        <v>660000</v>
      </c>
      <c r="M5" s="26" cm="1">
        <f t="array" ref="M5">IF(E5&gt;0,IF($D5&lt;=0,0,ROUND(E5*I5,2)),"")</f>
        <v>620000</v>
      </c>
      <c r="N5" s="28" cm="1">
        <f t="array" ref="N5">IF(F5&gt;0,IF($D5&lt;=0,0,ROUND(F5*J5,2)),"")</f>
        <v>620000</v>
      </c>
    </row>
    <row r="6" ht="20.5" customHeight="1">
      <c r="A6" t="s" s="18">
        <v>22</v>
      </c>
      <c r="B6" t="s" s="19">
        <v>23</v>
      </c>
      <c r="C6" s="20"/>
      <c r="D6" s="21">
        <v>1</v>
      </c>
      <c r="E6" s="21" cm="1">
        <f t="array" ref="E6">D6</f>
        <v>1</v>
      </c>
      <c r="F6" s="21" cm="1">
        <f t="array" ref="F6">D6</f>
        <v>1</v>
      </c>
      <c r="G6" t="s" s="22">
        <v>19</v>
      </c>
      <c r="H6" s="21">
        <v>3885000</v>
      </c>
      <c r="I6" s="21">
        <v>3785000</v>
      </c>
      <c r="J6" s="21">
        <v>3785000</v>
      </c>
      <c r="K6" s="21">
        <v>11</v>
      </c>
      <c r="L6" s="21" cm="1">
        <f t="array" ref="L6">IF(D6&gt;0,IF($D6&lt;=0,0,D6*H6),"")</f>
        <v>3885000</v>
      </c>
      <c r="M6" s="21" cm="1">
        <f t="array" ref="M6">IF(E6&gt;0,IF($D6&lt;=0,0,ROUND(E6*I6,2)),"")</f>
        <v>3785000</v>
      </c>
      <c r="N6" s="23" cm="1">
        <f t="array" ref="N6">IF(F6&gt;0,IF($D6&lt;=0,0,ROUND(F6*J6,2)),"")</f>
        <v>3785000</v>
      </c>
    </row>
    <row r="7" ht="20.5" customHeight="1">
      <c r="A7" s="29"/>
      <c r="B7" t="s" s="19">
        <v>28</v>
      </c>
      <c r="C7" s="24"/>
      <c r="D7" s="30"/>
      <c r="E7" s="26"/>
      <c r="F7" s="26"/>
      <c r="G7" s="30"/>
      <c r="H7" s="26"/>
      <c r="I7" s="30"/>
      <c r="J7" s="30"/>
      <c r="K7" s="26"/>
      <c r="L7" t="str" s="30" cm="1">
        <f t="array" ref="L7">IF(D7&gt;0,IF($D7&lt;=0,0,D7*H7),"")</f>
      </c>
      <c r="M7" t="str" s="30" cm="1">
        <f t="array" ref="M7">IF(E7&gt;0,IF($D7&lt;=0,0,ROUND(E7*I7,2)),"")</f>
      </c>
      <c r="N7" t="str" s="31" cm="1">
        <f t="array" ref="N7">IF(F7&gt;0,IF($D7&lt;=0,0,ROUND(F7*J7,2)),"")</f>
      </c>
    </row>
    <row r="8" ht="20.5" customHeight="1">
      <c r="A8" t="s" s="18">
        <v>31</v>
      </c>
      <c r="B8" t="s" s="19">
        <v>32</v>
      </c>
      <c r="C8" s="20"/>
      <c r="D8" s="78">
        <v>468</v>
      </c>
      <c r="E8" s="21" cm="1">
        <f t="array" ref="E8">D8</f>
        <v>468</v>
      </c>
      <c r="F8" s="21" cm="1">
        <f t="array" ref="F8">D8</f>
        <v>468</v>
      </c>
      <c r="G8" t="s" s="22">
        <v>27</v>
      </c>
      <c r="H8" s="21">
        <v>274530.27</v>
      </c>
      <c r="I8" s="32">
        <v>274433.16</v>
      </c>
      <c r="J8" s="32">
        <v>274433.16</v>
      </c>
      <c r="K8" s="21">
        <v>11</v>
      </c>
      <c r="L8" s="21" cm="1">
        <f t="array" ref="L8">IF(D8&gt;0,IF($D8&lt;=0,0,D8*H8),"")</f>
        <v>128480166.36</v>
      </c>
      <c r="M8" s="21" cm="1">
        <f t="array" ref="M8">IF(E8&gt;0,IF($D8&lt;=0,0,ROUND(E8*I8,2)),"")</f>
        <v>128434718.88</v>
      </c>
      <c r="N8" s="23" cm="1">
        <f t="array" ref="N8">IF(F8&gt;0,IF($D8&lt;=0,0,ROUND(F8*J8,2)),"")</f>
        <v>128434718.88</v>
      </c>
    </row>
    <row r="9" ht="20.5" customHeight="1">
      <c r="A9" t="s" s="18">
        <v>33</v>
      </c>
      <c r="B9" t="s" s="19">
        <v>34</v>
      </c>
      <c r="C9" s="24"/>
      <c r="D9" s="26">
        <v>3000</v>
      </c>
      <c r="E9" s="26" cm="1">
        <f t="array" ref="E9">D9</f>
        <v>3000</v>
      </c>
      <c r="F9" s="26" cm="1">
        <f t="array" ref="F9">D9</f>
        <v>3000</v>
      </c>
      <c r="G9" t="s" s="27">
        <v>35</v>
      </c>
      <c r="H9" s="26">
        <v>2996.59</v>
      </c>
      <c r="I9" s="122">
        <v>2996.48</v>
      </c>
      <c r="J9" s="122">
        <v>2996.48</v>
      </c>
      <c r="K9" s="26">
        <v>11</v>
      </c>
      <c r="L9" s="26" cm="1">
        <f t="array" ref="L9">IF(D9&gt;0,IF($D9&lt;=0,0,D9*H9),"")</f>
        <v>8989770</v>
      </c>
      <c r="M9" s="26" cm="1">
        <f t="array" ref="M9">IF(E9&gt;0,IF($D9&lt;=0,0,ROUND(E9*I9,2)),"")</f>
        <v>8989440</v>
      </c>
      <c r="N9" s="28" cm="1">
        <f t="array" ref="N9">IF(F9&gt;0,IF($D9&lt;=0,0,ROUND(F9*J9,2)),"")</f>
        <v>8989440</v>
      </c>
    </row>
    <row r="10" ht="20.5" customHeight="1">
      <c r="A10" s="29"/>
      <c r="B10" t="s" s="19">
        <v>36</v>
      </c>
      <c r="C10" s="20"/>
      <c r="D10" s="21"/>
      <c r="E10" s="21"/>
      <c r="F10" s="21"/>
      <c r="G10" s="79"/>
      <c r="H10" s="79"/>
      <c r="I10" s="79"/>
      <c r="J10" s="79"/>
      <c r="K10" s="21"/>
      <c r="L10" t="str" s="79" cm="1">
        <f t="array" ref="L10">IF(D10&gt;0,IF($D10&lt;=0,0,D10*H11),"")</f>
      </c>
      <c r="M10" s="21"/>
      <c r="N10" s="23"/>
    </row>
    <row r="11" ht="20.6" customHeight="1">
      <c r="A11" s="33">
        <v>1</v>
      </c>
      <c r="B11" t="s" s="34">
        <v>37</v>
      </c>
      <c r="C11" s="80"/>
      <c r="D11" s="81">
        <v>1</v>
      </c>
      <c r="E11" s="81" cm="1">
        <f t="array" ref="E11">D11</f>
        <v>1</v>
      </c>
      <c r="F11" s="81" cm="1">
        <f t="array" ref="F11">D11</f>
        <v>1</v>
      </c>
      <c r="G11" t="s" s="82">
        <v>19</v>
      </c>
      <c r="H11" s="138">
        <v>357257.42</v>
      </c>
      <c r="I11" s="138">
        <v>356904.42</v>
      </c>
      <c r="J11" s="138">
        <v>356904.42</v>
      </c>
      <c r="K11" s="81">
        <v>0</v>
      </c>
      <c r="L11" s="81" cm="1">
        <f t="array" ref="L11">IF(D11&gt;0,IF($D11&lt;=0,0,D11*H11),"")</f>
        <v>357257.42</v>
      </c>
      <c r="M11" s="81" cm="1">
        <f t="array" ref="M11">IF(E11&gt;0,IF($D11&lt;=0,0,ROUND(E11*I11,2)),"")</f>
        <v>356904.42</v>
      </c>
      <c r="N11" s="83" cm="1">
        <f t="array" ref="N11">IF(F11&gt;0,IF($D11&lt;=0,0,ROUND(F11*J11,2)),"")</f>
        <v>356904.42</v>
      </c>
    </row>
    <row r="12" ht="8.75" customHeight="1" hidden="1">
      <c r="A12" s="39"/>
      <c r="B12" s="40"/>
      <c r="C12" s="45"/>
      <c r="D12" s="46"/>
      <c r="E12" s="46"/>
      <c r="F12" s="46"/>
      <c r="G12" s="47"/>
      <c r="H12" s="46"/>
      <c r="I12" s="46"/>
      <c r="J12" s="46"/>
      <c r="K12" s="46"/>
      <c r="L12" s="46"/>
      <c r="M12" s="46"/>
      <c r="N12" s="48"/>
    </row>
    <row r="13" ht="8.75" customHeight="1" hidden="1">
      <c r="A13" s="39"/>
      <c r="B13" s="40"/>
      <c r="C13" s="41"/>
      <c r="D13" s="42"/>
      <c r="E13" s="42"/>
      <c r="F13" s="42"/>
      <c r="G13" s="43"/>
      <c r="H13" s="42"/>
      <c r="I13" s="42"/>
      <c r="J13" s="42"/>
      <c r="K13" s="42"/>
      <c r="L13" s="42"/>
      <c r="M13" s="42"/>
      <c r="N13" s="44"/>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2"/>
      <c r="I15" s="42"/>
      <c r="J15" s="42"/>
      <c r="K15" s="42"/>
      <c r="L15" s="42"/>
      <c r="M15" s="42"/>
      <c r="N15" s="44"/>
    </row>
    <row r="16" ht="8.75" customHeight="1" hidden="1">
      <c r="A16" s="39"/>
      <c r="B16" s="40"/>
      <c r="C16" s="45"/>
      <c r="D16" s="46"/>
      <c r="E16" s="46"/>
      <c r="F16" s="46"/>
      <c r="G16" s="47"/>
      <c r="H16" s="46"/>
      <c r="I16" s="46"/>
      <c r="J16" s="46"/>
      <c r="K16" s="46"/>
      <c r="L16" s="46"/>
      <c r="M16" s="46"/>
      <c r="N16" s="48"/>
    </row>
    <row r="17" ht="8.75" customHeight="1" hidden="1">
      <c r="A17" s="39"/>
      <c r="B17" s="40"/>
      <c r="C17" s="41"/>
      <c r="D17" s="42"/>
      <c r="E17" s="42"/>
      <c r="F17" s="42"/>
      <c r="G17" s="43"/>
      <c r="H17" s="42"/>
      <c r="I17" s="42"/>
      <c r="J17" s="42"/>
      <c r="K17" s="42"/>
      <c r="L17" s="42"/>
      <c r="M17" s="42"/>
      <c r="N17" s="44"/>
    </row>
    <row r="18" ht="8.75" customHeight="1" hidden="1">
      <c r="A18" s="39"/>
      <c r="B18" s="40"/>
      <c r="C18" s="45"/>
      <c r="D18" s="46"/>
      <c r="E18" s="46"/>
      <c r="F18" s="46"/>
      <c r="G18" s="47"/>
      <c r="H18" s="47"/>
      <c r="I18" s="47"/>
      <c r="J18" s="47"/>
      <c r="K18" s="46"/>
      <c r="L18" s="47"/>
      <c r="M18" s="47"/>
      <c r="N18" s="52"/>
    </row>
    <row r="19" ht="8.75" customHeight="1" hidden="1">
      <c r="A19" s="39"/>
      <c r="B19" s="40"/>
      <c r="C19" s="41"/>
      <c r="D19" s="42"/>
      <c r="E19" s="42"/>
      <c r="F19" s="42"/>
      <c r="G19" s="43"/>
      <c r="H19" s="84"/>
      <c r="I19" s="84"/>
      <c r="J19" s="84"/>
      <c r="K19" s="42"/>
      <c r="L19" s="42"/>
      <c r="M19" s="42"/>
      <c r="N19" s="44"/>
    </row>
    <row r="20" ht="8.75" customHeight="1" hidden="1">
      <c r="A20" s="39"/>
      <c r="B20" s="40"/>
      <c r="C20" s="45"/>
      <c r="D20" s="46"/>
      <c r="E20" s="46"/>
      <c r="F20" s="46"/>
      <c r="G20" s="47"/>
      <c r="H20" s="47"/>
      <c r="I20" s="47"/>
      <c r="J20" s="47"/>
      <c r="K20" s="46"/>
      <c r="L20" s="47"/>
      <c r="M20" s="47"/>
      <c r="N20" s="52"/>
    </row>
    <row r="21" ht="8.75" customHeight="1" hidden="1">
      <c r="A21" s="39"/>
      <c r="B21" s="40"/>
      <c r="C21" s="41"/>
      <c r="D21" s="42"/>
      <c r="E21" s="42"/>
      <c r="F21" s="42"/>
      <c r="G21" s="43"/>
      <c r="H21" s="42"/>
      <c r="I21" s="42"/>
      <c r="J21" s="42"/>
      <c r="K21" s="42"/>
      <c r="L21" s="42"/>
      <c r="M21" s="42"/>
      <c r="N21" s="44"/>
    </row>
    <row r="22" ht="8.75" customHeight="1" hidden="1">
      <c r="A22" s="39"/>
      <c r="B22" s="40"/>
      <c r="C22" s="45"/>
      <c r="D22" s="46"/>
      <c r="E22" s="46"/>
      <c r="F22" s="46"/>
      <c r="G22" s="47"/>
      <c r="H22" s="46"/>
      <c r="I22" s="46"/>
      <c r="J22" s="46"/>
      <c r="K22" s="46"/>
      <c r="L22" s="46"/>
      <c r="M22" s="46"/>
      <c r="N22" s="48"/>
    </row>
    <row r="23" ht="8.75" customHeight="1" hidden="1">
      <c r="A23" s="51"/>
      <c r="B23" s="40"/>
      <c r="C23" s="41"/>
      <c r="D23" s="42"/>
      <c r="E23" s="42"/>
      <c r="F23" s="42"/>
      <c r="G23" s="43"/>
      <c r="H23" s="42"/>
      <c r="I23" s="42"/>
      <c r="J23" s="42"/>
      <c r="K23" s="42"/>
      <c r="L23" s="42"/>
      <c r="M23" s="42"/>
      <c r="N23" s="44"/>
    </row>
    <row r="24" ht="8.75" customHeight="1" hidden="1">
      <c r="A24" s="51"/>
      <c r="B24" s="40"/>
      <c r="C24" s="45"/>
      <c r="D24" s="46"/>
      <c r="E24" s="46"/>
      <c r="F24" s="46"/>
      <c r="G24" s="47"/>
      <c r="H24" s="46"/>
      <c r="I24" s="46"/>
      <c r="J24" s="46"/>
      <c r="K24" s="46"/>
      <c r="L24" s="46"/>
      <c r="M24" s="46"/>
      <c r="N24" s="48"/>
    </row>
    <row r="25" ht="8.75" customHeight="1" hidden="1">
      <c r="A25" s="39"/>
      <c r="B25" s="40"/>
      <c r="C25" s="41"/>
      <c r="D25" s="42"/>
      <c r="E25" s="42"/>
      <c r="F25" s="42"/>
      <c r="G25" s="43"/>
      <c r="H25" s="42"/>
      <c r="I25" s="42"/>
      <c r="J25" s="42"/>
      <c r="K25" s="42"/>
      <c r="L25" s="43"/>
      <c r="M25" s="43"/>
      <c r="N25" s="49"/>
    </row>
    <row r="26" ht="8.75" customHeight="1" hidden="1">
      <c r="A26" s="39"/>
      <c r="B26" s="40"/>
      <c r="C26" s="45"/>
      <c r="D26" s="46"/>
      <c r="E26" s="46"/>
      <c r="F26" s="46"/>
      <c r="G26" s="47"/>
      <c r="H26" s="46"/>
      <c r="I26" s="46"/>
      <c r="J26" s="46"/>
      <c r="K26" s="46"/>
      <c r="L26" s="46"/>
      <c r="M26" s="46"/>
      <c r="N26" s="48"/>
    </row>
    <row r="27" ht="8.75" customHeight="1" hidden="1">
      <c r="A27" s="39"/>
      <c r="B27" s="40"/>
      <c r="C27" s="41"/>
      <c r="D27" s="42"/>
      <c r="E27" s="42"/>
      <c r="F27" s="42"/>
      <c r="G27" s="43"/>
      <c r="H27" s="42"/>
      <c r="I27" s="42"/>
      <c r="J27" s="42"/>
      <c r="K27" s="42"/>
      <c r="L27" s="43"/>
      <c r="M27" s="43"/>
      <c r="N27" s="49"/>
    </row>
    <row r="28" ht="20.85" customHeight="1">
      <c r="A28" s="53"/>
      <c r="B28" s="54"/>
      <c r="C28" s="54"/>
      <c r="D28" s="55"/>
      <c r="E28" s="55"/>
      <c r="F28" s="55"/>
      <c r="G28" s="56"/>
      <c r="H28" s="56"/>
      <c r="I28" s="54"/>
      <c r="J28" s="57"/>
      <c r="K28" t="s" s="58">
        <v>38</v>
      </c>
      <c r="L28" s="59" cm="1">
        <f t="array" ref="L28">SUM(L1:L27)</f>
        <v>162071693.78</v>
      </c>
      <c r="M28" s="59" cm="1">
        <f t="array" ref="M28">SUM(M1:M27)</f>
        <v>161885563.3</v>
      </c>
      <c r="N28" s="59" cm="1">
        <f t="array" ref="N28">SUM(N1:N27)</f>
        <v>161885563.3</v>
      </c>
    </row>
    <row r="29" ht="21" customHeight="1">
      <c r="A29" s="60"/>
      <c r="B29" t="s" s="61">
        <v>39</v>
      </c>
      <c r="C29" s="62"/>
      <c r="D29" s="63" cm="1">
        <f t="array" ref="D29">ROUND(IF(L29&lt;=100000000,L29*0.24%,IF(AND(L29&gt;100000000,L29&lt;=500000000),100000000*0.24%+(L29-100000000)*0.19%,IF(AND(L29&gt;500000000,L29&lt;=1000000000),100000000*0.24%+400000000*0.19%+(L29-500000000)*0.15%,IF(AND(L29&gt;1000000000,L29&lt;=5000000000),100000000*0.24%+400000000*0.19%+500000000*0.15%+(L29-1000000000)*0.12%,IF(L29&gt;5000000000,100000000*0.24%+400000000*0.19%+500000000*0.15%+4000000000*0.12%+(L29-5000000000)*0.1%,"Bingung komputer"))))),2)</f>
        <v>357257.43</v>
      </c>
      <c r="E29" s="64" cm="1">
        <f t="array" ref="E29">ROUND(IF(M29&lt;=100000000,M29*0.24%,IF(AND(M29&gt;100000000,M29&lt;=500000000),100000000*0.24%+(M29-100000000)*0.19%,IF(AND(M29&gt;500000000,M29&lt;=1000000000),100000000*0.24%+400000000*0.19%+(M29-500000000)*0.15%,IF(AND(M29&gt;1000000000,M29&lt;=5000000000),100000000*0.24%+400000000*0.19%+500000000*0.15%+(M29-1000000000)*0.12%,IF(M29&gt;5000000000,100000000*0.24%+400000000*0.19%+500000000*0.15%+4000000000*0.12%+(M29-5000000000)*0.1%,"Bingung komputer"))))),2)</f>
        <v>356904.45</v>
      </c>
      <c r="F29" s="64" cm="1">
        <f t="array" ref="F29">ROUND(IF(N29&lt;=100000000,N29*0.24%,IF(AND(N29&gt;100000000,N29&lt;=500000000),100000000*0.24%+(N29-100000000)*0.19%,IF(AND(N29&gt;500000000,N29&lt;=1000000000),100000000*0.24%+400000000*0.19%+(N29-500000000)*0.15%,IF(AND(N29&gt;1000000000,N29&lt;=5000000000),100000000*0.24%+400000000*0.19%+500000000*0.15%+(N29-1000000000)*0.12%,IF(N29&gt;5000000000,100000000*0.24%+400000000*0.19%+500000000*0.15%+4000000000*0.12%+(N29-5000000000)*0.1%,"Bingung komputer"))))),2)</f>
        <v>356904.45</v>
      </c>
      <c r="G29" s="65"/>
      <c r="H29" s="66"/>
      <c r="I29" s="62"/>
      <c r="J29" s="67"/>
      <c r="K29" t="str" s="67" cm="1">
        <f t="array" ref="K29">"Jumlah Terkena Pajak "&amp;MAX(K3:K27)&amp;"% (B)"</f>
        <v>Jumlah Terkena Pajak 11,00% (B)</v>
      </c>
      <c r="L29" s="68" cm="1">
        <f t="array" ref="L29">SUMIF($K3:$K27,"&gt;0",L3:L27)</f>
        <v>161714436.36</v>
      </c>
      <c r="M29" s="69" cm="1">
        <f t="array" ref="M29">SUMIF($K3:$K27,"&gt;0",M3:M27)</f>
        <v>161528658.88</v>
      </c>
      <c r="N29" s="69" cm="1">
        <f t="array" ref="N29">SUMIF($K3:$K27,"&gt;0",N3:N27)</f>
        <v>161528658.88</v>
      </c>
    </row>
    <row r="30" ht="21" customHeight="1">
      <c r="A30" s="70"/>
      <c r="B30" s="71"/>
      <c r="C30" s="71"/>
      <c r="D30" s="72"/>
      <c r="E30" s="72"/>
      <c r="F30" s="71"/>
      <c r="G30" s="72"/>
      <c r="H30" s="72"/>
      <c r="I30" s="71"/>
      <c r="J30" s="73"/>
      <c r="K30" t="str" s="73" cm="1">
        <f t="array" ref="K30">"PPN (C) = "&amp;MAX(K3:K27)&amp;"% x B"</f>
        <v>PPN (C) = 11,00% x B</v>
      </c>
      <c r="L30" s="74" cm="1">
        <f t="array" ref="L30">L29*MAX($K3:$K27)%</f>
        <v>17788587.9996</v>
      </c>
      <c r="M30" s="69" cm="1">
        <f t="array" ref="M30">M29*MAX($K3:$K27)%</f>
        <v>17768152.4768</v>
      </c>
      <c r="N30" s="69" cm="1">
        <f t="array" ref="N30">N29*MAX($K3:$K27)%</f>
        <v>17768152.4768</v>
      </c>
    </row>
    <row r="31" ht="21" customHeight="1">
      <c r="A31" s="70"/>
      <c r="B31" s="71"/>
      <c r="C31" s="71"/>
      <c r="D31" s="72"/>
      <c r="E31" s="72"/>
      <c r="F31" s="72"/>
      <c r="G31" s="72"/>
      <c r="H31" s="72"/>
      <c r="I31" s="71"/>
      <c r="J31" s="73"/>
      <c r="K31" t="s" s="75">
        <v>42</v>
      </c>
      <c r="L31" s="76" cm="1">
        <f t="array" ref="L31">L28+L30</f>
        <v>179860281.7796</v>
      </c>
      <c r="M31" s="69" cm="1">
        <f t="array" ref="M31">M28+M30</f>
        <v>179653715.7768</v>
      </c>
      <c r="N31" s="69" cm="1">
        <f t="array" ref="N31">N28+N30</f>
        <v>179653715.7768</v>
      </c>
    </row>
    <row r="32" ht="20.5" customHeight="1">
      <c r="A32" s="70"/>
      <c r="B32" s="71"/>
      <c r="C32" s="71"/>
      <c r="D32" s="72"/>
      <c r="E32" s="72"/>
      <c r="F32" s="72"/>
      <c r="G32" s="72"/>
      <c r="H32" s="72"/>
      <c r="I32" s="71"/>
      <c r="J32" s="73"/>
      <c r="K32" t="s" s="75">
        <v>43</v>
      </c>
      <c r="L32" s="68" cm="1">
        <f t="array" ref="L32">ROUNDDOWN(L31,2)</f>
        <v>179860281.77</v>
      </c>
      <c r="M32" s="68" cm="1">
        <f t="array" ref="M32">ROUNDDOWN(M31,2)</f>
        <v>179653715.77</v>
      </c>
      <c r="N32" s="68" cm="1">
        <f t="array" ref="N32">ROUNDDOWN(N31,-3)</f>
        <v>179653000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63.xml><?xml version="1.0" encoding="utf-8"?>
<worksheet xmlns:r="http://schemas.openxmlformats.org/officeDocument/2006/relationships" xmlns="http://schemas.openxmlformats.org/spreadsheetml/2006/main">
  <sheetPr>
    <pageSetUpPr fitToPage="1"/>
  </sheetPr>
  <dimension ref="A1:N32"/>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178" customWidth="1"/>
    <col min="2" max="2" width="43.0312" style="178" customWidth="1"/>
    <col min="3" max="3" width="2.75" style="178" customWidth="1"/>
    <col min="4" max="6" width="10.3672" style="178" customWidth="1"/>
    <col min="7" max="7" width="11.6875" style="178" customWidth="1"/>
    <col min="8" max="11" width="13.5156" style="178" customWidth="1"/>
    <col min="12" max="14" width="14.2344" style="178" customWidth="1"/>
    <col min="15" max="16384" width="16.3516" style="178"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16</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t="s" s="18">
        <v>17</v>
      </c>
      <c r="B4" t="s" s="19">
        <v>18</v>
      </c>
      <c r="C4" s="20"/>
      <c r="D4" s="21">
        <v>1</v>
      </c>
      <c r="E4" s="21" cm="1">
        <f t="array" ref="E4">D4</f>
        <v>1</v>
      </c>
      <c r="F4" s="21" cm="1">
        <f t="array" ref="F4">D4</f>
        <v>1</v>
      </c>
      <c r="G4" t="s" s="22">
        <v>19</v>
      </c>
      <c r="H4" s="21">
        <v>13495250</v>
      </c>
      <c r="I4" s="21">
        <v>13449250</v>
      </c>
      <c r="J4" s="21">
        <v>13449250</v>
      </c>
      <c r="K4" s="21">
        <v>11</v>
      </c>
      <c r="L4" s="21" cm="1">
        <f t="array" ref="L4">IF(D4&gt;0,IF($D4&lt;=0,0,D4*H4),"")</f>
        <v>13495250</v>
      </c>
      <c r="M4" s="21" cm="1">
        <f t="array" ref="M4">IF(E4&gt;0,IF($D4&lt;=0,0,ROUND(E4*I4,2)),"")</f>
        <v>13449250</v>
      </c>
      <c r="N4" s="23" cm="1">
        <f t="array" ref="N4">IF(F4&gt;0,IF($D4&lt;=0,0,ROUND(F4*J4,2)),"")</f>
        <v>13449250</v>
      </c>
    </row>
    <row r="5" ht="20.5" customHeight="1">
      <c r="A5" t="s" s="18">
        <v>20</v>
      </c>
      <c r="B5" t="s" s="19">
        <v>21</v>
      </c>
      <c r="C5" s="24"/>
      <c r="D5" s="26">
        <v>1</v>
      </c>
      <c r="E5" s="26" cm="1">
        <f t="array" ref="E5">D5</f>
        <v>1</v>
      </c>
      <c r="F5" s="26" cm="1">
        <f t="array" ref="F5">D5</f>
        <v>1</v>
      </c>
      <c r="G5" t="s" s="27">
        <v>19</v>
      </c>
      <c r="H5" s="26">
        <v>660000</v>
      </c>
      <c r="I5" s="26">
        <v>640000</v>
      </c>
      <c r="J5" s="26">
        <v>640000</v>
      </c>
      <c r="K5" s="26">
        <v>11</v>
      </c>
      <c r="L5" s="26" cm="1">
        <f t="array" ref="L5">IF(D5&gt;0,IF($D5&lt;=0,0,D5*H5),"")</f>
        <v>660000</v>
      </c>
      <c r="M5" s="26" cm="1">
        <f t="array" ref="M5">IF(E5&gt;0,IF($D5&lt;=0,0,ROUND(E5*I5,2)),"")</f>
        <v>640000</v>
      </c>
      <c r="N5" s="28" cm="1">
        <f t="array" ref="N5">IF(F5&gt;0,IF($D5&lt;=0,0,ROUND(F5*J5,2)),"")</f>
        <v>640000</v>
      </c>
    </row>
    <row r="6" ht="20.5" customHeight="1">
      <c r="A6" t="s" s="18">
        <v>22</v>
      </c>
      <c r="B6" t="s" s="19">
        <v>23</v>
      </c>
      <c r="C6" s="20"/>
      <c r="D6" s="21">
        <v>1</v>
      </c>
      <c r="E6" s="21" cm="1">
        <f t="array" ref="E6">D6</f>
        <v>1</v>
      </c>
      <c r="F6" s="21" cm="1">
        <f t="array" ref="F6">D6</f>
        <v>1</v>
      </c>
      <c r="G6" t="s" s="22">
        <v>19</v>
      </c>
      <c r="H6" s="21">
        <v>5039000</v>
      </c>
      <c r="I6" s="21">
        <v>4992000</v>
      </c>
      <c r="J6" s="21">
        <v>4992000</v>
      </c>
      <c r="K6" s="21">
        <v>11</v>
      </c>
      <c r="L6" s="21" cm="1">
        <f t="array" ref="L6">IF(D6&gt;0,IF($D6&lt;=0,0,D6*H6),"")</f>
        <v>5039000</v>
      </c>
      <c r="M6" s="21" cm="1">
        <f t="array" ref="M6">IF(E6&gt;0,IF($D6&lt;=0,0,ROUND(E6*I6,2)),"")</f>
        <v>4992000</v>
      </c>
      <c r="N6" s="23" cm="1">
        <f t="array" ref="N6">IF(F6&gt;0,IF($D6&lt;=0,0,ROUND(F6*J6,2)),"")</f>
        <v>4992000</v>
      </c>
    </row>
    <row r="7" ht="20.5" customHeight="1">
      <c r="A7" s="29"/>
      <c r="B7" t="s" s="19">
        <v>28</v>
      </c>
      <c r="C7" s="24"/>
      <c r="D7" s="30"/>
      <c r="E7" s="26"/>
      <c r="F7" s="26"/>
      <c r="G7" s="30"/>
      <c r="H7" s="26"/>
      <c r="I7" s="30"/>
      <c r="J7" s="30"/>
      <c r="K7" s="26"/>
      <c r="L7" t="str" s="30" cm="1">
        <f t="array" ref="L7">IF(D7&gt;0,IF($D7&lt;=0,0,D7*H7),"")</f>
      </c>
      <c r="M7" t="str" s="30" cm="1">
        <f t="array" ref="M7">IF(E7&gt;0,IF($D7&lt;=0,0,ROUND(E7*I7,2)),"")</f>
      </c>
      <c r="N7" t="str" s="31" cm="1">
        <f t="array" ref="N7">IF(F7&gt;0,IF($D7&lt;=0,0,ROUND(F7*J7,2)),"")</f>
      </c>
    </row>
    <row r="8" ht="20.5" customHeight="1">
      <c r="A8" t="s" s="18">
        <v>31</v>
      </c>
      <c r="B8" t="s" s="19">
        <v>32</v>
      </c>
      <c r="C8" s="20"/>
      <c r="D8" s="78">
        <v>480</v>
      </c>
      <c r="E8" s="21" cm="1">
        <f t="array" ref="E8">D8</f>
        <v>480</v>
      </c>
      <c r="F8" s="21" cm="1">
        <f t="array" ref="F8">D8</f>
        <v>480</v>
      </c>
      <c r="G8" t="s" s="22">
        <v>27</v>
      </c>
      <c r="H8" s="21">
        <v>274539.81</v>
      </c>
      <c r="I8" s="32">
        <v>274539.08</v>
      </c>
      <c r="J8" s="32">
        <v>274539.08</v>
      </c>
      <c r="K8" s="21">
        <v>11</v>
      </c>
      <c r="L8" s="21" cm="1">
        <f t="array" ref="L8">IF(D8&gt;0,IF($D8&lt;=0,0,D8*H8),"")</f>
        <v>131779108.8</v>
      </c>
      <c r="M8" s="21" cm="1">
        <f t="array" ref="M8">IF(E8&gt;0,IF($D8&lt;=0,0,ROUND(E8*I8,2)),"")</f>
        <v>131778758.4</v>
      </c>
      <c r="N8" s="23" cm="1">
        <f t="array" ref="N8">IF(F8&gt;0,IF($D8&lt;=0,0,ROUND(F8*J8,2)),"")</f>
        <v>131778758.4</v>
      </c>
    </row>
    <row r="9" ht="20.5" customHeight="1">
      <c r="A9" t="s" s="18">
        <v>33</v>
      </c>
      <c r="B9" t="s" s="19">
        <v>34</v>
      </c>
      <c r="C9" s="24"/>
      <c r="D9" s="26">
        <v>3400</v>
      </c>
      <c r="E9" s="26" cm="1">
        <f t="array" ref="E9">D9</f>
        <v>3400</v>
      </c>
      <c r="F9" s="26" cm="1">
        <f t="array" ref="F9">D9</f>
        <v>3400</v>
      </c>
      <c r="G9" t="s" s="27">
        <v>35</v>
      </c>
      <c r="H9" s="26">
        <v>2996.59</v>
      </c>
      <c r="I9" s="122">
        <v>2996.42</v>
      </c>
      <c r="J9" s="122">
        <v>2996.42</v>
      </c>
      <c r="K9" s="26">
        <v>11</v>
      </c>
      <c r="L9" s="26" cm="1">
        <f t="array" ref="L9">IF(D9&gt;0,IF($D9&lt;=0,0,D9*H9),"")</f>
        <v>10188406</v>
      </c>
      <c r="M9" s="26" cm="1">
        <f t="array" ref="M9">IF(E9&gt;0,IF($D9&lt;=0,0,ROUND(E9*I9,2)),"")</f>
        <v>10187828</v>
      </c>
      <c r="N9" s="28" cm="1">
        <f t="array" ref="N9">IF(F9&gt;0,IF($D9&lt;=0,0,ROUND(F9*J9,2)),"")</f>
        <v>10187828</v>
      </c>
    </row>
    <row r="10" ht="20.5" customHeight="1">
      <c r="A10" s="29"/>
      <c r="B10" t="s" s="19">
        <v>36</v>
      </c>
      <c r="C10" s="20"/>
      <c r="D10" s="21"/>
      <c r="E10" s="21"/>
      <c r="F10" s="21"/>
      <c r="G10" s="79"/>
      <c r="H10" s="79"/>
      <c r="I10" s="79"/>
      <c r="J10" s="79"/>
      <c r="K10" s="21"/>
      <c r="L10" t="str" s="79" cm="1">
        <f t="array" ref="L10">IF(D10&gt;0,IF($D10&lt;=0,0,D10*H11),"")</f>
      </c>
      <c r="M10" s="21"/>
      <c r="N10" s="23"/>
    </row>
    <row r="11" ht="20.6" customHeight="1">
      <c r="A11" s="33">
        <v>1</v>
      </c>
      <c r="B11" t="s" s="34">
        <v>37</v>
      </c>
      <c r="C11" s="80"/>
      <c r="D11" s="81">
        <v>1</v>
      </c>
      <c r="E11" s="81" cm="1">
        <f t="array" ref="E11">D11</f>
        <v>1</v>
      </c>
      <c r="F11" s="81" cm="1">
        <f t="array" ref="F11">D11</f>
        <v>1</v>
      </c>
      <c r="G11" t="s" s="82">
        <v>19</v>
      </c>
      <c r="H11" s="138">
        <v>356207.34</v>
      </c>
      <c r="I11" s="138">
        <v>355990.88</v>
      </c>
      <c r="J11" s="138">
        <v>355990.88</v>
      </c>
      <c r="K11" s="81">
        <v>0</v>
      </c>
      <c r="L11" s="81" cm="1">
        <f t="array" ref="L11">IF(D11&gt;0,IF($D11&lt;=0,0,D11*H11),"")</f>
        <v>356207.34</v>
      </c>
      <c r="M11" s="81" cm="1">
        <f t="array" ref="M11">IF(E11&gt;0,IF($D11&lt;=0,0,ROUND(E11*I11,2)),"")</f>
        <v>355990.88</v>
      </c>
      <c r="N11" s="83" cm="1">
        <f t="array" ref="N11">IF(F11&gt;0,IF($D11&lt;=0,0,ROUND(F11*J11,2)),"")</f>
        <v>355990.88</v>
      </c>
    </row>
    <row r="12" ht="8.75" customHeight="1" hidden="1">
      <c r="A12" s="39"/>
      <c r="B12" s="40"/>
      <c r="C12" s="45"/>
      <c r="D12" s="46"/>
      <c r="E12" s="46"/>
      <c r="F12" s="46"/>
      <c r="G12" s="47"/>
      <c r="H12" s="46"/>
      <c r="I12" s="46"/>
      <c r="J12" s="46"/>
      <c r="K12" s="46"/>
      <c r="L12" s="46"/>
      <c r="M12" s="46"/>
      <c r="N12" s="48"/>
    </row>
    <row r="13" ht="8.75" customHeight="1" hidden="1">
      <c r="A13" s="39"/>
      <c r="B13" s="40"/>
      <c r="C13" s="41"/>
      <c r="D13" s="42"/>
      <c r="E13" s="42"/>
      <c r="F13" s="42"/>
      <c r="G13" s="43"/>
      <c r="H13" s="42"/>
      <c r="I13" s="42"/>
      <c r="J13" s="42"/>
      <c r="K13" s="42"/>
      <c r="L13" s="42"/>
      <c r="M13" s="42"/>
      <c r="N13" s="44"/>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2"/>
      <c r="I15" s="42"/>
      <c r="J15" s="42"/>
      <c r="K15" s="42"/>
      <c r="L15" s="42"/>
      <c r="M15" s="42"/>
      <c r="N15" s="44"/>
    </row>
    <row r="16" ht="8.75" customHeight="1" hidden="1">
      <c r="A16" s="39"/>
      <c r="B16" s="40"/>
      <c r="C16" s="45"/>
      <c r="D16" s="46"/>
      <c r="E16" s="46"/>
      <c r="F16" s="46"/>
      <c r="G16" s="47"/>
      <c r="H16" s="46"/>
      <c r="I16" s="46"/>
      <c r="J16" s="46"/>
      <c r="K16" s="46"/>
      <c r="L16" s="46"/>
      <c r="M16" s="46"/>
      <c r="N16" s="48"/>
    </row>
    <row r="17" ht="8.75" customHeight="1" hidden="1">
      <c r="A17" s="39"/>
      <c r="B17" s="40"/>
      <c r="C17" s="41"/>
      <c r="D17" s="42"/>
      <c r="E17" s="42"/>
      <c r="F17" s="42"/>
      <c r="G17" s="43"/>
      <c r="H17" s="42"/>
      <c r="I17" s="42"/>
      <c r="J17" s="42"/>
      <c r="K17" s="42"/>
      <c r="L17" s="42"/>
      <c r="M17" s="42"/>
      <c r="N17" s="44"/>
    </row>
    <row r="18" ht="8.75" customHeight="1" hidden="1">
      <c r="A18" s="39"/>
      <c r="B18" s="40"/>
      <c r="C18" s="45"/>
      <c r="D18" s="46"/>
      <c r="E18" s="46"/>
      <c r="F18" s="46"/>
      <c r="G18" s="47"/>
      <c r="H18" s="47"/>
      <c r="I18" s="47"/>
      <c r="J18" s="47"/>
      <c r="K18" s="46"/>
      <c r="L18" s="47"/>
      <c r="M18" s="47"/>
      <c r="N18" s="52"/>
    </row>
    <row r="19" ht="8.75" customHeight="1" hidden="1">
      <c r="A19" s="39"/>
      <c r="B19" s="40"/>
      <c r="C19" s="41"/>
      <c r="D19" s="42"/>
      <c r="E19" s="42"/>
      <c r="F19" s="42"/>
      <c r="G19" s="43"/>
      <c r="H19" s="84"/>
      <c r="I19" s="84"/>
      <c r="J19" s="84"/>
      <c r="K19" s="42"/>
      <c r="L19" s="42"/>
      <c r="M19" s="42"/>
      <c r="N19" s="44"/>
    </row>
    <row r="20" ht="8.75" customHeight="1" hidden="1">
      <c r="A20" s="39"/>
      <c r="B20" s="40"/>
      <c r="C20" s="45"/>
      <c r="D20" s="46"/>
      <c r="E20" s="46"/>
      <c r="F20" s="46"/>
      <c r="G20" s="47"/>
      <c r="H20" s="47"/>
      <c r="I20" s="47"/>
      <c r="J20" s="47"/>
      <c r="K20" s="46"/>
      <c r="L20" s="47"/>
      <c r="M20" s="47"/>
      <c r="N20" s="52"/>
    </row>
    <row r="21" ht="8.75" customHeight="1" hidden="1">
      <c r="A21" s="39"/>
      <c r="B21" s="40"/>
      <c r="C21" s="41"/>
      <c r="D21" s="42"/>
      <c r="E21" s="42"/>
      <c r="F21" s="42"/>
      <c r="G21" s="43"/>
      <c r="H21" s="42"/>
      <c r="I21" s="42"/>
      <c r="J21" s="42"/>
      <c r="K21" s="42"/>
      <c r="L21" s="42"/>
      <c r="M21" s="42"/>
      <c r="N21" s="44"/>
    </row>
    <row r="22" ht="8.75" customHeight="1" hidden="1">
      <c r="A22" s="39"/>
      <c r="B22" s="40"/>
      <c r="C22" s="45"/>
      <c r="D22" s="46"/>
      <c r="E22" s="46"/>
      <c r="F22" s="46"/>
      <c r="G22" s="47"/>
      <c r="H22" s="46"/>
      <c r="I22" s="46"/>
      <c r="J22" s="46"/>
      <c r="K22" s="46"/>
      <c r="L22" s="46"/>
      <c r="M22" s="46"/>
      <c r="N22" s="48"/>
    </row>
    <row r="23" ht="8.75" customHeight="1" hidden="1">
      <c r="A23" s="51"/>
      <c r="B23" s="40"/>
      <c r="C23" s="41"/>
      <c r="D23" s="42"/>
      <c r="E23" s="42"/>
      <c r="F23" s="42"/>
      <c r="G23" s="43"/>
      <c r="H23" s="42"/>
      <c r="I23" s="42"/>
      <c r="J23" s="42"/>
      <c r="K23" s="42"/>
      <c r="L23" s="42"/>
      <c r="M23" s="42"/>
      <c r="N23" s="44"/>
    </row>
    <row r="24" ht="8.75" customHeight="1" hidden="1">
      <c r="A24" s="51"/>
      <c r="B24" s="40"/>
      <c r="C24" s="45"/>
      <c r="D24" s="46"/>
      <c r="E24" s="46"/>
      <c r="F24" s="46"/>
      <c r="G24" s="47"/>
      <c r="H24" s="46"/>
      <c r="I24" s="46"/>
      <c r="J24" s="46"/>
      <c r="K24" s="46"/>
      <c r="L24" s="46"/>
      <c r="M24" s="46"/>
      <c r="N24" s="48"/>
    </row>
    <row r="25" ht="8.75" customHeight="1" hidden="1">
      <c r="A25" s="39"/>
      <c r="B25" s="40"/>
      <c r="C25" s="41"/>
      <c r="D25" s="42"/>
      <c r="E25" s="42"/>
      <c r="F25" s="42"/>
      <c r="G25" s="43"/>
      <c r="H25" s="42"/>
      <c r="I25" s="42"/>
      <c r="J25" s="42"/>
      <c r="K25" s="42"/>
      <c r="L25" s="43"/>
      <c r="M25" s="43"/>
      <c r="N25" s="49"/>
    </row>
    <row r="26" ht="8.75" customHeight="1" hidden="1">
      <c r="A26" s="39"/>
      <c r="B26" s="40"/>
      <c r="C26" s="45"/>
      <c r="D26" s="46"/>
      <c r="E26" s="46"/>
      <c r="F26" s="46"/>
      <c r="G26" s="47"/>
      <c r="H26" s="46"/>
      <c r="I26" s="46"/>
      <c r="J26" s="46"/>
      <c r="K26" s="46"/>
      <c r="L26" s="46"/>
      <c r="M26" s="46"/>
      <c r="N26" s="48"/>
    </row>
    <row r="27" ht="8.75" customHeight="1" hidden="1">
      <c r="A27" s="39"/>
      <c r="B27" s="40"/>
      <c r="C27" s="41"/>
      <c r="D27" s="42"/>
      <c r="E27" s="42"/>
      <c r="F27" s="42"/>
      <c r="G27" s="43"/>
      <c r="H27" s="42"/>
      <c r="I27" s="42"/>
      <c r="J27" s="42"/>
      <c r="K27" s="42"/>
      <c r="L27" s="43"/>
      <c r="M27" s="43"/>
      <c r="N27" s="49"/>
    </row>
    <row r="28" ht="20.85" customHeight="1">
      <c r="A28" s="53"/>
      <c r="B28" s="54"/>
      <c r="C28" s="54"/>
      <c r="D28" s="55"/>
      <c r="E28" s="55"/>
      <c r="F28" s="55"/>
      <c r="G28" s="56"/>
      <c r="H28" s="56"/>
      <c r="I28" s="54"/>
      <c r="J28" s="57"/>
      <c r="K28" t="s" s="58">
        <v>38</v>
      </c>
      <c r="L28" s="59" cm="1">
        <f t="array" ref="L28">SUM(L1:L27)</f>
        <v>161517972.14</v>
      </c>
      <c r="M28" s="59" cm="1">
        <f t="array" ref="M28">SUM(M1:M27)</f>
        <v>161403827.28</v>
      </c>
      <c r="N28" s="59" cm="1">
        <f t="array" ref="N28">SUM(N1:N27)</f>
        <v>161403827.28</v>
      </c>
    </row>
    <row r="29" ht="21" customHeight="1">
      <c r="A29" s="60"/>
      <c r="B29" t="s" s="61">
        <v>39</v>
      </c>
      <c r="C29" s="62"/>
      <c r="D29" s="63" cm="1">
        <f t="array" ref="D29">ROUND(IF(L29&lt;=100000000,L29*0.24%,IF(AND(L29&gt;100000000,L29&lt;=500000000),100000000*0.24%+(L29-100000000)*0.19%,IF(AND(L29&gt;500000000,L29&lt;=1000000000),100000000*0.24%+400000000*0.19%+(L29-500000000)*0.15%,IF(AND(L29&gt;1000000000,L29&lt;=5000000000),100000000*0.24%+400000000*0.19%+500000000*0.15%+(L29-1000000000)*0.12%,IF(L29&gt;5000000000,100000000*0.24%+400000000*0.19%+500000000*0.15%+4000000000*0.12%+(L29-5000000000)*0.1%,"Bingung komputer"))))),2)</f>
        <v>356207.35</v>
      </c>
      <c r="E29" s="64" cm="1">
        <f t="array" ref="E29">ROUND(IF(M29&lt;=100000000,M29*0.24%,IF(AND(M29&gt;100000000,M29&lt;=500000000),100000000*0.24%+(M29-100000000)*0.19%,IF(AND(M29&gt;500000000,M29&lt;=1000000000),100000000*0.24%+400000000*0.19%+(M29-500000000)*0.15%,IF(AND(M29&gt;1000000000,M29&lt;=5000000000),100000000*0.24%+400000000*0.19%+500000000*0.15%+(M29-1000000000)*0.12%,IF(M29&gt;5000000000,100000000*0.24%+400000000*0.19%+500000000*0.15%+4000000000*0.12%+(M29-5000000000)*0.1%,"Bingung komputer"))))),2)</f>
        <v>355990.89</v>
      </c>
      <c r="F29" s="64" cm="1">
        <f t="array" ref="F29">ROUND(IF(N29&lt;=100000000,N29*0.24%,IF(AND(N29&gt;100000000,N29&lt;=500000000),100000000*0.24%+(N29-100000000)*0.19%,IF(AND(N29&gt;500000000,N29&lt;=1000000000),100000000*0.24%+400000000*0.19%+(N29-500000000)*0.15%,IF(AND(N29&gt;1000000000,N29&lt;=5000000000),100000000*0.24%+400000000*0.19%+500000000*0.15%+(N29-1000000000)*0.12%,IF(N29&gt;5000000000,100000000*0.24%+400000000*0.19%+500000000*0.15%+4000000000*0.12%+(N29-5000000000)*0.1%,"Bingung komputer"))))),2)</f>
        <v>355990.89</v>
      </c>
      <c r="G29" s="65"/>
      <c r="H29" s="66"/>
      <c r="I29" s="62"/>
      <c r="J29" s="67"/>
      <c r="K29" t="str" s="67" cm="1">
        <f t="array" ref="K29">"Jumlah Terkena Pajak "&amp;MAX(K3:K27)&amp;"% (B)"</f>
        <v>Jumlah Terkena Pajak 11,00% (B)</v>
      </c>
      <c r="L29" s="68" cm="1">
        <f t="array" ref="L29">SUMIF($K3:$K27,"&gt;0",L3:L27)</f>
        <v>161161764.8</v>
      </c>
      <c r="M29" s="69" cm="1">
        <f t="array" ref="M29">SUMIF($K3:$K27,"&gt;0",M3:M27)</f>
        <v>161047836.4</v>
      </c>
      <c r="N29" s="69" cm="1">
        <f t="array" ref="N29">SUMIF($K3:$K27,"&gt;0",N3:N27)</f>
        <v>161047836.4</v>
      </c>
    </row>
    <row r="30" ht="21" customHeight="1">
      <c r="A30" s="70"/>
      <c r="B30" s="71"/>
      <c r="C30" s="71"/>
      <c r="D30" s="72"/>
      <c r="E30" s="72"/>
      <c r="F30" s="71"/>
      <c r="G30" s="72"/>
      <c r="H30" s="72"/>
      <c r="I30" s="71"/>
      <c r="J30" s="73"/>
      <c r="K30" t="str" s="73" cm="1">
        <f t="array" ref="K30">"PPN (C) = "&amp;MAX(K3:K27)&amp;"% x B"</f>
        <v>PPN (C) = 11,00% x B</v>
      </c>
      <c r="L30" s="74" cm="1">
        <f t="array" ref="L30">L29*MAX($K3:$K27)%</f>
        <v>17727794.128</v>
      </c>
      <c r="M30" s="69" cm="1">
        <f t="array" ref="M30">M29*MAX($K3:$K27)%</f>
        <v>17715262.004</v>
      </c>
      <c r="N30" s="69" cm="1">
        <f t="array" ref="N30">N29*MAX($K3:$K27)%</f>
        <v>17715262.004</v>
      </c>
    </row>
    <row r="31" ht="21" customHeight="1">
      <c r="A31" s="70"/>
      <c r="B31" s="71"/>
      <c r="C31" s="71"/>
      <c r="D31" s="72"/>
      <c r="E31" s="72"/>
      <c r="F31" s="72"/>
      <c r="G31" s="72"/>
      <c r="H31" s="72"/>
      <c r="I31" s="71"/>
      <c r="J31" s="73"/>
      <c r="K31" t="s" s="75">
        <v>42</v>
      </c>
      <c r="L31" s="76" cm="1">
        <f t="array" ref="L31">L28+L30</f>
        <v>179245766.268</v>
      </c>
      <c r="M31" s="69" cm="1">
        <f t="array" ref="M31">M28+M30</f>
        <v>179119089.284</v>
      </c>
      <c r="N31" s="69" cm="1">
        <f t="array" ref="N31">N28+N30</f>
        <v>179119089.284</v>
      </c>
    </row>
    <row r="32" ht="20.5" customHeight="1">
      <c r="A32" s="70"/>
      <c r="B32" s="71"/>
      <c r="C32" s="71"/>
      <c r="D32" s="72"/>
      <c r="E32" s="72"/>
      <c r="F32" s="72"/>
      <c r="G32" s="72"/>
      <c r="H32" s="72"/>
      <c r="I32" s="71"/>
      <c r="J32" s="73"/>
      <c r="K32" t="s" s="75">
        <v>43</v>
      </c>
      <c r="L32" s="68" cm="1">
        <f t="array" ref="L32">ROUNDDOWN(L31,2)</f>
        <v>179245766.26</v>
      </c>
      <c r="M32" s="68" cm="1">
        <f t="array" ref="M32">ROUNDDOWN(M31,2)</f>
        <v>179119089.28</v>
      </c>
      <c r="N32" s="68" cm="1">
        <f t="array" ref="N32">ROUNDDOWN(N31,-3)</f>
        <v>179119000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64.xml><?xml version="1.0" encoding="utf-8"?>
<worksheet xmlns:r="http://schemas.openxmlformats.org/officeDocument/2006/relationships" xmlns="http://schemas.openxmlformats.org/spreadsheetml/2006/main">
  <sheetPr>
    <pageSetUpPr fitToPage="1"/>
  </sheetPr>
  <dimension ref="A1:N31"/>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179" customWidth="1"/>
    <col min="2" max="2" width="43.0312" style="179" customWidth="1"/>
    <col min="3" max="3" width="2.75" style="179" customWidth="1"/>
    <col min="4" max="6" width="10.3672" style="179" customWidth="1"/>
    <col min="7" max="7" width="11.6875" style="179" customWidth="1"/>
    <col min="8" max="11" width="13.5156" style="179" customWidth="1"/>
    <col min="12" max="14" width="14.2344" style="179" customWidth="1"/>
    <col min="15" max="16384" width="16.3516" style="179"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109</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s="95">
        <v>1</v>
      </c>
      <c r="B4" t="s" s="19">
        <v>110</v>
      </c>
      <c r="C4" s="20"/>
      <c r="D4" s="21">
        <v>1</v>
      </c>
      <c r="E4" s="21" cm="1">
        <f t="array" ref="E4">D4</f>
        <v>1</v>
      </c>
      <c r="F4" s="21" cm="1">
        <f t="array" ref="F4">D4</f>
        <v>1</v>
      </c>
      <c r="G4" t="s" s="22">
        <v>19</v>
      </c>
      <c r="H4" s="21" cm="1">
        <f t="array" ref="H4">ROUNDDOWN((F$30*0.1)*100/111,-2)</f>
        <v>6292700</v>
      </c>
      <c r="I4" s="21"/>
      <c r="J4" s="21"/>
      <c r="K4" s="21">
        <v>11</v>
      </c>
      <c r="L4" s="21" cm="1">
        <f t="array" ref="L4">IF(D4&gt;0,IF($D4&lt;=0,0,D4*H4),"")</f>
        <v>6292700</v>
      </c>
      <c r="M4" s="21" cm="1">
        <f t="array" ref="M4">IF(E4&gt;0,IF($D4&lt;=0,0,ROUND(E4*I4,2)),"")</f>
        <v>0</v>
      </c>
      <c r="N4" s="23" cm="1">
        <f t="array" ref="N4">IF(F4&gt;0,IF($D4&lt;=0,0,ROUND(F4*J4,2)),"")</f>
        <v>0</v>
      </c>
    </row>
    <row r="5" ht="20.5" customHeight="1">
      <c r="A5" s="95">
        <v>2</v>
      </c>
      <c r="B5" t="s" s="19">
        <v>111</v>
      </c>
      <c r="C5" s="24"/>
      <c r="D5" s="26">
        <v>1</v>
      </c>
      <c r="E5" s="26" cm="1">
        <f t="array" ref="E5">D5</f>
        <v>1</v>
      </c>
      <c r="F5" s="26" cm="1">
        <f t="array" ref="F5">D5</f>
        <v>1</v>
      </c>
      <c r="G5" t="s" s="27">
        <v>19</v>
      </c>
      <c r="H5" s="26" cm="1">
        <f t="array" ref="H5">ROUNDDOWN((F$30*0.2)*100/111,-2)</f>
        <v>12585400</v>
      </c>
      <c r="I5" s="26"/>
      <c r="J5" s="26"/>
      <c r="K5" s="26">
        <v>11</v>
      </c>
      <c r="L5" s="26" cm="1">
        <f t="array" ref="L5">IF(D5&gt;0,IF($D5&lt;=0,0,D5*H5),"")</f>
        <v>12585400</v>
      </c>
      <c r="M5" s="26" cm="1">
        <f t="array" ref="M5">IF(E5&gt;0,IF($D5&lt;=0,0,ROUND(E5*I5,2)),"")</f>
        <v>0</v>
      </c>
      <c r="N5" s="28" cm="1">
        <f t="array" ref="N5">IF(F5&gt;0,IF($D5&lt;=0,0,ROUND(F5*J5,2)),"")</f>
        <v>0</v>
      </c>
    </row>
    <row r="6" ht="20.5" customHeight="1">
      <c r="A6" s="95">
        <v>3</v>
      </c>
      <c r="B6" t="s" s="19">
        <v>112</v>
      </c>
      <c r="C6" s="20"/>
      <c r="D6" s="21">
        <v>1</v>
      </c>
      <c r="E6" s="21" cm="1">
        <f t="array" ref="E6">D6</f>
        <v>1</v>
      </c>
      <c r="F6" s="21" cm="1">
        <f t="array" ref="F6">D6</f>
        <v>1</v>
      </c>
      <c r="G6" t="s" s="22">
        <v>19</v>
      </c>
      <c r="H6" s="21" cm="1">
        <f t="array" ref="H6">ROUNDDOWN((F$30*0.25)*100/111,-2)</f>
        <v>15731800</v>
      </c>
      <c r="I6" s="21"/>
      <c r="J6" s="21"/>
      <c r="K6" s="21">
        <v>11</v>
      </c>
      <c r="L6" s="21" cm="1">
        <f t="array" ref="L6">IF(D6&gt;0,IF($D6&lt;=0,0,D6*H6),"")</f>
        <v>15731800</v>
      </c>
      <c r="M6" s="21" cm="1">
        <f t="array" ref="M6">IF(E6&gt;0,IF($D6&lt;=0,0,ROUND(E6*I6,2)),"")</f>
        <v>0</v>
      </c>
      <c r="N6" s="23" cm="1">
        <f t="array" ref="N6">IF(F6&gt;0,IF($D6&lt;=0,0,ROUND(F6*J6,2)),"")</f>
        <v>0</v>
      </c>
    </row>
    <row r="7" ht="68.5" customHeight="1">
      <c r="A7" s="95">
        <v>5</v>
      </c>
      <c r="B7" t="s" s="19">
        <v>113</v>
      </c>
      <c r="C7" s="24"/>
      <c r="D7" s="26">
        <v>1</v>
      </c>
      <c r="E7" s="26" cm="1">
        <f t="array" ref="E7">D7</f>
        <v>1</v>
      </c>
      <c r="F7" s="26" cm="1">
        <f t="array" ref="F7">D7</f>
        <v>1</v>
      </c>
      <c r="G7" t="s" s="27">
        <v>19</v>
      </c>
      <c r="H7" s="26" cm="1">
        <f t="array" ref="H7">ROUNDDOWN((F$30*0.25)*100/111,-2)</f>
        <v>15731800</v>
      </c>
      <c r="I7" s="26"/>
      <c r="J7" s="26"/>
      <c r="K7" s="26">
        <v>11</v>
      </c>
      <c r="L7" s="26" cm="1">
        <f t="array" ref="L7">IF(D7&gt;0,IF($D7&lt;=0,0,D7*H7),"")</f>
        <v>15731800</v>
      </c>
      <c r="M7" s="26" cm="1">
        <f t="array" ref="M7">IF(E7&gt;0,IF($D7&lt;=0,0,ROUND(E7*I7,2)),"")</f>
        <v>0</v>
      </c>
      <c r="N7" s="28" cm="1">
        <f t="array" ref="N7">IF(F7&gt;0,IF($D7&lt;=0,0,ROUND(F7*J7,2)),"")</f>
        <v>0</v>
      </c>
    </row>
    <row r="8" ht="32.5" customHeight="1">
      <c r="A8" s="95">
        <v>6</v>
      </c>
      <c r="B8" t="s" s="19">
        <v>114</v>
      </c>
      <c r="C8" s="20"/>
      <c r="D8" s="21">
        <v>1</v>
      </c>
      <c r="E8" s="21" cm="1">
        <f t="array" ref="E8">D8</f>
        <v>1</v>
      </c>
      <c r="F8" s="21" cm="1">
        <f t="array" ref="F8">D8</f>
        <v>1</v>
      </c>
      <c r="G8" t="s" s="22">
        <v>19</v>
      </c>
      <c r="H8" s="21" cm="1">
        <f t="array" ref="H8">ROUNDDOWN((F$30*0.05)*100/111,-2)</f>
        <v>3146300</v>
      </c>
      <c r="I8" s="21"/>
      <c r="J8" s="21"/>
      <c r="K8" s="21">
        <v>11</v>
      </c>
      <c r="L8" s="21" cm="1">
        <f t="array" ref="L8">IF(D8&gt;0,IF($D8&lt;=0,0,D8*H8),"")</f>
        <v>3146300</v>
      </c>
      <c r="M8" s="21" cm="1">
        <f t="array" ref="M8">IF(E8&gt;0,IF($D8&lt;=0,0,ROUND(E8*I8,2)),"")</f>
        <v>0</v>
      </c>
      <c r="N8" s="23" cm="1">
        <f t="array" ref="N8">IF(F8&gt;0,IF($D8&lt;=0,0,ROUND(F8*J8,2)),"")</f>
        <v>0</v>
      </c>
    </row>
    <row r="9" ht="20.5" customHeight="1">
      <c r="A9" s="95">
        <v>7</v>
      </c>
      <c r="B9" t="s" s="19">
        <v>115</v>
      </c>
      <c r="C9" s="24"/>
      <c r="D9" s="26">
        <v>1</v>
      </c>
      <c r="E9" s="26" cm="1">
        <f t="array" ref="E9">D9</f>
        <v>1</v>
      </c>
      <c r="F9" s="26" cm="1">
        <f t="array" ref="F9">D9</f>
        <v>1</v>
      </c>
      <c r="G9" t="s" s="27">
        <v>19</v>
      </c>
      <c r="H9" s="26" cm="1">
        <f t="array" ref="H9">ROUNDDOWN((F$30*0.15)*100/111,-2)</f>
        <v>9439000</v>
      </c>
      <c r="I9" s="26"/>
      <c r="J9" s="26"/>
      <c r="K9" s="26">
        <v>11</v>
      </c>
      <c r="L9" s="26" cm="1">
        <f t="array" ref="L9">IF(D9&gt;0,IF($D9&lt;=0,0,D9*H9),"")</f>
        <v>9439000</v>
      </c>
      <c r="M9" s="26" cm="1">
        <f t="array" ref="M9">IF(E9&gt;0,IF($D9&lt;=0,0,ROUND(E9*I9,2)),"")</f>
        <v>0</v>
      </c>
      <c r="N9" s="28" cm="1">
        <f t="array" ref="N9">IF(F9&gt;0,IF($D9&lt;=0,0,ROUND(F9*J9,2)),"")</f>
        <v>0</v>
      </c>
    </row>
    <row r="10" ht="20.6" customHeight="1">
      <c r="A10" s="33">
        <v>8</v>
      </c>
      <c r="B10" t="s" s="34">
        <v>37</v>
      </c>
      <c r="C10" s="35"/>
      <c r="D10" s="36">
        <v>1</v>
      </c>
      <c r="E10" s="36" cm="1">
        <f t="array" ref="E10">D10</f>
        <v>1</v>
      </c>
      <c r="F10" s="36" cm="1">
        <f t="array" ref="F10">D10</f>
        <v>1</v>
      </c>
      <c r="G10" t="s" s="37">
        <v>19</v>
      </c>
      <c r="H10" s="36">
        <v>151024.8</v>
      </c>
      <c r="I10" s="36"/>
      <c r="J10" s="36"/>
      <c r="K10" s="36">
        <v>0</v>
      </c>
      <c r="L10" s="36" cm="1">
        <f t="array" ref="L10">IF(D10&gt;0,IF($D10&lt;=0,0,D10*H10),"")</f>
        <v>151024.8</v>
      </c>
      <c r="M10" s="36" cm="1">
        <f t="array" ref="M10">IF(E10&gt;0,IF($D10&lt;=0,0,ROUND(E10*I10,2)),"")</f>
        <v>0</v>
      </c>
      <c r="N10" s="38" cm="1">
        <f t="array" ref="N10">IF(F10&gt;0,IF($D10&lt;=0,0,ROUND(F10*J10,2)),"")</f>
        <v>0</v>
      </c>
    </row>
    <row r="11" ht="8.75" customHeight="1" hidden="1">
      <c r="A11" s="39"/>
      <c r="B11" s="40"/>
      <c r="C11" s="41"/>
      <c r="D11" s="42"/>
      <c r="E11" s="42"/>
      <c r="F11" s="42"/>
      <c r="G11" s="43"/>
      <c r="H11" s="42"/>
      <c r="I11" s="42"/>
      <c r="J11" s="42"/>
      <c r="K11" s="42"/>
      <c r="L11" s="42"/>
      <c r="M11" s="42"/>
      <c r="N11" s="44"/>
    </row>
    <row r="12" ht="8.75" customHeight="1" hidden="1">
      <c r="A12" s="39"/>
      <c r="B12" s="40"/>
      <c r="C12" s="45"/>
      <c r="D12" s="46"/>
      <c r="E12" s="46"/>
      <c r="F12" s="46"/>
      <c r="G12" s="47"/>
      <c r="H12" s="46"/>
      <c r="I12" s="46"/>
      <c r="J12" s="46"/>
      <c r="K12" s="46"/>
      <c r="L12" s="46"/>
      <c r="M12" s="46"/>
      <c r="N12" s="48"/>
    </row>
    <row r="13" ht="8.75" customHeight="1" hidden="1">
      <c r="A13" s="39"/>
      <c r="B13" s="40"/>
      <c r="C13" s="41"/>
      <c r="D13" s="42"/>
      <c r="E13" s="42"/>
      <c r="F13" s="42"/>
      <c r="G13" s="43"/>
      <c r="H13" s="42"/>
      <c r="I13" s="42"/>
      <c r="J13" s="42"/>
      <c r="K13" s="42"/>
      <c r="L13" s="42"/>
      <c r="M13" s="42"/>
      <c r="N13" s="44"/>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2"/>
      <c r="I15" s="42"/>
      <c r="J15" s="42"/>
      <c r="K15" s="42"/>
      <c r="L15" s="42"/>
      <c r="M15" s="42"/>
      <c r="N15" s="44"/>
    </row>
    <row r="16" ht="8.75" customHeight="1" hidden="1">
      <c r="A16" s="39"/>
      <c r="B16" s="40"/>
      <c r="C16" s="45"/>
      <c r="D16" s="46"/>
      <c r="E16" s="46"/>
      <c r="F16" s="46"/>
      <c r="G16" s="47"/>
      <c r="H16" s="46"/>
      <c r="I16" s="46"/>
      <c r="J16" s="46"/>
      <c r="K16" s="46"/>
      <c r="L16" s="46"/>
      <c r="M16" s="46"/>
      <c r="N16" s="48"/>
    </row>
    <row r="17" ht="8.75" customHeight="1" hidden="1">
      <c r="A17" s="39"/>
      <c r="B17" s="40"/>
      <c r="C17" s="41"/>
      <c r="D17" s="42"/>
      <c r="E17" s="42"/>
      <c r="F17" s="42"/>
      <c r="G17" s="43"/>
      <c r="H17" s="43"/>
      <c r="I17" s="43"/>
      <c r="J17" s="43"/>
      <c r="K17" s="42"/>
      <c r="L17" s="43"/>
      <c r="M17" s="43"/>
      <c r="N17" s="49"/>
    </row>
    <row r="18" ht="8.75" customHeight="1" hidden="1">
      <c r="A18" s="39"/>
      <c r="B18" s="40"/>
      <c r="C18" s="45"/>
      <c r="D18" s="46"/>
      <c r="E18" s="46"/>
      <c r="F18" s="46"/>
      <c r="G18" s="47"/>
      <c r="H18" s="50"/>
      <c r="I18" s="50"/>
      <c r="J18" s="50"/>
      <c r="K18" s="46"/>
      <c r="L18" s="46"/>
      <c r="M18" s="46"/>
      <c r="N18" s="48"/>
    </row>
    <row r="19" ht="8.75" customHeight="1" hidden="1">
      <c r="A19" s="39"/>
      <c r="B19" s="40"/>
      <c r="C19" s="41"/>
      <c r="D19" s="42"/>
      <c r="E19" s="42"/>
      <c r="F19" s="42"/>
      <c r="G19" s="43"/>
      <c r="H19" s="43"/>
      <c r="I19" s="43"/>
      <c r="J19" s="43"/>
      <c r="K19" s="42"/>
      <c r="L19" s="43"/>
      <c r="M19" s="43"/>
      <c r="N19" s="49"/>
    </row>
    <row r="20" ht="8.75" customHeight="1" hidden="1">
      <c r="A20" s="39"/>
      <c r="B20" s="40"/>
      <c r="C20" s="45"/>
      <c r="D20" s="46"/>
      <c r="E20" s="46"/>
      <c r="F20" s="46"/>
      <c r="G20" s="47"/>
      <c r="H20" s="46"/>
      <c r="I20" s="46"/>
      <c r="J20" s="46"/>
      <c r="K20" s="46"/>
      <c r="L20" s="46"/>
      <c r="M20" s="46"/>
      <c r="N20" s="48"/>
    </row>
    <row r="21" ht="8.75" customHeight="1" hidden="1">
      <c r="A21" s="39"/>
      <c r="B21" s="40"/>
      <c r="C21" s="41"/>
      <c r="D21" s="42"/>
      <c r="E21" s="42"/>
      <c r="F21" s="42"/>
      <c r="G21" s="43"/>
      <c r="H21" s="42"/>
      <c r="I21" s="42"/>
      <c r="J21" s="42"/>
      <c r="K21" s="42"/>
      <c r="L21" s="42"/>
      <c r="M21" s="42"/>
      <c r="N21" s="44"/>
    </row>
    <row r="22" ht="8.75" customHeight="1" hidden="1">
      <c r="A22" s="51"/>
      <c r="B22" s="40"/>
      <c r="C22" s="45"/>
      <c r="D22" s="46"/>
      <c r="E22" s="46"/>
      <c r="F22" s="46"/>
      <c r="G22" s="47"/>
      <c r="H22" s="46"/>
      <c r="I22" s="46"/>
      <c r="J22" s="46"/>
      <c r="K22" s="46"/>
      <c r="L22" s="46"/>
      <c r="M22" s="46"/>
      <c r="N22" s="48"/>
    </row>
    <row r="23" ht="8.75" customHeight="1" hidden="1">
      <c r="A23" s="51"/>
      <c r="B23" s="40"/>
      <c r="C23" s="41"/>
      <c r="D23" s="42"/>
      <c r="E23" s="42"/>
      <c r="F23" s="42"/>
      <c r="G23" s="43"/>
      <c r="H23" s="42"/>
      <c r="I23" s="42"/>
      <c r="J23" s="42"/>
      <c r="K23" s="42"/>
      <c r="L23" s="42"/>
      <c r="M23" s="42"/>
      <c r="N23" s="44"/>
    </row>
    <row r="24" ht="8.75" customHeight="1" hidden="1">
      <c r="A24" s="39"/>
      <c r="B24" s="40"/>
      <c r="C24" s="45"/>
      <c r="D24" s="46"/>
      <c r="E24" s="46"/>
      <c r="F24" s="46"/>
      <c r="G24" s="47"/>
      <c r="H24" s="46"/>
      <c r="I24" s="46"/>
      <c r="J24" s="46"/>
      <c r="K24" s="46"/>
      <c r="L24" s="47"/>
      <c r="M24" s="47"/>
      <c r="N24" s="52"/>
    </row>
    <row r="25" ht="8.75" customHeight="1" hidden="1">
      <c r="A25" s="39"/>
      <c r="B25" s="40"/>
      <c r="C25" s="41"/>
      <c r="D25" s="42"/>
      <c r="E25" s="42"/>
      <c r="F25" s="42"/>
      <c r="G25" s="43"/>
      <c r="H25" s="42"/>
      <c r="I25" s="42"/>
      <c r="J25" s="42"/>
      <c r="K25" s="42"/>
      <c r="L25" s="42"/>
      <c r="M25" s="42"/>
      <c r="N25" s="44"/>
    </row>
    <row r="26" ht="8.75" customHeight="1" hidden="1">
      <c r="A26" s="39"/>
      <c r="B26" s="40"/>
      <c r="C26" s="45"/>
      <c r="D26" s="46"/>
      <c r="E26" s="46"/>
      <c r="F26" s="46"/>
      <c r="G26" s="47"/>
      <c r="H26" s="46"/>
      <c r="I26" s="46"/>
      <c r="J26" s="46"/>
      <c r="K26" s="46"/>
      <c r="L26" s="47"/>
      <c r="M26" s="47"/>
      <c r="N26" s="52"/>
    </row>
    <row r="27" ht="20.85" customHeight="1">
      <c r="A27" s="108"/>
      <c r="B27" s="54"/>
      <c r="C27" s="54"/>
      <c r="D27" s="55"/>
      <c r="E27" s="55"/>
      <c r="F27" s="55"/>
      <c r="G27" s="56"/>
      <c r="H27" s="56"/>
      <c r="I27" s="54"/>
      <c r="J27" s="57"/>
      <c r="K27" t="s" s="58">
        <v>38</v>
      </c>
      <c r="L27" s="59" cm="1">
        <f t="array" ref="L27">SUM(L1:L26)</f>
        <v>63078024.8</v>
      </c>
      <c r="M27" s="59" cm="1">
        <f t="array" ref="M27">SUM(M1:M26)</f>
        <v>0</v>
      </c>
      <c r="N27" s="59" cm="1">
        <f t="array" ref="N27">SUM(N1:N26)</f>
        <v>0</v>
      </c>
    </row>
    <row r="28" ht="21" customHeight="1">
      <c r="A28" s="63" cm="1">
        <f t="array" ref="A28">ROUND(IF(I28&lt;=100000000,I28*0.24%,IF(AND(I28&gt;100000000,I28&lt;=500000000),100000000*0.24%+(I28-100000000)*0.19%,IF(AND(I28&gt;500000000,I28&lt;=1000000000),100000000*0.24%+400000000*0.19%+(I28-500000000)*0.15%,IF(AND(I28&gt;1000000000,I28&lt;=5000000000),100000000*0.24%+400000000*0.19%+500000000*0.15%+(I28-1000000000)*0.12%,IF(I28&gt;5000000000,100000000*0.24%+400000000*0.19%+500000000*0.15%+4000000000*0.12%+(I28-5000000000)*0.1%,"Bingung komputer"))))),2)</f>
        <v>0</v>
      </c>
      <c r="B28" t="s" s="109">
        <v>39</v>
      </c>
      <c r="C28" s="62"/>
      <c r="D28" s="63" cm="1">
        <f t="array" ref="D28">ROUND(IF(L28&lt;=100000000,L28*0.24%,IF(AND(L28&gt;100000000,L28&lt;=500000000),100000000*0.24%+(L28-100000000)*0.19%,IF(AND(L28&gt;500000000,L28&lt;=1000000000),100000000*0.24%+400000000*0.19%+(L28-500000000)*0.15%,IF(AND(L28&gt;1000000000,L28&lt;=5000000000),100000000*0.24%+400000000*0.19%+500000000*0.15%+(L28-1000000000)*0.12%,IF(L28&gt;5000000000,100000000*0.24%+400000000*0.19%+500000000*0.15%+4000000000*0.12%+(L28-5000000000)*0.1%,"Bingung komputer"))))),2)</f>
        <v>151024.8</v>
      </c>
      <c r="E28" s="64" cm="1">
        <f t="array" ref="E28">ROUND(IF(M28&lt;=100000000,M28*0.24%,IF(AND(M28&gt;100000000,M28&lt;=500000000),100000000*0.24%+(M28-100000000)*0.19%,IF(AND(M28&gt;500000000,M28&lt;=1000000000),100000000*0.24%+400000000*0.19%+(M28-500000000)*0.15%,IF(AND(M28&gt;1000000000,M28&lt;=5000000000),100000000*0.24%+400000000*0.19%+500000000*0.15%+(M28-1000000000)*0.12%,IF(M28&gt;5000000000,100000000*0.24%+400000000*0.19%+500000000*0.15%+4000000000*0.12%+(M28-5000000000)*0.1%,"Bingung komputer"))))),2)</f>
        <v>0</v>
      </c>
      <c r="F28" s="64" cm="1">
        <f t="array" ref="F28">ROUND(IF(N28&lt;=100000000,N28*0.24%,IF(AND(N28&gt;100000000,N28&lt;=500000000),100000000*0.24%+(N28-100000000)*0.19%,IF(AND(N28&gt;500000000,N28&lt;=1000000000),100000000*0.24%+400000000*0.19%+(N28-500000000)*0.15%,IF(AND(N28&gt;1000000000,N28&lt;=5000000000),100000000*0.24%+400000000*0.19%+500000000*0.15%+(N28-1000000000)*0.12%,IF(N28&gt;5000000000,100000000*0.24%+400000000*0.19%+500000000*0.15%+4000000000*0.12%+(N28-5000000000)*0.1%,"Bingung komputer"))))),2)</f>
        <v>0</v>
      </c>
      <c r="G28" s="65"/>
      <c r="H28" s="66"/>
      <c r="I28" s="68"/>
      <c r="J28" s="67"/>
      <c r="K28" t="str" s="67" cm="1">
        <f t="array" ref="K28">"Jumlah Terkena Pajak "&amp;MAX(K3:K26)&amp;"% (B)"</f>
        <v>Jumlah Terkena Pajak 11,00% (B)</v>
      </c>
      <c r="L28" s="68" cm="1">
        <f t="array" ref="L28">SUMIF($K3:$K26,"&gt;0",L3:L26)</f>
        <v>62927000</v>
      </c>
      <c r="M28" s="69" cm="1">
        <f t="array" ref="M28">SUMIF($K3:$K26,"&gt;0",M3:M26)</f>
        <v>0</v>
      </c>
      <c r="N28" s="69" cm="1">
        <f t="array" ref="N28">SUMIF($K3:$K26,"&gt;0",N3:N26)</f>
        <v>0</v>
      </c>
    </row>
    <row r="29" ht="21" customHeight="1">
      <c r="A29" s="70"/>
      <c r="B29" s="71"/>
      <c r="C29" s="71"/>
      <c r="D29" s="72"/>
      <c r="E29" s="72"/>
      <c r="F29" s="71"/>
      <c r="G29" s="72"/>
      <c r="H29" s="72"/>
      <c r="I29" s="74"/>
      <c r="J29" s="73"/>
      <c r="K29" t="str" s="73" cm="1">
        <f t="array" ref="K29">"PPN (C) = "&amp;MAX(K3:K26)&amp;"% x B"</f>
        <v>PPN (C) = 11,00% x B</v>
      </c>
      <c r="L29" s="74" cm="1">
        <f t="array" ref="L29">L28*MAX($K3:$K26)%</f>
        <v>6921970</v>
      </c>
      <c r="M29" s="69" cm="1">
        <f t="array" ref="M29">M28*MAX($K3:$K26)%</f>
        <v>0</v>
      </c>
      <c r="N29" s="69" cm="1">
        <f t="array" ref="N29">N28*MAX($K3:$K26)%</f>
        <v>0</v>
      </c>
    </row>
    <row r="30" ht="21" customHeight="1">
      <c r="A30" s="70"/>
      <c r="B30" s="71"/>
      <c r="C30" s="71"/>
      <c r="D30" t="s" s="110">
        <v>116</v>
      </c>
      <c r="E30" s="111">
        <v>70000000</v>
      </c>
      <c r="F30" s="112">
        <v>69849300</v>
      </c>
      <c r="G30" s="72"/>
      <c r="H30" s="72"/>
      <c r="I30" s="71"/>
      <c r="J30" s="73"/>
      <c r="K30" t="s" s="75">
        <v>42</v>
      </c>
      <c r="L30" s="76" cm="1">
        <f t="array" ref="L30">L27+L29</f>
        <v>69999994.8</v>
      </c>
      <c r="M30" s="69" cm="1">
        <f t="array" ref="M30">M27+M29</f>
        <v>0</v>
      </c>
      <c r="N30" s="69" cm="1">
        <f t="array" ref="N30">N27+N29</f>
        <v>0</v>
      </c>
    </row>
    <row r="31" ht="20.5" customHeight="1">
      <c r="A31" s="70"/>
      <c r="B31" s="71"/>
      <c r="C31" s="71"/>
      <c r="D31" s="72"/>
      <c r="E31" s="72" cm="1">
        <f t="array" ref="E31">E$30-L$31</f>
        <v>5.2</v>
      </c>
      <c r="F31" s="180" cm="1">
        <f t="array" ref="F31">ROUNDDOWN(E$30-D$28,2)</f>
        <v>69848975.2</v>
      </c>
      <c r="G31" s="72"/>
      <c r="H31" s="72"/>
      <c r="I31" s="71"/>
      <c r="J31" s="73"/>
      <c r="K31" t="s" s="75">
        <v>43</v>
      </c>
      <c r="L31" s="68" cm="1">
        <f t="array" ref="L31">ROUNDDOWN(L30,2)</f>
        <v>69999994.8</v>
      </c>
      <c r="M31" s="68" cm="1">
        <f t="array" ref="M31">ROUNDDOWN(M30,2)</f>
        <v>0</v>
      </c>
      <c r="N31" s="68" cm="1">
        <f t="array" ref="N31">ROUNDDOWN(N30,-3)</f>
        <v>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65.xml><?xml version="1.0" encoding="utf-8"?>
<worksheet xmlns:r="http://schemas.openxmlformats.org/officeDocument/2006/relationships" xmlns="http://schemas.openxmlformats.org/spreadsheetml/2006/main">
  <sheetPr>
    <pageSetUpPr fitToPage="1"/>
  </sheetPr>
  <dimension ref="A1:N31"/>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181" customWidth="1"/>
    <col min="2" max="2" width="43.0312" style="181" customWidth="1"/>
    <col min="3" max="3" width="2.75" style="181" customWidth="1"/>
    <col min="4" max="6" width="10.3672" style="181" customWidth="1"/>
    <col min="7" max="7" width="11.6875" style="181" customWidth="1"/>
    <col min="8" max="11" width="13.5156" style="181" customWidth="1"/>
    <col min="12" max="14" width="14.2344" style="181" customWidth="1"/>
    <col min="15" max="16384" width="16.3516" style="181"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109</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s="95">
        <v>1</v>
      </c>
      <c r="B4" t="s" s="19">
        <v>110</v>
      </c>
      <c r="C4" s="20"/>
      <c r="D4" s="21">
        <v>1</v>
      </c>
      <c r="E4" s="21" cm="1">
        <f t="array" ref="E4">D4</f>
        <v>1</v>
      </c>
      <c r="F4" s="21" cm="1">
        <f t="array" ref="F4">D4</f>
        <v>1</v>
      </c>
      <c r="G4" t="s" s="22">
        <v>19</v>
      </c>
      <c r="H4" s="21" cm="1">
        <f t="array" ref="H4">ROUNDDOWN((F$30*0.1)*100/111,-2)</f>
        <v>8090600</v>
      </c>
      <c r="I4" s="21">
        <v>8090600</v>
      </c>
      <c r="J4" s="21">
        <v>8090600</v>
      </c>
      <c r="K4" s="21">
        <v>11</v>
      </c>
      <c r="L4" s="21" cm="1">
        <f t="array" ref="L4">IF(D4&gt;0,IF($D4&lt;=0,0,D4*H4),"")</f>
        <v>8090600</v>
      </c>
      <c r="M4" s="21" cm="1">
        <f t="array" ref="M4">IF(E4&gt;0,IF($D4&lt;=0,0,ROUND(E4*I4,2)),"")</f>
        <v>8090600</v>
      </c>
      <c r="N4" s="23" cm="1">
        <f t="array" ref="N4">IF(F4&gt;0,IF($D4&lt;=0,0,ROUND(F4*J4,2)),"")</f>
        <v>8090600</v>
      </c>
    </row>
    <row r="5" ht="20.5" customHeight="1">
      <c r="A5" s="95">
        <v>2</v>
      </c>
      <c r="B5" t="s" s="19">
        <v>111</v>
      </c>
      <c r="C5" s="24"/>
      <c r="D5" s="26">
        <v>1</v>
      </c>
      <c r="E5" s="26" cm="1">
        <f t="array" ref="E5">D5</f>
        <v>1</v>
      </c>
      <c r="F5" s="26" cm="1">
        <f t="array" ref="F5">D5</f>
        <v>1</v>
      </c>
      <c r="G5" t="s" s="27">
        <v>19</v>
      </c>
      <c r="H5" s="26" cm="1">
        <f t="array" ref="H5">ROUNDDOWN((F$30*0.2)*100/111,-2)</f>
        <v>16181200</v>
      </c>
      <c r="I5" s="26">
        <v>16181200</v>
      </c>
      <c r="J5" s="26">
        <v>16181200</v>
      </c>
      <c r="K5" s="26">
        <v>11</v>
      </c>
      <c r="L5" s="26" cm="1">
        <f t="array" ref="L5">IF(D5&gt;0,IF($D5&lt;=0,0,D5*H5),"")</f>
        <v>16181200</v>
      </c>
      <c r="M5" s="26" cm="1">
        <f t="array" ref="M5">IF(E5&gt;0,IF($D5&lt;=0,0,ROUND(E5*I5,2)),"")</f>
        <v>16181200</v>
      </c>
      <c r="N5" s="28" cm="1">
        <f t="array" ref="N5">IF(F5&gt;0,IF($D5&lt;=0,0,ROUND(F5*J5,2)),"")</f>
        <v>16181200</v>
      </c>
    </row>
    <row r="6" ht="20.5" customHeight="1">
      <c r="A6" s="95">
        <v>3</v>
      </c>
      <c r="B6" t="s" s="19">
        <v>112</v>
      </c>
      <c r="C6" s="20"/>
      <c r="D6" s="21">
        <v>1</v>
      </c>
      <c r="E6" s="21" cm="1">
        <f t="array" ref="E6">D6</f>
        <v>1</v>
      </c>
      <c r="F6" s="21" cm="1">
        <f t="array" ref="F6">D6</f>
        <v>1</v>
      </c>
      <c r="G6" t="s" s="22">
        <v>19</v>
      </c>
      <c r="H6" s="21" cm="1">
        <f t="array" ref="H6">ROUNDDOWN((F$30*0.25)*100/111,-2)</f>
        <v>20226500</v>
      </c>
      <c r="I6" s="21">
        <v>20226500</v>
      </c>
      <c r="J6" s="21">
        <v>20226500</v>
      </c>
      <c r="K6" s="21">
        <v>11</v>
      </c>
      <c r="L6" s="21" cm="1">
        <f t="array" ref="L6">IF(D6&gt;0,IF($D6&lt;=0,0,D6*H6),"")</f>
        <v>20226500</v>
      </c>
      <c r="M6" s="21" cm="1">
        <f t="array" ref="M6">IF(E6&gt;0,IF($D6&lt;=0,0,ROUND(E6*I6,2)),"")</f>
        <v>20226500</v>
      </c>
      <c r="N6" s="23" cm="1">
        <f t="array" ref="N6">IF(F6&gt;0,IF($D6&lt;=0,0,ROUND(F6*J6,2)),"")</f>
        <v>20226500</v>
      </c>
    </row>
    <row r="7" ht="68.5" customHeight="1">
      <c r="A7" s="95">
        <v>5</v>
      </c>
      <c r="B7" t="s" s="19">
        <v>113</v>
      </c>
      <c r="C7" s="24"/>
      <c r="D7" s="26">
        <v>1</v>
      </c>
      <c r="E7" s="26" cm="1">
        <f t="array" ref="E7">D7</f>
        <v>1</v>
      </c>
      <c r="F7" s="26" cm="1">
        <f t="array" ref="F7">D7</f>
        <v>1</v>
      </c>
      <c r="G7" t="s" s="27">
        <v>19</v>
      </c>
      <c r="H7" s="26" cm="1">
        <f t="array" ref="H7">ROUNDDOWN((F$30*0.25)*100/111,-2)</f>
        <v>20226500</v>
      </c>
      <c r="I7" s="26">
        <v>20226500</v>
      </c>
      <c r="J7" s="26">
        <v>20226500</v>
      </c>
      <c r="K7" s="26">
        <v>11</v>
      </c>
      <c r="L7" s="26" cm="1">
        <f t="array" ref="L7">IF(D7&gt;0,IF($D7&lt;=0,0,D7*H7),"")</f>
        <v>20226500</v>
      </c>
      <c r="M7" s="26" cm="1">
        <f t="array" ref="M7">IF(E7&gt;0,IF($D7&lt;=0,0,ROUND(E7*I7,2)),"")</f>
        <v>20226500</v>
      </c>
      <c r="N7" s="28" cm="1">
        <f t="array" ref="N7">IF(F7&gt;0,IF($D7&lt;=0,0,ROUND(F7*J7,2)),"")</f>
        <v>20226500</v>
      </c>
    </row>
    <row r="8" ht="32.5" customHeight="1">
      <c r="A8" s="95">
        <v>6</v>
      </c>
      <c r="B8" t="s" s="19">
        <v>114</v>
      </c>
      <c r="C8" s="20"/>
      <c r="D8" s="21">
        <v>1</v>
      </c>
      <c r="E8" s="21" cm="1">
        <f t="array" ref="E8">D8</f>
        <v>1</v>
      </c>
      <c r="F8" s="21" cm="1">
        <f t="array" ref="F8">D8</f>
        <v>1</v>
      </c>
      <c r="G8" t="s" s="22">
        <v>19</v>
      </c>
      <c r="H8" s="21" cm="1">
        <f t="array" ref="H8">ROUNDDOWN((F$30*0.05)*100/111,-2)</f>
        <v>4045300</v>
      </c>
      <c r="I8" s="21">
        <v>4045300</v>
      </c>
      <c r="J8" s="21">
        <v>4045300</v>
      </c>
      <c r="K8" s="21">
        <v>11</v>
      </c>
      <c r="L8" s="21" cm="1">
        <f t="array" ref="L8">IF(D8&gt;0,IF($D8&lt;=0,0,D8*H8),"")</f>
        <v>4045300</v>
      </c>
      <c r="M8" s="21" cm="1">
        <f t="array" ref="M8">IF(E8&gt;0,IF($D8&lt;=0,0,ROUND(E8*I8,2)),"")</f>
        <v>4045300</v>
      </c>
      <c r="N8" s="23" cm="1">
        <f t="array" ref="N8">IF(F8&gt;0,IF($D8&lt;=0,0,ROUND(F8*J8,2)),"")</f>
        <v>4045300</v>
      </c>
    </row>
    <row r="9" ht="20.5" customHeight="1">
      <c r="A9" s="95">
        <v>7</v>
      </c>
      <c r="B9" t="s" s="19">
        <v>115</v>
      </c>
      <c r="C9" s="24"/>
      <c r="D9" s="26">
        <v>1</v>
      </c>
      <c r="E9" s="26" cm="1">
        <f t="array" ref="E9">D9</f>
        <v>1</v>
      </c>
      <c r="F9" s="26" cm="1">
        <f t="array" ref="F9">D9</f>
        <v>1</v>
      </c>
      <c r="G9" t="s" s="27">
        <v>19</v>
      </c>
      <c r="H9" s="26" cm="1">
        <f t="array" ref="H9">ROUNDDOWN((F$30*0.15)*100/111,-2)</f>
        <v>12135900</v>
      </c>
      <c r="I9" s="26">
        <v>12135900</v>
      </c>
      <c r="J9" s="26">
        <v>12135900</v>
      </c>
      <c r="K9" s="26">
        <v>11</v>
      </c>
      <c r="L9" s="26" cm="1">
        <f t="array" ref="L9">IF(D9&gt;0,IF($D9&lt;=0,0,D9*H9),"")</f>
        <v>12135900</v>
      </c>
      <c r="M9" s="26" cm="1">
        <f t="array" ref="M9">IF(E9&gt;0,IF($D9&lt;=0,0,ROUND(E9*I9,2)),"")</f>
        <v>12135900</v>
      </c>
      <c r="N9" s="28" cm="1">
        <f t="array" ref="N9">IF(F9&gt;0,IF($D9&lt;=0,0,ROUND(F9*J9,2)),"")</f>
        <v>12135900</v>
      </c>
    </row>
    <row r="10" ht="20.6" customHeight="1">
      <c r="A10" s="33">
        <v>8</v>
      </c>
      <c r="B10" t="s" s="34">
        <v>37</v>
      </c>
      <c r="C10" s="35"/>
      <c r="D10" s="36">
        <v>1</v>
      </c>
      <c r="E10" s="36" cm="1">
        <f t="array" ref="E10">D10</f>
        <v>1</v>
      </c>
      <c r="F10" s="36" cm="1">
        <f t="array" ref="F10">D10</f>
        <v>1</v>
      </c>
      <c r="G10" t="s" s="37">
        <v>19</v>
      </c>
      <c r="H10" s="36">
        <v>194174.4</v>
      </c>
      <c r="I10" s="36">
        <v>184340</v>
      </c>
      <c r="J10" s="36">
        <v>184340</v>
      </c>
      <c r="K10" s="36">
        <v>0</v>
      </c>
      <c r="L10" s="36" cm="1">
        <f t="array" ref="L10">IF(D10&gt;0,IF($D10&lt;=0,0,D10*H10),"")</f>
        <v>194174.4</v>
      </c>
      <c r="M10" s="36" cm="1">
        <f t="array" ref="M10">IF(E10&gt;0,IF($D10&lt;=0,0,ROUND(E10*I10,2)),"")</f>
        <v>184340</v>
      </c>
      <c r="N10" s="38" cm="1">
        <f t="array" ref="N10">IF(F10&gt;0,IF($D10&lt;=0,0,ROUND(F10*J10,2)),"")</f>
        <v>184340</v>
      </c>
    </row>
    <row r="11" ht="8.75" customHeight="1" hidden="1">
      <c r="A11" s="39"/>
      <c r="B11" s="40"/>
      <c r="C11" s="41"/>
      <c r="D11" s="42"/>
      <c r="E11" s="42"/>
      <c r="F11" s="42"/>
      <c r="G11" s="43"/>
      <c r="H11" s="42"/>
      <c r="I11" s="42"/>
      <c r="J11" s="42"/>
      <c r="K11" s="42"/>
      <c r="L11" s="42"/>
      <c r="M11" s="42"/>
      <c r="N11" s="44"/>
    </row>
    <row r="12" ht="8.75" customHeight="1" hidden="1">
      <c r="A12" s="39"/>
      <c r="B12" s="40"/>
      <c r="C12" s="45"/>
      <c r="D12" s="46"/>
      <c r="E12" s="46"/>
      <c r="F12" s="46"/>
      <c r="G12" s="47"/>
      <c r="H12" s="46"/>
      <c r="I12" s="46"/>
      <c r="J12" s="46"/>
      <c r="K12" s="46"/>
      <c r="L12" s="46"/>
      <c r="M12" s="46"/>
      <c r="N12" s="48"/>
    </row>
    <row r="13" ht="8.75" customHeight="1" hidden="1">
      <c r="A13" s="39"/>
      <c r="B13" s="40"/>
      <c r="C13" s="41"/>
      <c r="D13" s="42"/>
      <c r="E13" s="42"/>
      <c r="F13" s="42"/>
      <c r="G13" s="43"/>
      <c r="H13" s="42"/>
      <c r="I13" s="42"/>
      <c r="J13" s="42"/>
      <c r="K13" s="42"/>
      <c r="L13" s="42"/>
      <c r="M13" s="42"/>
      <c r="N13" s="44"/>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2"/>
      <c r="I15" s="42"/>
      <c r="J15" s="42"/>
      <c r="K15" s="42"/>
      <c r="L15" s="42"/>
      <c r="M15" s="42"/>
      <c r="N15" s="44"/>
    </row>
    <row r="16" ht="8.75" customHeight="1" hidden="1">
      <c r="A16" s="39"/>
      <c r="B16" s="40"/>
      <c r="C16" s="45"/>
      <c r="D16" s="46"/>
      <c r="E16" s="46"/>
      <c r="F16" s="46"/>
      <c r="G16" s="47"/>
      <c r="H16" s="46"/>
      <c r="I16" s="46"/>
      <c r="J16" s="46"/>
      <c r="K16" s="46"/>
      <c r="L16" s="46"/>
      <c r="M16" s="46"/>
      <c r="N16" s="48"/>
    </row>
    <row r="17" ht="8.75" customHeight="1" hidden="1">
      <c r="A17" s="39"/>
      <c r="B17" s="40"/>
      <c r="C17" s="41"/>
      <c r="D17" s="42"/>
      <c r="E17" s="42"/>
      <c r="F17" s="42"/>
      <c r="G17" s="43"/>
      <c r="H17" s="43"/>
      <c r="I17" s="43"/>
      <c r="J17" s="43"/>
      <c r="K17" s="42"/>
      <c r="L17" s="43"/>
      <c r="M17" s="43"/>
      <c r="N17" s="49"/>
    </row>
    <row r="18" ht="8.75" customHeight="1" hidden="1">
      <c r="A18" s="39"/>
      <c r="B18" s="40"/>
      <c r="C18" s="45"/>
      <c r="D18" s="46"/>
      <c r="E18" s="46"/>
      <c r="F18" s="46"/>
      <c r="G18" s="47"/>
      <c r="H18" s="50"/>
      <c r="I18" s="50"/>
      <c r="J18" s="50"/>
      <c r="K18" s="46"/>
      <c r="L18" s="46"/>
      <c r="M18" s="46"/>
      <c r="N18" s="48"/>
    </row>
    <row r="19" ht="8.75" customHeight="1" hidden="1">
      <c r="A19" s="39"/>
      <c r="B19" s="40"/>
      <c r="C19" s="41"/>
      <c r="D19" s="42"/>
      <c r="E19" s="42"/>
      <c r="F19" s="42"/>
      <c r="G19" s="43"/>
      <c r="H19" s="43"/>
      <c r="I19" s="43"/>
      <c r="J19" s="43"/>
      <c r="K19" s="42"/>
      <c r="L19" s="43"/>
      <c r="M19" s="43"/>
      <c r="N19" s="49"/>
    </row>
    <row r="20" ht="8.75" customHeight="1" hidden="1">
      <c r="A20" s="39"/>
      <c r="B20" s="40"/>
      <c r="C20" s="45"/>
      <c r="D20" s="46"/>
      <c r="E20" s="46"/>
      <c r="F20" s="46"/>
      <c r="G20" s="47"/>
      <c r="H20" s="46"/>
      <c r="I20" s="46"/>
      <c r="J20" s="46"/>
      <c r="K20" s="46"/>
      <c r="L20" s="46"/>
      <c r="M20" s="46"/>
      <c r="N20" s="48"/>
    </row>
    <row r="21" ht="8.75" customHeight="1" hidden="1">
      <c r="A21" s="39"/>
      <c r="B21" s="40"/>
      <c r="C21" s="41"/>
      <c r="D21" s="42"/>
      <c r="E21" s="42"/>
      <c r="F21" s="42"/>
      <c r="G21" s="43"/>
      <c r="H21" s="42"/>
      <c r="I21" s="42"/>
      <c r="J21" s="42"/>
      <c r="K21" s="42"/>
      <c r="L21" s="42"/>
      <c r="M21" s="42"/>
      <c r="N21" s="44"/>
    </row>
    <row r="22" ht="8.75" customHeight="1" hidden="1">
      <c r="A22" s="51"/>
      <c r="B22" s="40"/>
      <c r="C22" s="45"/>
      <c r="D22" s="46"/>
      <c r="E22" s="46"/>
      <c r="F22" s="46"/>
      <c r="G22" s="47"/>
      <c r="H22" s="46"/>
      <c r="I22" s="46"/>
      <c r="J22" s="46"/>
      <c r="K22" s="46"/>
      <c r="L22" s="46"/>
      <c r="M22" s="46"/>
      <c r="N22" s="48"/>
    </row>
    <row r="23" ht="8.75" customHeight="1" hidden="1">
      <c r="A23" s="51"/>
      <c r="B23" s="40"/>
      <c r="C23" s="41"/>
      <c r="D23" s="42"/>
      <c r="E23" s="42"/>
      <c r="F23" s="42"/>
      <c r="G23" s="43"/>
      <c r="H23" s="42"/>
      <c r="I23" s="42"/>
      <c r="J23" s="42"/>
      <c r="K23" s="42"/>
      <c r="L23" s="42"/>
      <c r="M23" s="42"/>
      <c r="N23" s="44"/>
    </row>
    <row r="24" ht="8.75" customHeight="1" hidden="1">
      <c r="A24" s="39"/>
      <c r="B24" s="40"/>
      <c r="C24" s="45"/>
      <c r="D24" s="46"/>
      <c r="E24" s="46"/>
      <c r="F24" s="46"/>
      <c r="G24" s="47"/>
      <c r="H24" s="46"/>
      <c r="I24" s="46"/>
      <c r="J24" s="46"/>
      <c r="K24" s="46"/>
      <c r="L24" s="47"/>
      <c r="M24" s="47"/>
      <c r="N24" s="52"/>
    </row>
    <row r="25" ht="8.75" customHeight="1" hidden="1">
      <c r="A25" s="39"/>
      <c r="B25" s="40"/>
      <c r="C25" s="41"/>
      <c r="D25" s="42"/>
      <c r="E25" s="42"/>
      <c r="F25" s="42"/>
      <c r="G25" s="43"/>
      <c r="H25" s="42"/>
      <c r="I25" s="42"/>
      <c r="J25" s="42"/>
      <c r="K25" s="42"/>
      <c r="L25" s="42"/>
      <c r="M25" s="42"/>
      <c r="N25" s="44"/>
    </row>
    <row r="26" ht="8.75" customHeight="1" hidden="1">
      <c r="A26" s="39"/>
      <c r="B26" s="40"/>
      <c r="C26" s="45"/>
      <c r="D26" s="46"/>
      <c r="E26" s="46"/>
      <c r="F26" s="46"/>
      <c r="G26" s="47"/>
      <c r="H26" s="46"/>
      <c r="I26" s="46"/>
      <c r="J26" s="46"/>
      <c r="K26" s="46"/>
      <c r="L26" s="47"/>
      <c r="M26" s="47"/>
      <c r="N26" s="52"/>
    </row>
    <row r="27" ht="20.85" customHeight="1">
      <c r="A27" s="108"/>
      <c r="B27" s="54"/>
      <c r="C27" s="54"/>
      <c r="D27" s="55"/>
      <c r="E27" s="55"/>
      <c r="F27" s="55"/>
      <c r="G27" s="56"/>
      <c r="H27" s="56"/>
      <c r="I27" s="54"/>
      <c r="J27" s="57"/>
      <c r="K27" t="s" s="58">
        <v>38</v>
      </c>
      <c r="L27" s="59" cm="1">
        <f t="array" ref="L27">SUM(L1:L26)</f>
        <v>81100174.40000001</v>
      </c>
      <c r="M27" s="59" cm="1">
        <f t="array" ref="M27">SUM(M1:M26)</f>
        <v>81090340</v>
      </c>
      <c r="N27" s="59" cm="1">
        <f t="array" ref="N27">SUM(N1:N26)</f>
        <v>81090340</v>
      </c>
    </row>
    <row r="28" ht="21" customHeight="1">
      <c r="A28" s="63" cm="1">
        <f t="array" ref="A28">ROUND(IF(I28&lt;=100000000,I28*0.24%,IF(AND(I28&gt;100000000,I28&lt;=500000000),100000000*0.24%+(I28-100000000)*0.19%,IF(AND(I28&gt;500000000,I28&lt;=1000000000),100000000*0.24%+400000000*0.19%+(I28-500000000)*0.15%,IF(AND(I28&gt;1000000000,I28&lt;=5000000000),100000000*0.24%+400000000*0.19%+500000000*0.15%+(I28-1000000000)*0.12%,IF(I28&gt;5000000000,100000000*0.24%+400000000*0.19%+500000000*0.15%+4000000000*0.12%+(I28-5000000000)*0.1%,"Bingung komputer"))))),2)</f>
        <v>0</v>
      </c>
      <c r="B28" t="s" s="109">
        <v>39</v>
      </c>
      <c r="C28" s="62"/>
      <c r="D28" s="63" cm="1">
        <f t="array" ref="D28">ROUND(IF(L28&lt;=100000000,L28*0.24%,IF(AND(L28&gt;100000000,L28&lt;=500000000),100000000*0.24%+(L28-100000000)*0.19%,IF(AND(L28&gt;500000000,L28&lt;=1000000000),100000000*0.24%+400000000*0.19%+(L28-500000000)*0.15%,IF(AND(L28&gt;1000000000,L28&lt;=5000000000),100000000*0.24%+400000000*0.19%+500000000*0.15%+(L28-1000000000)*0.12%,IF(L28&gt;5000000000,100000000*0.24%+400000000*0.19%+500000000*0.15%+4000000000*0.12%+(L28-5000000000)*0.1%,"Bingung komputer"))))),2)</f>
        <v>194174.4</v>
      </c>
      <c r="E28" s="64" cm="1">
        <f t="array" ref="E28">ROUND(IF(M28&lt;=100000000,M28*0.24%,IF(AND(M28&gt;100000000,M28&lt;=500000000),100000000*0.24%+(M28-100000000)*0.19%,IF(AND(M28&gt;500000000,M28&lt;=1000000000),100000000*0.24%+400000000*0.19%+(M28-500000000)*0.15%,IF(AND(M28&gt;1000000000,M28&lt;=5000000000),100000000*0.24%+400000000*0.19%+500000000*0.15%+(M28-1000000000)*0.12%,IF(M28&gt;5000000000,100000000*0.24%+400000000*0.19%+500000000*0.15%+4000000000*0.12%+(M28-5000000000)*0.1%,"Bingung komputer"))))),2)</f>
        <v>194174.4</v>
      </c>
      <c r="F28" s="64" cm="1">
        <f t="array" ref="F28">ROUND(IF(N28&lt;=100000000,N28*0.24%,IF(AND(N28&gt;100000000,N28&lt;=500000000),100000000*0.24%+(N28-100000000)*0.19%,IF(AND(N28&gt;500000000,N28&lt;=1000000000),100000000*0.24%+400000000*0.19%+(N28-500000000)*0.15%,IF(AND(N28&gt;1000000000,N28&lt;=5000000000),100000000*0.24%+400000000*0.19%+500000000*0.15%+(N28-1000000000)*0.12%,IF(N28&gt;5000000000,100000000*0.24%+400000000*0.19%+500000000*0.15%+4000000000*0.12%+(N28-5000000000)*0.1%,"Bingung komputer"))))),2)</f>
        <v>194174.4</v>
      </c>
      <c r="G28" s="65"/>
      <c r="H28" s="66"/>
      <c r="I28" s="68"/>
      <c r="J28" s="67"/>
      <c r="K28" t="str" s="67" cm="1">
        <f t="array" ref="K28">"Jumlah Terkena Pajak "&amp;MAX(K3:K26)&amp;"% (B)"</f>
        <v>Jumlah Terkena Pajak 11,00% (B)</v>
      </c>
      <c r="L28" s="68" cm="1">
        <f t="array" ref="L28">SUMIF($K3:$K26,"&gt;0",L3:L26)</f>
        <v>80906000</v>
      </c>
      <c r="M28" s="69" cm="1">
        <f t="array" ref="M28">SUMIF($K3:$K26,"&gt;0",M3:M26)</f>
        <v>80906000</v>
      </c>
      <c r="N28" s="69" cm="1">
        <f t="array" ref="N28">SUMIF($K3:$K26,"&gt;0",N3:N26)</f>
        <v>80906000</v>
      </c>
    </row>
    <row r="29" ht="21" customHeight="1">
      <c r="A29" s="70"/>
      <c r="B29" s="71"/>
      <c r="C29" s="71"/>
      <c r="D29" s="72"/>
      <c r="E29" s="72"/>
      <c r="F29" s="71"/>
      <c r="G29" s="72"/>
      <c r="H29" s="72"/>
      <c r="I29" s="74"/>
      <c r="J29" s="73"/>
      <c r="K29" t="str" s="73" cm="1">
        <f t="array" ref="K29">"PPN (C) = "&amp;MAX(K3:K26)&amp;"% x B"</f>
        <v>PPN (C) = 11,00% x B</v>
      </c>
      <c r="L29" s="74" cm="1">
        <f t="array" ref="L29">L28*MAX($K3:$K26)%</f>
        <v>8899660</v>
      </c>
      <c r="M29" s="69" cm="1">
        <f t="array" ref="M29">M28*MAX($K3:$K26)%</f>
        <v>8899660</v>
      </c>
      <c r="N29" s="69" cm="1">
        <f t="array" ref="N29">N28*MAX($K3:$K26)%</f>
        <v>8899660</v>
      </c>
    </row>
    <row r="30" ht="21" customHeight="1">
      <c r="A30" s="70"/>
      <c r="B30" s="71"/>
      <c r="C30" s="71"/>
      <c r="D30" t="s" s="110">
        <v>116</v>
      </c>
      <c r="E30" s="111">
        <v>90000000</v>
      </c>
      <c r="F30" s="112">
        <v>89806100</v>
      </c>
      <c r="G30" s="72"/>
      <c r="H30" s="72"/>
      <c r="I30" s="71"/>
      <c r="J30" s="73"/>
      <c r="K30" t="s" s="75">
        <v>42</v>
      </c>
      <c r="L30" s="76" cm="1">
        <f t="array" ref="L30">L27+L29</f>
        <v>89999834.40000001</v>
      </c>
      <c r="M30" s="69" cm="1">
        <f t="array" ref="M30">M27+M29</f>
        <v>89990000</v>
      </c>
      <c r="N30" s="69" cm="1">
        <f t="array" ref="N30">N27+N29</f>
        <v>89990000</v>
      </c>
    </row>
    <row r="31" ht="20.5" customHeight="1">
      <c r="A31" s="70"/>
      <c r="B31" s="71"/>
      <c r="C31" s="71"/>
      <c r="D31" s="72"/>
      <c r="E31" s="72" cm="1">
        <f t="array" ref="E31">E$30-L$31</f>
        <v>165.6</v>
      </c>
      <c r="F31" s="180" cm="1">
        <f t="array" ref="F31">ROUNDDOWN(E$30-D$28,2)</f>
        <v>89805825.59999999</v>
      </c>
      <c r="G31" s="72"/>
      <c r="H31" s="72"/>
      <c r="I31" s="71"/>
      <c r="J31" s="73"/>
      <c r="K31" t="s" s="75">
        <v>43</v>
      </c>
      <c r="L31" s="68" cm="1">
        <f t="array" ref="L31">ROUNDDOWN(L30,2)</f>
        <v>89999834.40000001</v>
      </c>
      <c r="M31" s="68" cm="1">
        <f t="array" ref="M31">ROUNDDOWN(M30,2)</f>
        <v>89990000</v>
      </c>
      <c r="N31" s="68" cm="1">
        <f t="array" ref="N31">ROUNDDOWN(N30,-3)</f>
        <v>89990000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66.xml><?xml version="1.0" encoding="utf-8"?>
<worksheet xmlns:r="http://schemas.openxmlformats.org/officeDocument/2006/relationships" xmlns="http://schemas.openxmlformats.org/spreadsheetml/2006/main">
  <sheetPr>
    <pageSetUpPr fitToPage="1"/>
  </sheetPr>
  <dimension ref="A1:N31"/>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182" customWidth="1"/>
    <col min="2" max="2" width="43.0312" style="182" customWidth="1"/>
    <col min="3" max="3" width="2.75" style="182" customWidth="1"/>
    <col min="4" max="6" width="10.3672" style="182" customWidth="1"/>
    <col min="7" max="7" width="11.6875" style="182" customWidth="1"/>
    <col min="8" max="11" width="13.5156" style="182" customWidth="1"/>
    <col min="12" max="14" width="14.2344" style="182" customWidth="1"/>
    <col min="15" max="16384" width="16.3516" style="182"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109</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s="95">
        <v>1</v>
      </c>
      <c r="B4" t="s" s="19">
        <v>110</v>
      </c>
      <c r="C4" s="20"/>
      <c r="D4" s="21">
        <v>1</v>
      </c>
      <c r="E4" s="21" cm="1">
        <f t="array" ref="E4">D4</f>
        <v>1</v>
      </c>
      <c r="F4" s="21" cm="1">
        <f t="array" ref="F4">D4</f>
        <v>1</v>
      </c>
      <c r="G4" t="s" s="22">
        <v>19</v>
      </c>
      <c r="H4" s="21" cm="1">
        <f t="array" ref="H4">ROUNDDOWN((F$30*0.1)*100/111,-2)</f>
        <v>8944600</v>
      </c>
      <c r="I4" s="21">
        <v>8944000</v>
      </c>
      <c r="J4" s="21">
        <v>8944000</v>
      </c>
      <c r="K4" s="21">
        <v>11</v>
      </c>
      <c r="L4" s="21" cm="1">
        <f t="array" ref="L4">IF(D4&gt;0,IF($D4&lt;=0,0,D4*H4),"")</f>
        <v>8944600</v>
      </c>
      <c r="M4" s="21" cm="1">
        <f t="array" ref="M4">IF(E4&gt;0,IF($D4&lt;=0,0,ROUND(E4*I4,2)),"")</f>
        <v>8944000</v>
      </c>
      <c r="N4" s="23" cm="1">
        <f t="array" ref="N4">IF(F4&gt;0,IF($D4&lt;=0,0,ROUND(F4*J4,2)),"")</f>
        <v>8944000</v>
      </c>
    </row>
    <row r="5" ht="20.5" customHeight="1">
      <c r="A5" s="95">
        <v>2</v>
      </c>
      <c r="B5" t="s" s="19">
        <v>111</v>
      </c>
      <c r="C5" s="24"/>
      <c r="D5" s="26">
        <v>1</v>
      </c>
      <c r="E5" s="26" cm="1">
        <f t="array" ref="E5">D5</f>
        <v>1</v>
      </c>
      <c r="F5" s="26" cm="1">
        <f t="array" ref="F5">D5</f>
        <v>1</v>
      </c>
      <c r="G5" t="s" s="27">
        <v>19</v>
      </c>
      <c r="H5" s="26" cm="1">
        <f t="array" ref="H5">ROUNDDOWN((F$30*0.2)*100/111,-2)</f>
        <v>17889200</v>
      </c>
      <c r="I5" s="26">
        <v>17900000</v>
      </c>
      <c r="J5" s="26">
        <v>17900000</v>
      </c>
      <c r="K5" s="26">
        <v>11</v>
      </c>
      <c r="L5" s="26" cm="1">
        <f t="array" ref="L5">IF(D5&gt;0,IF($D5&lt;=0,0,D5*H5),"")</f>
        <v>17889200</v>
      </c>
      <c r="M5" s="26" cm="1">
        <f t="array" ref="M5">IF(E5&gt;0,IF($D5&lt;=0,0,ROUND(E5*I5,2)),"")</f>
        <v>17900000</v>
      </c>
      <c r="N5" s="28" cm="1">
        <f t="array" ref="N5">IF(F5&gt;0,IF($D5&lt;=0,0,ROUND(F5*J5,2)),"")</f>
        <v>17900000</v>
      </c>
    </row>
    <row r="6" ht="20.5" customHeight="1">
      <c r="A6" s="95">
        <v>3</v>
      </c>
      <c r="B6" t="s" s="19">
        <v>112</v>
      </c>
      <c r="C6" s="20"/>
      <c r="D6" s="21">
        <v>1</v>
      </c>
      <c r="E6" s="21" cm="1">
        <f t="array" ref="E6">D6</f>
        <v>1</v>
      </c>
      <c r="F6" s="21" cm="1">
        <f t="array" ref="F6">D6</f>
        <v>1</v>
      </c>
      <c r="G6" t="s" s="22">
        <v>19</v>
      </c>
      <c r="H6" s="21" cm="1">
        <f t="array" ref="H6">ROUNDDOWN((F$30*0.25)*100/111,-2)</f>
        <v>22361600</v>
      </c>
      <c r="I6" s="21">
        <v>22350000</v>
      </c>
      <c r="J6" s="21">
        <v>22350000</v>
      </c>
      <c r="K6" s="21">
        <v>11</v>
      </c>
      <c r="L6" s="21" cm="1">
        <f t="array" ref="L6">IF(D6&gt;0,IF($D6&lt;=0,0,D6*H6),"")</f>
        <v>22361600</v>
      </c>
      <c r="M6" s="21" cm="1">
        <f t="array" ref="M6">IF(E6&gt;0,IF($D6&lt;=0,0,ROUND(E6*I6,2)),"")</f>
        <v>22350000</v>
      </c>
      <c r="N6" s="23" cm="1">
        <f t="array" ref="N6">IF(F6&gt;0,IF($D6&lt;=0,0,ROUND(F6*J6,2)),"")</f>
        <v>22350000</v>
      </c>
    </row>
    <row r="7" ht="68.5" customHeight="1">
      <c r="A7" s="95">
        <v>5</v>
      </c>
      <c r="B7" t="s" s="19">
        <v>113</v>
      </c>
      <c r="C7" s="24"/>
      <c r="D7" s="26">
        <v>1</v>
      </c>
      <c r="E7" s="26" cm="1">
        <f t="array" ref="E7">D7</f>
        <v>1</v>
      </c>
      <c r="F7" s="26" cm="1">
        <f t="array" ref="F7">D7</f>
        <v>1</v>
      </c>
      <c r="G7" t="s" s="27">
        <v>19</v>
      </c>
      <c r="H7" s="26" cm="1">
        <f t="array" ref="H7">ROUNDDOWN((F$30*0.25)*100/111,-2)</f>
        <v>22361600</v>
      </c>
      <c r="I7" s="26">
        <v>22350000</v>
      </c>
      <c r="J7" s="26">
        <v>22350000</v>
      </c>
      <c r="K7" s="26">
        <v>11</v>
      </c>
      <c r="L7" s="26" cm="1">
        <f t="array" ref="L7">IF(D7&gt;0,IF($D7&lt;=0,0,D7*H7),"")</f>
        <v>22361600</v>
      </c>
      <c r="M7" s="26" cm="1">
        <f t="array" ref="M7">IF(E7&gt;0,IF($D7&lt;=0,0,ROUND(E7*I7,2)),"")</f>
        <v>22350000</v>
      </c>
      <c r="N7" s="28" cm="1">
        <f t="array" ref="N7">IF(F7&gt;0,IF($D7&lt;=0,0,ROUND(F7*J7,2)),"")</f>
        <v>22350000</v>
      </c>
    </row>
    <row r="8" ht="32.5" customHeight="1">
      <c r="A8" s="95">
        <v>6</v>
      </c>
      <c r="B8" t="s" s="19">
        <v>114</v>
      </c>
      <c r="C8" s="20"/>
      <c r="D8" s="21">
        <v>1</v>
      </c>
      <c r="E8" s="21" cm="1">
        <f t="array" ref="E8">D8</f>
        <v>1</v>
      </c>
      <c r="F8" s="21" cm="1">
        <f t="array" ref="F8">D8</f>
        <v>1</v>
      </c>
      <c r="G8" t="s" s="22">
        <v>19</v>
      </c>
      <c r="H8" s="21" cm="1">
        <f t="array" ref="H8">ROUNDDOWN((F$30*0.05)*100/111,-2)</f>
        <v>4472300</v>
      </c>
      <c r="I8" s="21">
        <v>4470000</v>
      </c>
      <c r="J8" s="21">
        <v>4470000</v>
      </c>
      <c r="K8" s="21">
        <v>11</v>
      </c>
      <c r="L8" s="21" cm="1">
        <f t="array" ref="L8">IF(D8&gt;0,IF($D8&lt;=0,0,D8*H8),"")</f>
        <v>4472300</v>
      </c>
      <c r="M8" s="21" cm="1">
        <f t="array" ref="M8">IF(E8&gt;0,IF($D8&lt;=0,0,ROUND(E8*I8,2)),"")</f>
        <v>4470000</v>
      </c>
      <c r="N8" s="23" cm="1">
        <f t="array" ref="N8">IF(F8&gt;0,IF($D8&lt;=0,0,ROUND(F8*J8,2)),"")</f>
        <v>4470000</v>
      </c>
    </row>
    <row r="9" ht="20.5" customHeight="1">
      <c r="A9" s="95">
        <v>7</v>
      </c>
      <c r="B9" t="s" s="19">
        <v>115</v>
      </c>
      <c r="C9" s="24"/>
      <c r="D9" s="26">
        <v>1</v>
      </c>
      <c r="E9" s="26" cm="1">
        <f t="array" ref="E9">D9</f>
        <v>1</v>
      </c>
      <c r="F9" s="26" cm="1">
        <f t="array" ref="F9">D9</f>
        <v>1</v>
      </c>
      <c r="G9" t="s" s="27">
        <v>19</v>
      </c>
      <c r="H9" s="26" cm="1">
        <f t="array" ref="H9">ROUNDDOWN((F$30*0.15)*100/111,-2)</f>
        <v>13416900</v>
      </c>
      <c r="I9" s="26">
        <v>13350000</v>
      </c>
      <c r="J9" s="26">
        <v>13350000</v>
      </c>
      <c r="K9" s="26">
        <v>11</v>
      </c>
      <c r="L9" s="26" cm="1">
        <f t="array" ref="L9">IF(D9&gt;0,IF($D9&lt;=0,0,D9*H9),"")</f>
        <v>13416900</v>
      </c>
      <c r="M9" s="26" cm="1">
        <f t="array" ref="M9">IF(E9&gt;0,IF($D9&lt;=0,0,ROUND(E9*I9,2)),"")</f>
        <v>13350000</v>
      </c>
      <c r="N9" s="28" cm="1">
        <f t="array" ref="N9">IF(F9&gt;0,IF($D9&lt;=0,0,ROUND(F9*J9,2)),"")</f>
        <v>13350000</v>
      </c>
    </row>
    <row r="10" ht="20.6" customHeight="1">
      <c r="A10" s="33">
        <v>8</v>
      </c>
      <c r="B10" t="s" s="34">
        <v>37</v>
      </c>
      <c r="C10" s="35"/>
      <c r="D10" s="36">
        <v>1</v>
      </c>
      <c r="E10" s="36" cm="1">
        <f t="array" ref="E10">D10</f>
        <v>1</v>
      </c>
      <c r="F10" s="36" cm="1">
        <f t="array" ref="F10">D10</f>
        <v>1</v>
      </c>
      <c r="G10" t="s" s="37">
        <v>19</v>
      </c>
      <c r="H10" s="36">
        <v>214670.88</v>
      </c>
      <c r="I10" s="36">
        <v>214473.6</v>
      </c>
      <c r="J10" s="36">
        <v>214473.6</v>
      </c>
      <c r="K10" s="36">
        <v>0</v>
      </c>
      <c r="L10" s="36" cm="1">
        <f t="array" ref="L10">IF(D10&gt;0,IF($D10&lt;=0,0,D10*H10),"")</f>
        <v>214670.88</v>
      </c>
      <c r="M10" s="36" cm="1">
        <f t="array" ref="M10">IF(E10&gt;0,IF($D10&lt;=0,0,ROUND(E10*I10,2)),"")</f>
        <v>214473.6</v>
      </c>
      <c r="N10" s="38" cm="1">
        <f t="array" ref="N10">IF(F10&gt;0,IF($D10&lt;=0,0,ROUND(F10*J10,2)),"")</f>
        <v>214473.6</v>
      </c>
    </row>
    <row r="11" ht="8.75" customHeight="1" hidden="1">
      <c r="A11" s="39"/>
      <c r="B11" s="40"/>
      <c r="C11" s="41"/>
      <c r="D11" s="42"/>
      <c r="E11" s="42"/>
      <c r="F11" s="42"/>
      <c r="G11" s="43"/>
      <c r="H11" s="42"/>
      <c r="I11" s="42"/>
      <c r="J11" s="42"/>
      <c r="K11" s="42"/>
      <c r="L11" s="42"/>
      <c r="M11" s="42"/>
      <c r="N11" s="44"/>
    </row>
    <row r="12" ht="8.75" customHeight="1" hidden="1">
      <c r="A12" s="39"/>
      <c r="B12" s="40"/>
      <c r="C12" s="45"/>
      <c r="D12" s="46"/>
      <c r="E12" s="46"/>
      <c r="F12" s="46"/>
      <c r="G12" s="47"/>
      <c r="H12" s="46"/>
      <c r="I12" s="46"/>
      <c r="J12" s="46"/>
      <c r="K12" s="46"/>
      <c r="L12" s="46"/>
      <c r="M12" s="46"/>
      <c r="N12" s="48"/>
    </row>
    <row r="13" ht="8.75" customHeight="1" hidden="1">
      <c r="A13" s="39"/>
      <c r="B13" s="40"/>
      <c r="C13" s="41"/>
      <c r="D13" s="42"/>
      <c r="E13" s="42"/>
      <c r="F13" s="42"/>
      <c r="G13" s="43"/>
      <c r="H13" s="42"/>
      <c r="I13" s="42"/>
      <c r="J13" s="42"/>
      <c r="K13" s="42"/>
      <c r="L13" s="42"/>
      <c r="M13" s="42"/>
      <c r="N13" s="44"/>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2"/>
      <c r="I15" s="42"/>
      <c r="J15" s="42"/>
      <c r="K15" s="42"/>
      <c r="L15" s="42"/>
      <c r="M15" s="42"/>
      <c r="N15" s="44"/>
    </row>
    <row r="16" ht="8.75" customHeight="1" hidden="1">
      <c r="A16" s="39"/>
      <c r="B16" s="40"/>
      <c r="C16" s="45"/>
      <c r="D16" s="46"/>
      <c r="E16" s="46"/>
      <c r="F16" s="46"/>
      <c r="G16" s="47"/>
      <c r="H16" s="46"/>
      <c r="I16" s="46"/>
      <c r="J16" s="46"/>
      <c r="K16" s="46"/>
      <c r="L16" s="46"/>
      <c r="M16" s="46"/>
      <c r="N16" s="48"/>
    </row>
    <row r="17" ht="8.75" customHeight="1" hidden="1">
      <c r="A17" s="39"/>
      <c r="B17" s="40"/>
      <c r="C17" s="41"/>
      <c r="D17" s="42"/>
      <c r="E17" s="42"/>
      <c r="F17" s="42"/>
      <c r="G17" s="43"/>
      <c r="H17" s="43"/>
      <c r="I17" s="43"/>
      <c r="J17" s="43"/>
      <c r="K17" s="42"/>
      <c r="L17" s="43"/>
      <c r="M17" s="43"/>
      <c r="N17" s="49"/>
    </row>
    <row r="18" ht="8.75" customHeight="1" hidden="1">
      <c r="A18" s="39"/>
      <c r="B18" s="40"/>
      <c r="C18" s="45"/>
      <c r="D18" s="46"/>
      <c r="E18" s="46"/>
      <c r="F18" s="46"/>
      <c r="G18" s="47"/>
      <c r="H18" s="50"/>
      <c r="I18" s="50"/>
      <c r="J18" s="50"/>
      <c r="K18" s="46"/>
      <c r="L18" s="46"/>
      <c r="M18" s="46"/>
      <c r="N18" s="48"/>
    </row>
    <row r="19" ht="8.75" customHeight="1" hidden="1">
      <c r="A19" s="39"/>
      <c r="B19" s="40"/>
      <c r="C19" s="41"/>
      <c r="D19" s="42"/>
      <c r="E19" s="42"/>
      <c r="F19" s="42"/>
      <c r="G19" s="43"/>
      <c r="H19" s="43"/>
      <c r="I19" s="43"/>
      <c r="J19" s="43"/>
      <c r="K19" s="42"/>
      <c r="L19" s="43"/>
      <c r="M19" s="43"/>
      <c r="N19" s="49"/>
    </row>
    <row r="20" ht="8.75" customHeight="1" hidden="1">
      <c r="A20" s="39"/>
      <c r="B20" s="40"/>
      <c r="C20" s="45"/>
      <c r="D20" s="46"/>
      <c r="E20" s="46"/>
      <c r="F20" s="46"/>
      <c r="G20" s="47"/>
      <c r="H20" s="46"/>
      <c r="I20" s="46"/>
      <c r="J20" s="46"/>
      <c r="K20" s="46"/>
      <c r="L20" s="46"/>
      <c r="M20" s="46"/>
      <c r="N20" s="48"/>
    </row>
    <row r="21" ht="8.75" customHeight="1" hidden="1">
      <c r="A21" s="39"/>
      <c r="B21" s="40"/>
      <c r="C21" s="41"/>
      <c r="D21" s="42"/>
      <c r="E21" s="42"/>
      <c r="F21" s="42"/>
      <c r="G21" s="43"/>
      <c r="H21" s="42"/>
      <c r="I21" s="42"/>
      <c r="J21" s="42"/>
      <c r="K21" s="42"/>
      <c r="L21" s="42"/>
      <c r="M21" s="42"/>
      <c r="N21" s="44"/>
    </row>
    <row r="22" ht="8.75" customHeight="1" hidden="1">
      <c r="A22" s="51"/>
      <c r="B22" s="40"/>
      <c r="C22" s="45"/>
      <c r="D22" s="46"/>
      <c r="E22" s="46"/>
      <c r="F22" s="46"/>
      <c r="G22" s="47"/>
      <c r="H22" s="46"/>
      <c r="I22" s="46"/>
      <c r="J22" s="46"/>
      <c r="K22" s="46"/>
      <c r="L22" s="46"/>
      <c r="M22" s="46"/>
      <c r="N22" s="48"/>
    </row>
    <row r="23" ht="8.75" customHeight="1" hidden="1">
      <c r="A23" s="51"/>
      <c r="B23" s="40"/>
      <c r="C23" s="41"/>
      <c r="D23" s="42"/>
      <c r="E23" s="42"/>
      <c r="F23" s="42"/>
      <c r="G23" s="43"/>
      <c r="H23" s="42"/>
      <c r="I23" s="42"/>
      <c r="J23" s="42"/>
      <c r="K23" s="42"/>
      <c r="L23" s="42"/>
      <c r="M23" s="42"/>
      <c r="N23" s="44"/>
    </row>
    <row r="24" ht="8.75" customHeight="1" hidden="1">
      <c r="A24" s="39"/>
      <c r="B24" s="40"/>
      <c r="C24" s="45"/>
      <c r="D24" s="46"/>
      <c r="E24" s="46"/>
      <c r="F24" s="46"/>
      <c r="G24" s="47"/>
      <c r="H24" s="46"/>
      <c r="I24" s="46"/>
      <c r="J24" s="46"/>
      <c r="K24" s="46"/>
      <c r="L24" s="47"/>
      <c r="M24" s="47"/>
      <c r="N24" s="52"/>
    </row>
    <row r="25" ht="8.75" customHeight="1" hidden="1">
      <c r="A25" s="39"/>
      <c r="B25" s="40"/>
      <c r="C25" s="41"/>
      <c r="D25" s="42"/>
      <c r="E25" s="42"/>
      <c r="F25" s="42"/>
      <c r="G25" s="43"/>
      <c r="H25" s="42"/>
      <c r="I25" s="42"/>
      <c r="J25" s="42"/>
      <c r="K25" s="42"/>
      <c r="L25" s="42"/>
      <c r="M25" s="42"/>
      <c r="N25" s="44"/>
    </row>
    <row r="26" ht="8.75" customHeight="1" hidden="1">
      <c r="A26" s="39"/>
      <c r="B26" s="40"/>
      <c r="C26" s="45"/>
      <c r="D26" s="46"/>
      <c r="E26" s="46"/>
      <c r="F26" s="46"/>
      <c r="G26" s="47"/>
      <c r="H26" s="46"/>
      <c r="I26" s="46"/>
      <c r="J26" s="46"/>
      <c r="K26" s="46"/>
      <c r="L26" s="47"/>
      <c r="M26" s="47"/>
      <c r="N26" s="52"/>
    </row>
    <row r="27" ht="20.85" customHeight="1">
      <c r="A27" s="108"/>
      <c r="B27" s="54"/>
      <c r="C27" s="54"/>
      <c r="D27" s="55"/>
      <c r="E27" s="55"/>
      <c r="F27" s="55"/>
      <c r="G27" s="56"/>
      <c r="H27" s="56"/>
      <c r="I27" s="54"/>
      <c r="J27" s="57"/>
      <c r="K27" t="s" s="58">
        <v>38</v>
      </c>
      <c r="L27" s="59" cm="1">
        <f t="array" ref="L27">SUM(L1:L26)</f>
        <v>89660870.88</v>
      </c>
      <c r="M27" s="59" cm="1">
        <f t="array" ref="M27">SUM(M1:M26)</f>
        <v>89578473.59999999</v>
      </c>
      <c r="N27" s="59" cm="1">
        <f t="array" ref="N27">SUM(N1:N26)</f>
        <v>89578473.59999999</v>
      </c>
    </row>
    <row r="28" ht="21" customHeight="1">
      <c r="A28" s="63" cm="1">
        <f t="array" ref="A28">ROUND(IF(I28&lt;=100000000,I28*0.24%,IF(AND(I28&gt;100000000,I28&lt;=500000000),100000000*0.24%+(I28-100000000)*0.19%,IF(AND(I28&gt;500000000,I28&lt;=1000000000),100000000*0.24%+400000000*0.19%+(I28-500000000)*0.15%,IF(AND(I28&gt;1000000000,I28&lt;=5000000000),100000000*0.24%+400000000*0.19%+500000000*0.15%+(I28-1000000000)*0.12%,IF(I28&gt;5000000000,100000000*0.24%+400000000*0.19%+500000000*0.15%+4000000000*0.12%+(I28-5000000000)*0.1%,"Bingung komputer"))))),2)</f>
        <v>0</v>
      </c>
      <c r="B28" t="s" s="109">
        <v>39</v>
      </c>
      <c r="C28" s="62"/>
      <c r="D28" s="63" cm="1">
        <f t="array" ref="D28">ROUND(IF(L28&lt;=100000000,L28*0.24%,IF(AND(L28&gt;100000000,L28&lt;=500000000),100000000*0.24%+(L28-100000000)*0.19%,IF(AND(L28&gt;500000000,L28&lt;=1000000000),100000000*0.24%+400000000*0.19%+(L28-500000000)*0.15%,IF(AND(L28&gt;1000000000,L28&lt;=5000000000),100000000*0.24%+400000000*0.19%+500000000*0.15%+(L28-1000000000)*0.12%,IF(L28&gt;5000000000,100000000*0.24%+400000000*0.19%+500000000*0.15%+4000000000*0.12%+(L28-5000000000)*0.1%,"Bingung komputer"))))),2)</f>
        <v>214670.88</v>
      </c>
      <c r="E28" s="64" cm="1">
        <f t="array" ref="E28">ROUND(IF(M28&lt;=100000000,M28*0.24%,IF(AND(M28&gt;100000000,M28&lt;=500000000),100000000*0.24%+(M28-100000000)*0.19%,IF(AND(M28&gt;500000000,M28&lt;=1000000000),100000000*0.24%+400000000*0.19%+(M28-500000000)*0.15%,IF(AND(M28&gt;1000000000,M28&lt;=5000000000),100000000*0.24%+400000000*0.19%+500000000*0.15%+(M28-1000000000)*0.12%,IF(M28&gt;5000000000,100000000*0.24%+400000000*0.19%+500000000*0.15%+4000000000*0.12%+(M28-5000000000)*0.1%,"Bingung komputer"))))),2)</f>
        <v>214473.6</v>
      </c>
      <c r="F28" s="64" cm="1">
        <f t="array" ref="F28">ROUND(IF(N28&lt;=100000000,N28*0.24%,IF(AND(N28&gt;100000000,N28&lt;=500000000),100000000*0.24%+(N28-100000000)*0.19%,IF(AND(N28&gt;500000000,N28&lt;=1000000000),100000000*0.24%+400000000*0.19%+(N28-500000000)*0.15%,IF(AND(N28&gt;1000000000,N28&lt;=5000000000),100000000*0.24%+400000000*0.19%+500000000*0.15%+(N28-1000000000)*0.12%,IF(N28&gt;5000000000,100000000*0.24%+400000000*0.19%+500000000*0.15%+4000000000*0.12%+(N28-5000000000)*0.1%,"Bingung komputer"))))),2)</f>
        <v>214473.6</v>
      </c>
      <c r="G28" s="65"/>
      <c r="H28" s="66"/>
      <c r="I28" s="68"/>
      <c r="J28" s="67"/>
      <c r="K28" t="str" s="67" cm="1">
        <f t="array" ref="K28">"Jumlah Terkena Pajak "&amp;MAX(K3:K26)&amp;"% (B)"</f>
        <v>Jumlah Terkena Pajak 11,00% (B)</v>
      </c>
      <c r="L28" s="68" cm="1">
        <f t="array" ref="L28">SUMIF($K3:$K26,"&gt;0",L3:L26)</f>
        <v>89446200</v>
      </c>
      <c r="M28" s="69" cm="1">
        <f t="array" ref="M28">SUMIF($K3:$K26,"&gt;0",M3:M26)</f>
        <v>89364000</v>
      </c>
      <c r="N28" s="69" cm="1">
        <f t="array" ref="N28">SUMIF($K3:$K26,"&gt;0",N3:N26)</f>
        <v>89364000</v>
      </c>
    </row>
    <row r="29" ht="21" customHeight="1">
      <c r="A29" s="70"/>
      <c r="B29" s="71"/>
      <c r="C29" s="71"/>
      <c r="D29" s="72"/>
      <c r="E29" s="72"/>
      <c r="F29" s="71"/>
      <c r="G29" s="72"/>
      <c r="H29" s="72"/>
      <c r="I29" s="74"/>
      <c r="J29" s="73"/>
      <c r="K29" t="str" s="73" cm="1">
        <f t="array" ref="K29">"PPN (C) = "&amp;MAX(K3:K26)&amp;"% x B"</f>
        <v>PPN (C) = 11,00% x B</v>
      </c>
      <c r="L29" s="74" cm="1">
        <f t="array" ref="L29">L28*MAX($K3:$K26)%</f>
        <v>9839082</v>
      </c>
      <c r="M29" s="69" cm="1">
        <f t="array" ref="M29">M28*MAX($K3:$K26)%</f>
        <v>9830040</v>
      </c>
      <c r="N29" s="69" cm="1">
        <f t="array" ref="N29">N28*MAX($K3:$K26)%</f>
        <v>9830040</v>
      </c>
    </row>
    <row r="30" ht="21" customHeight="1">
      <c r="A30" s="70"/>
      <c r="B30" s="71"/>
      <c r="C30" s="71"/>
      <c r="D30" t="s" s="110">
        <v>116</v>
      </c>
      <c r="E30" s="111">
        <v>99500000</v>
      </c>
      <c r="F30" s="112">
        <v>99285600</v>
      </c>
      <c r="G30" s="72"/>
      <c r="H30" s="72"/>
      <c r="I30" s="71"/>
      <c r="J30" s="73"/>
      <c r="K30" t="s" s="75">
        <v>42</v>
      </c>
      <c r="L30" s="76" cm="1">
        <f t="array" ref="L30">L27+L29</f>
        <v>99499952.88</v>
      </c>
      <c r="M30" s="69" cm="1">
        <f t="array" ref="M30">M27+M29</f>
        <v>99408513.59999999</v>
      </c>
      <c r="N30" s="69" cm="1">
        <f t="array" ref="N30">N27+N29</f>
        <v>99408513.59999999</v>
      </c>
    </row>
    <row r="31" ht="20.5" customHeight="1">
      <c r="A31" s="70"/>
      <c r="B31" s="71"/>
      <c r="C31" s="71"/>
      <c r="D31" s="72"/>
      <c r="E31" s="72" cm="1">
        <f t="array" ref="E31">E$30-L$31</f>
        <v>47.12</v>
      </c>
      <c r="F31" s="113" cm="1">
        <f t="array" ref="F31">ROUNDDOWN(E$30-D$28,2)</f>
        <v>99285329.12</v>
      </c>
      <c r="G31" s="72"/>
      <c r="H31" s="72"/>
      <c r="I31" s="71"/>
      <c r="J31" s="73"/>
      <c r="K31" t="s" s="75">
        <v>43</v>
      </c>
      <c r="L31" s="68" cm="1">
        <f t="array" ref="L31">ROUNDDOWN(L30,2)</f>
        <v>99499952.88</v>
      </c>
      <c r="M31" s="68" cm="1">
        <f t="array" ref="M31">ROUNDDOWN(M30,2)</f>
        <v>99408513.59999999</v>
      </c>
      <c r="N31" s="68" cm="1">
        <f t="array" ref="N31">ROUNDDOWN(N30,-3)</f>
        <v>99408000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67.xml><?xml version="1.0" encoding="utf-8"?>
<worksheet xmlns:r="http://schemas.openxmlformats.org/officeDocument/2006/relationships" xmlns="http://schemas.openxmlformats.org/spreadsheetml/2006/main">
  <sheetPr>
    <pageSetUpPr fitToPage="1"/>
  </sheetPr>
  <dimension ref="A1:N31"/>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183" customWidth="1"/>
    <col min="2" max="2" width="43.0312" style="183" customWidth="1"/>
    <col min="3" max="3" width="2.75" style="183" customWidth="1"/>
    <col min="4" max="6" width="10.3672" style="183" customWidth="1"/>
    <col min="7" max="7" width="11.6875" style="183" customWidth="1"/>
    <col min="8" max="11" width="13.5156" style="183" customWidth="1"/>
    <col min="12" max="14" width="14.2344" style="183" customWidth="1"/>
    <col min="15" max="16384" width="16.3516" style="183"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109</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s="95">
        <v>1</v>
      </c>
      <c r="B4" t="s" s="19">
        <v>110</v>
      </c>
      <c r="C4" s="20"/>
      <c r="D4" s="21">
        <v>1</v>
      </c>
      <c r="E4" s="21" cm="1">
        <f t="array" ref="E4">D4</f>
        <v>1</v>
      </c>
      <c r="F4" s="21" cm="1">
        <f t="array" ref="F4">D4</f>
        <v>1</v>
      </c>
      <c r="G4" t="s" s="22">
        <v>19</v>
      </c>
      <c r="H4" s="21" cm="1">
        <f t="array" ref="H4">ROUNDDOWN((F$30*0.1)*100/111,-2)</f>
        <v>8989500</v>
      </c>
      <c r="I4" s="21">
        <v>9000000</v>
      </c>
      <c r="J4" s="21">
        <v>9000000</v>
      </c>
      <c r="K4" s="21">
        <v>11</v>
      </c>
      <c r="L4" s="21" cm="1">
        <f t="array" ref="L4">IF(D4&gt;0,IF($D4&lt;=0,0,D4*H4),"")</f>
        <v>8989500</v>
      </c>
      <c r="M4" s="21" cm="1">
        <f t="array" ref="M4">IF(E4&gt;0,IF($D4&lt;=0,0,ROUND(E4*I4,2)),"")</f>
        <v>9000000</v>
      </c>
      <c r="N4" s="23" cm="1">
        <f t="array" ref="N4">IF(F4&gt;0,IF($D4&lt;=0,0,ROUND(F4*J4,2)),"")</f>
        <v>9000000</v>
      </c>
    </row>
    <row r="5" ht="20.5" customHeight="1">
      <c r="A5" s="95">
        <v>2</v>
      </c>
      <c r="B5" t="s" s="19">
        <v>111</v>
      </c>
      <c r="C5" s="24"/>
      <c r="D5" s="26">
        <v>1</v>
      </c>
      <c r="E5" s="26" cm="1">
        <f t="array" ref="E5">D5</f>
        <v>1</v>
      </c>
      <c r="F5" s="26" cm="1">
        <f t="array" ref="F5">D5</f>
        <v>1</v>
      </c>
      <c r="G5" t="s" s="27">
        <v>19</v>
      </c>
      <c r="H5" s="26" cm="1">
        <f t="array" ref="H5">ROUNDDOWN((F$30*0.2)*100/111,-2)</f>
        <v>17979100</v>
      </c>
      <c r="I5" s="26">
        <v>17950000</v>
      </c>
      <c r="J5" s="26">
        <v>17950000</v>
      </c>
      <c r="K5" s="26">
        <v>11</v>
      </c>
      <c r="L5" s="26" cm="1">
        <f t="array" ref="L5">IF(D5&gt;0,IF($D5&lt;=0,0,D5*H5),"")</f>
        <v>17979100</v>
      </c>
      <c r="M5" s="26" cm="1">
        <f t="array" ref="M5">IF(E5&gt;0,IF($D5&lt;=0,0,ROUND(E5*I5,2)),"")</f>
        <v>17950000</v>
      </c>
      <c r="N5" s="28" cm="1">
        <f t="array" ref="N5">IF(F5&gt;0,IF($D5&lt;=0,0,ROUND(F5*J5,2)),"")</f>
        <v>17950000</v>
      </c>
    </row>
    <row r="6" ht="20.5" customHeight="1">
      <c r="A6" s="95">
        <v>3</v>
      </c>
      <c r="B6" t="s" s="19">
        <v>112</v>
      </c>
      <c r="C6" s="20"/>
      <c r="D6" s="21">
        <v>1</v>
      </c>
      <c r="E6" s="21" cm="1">
        <f t="array" ref="E6">D6</f>
        <v>1</v>
      </c>
      <c r="F6" s="21" cm="1">
        <f t="array" ref="F6">D6</f>
        <v>1</v>
      </c>
      <c r="G6" t="s" s="22">
        <v>19</v>
      </c>
      <c r="H6" s="21" cm="1">
        <f t="array" ref="H6">ROUNDDOWN((F$30*0.25)*100/111,-2)</f>
        <v>22473900</v>
      </c>
      <c r="I6" s="21">
        <v>22473000</v>
      </c>
      <c r="J6" s="21">
        <v>22473000</v>
      </c>
      <c r="K6" s="21">
        <v>11</v>
      </c>
      <c r="L6" s="21" cm="1">
        <f t="array" ref="L6">IF(D6&gt;0,IF($D6&lt;=0,0,D6*H6),"")</f>
        <v>22473900</v>
      </c>
      <c r="M6" s="21" cm="1">
        <f t="array" ref="M6">IF(E6&gt;0,IF($D6&lt;=0,0,ROUND(E6*I6,2)),"")</f>
        <v>22473000</v>
      </c>
      <c r="N6" s="23" cm="1">
        <f t="array" ref="N6">IF(F6&gt;0,IF($D6&lt;=0,0,ROUND(F6*J6,2)),"")</f>
        <v>22473000</v>
      </c>
    </row>
    <row r="7" ht="68.5" customHeight="1">
      <c r="A7" s="95">
        <v>5</v>
      </c>
      <c r="B7" t="s" s="19">
        <v>113</v>
      </c>
      <c r="C7" s="24"/>
      <c r="D7" s="26">
        <v>1</v>
      </c>
      <c r="E7" s="26" cm="1">
        <f t="array" ref="E7">D7</f>
        <v>1</v>
      </c>
      <c r="F7" s="26" cm="1">
        <f t="array" ref="F7">D7</f>
        <v>1</v>
      </c>
      <c r="G7" t="s" s="27">
        <v>19</v>
      </c>
      <c r="H7" s="26" cm="1">
        <f t="array" ref="H7">ROUNDDOWN((F$30*0.25)*100/111,-2)</f>
        <v>22473900</v>
      </c>
      <c r="I7" s="26">
        <v>22473000</v>
      </c>
      <c r="J7" s="26">
        <v>22473000</v>
      </c>
      <c r="K7" s="26">
        <v>11</v>
      </c>
      <c r="L7" s="26" cm="1">
        <f t="array" ref="L7">IF(D7&gt;0,IF($D7&lt;=0,0,D7*H7),"")</f>
        <v>22473900</v>
      </c>
      <c r="M7" s="26" cm="1">
        <f t="array" ref="M7">IF(E7&gt;0,IF($D7&lt;=0,0,ROUND(E7*I7,2)),"")</f>
        <v>22473000</v>
      </c>
      <c r="N7" s="28" cm="1">
        <f t="array" ref="N7">IF(F7&gt;0,IF($D7&lt;=0,0,ROUND(F7*J7,2)),"")</f>
        <v>22473000</v>
      </c>
    </row>
    <row r="8" ht="32.5" customHeight="1">
      <c r="A8" s="95">
        <v>6</v>
      </c>
      <c r="B8" t="s" s="19">
        <v>114</v>
      </c>
      <c r="C8" s="20"/>
      <c r="D8" s="21">
        <v>1</v>
      </c>
      <c r="E8" s="21" cm="1">
        <f t="array" ref="E8">D8</f>
        <v>1</v>
      </c>
      <c r="F8" s="21" cm="1">
        <f t="array" ref="F8">D8</f>
        <v>1</v>
      </c>
      <c r="G8" t="s" s="22">
        <v>19</v>
      </c>
      <c r="H8" s="21" cm="1">
        <f t="array" ref="H8">ROUNDDOWN((F$30*0.05)*100/111,-2)</f>
        <v>4494700</v>
      </c>
      <c r="I8" s="21">
        <v>4420000</v>
      </c>
      <c r="J8" s="21">
        <v>4420000</v>
      </c>
      <c r="K8" s="21">
        <v>11</v>
      </c>
      <c r="L8" s="21" cm="1">
        <f t="array" ref="L8">IF(D8&gt;0,IF($D8&lt;=0,0,D8*H8),"")</f>
        <v>4494700</v>
      </c>
      <c r="M8" s="21" cm="1">
        <f t="array" ref="M8">IF(E8&gt;0,IF($D8&lt;=0,0,ROUND(E8*I8,2)),"")</f>
        <v>4420000</v>
      </c>
      <c r="N8" s="23" cm="1">
        <f t="array" ref="N8">IF(F8&gt;0,IF($D8&lt;=0,0,ROUND(F8*J8,2)),"")</f>
        <v>4420000</v>
      </c>
    </row>
    <row r="9" ht="20.5" customHeight="1">
      <c r="A9" s="95">
        <v>7</v>
      </c>
      <c r="B9" t="s" s="19">
        <v>115</v>
      </c>
      <c r="C9" s="24"/>
      <c r="D9" s="26">
        <v>1</v>
      </c>
      <c r="E9" s="26" cm="1">
        <f t="array" ref="E9">D9</f>
        <v>1</v>
      </c>
      <c r="F9" s="26" cm="1">
        <f t="array" ref="F9">D9</f>
        <v>1</v>
      </c>
      <c r="G9" t="s" s="27">
        <v>19</v>
      </c>
      <c r="H9" s="26" cm="1">
        <f t="array" ref="H9">ROUNDDOWN((F$30*0.15)*100/111,-2)</f>
        <v>13484300</v>
      </c>
      <c r="I9" s="26">
        <v>13484000</v>
      </c>
      <c r="J9" s="26">
        <v>13484000</v>
      </c>
      <c r="K9" s="26">
        <v>11</v>
      </c>
      <c r="L9" s="26" cm="1">
        <f t="array" ref="L9">IF(D9&gt;0,IF($D9&lt;=0,0,D9*H9),"")</f>
        <v>13484300</v>
      </c>
      <c r="M9" s="26" cm="1">
        <f t="array" ref="M9">IF(E9&gt;0,IF($D9&lt;=0,0,ROUND(E9*I9,2)),"")</f>
        <v>13484000</v>
      </c>
      <c r="N9" s="28" cm="1">
        <f t="array" ref="N9">IF(F9&gt;0,IF($D9&lt;=0,0,ROUND(F9*J9,2)),"")</f>
        <v>13484000</v>
      </c>
    </row>
    <row r="10" ht="20.6" customHeight="1">
      <c r="A10" s="33">
        <v>8</v>
      </c>
      <c r="B10" t="s" s="34">
        <v>37</v>
      </c>
      <c r="C10" s="35"/>
      <c r="D10" s="36">
        <v>1</v>
      </c>
      <c r="E10" s="36" cm="1">
        <f t="array" ref="E10">D10</f>
        <v>1</v>
      </c>
      <c r="F10" s="36" cm="1">
        <f t="array" ref="F10">D10</f>
        <v>1</v>
      </c>
      <c r="G10" t="s" s="37">
        <v>19</v>
      </c>
      <c r="H10" s="36">
        <v>215748.96</v>
      </c>
      <c r="I10" s="36">
        <v>215520</v>
      </c>
      <c r="J10" s="36">
        <v>215520</v>
      </c>
      <c r="K10" s="36">
        <v>0</v>
      </c>
      <c r="L10" s="36" cm="1">
        <f t="array" ref="L10">IF(D10&gt;0,IF($D10&lt;=0,0,D10*H10),"")</f>
        <v>215748.96</v>
      </c>
      <c r="M10" s="36" cm="1">
        <f t="array" ref="M10">IF(E10&gt;0,IF($D10&lt;=0,0,ROUND(E10*I10,2)),"")</f>
        <v>215520</v>
      </c>
      <c r="N10" s="38" cm="1">
        <f t="array" ref="N10">IF(F10&gt;0,IF($D10&lt;=0,0,ROUND(F10*J10,2)),"")</f>
        <v>215520</v>
      </c>
    </row>
    <row r="11" ht="8.75" customHeight="1" hidden="1">
      <c r="A11" s="39"/>
      <c r="B11" s="40"/>
      <c r="C11" s="41"/>
      <c r="D11" s="42"/>
      <c r="E11" s="42"/>
      <c r="F11" s="42"/>
      <c r="G11" s="43"/>
      <c r="H11" s="42"/>
      <c r="I11" s="42"/>
      <c r="J11" s="42"/>
      <c r="K11" s="42"/>
      <c r="L11" s="42"/>
      <c r="M11" s="42"/>
      <c r="N11" s="44"/>
    </row>
    <row r="12" ht="8.75" customHeight="1" hidden="1">
      <c r="A12" s="39"/>
      <c r="B12" s="40"/>
      <c r="C12" s="45"/>
      <c r="D12" s="46"/>
      <c r="E12" s="46"/>
      <c r="F12" s="46"/>
      <c r="G12" s="47"/>
      <c r="H12" s="46"/>
      <c r="I12" s="46"/>
      <c r="J12" s="46"/>
      <c r="K12" s="46"/>
      <c r="L12" s="46"/>
      <c r="M12" s="46"/>
      <c r="N12" s="48"/>
    </row>
    <row r="13" ht="8.75" customHeight="1" hidden="1">
      <c r="A13" s="39"/>
      <c r="B13" s="40"/>
      <c r="C13" s="41"/>
      <c r="D13" s="42"/>
      <c r="E13" s="42"/>
      <c r="F13" s="42"/>
      <c r="G13" s="43"/>
      <c r="H13" s="42"/>
      <c r="I13" s="42"/>
      <c r="J13" s="42"/>
      <c r="K13" s="42"/>
      <c r="L13" s="42"/>
      <c r="M13" s="42"/>
      <c r="N13" s="44"/>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2"/>
      <c r="I15" s="42"/>
      <c r="J15" s="42"/>
      <c r="K15" s="42"/>
      <c r="L15" s="42"/>
      <c r="M15" s="42"/>
      <c r="N15" s="44"/>
    </row>
    <row r="16" ht="8.75" customHeight="1" hidden="1">
      <c r="A16" s="39"/>
      <c r="B16" s="40"/>
      <c r="C16" s="45"/>
      <c r="D16" s="46"/>
      <c r="E16" s="46"/>
      <c r="F16" s="46"/>
      <c r="G16" s="47"/>
      <c r="H16" s="46"/>
      <c r="I16" s="46"/>
      <c r="J16" s="46"/>
      <c r="K16" s="46"/>
      <c r="L16" s="46"/>
      <c r="M16" s="46"/>
      <c r="N16" s="48"/>
    </row>
    <row r="17" ht="8.75" customHeight="1" hidden="1">
      <c r="A17" s="39"/>
      <c r="B17" s="40"/>
      <c r="C17" s="41"/>
      <c r="D17" s="42"/>
      <c r="E17" s="42"/>
      <c r="F17" s="42"/>
      <c r="G17" s="43"/>
      <c r="H17" s="43"/>
      <c r="I17" s="43"/>
      <c r="J17" s="43"/>
      <c r="K17" s="42"/>
      <c r="L17" s="43"/>
      <c r="M17" s="43"/>
      <c r="N17" s="49"/>
    </row>
    <row r="18" ht="8.75" customHeight="1" hidden="1">
      <c r="A18" s="39"/>
      <c r="B18" s="40"/>
      <c r="C18" s="45"/>
      <c r="D18" s="46"/>
      <c r="E18" s="46"/>
      <c r="F18" s="46"/>
      <c r="G18" s="47"/>
      <c r="H18" s="50"/>
      <c r="I18" s="50"/>
      <c r="J18" s="50"/>
      <c r="K18" s="46"/>
      <c r="L18" s="46"/>
      <c r="M18" s="46"/>
      <c r="N18" s="48"/>
    </row>
    <row r="19" ht="8.75" customHeight="1" hidden="1">
      <c r="A19" s="39"/>
      <c r="B19" s="40"/>
      <c r="C19" s="41"/>
      <c r="D19" s="42"/>
      <c r="E19" s="42"/>
      <c r="F19" s="42"/>
      <c r="G19" s="43"/>
      <c r="H19" s="43"/>
      <c r="I19" s="43"/>
      <c r="J19" s="43"/>
      <c r="K19" s="42"/>
      <c r="L19" s="43"/>
      <c r="M19" s="43"/>
      <c r="N19" s="49"/>
    </row>
    <row r="20" ht="8.75" customHeight="1" hidden="1">
      <c r="A20" s="39"/>
      <c r="B20" s="40"/>
      <c r="C20" s="45"/>
      <c r="D20" s="46"/>
      <c r="E20" s="46"/>
      <c r="F20" s="46"/>
      <c r="G20" s="47"/>
      <c r="H20" s="46"/>
      <c r="I20" s="46"/>
      <c r="J20" s="46"/>
      <c r="K20" s="46"/>
      <c r="L20" s="46"/>
      <c r="M20" s="46"/>
      <c r="N20" s="48"/>
    </row>
    <row r="21" ht="8.75" customHeight="1" hidden="1">
      <c r="A21" s="39"/>
      <c r="B21" s="40"/>
      <c r="C21" s="41"/>
      <c r="D21" s="42"/>
      <c r="E21" s="42"/>
      <c r="F21" s="42"/>
      <c r="G21" s="43"/>
      <c r="H21" s="42"/>
      <c r="I21" s="42"/>
      <c r="J21" s="42"/>
      <c r="K21" s="42"/>
      <c r="L21" s="42"/>
      <c r="M21" s="42"/>
      <c r="N21" s="44"/>
    </row>
    <row r="22" ht="8.75" customHeight="1" hidden="1">
      <c r="A22" s="51"/>
      <c r="B22" s="40"/>
      <c r="C22" s="45"/>
      <c r="D22" s="46"/>
      <c r="E22" s="46"/>
      <c r="F22" s="46"/>
      <c r="G22" s="47"/>
      <c r="H22" s="46"/>
      <c r="I22" s="46"/>
      <c r="J22" s="46"/>
      <c r="K22" s="46"/>
      <c r="L22" s="46"/>
      <c r="M22" s="46"/>
      <c r="N22" s="48"/>
    </row>
    <row r="23" ht="8.75" customHeight="1" hidden="1">
      <c r="A23" s="51"/>
      <c r="B23" s="40"/>
      <c r="C23" s="41"/>
      <c r="D23" s="42"/>
      <c r="E23" s="42"/>
      <c r="F23" s="42"/>
      <c r="G23" s="43"/>
      <c r="H23" s="42"/>
      <c r="I23" s="42"/>
      <c r="J23" s="42"/>
      <c r="K23" s="42"/>
      <c r="L23" s="42"/>
      <c r="M23" s="42"/>
      <c r="N23" s="44"/>
    </row>
    <row r="24" ht="8.75" customHeight="1" hidden="1">
      <c r="A24" s="39"/>
      <c r="B24" s="40"/>
      <c r="C24" s="45"/>
      <c r="D24" s="46"/>
      <c r="E24" s="46"/>
      <c r="F24" s="46"/>
      <c r="G24" s="47"/>
      <c r="H24" s="46"/>
      <c r="I24" s="46"/>
      <c r="J24" s="46"/>
      <c r="K24" s="46"/>
      <c r="L24" s="47"/>
      <c r="M24" s="47"/>
      <c r="N24" s="52"/>
    </row>
    <row r="25" ht="8.75" customHeight="1" hidden="1">
      <c r="A25" s="39"/>
      <c r="B25" s="40"/>
      <c r="C25" s="41"/>
      <c r="D25" s="42"/>
      <c r="E25" s="42"/>
      <c r="F25" s="42"/>
      <c r="G25" s="43"/>
      <c r="H25" s="42"/>
      <c r="I25" s="42"/>
      <c r="J25" s="42"/>
      <c r="K25" s="42"/>
      <c r="L25" s="42"/>
      <c r="M25" s="42"/>
      <c r="N25" s="44"/>
    </row>
    <row r="26" ht="8.75" customHeight="1" hidden="1">
      <c r="A26" s="39"/>
      <c r="B26" s="40"/>
      <c r="C26" s="45"/>
      <c r="D26" s="46"/>
      <c r="E26" s="46"/>
      <c r="F26" s="46"/>
      <c r="G26" s="47"/>
      <c r="H26" s="46"/>
      <c r="I26" s="46"/>
      <c r="J26" s="46"/>
      <c r="K26" s="46"/>
      <c r="L26" s="47"/>
      <c r="M26" s="47"/>
      <c r="N26" s="52"/>
    </row>
    <row r="27" ht="20.85" customHeight="1">
      <c r="A27" s="108"/>
      <c r="B27" s="54"/>
      <c r="C27" s="54"/>
      <c r="D27" s="55"/>
      <c r="E27" s="55"/>
      <c r="F27" s="55"/>
      <c r="G27" s="56"/>
      <c r="H27" s="56"/>
      <c r="I27" s="54"/>
      <c r="J27" s="57"/>
      <c r="K27" t="s" s="58">
        <v>38</v>
      </c>
      <c r="L27" s="59" cm="1">
        <f t="array" ref="L27">SUM(L1:L26)</f>
        <v>90111148.95999999</v>
      </c>
      <c r="M27" s="59" cm="1">
        <f t="array" ref="M27">SUM(M1:M26)</f>
        <v>90015520</v>
      </c>
      <c r="N27" s="59" cm="1">
        <f t="array" ref="N27">SUM(N1:N26)</f>
        <v>90015520</v>
      </c>
    </row>
    <row r="28" ht="21" customHeight="1">
      <c r="A28" s="63" cm="1">
        <f t="array" ref="A28">ROUND(IF(I28&lt;=100000000,I28*0.24%,IF(AND(I28&gt;100000000,I28&lt;=500000000),100000000*0.24%+(I28-100000000)*0.19%,IF(AND(I28&gt;500000000,I28&lt;=1000000000),100000000*0.24%+400000000*0.19%+(I28-500000000)*0.15%,IF(AND(I28&gt;1000000000,I28&lt;=5000000000),100000000*0.24%+400000000*0.19%+500000000*0.15%+(I28-1000000000)*0.12%,IF(I28&gt;5000000000,100000000*0.24%+400000000*0.19%+500000000*0.15%+4000000000*0.12%+(I28-5000000000)*0.1%,"Bingung komputer"))))),2)</f>
        <v>0</v>
      </c>
      <c r="B28" t="s" s="109">
        <v>39</v>
      </c>
      <c r="C28" s="62"/>
      <c r="D28" s="63" cm="1">
        <f t="array" ref="D28">ROUND(IF(L28&lt;=100000000,L28*0.24%,IF(AND(L28&gt;100000000,L28&lt;=500000000),100000000*0.24%+(L28-100000000)*0.19%,IF(AND(L28&gt;500000000,L28&lt;=1000000000),100000000*0.24%+400000000*0.19%+(L28-500000000)*0.15%,IF(AND(L28&gt;1000000000,L28&lt;=5000000000),100000000*0.24%+400000000*0.19%+500000000*0.15%+(L28-1000000000)*0.12%,IF(L28&gt;5000000000,100000000*0.24%+400000000*0.19%+500000000*0.15%+4000000000*0.12%+(L28-5000000000)*0.1%,"Bingung komputer"))))),2)</f>
        <v>215748.96</v>
      </c>
      <c r="E28" s="64" cm="1">
        <f t="array" ref="E28">ROUND(IF(M28&lt;=100000000,M28*0.24%,IF(AND(M28&gt;100000000,M28&lt;=500000000),100000000*0.24%+(M28-100000000)*0.19%,IF(AND(M28&gt;500000000,M28&lt;=1000000000),100000000*0.24%+400000000*0.19%+(M28-500000000)*0.15%,IF(AND(M28&gt;1000000000,M28&lt;=5000000000),100000000*0.24%+400000000*0.19%+500000000*0.15%+(M28-1000000000)*0.12%,IF(M28&gt;5000000000,100000000*0.24%+400000000*0.19%+500000000*0.15%+4000000000*0.12%+(M28-5000000000)*0.1%,"Bingung komputer"))))),2)</f>
        <v>215520</v>
      </c>
      <c r="F28" s="64" cm="1">
        <f t="array" ref="F28">ROUND(IF(N28&lt;=100000000,N28*0.24%,IF(AND(N28&gt;100000000,N28&lt;=500000000),100000000*0.24%+(N28-100000000)*0.19%,IF(AND(N28&gt;500000000,N28&lt;=1000000000),100000000*0.24%+400000000*0.19%+(N28-500000000)*0.15%,IF(AND(N28&gt;1000000000,N28&lt;=5000000000),100000000*0.24%+400000000*0.19%+500000000*0.15%+(N28-1000000000)*0.12%,IF(N28&gt;5000000000,100000000*0.24%+400000000*0.19%+500000000*0.15%+4000000000*0.12%+(N28-5000000000)*0.1%,"Bingung komputer"))))),2)</f>
        <v>215520</v>
      </c>
      <c r="G28" s="65"/>
      <c r="H28" s="66"/>
      <c r="I28" s="68"/>
      <c r="J28" s="67"/>
      <c r="K28" t="str" s="67" cm="1">
        <f t="array" ref="K28">"Jumlah Terkena Pajak "&amp;MAX(K3:K26)&amp;"% (B)"</f>
        <v>Jumlah Terkena Pajak 11,00% (B)</v>
      </c>
      <c r="L28" s="68" cm="1">
        <f t="array" ref="L28">SUMIF($K3:$K26,"&gt;0",L3:L26)</f>
        <v>89895400</v>
      </c>
      <c r="M28" s="69" cm="1">
        <f t="array" ref="M28">SUMIF($K3:$K26,"&gt;0",M3:M26)</f>
        <v>89800000</v>
      </c>
      <c r="N28" s="69" cm="1">
        <f t="array" ref="N28">SUMIF($K3:$K26,"&gt;0",N3:N26)</f>
        <v>89800000</v>
      </c>
    </row>
    <row r="29" ht="21" customHeight="1">
      <c r="A29" s="70"/>
      <c r="B29" s="71"/>
      <c r="C29" s="71"/>
      <c r="D29" s="72"/>
      <c r="E29" s="72"/>
      <c r="F29" s="71"/>
      <c r="G29" s="72"/>
      <c r="H29" s="72"/>
      <c r="I29" s="74"/>
      <c r="J29" s="73"/>
      <c r="K29" t="str" s="73" cm="1">
        <f t="array" ref="K29">"PPN (C) = "&amp;MAX(K3:K26)&amp;"% x B"</f>
        <v>PPN (C) = 11,00% x B</v>
      </c>
      <c r="L29" s="74" cm="1">
        <f t="array" ref="L29">L28*MAX($K3:$K26)%</f>
        <v>9888494</v>
      </c>
      <c r="M29" s="69" cm="1">
        <f t="array" ref="M29">M28*MAX($K3:$K26)%</f>
        <v>9878000</v>
      </c>
      <c r="N29" s="69" cm="1">
        <f t="array" ref="N29">N28*MAX($K3:$K26)%</f>
        <v>9878000</v>
      </c>
    </row>
    <row r="30" ht="21" customHeight="1">
      <c r="A30" s="70"/>
      <c r="B30" s="71"/>
      <c r="C30" s="71"/>
      <c r="D30" t="s" s="110">
        <v>116</v>
      </c>
      <c r="E30" s="111">
        <v>100000000</v>
      </c>
      <c r="F30" s="112">
        <v>99784550</v>
      </c>
      <c r="G30" s="72"/>
      <c r="H30" s="72"/>
      <c r="I30" s="71"/>
      <c r="J30" s="73"/>
      <c r="K30" t="s" s="75">
        <v>42</v>
      </c>
      <c r="L30" s="76" cm="1">
        <f t="array" ref="L30">L27+L29</f>
        <v>99999642.95999999</v>
      </c>
      <c r="M30" s="69" cm="1">
        <f t="array" ref="M30">M27+M29</f>
        <v>99893520</v>
      </c>
      <c r="N30" s="69" cm="1">
        <f t="array" ref="N30">N27+N29</f>
        <v>99893520</v>
      </c>
    </row>
    <row r="31" ht="20.5" customHeight="1">
      <c r="A31" s="70"/>
      <c r="B31" s="71"/>
      <c r="C31" s="71"/>
      <c r="D31" s="72"/>
      <c r="E31" s="72" cm="1">
        <f t="array" ref="E31">E$30-L$31</f>
        <v>357.04</v>
      </c>
      <c r="F31" s="113" cm="1">
        <f t="array" ref="F31">ROUNDDOWN(E$30-D$28,2)</f>
        <v>99784251.04000001</v>
      </c>
      <c r="G31" s="72"/>
      <c r="H31" s="72"/>
      <c r="I31" s="71"/>
      <c r="J31" s="73"/>
      <c r="K31" t="s" s="75">
        <v>43</v>
      </c>
      <c r="L31" s="68" cm="1">
        <f t="array" ref="L31">ROUNDDOWN(L30,2)</f>
        <v>99999642.95999999</v>
      </c>
      <c r="M31" s="68" cm="1">
        <f t="array" ref="M31">ROUNDDOWN(M30,2)</f>
        <v>99893520</v>
      </c>
      <c r="N31" s="68" cm="1">
        <f t="array" ref="N31">ROUNDDOWN(N30,-3)</f>
        <v>99893000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68.xml><?xml version="1.0" encoding="utf-8"?>
<worksheet xmlns:r="http://schemas.openxmlformats.org/officeDocument/2006/relationships" xmlns="http://schemas.openxmlformats.org/spreadsheetml/2006/main">
  <sheetPr>
    <pageSetUpPr fitToPage="1"/>
  </sheetPr>
  <dimension ref="A1:N31"/>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184" customWidth="1"/>
    <col min="2" max="2" width="43.0312" style="184" customWidth="1"/>
    <col min="3" max="3" width="2.75" style="184" customWidth="1"/>
    <col min="4" max="6" width="10.3672" style="184" customWidth="1"/>
    <col min="7" max="7" width="11.6875" style="184" customWidth="1"/>
    <col min="8" max="11" width="13.5156" style="184" customWidth="1"/>
    <col min="12" max="14" width="14.2344" style="184" customWidth="1"/>
    <col min="15" max="16384" width="16.3516" style="184"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109</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s="95">
        <v>1</v>
      </c>
      <c r="B4" t="s" s="19">
        <v>110</v>
      </c>
      <c r="C4" s="20"/>
      <c r="D4" s="21">
        <v>1</v>
      </c>
      <c r="E4" s="21" cm="1">
        <f t="array" ref="E4">D4</f>
        <v>1</v>
      </c>
      <c r="F4" s="21" cm="1">
        <f t="array" ref="F4">D4</f>
        <v>1</v>
      </c>
      <c r="G4" t="s" s="22">
        <v>19</v>
      </c>
      <c r="H4" s="21" cm="1">
        <f t="array" ref="H4">ROUNDDOWN((F$30*0.1)*100/111,-2)</f>
        <v>7641100</v>
      </c>
      <c r="I4" s="21">
        <v>7641100</v>
      </c>
      <c r="J4" s="21">
        <v>7641100</v>
      </c>
      <c r="K4" s="21">
        <v>11</v>
      </c>
      <c r="L4" s="21" cm="1">
        <f t="array" ref="L4">IF(D4&gt;0,IF($D4&lt;=0,0,D4*H4),"")</f>
        <v>7641100</v>
      </c>
      <c r="M4" s="21" cm="1">
        <f t="array" ref="M4">IF(E4&gt;0,IF($D4&lt;=0,0,ROUND(E4*I4,2)),"")</f>
        <v>7641100</v>
      </c>
      <c r="N4" s="23" cm="1">
        <f t="array" ref="N4">IF(F4&gt;0,IF($D4&lt;=0,0,ROUND(F4*J4,2)),"")</f>
        <v>7641100</v>
      </c>
    </row>
    <row r="5" ht="20.5" customHeight="1">
      <c r="A5" s="95">
        <v>2</v>
      </c>
      <c r="B5" t="s" s="19">
        <v>111</v>
      </c>
      <c r="C5" s="24"/>
      <c r="D5" s="26">
        <v>1</v>
      </c>
      <c r="E5" s="26" cm="1">
        <f t="array" ref="E5">D5</f>
        <v>1</v>
      </c>
      <c r="F5" s="26" cm="1">
        <f t="array" ref="F5">D5</f>
        <v>1</v>
      </c>
      <c r="G5" t="s" s="27">
        <v>19</v>
      </c>
      <c r="H5" s="26" cm="1">
        <f t="array" ref="H5">ROUNDDOWN((F$30*0.2)*100/111,-2)</f>
        <v>15282300</v>
      </c>
      <c r="I5" s="26">
        <v>15282300</v>
      </c>
      <c r="J5" s="26">
        <v>15282300</v>
      </c>
      <c r="K5" s="26">
        <v>11</v>
      </c>
      <c r="L5" s="26" cm="1">
        <f t="array" ref="L5">IF(D5&gt;0,IF($D5&lt;=0,0,D5*H5),"")</f>
        <v>15282300</v>
      </c>
      <c r="M5" s="26" cm="1">
        <f t="array" ref="M5">IF(E5&gt;0,IF($D5&lt;=0,0,ROUND(E5*I5,2)),"")</f>
        <v>15282300</v>
      </c>
      <c r="N5" s="28" cm="1">
        <f t="array" ref="N5">IF(F5&gt;0,IF($D5&lt;=0,0,ROUND(F5*J5,2)),"")</f>
        <v>15282300</v>
      </c>
    </row>
    <row r="6" ht="20.5" customHeight="1">
      <c r="A6" s="95">
        <v>3</v>
      </c>
      <c r="B6" t="s" s="19">
        <v>112</v>
      </c>
      <c r="C6" s="20"/>
      <c r="D6" s="21">
        <v>1</v>
      </c>
      <c r="E6" s="21" cm="1">
        <f t="array" ref="E6">D6</f>
        <v>1</v>
      </c>
      <c r="F6" s="21" cm="1">
        <f t="array" ref="F6">D6</f>
        <v>1</v>
      </c>
      <c r="G6" t="s" s="22">
        <v>19</v>
      </c>
      <c r="H6" s="21" cm="1">
        <f t="array" ref="H6">ROUNDDOWN((F$30*0.25)*100/111,-2)</f>
        <v>19102800</v>
      </c>
      <c r="I6" s="21">
        <v>19102800</v>
      </c>
      <c r="J6" s="21">
        <v>19102800</v>
      </c>
      <c r="K6" s="21">
        <v>11</v>
      </c>
      <c r="L6" s="21" cm="1">
        <f t="array" ref="L6">IF(D6&gt;0,IF($D6&lt;=0,0,D6*H6),"")</f>
        <v>19102800</v>
      </c>
      <c r="M6" s="21" cm="1">
        <f t="array" ref="M6">IF(E6&gt;0,IF($D6&lt;=0,0,ROUND(E6*I6,2)),"")</f>
        <v>19102800</v>
      </c>
      <c r="N6" s="23" cm="1">
        <f t="array" ref="N6">IF(F6&gt;0,IF($D6&lt;=0,0,ROUND(F6*J6,2)),"")</f>
        <v>19102800</v>
      </c>
    </row>
    <row r="7" ht="68.5" customHeight="1">
      <c r="A7" s="95">
        <v>5</v>
      </c>
      <c r="B7" t="s" s="19">
        <v>113</v>
      </c>
      <c r="C7" s="24"/>
      <c r="D7" s="26">
        <v>1</v>
      </c>
      <c r="E7" s="26" cm="1">
        <f t="array" ref="E7">D7</f>
        <v>1</v>
      </c>
      <c r="F7" s="26" cm="1">
        <f t="array" ref="F7">D7</f>
        <v>1</v>
      </c>
      <c r="G7" t="s" s="27">
        <v>19</v>
      </c>
      <c r="H7" s="26" cm="1">
        <f t="array" ref="H7">ROUNDDOWN((F$30*0.25)*100/111,-2)</f>
        <v>19102800</v>
      </c>
      <c r="I7" s="26">
        <v>19102800</v>
      </c>
      <c r="J7" s="26">
        <v>19102800</v>
      </c>
      <c r="K7" s="26">
        <v>11</v>
      </c>
      <c r="L7" s="26" cm="1">
        <f t="array" ref="L7">IF(D7&gt;0,IF($D7&lt;=0,0,D7*H7),"")</f>
        <v>19102800</v>
      </c>
      <c r="M7" s="26" cm="1">
        <f t="array" ref="M7">IF(E7&gt;0,IF($D7&lt;=0,0,ROUND(E7*I7,2)),"")</f>
        <v>19102800</v>
      </c>
      <c r="N7" s="28" cm="1">
        <f t="array" ref="N7">IF(F7&gt;0,IF($D7&lt;=0,0,ROUND(F7*J7,2)),"")</f>
        <v>19102800</v>
      </c>
    </row>
    <row r="8" ht="32.5" customHeight="1">
      <c r="A8" s="95">
        <v>6</v>
      </c>
      <c r="B8" t="s" s="19">
        <v>114</v>
      </c>
      <c r="C8" s="20"/>
      <c r="D8" s="21">
        <v>1</v>
      </c>
      <c r="E8" s="21" cm="1">
        <f t="array" ref="E8">D8</f>
        <v>1</v>
      </c>
      <c r="F8" s="21" cm="1">
        <f t="array" ref="F8">D8</f>
        <v>1</v>
      </c>
      <c r="G8" t="s" s="22">
        <v>19</v>
      </c>
      <c r="H8" s="21" cm="1">
        <f t="array" ref="H8">ROUNDDOWN((F$30*0.05)*100/111,-2)</f>
        <v>3820500</v>
      </c>
      <c r="I8" s="21">
        <v>3820500</v>
      </c>
      <c r="J8" s="21">
        <v>3820500</v>
      </c>
      <c r="K8" s="21">
        <v>11</v>
      </c>
      <c r="L8" s="21" cm="1">
        <f t="array" ref="L8">IF(D8&gt;0,IF($D8&lt;=0,0,D8*H8),"")</f>
        <v>3820500</v>
      </c>
      <c r="M8" s="21" cm="1">
        <f t="array" ref="M8">IF(E8&gt;0,IF($D8&lt;=0,0,ROUND(E8*I8,2)),"")</f>
        <v>3820500</v>
      </c>
      <c r="N8" s="23" cm="1">
        <f t="array" ref="N8">IF(F8&gt;0,IF($D8&lt;=0,0,ROUND(F8*J8,2)),"")</f>
        <v>3820500</v>
      </c>
    </row>
    <row r="9" ht="20.5" customHeight="1">
      <c r="A9" s="95">
        <v>7</v>
      </c>
      <c r="B9" t="s" s="19">
        <v>115</v>
      </c>
      <c r="C9" s="24"/>
      <c r="D9" s="26">
        <v>1</v>
      </c>
      <c r="E9" s="26" cm="1">
        <f t="array" ref="E9">D9</f>
        <v>1</v>
      </c>
      <c r="F9" s="26" cm="1">
        <f t="array" ref="F9">D9</f>
        <v>1</v>
      </c>
      <c r="G9" t="s" s="27">
        <v>19</v>
      </c>
      <c r="H9" s="26" cm="1">
        <f t="array" ref="H9">ROUNDDOWN((F$30*0.15)*100/111,-2)</f>
        <v>11461700</v>
      </c>
      <c r="I9" s="26">
        <v>11461700</v>
      </c>
      <c r="J9" s="26">
        <v>11461700</v>
      </c>
      <c r="K9" s="26">
        <v>11</v>
      </c>
      <c r="L9" s="26" cm="1">
        <f t="array" ref="L9">IF(D9&gt;0,IF($D9&lt;=0,0,D9*H9),"")</f>
        <v>11461700</v>
      </c>
      <c r="M9" s="26" cm="1">
        <f t="array" ref="M9">IF(E9&gt;0,IF($D9&lt;=0,0,ROUND(E9*I9,2)),"")</f>
        <v>11461700</v>
      </c>
      <c r="N9" s="28" cm="1">
        <f t="array" ref="N9">IF(F9&gt;0,IF($D9&lt;=0,0,ROUND(F9*J9,2)),"")</f>
        <v>11461700</v>
      </c>
    </row>
    <row r="10" ht="20.6" customHeight="1">
      <c r="A10" s="33">
        <v>8</v>
      </c>
      <c r="B10" t="s" s="34">
        <v>37</v>
      </c>
      <c r="C10" s="35"/>
      <c r="D10" s="36">
        <v>1</v>
      </c>
      <c r="E10" s="36" cm="1">
        <f t="array" ref="E10">D10</f>
        <v>1</v>
      </c>
      <c r="F10" s="36" cm="1">
        <f t="array" ref="F10">D10</f>
        <v>1</v>
      </c>
      <c r="G10" t="s" s="37">
        <v>19</v>
      </c>
      <c r="H10" s="36">
        <v>183386.88</v>
      </c>
      <c r="I10" s="36">
        <v>183380</v>
      </c>
      <c r="J10" s="36">
        <v>183380</v>
      </c>
      <c r="K10" s="36">
        <v>0</v>
      </c>
      <c r="L10" s="36" cm="1">
        <f t="array" ref="L10">IF(D10&gt;0,IF($D10&lt;=0,0,D10*H10),"")</f>
        <v>183386.88</v>
      </c>
      <c r="M10" s="36" cm="1">
        <f t="array" ref="M10">IF(E10&gt;0,IF($D10&lt;=0,0,ROUND(E10*I10,2)),"")</f>
        <v>183380</v>
      </c>
      <c r="N10" s="38" cm="1">
        <f t="array" ref="N10">IF(F10&gt;0,IF($D10&lt;=0,0,ROUND(F10*J10,2)),"")</f>
        <v>183380</v>
      </c>
    </row>
    <row r="11" ht="8.75" customHeight="1" hidden="1">
      <c r="A11" s="39"/>
      <c r="B11" s="40"/>
      <c r="C11" s="41"/>
      <c r="D11" s="42"/>
      <c r="E11" s="42"/>
      <c r="F11" s="42"/>
      <c r="G11" s="43"/>
      <c r="H11" s="42"/>
      <c r="I11" s="42"/>
      <c r="J11" s="42"/>
      <c r="K11" s="42"/>
      <c r="L11" s="42"/>
      <c r="M11" s="42"/>
      <c r="N11" s="44"/>
    </row>
    <row r="12" ht="8.75" customHeight="1" hidden="1">
      <c r="A12" s="39"/>
      <c r="B12" s="40"/>
      <c r="C12" s="45"/>
      <c r="D12" s="46"/>
      <c r="E12" s="46"/>
      <c r="F12" s="46"/>
      <c r="G12" s="47"/>
      <c r="H12" s="46"/>
      <c r="I12" s="46"/>
      <c r="J12" s="46"/>
      <c r="K12" s="46"/>
      <c r="L12" s="46"/>
      <c r="M12" s="46"/>
      <c r="N12" s="48"/>
    </row>
    <row r="13" ht="8.75" customHeight="1" hidden="1">
      <c r="A13" s="39"/>
      <c r="B13" s="40"/>
      <c r="C13" s="41"/>
      <c r="D13" s="42"/>
      <c r="E13" s="42"/>
      <c r="F13" s="42"/>
      <c r="G13" s="43"/>
      <c r="H13" s="42"/>
      <c r="I13" s="42"/>
      <c r="J13" s="42"/>
      <c r="K13" s="42"/>
      <c r="L13" s="42"/>
      <c r="M13" s="42"/>
      <c r="N13" s="44"/>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2"/>
      <c r="I15" s="42"/>
      <c r="J15" s="42"/>
      <c r="K15" s="42"/>
      <c r="L15" s="42"/>
      <c r="M15" s="42"/>
      <c r="N15" s="44"/>
    </row>
    <row r="16" ht="8.75" customHeight="1" hidden="1">
      <c r="A16" s="39"/>
      <c r="B16" s="40"/>
      <c r="C16" s="45"/>
      <c r="D16" s="46"/>
      <c r="E16" s="46"/>
      <c r="F16" s="46"/>
      <c r="G16" s="47"/>
      <c r="H16" s="46"/>
      <c r="I16" s="46"/>
      <c r="J16" s="46"/>
      <c r="K16" s="46"/>
      <c r="L16" s="46"/>
      <c r="M16" s="46"/>
      <c r="N16" s="48"/>
    </row>
    <row r="17" ht="8.75" customHeight="1" hidden="1">
      <c r="A17" s="39"/>
      <c r="B17" s="40"/>
      <c r="C17" s="41"/>
      <c r="D17" s="42"/>
      <c r="E17" s="42"/>
      <c r="F17" s="42"/>
      <c r="G17" s="43"/>
      <c r="H17" s="43"/>
      <c r="I17" s="43"/>
      <c r="J17" s="43"/>
      <c r="K17" s="42"/>
      <c r="L17" s="43"/>
      <c r="M17" s="43"/>
      <c r="N17" s="49"/>
    </row>
    <row r="18" ht="8.75" customHeight="1" hidden="1">
      <c r="A18" s="39"/>
      <c r="B18" s="40"/>
      <c r="C18" s="45"/>
      <c r="D18" s="46"/>
      <c r="E18" s="46"/>
      <c r="F18" s="46"/>
      <c r="G18" s="47"/>
      <c r="H18" s="50"/>
      <c r="I18" s="50"/>
      <c r="J18" s="50"/>
      <c r="K18" s="46"/>
      <c r="L18" s="46"/>
      <c r="M18" s="46"/>
      <c r="N18" s="48"/>
    </row>
    <row r="19" ht="8.75" customHeight="1" hidden="1">
      <c r="A19" s="39"/>
      <c r="B19" s="40"/>
      <c r="C19" s="41"/>
      <c r="D19" s="42"/>
      <c r="E19" s="42"/>
      <c r="F19" s="42"/>
      <c r="G19" s="43"/>
      <c r="H19" s="43"/>
      <c r="I19" s="43"/>
      <c r="J19" s="43"/>
      <c r="K19" s="42"/>
      <c r="L19" s="43"/>
      <c r="M19" s="43"/>
      <c r="N19" s="49"/>
    </row>
    <row r="20" ht="8.75" customHeight="1" hidden="1">
      <c r="A20" s="39"/>
      <c r="B20" s="40"/>
      <c r="C20" s="45"/>
      <c r="D20" s="46"/>
      <c r="E20" s="46"/>
      <c r="F20" s="46"/>
      <c r="G20" s="47"/>
      <c r="H20" s="46"/>
      <c r="I20" s="46"/>
      <c r="J20" s="46"/>
      <c r="K20" s="46"/>
      <c r="L20" s="46"/>
      <c r="M20" s="46"/>
      <c r="N20" s="48"/>
    </row>
    <row r="21" ht="8.75" customHeight="1" hidden="1">
      <c r="A21" s="39"/>
      <c r="B21" s="40"/>
      <c r="C21" s="41"/>
      <c r="D21" s="42"/>
      <c r="E21" s="42"/>
      <c r="F21" s="42"/>
      <c r="G21" s="43"/>
      <c r="H21" s="42"/>
      <c r="I21" s="42"/>
      <c r="J21" s="42"/>
      <c r="K21" s="42"/>
      <c r="L21" s="42"/>
      <c r="M21" s="42"/>
      <c r="N21" s="44"/>
    </row>
    <row r="22" ht="8.75" customHeight="1" hidden="1">
      <c r="A22" s="51"/>
      <c r="B22" s="40"/>
      <c r="C22" s="45"/>
      <c r="D22" s="46"/>
      <c r="E22" s="46"/>
      <c r="F22" s="46"/>
      <c r="G22" s="47"/>
      <c r="H22" s="46"/>
      <c r="I22" s="46"/>
      <c r="J22" s="46"/>
      <c r="K22" s="46"/>
      <c r="L22" s="46"/>
      <c r="M22" s="46"/>
      <c r="N22" s="48"/>
    </row>
    <row r="23" ht="8.75" customHeight="1" hidden="1">
      <c r="A23" s="51"/>
      <c r="B23" s="40"/>
      <c r="C23" s="41"/>
      <c r="D23" s="42"/>
      <c r="E23" s="42"/>
      <c r="F23" s="42"/>
      <c r="G23" s="43"/>
      <c r="H23" s="42"/>
      <c r="I23" s="42"/>
      <c r="J23" s="42"/>
      <c r="K23" s="42"/>
      <c r="L23" s="42"/>
      <c r="M23" s="42"/>
      <c r="N23" s="44"/>
    </row>
    <row r="24" ht="8.75" customHeight="1" hidden="1">
      <c r="A24" s="39"/>
      <c r="B24" s="40"/>
      <c r="C24" s="45"/>
      <c r="D24" s="46"/>
      <c r="E24" s="46"/>
      <c r="F24" s="46"/>
      <c r="G24" s="47"/>
      <c r="H24" s="46"/>
      <c r="I24" s="46"/>
      <c r="J24" s="46"/>
      <c r="K24" s="46"/>
      <c r="L24" s="47"/>
      <c r="M24" s="47"/>
      <c r="N24" s="52"/>
    </row>
    <row r="25" ht="8.75" customHeight="1" hidden="1">
      <c r="A25" s="39"/>
      <c r="B25" s="40"/>
      <c r="C25" s="41"/>
      <c r="D25" s="42"/>
      <c r="E25" s="42"/>
      <c r="F25" s="42"/>
      <c r="G25" s="43"/>
      <c r="H25" s="42"/>
      <c r="I25" s="42"/>
      <c r="J25" s="42"/>
      <c r="K25" s="42"/>
      <c r="L25" s="42"/>
      <c r="M25" s="42"/>
      <c r="N25" s="44"/>
    </row>
    <row r="26" ht="8.75" customHeight="1" hidden="1">
      <c r="A26" s="39"/>
      <c r="B26" s="40"/>
      <c r="C26" s="45"/>
      <c r="D26" s="46"/>
      <c r="E26" s="46"/>
      <c r="F26" s="46"/>
      <c r="G26" s="47"/>
      <c r="H26" s="46"/>
      <c r="I26" s="46"/>
      <c r="J26" s="46"/>
      <c r="K26" s="46"/>
      <c r="L26" s="47"/>
      <c r="M26" s="47"/>
      <c r="N26" s="52"/>
    </row>
    <row r="27" ht="20.85" customHeight="1">
      <c r="A27" s="108"/>
      <c r="B27" s="54"/>
      <c r="C27" s="54"/>
      <c r="D27" s="55"/>
      <c r="E27" s="55"/>
      <c r="F27" s="55"/>
      <c r="G27" s="56"/>
      <c r="H27" s="56"/>
      <c r="I27" s="54"/>
      <c r="J27" s="57"/>
      <c r="K27" t="s" s="58">
        <v>38</v>
      </c>
      <c r="L27" s="59" cm="1">
        <f t="array" ref="L27">SUM(L1:L26)</f>
        <v>76594586.88</v>
      </c>
      <c r="M27" s="59" cm="1">
        <f t="array" ref="M27">SUM(M1:M26)</f>
        <v>76594580</v>
      </c>
      <c r="N27" s="59" cm="1">
        <f t="array" ref="N27">SUM(N1:N26)</f>
        <v>76594580</v>
      </c>
    </row>
    <row r="28" ht="21" customHeight="1">
      <c r="A28" s="63" cm="1">
        <f t="array" ref="A28">ROUND(IF(I28&lt;=100000000,I28*0.24%,IF(AND(I28&gt;100000000,I28&lt;=500000000),100000000*0.24%+(I28-100000000)*0.19%,IF(AND(I28&gt;500000000,I28&lt;=1000000000),100000000*0.24%+400000000*0.19%+(I28-500000000)*0.15%,IF(AND(I28&gt;1000000000,I28&lt;=5000000000),100000000*0.24%+400000000*0.19%+500000000*0.15%+(I28-1000000000)*0.12%,IF(I28&gt;5000000000,100000000*0.24%+400000000*0.19%+500000000*0.15%+4000000000*0.12%+(I28-5000000000)*0.1%,"Bingung komputer"))))),2)</f>
        <v>0</v>
      </c>
      <c r="B28" t="s" s="109">
        <v>39</v>
      </c>
      <c r="C28" s="62"/>
      <c r="D28" s="63" cm="1">
        <f t="array" ref="D28">ROUND(IF(L28&lt;=100000000,L28*0.24%,IF(AND(L28&gt;100000000,L28&lt;=500000000),100000000*0.24%+(L28-100000000)*0.19%,IF(AND(L28&gt;500000000,L28&lt;=1000000000),100000000*0.24%+400000000*0.19%+(L28-500000000)*0.15%,IF(AND(L28&gt;1000000000,L28&lt;=5000000000),100000000*0.24%+400000000*0.19%+500000000*0.15%+(L28-1000000000)*0.12%,IF(L28&gt;5000000000,100000000*0.24%+400000000*0.19%+500000000*0.15%+4000000000*0.12%+(L28-5000000000)*0.1%,"Bingung komputer"))))),2)</f>
        <v>183386.88</v>
      </c>
      <c r="E28" s="64" cm="1">
        <f t="array" ref="E28">ROUND(IF(M28&lt;=100000000,M28*0.24%,IF(AND(M28&gt;100000000,M28&lt;=500000000),100000000*0.24%+(M28-100000000)*0.19%,IF(AND(M28&gt;500000000,M28&lt;=1000000000),100000000*0.24%+400000000*0.19%+(M28-500000000)*0.15%,IF(AND(M28&gt;1000000000,M28&lt;=5000000000),100000000*0.24%+400000000*0.19%+500000000*0.15%+(M28-1000000000)*0.12%,IF(M28&gt;5000000000,100000000*0.24%+400000000*0.19%+500000000*0.15%+4000000000*0.12%+(M28-5000000000)*0.1%,"Bingung komputer"))))),2)</f>
        <v>183386.88</v>
      </c>
      <c r="F28" s="64" cm="1">
        <f t="array" ref="F28">ROUND(IF(N28&lt;=100000000,N28*0.24%,IF(AND(N28&gt;100000000,N28&lt;=500000000),100000000*0.24%+(N28-100000000)*0.19%,IF(AND(N28&gt;500000000,N28&lt;=1000000000),100000000*0.24%+400000000*0.19%+(N28-500000000)*0.15%,IF(AND(N28&gt;1000000000,N28&lt;=5000000000),100000000*0.24%+400000000*0.19%+500000000*0.15%+(N28-1000000000)*0.12%,IF(N28&gt;5000000000,100000000*0.24%+400000000*0.19%+500000000*0.15%+4000000000*0.12%+(N28-5000000000)*0.1%,"Bingung komputer"))))),2)</f>
        <v>183386.88</v>
      </c>
      <c r="G28" s="65"/>
      <c r="H28" s="66"/>
      <c r="I28" s="68"/>
      <c r="J28" s="67"/>
      <c r="K28" t="str" s="67" cm="1">
        <f t="array" ref="K28">"Jumlah Terkena Pajak "&amp;MAX(K3:K26)&amp;"% (B)"</f>
        <v>Jumlah Terkena Pajak 11,00% (B)</v>
      </c>
      <c r="L28" s="68" cm="1">
        <f t="array" ref="L28">SUMIF($K3:$K26,"&gt;0",L3:L26)</f>
        <v>76411200</v>
      </c>
      <c r="M28" s="69" cm="1">
        <f t="array" ref="M28">SUMIF($K3:$K26,"&gt;0",M3:M26)</f>
        <v>76411200</v>
      </c>
      <c r="N28" s="69" cm="1">
        <f t="array" ref="N28">SUMIF($K3:$K26,"&gt;0",N3:N26)</f>
        <v>76411200</v>
      </c>
    </row>
    <row r="29" ht="21" customHeight="1">
      <c r="A29" s="70"/>
      <c r="B29" s="71"/>
      <c r="C29" s="71"/>
      <c r="D29" s="72"/>
      <c r="E29" s="72"/>
      <c r="F29" s="71"/>
      <c r="G29" s="72"/>
      <c r="H29" s="72"/>
      <c r="I29" s="74"/>
      <c r="J29" s="73"/>
      <c r="K29" t="str" s="73" cm="1">
        <f t="array" ref="K29">"PPN (C) = "&amp;MAX(K3:K26)&amp;"% x B"</f>
        <v>PPN (C) = 11,00% x B</v>
      </c>
      <c r="L29" s="74" cm="1">
        <f t="array" ref="L29">L28*MAX($K3:$K26)%</f>
        <v>8405232</v>
      </c>
      <c r="M29" s="69" cm="1">
        <f t="array" ref="M29">M28*MAX($K3:$K26)%</f>
        <v>8405232</v>
      </c>
      <c r="N29" s="69" cm="1">
        <f t="array" ref="N29">N28*MAX($K3:$K26)%</f>
        <v>8405232</v>
      </c>
    </row>
    <row r="30" ht="21" customHeight="1">
      <c r="A30" s="70"/>
      <c r="B30" s="71"/>
      <c r="C30" s="71"/>
      <c r="D30" t="s" s="110">
        <v>116</v>
      </c>
      <c r="E30" s="111">
        <v>85000000</v>
      </c>
      <c r="F30" s="112">
        <v>84816850</v>
      </c>
      <c r="G30" s="72"/>
      <c r="H30" s="72"/>
      <c r="I30" s="71"/>
      <c r="J30" s="73"/>
      <c r="K30" t="s" s="75">
        <v>42</v>
      </c>
      <c r="L30" s="76" cm="1">
        <f t="array" ref="L30">L27+L29</f>
        <v>84999818.88</v>
      </c>
      <c r="M30" s="69" cm="1">
        <f t="array" ref="M30">M27+M29</f>
        <v>84999812</v>
      </c>
      <c r="N30" s="69" cm="1">
        <f t="array" ref="N30">N27+N29</f>
        <v>84999812</v>
      </c>
    </row>
    <row r="31" ht="20.5" customHeight="1">
      <c r="A31" s="70"/>
      <c r="B31" s="71"/>
      <c r="C31" s="71"/>
      <c r="D31" s="72"/>
      <c r="E31" s="72" cm="1">
        <f t="array" ref="E31">E$30-L$31</f>
        <v>181.12</v>
      </c>
      <c r="F31" s="113" cm="1">
        <f t="array" ref="F31">ROUNDDOWN(E$30-D$28,2)</f>
        <v>84816613.12</v>
      </c>
      <c r="G31" s="72"/>
      <c r="H31" s="72"/>
      <c r="I31" s="71"/>
      <c r="J31" s="73"/>
      <c r="K31" t="s" s="75">
        <v>43</v>
      </c>
      <c r="L31" s="68" cm="1">
        <f t="array" ref="L31">ROUNDDOWN(L30,2)</f>
        <v>84999818.88</v>
      </c>
      <c r="M31" s="68" cm="1">
        <f t="array" ref="M31">ROUNDDOWN(M30,2)</f>
        <v>84999812</v>
      </c>
      <c r="N31" s="68" cm="1">
        <f t="array" ref="N31">ROUNDDOWN(N30,-3)</f>
        <v>84999000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69.xml><?xml version="1.0" encoding="utf-8"?>
<worksheet xmlns:r="http://schemas.openxmlformats.org/officeDocument/2006/relationships" xmlns="http://schemas.openxmlformats.org/spreadsheetml/2006/main">
  <sheetPr>
    <pageSetUpPr fitToPage="1"/>
  </sheetPr>
  <dimension ref="A1:N31"/>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185" customWidth="1"/>
    <col min="2" max="2" width="43.0312" style="185" customWidth="1"/>
    <col min="3" max="3" width="2.75" style="185" customWidth="1"/>
    <col min="4" max="6" width="10.3672" style="185" customWidth="1"/>
    <col min="7" max="7" width="11.6875" style="185" customWidth="1"/>
    <col min="8" max="11" width="13.5156" style="185" customWidth="1"/>
    <col min="12" max="14" width="14.2344" style="185" customWidth="1"/>
    <col min="15" max="16384" width="16.3516" style="185"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109</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s="95">
        <v>1</v>
      </c>
      <c r="B4" t="s" s="19">
        <v>110</v>
      </c>
      <c r="C4" s="20"/>
      <c r="D4" s="21">
        <v>1</v>
      </c>
      <c r="E4" s="21" cm="1">
        <f t="array" ref="E4">D4</f>
        <v>1</v>
      </c>
      <c r="F4" s="21" cm="1">
        <f t="array" ref="F4">D4</f>
        <v>1</v>
      </c>
      <c r="G4" t="s" s="22">
        <v>19</v>
      </c>
      <c r="H4" s="21" cm="1">
        <f t="array" ref="H4">ROUNDDOWN((F$30*0.1)*100/111,-2)</f>
        <v>6289700</v>
      </c>
      <c r="I4" s="21">
        <v>6289700</v>
      </c>
      <c r="J4" s="21">
        <v>6289700</v>
      </c>
      <c r="K4" s="21">
        <v>11</v>
      </c>
      <c r="L4" s="21" cm="1">
        <f t="array" ref="L4">IF(D4&gt;0,IF($D4&lt;=0,0,D4*H4),"")</f>
        <v>6289700</v>
      </c>
      <c r="M4" s="21" cm="1">
        <f t="array" ref="M4">IF(E4&gt;0,IF($D4&lt;=0,0,ROUND(E4*I4,2)),"")</f>
        <v>6289700</v>
      </c>
      <c r="N4" s="23" cm="1">
        <f t="array" ref="N4">IF(F4&gt;0,IF($D4&lt;=0,0,ROUND(F4*J4,2)),"")</f>
        <v>6289700</v>
      </c>
    </row>
    <row r="5" ht="20.5" customHeight="1">
      <c r="A5" s="95">
        <v>2</v>
      </c>
      <c r="B5" t="s" s="19">
        <v>111</v>
      </c>
      <c r="C5" s="24"/>
      <c r="D5" s="26">
        <v>1</v>
      </c>
      <c r="E5" s="26" cm="1">
        <f t="array" ref="E5">D5</f>
        <v>1</v>
      </c>
      <c r="F5" s="26" cm="1">
        <f t="array" ref="F5">D5</f>
        <v>1</v>
      </c>
      <c r="G5" t="s" s="27">
        <v>19</v>
      </c>
      <c r="H5" s="26" cm="1">
        <f t="array" ref="H5">ROUNDDOWN((F$30*0.2)*100/111,-2)</f>
        <v>12579500</v>
      </c>
      <c r="I5" s="26">
        <v>12579500</v>
      </c>
      <c r="J5" s="26">
        <v>12579500</v>
      </c>
      <c r="K5" s="26">
        <v>11</v>
      </c>
      <c r="L5" s="26" cm="1">
        <f t="array" ref="L5">IF(D5&gt;0,IF($D5&lt;=0,0,D5*H5),"")</f>
        <v>12579500</v>
      </c>
      <c r="M5" s="26" cm="1">
        <f t="array" ref="M5">IF(E5&gt;0,IF($D5&lt;=0,0,ROUND(E5*I5,2)),"")</f>
        <v>12579500</v>
      </c>
      <c r="N5" s="28" cm="1">
        <f t="array" ref="N5">IF(F5&gt;0,IF($D5&lt;=0,0,ROUND(F5*J5,2)),"")</f>
        <v>12579500</v>
      </c>
    </row>
    <row r="6" ht="20.5" customHeight="1">
      <c r="A6" s="95">
        <v>3</v>
      </c>
      <c r="B6" t="s" s="19">
        <v>112</v>
      </c>
      <c r="C6" s="20"/>
      <c r="D6" s="21">
        <v>1</v>
      </c>
      <c r="E6" s="21" cm="1">
        <f t="array" ref="E6">D6</f>
        <v>1</v>
      </c>
      <c r="F6" s="21" cm="1">
        <f t="array" ref="F6">D6</f>
        <v>1</v>
      </c>
      <c r="G6" t="s" s="22">
        <v>19</v>
      </c>
      <c r="H6" s="21" cm="1">
        <f t="array" ref="H6">ROUNDDOWN((F$30*0.25)*100/111,-2)</f>
        <v>15724400</v>
      </c>
      <c r="I6" s="21">
        <v>15724400</v>
      </c>
      <c r="J6" s="21">
        <v>15724400</v>
      </c>
      <c r="K6" s="21">
        <v>11</v>
      </c>
      <c r="L6" s="21" cm="1">
        <f t="array" ref="L6">IF(D6&gt;0,IF($D6&lt;=0,0,D6*H6),"")</f>
        <v>15724400</v>
      </c>
      <c r="M6" s="21" cm="1">
        <f t="array" ref="M6">IF(E6&gt;0,IF($D6&lt;=0,0,ROUND(E6*I6,2)),"")</f>
        <v>15724400</v>
      </c>
      <c r="N6" s="23" cm="1">
        <f t="array" ref="N6">IF(F6&gt;0,IF($D6&lt;=0,0,ROUND(F6*J6,2)),"")</f>
        <v>15724400</v>
      </c>
    </row>
    <row r="7" ht="68.5" customHeight="1">
      <c r="A7" s="95">
        <v>5</v>
      </c>
      <c r="B7" t="s" s="19">
        <v>113</v>
      </c>
      <c r="C7" s="24"/>
      <c r="D7" s="26">
        <v>1</v>
      </c>
      <c r="E7" s="26" cm="1">
        <f t="array" ref="E7">D7</f>
        <v>1</v>
      </c>
      <c r="F7" s="26" cm="1">
        <f t="array" ref="F7">D7</f>
        <v>1</v>
      </c>
      <c r="G7" t="s" s="27">
        <v>19</v>
      </c>
      <c r="H7" s="26" cm="1">
        <f t="array" ref="H7">ROUNDDOWN((F$30*0.25)*100/111,-2)</f>
        <v>15724400</v>
      </c>
      <c r="I7" s="26">
        <v>15724400</v>
      </c>
      <c r="J7" s="26">
        <v>15724400</v>
      </c>
      <c r="K7" s="26">
        <v>11</v>
      </c>
      <c r="L7" s="26" cm="1">
        <f t="array" ref="L7">IF(D7&gt;0,IF($D7&lt;=0,0,D7*H7),"")</f>
        <v>15724400</v>
      </c>
      <c r="M7" s="26" cm="1">
        <f t="array" ref="M7">IF(E7&gt;0,IF($D7&lt;=0,0,ROUND(E7*I7,2)),"")</f>
        <v>15724400</v>
      </c>
      <c r="N7" s="28" cm="1">
        <f t="array" ref="N7">IF(F7&gt;0,IF($D7&lt;=0,0,ROUND(F7*J7,2)),"")</f>
        <v>15724400</v>
      </c>
    </row>
    <row r="8" ht="32.5" customHeight="1">
      <c r="A8" s="95">
        <v>6</v>
      </c>
      <c r="B8" t="s" s="19">
        <v>114</v>
      </c>
      <c r="C8" s="20"/>
      <c r="D8" s="21">
        <v>1</v>
      </c>
      <c r="E8" s="21" cm="1">
        <f t="array" ref="E8">D8</f>
        <v>1</v>
      </c>
      <c r="F8" s="21" cm="1">
        <f t="array" ref="F8">D8</f>
        <v>1</v>
      </c>
      <c r="G8" t="s" s="22">
        <v>19</v>
      </c>
      <c r="H8" s="21" cm="1">
        <f t="array" ref="H8">ROUNDDOWN((F$30*0.05)*100/111,-2)</f>
        <v>3144800</v>
      </c>
      <c r="I8" s="21">
        <v>3144800</v>
      </c>
      <c r="J8" s="21">
        <v>3144800</v>
      </c>
      <c r="K8" s="21">
        <v>11</v>
      </c>
      <c r="L8" s="21" cm="1">
        <f t="array" ref="L8">IF(D8&gt;0,IF($D8&lt;=0,0,D8*H8),"")</f>
        <v>3144800</v>
      </c>
      <c r="M8" s="21" cm="1">
        <f t="array" ref="M8">IF(E8&gt;0,IF($D8&lt;=0,0,ROUND(E8*I8,2)),"")</f>
        <v>3144800</v>
      </c>
      <c r="N8" s="23" cm="1">
        <f t="array" ref="N8">IF(F8&gt;0,IF($D8&lt;=0,0,ROUND(F8*J8,2)),"")</f>
        <v>3144800</v>
      </c>
    </row>
    <row r="9" ht="20.5" customHeight="1">
      <c r="A9" s="95">
        <v>7</v>
      </c>
      <c r="B9" t="s" s="19">
        <v>115</v>
      </c>
      <c r="C9" s="24"/>
      <c r="D9" s="26">
        <v>1</v>
      </c>
      <c r="E9" s="26" cm="1">
        <f t="array" ref="E9">D9</f>
        <v>1</v>
      </c>
      <c r="F9" s="26" cm="1">
        <f t="array" ref="F9">D9</f>
        <v>1</v>
      </c>
      <c r="G9" t="s" s="27">
        <v>19</v>
      </c>
      <c r="H9" s="26" cm="1">
        <f t="array" ref="H9">ROUNDDOWN((F$30*0.15)*100/111,-2)</f>
        <v>9434600</v>
      </c>
      <c r="I9" s="26">
        <v>9434600</v>
      </c>
      <c r="J9" s="26">
        <v>9434600</v>
      </c>
      <c r="K9" s="26">
        <v>11</v>
      </c>
      <c r="L9" s="26" cm="1">
        <f t="array" ref="L9">IF(D9&gt;0,IF($D9&lt;=0,0,D9*H9),"")</f>
        <v>9434600</v>
      </c>
      <c r="M9" s="26" cm="1">
        <f t="array" ref="M9">IF(E9&gt;0,IF($D9&lt;=0,0,ROUND(E9*I9,2)),"")</f>
        <v>9434600</v>
      </c>
      <c r="N9" s="28" cm="1">
        <f t="array" ref="N9">IF(F9&gt;0,IF($D9&lt;=0,0,ROUND(F9*J9,2)),"")</f>
        <v>9434600</v>
      </c>
    </row>
    <row r="10" ht="20.6" customHeight="1">
      <c r="A10" s="33">
        <v>8</v>
      </c>
      <c r="B10" t="s" s="34">
        <v>37</v>
      </c>
      <c r="C10" s="35"/>
      <c r="D10" s="36">
        <v>1</v>
      </c>
      <c r="E10" s="36" cm="1">
        <f t="array" ref="E10">D10</f>
        <v>1</v>
      </c>
      <c r="F10" s="36" cm="1">
        <f t="array" ref="F10">D10</f>
        <v>1</v>
      </c>
      <c r="G10" t="s" s="37">
        <v>19</v>
      </c>
      <c r="H10" s="36">
        <v>150953.76</v>
      </c>
      <c r="I10" s="36">
        <v>150886</v>
      </c>
      <c r="J10" s="36">
        <v>150886</v>
      </c>
      <c r="K10" s="36">
        <v>0</v>
      </c>
      <c r="L10" s="36" cm="1">
        <f t="array" ref="L10">IF(D10&gt;0,IF($D10&lt;=0,0,D10*H10),"")</f>
        <v>150953.76</v>
      </c>
      <c r="M10" s="36" cm="1">
        <f t="array" ref="M10">IF(E10&gt;0,IF($D10&lt;=0,0,ROUND(E10*I10,2)),"")</f>
        <v>150886</v>
      </c>
      <c r="N10" s="38" cm="1">
        <f t="array" ref="N10">IF(F10&gt;0,IF($D10&lt;=0,0,ROUND(F10*J10,2)),"")</f>
        <v>150886</v>
      </c>
    </row>
    <row r="11" ht="8.75" customHeight="1" hidden="1">
      <c r="A11" s="39"/>
      <c r="B11" s="40"/>
      <c r="C11" s="41"/>
      <c r="D11" s="42"/>
      <c r="E11" s="42"/>
      <c r="F11" s="42"/>
      <c r="G11" s="43"/>
      <c r="H11" s="42"/>
      <c r="I11" s="42"/>
      <c r="J11" s="42"/>
      <c r="K11" s="42"/>
      <c r="L11" s="42"/>
      <c r="M11" s="42"/>
      <c r="N11" s="44"/>
    </row>
    <row r="12" ht="8.75" customHeight="1" hidden="1">
      <c r="A12" s="39"/>
      <c r="B12" s="40"/>
      <c r="C12" s="45"/>
      <c r="D12" s="46"/>
      <c r="E12" s="46"/>
      <c r="F12" s="46"/>
      <c r="G12" s="47"/>
      <c r="H12" s="46"/>
      <c r="I12" s="46"/>
      <c r="J12" s="46"/>
      <c r="K12" s="46"/>
      <c r="L12" s="46"/>
      <c r="M12" s="46"/>
      <c r="N12" s="48"/>
    </row>
    <row r="13" ht="8.75" customHeight="1" hidden="1">
      <c r="A13" s="39"/>
      <c r="B13" s="40"/>
      <c r="C13" s="41"/>
      <c r="D13" s="42"/>
      <c r="E13" s="42"/>
      <c r="F13" s="42"/>
      <c r="G13" s="43"/>
      <c r="H13" s="42"/>
      <c r="I13" s="42"/>
      <c r="J13" s="42"/>
      <c r="K13" s="42"/>
      <c r="L13" s="42"/>
      <c r="M13" s="42"/>
      <c r="N13" s="44"/>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2"/>
      <c r="I15" s="42"/>
      <c r="J15" s="42"/>
      <c r="K15" s="42"/>
      <c r="L15" s="42"/>
      <c r="M15" s="42"/>
      <c r="N15" s="44"/>
    </row>
    <row r="16" ht="8.75" customHeight="1" hidden="1">
      <c r="A16" s="39"/>
      <c r="B16" s="40"/>
      <c r="C16" s="45"/>
      <c r="D16" s="46"/>
      <c r="E16" s="46"/>
      <c r="F16" s="46"/>
      <c r="G16" s="47"/>
      <c r="H16" s="46"/>
      <c r="I16" s="46"/>
      <c r="J16" s="46"/>
      <c r="K16" s="46"/>
      <c r="L16" s="46"/>
      <c r="M16" s="46"/>
      <c r="N16" s="48"/>
    </row>
    <row r="17" ht="8.75" customHeight="1" hidden="1">
      <c r="A17" s="39"/>
      <c r="B17" s="40"/>
      <c r="C17" s="41"/>
      <c r="D17" s="42"/>
      <c r="E17" s="42"/>
      <c r="F17" s="42"/>
      <c r="G17" s="43"/>
      <c r="H17" s="43"/>
      <c r="I17" s="43"/>
      <c r="J17" s="43"/>
      <c r="K17" s="42"/>
      <c r="L17" s="43"/>
      <c r="M17" s="43"/>
      <c r="N17" s="49"/>
    </row>
    <row r="18" ht="8.75" customHeight="1" hidden="1">
      <c r="A18" s="39"/>
      <c r="B18" s="40"/>
      <c r="C18" s="45"/>
      <c r="D18" s="46"/>
      <c r="E18" s="46"/>
      <c r="F18" s="46"/>
      <c r="G18" s="47"/>
      <c r="H18" s="50"/>
      <c r="I18" s="50"/>
      <c r="J18" s="50"/>
      <c r="K18" s="46"/>
      <c r="L18" s="46"/>
      <c r="M18" s="46"/>
      <c r="N18" s="48"/>
    </row>
    <row r="19" ht="8.75" customHeight="1" hidden="1">
      <c r="A19" s="39"/>
      <c r="B19" s="40"/>
      <c r="C19" s="41"/>
      <c r="D19" s="42"/>
      <c r="E19" s="42"/>
      <c r="F19" s="42"/>
      <c r="G19" s="43"/>
      <c r="H19" s="43"/>
      <c r="I19" s="43"/>
      <c r="J19" s="43"/>
      <c r="K19" s="42"/>
      <c r="L19" s="43"/>
      <c r="M19" s="43"/>
      <c r="N19" s="49"/>
    </row>
    <row r="20" ht="8.75" customHeight="1" hidden="1">
      <c r="A20" s="39"/>
      <c r="B20" s="40"/>
      <c r="C20" s="45"/>
      <c r="D20" s="46"/>
      <c r="E20" s="46"/>
      <c r="F20" s="46"/>
      <c r="G20" s="47"/>
      <c r="H20" s="46"/>
      <c r="I20" s="46"/>
      <c r="J20" s="46"/>
      <c r="K20" s="46"/>
      <c r="L20" s="46"/>
      <c r="M20" s="46"/>
      <c r="N20" s="48"/>
    </row>
    <row r="21" ht="8.75" customHeight="1" hidden="1">
      <c r="A21" s="39"/>
      <c r="B21" s="40"/>
      <c r="C21" s="41"/>
      <c r="D21" s="42"/>
      <c r="E21" s="42"/>
      <c r="F21" s="42"/>
      <c r="G21" s="43"/>
      <c r="H21" s="42"/>
      <c r="I21" s="42"/>
      <c r="J21" s="42"/>
      <c r="K21" s="42"/>
      <c r="L21" s="42"/>
      <c r="M21" s="42"/>
      <c r="N21" s="44"/>
    </row>
    <row r="22" ht="8.75" customHeight="1" hidden="1">
      <c r="A22" s="51"/>
      <c r="B22" s="40"/>
      <c r="C22" s="45"/>
      <c r="D22" s="46"/>
      <c r="E22" s="46"/>
      <c r="F22" s="46"/>
      <c r="G22" s="47"/>
      <c r="H22" s="46"/>
      <c r="I22" s="46"/>
      <c r="J22" s="46"/>
      <c r="K22" s="46"/>
      <c r="L22" s="46"/>
      <c r="M22" s="46"/>
      <c r="N22" s="48"/>
    </row>
    <row r="23" ht="8.75" customHeight="1" hidden="1">
      <c r="A23" s="51"/>
      <c r="B23" s="40"/>
      <c r="C23" s="41"/>
      <c r="D23" s="42"/>
      <c r="E23" s="42"/>
      <c r="F23" s="42"/>
      <c r="G23" s="43"/>
      <c r="H23" s="42"/>
      <c r="I23" s="42"/>
      <c r="J23" s="42"/>
      <c r="K23" s="42"/>
      <c r="L23" s="42"/>
      <c r="M23" s="42"/>
      <c r="N23" s="44"/>
    </row>
    <row r="24" ht="8.75" customHeight="1" hidden="1">
      <c r="A24" s="39"/>
      <c r="B24" s="40"/>
      <c r="C24" s="45"/>
      <c r="D24" s="46"/>
      <c r="E24" s="46"/>
      <c r="F24" s="46"/>
      <c r="G24" s="47"/>
      <c r="H24" s="46"/>
      <c r="I24" s="46"/>
      <c r="J24" s="46"/>
      <c r="K24" s="46"/>
      <c r="L24" s="47"/>
      <c r="M24" s="47"/>
      <c r="N24" s="52"/>
    </row>
    <row r="25" ht="8.75" customHeight="1" hidden="1">
      <c r="A25" s="39"/>
      <c r="B25" s="40"/>
      <c r="C25" s="41"/>
      <c r="D25" s="42"/>
      <c r="E25" s="42"/>
      <c r="F25" s="42"/>
      <c r="G25" s="43"/>
      <c r="H25" s="42"/>
      <c r="I25" s="42"/>
      <c r="J25" s="42"/>
      <c r="K25" s="42"/>
      <c r="L25" s="42"/>
      <c r="M25" s="42"/>
      <c r="N25" s="44"/>
    </row>
    <row r="26" ht="8.75" customHeight="1" hidden="1">
      <c r="A26" s="39"/>
      <c r="B26" s="40"/>
      <c r="C26" s="45"/>
      <c r="D26" s="46"/>
      <c r="E26" s="46"/>
      <c r="F26" s="46"/>
      <c r="G26" s="47"/>
      <c r="H26" s="46"/>
      <c r="I26" s="46"/>
      <c r="J26" s="46"/>
      <c r="K26" s="46"/>
      <c r="L26" s="47"/>
      <c r="M26" s="47"/>
      <c r="N26" s="52"/>
    </row>
    <row r="27" ht="20.85" customHeight="1">
      <c r="A27" s="108"/>
      <c r="B27" s="54"/>
      <c r="C27" s="54"/>
      <c r="D27" s="55"/>
      <c r="E27" s="55"/>
      <c r="F27" s="55"/>
      <c r="G27" s="56"/>
      <c r="H27" s="56"/>
      <c r="I27" s="54"/>
      <c r="J27" s="57"/>
      <c r="K27" t="s" s="58">
        <v>38</v>
      </c>
      <c r="L27" s="59" cm="1">
        <f t="array" ref="L27">SUM(L1:L26)</f>
        <v>63048353.76</v>
      </c>
      <c r="M27" s="59" cm="1">
        <f t="array" ref="M27">SUM(M1:M26)</f>
        <v>63048286</v>
      </c>
      <c r="N27" s="59" cm="1">
        <f t="array" ref="N27">SUM(N1:N26)</f>
        <v>63048286</v>
      </c>
    </row>
    <row r="28" ht="21" customHeight="1">
      <c r="A28" s="63" cm="1">
        <f t="array" ref="A28">ROUND(IF(I28&lt;=100000000,I28*0.24%,IF(AND(I28&gt;100000000,I28&lt;=500000000),100000000*0.24%+(I28-100000000)*0.19%,IF(AND(I28&gt;500000000,I28&lt;=1000000000),100000000*0.24%+400000000*0.19%+(I28-500000000)*0.15%,IF(AND(I28&gt;1000000000,I28&lt;=5000000000),100000000*0.24%+400000000*0.19%+500000000*0.15%+(I28-1000000000)*0.12%,IF(I28&gt;5000000000,100000000*0.24%+400000000*0.19%+500000000*0.15%+4000000000*0.12%+(I28-5000000000)*0.1%,"Bingung komputer"))))),2)</f>
        <v>0</v>
      </c>
      <c r="B28" t="s" s="109">
        <v>39</v>
      </c>
      <c r="C28" s="62"/>
      <c r="D28" s="63" cm="1">
        <f t="array" ref="D28">ROUND(IF(L28&lt;=100000000,L28*0.24%,IF(AND(L28&gt;100000000,L28&lt;=500000000),100000000*0.24%+(L28-100000000)*0.19%,IF(AND(L28&gt;500000000,L28&lt;=1000000000),100000000*0.24%+400000000*0.19%+(L28-500000000)*0.15%,IF(AND(L28&gt;1000000000,L28&lt;=5000000000),100000000*0.24%+400000000*0.19%+500000000*0.15%+(L28-1000000000)*0.12%,IF(L28&gt;5000000000,100000000*0.24%+400000000*0.19%+500000000*0.15%+4000000000*0.12%+(L28-5000000000)*0.1%,"Bingung komputer"))))),2)</f>
        <v>150953.76</v>
      </c>
      <c r="E28" s="64" cm="1">
        <f t="array" ref="E28">ROUND(IF(M28&lt;=100000000,M28*0.24%,IF(AND(M28&gt;100000000,M28&lt;=500000000),100000000*0.24%+(M28-100000000)*0.19%,IF(AND(M28&gt;500000000,M28&lt;=1000000000),100000000*0.24%+400000000*0.19%+(M28-500000000)*0.15%,IF(AND(M28&gt;1000000000,M28&lt;=5000000000),100000000*0.24%+400000000*0.19%+500000000*0.15%+(M28-1000000000)*0.12%,IF(M28&gt;5000000000,100000000*0.24%+400000000*0.19%+500000000*0.15%+4000000000*0.12%+(M28-5000000000)*0.1%,"Bingung komputer"))))),2)</f>
        <v>150953.76</v>
      </c>
      <c r="F28" s="64" cm="1">
        <f t="array" ref="F28">ROUND(IF(N28&lt;=100000000,N28*0.24%,IF(AND(N28&gt;100000000,N28&lt;=500000000),100000000*0.24%+(N28-100000000)*0.19%,IF(AND(N28&gt;500000000,N28&lt;=1000000000),100000000*0.24%+400000000*0.19%+(N28-500000000)*0.15%,IF(AND(N28&gt;1000000000,N28&lt;=5000000000),100000000*0.24%+400000000*0.19%+500000000*0.15%+(N28-1000000000)*0.12%,IF(N28&gt;5000000000,100000000*0.24%+400000000*0.19%+500000000*0.15%+4000000000*0.12%+(N28-5000000000)*0.1%,"Bingung komputer"))))),2)</f>
        <v>150953.76</v>
      </c>
      <c r="G28" s="65"/>
      <c r="H28" s="66"/>
      <c r="I28" s="68"/>
      <c r="J28" s="67"/>
      <c r="K28" t="str" s="67" cm="1">
        <f t="array" ref="K28">"Jumlah Terkena Pajak "&amp;MAX(K3:K26)&amp;"% (B)"</f>
        <v>Jumlah Terkena Pajak 11,00% (B)</v>
      </c>
      <c r="L28" s="68" cm="1">
        <f t="array" ref="L28">SUMIF($K3:$K26,"&gt;0",L3:L26)</f>
        <v>62897400</v>
      </c>
      <c r="M28" s="69" cm="1">
        <f t="array" ref="M28">SUMIF($K3:$K26,"&gt;0",M3:M26)</f>
        <v>62897400</v>
      </c>
      <c r="N28" s="69" cm="1">
        <f t="array" ref="N28">SUMIF($K3:$K26,"&gt;0",N3:N26)</f>
        <v>62897400</v>
      </c>
    </row>
    <row r="29" ht="21" customHeight="1">
      <c r="A29" s="70"/>
      <c r="B29" s="71"/>
      <c r="C29" s="71"/>
      <c r="D29" s="72"/>
      <c r="E29" s="72"/>
      <c r="F29" s="71"/>
      <c r="G29" s="72"/>
      <c r="H29" s="72"/>
      <c r="I29" s="74"/>
      <c r="J29" s="73"/>
      <c r="K29" t="str" s="73" cm="1">
        <f t="array" ref="K29">"PPN (C) = "&amp;MAX(K3:K26)&amp;"% x B"</f>
        <v>PPN (C) = 11,00% x B</v>
      </c>
      <c r="L29" s="74" cm="1">
        <f t="array" ref="L29">L28*MAX($K3:$K26)%</f>
        <v>6918714</v>
      </c>
      <c r="M29" s="69" cm="1">
        <f t="array" ref="M29">M28*MAX($K3:$K26)%</f>
        <v>6918714</v>
      </c>
      <c r="N29" s="69" cm="1">
        <f t="array" ref="N29">N28*MAX($K3:$K26)%</f>
        <v>6918714</v>
      </c>
    </row>
    <row r="30" ht="21" customHeight="1">
      <c r="A30" s="70"/>
      <c r="B30" s="71"/>
      <c r="C30" s="71"/>
      <c r="D30" t="s" s="110">
        <v>116</v>
      </c>
      <c r="E30" s="111">
        <v>70000000</v>
      </c>
      <c r="F30" s="113">
        <v>69816613.12</v>
      </c>
      <c r="G30" s="72"/>
      <c r="H30" s="72"/>
      <c r="I30" s="71"/>
      <c r="J30" s="73"/>
      <c r="K30" t="s" s="75">
        <v>42</v>
      </c>
      <c r="L30" s="76" cm="1">
        <f t="array" ref="L30">L27+L29</f>
        <v>69967067.76000001</v>
      </c>
      <c r="M30" s="69" cm="1">
        <f t="array" ref="M30">M27+M29</f>
        <v>69967000</v>
      </c>
      <c r="N30" s="69" cm="1">
        <f t="array" ref="N30">N27+N29</f>
        <v>69967000</v>
      </c>
    </row>
    <row r="31" ht="20.5" customHeight="1">
      <c r="A31" s="70"/>
      <c r="B31" s="71"/>
      <c r="C31" s="71"/>
      <c r="D31" s="72"/>
      <c r="E31" s="72" cm="1">
        <f t="array" ref="E31">E$30-L$31</f>
        <v>32932.24</v>
      </c>
      <c r="F31" s="113" cm="1">
        <f t="array" ref="F31">ROUNDDOWN(E$30-D$28,2)</f>
        <v>69849046.23999999</v>
      </c>
      <c r="G31" s="72"/>
      <c r="H31" s="72"/>
      <c r="I31" s="71"/>
      <c r="J31" s="73"/>
      <c r="K31" t="s" s="75">
        <v>43</v>
      </c>
      <c r="L31" s="68" cm="1">
        <f t="array" ref="L31">ROUNDDOWN(L30,2)</f>
        <v>69967067.76000001</v>
      </c>
      <c r="M31" s="68" cm="1">
        <f t="array" ref="M31">ROUNDDOWN(M30,2)</f>
        <v>69967000</v>
      </c>
      <c r="N31" s="68" cm="1">
        <f t="array" ref="N31">ROUNDDOWN(N30,-3)</f>
        <v>69967000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70.xml><?xml version="1.0" encoding="utf-8"?>
<worksheet xmlns:r="http://schemas.openxmlformats.org/officeDocument/2006/relationships" xmlns="http://schemas.openxmlformats.org/spreadsheetml/2006/main">
  <sheetPr>
    <pageSetUpPr fitToPage="1"/>
  </sheetPr>
  <dimension ref="A1:N20"/>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186" customWidth="1"/>
    <col min="2" max="2" width="43.0312" style="186" customWidth="1"/>
    <col min="3" max="3" width="24.6953" style="186" customWidth="1"/>
    <col min="4" max="6" width="10.3672" style="186" customWidth="1"/>
    <col min="7" max="7" width="11.6875" style="186" customWidth="1"/>
    <col min="8" max="11" width="13.5156" style="186" customWidth="1"/>
    <col min="12" max="14" width="14.2344" style="186" customWidth="1"/>
    <col min="15" max="16384" width="16.3516" style="186"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44.6" customHeight="1">
      <c r="A3" s="11"/>
      <c r="B3" t="s" s="12">
        <v>273</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32.5" customHeight="1">
      <c r="A4" s="95">
        <v>1</v>
      </c>
      <c r="B4" t="s" s="19">
        <v>274</v>
      </c>
      <c r="C4" s="20"/>
      <c r="D4" s="21">
        <v>1</v>
      </c>
      <c r="E4" s="21">
        <v>1</v>
      </c>
      <c r="F4" s="21">
        <v>1</v>
      </c>
      <c r="G4" t="s" s="22">
        <v>275</v>
      </c>
      <c r="H4" s="21">
        <v>26216216.21</v>
      </c>
      <c r="I4" s="21">
        <v>26137837.83</v>
      </c>
      <c r="J4" s="21">
        <v>26126126.12</v>
      </c>
      <c r="K4" s="21">
        <v>11</v>
      </c>
      <c r="L4" s="21" cm="1">
        <f t="array" ref="L4">IF(D4&gt;0,IF($D4&lt;=0,0,D4*H4),"")</f>
        <v>26216216.21</v>
      </c>
      <c r="M4" s="21" cm="1">
        <f t="array" ref="M4">IF(E4&gt;0,IF($D4&lt;=0,0,ROUND(E4*I4,2)),"")</f>
        <v>26137837.83</v>
      </c>
      <c r="N4" s="23" cm="1">
        <f t="array" ref="N4">IF(F4&gt;0,IF($D4&lt;=0,0,ROUND(F4*J4,2)),"")</f>
        <v>26126126.12</v>
      </c>
    </row>
    <row r="5" ht="140.5" customHeight="1">
      <c r="A5" s="95">
        <v>2</v>
      </c>
      <c r="B5" t="s" s="19">
        <v>276</v>
      </c>
      <c r="C5" s="24"/>
      <c r="D5" s="26">
        <v>1</v>
      </c>
      <c r="E5" s="26">
        <v>1</v>
      </c>
      <c r="F5" s="26">
        <v>1</v>
      </c>
      <c r="G5" t="s" s="27">
        <v>275</v>
      </c>
      <c r="H5" s="26">
        <v>124410810.81</v>
      </c>
      <c r="I5" s="26">
        <v>124311711.71</v>
      </c>
      <c r="J5" s="26">
        <v>124279279.27</v>
      </c>
      <c r="K5" s="26">
        <v>11</v>
      </c>
      <c r="L5" s="26" cm="1">
        <f t="array" ref="L5">IF(D5&gt;0,IF($D5&lt;=0,0,D5*H5),"")</f>
        <v>124410810.81</v>
      </c>
      <c r="M5" s="26" cm="1">
        <f t="array" ref="M5">IF(E5&gt;0,IF($D5&lt;=0,0,ROUND(E5*I5,2)),"")</f>
        <v>124311711.71</v>
      </c>
      <c r="N5" s="28" cm="1">
        <f t="array" ref="N5">IF(F5&gt;0,IF($D5&lt;=0,0,ROUND(F5*J5,2)),"")</f>
        <v>124279279.27</v>
      </c>
    </row>
    <row r="6" ht="104.5" customHeight="1">
      <c r="A6" s="95">
        <v>3</v>
      </c>
      <c r="B6" t="s" s="19">
        <v>277</v>
      </c>
      <c r="C6" s="20"/>
      <c r="D6" s="21">
        <v>1</v>
      </c>
      <c r="E6" s="21">
        <v>1</v>
      </c>
      <c r="F6" s="21">
        <v>1</v>
      </c>
      <c r="G6" t="s" s="22">
        <v>275</v>
      </c>
      <c r="H6" s="21">
        <v>2612612.61</v>
      </c>
      <c r="I6" s="21">
        <v>2585585.58</v>
      </c>
      <c r="J6" s="21">
        <v>2522522.52</v>
      </c>
      <c r="K6" s="21">
        <v>11</v>
      </c>
      <c r="L6" s="21" cm="1">
        <f t="array" ref="L6">IF(D6&gt;0,IF($D6&lt;=0,0,D6*H6),"")</f>
        <v>2612612.61</v>
      </c>
      <c r="M6" s="21" cm="1">
        <f t="array" ref="M6">IF(E6&gt;0,IF($D6&lt;=0,0,ROUND(E6*I6,2)),"")</f>
        <v>2585585.58</v>
      </c>
      <c r="N6" s="23" cm="1">
        <f t="array" ref="N6">IF(F6&gt;0,IF($D6&lt;=0,0,ROUND(F6*J6,2)),"")</f>
        <v>2522522.52</v>
      </c>
    </row>
    <row r="7" ht="80.5" customHeight="1">
      <c r="A7" s="95">
        <v>4</v>
      </c>
      <c r="B7" t="s" s="19">
        <v>278</v>
      </c>
      <c r="C7" s="24"/>
      <c r="D7" s="26">
        <v>1</v>
      </c>
      <c r="E7" s="26">
        <v>1</v>
      </c>
      <c r="F7" s="26">
        <v>1</v>
      </c>
      <c r="G7" t="s" s="27">
        <v>275</v>
      </c>
      <c r="H7" s="26">
        <v>1801801.8</v>
      </c>
      <c r="I7" s="26">
        <v>1788288.28</v>
      </c>
      <c r="J7" s="26">
        <v>1711711.71</v>
      </c>
      <c r="K7" s="26">
        <v>11</v>
      </c>
      <c r="L7" s="26" cm="1">
        <f t="array" ref="L7">IF(D7&gt;0,IF($D7&lt;=0,0,D7*H7),"")</f>
        <v>1801801.8</v>
      </c>
      <c r="M7" s="26" cm="1">
        <f t="array" ref="M7">IF(E7&gt;0,IF($D7&lt;=0,0,ROUND(E7*I7,2)),"")</f>
        <v>1788288.28</v>
      </c>
      <c r="N7" s="28" cm="1">
        <f t="array" ref="N7">IF(F7&gt;0,IF($D7&lt;=0,0,ROUND(F7*J7,2)),"")</f>
        <v>1711711.71</v>
      </c>
    </row>
    <row r="8" ht="32.5" customHeight="1">
      <c r="A8" s="95">
        <v>5</v>
      </c>
      <c r="B8" t="s" s="19">
        <v>279</v>
      </c>
      <c r="C8" s="20"/>
      <c r="D8" s="21">
        <v>1</v>
      </c>
      <c r="E8" s="21">
        <v>1</v>
      </c>
      <c r="F8" s="21">
        <v>1</v>
      </c>
      <c r="G8" t="s" s="22">
        <v>275</v>
      </c>
      <c r="H8" s="21">
        <v>4864864.86</v>
      </c>
      <c r="I8" s="21">
        <v>4837837.83</v>
      </c>
      <c r="J8" s="21">
        <v>4774774.77</v>
      </c>
      <c r="K8" s="21">
        <v>11</v>
      </c>
      <c r="L8" s="21" cm="1">
        <f t="array" ref="L8">IF(D8&gt;0,IF($D8&lt;=0,0,D8*H8),"")</f>
        <v>4864864.86</v>
      </c>
      <c r="M8" s="21" cm="1">
        <f t="array" ref="M8">IF(E8&gt;0,IF($D8&lt;=0,0,ROUND(E8*I8,2)),"")</f>
        <v>4837837.83</v>
      </c>
      <c r="N8" s="23" cm="1">
        <f t="array" ref="N8">IF(F8&gt;0,IF($D8&lt;=0,0,ROUND(F8*J8,2)),"")</f>
        <v>4774774.77</v>
      </c>
    </row>
    <row r="9" ht="104.5" customHeight="1">
      <c r="A9" s="95">
        <v>6</v>
      </c>
      <c r="B9" t="s" s="19">
        <v>280</v>
      </c>
      <c r="C9" s="24"/>
      <c r="D9" s="26">
        <v>1</v>
      </c>
      <c r="E9" s="26">
        <v>1</v>
      </c>
      <c r="F9" s="26">
        <v>1</v>
      </c>
      <c r="G9" t="s" s="27">
        <v>275</v>
      </c>
      <c r="H9" s="26">
        <v>26216216.21</v>
      </c>
      <c r="I9" s="26">
        <v>26036036.03</v>
      </c>
      <c r="J9" s="26">
        <v>25945945.94</v>
      </c>
      <c r="K9" s="26">
        <v>11</v>
      </c>
      <c r="L9" s="26" cm="1">
        <f t="array" ref="L9">IF(D9&gt;0,IF($D9&lt;=0,0,D9*H9),"")</f>
        <v>26216216.21</v>
      </c>
      <c r="M9" s="26" cm="1">
        <f t="array" ref="M9">IF(E9&gt;0,IF($D9&lt;=0,0,ROUND(E9*I9,2)),"")</f>
        <v>26036036.03</v>
      </c>
      <c r="N9" s="28" cm="1">
        <f t="array" ref="N9">IF(F9&gt;0,IF($D9&lt;=0,0,ROUND(F9*J9,2)),"")</f>
        <v>25945945.94</v>
      </c>
    </row>
    <row r="10" ht="92.5" customHeight="1">
      <c r="A10" s="95">
        <v>7</v>
      </c>
      <c r="B10" t="s" s="19">
        <v>281</v>
      </c>
      <c r="C10" s="20"/>
      <c r="D10" s="21">
        <v>1</v>
      </c>
      <c r="E10" s="21">
        <v>1</v>
      </c>
      <c r="F10" s="21">
        <v>1</v>
      </c>
      <c r="G10" t="s" s="22">
        <v>275</v>
      </c>
      <c r="H10" s="21">
        <v>22072072.07</v>
      </c>
      <c r="I10" s="21">
        <v>22027027.02</v>
      </c>
      <c r="J10" s="21">
        <v>21981981.98</v>
      </c>
      <c r="K10" s="21">
        <v>11</v>
      </c>
      <c r="L10" s="21" cm="1">
        <f t="array" ref="L10">IF(D10&gt;0,IF($D10&lt;=0,0,D10*H10),"")</f>
        <v>22072072.07</v>
      </c>
      <c r="M10" s="21" cm="1">
        <f t="array" ref="M10">IF(E10&gt;0,IF($D10&lt;=0,0,ROUND(E10*I10,2)),"")</f>
        <v>22027027.02</v>
      </c>
      <c r="N10" s="23" cm="1">
        <f t="array" ref="N10">IF(F10&gt;0,IF($D10&lt;=0,0,ROUND(F10*J10,2)),"")</f>
        <v>21981981.98</v>
      </c>
    </row>
    <row r="11" ht="32.5" customHeight="1">
      <c r="A11" s="95">
        <v>8</v>
      </c>
      <c r="B11" t="s" s="19">
        <v>282</v>
      </c>
      <c r="C11" s="24"/>
      <c r="D11" s="26">
        <v>1</v>
      </c>
      <c r="E11" s="26">
        <v>1</v>
      </c>
      <c r="F11" s="26">
        <v>1</v>
      </c>
      <c r="G11" t="s" s="27">
        <v>275</v>
      </c>
      <c r="H11" s="26">
        <v>12387387.38</v>
      </c>
      <c r="I11" s="26">
        <v>12315315.31</v>
      </c>
      <c r="J11" s="26">
        <v>12252252.25</v>
      </c>
      <c r="K11" s="26">
        <v>11</v>
      </c>
      <c r="L11" s="26" cm="1">
        <f t="array" ref="L11">IF(D11&gt;0,IF($D11&lt;=0,0,D11*H11),"")</f>
        <v>12387387.38</v>
      </c>
      <c r="M11" s="26" cm="1">
        <f t="array" ref="M11">IF(E11&gt;0,IF($D11&lt;=0,0,ROUND(E11*I11,2)),"")</f>
        <v>12315315.31</v>
      </c>
      <c r="N11" s="28" cm="1">
        <f t="array" ref="N11">IF(F11&gt;0,IF($D11&lt;=0,0,ROUND(F11*J11,2)),"")</f>
        <v>12252252.25</v>
      </c>
    </row>
    <row r="12" ht="68.5" customHeight="1">
      <c r="A12" s="95">
        <v>9</v>
      </c>
      <c r="B12" t="s" s="19">
        <v>283</v>
      </c>
      <c r="C12" s="20"/>
      <c r="D12" s="21">
        <v>1</v>
      </c>
      <c r="E12" s="21">
        <v>1</v>
      </c>
      <c r="F12" s="21">
        <v>1</v>
      </c>
      <c r="G12" t="s" s="22">
        <v>275</v>
      </c>
      <c r="H12" s="21">
        <v>3926126.12</v>
      </c>
      <c r="I12" s="32">
        <v>3912612.61</v>
      </c>
      <c r="J12" s="32">
        <v>3873873.87</v>
      </c>
      <c r="K12" s="21">
        <v>11</v>
      </c>
      <c r="L12" s="21" cm="1">
        <f t="array" ref="L12">IF(D12&gt;0,IF($D12&lt;=0,0,D12*H12),"")</f>
        <v>3926126.12</v>
      </c>
      <c r="M12" s="21" cm="1">
        <f t="array" ref="M12">IF(E12&gt;0,IF($D12&lt;=0,0,ROUND(E12*I12,2)),"")</f>
        <v>3912612.61</v>
      </c>
      <c r="N12" s="23" cm="1">
        <f t="array" ref="N12">IF(F12&gt;0,IF($D12&lt;=0,0,ROUND(F12*J12,2)),"")</f>
        <v>3873873.87</v>
      </c>
    </row>
    <row r="13" ht="128.5" customHeight="1">
      <c r="A13" s="95">
        <v>10</v>
      </c>
      <c r="B13" t="s" s="19">
        <v>284</v>
      </c>
      <c r="C13" s="24"/>
      <c r="D13" s="26">
        <v>1</v>
      </c>
      <c r="E13" s="26">
        <v>1</v>
      </c>
      <c r="F13" s="26">
        <v>1</v>
      </c>
      <c r="G13" t="s" s="27">
        <v>275</v>
      </c>
      <c r="H13" s="26">
        <v>32432432.43</v>
      </c>
      <c r="I13" s="122">
        <v>32323423.42</v>
      </c>
      <c r="J13" s="122">
        <v>32252252.25</v>
      </c>
      <c r="K13" s="26">
        <v>11</v>
      </c>
      <c r="L13" s="26" cm="1">
        <f t="array" ref="L13">IF(D13&gt;0,IF($D13&lt;=0,0,D13*H13),"")</f>
        <v>32432432.43</v>
      </c>
      <c r="M13" s="26" cm="1">
        <f t="array" ref="M13">IF(E13&gt;0,IF($D13&lt;=0,0,ROUND(E13*I13,2)),"")</f>
        <v>32323423.42</v>
      </c>
      <c r="N13" s="28" cm="1">
        <f t="array" ref="N13">IF(F13&gt;0,IF($D13&lt;=0,0,ROUND(F13*J13,2)),"")</f>
        <v>32252252.25</v>
      </c>
    </row>
    <row r="14" ht="116.5" customHeight="1">
      <c r="A14" s="95">
        <v>11</v>
      </c>
      <c r="B14" t="s" s="19">
        <v>285</v>
      </c>
      <c r="C14" s="20"/>
      <c r="D14" s="21">
        <v>1</v>
      </c>
      <c r="E14" s="21">
        <v>1</v>
      </c>
      <c r="F14" s="21">
        <v>1</v>
      </c>
      <c r="G14" t="s" s="22">
        <v>275</v>
      </c>
      <c r="H14" s="21">
        <v>39200450.45</v>
      </c>
      <c r="I14" s="21">
        <v>39110360.36</v>
      </c>
      <c r="J14" s="21">
        <v>39099099.09</v>
      </c>
      <c r="K14" s="21">
        <v>11</v>
      </c>
      <c r="L14" s="21" cm="1">
        <f t="array" ref="L14">IF(D14&gt;0,IF($D14&lt;=0,0,D14*H14),"")</f>
        <v>39200450.45</v>
      </c>
      <c r="M14" s="21" cm="1">
        <f t="array" ref="M14">IF(E14&gt;0,IF($D14&lt;=0,0,ROUND(E14*I14,2)),"")</f>
        <v>39110360.36</v>
      </c>
      <c r="N14" s="23" cm="1">
        <f t="array" ref="N14">IF(F14&gt;0,IF($D14&lt;=0,0,ROUND(F14*J14,2)),"")</f>
        <v>39099099.09</v>
      </c>
    </row>
    <row r="15" ht="92.6" customHeight="1">
      <c r="A15" s="33">
        <v>12</v>
      </c>
      <c r="B15" t="s" s="34">
        <v>286</v>
      </c>
      <c r="C15" s="80"/>
      <c r="D15" s="81">
        <v>1</v>
      </c>
      <c r="E15" s="81">
        <v>1</v>
      </c>
      <c r="F15" s="81">
        <v>1</v>
      </c>
      <c r="G15" t="s" s="82">
        <v>275</v>
      </c>
      <c r="H15" s="81">
        <v>18552252.3</v>
      </c>
      <c r="I15" s="81">
        <v>18511711.77</v>
      </c>
      <c r="J15" s="81">
        <v>18468468.7</v>
      </c>
      <c r="K15" s="81">
        <v>11</v>
      </c>
      <c r="L15" s="81" cm="1">
        <f t="array" ref="L15">IF(D15&gt;0,IF($D15&lt;=0,0,D15*H15),"")</f>
        <v>18552252.3</v>
      </c>
      <c r="M15" s="81" cm="1">
        <f t="array" ref="M15">IF(E15&gt;0,IF($D15&lt;=0,0,ROUND(E15*I15,2)),"")</f>
        <v>18511711.77</v>
      </c>
      <c r="N15" s="83" cm="1">
        <f t="array" ref="N15">IF(F15&gt;0,IF($D15&lt;=0,0,ROUND(F15*J15,2)),"")</f>
        <v>18468468.7</v>
      </c>
    </row>
    <row r="16" ht="20.85" customHeight="1">
      <c r="A16" s="108"/>
      <c r="B16" s="54"/>
      <c r="C16" s="54"/>
      <c r="D16" s="55"/>
      <c r="E16" s="55"/>
      <c r="F16" s="55"/>
      <c r="G16" s="56"/>
      <c r="H16" s="56"/>
      <c r="I16" s="54"/>
      <c r="J16" s="57"/>
      <c r="K16" t="s" s="58">
        <v>38</v>
      </c>
      <c r="L16" s="59" cm="1">
        <f t="array" ref="L16">SUM(L1:L15)</f>
        <v>314693243.25</v>
      </c>
      <c r="M16" s="59" cm="1">
        <f t="array" ref="M16">SUM(M1:M15)</f>
        <v>313897747.75</v>
      </c>
      <c r="N16" s="59" cm="1">
        <f t="array" ref="N16">SUM(N1:N15)</f>
        <v>313288288.47</v>
      </c>
    </row>
    <row r="17" ht="21" customHeight="1">
      <c r="A17" s="63" cm="1">
        <f t="array" ref="A17">ROUND(IF(I17&lt;=100000000,I17*0.24%,IF(AND(I17&gt;100000000,I17&lt;=500000000),100000000*0.24%+(I17-100000000)*0.19%,IF(AND(I17&gt;500000000,I17&lt;=1000000000),100000000*0.24%+400000000*0.19%+(I17-500000000)*0.15%,IF(AND(I17&gt;1000000000,I17&lt;=5000000000),100000000*0.24%+400000000*0.19%+500000000*0.15%+(I17-1000000000)*0.12%,IF(I17&gt;5000000000,100000000*0.24%+400000000*0.19%+500000000*0.15%+4000000000*0.12%+(I17-5000000000)*0.1%,"Bingung komputer"))))),2)</f>
        <v>0</v>
      </c>
      <c r="B17" t="s" s="109">
        <v>39</v>
      </c>
      <c r="C17" s="62"/>
      <c r="D17" s="63" cm="1">
        <f t="array" ref="D17">ROUND(IF(L17&lt;=100000000,L17*0.24%,IF(AND(L17&gt;100000000,L17&lt;=500000000),100000000*0.24%+(L17-100000000)*0.19%,IF(AND(L17&gt;500000000,L17&lt;=1000000000),100000000*0.24%+400000000*0.19%+(L17-500000000)*0.15%,IF(AND(L17&gt;1000000000,L17&lt;=5000000000),100000000*0.24%+400000000*0.19%+500000000*0.15%+(L17-1000000000)*0.12%,IF(L17&gt;5000000000,100000000*0.24%+400000000*0.19%+500000000*0.15%+4000000000*0.12%+(L17-5000000000)*0.1%,"Bingung komputer"))))),2)</f>
        <v>647917.16</v>
      </c>
      <c r="E17" s="64" cm="1">
        <f t="array" ref="E17">ROUND(IF(M17&lt;=100000000,M17*0.24%,IF(AND(M17&gt;100000000,M17&lt;=500000000),100000000*0.24%+(M17-100000000)*0.19%,IF(AND(M17&gt;500000000,M17&lt;=1000000000),100000000*0.24%+400000000*0.19%+(M17-500000000)*0.15%,IF(AND(M17&gt;1000000000,M17&lt;=5000000000),100000000*0.24%+400000000*0.19%+500000000*0.15%+(M17-1000000000)*0.12%,IF(M17&gt;5000000000,100000000*0.24%+400000000*0.19%+500000000*0.15%+4000000000*0.12%+(M17-5000000000)*0.1%,"Bingung komputer"))))),2)</f>
        <v>646405.72</v>
      </c>
      <c r="F17" s="64" cm="1">
        <f t="array" ref="F17">ROUND(IF(N17&lt;=100000000,N17*0.24%,IF(AND(N17&gt;100000000,N17&lt;=500000000),100000000*0.24%+(N17-100000000)*0.19%,IF(AND(N17&gt;500000000,N17&lt;=1000000000),100000000*0.24%+400000000*0.19%+(N17-500000000)*0.15%,IF(AND(N17&gt;1000000000,N17&lt;=5000000000),100000000*0.24%+400000000*0.19%+500000000*0.15%+(N17-1000000000)*0.12%,IF(N17&gt;5000000000,100000000*0.24%+400000000*0.19%+500000000*0.15%+4000000000*0.12%+(N17-5000000000)*0.1%,"Bingung komputer"))))),2)</f>
        <v>645247.75</v>
      </c>
      <c r="G17" s="65"/>
      <c r="H17" s="66"/>
      <c r="I17" s="68"/>
      <c r="J17" s="67"/>
      <c r="K17" t="str" s="67" cm="1">
        <f t="array" ref="K17">"Jumlah Terkena Pajak "&amp;MAX(K3:K15)&amp;"% (B)"</f>
        <v>Jumlah Terkena Pajak 11,00% (B)</v>
      </c>
      <c r="L17" s="68" cm="1">
        <f t="array" ref="L17">SUMIF($K3:$K15,"&gt;0",L3:L15)</f>
        <v>314693243.25</v>
      </c>
      <c r="M17" s="69" cm="1">
        <f t="array" ref="M17">SUMIF($K3:$K15,"&gt;0",M3:M15)</f>
        <v>313897747.75</v>
      </c>
      <c r="N17" s="69" cm="1">
        <f t="array" ref="N17">SUMIF($K3:$K15,"&gt;0",N3:N15)</f>
        <v>313288288.47</v>
      </c>
    </row>
    <row r="18" ht="21" customHeight="1">
      <c r="A18" s="70"/>
      <c r="B18" s="71"/>
      <c r="C18" s="71"/>
      <c r="D18" s="72"/>
      <c r="E18" s="72"/>
      <c r="F18" s="71"/>
      <c r="G18" s="72"/>
      <c r="H18" s="72"/>
      <c r="I18" s="74"/>
      <c r="J18" s="73"/>
      <c r="K18" t="str" s="73" cm="1">
        <f t="array" ref="K18">"PPN (C) = "&amp;MAX(K3:K15)&amp;"% x B"</f>
        <v>PPN (C) = 11,00% x B</v>
      </c>
      <c r="L18" s="74" cm="1">
        <f t="array" ref="L18">L17*MAX($K3:$K15)%</f>
        <v>34616256.7575</v>
      </c>
      <c r="M18" s="69" cm="1">
        <f t="array" ref="M18">M17*MAX($K3:$K15)%</f>
        <v>34528752.2525</v>
      </c>
      <c r="N18" s="69" cm="1">
        <f t="array" ref="N18">N17*MAX($K3:$K15)%</f>
        <v>34461711.7317</v>
      </c>
    </row>
    <row r="19" ht="21" customHeight="1">
      <c r="A19" s="70"/>
      <c r="B19" s="71"/>
      <c r="C19" s="71"/>
      <c r="D19" t="s" s="110">
        <v>116</v>
      </c>
      <c r="E19" s="112">
        <v>349309500</v>
      </c>
      <c r="F19" s="112"/>
      <c r="G19" s="72"/>
      <c r="H19" s="72"/>
      <c r="I19" s="71"/>
      <c r="J19" s="73"/>
      <c r="K19" t="s" s="75">
        <v>42</v>
      </c>
      <c r="L19" s="76" cm="1">
        <f t="array" ref="L19">L16+L18</f>
        <v>349309500.0075</v>
      </c>
      <c r="M19" s="69" cm="1">
        <f t="array" ref="M19">M16+M18</f>
        <v>348426500.0025</v>
      </c>
      <c r="N19" s="69" cm="1">
        <f t="array" ref="N19">N16+N18</f>
        <v>347750000.2017</v>
      </c>
    </row>
    <row r="20" ht="20.5" customHeight="1">
      <c r="A20" s="70"/>
      <c r="B20" s="71"/>
      <c r="C20" s="71"/>
      <c r="D20" s="72"/>
      <c r="E20" s="72" cm="1">
        <f t="array" ref="E20">L$20-E$19</f>
        <v>0</v>
      </c>
      <c r="F20" s="112"/>
      <c r="G20" s="72"/>
      <c r="H20" s="72"/>
      <c r="I20" s="71"/>
      <c r="J20" s="73"/>
      <c r="K20" t="s" s="75">
        <v>43</v>
      </c>
      <c r="L20" s="68" cm="1">
        <f t="array" ref="L20">ROUNDDOWN(L19,2)</f>
        <v>349309500</v>
      </c>
      <c r="M20" s="68" cm="1">
        <f t="array" ref="M20">ROUNDDOWN(M19,2)</f>
        <v>348426500</v>
      </c>
      <c r="N20" s="68" cm="1">
        <f t="array" ref="N20">ROUNDDOWN(N19,-3)</f>
        <v>347750000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71.xml><?xml version="1.0" encoding="utf-8"?>
<worksheet xmlns:r="http://schemas.openxmlformats.org/officeDocument/2006/relationships" xmlns="http://schemas.openxmlformats.org/spreadsheetml/2006/main">
  <sheetPr>
    <pageSetUpPr fitToPage="1"/>
  </sheetPr>
  <dimension ref="A1:J12"/>
  <sheetViews>
    <sheetView workbookViewId="0" showGridLines="0" defaultGridColor="1"/>
  </sheetViews>
  <sheetFormatPr defaultColWidth="16.6667" defaultRowHeight="19.9" customHeight="1" outlineLevelRow="0" outlineLevelCol="0"/>
  <cols>
    <col min="1" max="1" width="74.6719" style="187" customWidth="1"/>
    <col min="2" max="2" width="17.5859" style="187" customWidth="1"/>
    <col min="3" max="3" width="19.0703" style="187" customWidth="1"/>
    <col min="4" max="5" width="39.4922" style="187" customWidth="1"/>
    <col min="6" max="6" width="30.7266" style="187" customWidth="1"/>
    <col min="7" max="7" width="23.2812" style="187" customWidth="1"/>
    <col min="8" max="9" width="39.4922" style="187" customWidth="1"/>
    <col min="10" max="10" width="3.6875" style="187" customWidth="1"/>
    <col min="11" max="16384" width="16.6719" style="187" customWidth="1"/>
  </cols>
  <sheetData>
    <row r="1" ht="114.95" customHeight="1">
      <c r="A1" t="s" s="188">
        <v>288</v>
      </c>
      <c r="B1" s="189">
        <v>1</v>
      </c>
      <c r="C1" t="s" s="190">
        <v>289</v>
      </c>
      <c r="D1" s="191">
        <v>29013000</v>
      </c>
      <c r="E1" s="191">
        <v>29000000</v>
      </c>
      <c r="F1" s="192"/>
      <c r="G1" s="192"/>
      <c r="H1" t="s" s="193">
        <v>290</v>
      </c>
      <c r="I1" s="191">
        <v>29000000</v>
      </c>
      <c r="J1" s="192"/>
    </row>
    <row r="2" ht="114.95" customHeight="1">
      <c r="A2" t="s" s="194">
        <v>291</v>
      </c>
      <c r="B2" s="195">
        <v>1</v>
      </c>
      <c r="C2" t="s" s="196">
        <v>289</v>
      </c>
      <c r="D2" s="197">
        <v>137986000</v>
      </c>
      <c r="E2" s="197">
        <v>137950000</v>
      </c>
      <c r="F2" s="198"/>
      <c r="G2" s="198"/>
      <c r="H2" t="s" s="199">
        <v>290</v>
      </c>
      <c r="I2" s="197">
        <v>137950000</v>
      </c>
      <c r="J2" s="198"/>
    </row>
    <row r="3" ht="114.95" customHeight="1">
      <c r="A3" t="s" s="188">
        <v>292</v>
      </c>
      <c r="B3" s="189">
        <v>1</v>
      </c>
      <c r="C3" t="s" s="190">
        <v>289</v>
      </c>
      <c r="D3" s="191">
        <v>2870000</v>
      </c>
      <c r="E3" s="191">
        <v>2800000</v>
      </c>
      <c r="F3" s="192"/>
      <c r="G3" s="192"/>
      <c r="H3" t="s" s="193">
        <v>290</v>
      </c>
      <c r="I3" s="191">
        <v>2800000</v>
      </c>
      <c r="J3" s="192"/>
    </row>
    <row r="4" ht="114.95" customHeight="1">
      <c r="A4" t="s" s="194">
        <v>293</v>
      </c>
      <c r="B4" s="195">
        <v>1</v>
      </c>
      <c r="C4" t="s" s="196">
        <v>289</v>
      </c>
      <c r="D4" s="197">
        <v>1985000</v>
      </c>
      <c r="E4" s="197">
        <v>1900000</v>
      </c>
      <c r="F4" s="198"/>
      <c r="G4" s="198"/>
      <c r="H4" t="s" s="199">
        <v>290</v>
      </c>
      <c r="I4" s="197">
        <v>1900000</v>
      </c>
      <c r="J4" s="198"/>
    </row>
    <row r="5" ht="114.95" customHeight="1">
      <c r="A5" t="s" s="188">
        <v>294</v>
      </c>
      <c r="B5" s="189">
        <v>1</v>
      </c>
      <c r="C5" t="s" s="190">
        <v>289</v>
      </c>
      <c r="D5" s="191">
        <v>5370000</v>
      </c>
      <c r="E5" s="191">
        <v>5300000</v>
      </c>
      <c r="F5" s="192"/>
      <c r="G5" s="192"/>
      <c r="H5" t="s" s="193">
        <v>290</v>
      </c>
      <c r="I5" s="191">
        <v>5300000</v>
      </c>
      <c r="J5" s="192"/>
    </row>
    <row r="6" ht="114.95" customHeight="1">
      <c r="A6" t="s" s="194">
        <v>295</v>
      </c>
      <c r="B6" s="195">
        <v>1</v>
      </c>
      <c r="C6" t="s" s="196">
        <v>289</v>
      </c>
      <c r="D6" s="197">
        <v>28900000</v>
      </c>
      <c r="E6" s="197">
        <v>28800000</v>
      </c>
      <c r="F6" s="198"/>
      <c r="G6" s="198"/>
      <c r="H6" t="s" s="199">
        <v>290</v>
      </c>
      <c r="I6" s="197">
        <v>28800000</v>
      </c>
      <c r="J6" s="198"/>
    </row>
    <row r="7" ht="114.95" customHeight="1">
      <c r="A7" t="s" s="188">
        <v>296</v>
      </c>
      <c r="B7" s="189">
        <v>1</v>
      </c>
      <c r="C7" t="s" s="190">
        <v>289</v>
      </c>
      <c r="D7" s="191">
        <v>24450000</v>
      </c>
      <c r="E7" s="191">
        <v>24400000</v>
      </c>
      <c r="F7" s="192"/>
      <c r="G7" s="192"/>
      <c r="H7" t="s" s="193">
        <v>290</v>
      </c>
      <c r="I7" s="191">
        <v>24400000</v>
      </c>
      <c r="J7" s="192"/>
    </row>
    <row r="8" ht="114.95" customHeight="1">
      <c r="A8" t="s" s="194">
        <v>297</v>
      </c>
      <c r="B8" s="195">
        <v>1</v>
      </c>
      <c r="C8" t="s" s="196">
        <v>289</v>
      </c>
      <c r="D8" s="197">
        <v>13670000</v>
      </c>
      <c r="E8" s="197">
        <v>13600000</v>
      </c>
      <c r="F8" s="198"/>
      <c r="G8" s="198"/>
      <c r="H8" t="s" s="199">
        <v>290</v>
      </c>
      <c r="I8" s="197">
        <v>13600000</v>
      </c>
      <c r="J8" s="198"/>
    </row>
    <row r="9" ht="114.95" customHeight="1">
      <c r="A9" t="s" s="188">
        <v>298</v>
      </c>
      <c r="B9" s="189">
        <v>1</v>
      </c>
      <c r="C9" t="s" s="190">
        <v>289</v>
      </c>
      <c r="D9" s="191">
        <v>4343000</v>
      </c>
      <c r="E9" s="191">
        <v>4300000</v>
      </c>
      <c r="F9" s="192"/>
      <c r="G9" s="192"/>
      <c r="H9" t="s" s="193">
        <v>290</v>
      </c>
      <c r="I9" s="191">
        <v>4300000</v>
      </c>
      <c r="J9" s="192"/>
    </row>
    <row r="10" ht="114.95" customHeight="1">
      <c r="A10" t="s" s="194">
        <v>299</v>
      </c>
      <c r="B10" s="195">
        <v>1</v>
      </c>
      <c r="C10" t="s" s="196">
        <v>289</v>
      </c>
      <c r="D10" s="197">
        <v>35879000</v>
      </c>
      <c r="E10" s="197">
        <v>35800000</v>
      </c>
      <c r="F10" s="198"/>
      <c r="G10" s="198"/>
      <c r="H10" t="s" s="199">
        <v>290</v>
      </c>
      <c r="I10" s="197">
        <v>35800000</v>
      </c>
      <c r="J10" s="198"/>
    </row>
    <row r="11" ht="114.95" customHeight="1">
      <c r="A11" t="s" s="188">
        <v>300</v>
      </c>
      <c r="B11" s="189">
        <v>1</v>
      </c>
      <c r="C11" t="s" s="190">
        <v>289</v>
      </c>
      <c r="D11" s="191">
        <v>43412500</v>
      </c>
      <c r="E11" s="191">
        <v>43400000</v>
      </c>
      <c r="F11" s="192"/>
      <c r="G11" s="192"/>
      <c r="H11" t="s" s="193">
        <v>290</v>
      </c>
      <c r="I11" s="191">
        <v>43400000</v>
      </c>
      <c r="J11" s="192"/>
    </row>
    <row r="12" ht="114.95" customHeight="1">
      <c r="A12" t="s" s="194">
        <v>301</v>
      </c>
      <c r="B12" s="195">
        <v>1</v>
      </c>
      <c r="C12" t="s" s="196">
        <v>289</v>
      </c>
      <c r="D12" s="197">
        <v>20548000</v>
      </c>
      <c r="E12" s="197">
        <v>20500000</v>
      </c>
      <c r="F12" s="198"/>
      <c r="G12" s="198"/>
      <c r="H12" t="s" s="199">
        <v>290</v>
      </c>
      <c r="I12" s="197">
        <v>20500000</v>
      </c>
      <c r="J12" s="198"/>
    </row>
  </sheetData>
  <hyperlinks>
    <hyperlink ref="A1" r:id="rId1" location="" tooltip="" display="4826201999-B,A-197662283&#10;CORE DRAILING TEST"/>
    <hyperlink ref="A2" r:id="rId2" location="" tooltip="" display="4826201999-B,A-197662770&#10;mesin indotes comprestion"/>
    <hyperlink ref="A3" r:id="rId3" location="" tooltip="" display="4826201999-B,A-197663000&#10;ALAT TES SAND CONEE"/>
    <hyperlink ref="A4" r:id="rId4" location="" tooltip="" display="4826201999-B,A-197663212&#10;TEST SLUMP SET"/>
    <hyperlink ref="A5" r:id="rId5" location="" tooltip="" display="4826201999-B,A-197099993&#10;LABORATORY PENETRASI TEST SET"/>
    <hyperlink ref="A6" r:id="rId6" location="" tooltip="" display="4826201999-B,A-197370797&#10;mesin los angeles abrasi"/>
    <hyperlink ref="A7" r:id="rId7" location="" tooltip="" display="4826201999-B,A-197098002&#10;Laboratory CBR test"/>
    <hyperlink ref="A8" r:id="rId8" location="" tooltip="" display="4826201999-B,A-197087439&#10;BENKLEMAN BEAM"/>
    <hyperlink ref="A9" r:id="rId9" location="" tooltip="" display="4826201999-B,A-197102352&#10;Length gauge / alat uji batuan / alat teknik sipil / aggregate"/>
    <hyperlink ref="A10" r:id="rId10" location="" tooltip="" display="4826201999-B,A-197106916&#10;STANDARD PENETRASION TEST"/>
    <hyperlink ref="A11" r:id="rId11" location="" tooltip="" display="4826201999-B,A-197084362&#10;AUTOMATIC COMPACTOR ASPHALT"/>
    <hyperlink ref="A12" r:id="rId12" location="" tooltip="" display="4826201999-B,A-197092305&#10;DIGITAL CONCRETE HAMMER TEST SADT HT 225D"/>
  </hyperlink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72.xml><?xml version="1.0" encoding="utf-8"?>
<worksheet xmlns:r="http://schemas.openxmlformats.org/officeDocument/2006/relationships" xmlns="http://schemas.openxmlformats.org/spreadsheetml/2006/main">
  <sheetPr>
    <pageSetUpPr fitToPage="1"/>
  </sheetPr>
  <dimension ref="A2:K15"/>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31.9141" style="200" customWidth="1"/>
    <col min="2" max="2" width="8.67188" style="200" customWidth="1"/>
    <col min="3" max="3" width="8.17188" style="200" customWidth="1"/>
    <col min="4" max="9" width="16.3516" style="200" customWidth="1"/>
    <col min="10" max="10" width="50.8438" style="200" customWidth="1"/>
    <col min="11" max="11" width="60.1328" style="200" customWidth="1"/>
    <col min="12" max="16384" width="16.3516" style="200" customWidth="1"/>
  </cols>
  <sheetData>
    <row r="1" ht="30.55" customHeight="1">
      <c r="A1" t="s" s="201">
        <v>303</v>
      </c>
      <c r="B1" s="201"/>
      <c r="C1" s="201"/>
      <c r="D1" s="201"/>
      <c r="E1" s="201"/>
      <c r="F1" s="201"/>
      <c r="G1" s="201"/>
      <c r="H1" s="201"/>
      <c r="I1" s="201"/>
      <c r="J1" s="201"/>
      <c r="K1" s="201"/>
    </row>
    <row r="2" ht="20.55" customHeight="1">
      <c r="A2" t="s" s="202">
        <v>305</v>
      </c>
      <c r="B2" t="s" s="203">
        <v>306</v>
      </c>
      <c r="C2" t="s" s="203">
        <v>307</v>
      </c>
      <c r="D2" t="s" s="203">
        <v>13</v>
      </c>
      <c r="E2" t="s" s="203">
        <v>308</v>
      </c>
      <c r="F2" t="s" s="203">
        <v>309</v>
      </c>
      <c r="G2" s="204"/>
      <c r="H2" s="204"/>
      <c r="I2" s="204"/>
      <c r="J2" t="s" s="203">
        <v>310</v>
      </c>
      <c r="K2" t="s" s="205">
        <v>311</v>
      </c>
    </row>
    <row r="3" ht="104.3" customHeight="1">
      <c r="A3" t="s" s="206">
        <v>312</v>
      </c>
      <c r="B3" s="207">
        <v>1</v>
      </c>
      <c r="C3" t="s" s="208">
        <v>275</v>
      </c>
      <c r="D3" s="209" cm="1">
        <f t="array" ref="D3">#REF!</f>
      </c>
      <c r="E3" s="210">
        <v>29013000</v>
      </c>
      <c r="F3" s="210">
        <v>29000000</v>
      </c>
      <c r="G3" s="209" cm="1">
        <f t="array" ref="G3">ROUNDDOWN(10/11.1*D3,2)</f>
      </c>
      <c r="H3" s="211" cm="1">
        <f t="array" ref="H3">ROUNDDOWN(10/11.1*E3,2)</f>
        <v>26137837.83</v>
      </c>
      <c r="I3" s="211" cm="1">
        <f t="array" ref="I3">ROUNDDOWN(10/11.1*F3,2)</f>
        <v>26126126.12</v>
      </c>
      <c r="J3" t="str" s="209" cm="1">
        <f t="array" ref="J3">'alat lab - Tabel 1'!$B6</f>
        <v>Sand cone test set Spesifikasi: ASTM D-1556, AASHTO T-191 For determining the density of compacted soil in place. SO-401 Sand Cone Bottle Plastic, 4 ltr cap. approx. 1 Pc SO-402 Sand Cone Funnel Seamless metal, turning stoper, 6 1/ 2 " </v>
      </c>
      <c r="K3" t="s" s="212">
        <v>290</v>
      </c>
    </row>
    <row r="4" ht="67.95" customHeight="1">
      <c r="A4" t="s" s="213">
        <v>313</v>
      </c>
      <c r="B4" s="214">
        <v>1</v>
      </c>
      <c r="C4" t="s" s="215">
        <v>275</v>
      </c>
      <c r="D4" s="216" cm="1">
        <f t="array" ref="D4">#REF!</f>
      </c>
      <c r="E4" s="217">
        <v>137986000</v>
      </c>
      <c r="F4" s="217">
        <v>137950000</v>
      </c>
      <c r="G4" s="216" cm="1">
        <f t="array" ref="G4">ROUNDDOWN(10/11.1*D4,2)</f>
      </c>
      <c r="H4" s="218" cm="1">
        <f t="array" ref="H4">ROUNDDOWN(10/11.1*E4,2)</f>
        <v>124311711.71</v>
      </c>
      <c r="I4" s="218" cm="1">
        <f t="array" ref="I4">ROUNDDOWN(10/11.1*F4,2)</f>
        <v>124279279.27</v>
      </c>
      <c r="J4" t="str" s="216" cm="1">
        <f t="array" ref="J4">'alat lab - Tabel 1'!$B7</f>
        <v>SLUMP TEST SET / LAB BETON / ALAT LAB TEKNIK SIPIL Spesifikasi: ASTM C - 143, AASHTO T - 119, For determing slump/workability, of concrete both in the, laboratory and in the field. 
Slump Test set </v>
      </c>
      <c r="K4" t="s" s="219">
        <v>290</v>
      </c>
    </row>
    <row r="5" ht="103.95" customHeight="1">
      <c r="A5" t="s" s="213">
        <v>314</v>
      </c>
      <c r="B5" s="220">
        <v>1</v>
      </c>
      <c r="C5" t="s" s="221">
        <v>275</v>
      </c>
      <c r="D5" s="222" cm="1">
        <f t="array" ref="D5">#REF!</f>
      </c>
      <c r="E5" s="223">
        <v>2870000</v>
      </c>
      <c r="F5" s="223">
        <v>2800000</v>
      </c>
      <c r="G5" s="222" cm="1">
        <f t="array" ref="G5">ROUNDDOWN(10/11.1*D5,2)</f>
      </c>
      <c r="H5" s="224" cm="1">
        <f t="array" ref="H5">ROUNDDOWN(10/11.1*E5,2)</f>
        <v>2585585.58</v>
      </c>
      <c r="I5" s="224" cm="1">
        <f t="array" ref="I5">ROUNDDOWN(10/11.1*F5,2)</f>
        <v>2522522.52</v>
      </c>
      <c r="J5" t="str" s="222" cm="1">
        <f t="array" ref="J5">'alat lab - Tabel 1'!$B5</f>
        <v>INDOTEST COMPRESSION MACHINE HAND OPERATED, 2000 KN CAPACITY Spesifikasi: DIGITAL COMPRESSION MACHINE ASTM C - 39 Cap : Hard-chormed piston, 230 mm dia max working pressure 2.000 kN Overal dimension 300 mm dia x 320 mm height. Single action, gravity return Hydraulic Pump : Hand operated, single action 6.000 ml reservoir cap max working pressure 50.000 kPa. </v>
      </c>
      <c r="K5" t="s" s="225">
        <v>290</v>
      </c>
    </row>
    <row r="6" ht="55.95" customHeight="1">
      <c r="A6" t="s" s="213">
        <v>315</v>
      </c>
      <c r="B6" s="214">
        <v>1</v>
      </c>
      <c r="C6" t="s" s="215">
        <v>275</v>
      </c>
      <c r="D6" s="216" cm="1">
        <f t="array" ref="D6">#REF!</f>
      </c>
      <c r="E6" s="217">
        <v>1985000</v>
      </c>
      <c r="F6" s="217">
        <v>1900000</v>
      </c>
      <c r="G6" s="216" cm="1">
        <f t="array" ref="G6">ROUNDDOWN(10/11.1*D6,2)</f>
      </c>
      <c r="H6" s="218" cm="1">
        <f t="array" ref="H6">ROUNDDOWN(10/11.1*E6,2)</f>
        <v>1788288.28</v>
      </c>
      <c r="I6" s="218" cm="1">
        <f t="array" ref="I6">ROUNDDOWN(10/11.1*F6,2)</f>
        <v>1711711.71</v>
      </c>
      <c r="J6" t="str" s="216" cm="1">
        <f t="array" ref="J6">'alat lab - Tabel 1'!$B4</f>
        <v>CORE DRILLING TEST SET Spesifikasi: Diamont bit 4" Hoffman </v>
      </c>
      <c r="K6" t="s" s="219">
        <v>290</v>
      </c>
    </row>
    <row r="7" ht="115.95" customHeight="1">
      <c r="A7" t="s" s="213">
        <v>316</v>
      </c>
      <c r="B7" s="220">
        <v>1</v>
      </c>
      <c r="C7" t="s" s="221">
        <v>275</v>
      </c>
      <c r="D7" s="222" cm="1">
        <f t="array" ref="D7">#REF!</f>
      </c>
      <c r="E7" s="223">
        <v>5370000</v>
      </c>
      <c r="F7" s="223">
        <v>5300000</v>
      </c>
      <c r="G7" s="222" cm="1">
        <f t="array" ref="G7">ROUNDDOWN(10/11.1*D7,2)</f>
      </c>
      <c r="H7" s="224" cm="1">
        <f t="array" ref="H7">ROUNDDOWN(10/11.1*E7,2)</f>
        <v>4837837.83</v>
      </c>
      <c r="I7" s="224" cm="1">
        <f t="array" ref="I7">ROUNDDOWN(10/11.1*F7,2)</f>
        <v>4774774.77</v>
      </c>
      <c r="J7" t="str" s="222" cm="1">
        <f t="array" ref="J7">'alat lab - Tabel 1'!$B13</f>
        <v>STANDARD PENETRASION TEST Spesifikasi: ASTM D-1586 AASHTO T-206. For driving a split barrel sampler to obtain a representative soil sample and measure the soil resistance to penetration. 
SO-131 Split Barrel Sampler Herdened machined steel, 1 3/ 8 " i.d., 18 " length 1 Set SO-132 Sampling Rod Steel pipe, 
1.5 m length 20 Pcs SO-133 Drive Weight Assembly </v>
      </c>
      <c r="K7" t="s" s="225">
        <v>290</v>
      </c>
    </row>
    <row r="8" ht="91.95" customHeight="1">
      <c r="A8" t="s" s="213">
        <v>317</v>
      </c>
      <c r="B8" s="214">
        <v>1</v>
      </c>
      <c r="C8" t="s" s="215">
        <v>275</v>
      </c>
      <c r="D8" s="216" cm="1">
        <f t="array" ref="D8">#REF!</f>
      </c>
      <c r="E8" s="217">
        <v>28900000</v>
      </c>
      <c r="F8" s="217">
        <v>28800000</v>
      </c>
      <c r="G8" s="216" cm="1">
        <f t="array" ref="G8">ROUNDDOWN(10/11.1*D8,2)</f>
      </c>
      <c r="H8" s="218" cm="1">
        <f t="array" ref="H8">ROUNDDOWN(10/11.1*E8,2)</f>
        <v>26036036.03</v>
      </c>
      <c r="I8" s="218" cm="1">
        <f t="array" ref="I8">ROUNDDOWN(10/11.1*F8,2)</f>
        <v>25945945.94</v>
      </c>
      <c r="J8" t="str" s="216" cm="1">
        <f t="array" ref="J8">'alat lab - Tabel 1'!$B15</f>
        <v>DIGITAL CONCRETE HAMMER TEST SADT HT 225D + Calibration Report Spesifikasi: N/mm Impact energy : 0,225kgm (2,207Nm) Accuracy : 0,1R Communication : USB2,0 Memory Capacity : data for 4000 concrete structure Operating temperature : -40 ~ 60C Power : 3,7V Li-ion Rechargeable Dimensions : 280x75x60mm </v>
      </c>
      <c r="K8" t="s" s="219">
        <v>290</v>
      </c>
    </row>
    <row r="9" ht="55.95" customHeight="1">
      <c r="A9" t="s" s="213">
        <v>318</v>
      </c>
      <c r="B9" s="220">
        <v>1</v>
      </c>
      <c r="C9" t="s" s="221">
        <v>275</v>
      </c>
      <c r="D9" s="222" cm="1">
        <f t="array" ref="D9">#REF!</f>
      </c>
      <c r="E9" s="223">
        <v>24450000</v>
      </c>
      <c r="F9" s="223">
        <v>24400000</v>
      </c>
      <c r="G9" s="222" cm="1">
        <f t="array" ref="G9">ROUNDDOWN(10/11.1*D9,2)</f>
      </c>
      <c r="H9" s="224" cm="1">
        <f t="array" ref="H9">ROUNDDOWN(10/11.1*E9,2)</f>
        <v>22027027.02</v>
      </c>
      <c r="I9" s="224" cm="1">
        <f t="array" ref="I9">ROUNDDOWN(10/11.1*F9,2)</f>
        <v>21981981.98</v>
      </c>
      <c r="J9" t="str" s="222" cm="1">
        <f t="array" ref="J9">'alat lab - Tabel 1'!$B12</f>
        <v>Length gauge / alat uji batuan / alat teknik sipil / aggregate Spesifikasi: For rapid measuring the length of aggregates. Hard wood base, steel base plate, distance : 89.0, 62.86, 39.9, 28.5, 20.1, 14.2 mm </v>
      </c>
      <c r="K9" t="s" s="225">
        <v>290</v>
      </c>
    </row>
    <row r="10" ht="55.95" customHeight="1">
      <c r="A10" t="s" s="213">
        <v>319</v>
      </c>
      <c r="B10" s="214">
        <v>1</v>
      </c>
      <c r="C10" t="s" s="215">
        <v>275</v>
      </c>
      <c r="D10" s="216" cm="1">
        <f t="array" ref="D10">#REF!</f>
      </c>
      <c r="E10" s="217">
        <v>13670000</v>
      </c>
      <c r="F10" s="217">
        <v>13600000</v>
      </c>
      <c r="G10" s="216" cm="1">
        <f t="array" ref="G10">ROUNDDOWN(10/11.1*D10,2)</f>
      </c>
      <c r="H10" s="218" cm="1">
        <f t="array" ref="H10">ROUNDDOWN(10/11.1*E10,2)</f>
        <v>12315315.31</v>
      </c>
      <c r="I10" s="218" cm="1">
        <f t="array" ref="I10">ROUNDDOWN(10/11.1*F10,2)</f>
        <v>12252252.25</v>
      </c>
      <c r="J10" t="str" s="216" cm="1">
        <f t="array" ref="J10">'alat lab - Tabel 1'!$B11</f>
        <v>BENKLEMAN BEAM Spesifikasi: MBT BENKLEMAN BEAM </v>
      </c>
      <c r="K10" t="s" s="219">
        <v>290</v>
      </c>
    </row>
    <row r="11" ht="55.95" customHeight="1">
      <c r="A11" t="s" s="213">
        <v>320</v>
      </c>
      <c r="B11" s="220">
        <v>1</v>
      </c>
      <c r="C11" t="s" s="221">
        <v>275</v>
      </c>
      <c r="D11" s="222" cm="1">
        <f t="array" ref="D11">#REF!</f>
      </c>
      <c r="E11" s="223">
        <v>4343000</v>
      </c>
      <c r="F11" s="223">
        <v>4300000</v>
      </c>
      <c r="G11" s="222" cm="1">
        <f t="array" ref="G11">ROUNDDOWN(10/11.1*D11,2)</f>
      </c>
      <c r="H11" s="224" cm="1">
        <f t="array" ref="H11">ROUNDDOWN(10/11.1*E11,2)</f>
        <v>3912612.61</v>
      </c>
      <c r="I11" s="224" cm="1">
        <f t="array" ref="I11">ROUNDDOWN(10/11.1*F11,2)</f>
        <v>3873873.87</v>
      </c>
      <c r="J11" t="str" s="222" cm="1">
        <f t="array" ref="J11">'alat lab - Tabel 1'!$B8</f>
        <v>LABORATORY PENETRASI TEST SET Spesifikasi: ASTM D-5 AASHTHO T-49 </v>
      </c>
      <c r="K11" t="s" s="225">
        <v>290</v>
      </c>
    </row>
    <row r="12" ht="91.95" customHeight="1">
      <c r="A12" t="s" s="213">
        <v>321</v>
      </c>
      <c r="B12" s="214">
        <v>1</v>
      </c>
      <c r="C12" t="s" s="215">
        <v>275</v>
      </c>
      <c r="D12" s="216" cm="1">
        <f t="array" ref="D12">#REF!</f>
      </c>
      <c r="E12" s="217">
        <v>35879000</v>
      </c>
      <c r="F12" s="217">
        <v>35800000</v>
      </c>
      <c r="G12" s="216" cm="1">
        <f t="array" ref="G12">ROUNDDOWN(10/11.1*D12,2)</f>
      </c>
      <c r="H12" s="218" cm="1">
        <f t="array" ref="H12">ROUNDDOWN(10/11.1*E12,2)</f>
        <v>32323423.42</v>
      </c>
      <c r="I12" s="218" cm="1">
        <f t="array" ref="I12">ROUNDDOWN(10/11.1*F12,2)</f>
        <v>32252252.25</v>
      </c>
      <c r="J12" t="str" s="216" cm="1">
        <f t="array" ref="J12">'alat lab - Tabel 1'!$B9</f>
        <v>Los angeles abration machine Spesifikasi: ASTM C-131 AASHTO T-96, For measuring degradation of abration,impact and griding. ASTM C-131/AASHTO T-96, For measuring the gradation of mineral aggregate form abrasion Impact and grinding kineral aggregates from</v>
      </c>
      <c r="K12" t="s" s="219">
        <v>290</v>
      </c>
    </row>
    <row r="13" ht="91.95" customHeight="1">
      <c r="A13" t="s" s="213">
        <v>322</v>
      </c>
      <c r="B13" s="220">
        <v>1</v>
      </c>
      <c r="C13" t="s" s="221">
        <v>275</v>
      </c>
      <c r="D13" s="222" cm="1">
        <f t="array" ref="D13">#REF!</f>
      </c>
      <c r="E13" s="223">
        <v>43412500</v>
      </c>
      <c r="F13" s="223">
        <v>43400000</v>
      </c>
      <c r="G13" s="222" cm="1">
        <f t="array" ref="G13">ROUNDDOWN(10/11.1*D13,2)</f>
      </c>
      <c r="H13" s="224" cm="1">
        <f t="array" ref="H13">ROUNDDOWN(10/11.1*E13,2)</f>
        <v>39110360.36</v>
      </c>
      <c r="I13" s="224" cm="1">
        <f t="array" ref="I13">ROUNDDOWN(10/11.1*F13,2)</f>
        <v>39099099.09</v>
      </c>
      <c r="J13" t="str" s="222" cm="1">
        <f t="array" ref="J13">'alat lab - Tabel 1'!$B14</f>
        <v>AUTOMATIC COMPACTOR ASPHALT / AUTOMATIC ASPAL COMPACTOR Spesifikasi: Mounted on separate pedestal to prevent shock; power; start and counter : Push Button; Count Setting and push button reset Hammer 10 lb (4.54 kg) weight with 18” (457 mm) drop, circular face. Raising mechanism: lever with retaining pin; catches and 
lift hammer, separated quide pins for 4Inch (101 mm) </v>
      </c>
      <c r="K13" t="s" s="225">
        <v>290</v>
      </c>
    </row>
    <row r="14" ht="80.3" customHeight="1">
      <c r="A14" t="s" s="226">
        <v>323</v>
      </c>
      <c r="B14" s="227">
        <v>1</v>
      </c>
      <c r="C14" t="s" s="228">
        <v>275</v>
      </c>
      <c r="D14" s="229" cm="1">
        <f t="array" ref="D14">#REF!</f>
      </c>
      <c r="E14" s="230">
        <v>20548000</v>
      </c>
      <c r="F14" s="230">
        <v>20500000</v>
      </c>
      <c r="G14" s="229" cm="1">
        <f t="array" ref="G14">ROUNDDOWN(10/11.1*D14,2)</f>
      </c>
      <c r="H14" s="231" cm="1">
        <f t="array" ref="H14">ROUNDDOWN(10/11.1*E14,2)</f>
        <v>18511711.71</v>
      </c>
      <c r="I14" s="231" cm="1">
        <f t="array" ref="I14">ROUNDDOWN(10/11.1*F14,2)</f>
        <v>18468468.46</v>
      </c>
      <c r="J14" t="str" s="229" cm="1">
        <f t="array" ref="J14">'alat lab - Tabel 1'!$B10</f>
        <v>Laboratory CBR test Spesifikasi: ASTM D-1883 AASHTO T-193 For determining the bearing ratio of soil. Electrical Loading Machine Electric, 220 V-AC, 1/2 HP, 1 Phase, speed 0.05/min reversing switch, 10.000 lbs capacity 1 Set </v>
      </c>
      <c r="K14" t="s" s="232">
        <v>290</v>
      </c>
    </row>
    <row r="15" ht="20.55" customHeight="1">
      <c r="A15" s="233"/>
      <c r="B15" s="234"/>
      <c r="C15" s="234"/>
      <c r="D15" s="234" cm="1">
        <f t="array" ref="D15">SUM(D3:D14)</f>
      </c>
      <c r="E15" s="235" cm="1">
        <f t="array" ref="E15">SUM(E3:E14)</f>
        <v>348426500</v>
      </c>
      <c r="F15" s="235" cm="1">
        <f t="array" ref="F15">SUM(F3:F14)</f>
        <v>347750000</v>
      </c>
      <c r="G15" s="234" cm="1">
        <f t="array" ref="G15">SUM(G3:G14)</f>
      </c>
      <c r="H15" s="236" cm="1">
        <f t="array" ref="H15">SUM(H3:H14)</f>
        <v>313897747.69</v>
      </c>
      <c r="I15" s="236" cm="1">
        <f t="array" ref="I15">SUM(I3:I14)</f>
        <v>313288288.23</v>
      </c>
      <c r="J15" s="234"/>
      <c r="K15" s="237"/>
    </row>
  </sheetData>
  <mergeCells count="1">
    <mergeCell ref="A1:K1"/>
  </mergeCells>
  <pageMargins left="0.393701" right="0.393701" top="0.787402" bottom="1" header="0.25" footer="0.25"/>
  <pageSetup firstPageNumber="1" fitToHeight="1" fitToWidth="1" scale="100" useFirstPageNumber="0" orientation="landscape" pageOrder="downThenOver"/>
  <headerFooter>
    <oddFooter>&amp;C&amp;"Helvetica Neue,Regular"&amp;12&amp;K000000&amp;P</oddFooter>
  </headerFooter>
</worksheet>
</file>

<file path=xl/worksheets/sheet73.xml><?xml version="1.0" encoding="utf-8"?>
<worksheet xmlns:r="http://schemas.openxmlformats.org/officeDocument/2006/relationships" xmlns="http://schemas.openxmlformats.org/spreadsheetml/2006/main">
  <dimension ref="A2:D17"/>
  <sheetViews>
    <sheetView workbookViewId="0" showGridLines="0" defaultGridColor="1">
      <pane topLeftCell="B3" xSplit="1" ySplit="2" activePane="bottomRight" state="frozen"/>
    </sheetView>
  </sheetViews>
  <sheetFormatPr defaultColWidth="16.3333" defaultRowHeight="21.65" customHeight="1" outlineLevelRow="0" outlineLevelCol="0"/>
  <cols>
    <col min="1" max="1" width="16.3516" style="238" customWidth="1"/>
    <col min="2" max="2" width="53.0078" style="238" customWidth="1"/>
    <col min="3" max="3" width="36.3594" style="238" customWidth="1"/>
    <col min="4" max="4" width="16.3516" style="238" customWidth="1"/>
    <col min="5" max="16384" width="16.3516" style="238" customWidth="1"/>
  </cols>
  <sheetData>
    <row r="1" ht="30" customHeight="1">
      <c r="A1" t="s" s="239">
        <v>325</v>
      </c>
      <c r="B1" s="239"/>
      <c r="C1" s="239"/>
      <c r="D1" s="239"/>
    </row>
    <row r="2" ht="22.6" customHeight="1">
      <c r="A2" t="s" s="240">
        <v>6</v>
      </c>
      <c r="B2" t="s" s="241">
        <v>327</v>
      </c>
      <c r="C2" t="s" s="241">
        <v>328</v>
      </c>
      <c r="D2" t="s" s="242">
        <v>329</v>
      </c>
    </row>
    <row r="3" ht="22.5" customHeight="1">
      <c r="A3" s="243"/>
      <c r="B3" s="244"/>
      <c r="C3" s="244"/>
      <c r="D3" s="245"/>
    </row>
    <row r="4" ht="36.5" customHeight="1">
      <c r="A4" s="243"/>
      <c r="B4" t="s" s="246">
        <v>273</v>
      </c>
      <c r="C4" s="247"/>
      <c r="D4" s="248"/>
    </row>
    <row r="5" ht="64.5" customHeight="1">
      <c r="A5" s="249">
        <v>1</v>
      </c>
      <c r="B5" t="s" s="250">
        <v>278</v>
      </c>
      <c r="C5" t="s" s="250">
        <v>330</v>
      </c>
      <c r="D5" s="245"/>
    </row>
    <row r="6" ht="120.5" customHeight="1">
      <c r="A6" s="249">
        <v>2</v>
      </c>
      <c r="B6" t="s" s="246">
        <v>277</v>
      </c>
      <c r="C6" t="s" s="246">
        <v>330</v>
      </c>
      <c r="D6" s="248"/>
    </row>
    <row r="7" ht="64.5" customHeight="1">
      <c r="A7" s="249">
        <v>3</v>
      </c>
      <c r="B7" t="s" s="250">
        <v>274</v>
      </c>
      <c r="C7" t="s" s="250">
        <v>330</v>
      </c>
      <c r="D7" s="245"/>
    </row>
    <row r="8" ht="120.5" customHeight="1">
      <c r="A8" s="249">
        <v>4</v>
      </c>
      <c r="B8" t="s" s="246">
        <v>276</v>
      </c>
      <c r="C8" t="s" s="246">
        <v>330</v>
      </c>
      <c r="D8" s="248"/>
    </row>
    <row r="9" ht="64.5" customHeight="1">
      <c r="A9" s="249">
        <v>5</v>
      </c>
      <c r="B9" t="s" s="250">
        <v>283</v>
      </c>
      <c r="C9" t="s" s="250">
        <v>330</v>
      </c>
      <c r="D9" s="245"/>
    </row>
    <row r="10" ht="134.5" customHeight="1">
      <c r="A10" s="249">
        <v>6</v>
      </c>
      <c r="B10" t="s" s="246">
        <v>284</v>
      </c>
      <c r="C10" t="s" s="246">
        <v>330</v>
      </c>
      <c r="D10" s="248"/>
    </row>
    <row r="11" ht="92.5" customHeight="1">
      <c r="A11" s="249">
        <v>7</v>
      </c>
      <c r="B11" t="s" s="250">
        <v>286</v>
      </c>
      <c r="C11" t="s" s="250">
        <v>330</v>
      </c>
      <c r="D11" s="245"/>
    </row>
    <row r="12" ht="64.5" customHeight="1">
      <c r="A12" s="249">
        <v>8</v>
      </c>
      <c r="B12" t="s" s="246">
        <v>282</v>
      </c>
      <c r="C12" t="s" s="246">
        <v>330</v>
      </c>
      <c r="D12" s="248"/>
    </row>
    <row r="13" ht="78.5" customHeight="1">
      <c r="A13" s="249">
        <v>9</v>
      </c>
      <c r="B13" t="s" s="250">
        <v>281</v>
      </c>
      <c r="C13" t="s" s="250">
        <v>330</v>
      </c>
      <c r="D13" s="245"/>
    </row>
    <row r="14" ht="64.5" customHeight="1">
      <c r="A14" s="249">
        <v>10</v>
      </c>
      <c r="B14" t="s" s="246">
        <v>279</v>
      </c>
      <c r="C14" t="s" s="246">
        <v>330</v>
      </c>
      <c r="D14" s="248"/>
    </row>
    <row r="15" ht="106.5" customHeight="1">
      <c r="A15" s="249">
        <v>11</v>
      </c>
      <c r="B15" t="s" s="250">
        <v>285</v>
      </c>
      <c r="C15" t="s" s="250">
        <v>330</v>
      </c>
      <c r="D15" s="245"/>
    </row>
    <row r="16" ht="106.75" customHeight="1">
      <c r="A16" s="251">
        <v>12</v>
      </c>
      <c r="B16" t="s" s="252">
        <v>280</v>
      </c>
      <c r="C16" t="s" s="252">
        <v>330</v>
      </c>
      <c r="D16" s="253"/>
    </row>
    <row r="17" ht="22.85" customHeight="1">
      <c r="A17" s="254"/>
      <c r="B17" s="255"/>
      <c r="C17" s="255"/>
      <c r="D17" s="256"/>
    </row>
  </sheetData>
  <mergeCells count="1">
    <mergeCell ref="A1:D1"/>
  </mergeCell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xl/worksheets/sheet74.xml><?xml version="1.0" encoding="utf-8"?>
<worksheet xmlns:r="http://schemas.openxmlformats.org/officeDocument/2006/relationships" xmlns="http://schemas.openxmlformats.org/spreadsheetml/2006/main">
  <sheetPr>
    <pageSetUpPr fitToPage="1"/>
  </sheetPr>
  <dimension ref="A1:N38"/>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257" customWidth="1"/>
    <col min="2" max="2" width="43.0312" style="257" customWidth="1"/>
    <col min="3" max="3" width="2.75" style="257" customWidth="1"/>
    <col min="4" max="6" width="10.3672" style="257" customWidth="1"/>
    <col min="7" max="7" width="11.6875" style="257" customWidth="1"/>
    <col min="8" max="11" width="13.5156" style="257" customWidth="1"/>
    <col min="12" max="14" width="14.2344" style="257" customWidth="1"/>
    <col min="15" max="16384" width="16.3516" style="257"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16</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t="s" s="18">
        <v>17</v>
      </c>
      <c r="B4" t="s" s="19">
        <v>18</v>
      </c>
      <c r="C4" s="20"/>
      <c r="D4" s="21">
        <v>1</v>
      </c>
      <c r="E4" s="21" cm="1">
        <f t="array" ref="E4">D4</f>
        <v>1</v>
      </c>
      <c r="F4" s="21" cm="1">
        <f t="array" ref="F4">D4</f>
        <v>1</v>
      </c>
      <c r="G4" t="s" s="22">
        <v>19</v>
      </c>
      <c r="H4" s="21">
        <v>3749000</v>
      </c>
      <c r="I4" s="21">
        <v>3704150</v>
      </c>
      <c r="J4" s="21">
        <v>3704150</v>
      </c>
      <c r="K4" s="21">
        <v>11</v>
      </c>
      <c r="L4" s="21" cm="1">
        <f t="array" ref="L4">IF(D4&gt;0,IF($D4&lt;=0,0,D4*H4),"")</f>
        <v>3749000</v>
      </c>
      <c r="M4" s="21" cm="1">
        <f t="array" ref="M4">IF(E4&gt;0,IF($D4&lt;=0,0,ROUND(E4*I4,2)),"")</f>
        <v>3704150</v>
      </c>
      <c r="N4" s="23" cm="1">
        <f t="array" ref="N4">IF(F4&gt;0,IF($D4&lt;=0,0,ROUND(F4*J4,2)),"")</f>
        <v>3704150</v>
      </c>
    </row>
    <row r="5" ht="20.5" customHeight="1">
      <c r="A5" t="s" s="18">
        <v>20</v>
      </c>
      <c r="B5" t="s" s="19">
        <v>21</v>
      </c>
      <c r="C5" s="24"/>
      <c r="D5" s="25">
        <v>1</v>
      </c>
      <c r="E5" s="26" cm="1">
        <f t="array" ref="E5">D5</f>
        <v>1</v>
      </c>
      <c r="F5" s="26" cm="1">
        <f t="array" ref="F5">D5</f>
        <v>1</v>
      </c>
      <c r="G5" t="s" s="27">
        <v>19</v>
      </c>
      <c r="H5" s="26">
        <v>660000</v>
      </c>
      <c r="I5" s="26">
        <v>620000</v>
      </c>
      <c r="J5" s="26">
        <v>620000</v>
      </c>
      <c r="K5" s="26">
        <v>11</v>
      </c>
      <c r="L5" s="26" cm="1">
        <f t="array" ref="L5">IF(D5&gt;0,IF($D5&lt;=0,0,D5*H5),"")</f>
        <v>660000</v>
      </c>
      <c r="M5" s="26" cm="1">
        <f t="array" ref="M5">IF(E5&gt;0,IF($D5&lt;=0,0,ROUND(E5*I5,2)),"")</f>
        <v>620000</v>
      </c>
      <c r="N5" s="28" cm="1">
        <f t="array" ref="N5">IF(F5&gt;0,IF($D5&lt;=0,0,ROUND(F5*J5,2)),"")</f>
        <v>620000</v>
      </c>
    </row>
    <row r="6" ht="20.5" customHeight="1">
      <c r="A6" t="s" s="18">
        <v>22</v>
      </c>
      <c r="B6" t="s" s="19">
        <v>23</v>
      </c>
      <c r="C6" s="20"/>
      <c r="D6" s="21">
        <v>1</v>
      </c>
      <c r="E6" s="21" cm="1">
        <f t="array" ref="E6">D6</f>
        <v>1</v>
      </c>
      <c r="F6" s="21" cm="1">
        <f t="array" ref="F6">D6</f>
        <v>1</v>
      </c>
      <c r="G6" t="s" s="22">
        <v>19</v>
      </c>
      <c r="H6" s="21">
        <v>300000</v>
      </c>
      <c r="I6" s="21">
        <v>290000</v>
      </c>
      <c r="J6" s="21">
        <v>290000</v>
      </c>
      <c r="K6" s="21">
        <v>11</v>
      </c>
      <c r="L6" s="21" cm="1">
        <f t="array" ref="L6">IF(D6&gt;0,IF($D6&lt;=0,0,D6*H6),"")</f>
        <v>300000</v>
      </c>
      <c r="M6" s="21" cm="1">
        <f t="array" ref="M6">IF(E6&gt;0,IF($D6&lt;=0,0,ROUND(E6*I6,2)),"")</f>
        <v>290000</v>
      </c>
      <c r="N6" s="23" cm="1">
        <f t="array" ref="N6">IF(F6&gt;0,IF($D6&lt;=0,0,ROUND(F6*J6,2)),"")</f>
        <v>290000</v>
      </c>
    </row>
    <row r="7" ht="20.5" customHeight="1">
      <c r="A7" s="29"/>
      <c r="B7" t="s" s="19">
        <v>28</v>
      </c>
      <c r="C7" s="24"/>
      <c r="D7" s="30"/>
      <c r="E7" s="26"/>
      <c r="F7" s="26"/>
      <c r="G7" s="30"/>
      <c r="H7" s="26"/>
      <c r="I7" s="30"/>
      <c r="J7" s="30"/>
      <c r="K7" s="26"/>
      <c r="L7" t="str" s="30" cm="1">
        <f t="array" ref="L7">IF(D7&gt;0,IF($D7&lt;=0,0,D7*H7),"")</f>
      </c>
      <c r="M7" t="str" s="30" cm="1">
        <f t="array" ref="M7">IF(E7&gt;0,IF($D7&lt;=0,0,ROUND(E7*I7,2)),"")</f>
      </c>
      <c r="N7" t="str" s="31" cm="1">
        <f t="array" ref="N7">IF(F7&gt;0,IF($D7&lt;=0,0,ROUND(F7*J7,2)),"")</f>
      </c>
    </row>
    <row r="8" ht="20.5" customHeight="1">
      <c r="A8" t="s" s="18">
        <v>31</v>
      </c>
      <c r="B8" t="s" s="19">
        <v>32</v>
      </c>
      <c r="C8" s="20"/>
      <c r="D8" s="78">
        <v>53</v>
      </c>
      <c r="E8" s="21" cm="1">
        <f t="array" ref="E8">D8</f>
        <v>53</v>
      </c>
      <c r="F8" s="21" cm="1">
        <f t="array" ref="F8">D8</f>
        <v>53</v>
      </c>
      <c r="G8" t="s" s="22">
        <v>27</v>
      </c>
      <c r="H8" s="21">
        <v>236792.95</v>
      </c>
      <c r="I8" s="21">
        <v>236791.74</v>
      </c>
      <c r="J8" s="21">
        <v>236791.74</v>
      </c>
      <c r="K8" s="21">
        <v>11</v>
      </c>
      <c r="L8" s="21" cm="1">
        <f t="array" ref="L8">IF(D8&gt;0,IF($D8&lt;=0,0,D8*H8),"")</f>
        <v>12550026.35</v>
      </c>
      <c r="M8" s="21" cm="1">
        <f t="array" ref="M8">IF(E8&gt;0,IF($D8&lt;=0,0,ROUND(E8*I8,2)),"")</f>
        <v>12549962.22</v>
      </c>
      <c r="N8" s="23" cm="1">
        <f t="array" ref="N8">IF(F8&gt;0,IF($D8&lt;=0,0,ROUND(F8*J8,2)),"")</f>
        <v>12549962.22</v>
      </c>
    </row>
    <row r="9" ht="20.5" customHeight="1">
      <c r="A9" s="29"/>
      <c r="B9" t="s" s="19">
        <v>92</v>
      </c>
      <c r="C9" s="24"/>
      <c r="D9" s="30"/>
      <c r="E9" s="26"/>
      <c r="F9" s="26"/>
      <c r="G9" s="30"/>
      <c r="H9" s="26"/>
      <c r="I9" s="30"/>
      <c r="J9" s="30"/>
      <c r="K9" s="26"/>
      <c r="L9" t="str" s="30" cm="1">
        <f t="array" ref="L9">IF(D9&gt;0,IF($D9&lt;=0,0,D9*H9),"")</f>
      </c>
      <c r="M9" t="str" s="30" cm="1">
        <f t="array" ref="M9">IF(E9&gt;0,IF($D9&lt;=0,0,ROUND(E9*I9,2)),"")</f>
      </c>
      <c r="N9" t="str" s="31" cm="1">
        <f t="array" ref="N9">IF(F9&gt;0,IF($D9&lt;=0,0,ROUND(F9*J9,2)),"")</f>
      </c>
    </row>
    <row r="10" ht="20.5" customHeight="1">
      <c r="A10" t="s" s="18">
        <v>157</v>
      </c>
      <c r="B10" t="s" s="19">
        <v>158</v>
      </c>
      <c r="C10" s="20"/>
      <c r="D10" s="78">
        <v>28.48</v>
      </c>
      <c r="E10" s="21" cm="1">
        <f t="array" ref="E10">D10</f>
        <v>28.48</v>
      </c>
      <c r="F10" s="21" cm="1">
        <f t="array" ref="F10">D10</f>
        <v>28.48</v>
      </c>
      <c r="G10" t="s" s="22">
        <v>27</v>
      </c>
      <c r="H10" s="21">
        <v>1759504</v>
      </c>
      <c r="I10" s="21">
        <v>1759076.79</v>
      </c>
      <c r="J10" s="21">
        <v>1759076.79</v>
      </c>
      <c r="K10" s="21">
        <v>11</v>
      </c>
      <c r="L10" s="21" cm="1">
        <f t="array" ref="L10">IF(D10&gt;0,IF($D10&lt;=0,0,D10*H10),"")</f>
        <v>50110673.92</v>
      </c>
      <c r="M10" s="21" cm="1">
        <f t="array" ref="M10">IF(E10&gt;0,IF($D10&lt;=0,0,ROUND(E10*I10,2)),"")</f>
        <v>50098506.98</v>
      </c>
      <c r="N10" s="23" cm="1">
        <f t="array" ref="N10">IF(F10&gt;0,IF($D10&lt;=0,0,ROUND(F10*J10,2)),"")</f>
        <v>50098506.98</v>
      </c>
    </row>
    <row r="11" ht="20.5" customHeight="1">
      <c r="A11" t="s" s="18">
        <v>95</v>
      </c>
      <c r="B11" t="s" s="19">
        <v>96</v>
      </c>
      <c r="C11" s="24"/>
      <c r="D11" s="25">
        <v>2.38</v>
      </c>
      <c r="E11" s="26" cm="1">
        <f t="array" ref="E11">D11</f>
        <v>2.38</v>
      </c>
      <c r="F11" s="26" cm="1">
        <f t="array" ref="F11">D11</f>
        <v>2.38</v>
      </c>
      <c r="G11" t="s" s="27">
        <v>27</v>
      </c>
      <c r="H11" s="26">
        <v>574369.9300000001</v>
      </c>
      <c r="I11" s="26">
        <v>574369.9300000001</v>
      </c>
      <c r="J11" s="26">
        <v>574369.9300000001</v>
      </c>
      <c r="K11" s="26">
        <v>11</v>
      </c>
      <c r="L11" s="26" cm="1">
        <f t="array" ref="L11">IF(D11&gt;0,IF($D11&lt;=0,0,D11*H11),"")</f>
        <v>1367000.4334</v>
      </c>
      <c r="M11" s="26" cm="1">
        <f t="array" ref="M11">IF(E11&gt;0,IF($D11&lt;=0,0,ROUND(E11*I11,2)),"")</f>
        <v>1367000.43</v>
      </c>
      <c r="N11" s="28" cm="1">
        <f t="array" ref="N11">IF(F11&gt;0,IF($D11&lt;=0,0,ROUND(F11*J11,2)),"")</f>
        <v>1367000.43</v>
      </c>
    </row>
    <row r="12" ht="20.5" customHeight="1">
      <c r="A12" t="s" s="18">
        <v>99</v>
      </c>
      <c r="B12" t="s" s="19">
        <v>159</v>
      </c>
      <c r="C12" s="20"/>
      <c r="D12" s="21">
        <v>3011.75</v>
      </c>
      <c r="E12" s="21" cm="1">
        <f t="array" ref="E12">D12</f>
        <v>3011.75</v>
      </c>
      <c r="F12" s="21" cm="1">
        <f t="array" ref="F12">D12</f>
        <v>3011.75</v>
      </c>
      <c r="G12" t="s" s="22">
        <v>154</v>
      </c>
      <c r="H12" s="21">
        <v>14388.09</v>
      </c>
      <c r="I12" s="32">
        <v>14378.31</v>
      </c>
      <c r="J12" s="32">
        <v>14378.31</v>
      </c>
      <c r="K12" s="21">
        <v>11</v>
      </c>
      <c r="L12" s="21" cm="1">
        <f t="array" ref="L12">IF(D12&gt;0,IF($D12&lt;=0,0,D12*H12),"")</f>
        <v>43333330.0575</v>
      </c>
      <c r="M12" s="21" cm="1">
        <f t="array" ref="M12">IF(E12&gt;0,IF($D12&lt;=0,0,ROUND(E12*I12,2)),"")</f>
        <v>43303875.14</v>
      </c>
      <c r="N12" s="23" cm="1">
        <f t="array" ref="N12">IF(F12&gt;0,IF($D12&lt;=0,0,ROUND(F12*J12,2)),"")</f>
        <v>43303875.14</v>
      </c>
    </row>
    <row r="13" ht="32.5" customHeight="1">
      <c r="A13" s="29"/>
      <c r="B13" t="s" s="19">
        <v>104</v>
      </c>
      <c r="C13" s="24"/>
      <c r="D13" s="30"/>
      <c r="E13" s="26"/>
      <c r="F13" s="26"/>
      <c r="G13" s="30"/>
      <c r="H13" s="26"/>
      <c r="I13" s="30"/>
      <c r="J13" s="30"/>
      <c r="K13" s="26"/>
      <c r="L13" t="str" s="30" cm="1">
        <f t="array" ref="L13">IF(D13&gt;0,IF($D13&lt;=0,0,D13*H13),"")</f>
      </c>
      <c r="M13" t="str" s="30" cm="1">
        <f t="array" ref="M13">IF(E13&gt;0,IF($D13&lt;=0,0,ROUND(E13*I13,2)),"")</f>
      </c>
      <c r="N13" t="str" s="31" cm="1">
        <f t="array" ref="N13">IF(F13&gt;0,IF($D13&lt;=0,0,ROUND(F13*J13,2)),"")</f>
      </c>
    </row>
    <row r="14" ht="20.5" customHeight="1">
      <c r="A14" t="s" s="18">
        <v>332</v>
      </c>
      <c r="B14" t="s" s="19">
        <v>256</v>
      </c>
      <c r="C14" s="20"/>
      <c r="D14" s="78">
        <v>10.73</v>
      </c>
      <c r="E14" s="21" cm="1">
        <f t="array" ref="E14">D14</f>
        <v>10.73</v>
      </c>
      <c r="F14" s="21" cm="1">
        <f t="array" ref="F14">D14</f>
        <v>10.73</v>
      </c>
      <c r="G14" t="s" s="22">
        <v>135</v>
      </c>
      <c r="H14" s="21">
        <v>104937.5</v>
      </c>
      <c r="I14" s="21">
        <v>104736.25</v>
      </c>
      <c r="J14" s="21">
        <v>104736.25</v>
      </c>
      <c r="K14" s="21">
        <v>11</v>
      </c>
      <c r="L14" s="21" cm="1">
        <f t="array" ref="L14">IF(D14&gt;0,IF($D14&lt;=0,0,D14*H14),"")</f>
        <v>1125979.375</v>
      </c>
      <c r="M14" s="21" cm="1">
        <f t="array" ref="M14">IF(E14&gt;0,IF($D14&lt;=0,0,ROUND(E14*I14,2)),"")</f>
        <v>1123819.96</v>
      </c>
      <c r="N14" s="23" cm="1">
        <f t="array" ref="N14">IF(F14&gt;0,IF($D14&lt;=0,0,ROUND(F14*J14,2)),"")</f>
        <v>1123819.96</v>
      </c>
    </row>
    <row r="15" ht="20.5" customHeight="1">
      <c r="A15" t="s" s="18">
        <v>105</v>
      </c>
      <c r="B15" t="s" s="19">
        <v>106</v>
      </c>
      <c r="C15" s="24"/>
      <c r="D15" s="25">
        <v>49</v>
      </c>
      <c r="E15" s="26" cm="1">
        <f t="array" ref="E15">D15</f>
        <v>49</v>
      </c>
      <c r="F15" s="26" cm="1">
        <f t="array" ref="F15">D15</f>
        <v>49</v>
      </c>
      <c r="G15" t="s" s="27">
        <v>107</v>
      </c>
      <c r="H15" s="26">
        <v>69712.899999999994</v>
      </c>
      <c r="I15" s="26">
        <v>69712.899999999994</v>
      </c>
      <c r="J15" s="26">
        <v>69712.899999999994</v>
      </c>
      <c r="K15" s="26">
        <v>11</v>
      </c>
      <c r="L15" s="26" cm="1">
        <f t="array" ref="L15">IF(D15&gt;0,IF($D15&lt;=0,0,D15*H15),"")</f>
        <v>3415932.1</v>
      </c>
      <c r="M15" s="26" cm="1">
        <f t="array" ref="M15">IF(E15&gt;0,IF($D15&lt;=0,0,ROUND(E15*I15,2)),"")</f>
        <v>3415932.1</v>
      </c>
      <c r="N15" s="28" cm="1">
        <f t="array" ref="N15">IF(F15&gt;0,IF($D15&lt;=0,0,ROUND(F15*J15,2)),"")</f>
        <v>3415932.1</v>
      </c>
    </row>
    <row r="16" ht="20.5" customHeight="1">
      <c r="A16" s="29"/>
      <c r="B16" t="s" s="19">
        <v>36</v>
      </c>
      <c r="C16" s="20"/>
      <c r="D16" s="21"/>
      <c r="E16" s="21"/>
      <c r="F16" s="21"/>
      <c r="G16" s="79"/>
      <c r="H16" s="79"/>
      <c r="I16" s="79"/>
      <c r="J16" s="79"/>
      <c r="K16" s="21"/>
      <c r="L16" t="str" s="79" cm="1">
        <f t="array" ref="L16">IF(D16&gt;0,IF($D16&lt;=0,0,D16*H16),"")</f>
      </c>
      <c r="M16" s="21"/>
      <c r="N16" s="23"/>
    </row>
    <row r="17" ht="20.6" customHeight="1">
      <c r="A17" s="33">
        <v>1</v>
      </c>
      <c r="B17" t="s" s="34">
        <v>37</v>
      </c>
      <c r="C17" s="80"/>
      <c r="D17" s="81">
        <v>1</v>
      </c>
      <c r="E17" s="81" cm="1">
        <f t="array" ref="E17">D17</f>
        <v>1</v>
      </c>
      <c r="F17" s="81" cm="1">
        <f t="array" ref="F17">D17</f>
        <v>1</v>
      </c>
      <c r="G17" t="s" s="82">
        <v>19</v>
      </c>
      <c r="H17" s="81">
        <v>271564.57</v>
      </c>
      <c r="I17" s="81">
        <v>271299.18</v>
      </c>
      <c r="J17" s="81">
        <v>271299.18</v>
      </c>
      <c r="K17" s="81">
        <v>0</v>
      </c>
      <c r="L17" s="81" cm="1">
        <f t="array" ref="L17">IF(D17&gt;0,IF($D17&lt;=0,0,D17*H17),"")</f>
        <v>271564.57</v>
      </c>
      <c r="M17" s="81" cm="1">
        <f t="array" ref="M17">IF(E17&gt;0,IF($D17&lt;=0,0,ROUND(E17*I17,2)),"")</f>
        <v>271299.18</v>
      </c>
      <c r="N17" s="83" cm="1">
        <f t="array" ref="N17">IF(F17&gt;0,IF($D17&lt;=0,0,ROUND(F17*J17,2)),"")</f>
        <v>271299.18</v>
      </c>
    </row>
    <row r="18" ht="8.75" customHeight="1" hidden="1">
      <c r="A18" s="39"/>
      <c r="B18" s="40"/>
      <c r="C18" s="45"/>
      <c r="D18" s="46"/>
      <c r="E18" s="46"/>
      <c r="F18" s="46"/>
      <c r="G18" s="47"/>
      <c r="H18" s="46"/>
      <c r="I18" s="46"/>
      <c r="J18" s="46"/>
      <c r="K18" s="46"/>
      <c r="L18" s="46"/>
      <c r="M18" s="46"/>
      <c r="N18" s="48"/>
    </row>
    <row r="19" ht="8.75" customHeight="1" hidden="1">
      <c r="A19" s="39"/>
      <c r="B19" s="40"/>
      <c r="C19" s="41"/>
      <c r="D19" s="42"/>
      <c r="E19" s="42"/>
      <c r="F19" s="42"/>
      <c r="G19" s="43"/>
      <c r="H19" s="42"/>
      <c r="I19" s="42"/>
      <c r="J19" s="42"/>
      <c r="K19" s="42"/>
      <c r="L19" s="42"/>
      <c r="M19" s="42"/>
      <c r="N19" s="44"/>
    </row>
    <row r="20" ht="8.75" customHeight="1" hidden="1">
      <c r="A20" s="39"/>
      <c r="B20" s="40"/>
      <c r="C20" s="45"/>
      <c r="D20" s="46"/>
      <c r="E20" s="46"/>
      <c r="F20" s="46"/>
      <c r="G20" s="47"/>
      <c r="H20" s="46"/>
      <c r="I20" s="46"/>
      <c r="J20" s="46"/>
      <c r="K20" s="46"/>
      <c r="L20" s="46"/>
      <c r="M20" s="46"/>
      <c r="N20" s="48"/>
    </row>
    <row r="21" ht="8.75" customHeight="1" hidden="1">
      <c r="A21" s="39"/>
      <c r="B21" s="40"/>
      <c r="C21" s="41"/>
      <c r="D21" s="42"/>
      <c r="E21" s="42"/>
      <c r="F21" s="42"/>
      <c r="G21" s="43"/>
      <c r="H21" s="42"/>
      <c r="I21" s="42"/>
      <c r="J21" s="42"/>
      <c r="K21" s="42"/>
      <c r="L21" s="42"/>
      <c r="M21" s="42"/>
      <c r="N21" s="44"/>
    </row>
    <row r="22" ht="8.75" customHeight="1" hidden="1">
      <c r="A22" s="39"/>
      <c r="B22" s="40"/>
      <c r="C22" s="45"/>
      <c r="D22" s="46"/>
      <c r="E22" s="46"/>
      <c r="F22" s="46"/>
      <c r="G22" s="47"/>
      <c r="H22" s="46"/>
      <c r="I22" s="46"/>
      <c r="J22" s="46"/>
      <c r="K22" s="46"/>
      <c r="L22" s="46"/>
      <c r="M22" s="46"/>
      <c r="N22" s="48"/>
    </row>
    <row r="23" ht="8.75" customHeight="1" hidden="1">
      <c r="A23" s="39"/>
      <c r="B23" s="40"/>
      <c r="C23" s="41"/>
      <c r="D23" s="42"/>
      <c r="E23" s="42"/>
      <c r="F23" s="42"/>
      <c r="G23" s="43"/>
      <c r="H23" s="42"/>
      <c r="I23" s="42"/>
      <c r="J23" s="42"/>
      <c r="K23" s="42"/>
      <c r="L23" s="42"/>
      <c r="M23" s="42"/>
      <c r="N23" s="44"/>
    </row>
    <row r="24" ht="8.75" customHeight="1" hidden="1">
      <c r="A24" s="39"/>
      <c r="B24" s="40"/>
      <c r="C24" s="45"/>
      <c r="D24" s="46"/>
      <c r="E24" s="46"/>
      <c r="F24" s="46"/>
      <c r="G24" s="47"/>
      <c r="H24" s="47"/>
      <c r="I24" s="47"/>
      <c r="J24" s="47"/>
      <c r="K24" s="46"/>
      <c r="L24" s="47"/>
      <c r="M24" s="47"/>
      <c r="N24" s="52"/>
    </row>
    <row r="25" ht="8.75" customHeight="1" hidden="1">
      <c r="A25" s="39"/>
      <c r="B25" s="40"/>
      <c r="C25" s="41"/>
      <c r="D25" s="42"/>
      <c r="E25" s="42"/>
      <c r="F25" s="42"/>
      <c r="G25" s="43"/>
      <c r="H25" s="84"/>
      <c r="I25" s="84"/>
      <c r="J25" s="84"/>
      <c r="K25" s="42"/>
      <c r="L25" s="42"/>
      <c r="M25" s="42"/>
      <c r="N25" s="44"/>
    </row>
    <row r="26" ht="8.75" customHeight="1" hidden="1">
      <c r="A26" s="39"/>
      <c r="B26" s="40"/>
      <c r="C26" s="45"/>
      <c r="D26" s="46"/>
      <c r="E26" s="46"/>
      <c r="F26" s="46"/>
      <c r="G26" s="47"/>
      <c r="H26" s="47"/>
      <c r="I26" s="47"/>
      <c r="J26" s="47"/>
      <c r="K26" s="46"/>
      <c r="L26" s="47"/>
      <c r="M26" s="47"/>
      <c r="N26" s="52"/>
    </row>
    <row r="27" ht="8.75" customHeight="1" hidden="1">
      <c r="A27" s="39"/>
      <c r="B27" s="40"/>
      <c r="C27" s="41"/>
      <c r="D27" s="42"/>
      <c r="E27" s="42"/>
      <c r="F27" s="42"/>
      <c r="G27" s="43"/>
      <c r="H27" s="42"/>
      <c r="I27" s="42"/>
      <c r="J27" s="42"/>
      <c r="K27" s="42"/>
      <c r="L27" s="42"/>
      <c r="M27" s="42"/>
      <c r="N27" s="44"/>
    </row>
    <row r="28" ht="8.75" customHeight="1" hidden="1">
      <c r="A28" s="39"/>
      <c r="B28" s="40"/>
      <c r="C28" s="45"/>
      <c r="D28" s="46"/>
      <c r="E28" s="46"/>
      <c r="F28" s="46"/>
      <c r="G28" s="47"/>
      <c r="H28" s="46"/>
      <c r="I28" s="46"/>
      <c r="J28" s="46"/>
      <c r="K28" s="46"/>
      <c r="L28" s="46"/>
      <c r="M28" s="46"/>
      <c r="N28" s="48"/>
    </row>
    <row r="29" ht="8.75" customHeight="1" hidden="1">
      <c r="A29" s="51"/>
      <c r="B29" s="40"/>
      <c r="C29" s="41"/>
      <c r="D29" s="42"/>
      <c r="E29" s="42"/>
      <c r="F29" s="42"/>
      <c r="G29" s="43"/>
      <c r="H29" s="42"/>
      <c r="I29" s="42"/>
      <c r="J29" s="42"/>
      <c r="K29" s="42"/>
      <c r="L29" s="42"/>
      <c r="M29" s="42"/>
      <c r="N29" s="44"/>
    </row>
    <row r="30" ht="8.75" customHeight="1" hidden="1">
      <c r="A30" s="51"/>
      <c r="B30" s="40"/>
      <c r="C30" s="45"/>
      <c r="D30" s="46"/>
      <c r="E30" s="46"/>
      <c r="F30" s="46"/>
      <c r="G30" s="47"/>
      <c r="H30" s="46"/>
      <c r="I30" s="46"/>
      <c r="J30" s="46"/>
      <c r="K30" s="46"/>
      <c r="L30" s="46"/>
      <c r="M30" s="46"/>
      <c r="N30" s="48"/>
    </row>
    <row r="31" ht="8.75" customHeight="1" hidden="1">
      <c r="A31" s="39"/>
      <c r="B31" s="40"/>
      <c r="C31" s="41"/>
      <c r="D31" s="42"/>
      <c r="E31" s="42"/>
      <c r="F31" s="42"/>
      <c r="G31" s="43"/>
      <c r="H31" s="42"/>
      <c r="I31" s="42"/>
      <c r="J31" s="42"/>
      <c r="K31" s="42"/>
      <c r="L31" s="43"/>
      <c r="M31" s="43"/>
      <c r="N31" s="49"/>
    </row>
    <row r="32" ht="8.75" customHeight="1" hidden="1">
      <c r="A32" s="39"/>
      <c r="B32" s="40"/>
      <c r="C32" s="45"/>
      <c r="D32" s="46"/>
      <c r="E32" s="46"/>
      <c r="F32" s="46"/>
      <c r="G32" s="47"/>
      <c r="H32" s="46"/>
      <c r="I32" s="46"/>
      <c r="J32" s="46"/>
      <c r="K32" s="46"/>
      <c r="L32" s="46"/>
      <c r="M32" s="46"/>
      <c r="N32" s="48"/>
    </row>
    <row r="33" ht="8.75" customHeight="1" hidden="1">
      <c r="A33" s="39"/>
      <c r="B33" s="40"/>
      <c r="C33" s="41"/>
      <c r="D33" s="42"/>
      <c r="E33" s="42"/>
      <c r="F33" s="42"/>
      <c r="G33" s="43"/>
      <c r="H33" s="42"/>
      <c r="I33" s="42"/>
      <c r="J33" s="42"/>
      <c r="K33" s="42"/>
      <c r="L33" s="43"/>
      <c r="M33" s="43"/>
      <c r="N33" s="49"/>
    </row>
    <row r="34" ht="20.85" customHeight="1">
      <c r="A34" s="53"/>
      <c r="B34" s="54"/>
      <c r="C34" s="54"/>
      <c r="D34" s="55"/>
      <c r="E34" s="55"/>
      <c r="F34" s="55"/>
      <c r="G34" s="56"/>
      <c r="H34" s="56"/>
      <c r="I34" s="54"/>
      <c r="J34" s="57"/>
      <c r="K34" t="s" s="58">
        <v>38</v>
      </c>
      <c r="L34" s="59" cm="1">
        <f t="array" ref="L34">SUM(L1:L33)</f>
        <v>116883506.8059</v>
      </c>
      <c r="M34" s="59" cm="1">
        <f t="array" ref="M34">SUM(M1:M33)</f>
        <v>116744546.01</v>
      </c>
      <c r="N34" s="59" cm="1">
        <f t="array" ref="N34">SUM(N1:N33)</f>
        <v>116744546.01</v>
      </c>
    </row>
    <row r="35" ht="21" customHeight="1">
      <c r="A35" s="60"/>
      <c r="B35" t="s" s="61">
        <v>39</v>
      </c>
      <c r="C35" s="62"/>
      <c r="D35" s="63" cm="1">
        <f t="array" ref="D35">ROUND(IF(L35&lt;=100000000,L35*0.24%,IF(AND(L35&gt;100000000,L35&lt;=500000000),100000000*0.24%+(L35-100000000)*0.19%,IF(AND(L35&gt;500000000,L35&lt;=1000000000),100000000*0.24%+400000000*0.19%+(L35-500000000)*0.15%,IF(AND(L35&gt;1000000000,L35&lt;=5000000000),100000000*0.24%+400000000*0.19%+500000000*0.15%+(L35-1000000000)*0.12%,IF(L35&gt;5000000000,100000000*0.24%+400000000*0.19%+500000000*0.15%+4000000000*0.12%+(L35-5000000000)*0.1%,"Bingung komputer"))))),2)</f>
        <v>271562.69</v>
      </c>
      <c r="E35" s="64" cm="1">
        <f t="array" ref="E35">ROUND(IF(M35&lt;=100000000,M35*0.24%,IF(AND(M35&gt;100000000,M35&lt;=500000000),100000000*0.24%+(M35-100000000)*0.19%,IF(AND(M35&gt;500000000,M35&lt;=1000000000),100000000*0.24%+400000000*0.19%+(M35-500000000)*0.15%,IF(AND(M35&gt;1000000000,M35&lt;=5000000000),100000000*0.24%+400000000*0.19%+500000000*0.15%+(M35-1000000000)*0.12%,IF(M35&gt;5000000000,100000000*0.24%+400000000*0.19%+500000000*0.15%+4000000000*0.12%+(M35-5000000000)*0.1%,"Bingung komputer"))))),2)</f>
        <v>271299.17</v>
      </c>
      <c r="F35" s="64" cm="1">
        <f t="array" ref="F35">ROUND(IF(N35&lt;=100000000,N35*0.24%,IF(AND(N35&gt;100000000,N35&lt;=500000000),100000000*0.24%+(N35-100000000)*0.19%,IF(AND(N35&gt;500000000,N35&lt;=1000000000),100000000*0.24%+400000000*0.19%+(N35-500000000)*0.15%,IF(AND(N35&gt;1000000000,N35&lt;=5000000000),100000000*0.24%+400000000*0.19%+500000000*0.15%+(N35-1000000000)*0.12%,IF(N35&gt;5000000000,100000000*0.24%+400000000*0.19%+500000000*0.15%+4000000000*0.12%+(N35-5000000000)*0.1%,"Bingung komputer"))))),2)</f>
        <v>271299.17</v>
      </c>
      <c r="G35" s="65"/>
      <c r="H35" s="66"/>
      <c r="I35" s="62"/>
      <c r="J35" s="67"/>
      <c r="K35" t="str" s="67" cm="1">
        <f t="array" ref="K35">"Jumlah Terkena Pajak "&amp;MAX(K3:K33)&amp;"% (B)"</f>
        <v>Jumlah Terkena Pajak 11,00% (B)</v>
      </c>
      <c r="L35" s="68" cm="1">
        <f t="array" ref="L35">SUMIF($K3:$K33,"&gt;0",L3:L33)</f>
        <v>116611942.2359</v>
      </c>
      <c r="M35" s="69" cm="1">
        <f t="array" ref="M35">SUMIF($K3:$K33,"&gt;0",M3:M33)</f>
        <v>116473246.83</v>
      </c>
      <c r="N35" s="69" cm="1">
        <f t="array" ref="N35">SUMIF($K3:$K33,"&gt;0",N3:N33)</f>
        <v>116473246.83</v>
      </c>
    </row>
    <row r="36" ht="21" customHeight="1">
      <c r="A36" s="70"/>
      <c r="B36" s="71"/>
      <c r="C36" s="71"/>
      <c r="D36" s="72"/>
      <c r="E36" s="72"/>
      <c r="F36" s="71"/>
      <c r="G36" s="72"/>
      <c r="H36" s="72"/>
      <c r="I36" s="71"/>
      <c r="J36" s="73"/>
      <c r="K36" t="str" s="73" cm="1">
        <f t="array" ref="K36">"PPN (C) = "&amp;MAX(K3:K33)&amp;"% x B"</f>
        <v>PPN (C) = 11,00% x B</v>
      </c>
      <c r="L36" s="74" cm="1">
        <f t="array" ref="L36">L35*MAX($K3:$K33)%</f>
        <v>12827313.645949</v>
      </c>
      <c r="M36" s="69" cm="1">
        <f t="array" ref="M36">M35*MAX($K3:$K33)%</f>
        <v>12812057.1513</v>
      </c>
      <c r="N36" s="69" cm="1">
        <f t="array" ref="N36">N35*MAX($K3:$K33)%</f>
        <v>12812057.1513</v>
      </c>
    </row>
    <row r="37" ht="21" customHeight="1">
      <c r="A37" s="70"/>
      <c r="B37" s="71"/>
      <c r="C37" s="71"/>
      <c r="D37" s="72"/>
      <c r="E37" s="72"/>
      <c r="F37" s="72"/>
      <c r="G37" s="72"/>
      <c r="H37" s="72"/>
      <c r="I37" s="71"/>
      <c r="J37" s="73"/>
      <c r="K37" t="s" s="75">
        <v>42</v>
      </c>
      <c r="L37" s="76" cm="1">
        <f t="array" ref="L37">L34+L36</f>
        <v>129710820.451849</v>
      </c>
      <c r="M37" s="69" cm="1">
        <f t="array" ref="M37">M34+M36</f>
        <v>129556603.1613</v>
      </c>
      <c r="N37" s="69" cm="1">
        <f t="array" ref="N37">N34+N36</f>
        <v>129556603.1613</v>
      </c>
    </row>
    <row r="38" ht="20.5" customHeight="1">
      <c r="A38" s="70"/>
      <c r="B38" s="71"/>
      <c r="C38" s="71"/>
      <c r="D38" s="72"/>
      <c r="E38" s="72"/>
      <c r="F38" s="72"/>
      <c r="G38" s="72"/>
      <c r="H38" s="72"/>
      <c r="I38" s="71"/>
      <c r="J38" s="73"/>
      <c r="K38" t="s" s="75">
        <v>43</v>
      </c>
      <c r="L38" s="68" cm="1">
        <f t="array" ref="L38">ROUNDDOWN(L37,2)</f>
        <v>129710820.45</v>
      </c>
      <c r="M38" s="68" cm="1">
        <f t="array" ref="M38">ROUNDDOWN(M37,2)</f>
        <v>129556603.16</v>
      </c>
      <c r="N38" s="68" cm="1">
        <f t="array" ref="N38">ROUNDDOWN(N37,-3)</f>
        <v>129556000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75.xml><?xml version="1.0" encoding="utf-8"?>
<worksheet xmlns:r="http://schemas.openxmlformats.org/officeDocument/2006/relationships" xmlns="http://schemas.openxmlformats.org/spreadsheetml/2006/main">
  <sheetPr>
    <pageSetUpPr fitToPage="1"/>
  </sheetPr>
  <dimension ref="A1:N41"/>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258" customWidth="1"/>
    <col min="2" max="2" width="43.0312" style="258" customWidth="1"/>
    <col min="3" max="3" width="2.75" style="258" customWidth="1"/>
    <col min="4" max="6" width="10.3672" style="258" customWidth="1"/>
    <col min="7" max="7" width="11.6875" style="258" customWidth="1"/>
    <col min="8" max="11" width="13.5156" style="258" customWidth="1"/>
    <col min="12" max="14" width="14.2344" style="258" customWidth="1"/>
    <col min="15" max="16384" width="16.3516" style="258"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16</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t="s" s="18">
        <v>17</v>
      </c>
      <c r="B4" t="s" s="19">
        <v>18</v>
      </c>
      <c r="C4" s="20"/>
      <c r="D4" s="21">
        <v>1</v>
      </c>
      <c r="E4" s="21" cm="1">
        <f t="array" ref="E4">D4</f>
        <v>1</v>
      </c>
      <c r="F4" s="21" cm="1">
        <f t="array" ref="F4">D4</f>
        <v>1</v>
      </c>
      <c r="G4" t="s" s="22">
        <v>19</v>
      </c>
      <c r="H4" s="21">
        <v>1000000</v>
      </c>
      <c r="I4" s="21">
        <v>975000</v>
      </c>
      <c r="J4" s="21">
        <v>975000</v>
      </c>
      <c r="K4" s="21">
        <v>11</v>
      </c>
      <c r="L4" s="21" cm="1">
        <f t="array" ref="L4">IF(D4&gt;0,IF($D4&lt;=0,0,D4*H4),"")</f>
        <v>1000000</v>
      </c>
      <c r="M4" s="21" cm="1">
        <f t="array" ref="M4">IF(E4&gt;0,IF($D4&lt;=0,0,ROUND(E4*I4,2)),"")</f>
        <v>975000</v>
      </c>
      <c r="N4" s="23" cm="1">
        <f t="array" ref="N4">IF(F4&gt;0,IF($D4&lt;=0,0,ROUND(F4*J4,2)),"")</f>
        <v>975000</v>
      </c>
    </row>
    <row r="5" ht="20.5" customHeight="1">
      <c r="A5" t="s" s="18">
        <v>20</v>
      </c>
      <c r="B5" t="s" s="19">
        <v>21</v>
      </c>
      <c r="C5" s="24"/>
      <c r="D5" s="25">
        <v>1</v>
      </c>
      <c r="E5" s="26" cm="1">
        <f t="array" ref="E5">D5</f>
        <v>1</v>
      </c>
      <c r="F5" s="26" cm="1">
        <f t="array" ref="F5">D5</f>
        <v>1</v>
      </c>
      <c r="G5" t="s" s="27">
        <v>19</v>
      </c>
      <c r="H5" s="26">
        <v>760000</v>
      </c>
      <c r="I5" s="26">
        <v>760000</v>
      </c>
      <c r="J5" s="26">
        <v>760000</v>
      </c>
      <c r="K5" s="26">
        <v>11</v>
      </c>
      <c r="L5" s="26" cm="1">
        <f t="array" ref="L5">IF(D5&gt;0,IF($D5&lt;=0,0,D5*H5),"")</f>
        <v>760000</v>
      </c>
      <c r="M5" s="26" cm="1">
        <f t="array" ref="M5">IF(E5&gt;0,IF($D5&lt;=0,0,ROUND(E5*I5,2)),"")</f>
        <v>760000</v>
      </c>
      <c r="N5" s="28" cm="1">
        <f t="array" ref="N5">IF(F5&gt;0,IF($D5&lt;=0,0,ROUND(F5*J5,2)),"")</f>
        <v>760000</v>
      </c>
    </row>
    <row r="6" ht="20.5" customHeight="1">
      <c r="A6" t="s" s="18">
        <v>22</v>
      </c>
      <c r="B6" t="s" s="19">
        <v>23</v>
      </c>
      <c r="C6" s="20"/>
      <c r="D6" s="21">
        <v>1</v>
      </c>
      <c r="E6" s="21" cm="1">
        <f t="array" ref="E6">D6</f>
        <v>1</v>
      </c>
      <c r="F6" s="21" cm="1">
        <f t="array" ref="F6">D6</f>
        <v>1</v>
      </c>
      <c r="G6" t="s" s="22">
        <v>19</v>
      </c>
      <c r="H6" s="21">
        <v>1432000</v>
      </c>
      <c r="I6" s="21">
        <v>1432000</v>
      </c>
      <c r="J6" s="21">
        <v>1432000</v>
      </c>
      <c r="K6" s="21">
        <v>11</v>
      </c>
      <c r="L6" s="21" cm="1">
        <f t="array" ref="L6">IF(D6&gt;0,IF($D6&lt;=0,0,D6*H6),"")</f>
        <v>1432000</v>
      </c>
      <c r="M6" s="21" cm="1">
        <f t="array" ref="M6">IF(E6&gt;0,IF($D6&lt;=0,0,ROUND(E6*I6,2)),"")</f>
        <v>1432000</v>
      </c>
      <c r="N6" s="23" cm="1">
        <f t="array" ref="N6">IF(F6&gt;0,IF($D6&lt;=0,0,ROUND(F6*J6,2)),"")</f>
        <v>1432000</v>
      </c>
    </row>
    <row r="7" ht="32.5" customHeight="1">
      <c r="A7" s="29"/>
      <c r="B7" t="s" s="19">
        <v>104</v>
      </c>
      <c r="C7" s="24"/>
      <c r="D7" s="30"/>
      <c r="E7" s="26"/>
      <c r="F7" s="26"/>
      <c r="G7" s="30"/>
      <c r="H7" s="26"/>
      <c r="I7" s="30"/>
      <c r="J7" s="30"/>
      <c r="K7" s="26"/>
      <c r="L7" t="str" s="30" cm="1">
        <f t="array" ref="L7">IF(D7&gt;0,IF($D7&lt;=0,0,D7*H7),"")</f>
      </c>
      <c r="M7" t="str" s="30" cm="1">
        <f t="array" ref="M7">IF(E7&gt;0,IF($D7&lt;=0,0,ROUND(E7*I7,2)),"")</f>
      </c>
      <c r="N7" t="str" s="31" cm="1">
        <f t="array" ref="N7">IF(F7&gt;0,IF($D7&lt;=0,0,ROUND(F7*J7,2)),"")</f>
      </c>
    </row>
    <row r="8" ht="20.5" customHeight="1">
      <c r="A8" s="29"/>
      <c r="B8" t="s" s="19">
        <v>334</v>
      </c>
      <c r="C8" s="20"/>
      <c r="D8" s="79"/>
      <c r="E8" s="21" cm="1">
        <f t="array" ref="E8">D8</f>
        <v>0</v>
      </c>
      <c r="F8" s="21" cm="1">
        <f t="array" ref="F8">D8</f>
        <v>0</v>
      </c>
      <c r="G8" s="79"/>
      <c r="H8" s="21"/>
      <c r="I8" s="21"/>
      <c r="J8" s="21"/>
      <c r="K8" s="21"/>
      <c r="L8" t="str" s="79" cm="1">
        <f t="array" ref="L8">IF(D8&gt;0,IF($D8&lt;=0,0,D8*H8),"")</f>
      </c>
      <c r="M8" t="str" s="79" cm="1">
        <f t="array" ref="M8">IF(E8&gt;0,IF($D8&lt;=0,0,ROUND(E8*I8,2)),"")</f>
      </c>
      <c r="N8" t="str" s="91" cm="1">
        <f t="array" ref="N8">IF(F8&gt;0,IF($D8&lt;=0,0,ROUND(F8*J8,2)),"")</f>
      </c>
    </row>
    <row r="9" ht="20.5" customHeight="1">
      <c r="A9" t="s" s="18">
        <v>335</v>
      </c>
      <c r="B9" t="s" s="19">
        <v>336</v>
      </c>
      <c r="C9" s="24"/>
      <c r="D9" s="25">
        <v>1.2</v>
      </c>
      <c r="E9" s="26" cm="1">
        <f t="array" ref="E9">D9</f>
        <v>1.2</v>
      </c>
      <c r="F9" s="26" cm="1">
        <f t="array" ref="F9">D9</f>
        <v>1.2</v>
      </c>
      <c r="G9" t="s" s="27">
        <v>27</v>
      </c>
      <c r="H9" s="26">
        <v>7170790</v>
      </c>
      <c r="I9" s="26">
        <v>7166324</v>
      </c>
      <c r="J9" s="26">
        <v>7166324</v>
      </c>
      <c r="K9" s="26">
        <v>11</v>
      </c>
      <c r="L9" s="26" cm="1">
        <f t="array" ref="L9">IF(D9&gt;0,IF($D9&lt;=0,0,D9*H9),"")</f>
        <v>8604948</v>
      </c>
      <c r="M9" s="26" cm="1">
        <f t="array" ref="M9">IF(E9&gt;0,IF($D9&lt;=0,0,ROUND(E9*I9,2)),"")</f>
        <v>8599588.800000001</v>
      </c>
      <c r="N9" s="28" cm="1">
        <f t="array" ref="N9">IF(F9&gt;0,IF($D9&lt;=0,0,ROUND(F9*J9,2)),"")</f>
        <v>8599588.800000001</v>
      </c>
    </row>
    <row r="10" ht="20.5" customHeight="1">
      <c r="A10" t="s" s="18">
        <v>335</v>
      </c>
      <c r="B10" t="s" s="19">
        <v>337</v>
      </c>
      <c r="C10" s="20"/>
      <c r="D10" s="78">
        <v>1.08</v>
      </c>
      <c r="E10" s="21" cm="1">
        <f t="array" ref="E10">D10</f>
        <v>1.08</v>
      </c>
      <c r="F10" s="21" cm="1">
        <f t="array" ref="F10">D10</f>
        <v>1.08</v>
      </c>
      <c r="G10" t="s" s="22">
        <v>27</v>
      </c>
      <c r="H10" s="21">
        <v>7170790</v>
      </c>
      <c r="I10" s="21">
        <v>7166324</v>
      </c>
      <c r="J10" s="21">
        <v>7166324</v>
      </c>
      <c r="K10" s="21">
        <v>11</v>
      </c>
      <c r="L10" s="21" cm="1">
        <f t="array" ref="L10">IF(D10&gt;0,IF($D10&lt;=0,0,D10*H10),"")</f>
        <v>7744453.2</v>
      </c>
      <c r="M10" s="21" cm="1">
        <f t="array" ref="M10">IF(E10&gt;0,IF($D10&lt;=0,0,ROUND(E10*I10,2)),"")</f>
        <v>7739629.92</v>
      </c>
      <c r="N10" s="23" cm="1">
        <f t="array" ref="N10">IF(F10&gt;0,IF($D10&lt;=0,0,ROUND(F10*J10,2)),"")</f>
        <v>7739629.92</v>
      </c>
    </row>
    <row r="11" ht="20.5" customHeight="1">
      <c r="A11" t="s" s="18">
        <v>335</v>
      </c>
      <c r="B11" t="s" s="19">
        <v>338</v>
      </c>
      <c r="C11" s="24"/>
      <c r="D11" s="25">
        <v>4.32</v>
      </c>
      <c r="E11" s="26" cm="1">
        <f t="array" ref="E11">D11</f>
        <v>4.32</v>
      </c>
      <c r="F11" s="26" cm="1">
        <f t="array" ref="F11">D11</f>
        <v>4.32</v>
      </c>
      <c r="G11" t="s" s="27">
        <v>35</v>
      </c>
      <c r="H11" s="26">
        <v>4528260</v>
      </c>
      <c r="I11" s="26">
        <v>4527143.5</v>
      </c>
      <c r="J11" s="26">
        <v>4527143.5</v>
      </c>
      <c r="K11" s="26">
        <v>11</v>
      </c>
      <c r="L11" s="26" cm="1">
        <f t="array" ref="L11">IF(D11&gt;0,IF($D11&lt;=0,0,D11*H11),"")</f>
        <v>19562083.2</v>
      </c>
      <c r="M11" s="26" cm="1">
        <f t="array" ref="M11">IF(E11&gt;0,IF($D11&lt;=0,0,ROUND(E11*I11,2)),"")</f>
        <v>19557259.92</v>
      </c>
      <c r="N11" s="28" cm="1">
        <f t="array" ref="N11">IF(F11&gt;0,IF($D11&lt;=0,0,ROUND(F11*J11,2)),"")</f>
        <v>19557259.92</v>
      </c>
    </row>
    <row r="12" ht="20.5" customHeight="1">
      <c r="A12" s="29"/>
      <c r="B12" t="s" s="19">
        <v>339</v>
      </c>
      <c r="C12" s="20"/>
      <c r="D12" s="79"/>
      <c r="E12" s="21"/>
      <c r="F12" s="21"/>
      <c r="G12" s="79"/>
      <c r="H12" s="21"/>
      <c r="I12" s="21"/>
      <c r="J12" s="21"/>
      <c r="K12" s="21"/>
      <c r="L12" t="str" s="79" cm="1">
        <f t="array" ref="L12">IF(D12&gt;0,IF($D12&lt;=0,0,D12*H12),"")</f>
      </c>
      <c r="M12" t="str" s="79" cm="1">
        <f t="array" ref="M12">IF(E12&gt;0,IF($D12&lt;=0,0,ROUND(E12*I12,2)),"")</f>
      </c>
      <c r="N12" t="str" s="91" cm="1">
        <f t="array" ref="N12">IF(F12&gt;0,IF($D12&lt;=0,0,ROUND(F12*J12,2)),"")</f>
      </c>
    </row>
    <row r="13" ht="20.5" customHeight="1">
      <c r="A13" t="s" s="18">
        <v>335</v>
      </c>
      <c r="B13" t="s" s="19">
        <v>340</v>
      </c>
      <c r="C13" s="24"/>
      <c r="D13" s="25">
        <v>172</v>
      </c>
      <c r="E13" s="26" cm="1">
        <f t="array" ref="E13">D13</f>
        <v>172</v>
      </c>
      <c r="F13" s="26" cm="1">
        <f t="array" ref="F13">D13</f>
        <v>172</v>
      </c>
      <c r="G13" t="s" s="27">
        <v>341</v>
      </c>
      <c r="H13" s="26">
        <v>235334</v>
      </c>
      <c r="I13" s="26">
        <v>235217.4</v>
      </c>
      <c r="J13" s="26">
        <v>235217.4</v>
      </c>
      <c r="K13" s="26">
        <v>11</v>
      </c>
      <c r="L13" s="26" cm="1">
        <f t="array" ref="L13">IF(D13&gt;0,IF($D13&lt;=0,0,D13*H13),"")</f>
        <v>40477448</v>
      </c>
      <c r="M13" s="26" cm="1">
        <f t="array" ref="M13">IF(E13&gt;0,IF($D13&lt;=0,0,ROUND(E13*I13,2)),"")</f>
        <v>40457392.8</v>
      </c>
      <c r="N13" s="28" cm="1">
        <f t="array" ref="N13">IF(F13&gt;0,IF($D13&lt;=0,0,ROUND(F13*J13,2)),"")</f>
        <v>40457392.8</v>
      </c>
    </row>
    <row r="14" ht="20.5" customHeight="1">
      <c r="A14" t="s" s="18">
        <v>335</v>
      </c>
      <c r="B14" t="s" s="19">
        <v>342</v>
      </c>
      <c r="C14" s="20"/>
      <c r="D14" s="78">
        <v>355.08</v>
      </c>
      <c r="E14" s="21" cm="1">
        <f t="array" ref="E14">D14</f>
        <v>355.08</v>
      </c>
      <c r="F14" s="21" cm="1">
        <f t="array" ref="F14">D14</f>
        <v>355.08</v>
      </c>
      <c r="G14" t="s" s="22">
        <v>341</v>
      </c>
      <c r="H14" s="21">
        <v>112310</v>
      </c>
      <c r="I14" s="21">
        <v>112193.4</v>
      </c>
      <c r="J14" s="21">
        <v>112193.4</v>
      </c>
      <c r="K14" s="21">
        <v>11</v>
      </c>
      <c r="L14" s="21" cm="1">
        <f t="array" ref="L14">IF(D14&gt;0,IF($D14&lt;=0,0,D14*H14),"")</f>
        <v>39879034.8</v>
      </c>
      <c r="M14" s="21" cm="1">
        <f t="array" ref="M14">IF(E14&gt;0,IF($D14&lt;=0,0,ROUND(E14*I14,2)),"")</f>
        <v>39837632.47</v>
      </c>
      <c r="N14" s="23" cm="1">
        <f t="array" ref="N14">IF(F14&gt;0,IF($D14&lt;=0,0,ROUND(F14*J14,2)),"")</f>
        <v>39837632.47</v>
      </c>
    </row>
    <row r="15" ht="32.5" customHeight="1">
      <c r="A15" t="s" s="18">
        <v>335</v>
      </c>
      <c r="B15" t="s" s="19">
        <v>343</v>
      </c>
      <c r="C15" s="24"/>
      <c r="D15" s="25">
        <v>82</v>
      </c>
      <c r="E15" s="26" cm="1">
        <f t="array" ref="E15">D15</f>
        <v>82</v>
      </c>
      <c r="F15" s="26" cm="1">
        <f t="array" ref="F15">D15</f>
        <v>82</v>
      </c>
      <c r="G15" t="s" s="27">
        <v>344</v>
      </c>
      <c r="H15" s="26">
        <v>536545.95</v>
      </c>
      <c r="I15" s="26">
        <v>536537.62</v>
      </c>
      <c r="J15" s="26">
        <v>536537.62</v>
      </c>
      <c r="K15" s="26">
        <v>11</v>
      </c>
      <c r="L15" s="26" cm="1">
        <f t="array" ref="L15">IF(D15&gt;0,IF($D15&lt;=0,0,D15*H15),"")</f>
        <v>43996767.9</v>
      </c>
      <c r="M15" s="26" cm="1">
        <f t="array" ref="M15">IF(E15&gt;0,IF($D15&lt;=0,0,ROUND(E15*I15,2)),"")</f>
        <v>43996084.84</v>
      </c>
      <c r="N15" s="28" cm="1">
        <f t="array" ref="N15">IF(F15&gt;0,IF($D15&lt;=0,0,ROUND(F15*J15,2)),"")</f>
        <v>43996084.84</v>
      </c>
    </row>
    <row r="16" ht="20.5" customHeight="1">
      <c r="A16" t="s" s="18">
        <v>335</v>
      </c>
      <c r="B16" t="s" s="19">
        <v>345</v>
      </c>
      <c r="C16" s="20"/>
      <c r="D16" s="78">
        <v>82</v>
      </c>
      <c r="E16" s="21" cm="1">
        <f t="array" ref="E16">D16</f>
        <v>82</v>
      </c>
      <c r="F16" s="21" cm="1">
        <f t="array" ref="F16">D16</f>
        <v>82</v>
      </c>
      <c r="G16" t="s" s="22">
        <v>344</v>
      </c>
      <c r="H16" s="21">
        <v>55314.29</v>
      </c>
      <c r="I16" s="21">
        <v>55280.5</v>
      </c>
      <c r="J16" s="21">
        <v>55280.5</v>
      </c>
      <c r="K16" s="21">
        <v>11</v>
      </c>
      <c r="L16" s="21" cm="1">
        <f t="array" ref="L16">IF(D16&gt;0,IF($D16&lt;=0,0,D16*H16),"")</f>
        <v>4535771.78</v>
      </c>
      <c r="M16" s="21" cm="1">
        <f t="array" ref="M16">IF(E16&gt;0,IF($D16&lt;=0,0,ROUND(E16*I16,2)),"")</f>
        <v>4533001</v>
      </c>
      <c r="N16" s="23" cm="1">
        <f t="array" ref="N16">IF(F16&gt;0,IF($D16&lt;=0,0,ROUND(F16*J16,2)),"")</f>
        <v>4533001</v>
      </c>
    </row>
    <row r="17" ht="20.5" customHeight="1">
      <c r="A17" t="s" s="18">
        <v>335</v>
      </c>
      <c r="B17" t="s" s="19">
        <v>346</v>
      </c>
      <c r="C17" s="24"/>
      <c r="D17" s="26">
        <v>1148</v>
      </c>
      <c r="E17" s="26" cm="1">
        <f t="array" ref="E17">D17</f>
        <v>1148</v>
      </c>
      <c r="F17" s="26" cm="1">
        <f t="array" ref="F17">D17</f>
        <v>1148</v>
      </c>
      <c r="G17" t="s" s="27">
        <v>344</v>
      </c>
      <c r="H17" s="26">
        <v>6529.29</v>
      </c>
      <c r="I17" s="26">
        <v>6520.96</v>
      </c>
      <c r="J17" s="26">
        <v>6520.96</v>
      </c>
      <c r="K17" s="26">
        <v>11</v>
      </c>
      <c r="L17" s="26" cm="1">
        <f t="array" ref="L17">IF(D17&gt;0,IF($D17&lt;=0,0,D17*H17),"")</f>
        <v>7495624.92</v>
      </c>
      <c r="M17" s="26" cm="1">
        <f t="array" ref="M17">IF(E17&gt;0,IF($D17&lt;=0,0,ROUND(E17*I17,2)),"")</f>
        <v>7486062.08</v>
      </c>
      <c r="N17" s="28" cm="1">
        <f t="array" ref="N17">IF(F17&gt;0,IF($D17&lt;=0,0,ROUND(F17*J17,2)),"")</f>
        <v>7486062.08</v>
      </c>
    </row>
    <row r="18" ht="20.5" customHeight="1">
      <c r="A18" t="s" s="18">
        <v>335</v>
      </c>
      <c r="B18" t="s" s="19">
        <v>347</v>
      </c>
      <c r="C18" s="20"/>
      <c r="D18" s="78">
        <v>100</v>
      </c>
      <c r="E18" s="21" cm="1">
        <f t="array" ref="E18">D18</f>
        <v>100</v>
      </c>
      <c r="F18" s="21" cm="1">
        <f t="array" ref="F18">D18</f>
        <v>100</v>
      </c>
      <c r="G18" t="s" s="22">
        <v>344</v>
      </c>
      <c r="H18" s="21">
        <v>43379.29</v>
      </c>
      <c r="I18" s="21">
        <v>43370.96</v>
      </c>
      <c r="J18" s="21">
        <v>43370.96</v>
      </c>
      <c r="K18" s="21">
        <v>11</v>
      </c>
      <c r="L18" s="21" cm="1">
        <f t="array" ref="L18">IF(D18&gt;0,IF($D18&lt;=0,0,D18*H18),"")</f>
        <v>4337929</v>
      </c>
      <c r="M18" s="21" cm="1">
        <f t="array" ref="M18">IF(E18&gt;0,IF($D18&lt;=0,0,ROUND(E18*I18,2)),"")</f>
        <v>4337096</v>
      </c>
      <c r="N18" s="23" cm="1">
        <f t="array" ref="N18">IF(F18&gt;0,IF($D18&lt;=0,0,ROUND(F18*J18,2)),"")</f>
        <v>4337096</v>
      </c>
    </row>
    <row r="19" ht="20.5" customHeight="1">
      <c r="A19" s="29"/>
      <c r="B19" t="s" s="19">
        <v>36</v>
      </c>
      <c r="C19" s="24"/>
      <c r="D19" s="26"/>
      <c r="E19" s="26"/>
      <c r="F19" s="26"/>
      <c r="G19" s="30"/>
      <c r="H19" s="30"/>
      <c r="I19" s="30"/>
      <c r="J19" s="30"/>
      <c r="K19" s="26"/>
      <c r="L19" t="str" s="30" cm="1">
        <f t="array" ref="L19">IF(D19&gt;0,IF($D19&lt;=0,0,D19*H19),"")</f>
      </c>
      <c r="M19" s="26"/>
      <c r="N19" s="28"/>
    </row>
    <row r="20" ht="20.6" customHeight="1">
      <c r="A20" s="33">
        <v>1</v>
      </c>
      <c r="B20" t="s" s="34">
        <v>37</v>
      </c>
      <c r="C20" s="35"/>
      <c r="D20" s="36">
        <v>1</v>
      </c>
      <c r="E20" s="36" cm="1">
        <f t="array" ref="E20">D20</f>
        <v>1</v>
      </c>
      <c r="F20" s="36" cm="1">
        <f t="array" ref="F20">D20</f>
        <v>1</v>
      </c>
      <c r="G20" t="s" s="37">
        <v>19</v>
      </c>
      <c r="H20" s="36">
        <v>391669.52</v>
      </c>
      <c r="I20" s="36">
        <v>391450.41</v>
      </c>
      <c r="J20" s="36">
        <v>391450.41</v>
      </c>
      <c r="K20" s="36">
        <v>0</v>
      </c>
      <c r="L20" s="36" cm="1">
        <f t="array" ref="L20">IF(D20&gt;0,IF($D20&lt;=0,0,D20*H20),"")</f>
        <v>391669.52</v>
      </c>
      <c r="M20" s="36" cm="1">
        <f t="array" ref="M20">IF(E20&gt;0,IF($D20&lt;=0,0,ROUND(E20*I20,2)),"")</f>
        <v>391450.41</v>
      </c>
      <c r="N20" s="38" cm="1">
        <f t="array" ref="N20">IF(F20&gt;0,IF($D20&lt;=0,0,ROUND(F20*J20,2)),"")</f>
        <v>391450.41</v>
      </c>
    </row>
    <row r="21" ht="8.75" customHeight="1" hidden="1">
      <c r="A21" s="39"/>
      <c r="B21" s="40"/>
      <c r="C21" s="41"/>
      <c r="D21" s="42"/>
      <c r="E21" s="42"/>
      <c r="F21" s="42"/>
      <c r="G21" s="43"/>
      <c r="H21" s="42"/>
      <c r="I21" s="42"/>
      <c r="J21" s="42"/>
      <c r="K21" s="42"/>
      <c r="L21" s="42"/>
      <c r="M21" s="42"/>
      <c r="N21" s="44"/>
    </row>
    <row r="22" ht="8.75" customHeight="1" hidden="1">
      <c r="A22" s="39"/>
      <c r="B22" s="40"/>
      <c r="C22" s="45"/>
      <c r="D22" s="46"/>
      <c r="E22" s="46"/>
      <c r="F22" s="46"/>
      <c r="G22" s="47"/>
      <c r="H22" s="46"/>
      <c r="I22" s="46"/>
      <c r="J22" s="46"/>
      <c r="K22" s="46"/>
      <c r="L22" s="46"/>
      <c r="M22" s="46"/>
      <c r="N22" s="48"/>
    </row>
    <row r="23" ht="8.75" customHeight="1" hidden="1">
      <c r="A23" s="39"/>
      <c r="B23" s="40"/>
      <c r="C23" s="41"/>
      <c r="D23" s="42"/>
      <c r="E23" s="42"/>
      <c r="F23" s="42"/>
      <c r="G23" s="43"/>
      <c r="H23" s="42"/>
      <c r="I23" s="42"/>
      <c r="J23" s="42"/>
      <c r="K23" s="42"/>
      <c r="L23" s="42"/>
      <c r="M23" s="42"/>
      <c r="N23" s="44"/>
    </row>
    <row r="24" ht="8.75" customHeight="1" hidden="1">
      <c r="A24" s="39"/>
      <c r="B24" s="40"/>
      <c r="C24" s="45"/>
      <c r="D24" s="46"/>
      <c r="E24" s="46"/>
      <c r="F24" s="46"/>
      <c r="G24" s="47"/>
      <c r="H24" s="46"/>
      <c r="I24" s="46"/>
      <c r="J24" s="46"/>
      <c r="K24" s="46"/>
      <c r="L24" s="46"/>
      <c r="M24" s="46"/>
      <c r="N24" s="48"/>
    </row>
    <row r="25" ht="8.75" customHeight="1" hidden="1">
      <c r="A25" s="39"/>
      <c r="B25" s="40"/>
      <c r="C25" s="41"/>
      <c r="D25" s="42"/>
      <c r="E25" s="42"/>
      <c r="F25" s="42"/>
      <c r="G25" s="43"/>
      <c r="H25" s="42"/>
      <c r="I25" s="42"/>
      <c r="J25" s="42"/>
      <c r="K25" s="42"/>
      <c r="L25" s="42"/>
      <c r="M25" s="42"/>
      <c r="N25" s="44"/>
    </row>
    <row r="26" ht="8.75" customHeight="1" hidden="1">
      <c r="A26" s="39"/>
      <c r="B26" s="40"/>
      <c r="C26" s="45"/>
      <c r="D26" s="46"/>
      <c r="E26" s="46"/>
      <c r="F26" s="46"/>
      <c r="G26" s="47"/>
      <c r="H26" s="46"/>
      <c r="I26" s="46"/>
      <c r="J26" s="46"/>
      <c r="K26" s="46"/>
      <c r="L26" s="46"/>
      <c r="M26" s="46"/>
      <c r="N26" s="48"/>
    </row>
    <row r="27" ht="8.75" customHeight="1" hidden="1">
      <c r="A27" s="39"/>
      <c r="B27" s="40"/>
      <c r="C27" s="41"/>
      <c r="D27" s="42"/>
      <c r="E27" s="42"/>
      <c r="F27" s="42"/>
      <c r="G27" s="43"/>
      <c r="H27" s="43"/>
      <c r="I27" s="43"/>
      <c r="J27" s="43"/>
      <c r="K27" s="42"/>
      <c r="L27" s="43"/>
      <c r="M27" s="43"/>
      <c r="N27" s="49"/>
    </row>
    <row r="28" ht="8.75" customHeight="1" hidden="1">
      <c r="A28" s="39"/>
      <c r="B28" s="40"/>
      <c r="C28" s="45"/>
      <c r="D28" s="46"/>
      <c r="E28" s="46"/>
      <c r="F28" s="46"/>
      <c r="G28" s="47"/>
      <c r="H28" s="50"/>
      <c r="I28" s="50"/>
      <c r="J28" s="50"/>
      <c r="K28" s="46"/>
      <c r="L28" s="46"/>
      <c r="M28" s="46"/>
      <c r="N28" s="48"/>
    </row>
    <row r="29" ht="8.75" customHeight="1" hidden="1">
      <c r="A29" s="39"/>
      <c r="B29" s="40"/>
      <c r="C29" s="41"/>
      <c r="D29" s="42"/>
      <c r="E29" s="42"/>
      <c r="F29" s="42"/>
      <c r="G29" s="43"/>
      <c r="H29" s="43"/>
      <c r="I29" s="43"/>
      <c r="J29" s="43"/>
      <c r="K29" s="42"/>
      <c r="L29" s="43"/>
      <c r="M29" s="43"/>
      <c r="N29" s="49"/>
    </row>
    <row r="30" ht="8.75" customHeight="1" hidden="1">
      <c r="A30" s="39"/>
      <c r="B30" s="40"/>
      <c r="C30" s="45"/>
      <c r="D30" s="46"/>
      <c r="E30" s="46"/>
      <c r="F30" s="46"/>
      <c r="G30" s="47"/>
      <c r="H30" s="46"/>
      <c r="I30" s="46"/>
      <c r="J30" s="46"/>
      <c r="K30" s="46"/>
      <c r="L30" s="46"/>
      <c r="M30" s="46"/>
      <c r="N30" s="48"/>
    </row>
    <row r="31" ht="8.75" customHeight="1" hidden="1">
      <c r="A31" s="39"/>
      <c r="B31" s="40"/>
      <c r="C31" s="41"/>
      <c r="D31" s="42"/>
      <c r="E31" s="42"/>
      <c r="F31" s="42"/>
      <c r="G31" s="43"/>
      <c r="H31" s="42"/>
      <c r="I31" s="42"/>
      <c r="J31" s="42"/>
      <c r="K31" s="42"/>
      <c r="L31" s="42"/>
      <c r="M31" s="42"/>
      <c r="N31" s="44"/>
    </row>
    <row r="32" ht="8.75" customHeight="1" hidden="1">
      <c r="A32" s="51"/>
      <c r="B32" s="40"/>
      <c r="C32" s="45"/>
      <c r="D32" s="46"/>
      <c r="E32" s="46"/>
      <c r="F32" s="46"/>
      <c r="G32" s="47"/>
      <c r="H32" s="46"/>
      <c r="I32" s="46"/>
      <c r="J32" s="46"/>
      <c r="K32" s="46"/>
      <c r="L32" s="46"/>
      <c r="M32" s="46"/>
      <c r="N32" s="48"/>
    </row>
    <row r="33" ht="8.75" customHeight="1" hidden="1">
      <c r="A33" s="51"/>
      <c r="B33" s="40"/>
      <c r="C33" s="41"/>
      <c r="D33" s="42"/>
      <c r="E33" s="42"/>
      <c r="F33" s="42"/>
      <c r="G33" s="43"/>
      <c r="H33" s="42"/>
      <c r="I33" s="42"/>
      <c r="J33" s="42"/>
      <c r="K33" s="42"/>
      <c r="L33" s="42"/>
      <c r="M33" s="42"/>
      <c r="N33" s="44"/>
    </row>
    <row r="34" ht="8.75" customHeight="1" hidden="1">
      <c r="A34" s="39"/>
      <c r="B34" s="40"/>
      <c r="C34" s="45"/>
      <c r="D34" s="46"/>
      <c r="E34" s="46"/>
      <c r="F34" s="46"/>
      <c r="G34" s="47"/>
      <c r="H34" s="46"/>
      <c r="I34" s="46"/>
      <c r="J34" s="46"/>
      <c r="K34" s="46"/>
      <c r="L34" s="47"/>
      <c r="M34" s="47"/>
      <c r="N34" s="52"/>
    </row>
    <row r="35" ht="8.75" customHeight="1" hidden="1">
      <c r="A35" s="39"/>
      <c r="B35" s="40"/>
      <c r="C35" s="41"/>
      <c r="D35" s="42"/>
      <c r="E35" s="42"/>
      <c r="F35" s="42"/>
      <c r="G35" s="43"/>
      <c r="H35" s="42"/>
      <c r="I35" s="42"/>
      <c r="J35" s="42"/>
      <c r="K35" s="42"/>
      <c r="L35" s="42"/>
      <c r="M35" s="42"/>
      <c r="N35" s="44"/>
    </row>
    <row r="36" ht="8.75" customHeight="1" hidden="1">
      <c r="A36" s="39"/>
      <c r="B36" s="40"/>
      <c r="C36" s="45"/>
      <c r="D36" s="46"/>
      <c r="E36" s="46"/>
      <c r="F36" s="46"/>
      <c r="G36" s="47"/>
      <c r="H36" s="46"/>
      <c r="I36" s="46"/>
      <c r="J36" s="46"/>
      <c r="K36" s="46"/>
      <c r="L36" s="47"/>
      <c r="M36" s="47"/>
      <c r="N36" s="52"/>
    </row>
    <row r="37" ht="20.85" customHeight="1">
      <c r="A37" s="53"/>
      <c r="B37" s="54"/>
      <c r="C37" s="54"/>
      <c r="D37" s="55"/>
      <c r="E37" s="55"/>
      <c r="F37" s="55"/>
      <c r="G37" s="56"/>
      <c r="H37" s="56"/>
      <c r="I37" s="54"/>
      <c r="J37" s="57"/>
      <c r="K37" t="s" s="58">
        <v>38</v>
      </c>
      <c r="L37" s="59" cm="1">
        <f t="array" ref="L37">SUM(L1:L36)</f>
        <v>180217730.32</v>
      </c>
      <c r="M37" s="59" cm="1">
        <f t="array" ref="M37">SUM(M1:M36)</f>
        <v>180102198.24</v>
      </c>
      <c r="N37" s="59" cm="1">
        <f t="array" ref="N37">SUM(N1:N36)</f>
        <v>180102198.24</v>
      </c>
    </row>
    <row r="38" ht="21" customHeight="1">
      <c r="A38" s="60"/>
      <c r="B38" t="s" s="61">
        <v>39</v>
      </c>
      <c r="C38" s="62"/>
      <c r="D38" s="63" cm="1">
        <f t="array" ref="D38">ROUND(IF(L38&lt;=100000000,L38*0.24%,IF(AND(L38&gt;100000000,L38&lt;=500000000),100000000*0.24%+(L38-100000000)*0.19%,IF(AND(L38&gt;500000000,L38&lt;=1000000000),100000000*0.24%+400000000*0.19%+(L38-500000000)*0.15%,IF(AND(L38&gt;1000000000,L38&lt;=5000000000),100000000*0.24%+400000000*0.19%+500000000*0.15%+(L38-1000000000)*0.12%,IF(L38&gt;5000000000,100000000*0.24%+400000000*0.19%+500000000*0.15%+4000000000*0.12%+(L38-5000000000)*0.1%,"Bingung komputer"))))),2)</f>
        <v>391669.52</v>
      </c>
      <c r="E38" s="64" cm="1">
        <f t="array" ref="E38">ROUND(IF(M38&lt;=100000000,M38*0.24%,IF(AND(M38&gt;100000000,M38&lt;=500000000),100000000*0.24%+(M38-100000000)*0.19%,IF(AND(M38&gt;500000000,M38&lt;=1000000000),100000000*0.24%+400000000*0.19%+(M38-500000000)*0.15%,IF(AND(M38&gt;1000000000,M38&lt;=5000000000),100000000*0.24%+400000000*0.19%+500000000*0.15%+(M38-1000000000)*0.12%,IF(M38&gt;5000000000,100000000*0.24%+400000000*0.19%+500000000*0.15%+4000000000*0.12%+(M38-5000000000)*0.1%,"Bingung komputer"))))),2)</f>
        <v>391450.42</v>
      </c>
      <c r="F38" s="64" cm="1">
        <f t="array" ref="F38">ROUND(IF(N38&lt;=100000000,N38*0.24%,IF(AND(N38&gt;100000000,N38&lt;=500000000),100000000*0.24%+(N38-100000000)*0.19%,IF(AND(N38&gt;500000000,N38&lt;=1000000000),100000000*0.24%+400000000*0.19%+(N38-500000000)*0.15%,IF(AND(N38&gt;1000000000,N38&lt;=5000000000),100000000*0.24%+400000000*0.19%+500000000*0.15%+(N38-1000000000)*0.12%,IF(N38&gt;5000000000,100000000*0.24%+400000000*0.19%+500000000*0.15%+4000000000*0.12%+(N38-5000000000)*0.1%,"Bingung komputer"))))),2)</f>
        <v>391450.42</v>
      </c>
      <c r="G38" s="65"/>
      <c r="H38" s="66"/>
      <c r="I38" s="62"/>
      <c r="J38" s="67"/>
      <c r="K38" t="str" s="67" cm="1">
        <f t="array" ref="K38">"Jumlah Terkena Pajak "&amp;MAX(K3:K36)&amp;"% (B)"</f>
        <v>Jumlah Terkena Pajak 11,00% (B)</v>
      </c>
      <c r="L38" s="68" cm="1">
        <f t="array" ref="L38">SUMIF($K3:$K36,"&gt;0",L3:L36)</f>
        <v>179826060.8</v>
      </c>
      <c r="M38" s="69" cm="1">
        <f t="array" ref="M38">SUMIF($K3:$K36,"&gt;0",M3:M36)</f>
        <v>179710747.83</v>
      </c>
      <c r="N38" s="69" cm="1">
        <f t="array" ref="N38">SUMIF($K3:$K36,"&gt;0",N3:N36)</f>
        <v>179710747.83</v>
      </c>
    </row>
    <row r="39" ht="21" customHeight="1">
      <c r="A39" s="70"/>
      <c r="B39" s="71"/>
      <c r="C39" s="71"/>
      <c r="D39" s="72"/>
      <c r="E39" s="72"/>
      <c r="F39" s="71"/>
      <c r="G39" s="72"/>
      <c r="H39" s="72"/>
      <c r="I39" s="71"/>
      <c r="J39" s="73"/>
      <c r="K39" t="str" s="73" cm="1">
        <f t="array" ref="K39">"PPN (C) = "&amp;MAX(K3:K36)&amp;"% x B"</f>
        <v>PPN (C) = 11,00% x B</v>
      </c>
      <c r="L39" s="74" cm="1">
        <f t="array" ref="L39">L38*MAX($K3:$K36)%</f>
        <v>19780866.688</v>
      </c>
      <c r="M39" s="69" cm="1">
        <f t="array" ref="M39">M38*MAX($K3:$K36)%</f>
        <v>19768182.2613</v>
      </c>
      <c r="N39" s="69" cm="1">
        <f t="array" ref="N39">N38*MAX($K3:$K36)%</f>
        <v>19768182.2613</v>
      </c>
    </row>
    <row r="40" ht="21" customHeight="1">
      <c r="A40" s="70"/>
      <c r="B40" s="71"/>
      <c r="C40" s="71"/>
      <c r="D40" s="72"/>
      <c r="E40" s="72"/>
      <c r="F40" s="72"/>
      <c r="G40" s="72"/>
      <c r="H40" s="72"/>
      <c r="I40" s="71"/>
      <c r="J40" s="73"/>
      <c r="K40" t="s" s="75">
        <v>42</v>
      </c>
      <c r="L40" s="76" cm="1">
        <f t="array" ref="L40">L37+L39</f>
        <v>199998597.008</v>
      </c>
      <c r="M40" s="69" cm="1">
        <f t="array" ref="M40">M37+M39</f>
        <v>199870380.5013</v>
      </c>
      <c r="N40" s="69" cm="1">
        <f t="array" ref="N40">N37+N39</f>
        <v>199870380.5013</v>
      </c>
    </row>
    <row r="41" ht="20.5" customHeight="1">
      <c r="A41" s="70"/>
      <c r="B41" s="71"/>
      <c r="C41" s="71"/>
      <c r="D41" s="72"/>
      <c r="E41" s="72"/>
      <c r="F41" s="72"/>
      <c r="G41" s="72"/>
      <c r="H41" s="72"/>
      <c r="I41" s="71"/>
      <c r="J41" s="73"/>
      <c r="K41" t="s" s="75">
        <v>43</v>
      </c>
      <c r="L41" s="68" cm="1">
        <f t="array" ref="L41">ROUNDDOWN(L40,2)</f>
        <v>199998597</v>
      </c>
      <c r="M41" s="68" cm="1">
        <f t="array" ref="M41">ROUNDDOWN(M40,2)</f>
        <v>199870380.5</v>
      </c>
      <c r="N41" s="68" cm="1">
        <f t="array" ref="N41">ROUNDDOWN(N40,-3)</f>
        <v>199870000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76.xml><?xml version="1.0" encoding="utf-8"?>
<worksheet xmlns:r="http://schemas.openxmlformats.org/officeDocument/2006/relationships" xmlns="http://schemas.openxmlformats.org/spreadsheetml/2006/main">
  <sheetPr>
    <pageSetUpPr fitToPage="1"/>
  </sheetPr>
  <dimension ref="A1:N38"/>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259" customWidth="1"/>
    <col min="2" max="2" width="43.0312" style="259" customWidth="1"/>
    <col min="3" max="3" width="2.75" style="259" customWidth="1"/>
    <col min="4" max="6" width="10.3672" style="259" customWidth="1"/>
    <col min="7" max="7" width="11.6875" style="259" customWidth="1"/>
    <col min="8" max="11" width="13.5156" style="259" customWidth="1"/>
    <col min="12" max="14" width="14.2344" style="259" customWidth="1"/>
    <col min="15" max="16384" width="16.3516" style="259"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16</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t="s" s="18">
        <v>17</v>
      </c>
      <c r="B4" t="s" s="19">
        <v>18</v>
      </c>
      <c r="C4" s="20"/>
      <c r="D4" s="21">
        <v>1</v>
      </c>
      <c r="E4" s="21" cm="1">
        <f t="array" ref="E4">D4</f>
        <v>1</v>
      </c>
      <c r="F4" s="21" cm="1">
        <f t="array" ref="F4">D4</f>
        <v>1</v>
      </c>
      <c r="G4" t="s" s="22">
        <v>19</v>
      </c>
      <c r="H4" s="21">
        <v>3749000</v>
      </c>
      <c r="I4" s="21">
        <v>3726000</v>
      </c>
      <c r="J4" s="21">
        <v>3726000</v>
      </c>
      <c r="K4" s="21">
        <v>11</v>
      </c>
      <c r="L4" s="21" cm="1">
        <f t="array" ref="L4">IF(D4&gt;0,IF($D4&lt;=0,0,D4*H4),"")</f>
        <v>3749000</v>
      </c>
      <c r="M4" s="21" cm="1">
        <f t="array" ref="M4">IF(E4&gt;0,IF($D4&lt;=0,0,ROUND(E4*I4,2)),"")</f>
        <v>3726000</v>
      </c>
      <c r="N4" s="23" cm="1">
        <f t="array" ref="N4">IF(F4&gt;0,IF($D4&lt;=0,0,ROUND(F4*J4,2)),"")</f>
        <v>3726000</v>
      </c>
    </row>
    <row r="5" ht="20.5" customHeight="1">
      <c r="A5" t="s" s="18">
        <v>20</v>
      </c>
      <c r="B5" t="s" s="19">
        <v>21</v>
      </c>
      <c r="C5" s="24"/>
      <c r="D5" s="25">
        <v>1</v>
      </c>
      <c r="E5" s="26" cm="1">
        <f t="array" ref="E5">D5</f>
        <v>1</v>
      </c>
      <c r="F5" s="26" cm="1">
        <f t="array" ref="F5">D5</f>
        <v>1</v>
      </c>
      <c r="G5" t="s" s="27">
        <v>19</v>
      </c>
      <c r="H5" s="26">
        <v>660000</v>
      </c>
      <c r="I5" s="26">
        <v>640000</v>
      </c>
      <c r="J5" s="26">
        <v>640000</v>
      </c>
      <c r="K5" s="26">
        <v>11</v>
      </c>
      <c r="L5" s="26" cm="1">
        <f t="array" ref="L5">IF(D5&gt;0,IF($D5&lt;=0,0,D5*H5),"")</f>
        <v>660000</v>
      </c>
      <c r="M5" s="26" cm="1">
        <f t="array" ref="M5">IF(E5&gt;0,IF($D5&lt;=0,0,ROUND(E5*I5,2)),"")</f>
        <v>640000</v>
      </c>
      <c r="N5" s="28" cm="1">
        <f t="array" ref="N5">IF(F5&gt;0,IF($D5&lt;=0,0,ROUND(F5*J5,2)),"")</f>
        <v>640000</v>
      </c>
    </row>
    <row r="6" ht="20.5" customHeight="1">
      <c r="A6" t="s" s="18">
        <v>22</v>
      </c>
      <c r="B6" t="s" s="19">
        <v>23</v>
      </c>
      <c r="C6" s="20"/>
      <c r="D6" s="21">
        <v>1</v>
      </c>
      <c r="E6" s="21" cm="1">
        <f t="array" ref="E6">D6</f>
        <v>1</v>
      </c>
      <c r="F6" s="21" cm="1">
        <f t="array" ref="F6">D6</f>
        <v>1</v>
      </c>
      <c r="G6" t="s" s="22">
        <v>19</v>
      </c>
      <c r="H6" s="21">
        <v>300000</v>
      </c>
      <c r="I6" s="21">
        <v>270000</v>
      </c>
      <c r="J6" s="21">
        <v>270000</v>
      </c>
      <c r="K6" s="21">
        <v>11</v>
      </c>
      <c r="L6" s="21" cm="1">
        <f t="array" ref="L6">IF(D6&gt;0,IF($D6&lt;=0,0,D6*H6),"")</f>
        <v>300000</v>
      </c>
      <c r="M6" s="21" cm="1">
        <f t="array" ref="M6">IF(E6&gt;0,IF($D6&lt;=0,0,ROUND(E6*I6,2)),"")</f>
        <v>270000</v>
      </c>
      <c r="N6" s="23" cm="1">
        <f t="array" ref="N6">IF(F6&gt;0,IF($D6&lt;=0,0,ROUND(F6*J6,2)),"")</f>
        <v>270000</v>
      </c>
    </row>
    <row r="7" ht="20.5" customHeight="1">
      <c r="A7" s="29"/>
      <c r="B7" t="s" s="19">
        <v>28</v>
      </c>
      <c r="C7" s="24"/>
      <c r="D7" s="30"/>
      <c r="E7" s="26"/>
      <c r="F7" s="26"/>
      <c r="G7" s="30"/>
      <c r="H7" s="26"/>
      <c r="I7" s="30"/>
      <c r="J7" s="30"/>
      <c r="K7" s="26"/>
      <c r="L7" t="str" s="30" cm="1">
        <f t="array" ref="L7">IF(D7&gt;0,IF($D7&lt;=0,0,D7*H7),"")</f>
      </c>
      <c r="M7" t="str" s="30" cm="1">
        <f t="array" ref="M7">IF(E7&gt;0,IF($D7&lt;=0,0,ROUND(E7*I7,2)),"")</f>
      </c>
      <c r="N7" t="str" s="31" cm="1">
        <f t="array" ref="N7">IF(F7&gt;0,IF($D7&lt;=0,0,ROUND(F7*J7,2)),"")</f>
      </c>
    </row>
    <row r="8" ht="20.5" customHeight="1">
      <c r="A8" t="s" s="18">
        <v>31</v>
      </c>
      <c r="B8" t="s" s="19">
        <v>32</v>
      </c>
      <c r="C8" s="20"/>
      <c r="D8" s="78">
        <v>48.53</v>
      </c>
      <c r="E8" s="21" cm="1">
        <f t="array" ref="E8">D8</f>
        <v>48.53</v>
      </c>
      <c r="F8" s="21" cm="1">
        <f t="array" ref="F8">D8</f>
        <v>48.53</v>
      </c>
      <c r="G8" t="s" s="22">
        <v>27</v>
      </c>
      <c r="H8" s="21">
        <v>344448.14</v>
      </c>
      <c r="I8" s="21">
        <v>344338.07</v>
      </c>
      <c r="J8" s="21">
        <v>344338.07</v>
      </c>
      <c r="K8" s="21">
        <v>11</v>
      </c>
      <c r="L8" s="21" cm="1">
        <f t="array" ref="L8">IF(D8&gt;0,IF($D8&lt;=0,0,D8*H8),"")</f>
        <v>16716068.2342</v>
      </c>
      <c r="M8" s="21" cm="1">
        <f t="array" ref="M8">IF(E8&gt;0,IF($D8&lt;=0,0,ROUND(E8*I8,2)),"")</f>
        <v>16710726.54</v>
      </c>
      <c r="N8" s="23" cm="1">
        <f t="array" ref="N8">IF(F8&gt;0,IF($D8&lt;=0,0,ROUND(F8*J8,2)),"")</f>
        <v>16710726.54</v>
      </c>
    </row>
    <row r="9" ht="20.5" customHeight="1">
      <c r="A9" s="29"/>
      <c r="B9" t="s" s="19">
        <v>92</v>
      </c>
      <c r="C9" s="24"/>
      <c r="D9" s="30"/>
      <c r="E9" s="26"/>
      <c r="F9" s="26"/>
      <c r="G9" s="30"/>
      <c r="H9" s="26"/>
      <c r="I9" s="30"/>
      <c r="J9" s="30"/>
      <c r="K9" s="26"/>
      <c r="L9" t="str" s="30" cm="1">
        <f t="array" ref="L9">IF(D9&gt;0,IF($D9&lt;=0,0,D9*H9),"")</f>
      </c>
      <c r="M9" t="str" s="30" cm="1">
        <f t="array" ref="M9">IF(E9&gt;0,IF($D9&lt;=0,0,ROUND(E9*I9,2)),"")</f>
      </c>
      <c r="N9" t="str" s="31" cm="1">
        <f t="array" ref="N9">IF(F9&gt;0,IF($D9&lt;=0,0,ROUND(F9*J9,2)),"")</f>
      </c>
    </row>
    <row r="10" ht="20.5" customHeight="1">
      <c r="A10" t="s" s="18">
        <v>157</v>
      </c>
      <c r="B10" t="s" s="19">
        <v>158</v>
      </c>
      <c r="C10" s="20"/>
      <c r="D10" s="78">
        <v>20.15</v>
      </c>
      <c r="E10" s="21" cm="1">
        <f t="array" ref="E10">D10</f>
        <v>20.15</v>
      </c>
      <c r="F10" s="21" cm="1">
        <f t="array" ref="F10">D10</f>
        <v>20.15</v>
      </c>
      <c r="G10" t="s" s="22">
        <v>27</v>
      </c>
      <c r="H10" s="21">
        <v>1759504</v>
      </c>
      <c r="I10" s="21">
        <v>1759019.15</v>
      </c>
      <c r="J10" s="21">
        <v>1759019.15</v>
      </c>
      <c r="K10" s="21">
        <v>11</v>
      </c>
      <c r="L10" s="21" cm="1">
        <f t="array" ref="L10">IF(D10&gt;0,IF($D10&lt;=0,0,D10*H10),"")</f>
        <v>35454005.6</v>
      </c>
      <c r="M10" s="21" cm="1">
        <f t="array" ref="M10">IF(E10&gt;0,IF($D10&lt;=0,0,ROUND(E10*I10,2)),"")</f>
        <v>35444235.87</v>
      </c>
      <c r="N10" s="23" cm="1">
        <f t="array" ref="N10">IF(F10&gt;0,IF($D10&lt;=0,0,ROUND(F10*J10,2)),"")</f>
        <v>35444235.87</v>
      </c>
    </row>
    <row r="11" ht="20.5" customHeight="1">
      <c r="A11" t="s" s="18">
        <v>95</v>
      </c>
      <c r="B11" t="s" s="19">
        <v>96</v>
      </c>
      <c r="C11" s="24"/>
      <c r="D11" s="25">
        <v>1.25</v>
      </c>
      <c r="E11" s="26" cm="1">
        <f t="array" ref="E11">D11</f>
        <v>1.25</v>
      </c>
      <c r="F11" s="26" cm="1">
        <f t="array" ref="F11">D11</f>
        <v>1.25</v>
      </c>
      <c r="G11" t="s" s="27">
        <v>27</v>
      </c>
      <c r="H11" s="26">
        <v>574369.9300000001</v>
      </c>
      <c r="I11" s="26">
        <v>574286.0699999999</v>
      </c>
      <c r="J11" s="26">
        <v>574286.0699999999</v>
      </c>
      <c r="K11" s="26">
        <v>11</v>
      </c>
      <c r="L11" s="26" cm="1">
        <f t="array" ref="L11">IF(D11&gt;0,IF($D11&lt;=0,0,D11*H11),"")</f>
        <v>717962.4125</v>
      </c>
      <c r="M11" s="26" cm="1">
        <f t="array" ref="M11">IF(E11&gt;0,IF($D11&lt;=0,0,ROUND(E11*I11,2)),"")</f>
        <v>717857.59</v>
      </c>
      <c r="N11" s="28" cm="1">
        <f t="array" ref="N11">IF(F11&gt;0,IF($D11&lt;=0,0,ROUND(F11*J11,2)),"")</f>
        <v>717857.59</v>
      </c>
    </row>
    <row r="12" ht="20.5" customHeight="1">
      <c r="A12" t="s" s="18">
        <v>99</v>
      </c>
      <c r="B12" t="s" s="19">
        <v>159</v>
      </c>
      <c r="C12" s="20"/>
      <c r="D12" s="21">
        <v>1995.91</v>
      </c>
      <c r="E12" s="21" cm="1">
        <f t="array" ref="E12">D12</f>
        <v>1995.91</v>
      </c>
      <c r="F12" s="21" cm="1">
        <f t="array" ref="F12">D12</f>
        <v>1995.91</v>
      </c>
      <c r="G12" t="s" s="22">
        <v>154</v>
      </c>
      <c r="H12" s="21">
        <v>14388.09</v>
      </c>
      <c r="I12" s="32">
        <v>14377.16</v>
      </c>
      <c r="J12" s="32">
        <v>14377.16</v>
      </c>
      <c r="K12" s="21">
        <v>11</v>
      </c>
      <c r="L12" s="21" cm="1">
        <f t="array" ref="L12">IF(D12&gt;0,IF($D12&lt;=0,0,D12*H12),"")</f>
        <v>28717332.7119</v>
      </c>
      <c r="M12" s="21" cm="1">
        <f t="array" ref="M12">IF(E12&gt;0,IF($D12&lt;=0,0,ROUND(E12*I12,2)),"")</f>
        <v>28695517.42</v>
      </c>
      <c r="N12" s="23" cm="1">
        <f t="array" ref="N12">IF(F12&gt;0,IF($D12&lt;=0,0,ROUND(F12*J12,2)),"")</f>
        <v>28695517.42</v>
      </c>
    </row>
    <row r="13" ht="32.5" customHeight="1">
      <c r="A13" s="29"/>
      <c r="B13" t="s" s="19">
        <v>104</v>
      </c>
      <c r="C13" s="24"/>
      <c r="D13" s="30"/>
      <c r="E13" s="26"/>
      <c r="F13" s="26"/>
      <c r="G13" s="30"/>
      <c r="H13" s="26"/>
      <c r="I13" s="30"/>
      <c r="J13" s="30"/>
      <c r="K13" s="26"/>
      <c r="L13" t="str" s="30" cm="1">
        <f t="array" ref="L13">IF(D13&gt;0,IF($D13&lt;=0,0,D13*H13),"")</f>
      </c>
      <c r="M13" t="str" s="30" cm="1">
        <f t="array" ref="M13">IF(E13&gt;0,IF($D13&lt;=0,0,ROUND(E13*I13,2)),"")</f>
      </c>
      <c r="N13" t="str" s="31" cm="1">
        <f t="array" ref="N13">IF(F13&gt;0,IF($D13&lt;=0,0,ROUND(F13*J13,2)),"")</f>
      </c>
    </row>
    <row r="14" ht="20.5" customHeight="1">
      <c r="A14" s="29"/>
      <c r="B14" t="s" s="19">
        <v>349</v>
      </c>
      <c r="C14" s="20"/>
      <c r="D14" s="78">
        <v>1</v>
      </c>
      <c r="E14" s="21" cm="1">
        <f t="array" ref="E14">D14</f>
        <v>1</v>
      </c>
      <c r="F14" s="21" cm="1">
        <f t="array" ref="F14">D14</f>
        <v>1</v>
      </c>
      <c r="G14" t="s" s="22">
        <v>135</v>
      </c>
      <c r="H14" s="21">
        <v>1500000</v>
      </c>
      <c r="I14" s="21">
        <v>1485000</v>
      </c>
      <c r="J14" s="21">
        <v>1485000</v>
      </c>
      <c r="K14" s="21">
        <v>11</v>
      </c>
      <c r="L14" s="21" cm="1">
        <f t="array" ref="L14">IF(D14&gt;0,IF($D14&lt;=0,0,D14*H14),"")</f>
        <v>1500000</v>
      </c>
      <c r="M14" s="21" cm="1">
        <f t="array" ref="M14">IF(E14&gt;0,IF($D14&lt;=0,0,ROUND(E14*I14,2)),"")</f>
        <v>1485000</v>
      </c>
      <c r="N14" s="23" cm="1">
        <f t="array" ref="N14">IF(F14&gt;0,IF($D14&lt;=0,0,ROUND(F14*J14,2)),"")</f>
        <v>1485000</v>
      </c>
    </row>
    <row r="15" ht="20.5" customHeight="1">
      <c r="A15" t="s" s="18">
        <v>105</v>
      </c>
      <c r="B15" t="s" s="19">
        <v>106</v>
      </c>
      <c r="C15" s="24"/>
      <c r="D15" s="25">
        <v>28</v>
      </c>
      <c r="E15" s="26" cm="1">
        <f t="array" ref="E15">D15</f>
        <v>28</v>
      </c>
      <c r="F15" s="26" cm="1">
        <f t="array" ref="F15">D15</f>
        <v>28</v>
      </c>
      <c r="G15" t="s" s="27">
        <v>107</v>
      </c>
      <c r="H15" s="26">
        <v>69712.899999999994</v>
      </c>
      <c r="I15" s="26">
        <v>69499.33</v>
      </c>
      <c r="J15" s="26">
        <v>69499.33</v>
      </c>
      <c r="K15" s="26">
        <v>11</v>
      </c>
      <c r="L15" s="26" cm="1">
        <f t="array" ref="L15">IF(D15&gt;0,IF($D15&lt;=0,0,D15*H15),"")</f>
        <v>1951961.2</v>
      </c>
      <c r="M15" s="26" cm="1">
        <f t="array" ref="M15">IF(E15&gt;0,IF($D15&lt;=0,0,ROUND(E15*I15,2)),"")</f>
        <v>1945981.24</v>
      </c>
      <c r="N15" s="28" cm="1">
        <f t="array" ref="N15">IF(F15&gt;0,IF($D15&lt;=0,0,ROUND(F15*J15,2)),"")</f>
        <v>1945981.24</v>
      </c>
    </row>
    <row r="16" ht="20.5" customHeight="1">
      <c r="A16" s="29"/>
      <c r="B16" t="s" s="19">
        <v>36</v>
      </c>
      <c r="C16" s="20"/>
      <c r="D16" s="21"/>
      <c r="E16" s="21"/>
      <c r="F16" s="21"/>
      <c r="G16" s="79"/>
      <c r="H16" s="79"/>
      <c r="I16" s="79"/>
      <c r="J16" s="79"/>
      <c r="K16" s="21"/>
      <c r="L16" t="str" s="79" cm="1">
        <f t="array" ref="L16">IF(D16&gt;0,IF($D16&lt;=0,0,D16*H16),"")</f>
      </c>
      <c r="M16" s="21"/>
      <c r="N16" s="23"/>
    </row>
    <row r="17" ht="20.6" customHeight="1">
      <c r="A17" s="33">
        <v>1</v>
      </c>
      <c r="B17" t="s" s="34">
        <v>37</v>
      </c>
      <c r="C17" s="80"/>
      <c r="D17" s="81">
        <v>1</v>
      </c>
      <c r="E17" s="81" cm="1">
        <f t="array" ref="E17">D17</f>
        <v>1</v>
      </c>
      <c r="F17" s="81" cm="1">
        <f t="array" ref="F17">D17</f>
        <v>1</v>
      </c>
      <c r="G17" t="s" s="82">
        <v>19</v>
      </c>
      <c r="H17" s="81">
        <v>220556.02</v>
      </c>
      <c r="I17" s="81">
        <v>220307.11</v>
      </c>
      <c r="J17" s="81">
        <v>220307.11</v>
      </c>
      <c r="K17" s="81">
        <v>0</v>
      </c>
      <c r="L17" s="81" cm="1">
        <f t="array" ref="L17">IF(D17&gt;0,IF($D17&lt;=0,0,D17*H17),"")</f>
        <v>220556.02</v>
      </c>
      <c r="M17" s="81" cm="1">
        <f t="array" ref="M17">IF(E17&gt;0,IF($D17&lt;=0,0,ROUND(E17*I17,2)),"")</f>
        <v>220307.11</v>
      </c>
      <c r="N17" s="83" cm="1">
        <f t="array" ref="N17">IF(F17&gt;0,IF($D17&lt;=0,0,ROUND(F17*J17,2)),"")</f>
        <v>220307.11</v>
      </c>
    </row>
    <row r="18" ht="8.75" customHeight="1" hidden="1">
      <c r="A18" s="39"/>
      <c r="B18" s="40"/>
      <c r="C18" s="45"/>
      <c r="D18" s="46"/>
      <c r="E18" s="46"/>
      <c r="F18" s="46"/>
      <c r="G18" s="47"/>
      <c r="H18" s="46"/>
      <c r="I18" s="46"/>
      <c r="J18" s="46"/>
      <c r="K18" s="46"/>
      <c r="L18" s="46"/>
      <c r="M18" s="46"/>
      <c r="N18" s="48"/>
    </row>
    <row r="19" ht="8.75" customHeight="1" hidden="1">
      <c r="A19" s="39"/>
      <c r="B19" s="40"/>
      <c r="C19" s="41"/>
      <c r="D19" s="42"/>
      <c r="E19" s="42"/>
      <c r="F19" s="42"/>
      <c r="G19" s="43"/>
      <c r="H19" s="42"/>
      <c r="I19" s="42"/>
      <c r="J19" s="42"/>
      <c r="K19" s="42"/>
      <c r="L19" s="42"/>
      <c r="M19" s="42"/>
      <c r="N19" s="44"/>
    </row>
    <row r="20" ht="8.75" customHeight="1" hidden="1">
      <c r="A20" s="39"/>
      <c r="B20" s="40"/>
      <c r="C20" s="45"/>
      <c r="D20" s="46"/>
      <c r="E20" s="46"/>
      <c r="F20" s="46"/>
      <c r="G20" s="47"/>
      <c r="H20" s="46"/>
      <c r="I20" s="46"/>
      <c r="J20" s="46"/>
      <c r="K20" s="46"/>
      <c r="L20" s="46"/>
      <c r="M20" s="46"/>
      <c r="N20" s="48"/>
    </row>
    <row r="21" ht="8.75" customHeight="1" hidden="1">
      <c r="A21" s="39"/>
      <c r="B21" s="40"/>
      <c r="C21" s="41"/>
      <c r="D21" s="42"/>
      <c r="E21" s="42"/>
      <c r="F21" s="42"/>
      <c r="G21" s="43"/>
      <c r="H21" s="42"/>
      <c r="I21" s="42"/>
      <c r="J21" s="42"/>
      <c r="K21" s="42"/>
      <c r="L21" s="42"/>
      <c r="M21" s="42"/>
      <c r="N21" s="44"/>
    </row>
    <row r="22" ht="8.75" customHeight="1" hidden="1">
      <c r="A22" s="39"/>
      <c r="B22" s="40"/>
      <c r="C22" s="45"/>
      <c r="D22" s="46"/>
      <c r="E22" s="46"/>
      <c r="F22" s="46"/>
      <c r="G22" s="47"/>
      <c r="H22" s="46"/>
      <c r="I22" s="46"/>
      <c r="J22" s="46"/>
      <c r="K22" s="46"/>
      <c r="L22" s="46"/>
      <c r="M22" s="46"/>
      <c r="N22" s="48"/>
    </row>
    <row r="23" ht="8.75" customHeight="1" hidden="1">
      <c r="A23" s="39"/>
      <c r="B23" s="40"/>
      <c r="C23" s="41"/>
      <c r="D23" s="42"/>
      <c r="E23" s="42"/>
      <c r="F23" s="42"/>
      <c r="G23" s="43"/>
      <c r="H23" s="42"/>
      <c r="I23" s="42"/>
      <c r="J23" s="42"/>
      <c r="K23" s="42"/>
      <c r="L23" s="42"/>
      <c r="M23" s="42"/>
      <c r="N23" s="44"/>
    </row>
    <row r="24" ht="8.75" customHeight="1" hidden="1">
      <c r="A24" s="39"/>
      <c r="B24" s="40"/>
      <c r="C24" s="45"/>
      <c r="D24" s="46"/>
      <c r="E24" s="46"/>
      <c r="F24" s="46"/>
      <c r="G24" s="47"/>
      <c r="H24" s="47"/>
      <c r="I24" s="47"/>
      <c r="J24" s="47"/>
      <c r="K24" s="46"/>
      <c r="L24" s="47"/>
      <c r="M24" s="47"/>
      <c r="N24" s="52"/>
    </row>
    <row r="25" ht="8.75" customHeight="1" hidden="1">
      <c r="A25" s="39"/>
      <c r="B25" s="40"/>
      <c r="C25" s="41"/>
      <c r="D25" s="42"/>
      <c r="E25" s="42"/>
      <c r="F25" s="42"/>
      <c r="G25" s="43"/>
      <c r="H25" s="84"/>
      <c r="I25" s="84"/>
      <c r="J25" s="84"/>
      <c r="K25" s="42"/>
      <c r="L25" s="42"/>
      <c r="M25" s="42"/>
      <c r="N25" s="44"/>
    </row>
    <row r="26" ht="8.75" customHeight="1" hidden="1">
      <c r="A26" s="39"/>
      <c r="B26" s="40"/>
      <c r="C26" s="45"/>
      <c r="D26" s="46"/>
      <c r="E26" s="46"/>
      <c r="F26" s="46"/>
      <c r="G26" s="47"/>
      <c r="H26" s="47"/>
      <c r="I26" s="47"/>
      <c r="J26" s="47"/>
      <c r="K26" s="46"/>
      <c r="L26" s="47"/>
      <c r="M26" s="47"/>
      <c r="N26" s="52"/>
    </row>
    <row r="27" ht="8.75" customHeight="1" hidden="1">
      <c r="A27" s="39"/>
      <c r="B27" s="40"/>
      <c r="C27" s="41"/>
      <c r="D27" s="42"/>
      <c r="E27" s="42"/>
      <c r="F27" s="42"/>
      <c r="G27" s="43"/>
      <c r="H27" s="42"/>
      <c r="I27" s="42"/>
      <c r="J27" s="42"/>
      <c r="K27" s="42"/>
      <c r="L27" s="42"/>
      <c r="M27" s="42"/>
      <c r="N27" s="44"/>
    </row>
    <row r="28" ht="8.75" customHeight="1" hidden="1">
      <c r="A28" s="39"/>
      <c r="B28" s="40"/>
      <c r="C28" s="45"/>
      <c r="D28" s="46"/>
      <c r="E28" s="46"/>
      <c r="F28" s="46"/>
      <c r="G28" s="47"/>
      <c r="H28" s="46"/>
      <c r="I28" s="46"/>
      <c r="J28" s="46"/>
      <c r="K28" s="46"/>
      <c r="L28" s="46"/>
      <c r="M28" s="46"/>
      <c r="N28" s="48"/>
    </row>
    <row r="29" ht="8.75" customHeight="1" hidden="1">
      <c r="A29" s="51"/>
      <c r="B29" s="40"/>
      <c r="C29" s="41"/>
      <c r="D29" s="42"/>
      <c r="E29" s="42"/>
      <c r="F29" s="42"/>
      <c r="G29" s="43"/>
      <c r="H29" s="42"/>
      <c r="I29" s="42"/>
      <c r="J29" s="42"/>
      <c r="K29" s="42"/>
      <c r="L29" s="42"/>
      <c r="M29" s="42"/>
      <c r="N29" s="44"/>
    </row>
    <row r="30" ht="8.75" customHeight="1" hidden="1">
      <c r="A30" s="51"/>
      <c r="B30" s="40"/>
      <c r="C30" s="45"/>
      <c r="D30" s="46"/>
      <c r="E30" s="46"/>
      <c r="F30" s="46"/>
      <c r="G30" s="47"/>
      <c r="H30" s="46"/>
      <c r="I30" s="46"/>
      <c r="J30" s="46"/>
      <c r="K30" s="46"/>
      <c r="L30" s="46"/>
      <c r="M30" s="46"/>
      <c r="N30" s="48"/>
    </row>
    <row r="31" ht="8.75" customHeight="1" hidden="1">
      <c r="A31" s="39"/>
      <c r="B31" s="40"/>
      <c r="C31" s="41"/>
      <c r="D31" s="42"/>
      <c r="E31" s="42"/>
      <c r="F31" s="42"/>
      <c r="G31" s="43"/>
      <c r="H31" s="42"/>
      <c r="I31" s="42"/>
      <c r="J31" s="42"/>
      <c r="K31" s="42"/>
      <c r="L31" s="43"/>
      <c r="M31" s="43"/>
      <c r="N31" s="49"/>
    </row>
    <row r="32" ht="8.75" customHeight="1" hidden="1">
      <c r="A32" s="39"/>
      <c r="B32" s="40"/>
      <c r="C32" s="45"/>
      <c r="D32" s="46"/>
      <c r="E32" s="46"/>
      <c r="F32" s="46"/>
      <c r="G32" s="47"/>
      <c r="H32" s="46"/>
      <c r="I32" s="46"/>
      <c r="J32" s="46"/>
      <c r="K32" s="46"/>
      <c r="L32" s="46"/>
      <c r="M32" s="46"/>
      <c r="N32" s="48"/>
    </row>
    <row r="33" ht="8.75" customHeight="1" hidden="1">
      <c r="A33" s="39"/>
      <c r="B33" s="40"/>
      <c r="C33" s="41"/>
      <c r="D33" s="42"/>
      <c r="E33" s="42"/>
      <c r="F33" s="42"/>
      <c r="G33" s="43"/>
      <c r="H33" s="42"/>
      <c r="I33" s="42"/>
      <c r="J33" s="42"/>
      <c r="K33" s="42"/>
      <c r="L33" s="43"/>
      <c r="M33" s="43"/>
      <c r="N33" s="49"/>
    </row>
    <row r="34" ht="20.85" customHeight="1">
      <c r="A34" s="53"/>
      <c r="B34" s="54"/>
      <c r="C34" s="54"/>
      <c r="D34" s="55"/>
      <c r="E34" s="55"/>
      <c r="F34" s="55"/>
      <c r="G34" s="56"/>
      <c r="H34" s="56"/>
      <c r="I34" s="54"/>
      <c r="J34" s="57"/>
      <c r="K34" t="s" s="58">
        <v>38</v>
      </c>
      <c r="L34" s="59" cm="1">
        <f t="array" ref="L34">SUM(L1:L33)</f>
        <v>89986886.1786</v>
      </c>
      <c r="M34" s="59" cm="1">
        <f t="array" ref="M34">SUM(M1:M33)</f>
        <v>89855625.77</v>
      </c>
      <c r="N34" s="59" cm="1">
        <f t="array" ref="N34">SUM(N1:N33)</f>
        <v>89855625.77</v>
      </c>
    </row>
    <row r="35" ht="21" customHeight="1">
      <c r="A35" s="60"/>
      <c r="B35" t="s" s="61">
        <v>39</v>
      </c>
      <c r="C35" s="62"/>
      <c r="D35" s="63" cm="1">
        <f t="array" ref="D35">ROUND(IF(L35&lt;=100000000,L35*0.24%,IF(AND(L35&gt;100000000,L35&lt;=500000000),100000000*0.24%+(L35-100000000)*0.19%,IF(AND(L35&gt;500000000,L35&lt;=1000000000),100000000*0.24%+400000000*0.19%+(L35-500000000)*0.15%,IF(AND(L35&gt;1000000000,L35&lt;=5000000000),100000000*0.24%+400000000*0.19%+500000000*0.15%+(L35-1000000000)*0.12%,IF(L35&gt;5000000000,100000000*0.24%+400000000*0.19%+500000000*0.15%+4000000000*0.12%+(L35-5000000000)*0.1%,"Bingung komputer"))))),2)</f>
        <v>215439.19</v>
      </c>
      <c r="E35" s="64" cm="1">
        <f t="array" ref="E35">ROUND(IF(M35&lt;=100000000,M35*0.24%,IF(AND(M35&gt;100000000,M35&lt;=500000000),100000000*0.24%+(M35-100000000)*0.19%,IF(AND(M35&gt;500000000,M35&lt;=1000000000),100000000*0.24%+400000000*0.19%+(M35-500000000)*0.15%,IF(AND(M35&gt;1000000000,M35&lt;=5000000000),100000000*0.24%+400000000*0.19%+500000000*0.15%+(M35-1000000000)*0.12%,IF(M35&gt;5000000000,100000000*0.24%+400000000*0.19%+500000000*0.15%+4000000000*0.12%+(M35-5000000000)*0.1%,"Bingung komputer"))))),2)</f>
        <v>215124.76</v>
      </c>
      <c r="F35" s="64" cm="1">
        <f t="array" ref="F35">ROUND(IF(N35&lt;=100000000,N35*0.24%,IF(AND(N35&gt;100000000,N35&lt;=500000000),100000000*0.24%+(N35-100000000)*0.19%,IF(AND(N35&gt;500000000,N35&lt;=1000000000),100000000*0.24%+400000000*0.19%+(N35-500000000)*0.15%,IF(AND(N35&gt;1000000000,N35&lt;=5000000000),100000000*0.24%+400000000*0.19%+500000000*0.15%+(N35-1000000000)*0.12%,IF(N35&gt;5000000000,100000000*0.24%+400000000*0.19%+500000000*0.15%+4000000000*0.12%+(N35-5000000000)*0.1%,"Bingung komputer"))))),2)</f>
        <v>215124.76</v>
      </c>
      <c r="G35" s="65"/>
      <c r="H35" s="66"/>
      <c r="I35" s="62"/>
      <c r="J35" s="67"/>
      <c r="K35" t="str" s="67" cm="1">
        <f t="array" ref="K35">"Jumlah Terkena Pajak "&amp;MAX(K3:K33)&amp;"% (B)"</f>
        <v>Jumlah Terkena Pajak 11,00% (B)</v>
      </c>
      <c r="L35" s="68" cm="1">
        <f t="array" ref="L35">SUMIF($K3:$K33,"&gt;0",L3:L33)</f>
        <v>89766330.1586</v>
      </c>
      <c r="M35" s="69" cm="1">
        <f t="array" ref="M35">SUMIF($K3:$K33,"&gt;0",M3:M33)</f>
        <v>89635318.66</v>
      </c>
      <c r="N35" s="69" cm="1">
        <f t="array" ref="N35">SUMIF($K3:$K33,"&gt;0",N3:N33)</f>
        <v>89635318.66</v>
      </c>
    </row>
    <row r="36" ht="21" customHeight="1">
      <c r="A36" s="70"/>
      <c r="B36" s="71"/>
      <c r="C36" s="71"/>
      <c r="D36" s="72"/>
      <c r="E36" s="72"/>
      <c r="F36" s="71"/>
      <c r="G36" s="72"/>
      <c r="H36" s="72"/>
      <c r="I36" s="71"/>
      <c r="J36" s="73"/>
      <c r="K36" t="str" s="73" cm="1">
        <f t="array" ref="K36">"PPN (C) = "&amp;MAX(K3:K33)&amp;"% x B"</f>
        <v>PPN (C) = 11,00% x B</v>
      </c>
      <c r="L36" s="74" cm="1">
        <f t="array" ref="L36">L35*MAX($K3:$K33)%</f>
        <v>9874296.317446001</v>
      </c>
      <c r="M36" s="69" cm="1">
        <f t="array" ref="M36">M35*MAX($K3:$K33)%</f>
        <v>9859885.0526</v>
      </c>
      <c r="N36" s="69" cm="1">
        <f t="array" ref="N36">N35*MAX($K3:$K33)%</f>
        <v>9859885.0526</v>
      </c>
    </row>
    <row r="37" ht="21" customHeight="1">
      <c r="A37" s="70"/>
      <c r="B37" s="71"/>
      <c r="C37" s="71"/>
      <c r="D37" s="72"/>
      <c r="E37" s="72"/>
      <c r="F37" s="72"/>
      <c r="G37" s="72"/>
      <c r="H37" s="72"/>
      <c r="I37" s="71"/>
      <c r="J37" s="73"/>
      <c r="K37" t="s" s="75">
        <v>42</v>
      </c>
      <c r="L37" s="76" cm="1">
        <f t="array" ref="L37">L34+L36</f>
        <v>99861182.49604601</v>
      </c>
      <c r="M37" s="69" cm="1">
        <f t="array" ref="M37">M34+M36</f>
        <v>99715510.82260001</v>
      </c>
      <c r="N37" s="69" cm="1">
        <f t="array" ref="N37">N34+N36</f>
        <v>99715510.82260001</v>
      </c>
    </row>
    <row r="38" ht="20.5" customHeight="1">
      <c r="A38" s="70"/>
      <c r="B38" s="71"/>
      <c r="C38" s="71"/>
      <c r="D38" s="72"/>
      <c r="E38" s="72"/>
      <c r="F38" s="72"/>
      <c r="G38" s="72"/>
      <c r="H38" s="72"/>
      <c r="I38" s="71"/>
      <c r="J38" s="73"/>
      <c r="K38" t="s" s="75">
        <v>43</v>
      </c>
      <c r="L38" s="68" cm="1">
        <f t="array" ref="L38">ROUNDDOWN(L37,2)</f>
        <v>99861182.48999999</v>
      </c>
      <c r="M38" s="68" cm="1">
        <f t="array" ref="M38">ROUNDDOWN(M37,2)</f>
        <v>99715510.81999999</v>
      </c>
      <c r="N38" s="68" cm="1">
        <f t="array" ref="N38">ROUNDDOWN(N37,-3)</f>
        <v>99715000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77.xml><?xml version="1.0" encoding="utf-8"?>
<worksheet xmlns:r="http://schemas.openxmlformats.org/officeDocument/2006/relationships" xmlns="http://schemas.openxmlformats.org/spreadsheetml/2006/main">
  <sheetPr>
    <pageSetUpPr fitToPage="1"/>
  </sheetPr>
  <dimension ref="A1:N38"/>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260" customWidth="1"/>
    <col min="2" max="2" width="43.0312" style="260" customWidth="1"/>
    <col min="3" max="3" width="2.75" style="260" customWidth="1"/>
    <col min="4" max="6" width="10.3672" style="260" customWidth="1"/>
    <col min="7" max="7" width="11.6875" style="260" customWidth="1"/>
    <col min="8" max="11" width="13.5156" style="260" customWidth="1"/>
    <col min="12" max="14" width="14.2344" style="260" customWidth="1"/>
    <col min="15" max="16384" width="16.3516" style="260"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16</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t="s" s="18">
        <v>17</v>
      </c>
      <c r="B4" t="s" s="19">
        <v>18</v>
      </c>
      <c r="C4" s="20"/>
      <c r="D4" s="21">
        <v>1</v>
      </c>
      <c r="E4" s="21" cm="1">
        <f t="array" ref="E4">D4</f>
        <v>1</v>
      </c>
      <c r="F4" s="21" cm="1">
        <f t="array" ref="F4">D4</f>
        <v>1</v>
      </c>
      <c r="G4" t="s" s="22">
        <v>19</v>
      </c>
      <c r="H4" s="21">
        <v>3749000</v>
      </c>
      <c r="I4" s="21">
        <v>3681150</v>
      </c>
      <c r="J4" s="21">
        <v>3681150</v>
      </c>
      <c r="K4" s="21">
        <v>11</v>
      </c>
      <c r="L4" s="21" cm="1">
        <f t="array" ref="L4">IF(D4&gt;0,IF($D4&lt;=0,0,D4*H4),"")</f>
        <v>3749000</v>
      </c>
      <c r="M4" s="21" cm="1">
        <f t="array" ref="M4">IF(E4&gt;0,IF($D4&lt;=0,0,ROUND(E4*I4,2)),"")</f>
        <v>3681150</v>
      </c>
      <c r="N4" s="23" cm="1">
        <f t="array" ref="N4">IF(F4&gt;0,IF($D4&lt;=0,0,ROUND(F4*J4,2)),"")</f>
        <v>3681150</v>
      </c>
    </row>
    <row r="5" ht="20.5" customHeight="1">
      <c r="A5" t="s" s="18">
        <v>20</v>
      </c>
      <c r="B5" t="s" s="19">
        <v>21</v>
      </c>
      <c r="C5" s="24"/>
      <c r="D5" s="25">
        <v>1</v>
      </c>
      <c r="E5" s="26" cm="1">
        <f t="array" ref="E5">D5</f>
        <v>1</v>
      </c>
      <c r="F5" s="26" cm="1">
        <f t="array" ref="F5">D5</f>
        <v>1</v>
      </c>
      <c r="G5" t="s" s="27">
        <v>19</v>
      </c>
      <c r="H5" s="26">
        <v>660000</v>
      </c>
      <c r="I5" s="26">
        <v>640000</v>
      </c>
      <c r="J5" s="26">
        <v>640000</v>
      </c>
      <c r="K5" s="26">
        <v>11</v>
      </c>
      <c r="L5" s="26" cm="1">
        <f t="array" ref="L5">IF(D5&gt;0,IF($D5&lt;=0,0,D5*H5),"")</f>
        <v>660000</v>
      </c>
      <c r="M5" s="26" cm="1">
        <f t="array" ref="M5">IF(E5&gt;0,IF($D5&lt;=0,0,ROUND(E5*I5,2)),"")</f>
        <v>640000</v>
      </c>
      <c r="N5" s="28" cm="1">
        <f t="array" ref="N5">IF(F5&gt;0,IF($D5&lt;=0,0,ROUND(F5*J5,2)),"")</f>
        <v>640000</v>
      </c>
    </row>
    <row r="6" ht="20.5" customHeight="1">
      <c r="A6" t="s" s="18">
        <v>22</v>
      </c>
      <c r="B6" t="s" s="19">
        <v>23</v>
      </c>
      <c r="C6" s="20"/>
      <c r="D6" s="21">
        <v>1</v>
      </c>
      <c r="E6" s="21" cm="1">
        <f t="array" ref="E6">D6</f>
        <v>1</v>
      </c>
      <c r="F6" s="21" cm="1">
        <f t="array" ref="F6">D6</f>
        <v>1</v>
      </c>
      <c r="G6" t="s" s="22">
        <v>19</v>
      </c>
      <c r="H6" s="21">
        <v>300000</v>
      </c>
      <c r="I6" s="21">
        <v>270000</v>
      </c>
      <c r="J6" s="21">
        <v>270000</v>
      </c>
      <c r="K6" s="21">
        <v>11</v>
      </c>
      <c r="L6" s="21" cm="1">
        <f t="array" ref="L6">IF(D6&gt;0,IF($D6&lt;=0,0,D6*H6),"")</f>
        <v>300000</v>
      </c>
      <c r="M6" s="21" cm="1">
        <f t="array" ref="M6">IF(E6&gt;0,IF($D6&lt;=0,0,ROUND(E6*I6,2)),"")</f>
        <v>270000</v>
      </c>
      <c r="N6" s="23" cm="1">
        <f t="array" ref="N6">IF(F6&gt;0,IF($D6&lt;=0,0,ROUND(F6*J6,2)),"")</f>
        <v>270000</v>
      </c>
    </row>
    <row r="7" ht="20.5" customHeight="1">
      <c r="A7" s="29"/>
      <c r="B7" t="s" s="19">
        <v>28</v>
      </c>
      <c r="C7" s="24"/>
      <c r="D7" s="30"/>
      <c r="E7" s="26"/>
      <c r="F7" s="26"/>
      <c r="G7" s="30"/>
      <c r="H7" s="26"/>
      <c r="I7" s="30"/>
      <c r="J7" s="30"/>
      <c r="K7" s="26"/>
      <c r="L7" t="str" s="30" cm="1">
        <f t="array" ref="L7">IF(D7&gt;0,IF($D7&lt;=0,0,D7*H7),"")</f>
      </c>
      <c r="M7" t="str" s="30" cm="1">
        <f t="array" ref="M7">IF(E7&gt;0,IF($D7&lt;=0,0,ROUND(E7*I7,2)),"")</f>
      </c>
      <c r="N7" t="str" s="31" cm="1">
        <f t="array" ref="N7">IF(F7&gt;0,IF($D7&lt;=0,0,ROUND(F7*J7,2)),"")</f>
      </c>
    </row>
    <row r="8" ht="20.5" customHeight="1">
      <c r="A8" t="s" s="18">
        <v>31</v>
      </c>
      <c r="B8" t="s" s="19">
        <v>32</v>
      </c>
      <c r="C8" s="20"/>
      <c r="D8" s="78">
        <v>7.5</v>
      </c>
      <c r="E8" s="21" cm="1">
        <f t="array" ref="E8">D8</f>
        <v>7.5</v>
      </c>
      <c r="F8" s="21" cm="1">
        <f t="array" ref="F8">D8</f>
        <v>7.5</v>
      </c>
      <c r="G8" t="s" s="22">
        <v>27</v>
      </c>
      <c r="H8" s="21">
        <v>173466.37</v>
      </c>
      <c r="I8" s="21">
        <v>173464.5</v>
      </c>
      <c r="J8" s="21">
        <v>173464.5</v>
      </c>
      <c r="K8" s="21">
        <v>11</v>
      </c>
      <c r="L8" s="21" cm="1">
        <f t="array" ref="L8">IF(D8&gt;0,IF($D8&lt;=0,0,D8*H8),"")</f>
        <v>1300997.775</v>
      </c>
      <c r="M8" s="21" cm="1">
        <f t="array" ref="M8">IF(E8&gt;0,IF($D8&lt;=0,0,ROUND(E8*I8,2)),"")</f>
        <v>1300983.75</v>
      </c>
      <c r="N8" s="23" cm="1">
        <f t="array" ref="N8">IF(F8&gt;0,IF($D8&lt;=0,0,ROUND(F8*J8,2)),"")</f>
        <v>1300983.75</v>
      </c>
    </row>
    <row r="9" ht="20.5" customHeight="1">
      <c r="A9" s="29"/>
      <c r="B9" t="s" s="19">
        <v>92</v>
      </c>
      <c r="C9" s="24"/>
      <c r="D9" s="30"/>
      <c r="E9" s="26"/>
      <c r="F9" s="26"/>
      <c r="G9" s="30"/>
      <c r="H9" s="26"/>
      <c r="I9" s="30"/>
      <c r="J9" s="30"/>
      <c r="K9" s="26"/>
      <c r="L9" t="str" s="30" cm="1">
        <f t="array" ref="L9">IF(D9&gt;0,IF($D9&lt;=0,0,D9*H9),"")</f>
      </c>
      <c r="M9" t="str" s="30" cm="1">
        <f t="array" ref="M9">IF(E9&gt;0,IF($D9&lt;=0,0,ROUND(E9*I9,2)),"")</f>
      </c>
      <c r="N9" t="str" s="31" cm="1">
        <f t="array" ref="N9">IF(F9&gt;0,IF($D9&lt;=0,0,ROUND(F9*J9,2)),"")</f>
      </c>
    </row>
    <row r="10" ht="20.5" customHeight="1">
      <c r="A10" t="s" s="18">
        <v>157</v>
      </c>
      <c r="B10" t="s" s="19">
        <v>158</v>
      </c>
      <c r="C10" s="20"/>
      <c r="D10" s="78">
        <v>20.09</v>
      </c>
      <c r="E10" s="21" cm="1">
        <f t="array" ref="E10">D10</f>
        <v>20.09</v>
      </c>
      <c r="F10" s="21" cm="1">
        <f t="array" ref="F10">D10</f>
        <v>20.09</v>
      </c>
      <c r="G10" t="s" s="22">
        <v>27</v>
      </c>
      <c r="H10" s="21">
        <v>1759504</v>
      </c>
      <c r="I10" s="21">
        <v>1759088.33</v>
      </c>
      <c r="J10" s="21">
        <v>1759088.33</v>
      </c>
      <c r="K10" s="21">
        <v>11</v>
      </c>
      <c r="L10" s="21" cm="1">
        <f t="array" ref="L10">IF(D10&gt;0,IF($D10&lt;=0,0,D10*H10),"")</f>
        <v>35348435.36</v>
      </c>
      <c r="M10" s="21" cm="1">
        <f t="array" ref="M10">IF(E10&gt;0,IF($D10&lt;=0,0,ROUND(E10*I10,2)),"")</f>
        <v>35340084.55</v>
      </c>
      <c r="N10" s="23" cm="1">
        <f t="array" ref="N10">IF(F10&gt;0,IF($D10&lt;=0,0,ROUND(F10*J10,2)),"")</f>
        <v>35340084.55</v>
      </c>
    </row>
    <row r="11" ht="20.5" customHeight="1">
      <c r="A11" t="s" s="18">
        <v>95</v>
      </c>
      <c r="B11" t="s" s="19">
        <v>96</v>
      </c>
      <c r="C11" s="24"/>
      <c r="D11" s="25">
        <v>1.5</v>
      </c>
      <c r="E11" s="26" cm="1">
        <f t="array" ref="E11">D11</f>
        <v>1.5</v>
      </c>
      <c r="F11" s="26" cm="1">
        <f t="array" ref="F11">D11</f>
        <v>1.5</v>
      </c>
      <c r="G11" t="s" s="27">
        <v>27</v>
      </c>
      <c r="H11" s="26">
        <v>574369.9300000001</v>
      </c>
      <c r="I11" s="26">
        <v>574369.9300000001</v>
      </c>
      <c r="J11" s="26">
        <v>574369.9300000001</v>
      </c>
      <c r="K11" s="26">
        <v>11</v>
      </c>
      <c r="L11" s="26" cm="1">
        <f t="array" ref="L11">IF(D11&gt;0,IF($D11&lt;=0,0,D11*H11),"")</f>
        <v>861554.895</v>
      </c>
      <c r="M11" s="26" cm="1">
        <f t="array" ref="M11">IF(E11&gt;0,IF($D11&lt;=0,0,ROUND(E11*I11,2)),"")</f>
        <v>861554.9</v>
      </c>
      <c r="N11" s="28" cm="1">
        <f t="array" ref="N11">IF(F11&gt;0,IF($D11&lt;=0,0,ROUND(F11*J11,2)),"")</f>
        <v>861554.9</v>
      </c>
    </row>
    <row r="12" ht="20.5" customHeight="1">
      <c r="A12" t="s" s="18">
        <v>99</v>
      </c>
      <c r="B12" t="s" s="19">
        <v>159</v>
      </c>
      <c r="C12" s="20"/>
      <c r="D12" s="21">
        <v>1639.15</v>
      </c>
      <c r="E12" s="21" cm="1">
        <f t="array" ref="E12">D12</f>
        <v>1639.15</v>
      </c>
      <c r="F12" s="21" cm="1">
        <f t="array" ref="F12">D12</f>
        <v>1639.15</v>
      </c>
      <c r="G12" t="s" s="22">
        <v>154</v>
      </c>
      <c r="H12" s="21">
        <v>14388.09</v>
      </c>
      <c r="I12" s="32">
        <v>14376.01</v>
      </c>
      <c r="J12" s="32">
        <v>14376.01</v>
      </c>
      <c r="K12" s="21">
        <v>11</v>
      </c>
      <c r="L12" s="21" cm="1">
        <f t="array" ref="L12">IF(D12&gt;0,IF($D12&lt;=0,0,D12*H12),"")</f>
        <v>23584237.7235</v>
      </c>
      <c r="M12" s="21" cm="1">
        <f t="array" ref="M12">IF(E12&gt;0,IF($D12&lt;=0,0,ROUND(E12*I12,2)),"")</f>
        <v>23564436.79</v>
      </c>
      <c r="N12" s="23" cm="1">
        <f t="array" ref="N12">IF(F12&gt;0,IF($D12&lt;=0,0,ROUND(F12*J12,2)),"")</f>
        <v>23564436.79</v>
      </c>
    </row>
    <row r="13" ht="32.5" customHeight="1">
      <c r="A13" s="29"/>
      <c r="B13" t="s" s="19">
        <v>104</v>
      </c>
      <c r="C13" s="24"/>
      <c r="D13" s="30"/>
      <c r="E13" s="26"/>
      <c r="F13" s="26"/>
      <c r="G13" s="30"/>
      <c r="H13" s="26"/>
      <c r="I13" s="30"/>
      <c r="J13" s="30"/>
      <c r="K13" s="26"/>
      <c r="L13" t="str" s="30" cm="1">
        <f t="array" ref="L13">IF(D13&gt;0,IF($D13&lt;=0,0,D13*H13),"")</f>
      </c>
      <c r="M13" t="str" s="30" cm="1">
        <f t="array" ref="M13">IF(E13&gt;0,IF($D13&lt;=0,0,ROUND(E13*I13,2)),"")</f>
      </c>
      <c r="N13" t="str" s="31" cm="1">
        <f t="array" ref="N13">IF(F13&gt;0,IF($D13&lt;=0,0,ROUND(F13*J13,2)),"")</f>
      </c>
    </row>
    <row r="14" ht="20.5" customHeight="1">
      <c r="A14" t="s" s="18">
        <v>332</v>
      </c>
      <c r="B14" t="s" s="19">
        <v>256</v>
      </c>
      <c r="C14" s="20"/>
      <c r="D14" s="78">
        <v>5.55</v>
      </c>
      <c r="E14" s="21" cm="1">
        <f t="array" ref="E14">D14</f>
        <v>5.55</v>
      </c>
      <c r="F14" s="21" cm="1">
        <f t="array" ref="F14">D14</f>
        <v>5.55</v>
      </c>
      <c r="G14" t="s" s="22">
        <v>135</v>
      </c>
      <c r="H14" s="21">
        <v>104937.5</v>
      </c>
      <c r="I14" s="21">
        <v>104489</v>
      </c>
      <c r="J14" s="21">
        <v>104489</v>
      </c>
      <c r="K14" s="21">
        <v>11</v>
      </c>
      <c r="L14" s="21" cm="1">
        <f t="array" ref="L14">IF(D14&gt;0,IF($D14&lt;=0,0,D14*H14),"")</f>
        <v>582403.125</v>
      </c>
      <c r="M14" s="21" cm="1">
        <f t="array" ref="M14">IF(E14&gt;0,IF($D14&lt;=0,0,ROUND(E14*I14,2)),"")</f>
        <v>579913.95</v>
      </c>
      <c r="N14" s="23" cm="1">
        <f t="array" ref="N14">IF(F14&gt;0,IF($D14&lt;=0,0,ROUND(F14*J14,2)),"")</f>
        <v>579913.95</v>
      </c>
    </row>
    <row r="15" ht="20.5" customHeight="1">
      <c r="A15" t="s" s="18">
        <v>105</v>
      </c>
      <c r="B15" t="s" s="19">
        <v>106</v>
      </c>
      <c r="C15" s="24"/>
      <c r="D15" s="25">
        <v>14</v>
      </c>
      <c r="E15" s="26" cm="1">
        <f t="array" ref="E15">D15</f>
        <v>14</v>
      </c>
      <c r="F15" s="26" cm="1">
        <f t="array" ref="F15">D15</f>
        <v>14</v>
      </c>
      <c r="G15" t="s" s="27">
        <v>107</v>
      </c>
      <c r="H15" s="26">
        <v>69712.899999999994</v>
      </c>
      <c r="I15" s="26">
        <v>69712.899999999994</v>
      </c>
      <c r="J15" s="26">
        <v>69712.899999999994</v>
      </c>
      <c r="K15" s="26">
        <v>11</v>
      </c>
      <c r="L15" s="26" cm="1">
        <f t="array" ref="L15">IF(D15&gt;0,IF($D15&lt;=0,0,D15*H15),"")</f>
        <v>975980.6</v>
      </c>
      <c r="M15" s="26" cm="1">
        <f t="array" ref="M15">IF(E15&gt;0,IF($D15&lt;=0,0,ROUND(E15*I15,2)),"")</f>
        <v>975980.6</v>
      </c>
      <c r="N15" s="28" cm="1">
        <f t="array" ref="N15">IF(F15&gt;0,IF($D15&lt;=0,0,ROUND(F15*J15,2)),"")</f>
        <v>975980.6</v>
      </c>
    </row>
    <row r="16" ht="20.5" customHeight="1">
      <c r="A16" s="29"/>
      <c r="B16" t="s" s="19">
        <v>36</v>
      </c>
      <c r="C16" s="20"/>
      <c r="D16" s="21"/>
      <c r="E16" s="21"/>
      <c r="F16" s="21"/>
      <c r="G16" s="79"/>
      <c r="H16" s="79"/>
      <c r="I16" s="79"/>
      <c r="J16" s="79"/>
      <c r="K16" s="21"/>
      <c r="L16" t="str" s="79" cm="1">
        <f t="array" ref="L16">IF(D16&gt;0,IF($D16&lt;=0,0,D16*H16),"")</f>
      </c>
      <c r="M16" s="21"/>
      <c r="N16" s="23"/>
    </row>
    <row r="17" ht="20.6" customHeight="1">
      <c r="A17" s="33">
        <v>1</v>
      </c>
      <c r="B17" t="s" s="34">
        <v>37</v>
      </c>
      <c r="C17" s="80"/>
      <c r="D17" s="81">
        <v>1</v>
      </c>
      <c r="E17" s="81" cm="1">
        <f t="array" ref="E17">D17</f>
        <v>1</v>
      </c>
      <c r="F17" s="81" cm="1">
        <f t="array" ref="F17">D17</f>
        <v>1</v>
      </c>
      <c r="G17" t="s" s="82">
        <v>19</v>
      </c>
      <c r="H17" s="81">
        <v>177972.24</v>
      </c>
      <c r="I17" s="81">
        <v>177706.81</v>
      </c>
      <c r="J17" s="81">
        <v>177706.81</v>
      </c>
      <c r="K17" s="81">
        <v>0</v>
      </c>
      <c r="L17" s="81" cm="1">
        <f t="array" ref="L17">IF(D17&gt;0,IF($D17&lt;=0,0,D17*H17),"")</f>
        <v>177972.24</v>
      </c>
      <c r="M17" s="81" cm="1">
        <f t="array" ref="M17">IF(E17&gt;0,IF($D17&lt;=0,0,ROUND(E17*I17,2)),"")</f>
        <v>177706.81</v>
      </c>
      <c r="N17" s="83" cm="1">
        <f t="array" ref="N17">IF(F17&gt;0,IF($D17&lt;=0,0,ROUND(F17*J17,2)),"")</f>
        <v>177706.81</v>
      </c>
    </row>
    <row r="18" ht="8.75" customHeight="1" hidden="1">
      <c r="A18" s="39"/>
      <c r="B18" s="40"/>
      <c r="C18" s="45"/>
      <c r="D18" s="46"/>
      <c r="E18" s="46"/>
      <c r="F18" s="46"/>
      <c r="G18" s="47"/>
      <c r="H18" s="46"/>
      <c r="I18" s="46"/>
      <c r="J18" s="46"/>
      <c r="K18" s="46"/>
      <c r="L18" s="46"/>
      <c r="M18" s="46"/>
      <c r="N18" s="48"/>
    </row>
    <row r="19" ht="8.75" customHeight="1" hidden="1">
      <c r="A19" s="39"/>
      <c r="B19" s="40"/>
      <c r="C19" s="41"/>
      <c r="D19" s="42"/>
      <c r="E19" s="42"/>
      <c r="F19" s="42"/>
      <c r="G19" s="43"/>
      <c r="H19" s="42"/>
      <c r="I19" s="42"/>
      <c r="J19" s="42"/>
      <c r="K19" s="42"/>
      <c r="L19" s="42"/>
      <c r="M19" s="42"/>
      <c r="N19" s="44"/>
    </row>
    <row r="20" ht="8.75" customHeight="1" hidden="1">
      <c r="A20" s="39"/>
      <c r="B20" s="40"/>
      <c r="C20" s="45"/>
      <c r="D20" s="46"/>
      <c r="E20" s="46"/>
      <c r="F20" s="46"/>
      <c r="G20" s="47"/>
      <c r="H20" s="46"/>
      <c r="I20" s="46"/>
      <c r="J20" s="46"/>
      <c r="K20" s="46"/>
      <c r="L20" s="46"/>
      <c r="M20" s="46"/>
      <c r="N20" s="48"/>
    </row>
    <row r="21" ht="8.75" customHeight="1" hidden="1">
      <c r="A21" s="39"/>
      <c r="B21" s="40"/>
      <c r="C21" s="41"/>
      <c r="D21" s="42"/>
      <c r="E21" s="42"/>
      <c r="F21" s="42"/>
      <c r="G21" s="43"/>
      <c r="H21" s="42"/>
      <c r="I21" s="42"/>
      <c r="J21" s="42"/>
      <c r="K21" s="42"/>
      <c r="L21" s="42"/>
      <c r="M21" s="42"/>
      <c r="N21" s="44"/>
    </row>
    <row r="22" ht="8.75" customHeight="1" hidden="1">
      <c r="A22" s="39"/>
      <c r="B22" s="40"/>
      <c r="C22" s="45"/>
      <c r="D22" s="46"/>
      <c r="E22" s="46"/>
      <c r="F22" s="46"/>
      <c r="G22" s="47"/>
      <c r="H22" s="46"/>
      <c r="I22" s="46"/>
      <c r="J22" s="46"/>
      <c r="K22" s="46"/>
      <c r="L22" s="46"/>
      <c r="M22" s="46"/>
      <c r="N22" s="48"/>
    </row>
    <row r="23" ht="8.75" customHeight="1" hidden="1">
      <c r="A23" s="39"/>
      <c r="B23" s="40"/>
      <c r="C23" s="41"/>
      <c r="D23" s="42"/>
      <c r="E23" s="42"/>
      <c r="F23" s="42"/>
      <c r="G23" s="43"/>
      <c r="H23" s="42"/>
      <c r="I23" s="42"/>
      <c r="J23" s="42"/>
      <c r="K23" s="42"/>
      <c r="L23" s="42"/>
      <c r="M23" s="42"/>
      <c r="N23" s="44"/>
    </row>
    <row r="24" ht="8.75" customHeight="1" hidden="1">
      <c r="A24" s="39"/>
      <c r="B24" s="40"/>
      <c r="C24" s="45"/>
      <c r="D24" s="46"/>
      <c r="E24" s="46"/>
      <c r="F24" s="46"/>
      <c r="G24" s="47"/>
      <c r="H24" s="47"/>
      <c r="I24" s="47"/>
      <c r="J24" s="47"/>
      <c r="K24" s="46"/>
      <c r="L24" s="47"/>
      <c r="M24" s="47"/>
      <c r="N24" s="52"/>
    </row>
    <row r="25" ht="8.75" customHeight="1" hidden="1">
      <c r="A25" s="39"/>
      <c r="B25" s="40"/>
      <c r="C25" s="41"/>
      <c r="D25" s="42"/>
      <c r="E25" s="42"/>
      <c r="F25" s="42"/>
      <c r="G25" s="43"/>
      <c r="H25" s="84"/>
      <c r="I25" s="84"/>
      <c r="J25" s="84"/>
      <c r="K25" s="42"/>
      <c r="L25" s="42"/>
      <c r="M25" s="42"/>
      <c r="N25" s="44"/>
    </row>
    <row r="26" ht="8.75" customHeight="1" hidden="1">
      <c r="A26" s="39"/>
      <c r="B26" s="40"/>
      <c r="C26" s="45"/>
      <c r="D26" s="46"/>
      <c r="E26" s="46"/>
      <c r="F26" s="46"/>
      <c r="G26" s="47"/>
      <c r="H26" s="47"/>
      <c r="I26" s="47"/>
      <c r="J26" s="47"/>
      <c r="K26" s="46"/>
      <c r="L26" s="47"/>
      <c r="M26" s="47"/>
      <c r="N26" s="52"/>
    </row>
    <row r="27" ht="8.75" customHeight="1" hidden="1">
      <c r="A27" s="39"/>
      <c r="B27" s="40"/>
      <c r="C27" s="41"/>
      <c r="D27" s="42"/>
      <c r="E27" s="42"/>
      <c r="F27" s="42"/>
      <c r="G27" s="43"/>
      <c r="H27" s="42"/>
      <c r="I27" s="42"/>
      <c r="J27" s="42"/>
      <c r="K27" s="42"/>
      <c r="L27" s="42"/>
      <c r="M27" s="42"/>
      <c r="N27" s="44"/>
    </row>
    <row r="28" ht="8.75" customHeight="1" hidden="1">
      <c r="A28" s="39"/>
      <c r="B28" s="40"/>
      <c r="C28" s="45"/>
      <c r="D28" s="46"/>
      <c r="E28" s="46"/>
      <c r="F28" s="46"/>
      <c r="G28" s="47"/>
      <c r="H28" s="46"/>
      <c r="I28" s="46"/>
      <c r="J28" s="46"/>
      <c r="K28" s="46"/>
      <c r="L28" s="46"/>
      <c r="M28" s="46"/>
      <c r="N28" s="48"/>
    </row>
    <row r="29" ht="8.75" customHeight="1" hidden="1">
      <c r="A29" s="51"/>
      <c r="B29" s="40"/>
      <c r="C29" s="41"/>
      <c r="D29" s="42"/>
      <c r="E29" s="42"/>
      <c r="F29" s="42"/>
      <c r="G29" s="43"/>
      <c r="H29" s="42"/>
      <c r="I29" s="42"/>
      <c r="J29" s="42"/>
      <c r="K29" s="42"/>
      <c r="L29" s="42"/>
      <c r="M29" s="42"/>
      <c r="N29" s="44"/>
    </row>
    <row r="30" ht="8.75" customHeight="1" hidden="1">
      <c r="A30" s="51"/>
      <c r="B30" s="40"/>
      <c r="C30" s="45"/>
      <c r="D30" s="46"/>
      <c r="E30" s="46"/>
      <c r="F30" s="46"/>
      <c r="G30" s="47"/>
      <c r="H30" s="46"/>
      <c r="I30" s="46"/>
      <c r="J30" s="46"/>
      <c r="K30" s="46"/>
      <c r="L30" s="46"/>
      <c r="M30" s="46"/>
      <c r="N30" s="48"/>
    </row>
    <row r="31" ht="8.75" customHeight="1" hidden="1">
      <c r="A31" s="39"/>
      <c r="B31" s="40"/>
      <c r="C31" s="41"/>
      <c r="D31" s="42"/>
      <c r="E31" s="42"/>
      <c r="F31" s="42"/>
      <c r="G31" s="43"/>
      <c r="H31" s="42"/>
      <c r="I31" s="42"/>
      <c r="J31" s="42"/>
      <c r="K31" s="42"/>
      <c r="L31" s="43"/>
      <c r="M31" s="43"/>
      <c r="N31" s="49"/>
    </row>
    <row r="32" ht="8.75" customHeight="1" hidden="1">
      <c r="A32" s="39"/>
      <c r="B32" s="40"/>
      <c r="C32" s="45"/>
      <c r="D32" s="46"/>
      <c r="E32" s="46"/>
      <c r="F32" s="46"/>
      <c r="G32" s="47"/>
      <c r="H32" s="46"/>
      <c r="I32" s="46"/>
      <c r="J32" s="46"/>
      <c r="K32" s="46"/>
      <c r="L32" s="46"/>
      <c r="M32" s="46"/>
      <c r="N32" s="48"/>
    </row>
    <row r="33" ht="8.75" customHeight="1" hidden="1">
      <c r="A33" s="39"/>
      <c r="B33" s="40"/>
      <c r="C33" s="41"/>
      <c r="D33" s="42"/>
      <c r="E33" s="42"/>
      <c r="F33" s="42"/>
      <c r="G33" s="43"/>
      <c r="H33" s="42"/>
      <c r="I33" s="42"/>
      <c r="J33" s="42"/>
      <c r="K33" s="42"/>
      <c r="L33" s="43"/>
      <c r="M33" s="43"/>
      <c r="N33" s="49"/>
    </row>
    <row r="34" ht="20.85" customHeight="1">
      <c r="A34" s="53"/>
      <c r="B34" s="54"/>
      <c r="C34" s="54"/>
      <c r="D34" s="55"/>
      <c r="E34" s="55"/>
      <c r="F34" s="55"/>
      <c r="G34" s="56"/>
      <c r="H34" s="56"/>
      <c r="I34" s="54"/>
      <c r="J34" s="57"/>
      <c r="K34" t="s" s="58">
        <v>38</v>
      </c>
      <c r="L34" s="59" cm="1">
        <f t="array" ref="L34">SUM(L1:L33)</f>
        <v>67540581.7185</v>
      </c>
      <c r="M34" s="59" cm="1">
        <f t="array" ref="M34">SUM(M1:M33)</f>
        <v>67391811.34999999</v>
      </c>
      <c r="N34" s="59" cm="1">
        <f t="array" ref="N34">SUM(N1:N33)</f>
        <v>67391811.34999999</v>
      </c>
    </row>
    <row r="35" ht="21" customHeight="1">
      <c r="A35" s="60"/>
      <c r="B35" t="s" s="61">
        <v>39</v>
      </c>
      <c r="C35" s="62"/>
      <c r="D35" s="63" cm="1">
        <f t="array" ref="D35">ROUND(IF(L35&lt;=100000000,L35*0.24%,IF(AND(L35&gt;100000000,L35&lt;=500000000),100000000*0.24%+(L35-100000000)*0.19%,IF(AND(L35&gt;500000000,L35&lt;=1000000000),100000000*0.24%+400000000*0.19%+(L35-500000000)*0.15%,IF(AND(L35&gt;1000000000,L35&lt;=5000000000),100000000*0.24%+400000000*0.19%+500000000*0.15%+(L35-1000000000)*0.12%,IF(L35&gt;5000000000,100000000*0.24%+400000000*0.19%+500000000*0.15%+4000000000*0.12%+(L35-5000000000)*0.1%,"Bingung komputer"))))),2)</f>
        <v>161670.26</v>
      </c>
      <c r="E35" s="64" cm="1">
        <f t="array" ref="E35">ROUND(IF(M35&lt;=100000000,M35*0.24%,IF(AND(M35&gt;100000000,M35&lt;=500000000),100000000*0.24%+(M35-100000000)*0.19%,IF(AND(M35&gt;500000000,M35&lt;=1000000000),100000000*0.24%+400000000*0.19%+(M35-500000000)*0.15%,IF(AND(M35&gt;1000000000,M35&lt;=5000000000),100000000*0.24%+400000000*0.19%+500000000*0.15%+(M35-1000000000)*0.12%,IF(M35&gt;5000000000,100000000*0.24%+400000000*0.19%+500000000*0.15%+4000000000*0.12%+(M35-5000000000)*0.1%,"Bingung komputer"))))),2)</f>
        <v>161313.85</v>
      </c>
      <c r="F35" s="64" cm="1">
        <f t="array" ref="F35">ROUND(IF(N35&lt;=100000000,N35*0.24%,IF(AND(N35&gt;100000000,N35&lt;=500000000),100000000*0.24%+(N35-100000000)*0.19%,IF(AND(N35&gt;500000000,N35&lt;=1000000000),100000000*0.24%+400000000*0.19%+(N35-500000000)*0.15%,IF(AND(N35&gt;1000000000,N35&lt;=5000000000),100000000*0.24%+400000000*0.19%+500000000*0.15%+(N35-1000000000)*0.12%,IF(N35&gt;5000000000,100000000*0.24%+400000000*0.19%+500000000*0.15%+4000000000*0.12%+(N35-5000000000)*0.1%,"Bingung komputer"))))),2)</f>
        <v>161313.85</v>
      </c>
      <c r="G35" s="65"/>
      <c r="H35" s="66"/>
      <c r="I35" s="62"/>
      <c r="J35" s="67"/>
      <c r="K35" t="str" s="67" cm="1">
        <f t="array" ref="K35">"Jumlah Terkena Pajak "&amp;MAX(K3:K33)&amp;"% (B)"</f>
        <v>Jumlah Terkena Pajak 11,00% (B)</v>
      </c>
      <c r="L35" s="68" cm="1">
        <f t="array" ref="L35">SUMIF($K3:$K33,"&gt;0",L3:L33)</f>
        <v>67362609.47849999</v>
      </c>
      <c r="M35" s="69" cm="1">
        <f t="array" ref="M35">SUMIF($K3:$K33,"&gt;0",M3:M33)</f>
        <v>67214104.54000001</v>
      </c>
      <c r="N35" s="69" cm="1">
        <f t="array" ref="N35">SUMIF($K3:$K33,"&gt;0",N3:N33)</f>
        <v>67214104.54000001</v>
      </c>
    </row>
    <row r="36" ht="21" customHeight="1">
      <c r="A36" s="70"/>
      <c r="B36" s="71"/>
      <c r="C36" s="71"/>
      <c r="D36" s="72"/>
      <c r="E36" s="72"/>
      <c r="F36" s="71"/>
      <c r="G36" s="72"/>
      <c r="H36" s="72"/>
      <c r="I36" s="71"/>
      <c r="J36" s="73"/>
      <c r="K36" t="str" s="73" cm="1">
        <f t="array" ref="K36">"PPN (C) = "&amp;MAX(K3:K33)&amp;"% x B"</f>
        <v>PPN (C) = 11,00% x B</v>
      </c>
      <c r="L36" s="74" cm="1">
        <f t="array" ref="L36">L35*MAX($K3:$K33)%</f>
        <v>7409887.042635</v>
      </c>
      <c r="M36" s="69" cm="1">
        <f t="array" ref="M36">M35*MAX($K3:$K33)%</f>
        <v>7393551.4994</v>
      </c>
      <c r="N36" s="69" cm="1">
        <f t="array" ref="N36">N35*MAX($K3:$K33)%</f>
        <v>7393551.4994</v>
      </c>
    </row>
    <row r="37" ht="21" customHeight="1">
      <c r="A37" s="70"/>
      <c r="B37" s="71"/>
      <c r="C37" s="71"/>
      <c r="D37" s="72"/>
      <c r="E37" s="72"/>
      <c r="F37" s="72"/>
      <c r="G37" s="72"/>
      <c r="H37" s="72"/>
      <c r="I37" s="71"/>
      <c r="J37" s="73"/>
      <c r="K37" t="s" s="75">
        <v>42</v>
      </c>
      <c r="L37" s="76" cm="1">
        <f t="array" ref="L37">L34+L36</f>
        <v>74950468.761135</v>
      </c>
      <c r="M37" s="69" cm="1">
        <f t="array" ref="M37">M34+M36</f>
        <v>74785362.8494</v>
      </c>
      <c r="N37" s="69" cm="1">
        <f t="array" ref="N37">N34+N36</f>
        <v>74785362.8494</v>
      </c>
    </row>
    <row r="38" ht="20.5" customHeight="1">
      <c r="A38" s="70"/>
      <c r="B38" s="71"/>
      <c r="C38" s="71"/>
      <c r="D38" s="72"/>
      <c r="E38" s="72"/>
      <c r="F38" s="72"/>
      <c r="G38" s="72"/>
      <c r="H38" s="72"/>
      <c r="I38" s="71"/>
      <c r="J38" s="73"/>
      <c r="K38" t="s" s="75">
        <v>43</v>
      </c>
      <c r="L38" s="68" cm="1">
        <f t="array" ref="L38">ROUNDDOWN(L37,2)</f>
        <v>74950468.76000001</v>
      </c>
      <c r="M38" s="68" cm="1">
        <f t="array" ref="M38">ROUNDDOWN(M37,2)</f>
        <v>74785362.84</v>
      </c>
      <c r="N38" s="68" cm="1">
        <f t="array" ref="N38">ROUNDDOWN(N37,-3)</f>
        <v>74785000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78.xml><?xml version="1.0" encoding="utf-8"?>
<worksheet xmlns:r="http://schemas.openxmlformats.org/officeDocument/2006/relationships" xmlns="http://schemas.openxmlformats.org/spreadsheetml/2006/main">
  <sheetPr>
    <pageSetUpPr fitToPage="1"/>
  </sheetPr>
  <dimension ref="A1:N38"/>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261" customWidth="1"/>
    <col min="2" max="2" width="43.0312" style="261" customWidth="1"/>
    <col min="3" max="3" width="2.75" style="261" customWidth="1"/>
    <col min="4" max="6" width="10.3672" style="261" customWidth="1"/>
    <col min="7" max="7" width="11.6875" style="261" customWidth="1"/>
    <col min="8" max="11" width="13.5156" style="261" customWidth="1"/>
    <col min="12" max="14" width="14.2344" style="261" customWidth="1"/>
    <col min="15" max="16384" width="16.3516" style="261"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16</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t="s" s="18">
        <v>17</v>
      </c>
      <c r="B4" t="s" s="19">
        <v>18</v>
      </c>
      <c r="C4" s="20"/>
      <c r="D4" s="21">
        <v>1</v>
      </c>
      <c r="E4" s="21" cm="1">
        <f t="array" ref="E4">D4</f>
        <v>1</v>
      </c>
      <c r="F4" s="21" cm="1">
        <f t="array" ref="F4">D4</f>
        <v>1</v>
      </c>
      <c r="G4" t="s" s="22">
        <v>19</v>
      </c>
      <c r="H4" s="21">
        <v>5244000</v>
      </c>
      <c r="I4" s="21">
        <v>5209500</v>
      </c>
      <c r="J4" s="21">
        <v>5209500</v>
      </c>
      <c r="K4" s="21">
        <v>11</v>
      </c>
      <c r="L4" s="21" cm="1">
        <f t="array" ref="L4">IF(D4&gt;0,IF($D4&lt;=0,0,D4*H4),"")</f>
        <v>5244000</v>
      </c>
      <c r="M4" s="21" cm="1">
        <f t="array" ref="M4">IF(E4&gt;0,IF($D4&lt;=0,0,ROUND(E4*I4,2)),"")</f>
        <v>5209500</v>
      </c>
      <c r="N4" s="23" cm="1">
        <f t="array" ref="N4">IF(F4&gt;0,IF($D4&lt;=0,0,ROUND(F4*J4,2)),"")</f>
        <v>5209500</v>
      </c>
    </row>
    <row r="5" ht="20.5" customHeight="1">
      <c r="A5" t="s" s="18">
        <v>20</v>
      </c>
      <c r="B5" t="s" s="19">
        <v>21</v>
      </c>
      <c r="C5" s="24"/>
      <c r="D5" s="25">
        <v>1</v>
      </c>
      <c r="E5" s="26" cm="1">
        <f t="array" ref="E5">D5</f>
        <v>1</v>
      </c>
      <c r="F5" s="26" cm="1">
        <f t="array" ref="F5">D5</f>
        <v>1</v>
      </c>
      <c r="G5" t="s" s="27">
        <v>19</v>
      </c>
      <c r="H5" s="26">
        <v>660000</v>
      </c>
      <c r="I5" s="26">
        <v>640000</v>
      </c>
      <c r="J5" s="26">
        <v>640000</v>
      </c>
      <c r="K5" s="26">
        <v>11</v>
      </c>
      <c r="L5" s="26" cm="1">
        <f t="array" ref="L5">IF(D5&gt;0,IF($D5&lt;=0,0,D5*H5),"")</f>
        <v>660000</v>
      </c>
      <c r="M5" s="26" cm="1">
        <f t="array" ref="M5">IF(E5&gt;0,IF($D5&lt;=0,0,ROUND(E5*I5,2)),"")</f>
        <v>640000</v>
      </c>
      <c r="N5" s="28" cm="1">
        <f t="array" ref="N5">IF(F5&gt;0,IF($D5&lt;=0,0,ROUND(F5*J5,2)),"")</f>
        <v>640000</v>
      </c>
    </row>
    <row r="6" ht="20.5" customHeight="1">
      <c r="A6" t="s" s="18">
        <v>22</v>
      </c>
      <c r="B6" t="s" s="19">
        <v>23</v>
      </c>
      <c r="C6" s="20"/>
      <c r="D6" s="21">
        <v>1</v>
      </c>
      <c r="E6" s="21" cm="1">
        <f t="array" ref="E6">D6</f>
        <v>1</v>
      </c>
      <c r="F6" s="21" cm="1">
        <f t="array" ref="F6">D6</f>
        <v>1</v>
      </c>
      <c r="G6" t="s" s="22">
        <v>19</v>
      </c>
      <c r="H6" s="21">
        <v>300000</v>
      </c>
      <c r="I6" s="21">
        <v>270000</v>
      </c>
      <c r="J6" s="21">
        <v>270000</v>
      </c>
      <c r="K6" s="21">
        <v>11</v>
      </c>
      <c r="L6" s="21" cm="1">
        <f t="array" ref="L6">IF(D6&gt;0,IF($D6&lt;=0,0,D6*H6),"")</f>
        <v>300000</v>
      </c>
      <c r="M6" s="21" cm="1">
        <f t="array" ref="M6">IF(E6&gt;0,IF($D6&lt;=0,0,ROUND(E6*I6,2)),"")</f>
        <v>270000</v>
      </c>
      <c r="N6" s="23" cm="1">
        <f t="array" ref="N6">IF(F6&gt;0,IF($D6&lt;=0,0,ROUND(F6*J6,2)),"")</f>
        <v>270000</v>
      </c>
    </row>
    <row r="7" ht="20.5" customHeight="1">
      <c r="A7" s="29"/>
      <c r="B7" t="s" s="19">
        <v>28</v>
      </c>
      <c r="C7" s="24"/>
      <c r="D7" s="30"/>
      <c r="E7" s="26"/>
      <c r="F7" s="26"/>
      <c r="G7" s="30"/>
      <c r="H7" s="26"/>
      <c r="I7" s="30"/>
      <c r="J7" s="30"/>
      <c r="K7" s="26"/>
      <c r="L7" t="str" s="30" cm="1">
        <f t="array" ref="L7">IF(D7&gt;0,IF($D7&lt;=0,0,D7*H7),"")</f>
      </c>
      <c r="M7" t="str" s="30" cm="1">
        <f t="array" ref="M7">IF(E7&gt;0,IF($D7&lt;=0,0,ROUND(E7*I7,2)),"")</f>
      </c>
      <c r="N7" t="str" s="31" cm="1">
        <f t="array" ref="N7">IF(F7&gt;0,IF($D7&lt;=0,0,ROUND(F7*J7,2)),"")</f>
      </c>
    </row>
    <row r="8" ht="20.5" customHeight="1">
      <c r="A8" t="s" s="18">
        <v>31</v>
      </c>
      <c r="B8" t="s" s="19">
        <v>32</v>
      </c>
      <c r="C8" s="20"/>
      <c r="D8" s="78">
        <v>11.96</v>
      </c>
      <c r="E8" s="21" cm="1">
        <f t="array" ref="E8">D8</f>
        <v>11.96</v>
      </c>
      <c r="F8" s="21" cm="1">
        <f t="array" ref="F8">D8</f>
        <v>11.96</v>
      </c>
      <c r="G8" t="s" s="22">
        <v>27</v>
      </c>
      <c r="H8" s="21">
        <v>173466.37</v>
      </c>
      <c r="I8" s="21">
        <v>173450.12</v>
      </c>
      <c r="J8" s="21">
        <v>173450.12</v>
      </c>
      <c r="K8" s="21">
        <v>11</v>
      </c>
      <c r="L8" s="21" cm="1">
        <f t="array" ref="L8">IF(D8&gt;0,IF($D8&lt;=0,0,D8*H8),"")</f>
        <v>2074657.7852</v>
      </c>
      <c r="M8" s="21" cm="1">
        <f t="array" ref="M8">IF(E8&gt;0,IF($D8&lt;=0,0,ROUND(E8*I8,2)),"")</f>
        <v>2074463.44</v>
      </c>
      <c r="N8" s="23" cm="1">
        <f t="array" ref="N8">IF(F8&gt;0,IF($D8&lt;=0,0,ROUND(F8*J8,2)),"")</f>
        <v>2074463.44</v>
      </c>
    </row>
    <row r="9" ht="20.5" customHeight="1">
      <c r="A9" s="29"/>
      <c r="B9" t="s" s="19">
        <v>92</v>
      </c>
      <c r="C9" s="24"/>
      <c r="D9" s="30"/>
      <c r="E9" s="26"/>
      <c r="F9" s="26"/>
      <c r="G9" s="30"/>
      <c r="H9" s="26"/>
      <c r="I9" s="30"/>
      <c r="J9" s="30"/>
      <c r="K9" s="26"/>
      <c r="L9" t="str" s="30" cm="1">
        <f t="array" ref="L9">IF(D9&gt;0,IF($D9&lt;=0,0,D9*H9),"")</f>
      </c>
      <c r="M9" t="str" s="30" cm="1">
        <f t="array" ref="M9">IF(E9&gt;0,IF($D9&lt;=0,0,ROUND(E9*I9,2)),"")</f>
      </c>
      <c r="N9" t="str" s="31" cm="1">
        <f t="array" ref="N9">IF(F9&gt;0,IF($D9&lt;=0,0,ROUND(F9*J9,2)),"")</f>
      </c>
    </row>
    <row r="10" ht="20.5" customHeight="1">
      <c r="A10" t="s" s="18">
        <v>157</v>
      </c>
      <c r="B10" t="s" s="19">
        <v>158</v>
      </c>
      <c r="C10" s="20"/>
      <c r="D10" s="78">
        <v>17.69</v>
      </c>
      <c r="E10" s="21" cm="1">
        <f t="array" ref="E10">D10</f>
        <v>17.69</v>
      </c>
      <c r="F10" s="21" cm="1">
        <f t="array" ref="F10">D10</f>
        <v>17.69</v>
      </c>
      <c r="G10" t="s" s="22">
        <v>27</v>
      </c>
      <c r="H10" s="21">
        <v>1759504</v>
      </c>
      <c r="I10" s="21">
        <v>1758447.99</v>
      </c>
      <c r="J10" s="21">
        <v>1758447.99</v>
      </c>
      <c r="K10" s="21">
        <v>11</v>
      </c>
      <c r="L10" s="21" cm="1">
        <f t="array" ref="L10">IF(D10&gt;0,IF($D10&lt;=0,0,D10*H10),"")</f>
        <v>31125625.76</v>
      </c>
      <c r="M10" s="21" cm="1">
        <f t="array" ref="M10">IF(E10&gt;0,IF($D10&lt;=0,0,ROUND(E10*I10,2)),"")</f>
        <v>31106944.94</v>
      </c>
      <c r="N10" s="23" cm="1">
        <f t="array" ref="N10">IF(F10&gt;0,IF($D10&lt;=0,0,ROUND(F10*J10,2)),"")</f>
        <v>31106944.94</v>
      </c>
    </row>
    <row r="11" ht="20.5" customHeight="1">
      <c r="A11" t="s" s="18">
        <v>95</v>
      </c>
      <c r="B11" t="s" s="19">
        <v>96</v>
      </c>
      <c r="C11" s="24"/>
      <c r="D11" s="25">
        <v>1.38</v>
      </c>
      <c r="E11" s="26" cm="1">
        <f t="array" ref="E11">D11</f>
        <v>1.38</v>
      </c>
      <c r="F11" s="26" cm="1">
        <f t="array" ref="F11">D11</f>
        <v>1.38</v>
      </c>
      <c r="G11" t="s" s="27">
        <v>27</v>
      </c>
      <c r="H11" s="26">
        <v>574369.9300000001</v>
      </c>
      <c r="I11" s="26">
        <v>574344.13</v>
      </c>
      <c r="J11" s="26">
        <v>574344.13</v>
      </c>
      <c r="K11" s="26">
        <v>11</v>
      </c>
      <c r="L11" s="26" cm="1">
        <f t="array" ref="L11">IF(D11&gt;0,IF($D11&lt;=0,0,D11*H11),"")</f>
        <v>792630.5034</v>
      </c>
      <c r="M11" s="26" cm="1">
        <f t="array" ref="M11">IF(E11&gt;0,IF($D11&lt;=0,0,ROUND(E11*I11,2)),"")</f>
        <v>792594.9</v>
      </c>
      <c r="N11" s="28" cm="1">
        <f t="array" ref="N11">IF(F11&gt;0,IF($D11&lt;=0,0,ROUND(F11*J11,2)),"")</f>
        <v>792594.9</v>
      </c>
    </row>
    <row r="12" ht="20.5" customHeight="1">
      <c r="A12" t="s" s="18">
        <v>99</v>
      </c>
      <c r="B12" t="s" s="19">
        <v>159</v>
      </c>
      <c r="C12" s="20"/>
      <c r="D12" s="21">
        <v>1674.62</v>
      </c>
      <c r="E12" s="21" cm="1">
        <f t="array" ref="E12">D12</f>
        <v>1674.62</v>
      </c>
      <c r="F12" s="21" cm="1">
        <f t="array" ref="F12">D12</f>
        <v>1674.62</v>
      </c>
      <c r="G12" t="s" s="22">
        <v>154</v>
      </c>
      <c r="H12" s="21">
        <v>14388.09</v>
      </c>
      <c r="I12" s="32">
        <v>14376.01</v>
      </c>
      <c r="J12" s="32">
        <v>14376.01</v>
      </c>
      <c r="K12" s="21">
        <v>11</v>
      </c>
      <c r="L12" s="21" cm="1">
        <f t="array" ref="L12">IF(D12&gt;0,IF($D12&lt;=0,0,D12*H12),"")</f>
        <v>24094583.2758</v>
      </c>
      <c r="M12" s="21" cm="1">
        <f t="array" ref="M12">IF(E12&gt;0,IF($D12&lt;=0,0,ROUND(E12*I12,2)),"")</f>
        <v>24074353.87</v>
      </c>
      <c r="N12" s="23" cm="1">
        <f t="array" ref="N12">IF(F12&gt;0,IF($D12&lt;=0,0,ROUND(F12*J12,2)),"")</f>
        <v>24074353.87</v>
      </c>
    </row>
    <row r="13" ht="32.5" customHeight="1">
      <c r="A13" s="29"/>
      <c r="B13" t="s" s="19">
        <v>104</v>
      </c>
      <c r="C13" s="24"/>
      <c r="D13" s="30"/>
      <c r="E13" s="26"/>
      <c r="F13" s="26"/>
      <c r="G13" s="30"/>
      <c r="H13" s="26"/>
      <c r="I13" s="30"/>
      <c r="J13" s="30"/>
      <c r="K13" s="26"/>
      <c r="L13" t="str" s="30" cm="1">
        <f t="array" ref="L13">IF(D13&gt;0,IF($D13&lt;=0,0,D13*H13),"")</f>
      </c>
      <c r="M13" t="str" s="30" cm="1">
        <f t="array" ref="M13">IF(E13&gt;0,IF($D13&lt;=0,0,ROUND(E13*I13,2)),"")</f>
      </c>
      <c r="N13" t="str" s="31" cm="1">
        <f t="array" ref="N13">IF(F13&gt;0,IF($D13&lt;=0,0,ROUND(F13*J13,2)),"")</f>
      </c>
    </row>
    <row r="14" ht="20.5" customHeight="1">
      <c r="A14" s="29"/>
      <c r="B14" t="s" s="19">
        <v>349</v>
      </c>
      <c r="C14" s="20"/>
      <c r="D14" s="78">
        <v>1</v>
      </c>
      <c r="E14" s="21" cm="1">
        <f t="array" ref="E14">D14</f>
        <v>1</v>
      </c>
      <c r="F14" s="21" cm="1">
        <f t="array" ref="F14">D14</f>
        <v>1</v>
      </c>
      <c r="G14" t="s" s="22">
        <v>135</v>
      </c>
      <c r="H14" s="21">
        <v>1000000</v>
      </c>
      <c r="I14" s="21">
        <v>980000</v>
      </c>
      <c r="J14" s="21">
        <v>980000</v>
      </c>
      <c r="K14" s="21">
        <v>11</v>
      </c>
      <c r="L14" s="21" cm="1">
        <f t="array" ref="L14">IF(D14&gt;0,IF($D14&lt;=0,0,D14*H14),"")</f>
        <v>1000000</v>
      </c>
      <c r="M14" s="21" cm="1">
        <f t="array" ref="M14">IF(E14&gt;0,IF($D14&lt;=0,0,ROUND(E14*I14,2)),"")</f>
        <v>980000</v>
      </c>
      <c r="N14" s="23" cm="1">
        <f t="array" ref="N14">IF(F14&gt;0,IF($D14&lt;=0,0,ROUND(F14*J14,2)),"")</f>
        <v>980000</v>
      </c>
    </row>
    <row r="15" ht="20.5" customHeight="1">
      <c r="A15" t="s" s="18">
        <v>105</v>
      </c>
      <c r="B15" t="s" s="19">
        <v>106</v>
      </c>
      <c r="C15" s="24"/>
      <c r="D15" s="25">
        <v>28</v>
      </c>
      <c r="E15" s="26" cm="1">
        <f t="array" ref="E15">D15</f>
        <v>28</v>
      </c>
      <c r="F15" s="26" cm="1">
        <f t="array" ref="F15">D15</f>
        <v>28</v>
      </c>
      <c r="G15" t="s" s="27">
        <v>107</v>
      </c>
      <c r="H15" s="26">
        <v>69712.899999999994</v>
      </c>
      <c r="I15" s="26">
        <v>69647.19</v>
      </c>
      <c r="J15" s="26">
        <v>69647.19</v>
      </c>
      <c r="K15" s="26">
        <v>11</v>
      </c>
      <c r="L15" s="26" cm="1">
        <f t="array" ref="L15">IF(D15&gt;0,IF($D15&lt;=0,0,D15*H15),"")</f>
        <v>1951961.2</v>
      </c>
      <c r="M15" s="26" cm="1">
        <f t="array" ref="M15">IF(E15&gt;0,IF($D15&lt;=0,0,ROUND(E15*I15,2)),"")</f>
        <v>1950121.32</v>
      </c>
      <c r="N15" s="28" cm="1">
        <f t="array" ref="N15">IF(F15&gt;0,IF($D15&lt;=0,0,ROUND(F15*J15,2)),"")</f>
        <v>1950121.32</v>
      </c>
    </row>
    <row r="16" ht="20.5" customHeight="1">
      <c r="A16" s="29"/>
      <c r="B16" t="s" s="19">
        <v>36</v>
      </c>
      <c r="C16" s="20"/>
      <c r="D16" s="21"/>
      <c r="E16" s="21"/>
      <c r="F16" s="21"/>
      <c r="G16" s="79"/>
      <c r="H16" s="79"/>
      <c r="I16" s="79"/>
      <c r="J16" s="79"/>
      <c r="K16" s="21"/>
      <c r="L16" t="str" s="79" cm="1">
        <f t="array" ref="L16">IF(D16&gt;0,IF($D16&lt;=0,0,D16*H16),"")</f>
      </c>
      <c r="M16" s="21"/>
      <c r="N16" s="23"/>
    </row>
    <row r="17" ht="20.6" customHeight="1">
      <c r="A17" s="33">
        <v>1</v>
      </c>
      <c r="B17" t="s" s="34">
        <v>37</v>
      </c>
      <c r="C17" s="80"/>
      <c r="D17" s="81">
        <v>1</v>
      </c>
      <c r="E17" s="81" cm="1">
        <f t="array" ref="E17">D17</f>
        <v>1</v>
      </c>
      <c r="F17" s="81" cm="1">
        <f t="array" ref="F17">D17</f>
        <v>1</v>
      </c>
      <c r="G17" t="s" s="82">
        <v>19</v>
      </c>
      <c r="H17" s="81">
        <v>177762.56</v>
      </c>
      <c r="I17" s="81">
        <v>177486.17</v>
      </c>
      <c r="J17" s="81">
        <v>177486.17</v>
      </c>
      <c r="K17" s="81">
        <v>0</v>
      </c>
      <c r="L17" s="81" cm="1">
        <f t="array" ref="L17">IF(D17&gt;0,IF($D17&lt;=0,0,D17*H17),"")</f>
        <v>177762.56</v>
      </c>
      <c r="M17" s="81" cm="1">
        <f t="array" ref="M17">IF(E17&gt;0,IF($D17&lt;=0,0,ROUND(E17*I17,2)),"")</f>
        <v>177486.17</v>
      </c>
      <c r="N17" s="83" cm="1">
        <f t="array" ref="N17">IF(F17&gt;0,IF($D17&lt;=0,0,ROUND(F17*J17,2)),"")</f>
        <v>177486.17</v>
      </c>
    </row>
    <row r="18" ht="8.75" customHeight="1" hidden="1">
      <c r="A18" s="39"/>
      <c r="B18" s="40"/>
      <c r="C18" s="45"/>
      <c r="D18" s="46"/>
      <c r="E18" s="46"/>
      <c r="F18" s="46"/>
      <c r="G18" s="47"/>
      <c r="H18" s="46"/>
      <c r="I18" s="46"/>
      <c r="J18" s="46"/>
      <c r="K18" s="46"/>
      <c r="L18" s="46"/>
      <c r="M18" s="46"/>
      <c r="N18" s="48"/>
    </row>
    <row r="19" ht="8.75" customHeight="1" hidden="1">
      <c r="A19" s="39"/>
      <c r="B19" s="40"/>
      <c r="C19" s="41"/>
      <c r="D19" s="42"/>
      <c r="E19" s="42"/>
      <c r="F19" s="42"/>
      <c r="G19" s="43"/>
      <c r="H19" s="42"/>
      <c r="I19" s="42"/>
      <c r="J19" s="42"/>
      <c r="K19" s="42"/>
      <c r="L19" s="42"/>
      <c r="M19" s="42"/>
      <c r="N19" s="44"/>
    </row>
    <row r="20" ht="8.75" customHeight="1" hidden="1">
      <c r="A20" s="39"/>
      <c r="B20" s="40"/>
      <c r="C20" s="45"/>
      <c r="D20" s="46"/>
      <c r="E20" s="46"/>
      <c r="F20" s="46"/>
      <c r="G20" s="47"/>
      <c r="H20" s="46"/>
      <c r="I20" s="46"/>
      <c r="J20" s="46"/>
      <c r="K20" s="46"/>
      <c r="L20" s="46"/>
      <c r="M20" s="46"/>
      <c r="N20" s="48"/>
    </row>
    <row r="21" ht="8.75" customHeight="1" hidden="1">
      <c r="A21" s="39"/>
      <c r="B21" s="40"/>
      <c r="C21" s="41"/>
      <c r="D21" s="42"/>
      <c r="E21" s="42"/>
      <c r="F21" s="42"/>
      <c r="G21" s="43"/>
      <c r="H21" s="42"/>
      <c r="I21" s="42"/>
      <c r="J21" s="42"/>
      <c r="K21" s="42"/>
      <c r="L21" s="42"/>
      <c r="M21" s="42"/>
      <c r="N21" s="44"/>
    </row>
    <row r="22" ht="8.75" customHeight="1" hidden="1">
      <c r="A22" s="39"/>
      <c r="B22" s="40"/>
      <c r="C22" s="45"/>
      <c r="D22" s="46"/>
      <c r="E22" s="46"/>
      <c r="F22" s="46"/>
      <c r="G22" s="47"/>
      <c r="H22" s="46"/>
      <c r="I22" s="46"/>
      <c r="J22" s="46"/>
      <c r="K22" s="46"/>
      <c r="L22" s="46"/>
      <c r="M22" s="46"/>
      <c r="N22" s="48"/>
    </row>
    <row r="23" ht="8.75" customHeight="1" hidden="1">
      <c r="A23" s="39"/>
      <c r="B23" s="40"/>
      <c r="C23" s="41"/>
      <c r="D23" s="42"/>
      <c r="E23" s="42"/>
      <c r="F23" s="42"/>
      <c r="G23" s="43"/>
      <c r="H23" s="42"/>
      <c r="I23" s="42"/>
      <c r="J23" s="42"/>
      <c r="K23" s="42"/>
      <c r="L23" s="42"/>
      <c r="M23" s="42"/>
      <c r="N23" s="44"/>
    </row>
    <row r="24" ht="8.75" customHeight="1" hidden="1">
      <c r="A24" s="39"/>
      <c r="B24" s="40"/>
      <c r="C24" s="45"/>
      <c r="D24" s="46"/>
      <c r="E24" s="46"/>
      <c r="F24" s="46"/>
      <c r="G24" s="47"/>
      <c r="H24" s="47"/>
      <c r="I24" s="47"/>
      <c r="J24" s="47"/>
      <c r="K24" s="46"/>
      <c r="L24" s="47"/>
      <c r="M24" s="47"/>
      <c r="N24" s="52"/>
    </row>
    <row r="25" ht="8.75" customHeight="1" hidden="1">
      <c r="A25" s="39"/>
      <c r="B25" s="40"/>
      <c r="C25" s="41"/>
      <c r="D25" s="42"/>
      <c r="E25" s="42"/>
      <c r="F25" s="42"/>
      <c r="G25" s="43"/>
      <c r="H25" s="84"/>
      <c r="I25" s="84"/>
      <c r="J25" s="84"/>
      <c r="K25" s="42"/>
      <c r="L25" s="42"/>
      <c r="M25" s="42"/>
      <c r="N25" s="44"/>
    </row>
    <row r="26" ht="8.75" customHeight="1" hidden="1">
      <c r="A26" s="39"/>
      <c r="B26" s="40"/>
      <c r="C26" s="45"/>
      <c r="D26" s="46"/>
      <c r="E26" s="46"/>
      <c r="F26" s="46"/>
      <c r="G26" s="47"/>
      <c r="H26" s="47"/>
      <c r="I26" s="47"/>
      <c r="J26" s="47"/>
      <c r="K26" s="46"/>
      <c r="L26" s="47"/>
      <c r="M26" s="47"/>
      <c r="N26" s="52"/>
    </row>
    <row r="27" ht="8.75" customHeight="1" hidden="1">
      <c r="A27" s="39"/>
      <c r="B27" s="40"/>
      <c r="C27" s="41"/>
      <c r="D27" s="42"/>
      <c r="E27" s="42"/>
      <c r="F27" s="42"/>
      <c r="G27" s="43"/>
      <c r="H27" s="42"/>
      <c r="I27" s="42"/>
      <c r="J27" s="42"/>
      <c r="K27" s="42"/>
      <c r="L27" s="42"/>
      <c r="M27" s="42"/>
      <c r="N27" s="44"/>
    </row>
    <row r="28" ht="8.75" customHeight="1" hidden="1">
      <c r="A28" s="39"/>
      <c r="B28" s="40"/>
      <c r="C28" s="45"/>
      <c r="D28" s="46"/>
      <c r="E28" s="46"/>
      <c r="F28" s="46"/>
      <c r="G28" s="47"/>
      <c r="H28" s="46"/>
      <c r="I28" s="46"/>
      <c r="J28" s="46"/>
      <c r="K28" s="46"/>
      <c r="L28" s="46"/>
      <c r="M28" s="46"/>
      <c r="N28" s="48"/>
    </row>
    <row r="29" ht="8.75" customHeight="1" hidden="1">
      <c r="A29" s="51"/>
      <c r="B29" s="40"/>
      <c r="C29" s="41"/>
      <c r="D29" s="42"/>
      <c r="E29" s="42"/>
      <c r="F29" s="42"/>
      <c r="G29" s="43"/>
      <c r="H29" s="42"/>
      <c r="I29" s="42"/>
      <c r="J29" s="42"/>
      <c r="K29" s="42"/>
      <c r="L29" s="42"/>
      <c r="M29" s="42"/>
      <c r="N29" s="44"/>
    </row>
    <row r="30" ht="8.75" customHeight="1" hidden="1">
      <c r="A30" s="51"/>
      <c r="B30" s="40"/>
      <c r="C30" s="45"/>
      <c r="D30" s="46"/>
      <c r="E30" s="46"/>
      <c r="F30" s="46"/>
      <c r="G30" s="47"/>
      <c r="H30" s="46"/>
      <c r="I30" s="46"/>
      <c r="J30" s="46"/>
      <c r="K30" s="46"/>
      <c r="L30" s="46"/>
      <c r="M30" s="46"/>
      <c r="N30" s="48"/>
    </row>
    <row r="31" ht="8.75" customHeight="1" hidden="1">
      <c r="A31" s="39"/>
      <c r="B31" s="40"/>
      <c r="C31" s="41"/>
      <c r="D31" s="42"/>
      <c r="E31" s="42"/>
      <c r="F31" s="42"/>
      <c r="G31" s="43"/>
      <c r="H31" s="42"/>
      <c r="I31" s="42"/>
      <c r="J31" s="42"/>
      <c r="K31" s="42"/>
      <c r="L31" s="43"/>
      <c r="M31" s="43"/>
      <c r="N31" s="49"/>
    </row>
    <row r="32" ht="8.75" customHeight="1" hidden="1">
      <c r="A32" s="39"/>
      <c r="B32" s="40"/>
      <c r="C32" s="45"/>
      <c r="D32" s="46"/>
      <c r="E32" s="46"/>
      <c r="F32" s="46"/>
      <c r="G32" s="47"/>
      <c r="H32" s="46"/>
      <c r="I32" s="46"/>
      <c r="J32" s="46"/>
      <c r="K32" s="46"/>
      <c r="L32" s="46"/>
      <c r="M32" s="46"/>
      <c r="N32" s="48"/>
    </row>
    <row r="33" ht="8.75" customHeight="1" hidden="1">
      <c r="A33" s="39"/>
      <c r="B33" s="40"/>
      <c r="C33" s="41"/>
      <c r="D33" s="42"/>
      <c r="E33" s="42"/>
      <c r="F33" s="42"/>
      <c r="G33" s="43"/>
      <c r="H33" s="42"/>
      <c r="I33" s="42"/>
      <c r="J33" s="42"/>
      <c r="K33" s="42"/>
      <c r="L33" s="43"/>
      <c r="M33" s="43"/>
      <c r="N33" s="49"/>
    </row>
    <row r="34" ht="20.85" customHeight="1">
      <c r="A34" s="53"/>
      <c r="B34" s="54"/>
      <c r="C34" s="54"/>
      <c r="D34" s="55"/>
      <c r="E34" s="55"/>
      <c r="F34" s="55"/>
      <c r="G34" s="56"/>
      <c r="H34" s="56"/>
      <c r="I34" s="54"/>
      <c r="J34" s="57"/>
      <c r="K34" t="s" s="58">
        <v>38</v>
      </c>
      <c r="L34" s="59" cm="1">
        <f t="array" ref="L34">SUM(L1:L33)</f>
        <v>67421221.0844</v>
      </c>
      <c r="M34" s="59" cm="1">
        <f t="array" ref="M34">SUM(M1:M33)</f>
        <v>67275464.64</v>
      </c>
      <c r="N34" s="59" cm="1">
        <f t="array" ref="N34">SUM(N1:N33)</f>
        <v>67275464.64</v>
      </c>
    </row>
    <row r="35" ht="21" customHeight="1">
      <c r="A35" s="60"/>
      <c r="B35" t="s" s="61">
        <v>39</v>
      </c>
      <c r="C35" s="62"/>
      <c r="D35" s="63" cm="1">
        <f t="array" ref="D35">ROUND(IF(L35&lt;=100000000,L35*0.24%,IF(AND(L35&gt;100000000,L35&lt;=500000000),100000000*0.24%+(L35-100000000)*0.19%,IF(AND(L35&gt;500000000,L35&lt;=1000000000),100000000*0.24%+400000000*0.19%+(L35-500000000)*0.15%,IF(AND(L35&gt;1000000000,L35&lt;=5000000000),100000000*0.24%+400000000*0.19%+500000000*0.15%+(L35-1000000000)*0.12%,IF(L35&gt;5000000000,100000000*0.24%+400000000*0.19%+500000000*0.15%+4000000000*0.12%+(L35-5000000000)*0.1%,"Bingung komputer"))))),2)</f>
        <v>161384.3</v>
      </c>
      <c r="E35" s="64" cm="1">
        <f t="array" ref="E35">ROUND(IF(M35&lt;=100000000,M35*0.24%,IF(AND(M35&gt;100000000,M35&lt;=500000000),100000000*0.24%+(M35-100000000)*0.19%,IF(AND(M35&gt;500000000,M35&lt;=1000000000),100000000*0.24%+400000000*0.19%+(M35-500000000)*0.15%,IF(AND(M35&gt;1000000000,M35&lt;=5000000000),100000000*0.24%+400000000*0.19%+500000000*0.15%+(M35-1000000000)*0.12%,IF(M35&gt;5000000000,100000000*0.24%+400000000*0.19%+500000000*0.15%+4000000000*0.12%+(M35-5000000000)*0.1%,"Bingung komputer"))))),2)</f>
        <v>161035.15</v>
      </c>
      <c r="F35" s="64" cm="1">
        <f t="array" ref="F35">ROUND(IF(N35&lt;=100000000,N35*0.24%,IF(AND(N35&gt;100000000,N35&lt;=500000000),100000000*0.24%+(N35-100000000)*0.19%,IF(AND(N35&gt;500000000,N35&lt;=1000000000),100000000*0.24%+400000000*0.19%+(N35-500000000)*0.15%,IF(AND(N35&gt;1000000000,N35&lt;=5000000000),100000000*0.24%+400000000*0.19%+500000000*0.15%+(N35-1000000000)*0.12%,IF(N35&gt;5000000000,100000000*0.24%+400000000*0.19%+500000000*0.15%+4000000000*0.12%+(N35-5000000000)*0.1%,"Bingung komputer"))))),2)</f>
        <v>161035.15</v>
      </c>
      <c r="G35" s="65"/>
      <c r="H35" s="66"/>
      <c r="I35" s="62"/>
      <c r="J35" s="67"/>
      <c r="K35" t="str" s="67" cm="1">
        <f t="array" ref="K35">"Jumlah Terkena Pajak "&amp;MAX(K3:K33)&amp;"% (B)"</f>
        <v>Jumlah Terkena Pajak 11,00% (B)</v>
      </c>
      <c r="L35" s="68" cm="1">
        <f t="array" ref="L35">SUMIF($K3:$K33,"&gt;0",L3:L33)</f>
        <v>67243458.5244</v>
      </c>
      <c r="M35" s="69" cm="1">
        <f t="array" ref="M35">SUMIF($K3:$K33,"&gt;0",M3:M33)</f>
        <v>67097978.47</v>
      </c>
      <c r="N35" s="69" cm="1">
        <f t="array" ref="N35">SUMIF($K3:$K33,"&gt;0",N3:N33)</f>
        <v>67097978.47</v>
      </c>
    </row>
    <row r="36" ht="21" customHeight="1">
      <c r="A36" s="70"/>
      <c r="B36" s="71"/>
      <c r="C36" s="71"/>
      <c r="D36" s="72"/>
      <c r="E36" s="72"/>
      <c r="F36" s="71"/>
      <c r="G36" s="72"/>
      <c r="H36" s="72"/>
      <c r="I36" s="71"/>
      <c r="J36" s="73"/>
      <c r="K36" t="str" s="73" cm="1">
        <f t="array" ref="K36">"PPN (C) = "&amp;MAX(K3:K33)&amp;"% x B"</f>
        <v>PPN (C) = 11,00% x B</v>
      </c>
      <c r="L36" s="74" cm="1">
        <f t="array" ref="L36">L35*MAX($K3:$K33)%</f>
        <v>7396780.437684</v>
      </c>
      <c r="M36" s="69" cm="1">
        <f t="array" ref="M36">M35*MAX($K3:$K33)%</f>
        <v>7380777.6317</v>
      </c>
      <c r="N36" s="69" cm="1">
        <f t="array" ref="N36">N35*MAX($K3:$K33)%</f>
        <v>7380777.6317</v>
      </c>
    </row>
    <row r="37" ht="21" customHeight="1">
      <c r="A37" s="70"/>
      <c r="B37" s="71"/>
      <c r="C37" s="71"/>
      <c r="D37" s="72"/>
      <c r="E37" s="72"/>
      <c r="F37" s="72"/>
      <c r="G37" s="72"/>
      <c r="H37" s="72"/>
      <c r="I37" s="71"/>
      <c r="J37" s="73"/>
      <c r="K37" t="s" s="75">
        <v>42</v>
      </c>
      <c r="L37" s="76" cm="1">
        <f t="array" ref="L37">L34+L36</f>
        <v>74818001.522084</v>
      </c>
      <c r="M37" s="69" cm="1">
        <f t="array" ref="M37">M34+M36</f>
        <v>74656242.27169999</v>
      </c>
      <c r="N37" s="69" cm="1">
        <f t="array" ref="N37">N34+N36</f>
        <v>74656242.27169999</v>
      </c>
    </row>
    <row r="38" ht="20.5" customHeight="1">
      <c r="A38" s="70"/>
      <c r="B38" s="71"/>
      <c r="C38" s="71"/>
      <c r="D38" s="72"/>
      <c r="E38" s="72"/>
      <c r="F38" s="72"/>
      <c r="G38" s="72"/>
      <c r="H38" s="72"/>
      <c r="I38" s="71"/>
      <c r="J38" s="73"/>
      <c r="K38" t="s" s="75">
        <v>43</v>
      </c>
      <c r="L38" s="68" cm="1">
        <f t="array" ref="L38">ROUNDDOWN(L37,2)</f>
        <v>74818001.52</v>
      </c>
      <c r="M38" s="68" cm="1">
        <f t="array" ref="M38">ROUNDDOWN(M37,2)</f>
        <v>74656242.27</v>
      </c>
      <c r="N38" s="68" cm="1">
        <f t="array" ref="N38">ROUNDDOWN(N37,-3)</f>
        <v>74656000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79.xml><?xml version="1.0" encoding="utf-8"?>
<worksheet xmlns:r="http://schemas.openxmlformats.org/officeDocument/2006/relationships" xmlns="http://schemas.openxmlformats.org/spreadsheetml/2006/main">
  <sheetPr>
    <pageSetUpPr fitToPage="1"/>
  </sheetPr>
  <dimension ref="A1:N36"/>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262" customWidth="1"/>
    <col min="2" max="2" width="43.0312" style="262" customWidth="1"/>
    <col min="3" max="3" width="2.75" style="262" customWidth="1"/>
    <col min="4" max="6" width="10.3672" style="262" customWidth="1"/>
    <col min="7" max="7" width="11.6875" style="262" customWidth="1"/>
    <col min="8" max="11" width="13.5156" style="262" customWidth="1"/>
    <col min="12" max="14" width="14.2344" style="262" customWidth="1"/>
    <col min="15" max="16384" width="16.3516" style="262"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t="s" s="90">
        <v>353</v>
      </c>
      <c r="B3" t="s" s="12">
        <v>354</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32.5" customHeight="1">
      <c r="A4" t="s" s="18">
        <v>355</v>
      </c>
      <c r="B4" t="s" s="19">
        <v>356</v>
      </c>
      <c r="C4" s="20"/>
      <c r="D4" s="21"/>
      <c r="E4" s="21"/>
      <c r="F4" s="21"/>
      <c r="G4" s="79"/>
      <c r="H4" s="21"/>
      <c r="I4" s="21"/>
      <c r="J4" s="21"/>
      <c r="K4" s="21"/>
      <c r="L4" t="str" s="79" cm="1">
        <f t="array" ref="L4">IF(D4&gt;0,IF($D4&lt;=0,0,D4*H4),"")</f>
      </c>
      <c r="M4" t="str" s="79" cm="1">
        <f t="array" ref="M4">IF(E4&gt;0,IF($D4&lt;=0,0,ROUND(E4*I4,2)),"")</f>
      </c>
      <c r="N4" t="str" s="91" cm="1">
        <f t="array" ref="N4">IF(F4&gt;0,IF($D4&lt;=0,0,ROUND(F4*J4,2)),"")</f>
      </c>
    </row>
    <row r="5" ht="32.5" customHeight="1">
      <c r="A5" t="s" s="18">
        <v>357</v>
      </c>
      <c r="B5" t="s" s="19">
        <v>358</v>
      </c>
      <c r="C5" s="24"/>
      <c r="D5" s="26">
        <v>43</v>
      </c>
      <c r="E5" s="26" cm="1">
        <f t="array" ref="E5">D5</f>
        <v>43</v>
      </c>
      <c r="F5" s="26" cm="1">
        <f t="array" ref="F5">D5</f>
        <v>43</v>
      </c>
      <c r="G5" t="s" s="27">
        <v>27</v>
      </c>
      <c r="H5" s="26">
        <v>21640.78</v>
      </c>
      <c r="I5" s="26">
        <v>21632.57</v>
      </c>
      <c r="J5" s="26">
        <v>21632.57</v>
      </c>
      <c r="K5" s="26">
        <v>11</v>
      </c>
      <c r="L5" s="26" cm="1">
        <f t="array" ref="L5">IF(D5&gt;0,IF($D5&lt;=0,0,D5*H5),"")</f>
        <v>930553.54</v>
      </c>
      <c r="M5" s="26" cm="1">
        <f t="array" ref="M5">IF(E5&gt;0,IF($D5&lt;=0,0,ROUND(E5*I5,2)),"")</f>
        <v>930200.51</v>
      </c>
      <c r="N5" s="28" cm="1">
        <f t="array" ref="N5">IF(F5&gt;0,IF($D5&lt;=0,0,ROUND(F5*J5,2)),"")</f>
        <v>930200.51</v>
      </c>
    </row>
    <row r="6" ht="20.5" customHeight="1">
      <c r="A6" t="s" s="93">
        <v>359</v>
      </c>
      <c r="B6" t="s" s="19">
        <v>360</v>
      </c>
      <c r="C6" s="20"/>
      <c r="D6" s="21"/>
      <c r="E6" s="21"/>
      <c r="F6" s="21"/>
      <c r="G6" s="263"/>
      <c r="H6" s="21"/>
      <c r="I6" s="263"/>
      <c r="J6" s="263"/>
      <c r="K6" s="21"/>
      <c r="L6" t="str" s="79" cm="1">
        <f t="array" ref="L6">IF(D6&gt;0,IF($D6&lt;=0,0,D6*H6),"")</f>
      </c>
      <c r="M6" t="str" s="79" cm="1">
        <f t="array" ref="M6">IF(E6&gt;0,IF($D6&lt;=0,0,ROUND(E6*I6,2)),"")</f>
      </c>
      <c r="N6" t="str" s="91" cm="1">
        <f t="array" ref="N6">IF(F6&gt;0,IF($D6&lt;=0,0,ROUND(F6*J6,2)),"")</f>
      </c>
    </row>
    <row r="7" ht="32.5" customHeight="1">
      <c r="A7" t="s" s="18">
        <v>361</v>
      </c>
      <c r="B7" t="s" s="19">
        <v>362</v>
      </c>
      <c r="C7" s="24"/>
      <c r="D7" s="26"/>
      <c r="E7" s="26"/>
      <c r="F7" s="26"/>
      <c r="G7" s="30"/>
      <c r="H7" s="26"/>
      <c r="I7" s="26"/>
      <c r="J7" s="26"/>
      <c r="K7" s="26"/>
      <c r="L7" t="str" s="30" cm="1">
        <f t="array" ref="L7">IF(D7&gt;0,IF($D7&lt;=0,0,D7*H7),"")</f>
      </c>
      <c r="M7" t="str" s="30" cm="1">
        <f t="array" ref="M7">IF(E7&gt;0,IF($D7&lt;=0,0,ROUND(E7*I7,2)),"")</f>
      </c>
      <c r="N7" t="str" s="31" cm="1">
        <f t="array" ref="N7">IF(F7&gt;0,IF($D7&lt;=0,0,ROUND(F7*J7,2)),"")</f>
      </c>
    </row>
    <row r="8" ht="32.5" customHeight="1">
      <c r="A8" t="s" s="18">
        <v>363</v>
      </c>
      <c r="B8" t="s" s="19">
        <v>364</v>
      </c>
      <c r="C8" s="20"/>
      <c r="D8" s="21">
        <v>144</v>
      </c>
      <c r="E8" s="21" cm="1">
        <f t="array" ref="E8">D8</f>
        <v>144</v>
      </c>
      <c r="F8" s="21" cm="1">
        <f t="array" ref="F8">D8</f>
        <v>144</v>
      </c>
      <c r="G8" t="s" s="22">
        <v>27</v>
      </c>
      <c r="H8" s="21">
        <v>1063681.86</v>
      </c>
      <c r="I8" s="21">
        <v>1063440.36</v>
      </c>
      <c r="J8" s="21">
        <v>1063440.36</v>
      </c>
      <c r="K8" s="21">
        <v>11</v>
      </c>
      <c r="L8" s="21" cm="1">
        <f t="array" ref="L8">IF(D8&gt;0,IF($D8&lt;=0,0,D8*H8),"")</f>
        <v>153170187.84</v>
      </c>
      <c r="M8" s="21" cm="1">
        <f t="array" ref="M8">IF(E8&gt;0,IF($D8&lt;=0,0,ROUND(E8*I8,2)),"")</f>
        <v>153135411.84</v>
      </c>
      <c r="N8" s="23" cm="1">
        <f t="array" ref="N8">IF(F8&gt;0,IF($D8&lt;=0,0,ROUND(F8*J8,2)),"")</f>
        <v>153135411.84</v>
      </c>
    </row>
    <row r="9" ht="20.5" customHeight="1">
      <c r="A9" t="s" s="93">
        <v>365</v>
      </c>
      <c r="B9" t="s" s="19">
        <v>366</v>
      </c>
      <c r="C9" s="24"/>
      <c r="D9" s="26"/>
      <c r="E9" s="26"/>
      <c r="F9" s="26"/>
      <c r="G9" s="264"/>
      <c r="H9" s="26"/>
      <c r="I9" s="264"/>
      <c r="J9" s="264"/>
      <c r="K9" s="26"/>
      <c r="L9" t="str" s="30" cm="1">
        <f t="array" ref="L9">IF(D9&gt;0,IF($D9&lt;=0,0,D9*H9),"")</f>
      </c>
      <c r="M9" t="str" s="30" cm="1">
        <f t="array" ref="M9">IF(E9&gt;0,IF($D9&lt;=0,0,ROUND(E9*I9,2)),"")</f>
      </c>
      <c r="N9" t="str" s="31" cm="1">
        <f t="array" ref="N9">IF(F9&gt;0,IF($D9&lt;=0,0,ROUND(F9*J9,2)),"")</f>
      </c>
    </row>
    <row r="10" ht="20.5" customHeight="1">
      <c r="A10" t="s" s="18">
        <v>367</v>
      </c>
      <c r="B10" t="s" s="19">
        <v>368</v>
      </c>
      <c r="C10" s="20"/>
      <c r="D10" s="21"/>
      <c r="E10" s="21"/>
      <c r="F10" s="21"/>
      <c r="G10" s="79"/>
      <c r="H10" s="21"/>
      <c r="I10" s="21"/>
      <c r="J10" s="21"/>
      <c r="K10" s="21"/>
      <c r="L10" t="str" s="79" cm="1">
        <f t="array" ref="L10">IF(D10&gt;0,IF($D10&lt;=0,0,D10*H10),"")</f>
      </c>
      <c r="M10" t="str" s="79" cm="1">
        <f t="array" ref="M10">IF(E10&gt;0,IF($D10&lt;=0,0,ROUND(E10*I10,2)),"")</f>
      </c>
      <c r="N10" t="str" s="91" cm="1">
        <f t="array" ref="N10">IF(F10&gt;0,IF($D10&lt;=0,0,ROUND(F10*J10,2)),"")</f>
      </c>
    </row>
    <row r="11" ht="20.5" customHeight="1">
      <c r="A11" t="s" s="18">
        <v>369</v>
      </c>
      <c r="B11" t="s" s="19">
        <v>370</v>
      </c>
      <c r="C11" s="24"/>
      <c r="D11" s="26">
        <v>1</v>
      </c>
      <c r="E11" s="26" cm="1">
        <f t="array" ref="E11">D11</f>
        <v>1</v>
      </c>
      <c r="F11" s="26" cm="1">
        <f t="array" ref="F11">D11</f>
        <v>1</v>
      </c>
      <c r="G11" t="s" s="27">
        <v>19</v>
      </c>
      <c r="H11" s="26">
        <v>6200000</v>
      </c>
      <c r="I11" s="26">
        <v>6100000</v>
      </c>
      <c r="J11" s="26">
        <v>6100000</v>
      </c>
      <c r="K11" s="26">
        <v>11</v>
      </c>
      <c r="L11" s="26" cm="1">
        <f t="array" ref="L11">IF(D11&gt;0,IF($D11&lt;=0,0,D11*H11),"")</f>
        <v>6200000</v>
      </c>
      <c r="M11" s="26" cm="1">
        <f t="array" ref="M11">IF(E11&gt;0,IF($D11&lt;=0,0,ROUND(E11*I11,2)),"")</f>
        <v>6100000</v>
      </c>
      <c r="N11" s="28" cm="1">
        <f t="array" ref="N11">IF(F11&gt;0,IF($D11&lt;=0,0,ROUND(F11*J11,2)),"")</f>
        <v>6100000</v>
      </c>
    </row>
    <row r="12" ht="20.5" customHeight="1">
      <c r="A12" t="s" s="18">
        <v>369</v>
      </c>
      <c r="B12" t="s" s="19">
        <v>371</v>
      </c>
      <c r="C12" s="20"/>
      <c r="D12" s="21">
        <v>1</v>
      </c>
      <c r="E12" s="21" cm="1">
        <f t="array" ref="E12">D12</f>
        <v>1</v>
      </c>
      <c r="F12" s="21" cm="1">
        <f t="array" ref="F12">D12</f>
        <v>1</v>
      </c>
      <c r="G12" t="s" s="22">
        <v>19</v>
      </c>
      <c r="H12" s="21">
        <v>350000</v>
      </c>
      <c r="I12" s="21">
        <v>300000</v>
      </c>
      <c r="J12" s="21">
        <v>300000</v>
      </c>
      <c r="K12" s="21">
        <v>11</v>
      </c>
      <c r="L12" s="21" cm="1">
        <f t="array" ref="L12">IF(D12&gt;0,IF($D12&lt;=0,0,D12*H12),"")</f>
        <v>350000</v>
      </c>
      <c r="M12" s="21" cm="1">
        <f t="array" ref="M12">IF(E12&gt;0,IF($D12&lt;=0,0,ROUND(E12*I12,2)),"")</f>
        <v>300000</v>
      </c>
      <c r="N12" s="23" cm="1">
        <f t="array" ref="N12">IF(F12&gt;0,IF($D12&lt;=0,0,ROUND(F12*J12,2)),"")</f>
        <v>300000</v>
      </c>
    </row>
    <row r="13" ht="32.5" customHeight="1">
      <c r="A13" t="s" s="18">
        <v>369</v>
      </c>
      <c r="B13" t="s" s="19">
        <v>372</v>
      </c>
      <c r="C13" s="24"/>
      <c r="D13" s="26">
        <v>1</v>
      </c>
      <c r="E13" s="26" cm="1">
        <f t="array" ref="E13">D13</f>
        <v>1</v>
      </c>
      <c r="F13" s="26" cm="1">
        <f t="array" ref="F13">D13</f>
        <v>1</v>
      </c>
      <c r="G13" t="s" s="27">
        <v>19</v>
      </c>
      <c r="H13" s="26">
        <v>1177000</v>
      </c>
      <c r="I13" s="26">
        <v>1170000</v>
      </c>
      <c r="J13" s="26">
        <v>1170000</v>
      </c>
      <c r="K13" s="26">
        <v>11</v>
      </c>
      <c r="L13" s="26" cm="1">
        <f t="array" ref="L13">IF(D13&gt;0,IF($D13&lt;=0,0,D13*H13),"")</f>
        <v>1177000</v>
      </c>
      <c r="M13" s="26" cm="1">
        <f t="array" ref="M13">IF(E13&gt;0,IF($D13&lt;=0,0,ROUND(E13*I13,2)),"")</f>
        <v>1170000</v>
      </c>
      <c r="N13" s="28" cm="1">
        <f t="array" ref="N13">IF(F13&gt;0,IF($D13&lt;=0,0,ROUND(F13*J13,2)),"")</f>
        <v>1170000</v>
      </c>
    </row>
    <row r="14" ht="20.5" customHeight="1">
      <c r="A14" s="29"/>
      <c r="B14" t="s" s="19">
        <v>36</v>
      </c>
      <c r="C14" s="20"/>
      <c r="D14" s="21"/>
      <c r="E14" s="21"/>
      <c r="F14" s="21"/>
      <c r="G14" s="79"/>
      <c r="H14" s="79"/>
      <c r="I14" s="79"/>
      <c r="J14" s="79"/>
      <c r="K14" s="21"/>
      <c r="L14" t="str" s="79" cm="1">
        <f t="array" ref="L14">IF(D14&gt;0,IF($D14&lt;=0,0,D14*H14),"")</f>
      </c>
      <c r="M14" s="21"/>
      <c r="N14" s="23"/>
    </row>
    <row r="15" ht="20.6" customHeight="1">
      <c r="A15" s="33">
        <v>1</v>
      </c>
      <c r="B15" t="s" s="34">
        <v>37</v>
      </c>
      <c r="C15" s="80"/>
      <c r="D15" s="81">
        <v>1</v>
      </c>
      <c r="E15" s="81" cm="1">
        <f t="array" ref="E15">D15</f>
        <v>1</v>
      </c>
      <c r="F15" s="81" cm="1">
        <f t="array" ref="F15">D15</f>
        <v>1</v>
      </c>
      <c r="G15" t="s" s="82">
        <v>19</v>
      </c>
      <c r="H15" s="81">
        <v>357472.71</v>
      </c>
      <c r="I15" s="81">
        <v>357107.66</v>
      </c>
      <c r="J15" s="81">
        <v>357107.66</v>
      </c>
      <c r="K15" s="81"/>
      <c r="L15" s="81" cm="1">
        <f t="array" ref="L15">IF(D15&gt;0,IF($D15&lt;=0,0,D15*H15),"")</f>
        <v>357472.71</v>
      </c>
      <c r="M15" s="81" cm="1">
        <f t="array" ref="M15">IF(E15&gt;0,IF($D15&lt;=0,0,ROUND(E15*I15,2)),"")</f>
        <v>357107.66</v>
      </c>
      <c r="N15" s="83" cm="1">
        <f t="array" ref="N15">IF(F15&gt;0,IF($D15&lt;=0,0,ROUND(F15*J15,2)),"")</f>
        <v>357107.66</v>
      </c>
    </row>
    <row r="16" ht="8.75" customHeight="1" hidden="1">
      <c r="A16" s="39"/>
      <c r="B16" s="40"/>
      <c r="C16" s="45"/>
      <c r="D16" s="46"/>
      <c r="E16" s="46"/>
      <c r="F16" s="46"/>
      <c r="G16" s="47"/>
      <c r="H16" s="46"/>
      <c r="I16" s="46"/>
      <c r="J16" s="46"/>
      <c r="K16" s="46"/>
      <c r="L16" s="46"/>
      <c r="M16" s="46"/>
      <c r="N16" s="48"/>
    </row>
    <row r="17" ht="8.75" customHeight="1" hidden="1">
      <c r="A17" s="39"/>
      <c r="B17" s="40"/>
      <c r="C17" s="41"/>
      <c r="D17" s="42"/>
      <c r="E17" s="42"/>
      <c r="F17" s="42"/>
      <c r="G17" s="43"/>
      <c r="H17" s="42"/>
      <c r="I17" s="42"/>
      <c r="J17" s="42"/>
      <c r="K17" s="42"/>
      <c r="L17" s="42"/>
      <c r="M17" s="42"/>
      <c r="N17" s="44"/>
    </row>
    <row r="18" ht="8.75" customHeight="1" hidden="1">
      <c r="A18" s="39"/>
      <c r="B18" s="40"/>
      <c r="C18" s="45"/>
      <c r="D18" s="46"/>
      <c r="E18" s="46"/>
      <c r="F18" s="46"/>
      <c r="G18" s="47"/>
      <c r="H18" s="46"/>
      <c r="I18" s="46"/>
      <c r="J18" s="46"/>
      <c r="K18" s="46"/>
      <c r="L18" s="46"/>
      <c r="M18" s="46"/>
      <c r="N18" s="48"/>
    </row>
    <row r="19" ht="8.75" customHeight="1" hidden="1">
      <c r="A19" s="39"/>
      <c r="B19" s="40"/>
      <c r="C19" s="41"/>
      <c r="D19" s="42"/>
      <c r="E19" s="42"/>
      <c r="F19" s="42"/>
      <c r="G19" s="43"/>
      <c r="H19" s="42"/>
      <c r="I19" s="42"/>
      <c r="J19" s="42"/>
      <c r="K19" s="42"/>
      <c r="L19" s="42"/>
      <c r="M19" s="42"/>
      <c r="N19" s="44"/>
    </row>
    <row r="20" ht="8.75" customHeight="1" hidden="1">
      <c r="A20" s="39"/>
      <c r="B20" s="40"/>
      <c r="C20" s="45"/>
      <c r="D20" s="46"/>
      <c r="E20" s="46"/>
      <c r="F20" s="46"/>
      <c r="G20" s="47"/>
      <c r="H20" s="46"/>
      <c r="I20" s="46"/>
      <c r="J20" s="46"/>
      <c r="K20" s="46"/>
      <c r="L20" s="46"/>
      <c r="M20" s="46"/>
      <c r="N20" s="48"/>
    </row>
    <row r="21" ht="8.75" customHeight="1" hidden="1">
      <c r="A21" s="39"/>
      <c r="B21" s="40"/>
      <c r="C21" s="41"/>
      <c r="D21" s="42"/>
      <c r="E21" s="42"/>
      <c r="F21" s="42"/>
      <c r="G21" s="43"/>
      <c r="H21" s="42"/>
      <c r="I21" s="42"/>
      <c r="J21" s="42"/>
      <c r="K21" s="42"/>
      <c r="L21" s="42"/>
      <c r="M21" s="42"/>
      <c r="N21" s="44"/>
    </row>
    <row r="22" ht="8.75" customHeight="1" hidden="1">
      <c r="A22" s="39"/>
      <c r="B22" s="40"/>
      <c r="C22" s="45"/>
      <c r="D22" s="46"/>
      <c r="E22" s="46"/>
      <c r="F22" s="46"/>
      <c r="G22" s="47"/>
      <c r="H22" s="47"/>
      <c r="I22" s="47"/>
      <c r="J22" s="47"/>
      <c r="K22" s="46"/>
      <c r="L22" s="47"/>
      <c r="M22" s="47"/>
      <c r="N22" s="52"/>
    </row>
    <row r="23" ht="8.75" customHeight="1" hidden="1">
      <c r="A23" s="39"/>
      <c r="B23" s="40"/>
      <c r="C23" s="41"/>
      <c r="D23" s="42"/>
      <c r="E23" s="42"/>
      <c r="F23" s="42"/>
      <c r="G23" s="43"/>
      <c r="H23" s="84"/>
      <c r="I23" s="84"/>
      <c r="J23" s="84"/>
      <c r="K23" s="42"/>
      <c r="L23" s="42"/>
      <c r="M23" s="42"/>
      <c r="N23" s="44"/>
    </row>
    <row r="24" ht="8.75" customHeight="1" hidden="1">
      <c r="A24" s="39"/>
      <c r="B24" s="40"/>
      <c r="C24" s="45"/>
      <c r="D24" s="46"/>
      <c r="E24" s="46"/>
      <c r="F24" s="46"/>
      <c r="G24" s="47"/>
      <c r="H24" s="47"/>
      <c r="I24" s="47"/>
      <c r="J24" s="47"/>
      <c r="K24" s="46"/>
      <c r="L24" s="47"/>
      <c r="M24" s="47"/>
      <c r="N24" s="52"/>
    </row>
    <row r="25" ht="8.75" customHeight="1" hidden="1">
      <c r="A25" s="39"/>
      <c r="B25" s="40"/>
      <c r="C25" s="41"/>
      <c r="D25" s="42"/>
      <c r="E25" s="42"/>
      <c r="F25" s="42"/>
      <c r="G25" s="43"/>
      <c r="H25" s="42"/>
      <c r="I25" s="42"/>
      <c r="J25" s="42"/>
      <c r="K25" s="42"/>
      <c r="L25" s="42"/>
      <c r="M25" s="42"/>
      <c r="N25" s="44"/>
    </row>
    <row r="26" ht="8.75" customHeight="1" hidden="1">
      <c r="A26" s="39"/>
      <c r="B26" s="40"/>
      <c r="C26" s="45"/>
      <c r="D26" s="46"/>
      <c r="E26" s="46"/>
      <c r="F26" s="46"/>
      <c r="G26" s="47"/>
      <c r="H26" s="46"/>
      <c r="I26" s="46"/>
      <c r="J26" s="46"/>
      <c r="K26" s="46"/>
      <c r="L26" s="46"/>
      <c r="M26" s="46"/>
      <c r="N26" s="48"/>
    </row>
    <row r="27" ht="8.75" customHeight="1" hidden="1">
      <c r="A27" s="51"/>
      <c r="B27" s="40"/>
      <c r="C27" s="41"/>
      <c r="D27" s="42"/>
      <c r="E27" s="42"/>
      <c r="F27" s="42"/>
      <c r="G27" s="43"/>
      <c r="H27" s="42"/>
      <c r="I27" s="42"/>
      <c r="J27" s="42"/>
      <c r="K27" s="42"/>
      <c r="L27" s="42"/>
      <c r="M27" s="42"/>
      <c r="N27" s="44"/>
    </row>
    <row r="28" ht="8.75" customHeight="1" hidden="1">
      <c r="A28" s="51"/>
      <c r="B28" s="40"/>
      <c r="C28" s="45"/>
      <c r="D28" s="46"/>
      <c r="E28" s="46"/>
      <c r="F28" s="46"/>
      <c r="G28" s="47"/>
      <c r="H28" s="46"/>
      <c r="I28" s="46"/>
      <c r="J28" s="46"/>
      <c r="K28" s="46"/>
      <c r="L28" s="46"/>
      <c r="M28" s="46"/>
      <c r="N28" s="48"/>
    </row>
    <row r="29" ht="8.75" customHeight="1" hidden="1">
      <c r="A29" s="39"/>
      <c r="B29" s="40"/>
      <c r="C29" s="41"/>
      <c r="D29" s="42"/>
      <c r="E29" s="42"/>
      <c r="F29" s="42"/>
      <c r="G29" s="43"/>
      <c r="H29" s="42"/>
      <c r="I29" s="42"/>
      <c r="J29" s="42"/>
      <c r="K29" s="42"/>
      <c r="L29" s="43"/>
      <c r="M29" s="43"/>
      <c r="N29" s="49"/>
    </row>
    <row r="30" ht="8.75" customHeight="1" hidden="1">
      <c r="A30" s="39"/>
      <c r="B30" s="40"/>
      <c r="C30" s="45"/>
      <c r="D30" s="46"/>
      <c r="E30" s="46"/>
      <c r="F30" s="46"/>
      <c r="G30" s="47"/>
      <c r="H30" s="46"/>
      <c r="I30" s="46"/>
      <c r="J30" s="46"/>
      <c r="K30" s="46"/>
      <c r="L30" s="46"/>
      <c r="M30" s="46"/>
      <c r="N30" s="48"/>
    </row>
    <row r="31" ht="8.75" customHeight="1" hidden="1">
      <c r="A31" s="39"/>
      <c r="B31" s="40"/>
      <c r="C31" s="41"/>
      <c r="D31" s="42"/>
      <c r="E31" s="42"/>
      <c r="F31" s="42"/>
      <c r="G31" s="43"/>
      <c r="H31" s="42"/>
      <c r="I31" s="42"/>
      <c r="J31" s="42"/>
      <c r="K31" s="42"/>
      <c r="L31" s="43"/>
      <c r="M31" s="43"/>
      <c r="N31" s="49"/>
    </row>
    <row r="32" ht="20.85" customHeight="1">
      <c r="A32" s="53"/>
      <c r="B32" s="54"/>
      <c r="C32" s="54"/>
      <c r="D32" s="55"/>
      <c r="E32" s="55"/>
      <c r="F32" s="55"/>
      <c r="G32" s="56"/>
      <c r="H32" s="56"/>
      <c r="I32" s="54"/>
      <c r="J32" s="57"/>
      <c r="K32" t="s" s="58">
        <v>38</v>
      </c>
      <c r="L32" s="59" cm="1">
        <f t="array" ref="L32">SUM(L1:L31)</f>
        <v>162185214.09</v>
      </c>
      <c r="M32" s="59" cm="1">
        <f t="array" ref="M32">SUM(M1:M31)</f>
        <v>161992720.01</v>
      </c>
      <c r="N32" s="59" cm="1">
        <f t="array" ref="N32">SUM(N1:N31)</f>
        <v>161992720.01</v>
      </c>
    </row>
    <row r="33" ht="21" customHeight="1">
      <c r="A33" s="60"/>
      <c r="B33" t="s" s="61">
        <v>39</v>
      </c>
      <c r="C33" s="62"/>
      <c r="D33" s="63" cm="1">
        <f t="array" ref="D33">ROUND(IF(L33&lt;=100000000,L33*0.24%,IF(AND(L33&gt;100000000,L33&lt;=500000000),100000000*0.24%+(L33-100000000)*0.19%,IF(AND(L33&gt;500000000,L33&lt;=1000000000),100000000*0.24%+400000000*0.19%+(L33-500000000)*0.15%,IF(AND(L33&gt;1000000000,L33&lt;=5000000000),100000000*0.24%+400000000*0.19%+500000000*0.15%+(L33-1000000000)*0.12%,IF(L33&gt;5000000000,100000000*0.24%+400000000*0.19%+500000000*0.15%+4000000000*0.12%+(L33-5000000000)*0.1%,"Bingung komputer"))))),2)</f>
        <v>357472.71</v>
      </c>
      <c r="E33" s="64" cm="1">
        <f t="array" ref="E33">ROUND(IF(M33&lt;=100000000,M33*0.24%,IF(AND(M33&gt;100000000,M33&lt;=500000000),100000000*0.24%+(M33-100000000)*0.19%,IF(AND(M33&gt;500000000,M33&lt;=1000000000),100000000*0.24%+400000000*0.19%+(M33-500000000)*0.15%,IF(AND(M33&gt;1000000000,M33&lt;=5000000000),100000000*0.24%+400000000*0.19%+500000000*0.15%+(M33-1000000000)*0.12%,IF(M33&gt;5000000000,100000000*0.24%+400000000*0.19%+500000000*0.15%+4000000000*0.12%+(M33-5000000000)*0.1%,"Bingung komputer"))))),2)</f>
        <v>357107.66</v>
      </c>
      <c r="F33" s="64" cm="1">
        <f t="array" ref="F33">ROUND(IF(N33&lt;=100000000,N33*0.24%,IF(AND(N33&gt;100000000,N33&lt;=500000000),100000000*0.24%+(N33-100000000)*0.19%,IF(AND(N33&gt;500000000,N33&lt;=1000000000),100000000*0.24%+400000000*0.19%+(N33-500000000)*0.15%,IF(AND(N33&gt;1000000000,N33&lt;=5000000000),100000000*0.24%+400000000*0.19%+500000000*0.15%+(N33-1000000000)*0.12%,IF(N33&gt;5000000000,100000000*0.24%+400000000*0.19%+500000000*0.15%+4000000000*0.12%+(N33-5000000000)*0.1%,"Bingung komputer"))))),2)</f>
        <v>357107.66</v>
      </c>
      <c r="G33" s="65"/>
      <c r="H33" s="66"/>
      <c r="I33" s="62"/>
      <c r="J33" s="67"/>
      <c r="K33" t="str" s="67" cm="1">
        <f t="array" ref="K33">"Jumlah Terkena Pajak "&amp;MAX(K3:K31)&amp;"% (B)"</f>
        <v>Jumlah Terkena Pajak 11,00% (B)</v>
      </c>
      <c r="L33" s="68" cm="1">
        <f t="array" ref="L33">SUMIF($K3:$K31,"&gt;0",L3:L31)</f>
        <v>161827741.38</v>
      </c>
      <c r="M33" s="69" cm="1">
        <f t="array" ref="M33">SUMIF($K3:$K31,"&gt;0",M3:M31)</f>
        <v>161635612.35</v>
      </c>
      <c r="N33" s="69" cm="1">
        <f t="array" ref="N33">SUMIF($K3:$K31,"&gt;0",N3:N31)</f>
        <v>161635612.35</v>
      </c>
    </row>
    <row r="34" ht="21" customHeight="1">
      <c r="A34" s="70"/>
      <c r="B34" s="71"/>
      <c r="C34" s="71"/>
      <c r="D34" s="72"/>
      <c r="E34" s="72"/>
      <c r="F34" s="71"/>
      <c r="G34" s="72"/>
      <c r="H34" s="72"/>
      <c r="I34" s="71"/>
      <c r="J34" s="73"/>
      <c r="K34" t="str" s="73" cm="1">
        <f t="array" ref="K34">"PPN (C) = "&amp;MAX(K3:K31)&amp;"% x B"</f>
        <v>PPN (C) = 11,00% x B</v>
      </c>
      <c r="L34" s="74" cm="1">
        <f t="array" ref="L34">L33*MAX($K3:$K31)%</f>
        <v>17801051.5518</v>
      </c>
      <c r="M34" s="69" cm="1">
        <f t="array" ref="M34">M33*MAX($K3:$K31)%</f>
        <v>17779917.3585</v>
      </c>
      <c r="N34" s="69" cm="1">
        <f t="array" ref="N34">N33*MAX($K3:$K31)%</f>
        <v>17779917.3585</v>
      </c>
    </row>
    <row r="35" ht="21" customHeight="1">
      <c r="A35" s="70"/>
      <c r="B35" s="71"/>
      <c r="C35" s="71"/>
      <c r="D35" s="72"/>
      <c r="E35" s="72"/>
      <c r="F35" s="72"/>
      <c r="G35" s="72"/>
      <c r="H35" s="72"/>
      <c r="I35" s="71"/>
      <c r="J35" s="73"/>
      <c r="K35" t="s" s="75">
        <v>42</v>
      </c>
      <c r="L35" s="76" cm="1">
        <f t="array" ref="L35">L32+L34</f>
        <v>179986265.6418</v>
      </c>
      <c r="M35" s="69" cm="1">
        <f t="array" ref="M35">M32+M34</f>
        <v>179772637.3685</v>
      </c>
      <c r="N35" s="69" cm="1">
        <f t="array" ref="N35">N32+N34</f>
        <v>179772637.3685</v>
      </c>
    </row>
    <row r="36" ht="20.5" customHeight="1">
      <c r="A36" s="70"/>
      <c r="B36" s="71"/>
      <c r="C36" s="71"/>
      <c r="D36" s="72"/>
      <c r="E36" s="72"/>
      <c r="F36" s="72"/>
      <c r="G36" s="72"/>
      <c r="H36" s="72"/>
      <c r="I36" s="71"/>
      <c r="J36" s="73"/>
      <c r="K36" t="s" s="75">
        <v>43</v>
      </c>
      <c r="L36" s="68" cm="1">
        <f t="array" ref="L36">ROUNDDOWN(L35,2)</f>
        <v>179986265.64</v>
      </c>
      <c r="M36" s="68" cm="1">
        <f t="array" ref="M36">ROUNDDOWN(M35,2)</f>
        <v>179772637.36</v>
      </c>
      <c r="N36" s="68" cm="1">
        <f t="array" ref="N36">ROUNDDOWN(N35,-3)</f>
        <v>179772000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80.xml><?xml version="1.0" encoding="utf-8"?>
<worksheet xmlns:r="http://schemas.openxmlformats.org/officeDocument/2006/relationships" xmlns="http://schemas.openxmlformats.org/spreadsheetml/2006/main">
  <sheetPr>
    <pageSetUpPr fitToPage="1"/>
  </sheetPr>
  <dimension ref="A1:N36"/>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265" customWidth="1"/>
    <col min="2" max="2" width="43.0312" style="265" customWidth="1"/>
    <col min="3" max="3" width="2.75" style="265" customWidth="1"/>
    <col min="4" max="6" width="10.3672" style="265" customWidth="1"/>
    <col min="7" max="7" width="11.6875" style="265" customWidth="1"/>
    <col min="8" max="11" width="13.5156" style="265" customWidth="1"/>
    <col min="12" max="14" width="14.2344" style="265" customWidth="1"/>
    <col min="15" max="16384" width="16.3516" style="265"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133</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s="95">
        <v>1</v>
      </c>
      <c r="B4" t="s" s="19">
        <v>134</v>
      </c>
      <c r="C4" s="20"/>
      <c r="D4" s="21">
        <v>1</v>
      </c>
      <c r="E4" s="21" cm="1">
        <f t="array" ref="E4">D4</f>
        <v>1</v>
      </c>
      <c r="F4" s="21" cm="1">
        <f t="array" ref="F4">D4</f>
        <v>1</v>
      </c>
      <c r="G4" t="s" s="22">
        <v>19</v>
      </c>
      <c r="H4" s="21">
        <v>2500000</v>
      </c>
      <c r="I4" s="21">
        <v>2480000</v>
      </c>
      <c r="J4" s="21">
        <v>2480000</v>
      </c>
      <c r="K4" s="21">
        <v>11</v>
      </c>
      <c r="L4" s="21" cm="1">
        <f t="array" ref="L4">IF(D4&gt;0,IF($D4&lt;=0,0,D4*H4),"")</f>
        <v>2500000</v>
      </c>
      <c r="M4" s="21" cm="1">
        <f t="array" ref="M4">IF(E4&gt;0,IF($D4&lt;=0,0,ROUND(E4*I4,2)),"")</f>
        <v>2480000</v>
      </c>
      <c r="N4" s="23" cm="1">
        <f t="array" ref="N4">IF(F4&gt;0,IF($D4&lt;=0,0,ROUND(F4*J4,2)),"")</f>
        <v>2480000</v>
      </c>
    </row>
    <row r="5" ht="20.5" customHeight="1">
      <c r="A5" s="95">
        <v>2</v>
      </c>
      <c r="B5" t="s" s="19">
        <v>144</v>
      </c>
      <c r="C5" s="24"/>
      <c r="D5" s="25">
        <v>1</v>
      </c>
      <c r="E5" s="26" cm="1">
        <f t="array" ref="E5">D5</f>
        <v>1</v>
      </c>
      <c r="F5" s="26" cm="1">
        <f t="array" ref="F5">D5</f>
        <v>1</v>
      </c>
      <c r="G5" t="s" s="27">
        <v>19</v>
      </c>
      <c r="H5" s="26">
        <v>650000</v>
      </c>
      <c r="I5" s="26">
        <v>640000</v>
      </c>
      <c r="J5" s="26">
        <v>640000</v>
      </c>
      <c r="K5" s="26">
        <v>11</v>
      </c>
      <c r="L5" s="26" cm="1">
        <f t="array" ref="L5">IF(D5&gt;0,IF($D5&lt;=0,0,D5*H5),"")</f>
        <v>650000</v>
      </c>
      <c r="M5" s="26" cm="1">
        <f t="array" ref="M5">IF(E5&gt;0,IF($D5&lt;=0,0,ROUND(E5*I5,2)),"")</f>
        <v>640000</v>
      </c>
      <c r="N5" s="28" cm="1">
        <f t="array" ref="N5">IF(F5&gt;0,IF($D5&lt;=0,0,ROUND(F5*J5,2)),"")</f>
        <v>640000</v>
      </c>
    </row>
    <row r="6" ht="20.5" customHeight="1">
      <c r="A6" s="29"/>
      <c r="B6" t="s" s="19">
        <v>145</v>
      </c>
      <c r="C6" s="20"/>
      <c r="D6" s="79"/>
      <c r="E6" s="21"/>
      <c r="F6" s="21"/>
      <c r="G6" s="79"/>
      <c r="H6" s="21"/>
      <c r="I6" s="79"/>
      <c r="J6" s="79"/>
      <c r="K6" s="21"/>
      <c r="L6" t="str" s="79" cm="1">
        <f t="array" ref="L6">IF(D6&gt;0,IF($D6&lt;=0,0,D6*H6),"")</f>
      </c>
      <c r="M6" t="str" s="79" cm="1">
        <f t="array" ref="M6">IF(E6&gt;0,IF($D6&lt;=0,0,ROUND(E6*I6,2)),"")</f>
      </c>
      <c r="N6" t="str" s="91" cm="1">
        <f t="array" ref="N6">IF(F6&gt;0,IF($D6&lt;=0,0,ROUND(F6*J6,2)),"")</f>
      </c>
    </row>
    <row r="7" ht="20.5" customHeight="1">
      <c r="A7" s="29"/>
      <c r="B7" t="s" s="19">
        <v>374</v>
      </c>
      <c r="C7" s="24"/>
      <c r="D7" s="30"/>
      <c r="E7" s="26"/>
      <c r="F7" s="26"/>
      <c r="G7" s="30"/>
      <c r="H7" s="26"/>
      <c r="I7" s="30"/>
      <c r="J7" s="30"/>
      <c r="K7" s="26"/>
      <c r="L7" t="str" s="30" cm="1">
        <f t="array" ref="L7">IF(D7&gt;0,IF($D7&lt;=0,0,D7*H7),"")</f>
      </c>
      <c r="M7" t="str" s="30" cm="1">
        <f t="array" ref="M7">IF(E7&gt;0,IF($D7&lt;=0,0,ROUND(E7*I7,2)),"")</f>
      </c>
      <c r="N7" t="str" s="31" cm="1">
        <f t="array" ref="N7">IF(F7&gt;0,IF($D7&lt;=0,0,ROUND(F7*J7,2)),"")</f>
      </c>
    </row>
    <row r="8" ht="20.5" customHeight="1">
      <c r="A8" s="95">
        <v>1</v>
      </c>
      <c r="B8" t="s" s="19">
        <v>147</v>
      </c>
      <c r="C8" s="20"/>
      <c r="D8" s="78">
        <v>130.2</v>
      </c>
      <c r="E8" s="21" cm="1">
        <f t="array" ref="E8">D8</f>
        <v>130.2</v>
      </c>
      <c r="F8" s="21" cm="1">
        <f t="array" ref="F8">D8</f>
        <v>130.2</v>
      </c>
      <c r="G8" t="s" s="22">
        <v>140</v>
      </c>
      <c r="H8" s="21">
        <v>81075</v>
      </c>
      <c r="I8" s="21">
        <v>80212.5</v>
      </c>
      <c r="J8" s="21">
        <v>80212.5</v>
      </c>
      <c r="K8" s="21">
        <v>11</v>
      </c>
      <c r="L8" s="21" cm="1">
        <f t="array" ref="L8">IF(D8&gt;0,IF($D8&lt;=0,0,D8*H8),"")</f>
        <v>10555965</v>
      </c>
      <c r="M8" s="21" cm="1">
        <f t="array" ref="M8">IF(E8&gt;0,IF($D8&lt;=0,0,ROUND(E8*I8,2)),"")</f>
        <v>10443667.5</v>
      </c>
      <c r="N8" s="23" cm="1">
        <f t="array" ref="N8">IF(F8&gt;0,IF($D8&lt;=0,0,ROUND(F8*J8,2)),"")</f>
        <v>10443667.5</v>
      </c>
    </row>
    <row r="9" ht="20.5" customHeight="1">
      <c r="A9" s="95">
        <v>2</v>
      </c>
      <c r="B9" t="s" s="19">
        <v>148</v>
      </c>
      <c r="C9" s="24"/>
      <c r="D9" s="25">
        <v>48.3</v>
      </c>
      <c r="E9" s="26" cm="1">
        <f t="array" ref="E9">D9</f>
        <v>48.3</v>
      </c>
      <c r="F9" s="26" cm="1">
        <f t="array" ref="F9">D9</f>
        <v>48.3</v>
      </c>
      <c r="G9" t="s" s="27">
        <v>140</v>
      </c>
      <c r="H9" s="26">
        <v>58650</v>
      </c>
      <c r="I9" s="26">
        <v>58075</v>
      </c>
      <c r="J9" s="26">
        <v>58075</v>
      </c>
      <c r="K9" s="26">
        <v>11</v>
      </c>
      <c r="L9" s="26" cm="1">
        <f t="array" ref="L9">IF(D9&gt;0,IF($D9&lt;=0,0,D9*H9),"")</f>
        <v>2832795</v>
      </c>
      <c r="M9" s="26" cm="1">
        <f t="array" ref="M9">IF(E9&gt;0,IF($D9&lt;=0,0,ROUND(E9*I9,2)),"")</f>
        <v>2805022.5</v>
      </c>
      <c r="N9" s="28" cm="1">
        <f t="array" ref="N9">IF(F9&gt;0,IF($D9&lt;=0,0,ROUND(F9*J9,2)),"")</f>
        <v>2805022.5</v>
      </c>
    </row>
    <row r="10" ht="20.5" customHeight="1">
      <c r="A10" s="95">
        <v>3</v>
      </c>
      <c r="B10" t="s" s="19">
        <v>375</v>
      </c>
      <c r="C10" s="20"/>
      <c r="D10" s="21">
        <v>1.61</v>
      </c>
      <c r="E10" s="21" cm="1">
        <f t="array" ref="E10">D10</f>
        <v>1.61</v>
      </c>
      <c r="F10" s="21" cm="1">
        <f t="array" ref="F10">D10</f>
        <v>1.61</v>
      </c>
      <c r="G10" t="s" s="22">
        <v>140</v>
      </c>
      <c r="H10" s="21">
        <v>1221960.88</v>
      </c>
      <c r="I10" s="32">
        <v>1220063.38</v>
      </c>
      <c r="J10" s="32">
        <v>1220063.38</v>
      </c>
      <c r="K10" s="21">
        <v>11</v>
      </c>
      <c r="L10" s="21" cm="1">
        <f t="array" ref="L10">IF(D10&gt;0,IF($D10&lt;=0,0,D10*H10),"")</f>
        <v>1967357.0168</v>
      </c>
      <c r="M10" s="21" cm="1">
        <f t="array" ref="M10">IF(E10&gt;0,IF($D10&lt;=0,0,ROUND(E10*I10,2)),"")</f>
        <v>1964302.04</v>
      </c>
      <c r="N10" s="23" cm="1">
        <f t="array" ref="N10">IF(F10&gt;0,IF($D10&lt;=0,0,ROUND(F10*J10,2)),"")</f>
        <v>1964302.04</v>
      </c>
    </row>
    <row r="11" ht="32.5" customHeight="1">
      <c r="A11" s="95">
        <v>4</v>
      </c>
      <c r="B11" t="s" s="19">
        <v>150</v>
      </c>
      <c r="C11" s="24"/>
      <c r="D11" s="25">
        <v>53.13</v>
      </c>
      <c r="E11" s="26" cm="1">
        <f t="array" ref="E11">D11</f>
        <v>53.13</v>
      </c>
      <c r="F11" s="26" cm="1">
        <f t="array" ref="F11">D11</f>
        <v>53.13</v>
      </c>
      <c r="G11" t="s" s="27">
        <v>140</v>
      </c>
      <c r="H11" s="26">
        <v>1004812.5</v>
      </c>
      <c r="I11" s="26">
        <v>1003087.5</v>
      </c>
      <c r="J11" s="26">
        <v>1003087.5</v>
      </c>
      <c r="K11" s="26">
        <v>11</v>
      </c>
      <c r="L11" s="26" cm="1">
        <f t="array" ref="L11">IF(D11&gt;0,IF($D11&lt;=0,0,D11*H11),"")</f>
        <v>53385688.125</v>
      </c>
      <c r="M11" s="26" cm="1">
        <f t="array" ref="M11">IF(E11&gt;0,IF($D11&lt;=0,0,ROUND(E11*I11,2)),"")</f>
        <v>53294038.88</v>
      </c>
      <c r="N11" s="28" cm="1">
        <f t="array" ref="N11">IF(F11&gt;0,IF($D11&lt;=0,0,ROUND(F11*J11,2)),"")</f>
        <v>53294038.88</v>
      </c>
    </row>
    <row r="12" ht="20.5" customHeight="1">
      <c r="A12" s="95">
        <v>5</v>
      </c>
      <c r="B12" t="s" s="19">
        <v>376</v>
      </c>
      <c r="C12" s="20"/>
      <c r="D12" s="78">
        <v>144.9</v>
      </c>
      <c r="E12" s="21" cm="1">
        <f t="array" ref="E12">D12</f>
        <v>144.9</v>
      </c>
      <c r="F12" s="21" cm="1">
        <f t="array" ref="F12">D12</f>
        <v>144.9</v>
      </c>
      <c r="G12" t="s" s="22">
        <v>142</v>
      </c>
      <c r="H12" s="21">
        <v>71329.899999999994</v>
      </c>
      <c r="I12" s="21">
        <v>70984.899999999994</v>
      </c>
      <c r="J12" s="21">
        <v>70984.899999999994</v>
      </c>
      <c r="K12" s="21">
        <v>11</v>
      </c>
      <c r="L12" s="21" cm="1">
        <f t="array" ref="L12">IF(D12&gt;0,IF($D12&lt;=0,0,D12*H12),"")</f>
        <v>10335702.51</v>
      </c>
      <c r="M12" s="21" cm="1">
        <f t="array" ref="M12">IF(E12&gt;0,IF($D12&lt;=0,0,ROUND(E12*I12,2)),"")</f>
        <v>10285712.01</v>
      </c>
      <c r="N12" s="23" cm="1">
        <f t="array" ref="N12">IF(F12&gt;0,IF($D12&lt;=0,0,ROUND(F12*J12,2)),"")</f>
        <v>10285712.01</v>
      </c>
    </row>
    <row r="13" ht="20.5" customHeight="1">
      <c r="A13" s="95">
        <v>6</v>
      </c>
      <c r="B13" t="s" s="19">
        <v>377</v>
      </c>
      <c r="C13" s="24"/>
      <c r="D13" s="26">
        <v>177.1</v>
      </c>
      <c r="E13" s="26" cm="1">
        <f t="array" ref="E13">D13</f>
        <v>177.1</v>
      </c>
      <c r="F13" s="26" cm="1">
        <f t="array" ref="F13">D13</f>
        <v>177.1</v>
      </c>
      <c r="G13" t="s" s="27">
        <v>142</v>
      </c>
      <c r="H13" s="26">
        <v>43211.25</v>
      </c>
      <c r="I13" s="122">
        <v>42981.25</v>
      </c>
      <c r="J13" s="122">
        <v>42981.25</v>
      </c>
      <c r="K13" s="26">
        <v>11</v>
      </c>
      <c r="L13" s="26" cm="1">
        <f t="array" ref="L13">IF(D13&gt;0,IF($D13&lt;=0,0,D13*H13),"")</f>
        <v>7652712.375</v>
      </c>
      <c r="M13" s="26" cm="1">
        <f t="array" ref="M13">IF(E13&gt;0,IF($D13&lt;=0,0,ROUND(E13*I13,2)),"")</f>
        <v>7611979.38</v>
      </c>
      <c r="N13" s="28" cm="1">
        <f t="array" ref="N13">IF(F13&gt;0,IF($D13&lt;=0,0,ROUND(F13*J13,2)),"")</f>
        <v>7611979.38</v>
      </c>
    </row>
    <row r="14" ht="20.5" customHeight="1">
      <c r="A14" s="29"/>
      <c r="B14" t="s" s="19">
        <v>36</v>
      </c>
      <c r="C14" s="20"/>
      <c r="D14" s="21"/>
      <c r="E14" s="21"/>
      <c r="F14" s="21"/>
      <c r="G14" s="79"/>
      <c r="H14" s="79"/>
      <c r="I14" s="79"/>
      <c r="J14" s="79"/>
      <c r="K14" s="21"/>
      <c r="L14" t="str" s="79" cm="1">
        <f t="array" ref="L14">IF(D14&gt;0,IF($D14&lt;=0,0,D14*H14),"")</f>
      </c>
      <c r="M14" s="21"/>
      <c r="N14" s="23"/>
    </row>
    <row r="15" ht="20.6" customHeight="1">
      <c r="A15" s="33">
        <v>1</v>
      </c>
      <c r="B15" t="s" s="34">
        <v>37</v>
      </c>
      <c r="C15" s="80"/>
      <c r="D15" s="81">
        <v>1</v>
      </c>
      <c r="E15" s="81" cm="1">
        <f t="array" ref="E15">D15</f>
        <v>1</v>
      </c>
      <c r="F15" s="81" cm="1">
        <f t="array" ref="F15">D15</f>
        <v>1</v>
      </c>
      <c r="G15" t="s" s="82">
        <v>19</v>
      </c>
      <c r="H15" s="81">
        <v>215712.53</v>
      </c>
      <c r="I15" s="81">
        <v>218774.99</v>
      </c>
      <c r="J15" s="81">
        <v>214859.33</v>
      </c>
      <c r="K15" s="81">
        <v>0</v>
      </c>
      <c r="L15" s="81" cm="1">
        <f t="array" ref="L15">IF(D15&gt;0,IF($D15&lt;=0,0,D15*H15),"")</f>
        <v>215712.53</v>
      </c>
      <c r="M15" s="81" cm="1">
        <f t="array" ref="M15">IF(E15&gt;0,IF($D15&lt;=0,0,ROUND(E15*I15,2)),"")</f>
        <v>218774.99</v>
      </c>
      <c r="N15" s="83" cm="1">
        <f t="array" ref="N15">IF(F15&gt;0,IF($D15&lt;=0,0,ROUND(F15*J15,2)),"")</f>
        <v>214859.33</v>
      </c>
    </row>
    <row r="16" ht="8.75" customHeight="1" hidden="1">
      <c r="A16" s="39"/>
      <c r="B16" s="40"/>
      <c r="C16" s="45"/>
      <c r="D16" s="46"/>
      <c r="E16" s="46"/>
      <c r="F16" s="46"/>
      <c r="G16" s="47"/>
      <c r="H16" s="46"/>
      <c r="I16" s="46"/>
      <c r="J16" s="46"/>
      <c r="K16" s="46"/>
      <c r="L16" s="46"/>
      <c r="M16" s="46"/>
      <c r="N16" s="48"/>
    </row>
    <row r="17" ht="8.75" customHeight="1" hidden="1">
      <c r="A17" s="39"/>
      <c r="B17" s="40"/>
      <c r="C17" s="41"/>
      <c r="D17" s="42"/>
      <c r="E17" s="42"/>
      <c r="F17" s="42"/>
      <c r="G17" s="43"/>
      <c r="H17" s="42"/>
      <c r="I17" s="42"/>
      <c r="J17" s="42"/>
      <c r="K17" s="42"/>
      <c r="L17" s="42"/>
      <c r="M17" s="42"/>
      <c r="N17" s="44"/>
    </row>
    <row r="18" ht="8.75" customHeight="1" hidden="1">
      <c r="A18" s="39"/>
      <c r="B18" s="40"/>
      <c r="C18" s="45"/>
      <c r="D18" s="46"/>
      <c r="E18" s="46"/>
      <c r="F18" s="46"/>
      <c r="G18" s="47"/>
      <c r="H18" s="46"/>
      <c r="I18" s="46"/>
      <c r="J18" s="46"/>
      <c r="K18" s="46"/>
      <c r="L18" s="46"/>
      <c r="M18" s="46"/>
      <c r="N18" s="48"/>
    </row>
    <row r="19" ht="8.75" customHeight="1" hidden="1">
      <c r="A19" s="39"/>
      <c r="B19" s="40"/>
      <c r="C19" s="41"/>
      <c r="D19" s="42"/>
      <c r="E19" s="42"/>
      <c r="F19" s="42"/>
      <c r="G19" s="43"/>
      <c r="H19" s="42"/>
      <c r="I19" s="42"/>
      <c r="J19" s="42"/>
      <c r="K19" s="42"/>
      <c r="L19" s="42"/>
      <c r="M19" s="42"/>
      <c r="N19" s="44"/>
    </row>
    <row r="20" ht="8.75" customHeight="1" hidden="1">
      <c r="A20" s="39"/>
      <c r="B20" s="40"/>
      <c r="C20" s="45"/>
      <c r="D20" s="46"/>
      <c r="E20" s="46"/>
      <c r="F20" s="46"/>
      <c r="G20" s="47"/>
      <c r="H20" s="46"/>
      <c r="I20" s="46"/>
      <c r="J20" s="46"/>
      <c r="K20" s="46"/>
      <c r="L20" s="46"/>
      <c r="M20" s="46"/>
      <c r="N20" s="48"/>
    </row>
    <row r="21" ht="8.75" customHeight="1" hidden="1">
      <c r="A21" s="39"/>
      <c r="B21" s="40"/>
      <c r="C21" s="41"/>
      <c r="D21" s="42"/>
      <c r="E21" s="42"/>
      <c r="F21" s="42"/>
      <c r="G21" s="43"/>
      <c r="H21" s="42"/>
      <c r="I21" s="42"/>
      <c r="J21" s="42"/>
      <c r="K21" s="42"/>
      <c r="L21" s="42"/>
      <c r="M21" s="42"/>
      <c r="N21" s="44"/>
    </row>
    <row r="22" ht="8.75" customHeight="1" hidden="1">
      <c r="A22" s="39"/>
      <c r="B22" s="40"/>
      <c r="C22" s="45"/>
      <c r="D22" s="46"/>
      <c r="E22" s="46"/>
      <c r="F22" s="46"/>
      <c r="G22" s="47"/>
      <c r="H22" s="47"/>
      <c r="I22" s="47"/>
      <c r="J22" s="47"/>
      <c r="K22" s="46"/>
      <c r="L22" s="47"/>
      <c r="M22" s="47"/>
      <c r="N22" s="52"/>
    </row>
    <row r="23" ht="8.75" customHeight="1" hidden="1">
      <c r="A23" s="39"/>
      <c r="B23" s="40"/>
      <c r="C23" s="41"/>
      <c r="D23" s="42"/>
      <c r="E23" s="42"/>
      <c r="F23" s="42"/>
      <c r="G23" s="43"/>
      <c r="H23" s="84"/>
      <c r="I23" s="84"/>
      <c r="J23" s="84"/>
      <c r="K23" s="42"/>
      <c r="L23" s="42"/>
      <c r="M23" s="42"/>
      <c r="N23" s="44"/>
    </row>
    <row r="24" ht="8.75" customHeight="1" hidden="1">
      <c r="A24" s="39"/>
      <c r="B24" s="40"/>
      <c r="C24" s="45"/>
      <c r="D24" s="46"/>
      <c r="E24" s="46"/>
      <c r="F24" s="46"/>
      <c r="G24" s="47"/>
      <c r="H24" s="47"/>
      <c r="I24" s="47"/>
      <c r="J24" s="47"/>
      <c r="K24" s="46"/>
      <c r="L24" s="47"/>
      <c r="M24" s="47"/>
      <c r="N24" s="52"/>
    </row>
    <row r="25" ht="8.75" customHeight="1" hidden="1">
      <c r="A25" s="39"/>
      <c r="B25" s="40"/>
      <c r="C25" s="41"/>
      <c r="D25" s="42"/>
      <c r="E25" s="42"/>
      <c r="F25" s="42"/>
      <c r="G25" s="43"/>
      <c r="H25" s="42"/>
      <c r="I25" s="42"/>
      <c r="J25" s="42"/>
      <c r="K25" s="42"/>
      <c r="L25" s="42"/>
      <c r="M25" s="42"/>
      <c r="N25" s="44"/>
    </row>
    <row r="26" ht="8.75" customHeight="1" hidden="1">
      <c r="A26" s="39"/>
      <c r="B26" s="40"/>
      <c r="C26" s="45"/>
      <c r="D26" s="46"/>
      <c r="E26" s="46"/>
      <c r="F26" s="46"/>
      <c r="G26" s="47"/>
      <c r="H26" s="46"/>
      <c r="I26" s="46"/>
      <c r="J26" s="46"/>
      <c r="K26" s="46"/>
      <c r="L26" s="46"/>
      <c r="M26" s="46"/>
      <c r="N26" s="48"/>
    </row>
    <row r="27" ht="8.75" customHeight="1" hidden="1">
      <c r="A27" s="51"/>
      <c r="B27" s="40"/>
      <c r="C27" s="41"/>
      <c r="D27" s="42"/>
      <c r="E27" s="42"/>
      <c r="F27" s="42"/>
      <c r="G27" s="43"/>
      <c r="H27" s="42"/>
      <c r="I27" s="42"/>
      <c r="J27" s="42"/>
      <c r="K27" s="42"/>
      <c r="L27" s="42"/>
      <c r="M27" s="42"/>
      <c r="N27" s="44"/>
    </row>
    <row r="28" ht="8.75" customHeight="1" hidden="1">
      <c r="A28" s="51"/>
      <c r="B28" s="40"/>
      <c r="C28" s="45"/>
      <c r="D28" s="46"/>
      <c r="E28" s="46"/>
      <c r="F28" s="46"/>
      <c r="G28" s="47"/>
      <c r="H28" s="46"/>
      <c r="I28" s="46"/>
      <c r="J28" s="46"/>
      <c r="K28" s="46"/>
      <c r="L28" s="46"/>
      <c r="M28" s="46"/>
      <c r="N28" s="48"/>
    </row>
    <row r="29" ht="8.75" customHeight="1" hidden="1">
      <c r="A29" s="39"/>
      <c r="B29" s="40"/>
      <c r="C29" s="41"/>
      <c r="D29" s="42"/>
      <c r="E29" s="42"/>
      <c r="F29" s="42"/>
      <c r="G29" s="43"/>
      <c r="H29" s="42"/>
      <c r="I29" s="42"/>
      <c r="J29" s="42"/>
      <c r="K29" s="42"/>
      <c r="L29" s="43"/>
      <c r="M29" s="43"/>
      <c r="N29" s="49"/>
    </row>
    <row r="30" ht="8.75" customHeight="1" hidden="1">
      <c r="A30" s="39"/>
      <c r="B30" s="40"/>
      <c r="C30" s="45"/>
      <c r="D30" s="46"/>
      <c r="E30" s="46"/>
      <c r="F30" s="46"/>
      <c r="G30" s="47"/>
      <c r="H30" s="46"/>
      <c r="I30" s="46"/>
      <c r="J30" s="46"/>
      <c r="K30" s="46"/>
      <c r="L30" s="46"/>
      <c r="M30" s="46"/>
      <c r="N30" s="48"/>
    </row>
    <row r="31" ht="8.75" customHeight="1" hidden="1">
      <c r="A31" s="39"/>
      <c r="B31" s="40"/>
      <c r="C31" s="41"/>
      <c r="D31" s="42"/>
      <c r="E31" s="42"/>
      <c r="F31" s="42"/>
      <c r="G31" s="43"/>
      <c r="H31" s="42"/>
      <c r="I31" s="42"/>
      <c r="J31" s="42"/>
      <c r="K31" s="42"/>
      <c r="L31" s="43"/>
      <c r="M31" s="43"/>
      <c r="N31" s="49"/>
    </row>
    <row r="32" ht="20.85" customHeight="1">
      <c r="A32" s="53"/>
      <c r="B32" s="54"/>
      <c r="C32" s="54"/>
      <c r="D32" s="55"/>
      <c r="E32" s="55"/>
      <c r="F32" s="55"/>
      <c r="G32" s="56"/>
      <c r="H32" s="56"/>
      <c r="I32" s="54"/>
      <c r="J32" s="57"/>
      <c r="K32" t="s" s="58">
        <v>38</v>
      </c>
      <c r="L32" s="59" cm="1">
        <f t="array" ref="L32">SUM(L1:L31)</f>
        <v>90095932.55679999</v>
      </c>
      <c r="M32" s="59" cm="1">
        <f t="array" ref="M32">SUM(M1:M31)</f>
        <v>89743497.3</v>
      </c>
      <c r="N32" s="59" cm="1">
        <f t="array" ref="N32">SUM(N1:N31)</f>
        <v>89739581.64</v>
      </c>
    </row>
    <row r="33" ht="21" customHeight="1">
      <c r="A33" s="60"/>
      <c r="B33" t="s" s="61">
        <v>39</v>
      </c>
      <c r="C33" s="62"/>
      <c r="D33" s="63" cm="1">
        <f t="array" ref="D33">ROUND(IF(L33&lt;=100000000,L33*0.24%,IF(AND(L33&gt;100000000,L33&lt;=500000000),100000000*0.24%+(L33-100000000)*0.19%,IF(AND(L33&gt;500000000,L33&lt;=1000000000),100000000*0.24%+400000000*0.19%+(L33-500000000)*0.15%,IF(AND(L33&gt;1000000000,L33&lt;=5000000000),100000000*0.24%+400000000*0.19%+500000000*0.15%+(L33-1000000000)*0.12%,IF(L33&gt;5000000000,100000000*0.24%+400000000*0.19%+500000000*0.15%+4000000000*0.12%+(L33-5000000000)*0.1%,"Bingung komputer"))))),2)</f>
        <v>215712.53</v>
      </c>
      <c r="E33" s="64" cm="1">
        <f t="array" ref="E33">ROUND(IF(M33&lt;=100000000,M33*0.24%,IF(AND(M33&gt;100000000,M33&lt;=500000000),100000000*0.24%+(M33-100000000)*0.19%,IF(AND(M33&gt;500000000,M33&lt;=1000000000),100000000*0.24%+400000000*0.19%+(M33-500000000)*0.15%,IF(AND(M33&gt;1000000000,M33&lt;=5000000000),100000000*0.24%+400000000*0.19%+500000000*0.15%+(M33-1000000000)*0.12%,IF(M33&gt;5000000000,100000000*0.24%+400000000*0.19%+500000000*0.15%+4000000000*0.12%+(M33-5000000000)*0.1%,"Bingung komputer"))))),2)</f>
        <v>214859.33</v>
      </c>
      <c r="F33" s="64" cm="1">
        <f t="array" ref="F33">ROUND(IF(N33&lt;=100000000,N33*0.24%,IF(AND(N33&gt;100000000,N33&lt;=500000000),100000000*0.24%+(N33-100000000)*0.19%,IF(AND(N33&gt;500000000,N33&lt;=1000000000),100000000*0.24%+400000000*0.19%+(N33-500000000)*0.15%,IF(AND(N33&gt;1000000000,N33&lt;=5000000000),100000000*0.24%+400000000*0.19%+500000000*0.15%+(N33-1000000000)*0.12%,IF(N33&gt;5000000000,100000000*0.24%+400000000*0.19%+500000000*0.15%+4000000000*0.12%+(N33-5000000000)*0.1%,"Bingung komputer"))))),2)</f>
        <v>214859.33</v>
      </c>
      <c r="G33" s="65"/>
      <c r="H33" s="66"/>
      <c r="I33" s="62"/>
      <c r="J33" s="67"/>
      <c r="K33" t="str" s="67" cm="1">
        <f t="array" ref="K33">"Jumlah Terkena Pajak "&amp;MAX(K3:K31)&amp;"% (B)"</f>
        <v>Jumlah Terkena Pajak 11,00% (B)</v>
      </c>
      <c r="L33" s="68" cm="1">
        <f t="array" ref="L33">SUMIF($K3:$K31,"&gt;0",L3:L31)</f>
        <v>89880220.02680001</v>
      </c>
      <c r="M33" s="69" cm="1">
        <f t="array" ref="M33">SUMIF($K3:$K31,"&gt;0",M3:M31)</f>
        <v>89524722.31</v>
      </c>
      <c r="N33" s="69" cm="1">
        <f t="array" ref="N33">SUMIF($K3:$K31,"&gt;0",N3:N31)</f>
        <v>89524722.31</v>
      </c>
    </row>
    <row r="34" ht="21" customHeight="1">
      <c r="A34" s="70"/>
      <c r="B34" s="71"/>
      <c r="C34" s="71"/>
      <c r="D34" s="72"/>
      <c r="E34" s="72"/>
      <c r="F34" s="71"/>
      <c r="G34" s="72"/>
      <c r="H34" s="72"/>
      <c r="I34" s="71"/>
      <c r="J34" s="73"/>
      <c r="K34" t="str" s="73" cm="1">
        <f t="array" ref="K34">"PPN (C) = "&amp;MAX(K3:K31)&amp;"% x B"</f>
        <v>PPN (C) = 11,00% x B</v>
      </c>
      <c r="L34" s="74" cm="1">
        <f t="array" ref="L34">L33*MAX($K3:$K31)%</f>
        <v>9886824.202948</v>
      </c>
      <c r="M34" s="69" cm="1">
        <f t="array" ref="M34">M33*MAX($K3:$K31)%</f>
        <v>9847719.4541</v>
      </c>
      <c r="N34" s="69" cm="1">
        <f t="array" ref="N34">N33*MAX($K3:$K31)%</f>
        <v>9847719.4541</v>
      </c>
    </row>
    <row r="35" ht="21" customHeight="1">
      <c r="A35" s="70"/>
      <c r="B35" s="71"/>
      <c r="C35" s="71"/>
      <c r="D35" s="72"/>
      <c r="E35" s="72"/>
      <c r="F35" s="72"/>
      <c r="G35" s="72"/>
      <c r="H35" s="72"/>
      <c r="I35" s="71"/>
      <c r="J35" s="73"/>
      <c r="K35" t="s" s="75">
        <v>42</v>
      </c>
      <c r="L35" s="76" cm="1">
        <f t="array" ref="L35">L32+L34</f>
        <v>99982756.759748</v>
      </c>
      <c r="M35" s="69" cm="1">
        <f t="array" ref="M35">M32+M34</f>
        <v>99591216.75409999</v>
      </c>
      <c r="N35" s="69" cm="1">
        <f t="array" ref="N35">N32+N34</f>
        <v>99587301.0941</v>
      </c>
    </row>
    <row r="36" ht="20.5" customHeight="1">
      <c r="A36" s="70"/>
      <c r="B36" s="71"/>
      <c r="C36" s="71"/>
      <c r="D36" s="72"/>
      <c r="E36" s="72"/>
      <c r="F36" s="72"/>
      <c r="G36" s="72"/>
      <c r="H36" s="72"/>
      <c r="I36" s="71"/>
      <c r="J36" s="73"/>
      <c r="K36" t="s" s="75">
        <v>43</v>
      </c>
      <c r="L36" s="68" cm="1">
        <f t="array" ref="L36">ROUNDDOWN(L35,2)</f>
        <v>99982756.75</v>
      </c>
      <c r="M36" s="68" cm="1">
        <f t="array" ref="M36">ROUNDDOWN(M35,2)</f>
        <v>99591216.75</v>
      </c>
      <c r="N36" s="68" cm="1">
        <f t="array" ref="N36">ROUNDDOWN(N35,-3)</f>
        <v>99587000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81.xml><?xml version="1.0" encoding="utf-8"?>
<worksheet xmlns:r="http://schemas.openxmlformats.org/officeDocument/2006/relationships" xmlns="http://schemas.openxmlformats.org/spreadsheetml/2006/main">
  <sheetPr>
    <pageSetUpPr fitToPage="1"/>
  </sheetPr>
  <dimension ref="A1:N31"/>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266" customWidth="1"/>
    <col min="2" max="2" width="43.0312" style="266" customWidth="1"/>
    <col min="3" max="3" width="2.75" style="266" customWidth="1"/>
    <col min="4" max="6" width="10.3672" style="266" customWidth="1"/>
    <col min="7" max="7" width="11.6875" style="266" customWidth="1"/>
    <col min="8" max="11" width="13.5156" style="266" customWidth="1"/>
    <col min="12" max="14" width="14.2344" style="266" customWidth="1"/>
    <col min="15" max="16384" width="16.3516" style="266"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109</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s="95">
        <v>1</v>
      </c>
      <c r="B4" t="s" s="19">
        <v>110</v>
      </c>
      <c r="C4" s="20"/>
      <c r="D4" s="21">
        <v>1</v>
      </c>
      <c r="E4" s="21" cm="1">
        <f t="array" ref="E4">D4</f>
        <v>1</v>
      </c>
      <c r="F4" s="21" cm="1">
        <f t="array" ref="F4">D4</f>
        <v>1</v>
      </c>
      <c r="G4" t="s" s="22">
        <v>19</v>
      </c>
      <c r="H4" s="21" cm="1">
        <f t="array" ref="H4">ROUNDDOWN((F$30*0.1)*100/111,-2)</f>
        <v>8989500</v>
      </c>
      <c r="I4" s="21">
        <v>8950000</v>
      </c>
      <c r="J4" s="21">
        <v>8950000</v>
      </c>
      <c r="K4" s="21">
        <v>11</v>
      </c>
      <c r="L4" s="21" cm="1">
        <f t="array" ref="L4">IF(D4&gt;0,IF($D4&lt;=0,0,D4*H4),"")</f>
        <v>8989500</v>
      </c>
      <c r="M4" s="21" cm="1">
        <f t="array" ref="M4">IF(E4&gt;0,IF($D4&lt;=0,0,ROUND(E4*I4,2)),"")</f>
        <v>8950000</v>
      </c>
      <c r="N4" s="23" cm="1">
        <f t="array" ref="N4">IF(F4&gt;0,IF($D4&lt;=0,0,ROUND(F4*J4,2)),"")</f>
        <v>8950000</v>
      </c>
    </row>
    <row r="5" ht="20.5" customHeight="1">
      <c r="A5" s="95">
        <v>2</v>
      </c>
      <c r="B5" t="s" s="19">
        <v>111</v>
      </c>
      <c r="C5" s="24"/>
      <c r="D5" s="26">
        <v>1</v>
      </c>
      <c r="E5" s="26" cm="1">
        <f t="array" ref="E5">D5</f>
        <v>1</v>
      </c>
      <c r="F5" s="26" cm="1">
        <f t="array" ref="F5">D5</f>
        <v>1</v>
      </c>
      <c r="G5" t="s" s="27">
        <v>19</v>
      </c>
      <c r="H5" s="26" cm="1">
        <f t="array" ref="H5">ROUNDDOWN((F$30*0.2)*100/111,-2)</f>
        <v>17979100</v>
      </c>
      <c r="I5" s="26">
        <v>17980000</v>
      </c>
      <c r="J5" s="26">
        <v>17980000</v>
      </c>
      <c r="K5" s="26">
        <v>11</v>
      </c>
      <c r="L5" s="26" cm="1">
        <f t="array" ref="L5">IF(D5&gt;0,IF($D5&lt;=0,0,D5*H5),"")</f>
        <v>17979100</v>
      </c>
      <c r="M5" s="26" cm="1">
        <f t="array" ref="M5">IF(E5&gt;0,IF($D5&lt;=0,0,ROUND(E5*I5,2)),"")</f>
        <v>17980000</v>
      </c>
      <c r="N5" s="28" cm="1">
        <f t="array" ref="N5">IF(F5&gt;0,IF($D5&lt;=0,0,ROUND(F5*J5,2)),"")</f>
        <v>17980000</v>
      </c>
    </row>
    <row r="6" ht="20.5" customHeight="1">
      <c r="A6" s="95">
        <v>3</v>
      </c>
      <c r="B6" t="s" s="19">
        <v>112</v>
      </c>
      <c r="C6" s="20"/>
      <c r="D6" s="21">
        <v>1</v>
      </c>
      <c r="E6" s="21" cm="1">
        <f t="array" ref="E6">D6</f>
        <v>1</v>
      </c>
      <c r="F6" s="21" cm="1">
        <f t="array" ref="F6">D6</f>
        <v>1</v>
      </c>
      <c r="G6" t="s" s="22">
        <v>19</v>
      </c>
      <c r="H6" s="21" cm="1">
        <f t="array" ref="H6">ROUNDDOWN((F$30*0.25)*100/111,-2)</f>
        <v>22473900</v>
      </c>
      <c r="I6" s="21">
        <v>22460000</v>
      </c>
      <c r="J6" s="21">
        <v>22460000</v>
      </c>
      <c r="K6" s="21">
        <v>11</v>
      </c>
      <c r="L6" s="21" cm="1">
        <f t="array" ref="L6">IF(D6&gt;0,IF($D6&lt;=0,0,D6*H6),"")</f>
        <v>22473900</v>
      </c>
      <c r="M6" s="21" cm="1">
        <f t="array" ref="M6">IF(E6&gt;0,IF($D6&lt;=0,0,ROUND(E6*I6,2)),"")</f>
        <v>22460000</v>
      </c>
      <c r="N6" s="23" cm="1">
        <f t="array" ref="N6">IF(F6&gt;0,IF($D6&lt;=0,0,ROUND(F6*J6,2)),"")</f>
        <v>22460000</v>
      </c>
    </row>
    <row r="7" ht="68.5" customHeight="1">
      <c r="A7" s="95">
        <v>5</v>
      </c>
      <c r="B7" t="s" s="19">
        <v>113</v>
      </c>
      <c r="C7" s="24"/>
      <c r="D7" s="26">
        <v>1</v>
      </c>
      <c r="E7" s="26" cm="1">
        <f t="array" ref="E7">D7</f>
        <v>1</v>
      </c>
      <c r="F7" s="26" cm="1">
        <f t="array" ref="F7">D7</f>
        <v>1</v>
      </c>
      <c r="G7" t="s" s="27">
        <v>19</v>
      </c>
      <c r="H7" s="26" cm="1">
        <f t="array" ref="H7">ROUNDDOWN((F$30*0.25)*100/111,-2)</f>
        <v>22473900</v>
      </c>
      <c r="I7" s="26">
        <v>22470000</v>
      </c>
      <c r="J7" s="26">
        <v>22470000</v>
      </c>
      <c r="K7" s="26">
        <v>11</v>
      </c>
      <c r="L7" s="26" cm="1">
        <f t="array" ref="L7">IF(D7&gt;0,IF($D7&lt;=0,0,D7*H7),"")</f>
        <v>22473900</v>
      </c>
      <c r="M7" s="26" cm="1">
        <f t="array" ref="M7">IF(E7&gt;0,IF($D7&lt;=0,0,ROUND(E7*I7,2)),"")</f>
        <v>22470000</v>
      </c>
      <c r="N7" s="28" cm="1">
        <f t="array" ref="N7">IF(F7&gt;0,IF($D7&lt;=0,0,ROUND(F7*J7,2)),"")</f>
        <v>22470000</v>
      </c>
    </row>
    <row r="8" ht="32.5" customHeight="1">
      <c r="A8" s="95">
        <v>6</v>
      </c>
      <c r="B8" t="s" s="19">
        <v>114</v>
      </c>
      <c r="C8" s="20"/>
      <c r="D8" s="21">
        <v>1</v>
      </c>
      <c r="E8" s="21" cm="1">
        <f t="array" ref="E8">D8</f>
        <v>1</v>
      </c>
      <c r="F8" s="21" cm="1">
        <f t="array" ref="F8">D8</f>
        <v>1</v>
      </c>
      <c r="G8" t="s" s="22">
        <v>19</v>
      </c>
      <c r="H8" s="21" cm="1">
        <f t="array" ref="H8">ROUNDDOWN((F$30*0.05)*100/111,-2)</f>
        <v>4494700</v>
      </c>
      <c r="I8" s="21">
        <v>4476200</v>
      </c>
      <c r="J8" s="21">
        <v>4476200</v>
      </c>
      <c r="K8" s="21">
        <v>11</v>
      </c>
      <c r="L8" s="21" cm="1">
        <f t="array" ref="L8">IF(D8&gt;0,IF($D8&lt;=0,0,D8*H8),"")</f>
        <v>4494700</v>
      </c>
      <c r="M8" s="21" cm="1">
        <f t="array" ref="M8">IF(E8&gt;0,IF($D8&lt;=0,0,ROUND(E8*I8,2)),"")</f>
        <v>4476200</v>
      </c>
      <c r="N8" s="23" cm="1">
        <f t="array" ref="N8">IF(F8&gt;0,IF($D8&lt;=0,0,ROUND(F8*J8,2)),"")</f>
        <v>4476200</v>
      </c>
    </row>
    <row r="9" ht="20.5" customHeight="1">
      <c r="A9" s="95">
        <v>7</v>
      </c>
      <c r="B9" t="s" s="19">
        <v>115</v>
      </c>
      <c r="C9" s="24"/>
      <c r="D9" s="26">
        <v>1</v>
      </c>
      <c r="E9" s="26" cm="1">
        <f t="array" ref="E9">D9</f>
        <v>1</v>
      </c>
      <c r="F9" s="26" cm="1">
        <f t="array" ref="F9">D9</f>
        <v>1</v>
      </c>
      <c r="G9" t="s" s="27">
        <v>19</v>
      </c>
      <c r="H9" s="26" cm="1">
        <f t="array" ref="H9">ROUNDDOWN((F$30*0.15)*100/111,-2)</f>
        <v>13484300</v>
      </c>
      <c r="I9" s="26">
        <v>13460000</v>
      </c>
      <c r="J9" s="26">
        <v>13460000</v>
      </c>
      <c r="K9" s="26">
        <v>11</v>
      </c>
      <c r="L9" s="26" cm="1">
        <f t="array" ref="L9">IF(D9&gt;0,IF($D9&lt;=0,0,D9*H9),"")</f>
        <v>13484300</v>
      </c>
      <c r="M9" s="26" cm="1">
        <f t="array" ref="M9">IF(E9&gt;0,IF($D9&lt;=0,0,ROUND(E9*I9,2)),"")</f>
        <v>13460000</v>
      </c>
      <c r="N9" s="28" cm="1">
        <f t="array" ref="N9">IF(F9&gt;0,IF($D9&lt;=0,0,ROUND(F9*J9,2)),"")</f>
        <v>13460000</v>
      </c>
    </row>
    <row r="10" ht="20.6" customHeight="1">
      <c r="A10" s="33">
        <v>8</v>
      </c>
      <c r="B10" t="s" s="34">
        <v>37</v>
      </c>
      <c r="C10" s="35"/>
      <c r="D10" s="36">
        <v>1</v>
      </c>
      <c r="E10" s="36" cm="1">
        <f t="array" ref="E10">D10</f>
        <v>1</v>
      </c>
      <c r="F10" s="36" cm="1">
        <f t="array" ref="F10">D10</f>
        <v>1</v>
      </c>
      <c r="G10" t="s" s="37">
        <v>19</v>
      </c>
      <c r="H10" s="36">
        <v>215748.96</v>
      </c>
      <c r="I10" s="36">
        <v>215510.88</v>
      </c>
      <c r="J10" s="36">
        <v>215510.88</v>
      </c>
      <c r="K10" s="36">
        <v>0</v>
      </c>
      <c r="L10" s="36" cm="1">
        <f t="array" ref="L10">IF(D10&gt;0,IF($D10&lt;=0,0,D10*H10),"")</f>
        <v>215748.96</v>
      </c>
      <c r="M10" s="36" cm="1">
        <f t="array" ref="M10">IF(E10&gt;0,IF($D10&lt;=0,0,ROUND(E10*I10,2)),"")</f>
        <v>215510.88</v>
      </c>
      <c r="N10" s="38" cm="1">
        <f t="array" ref="N10">IF(F10&gt;0,IF($D10&lt;=0,0,ROUND(F10*J10,2)),"")</f>
        <v>215510.88</v>
      </c>
    </row>
    <row r="11" ht="8.75" customHeight="1" hidden="1">
      <c r="A11" s="39"/>
      <c r="B11" s="40"/>
      <c r="C11" s="41"/>
      <c r="D11" s="42"/>
      <c r="E11" s="42"/>
      <c r="F11" s="42"/>
      <c r="G11" s="43"/>
      <c r="H11" s="42"/>
      <c r="I11" s="42"/>
      <c r="J11" s="42"/>
      <c r="K11" s="42"/>
      <c r="L11" s="42"/>
      <c r="M11" s="42"/>
      <c r="N11" s="44"/>
    </row>
    <row r="12" ht="8.75" customHeight="1" hidden="1">
      <c r="A12" s="39"/>
      <c r="B12" s="40"/>
      <c r="C12" s="45"/>
      <c r="D12" s="46"/>
      <c r="E12" s="46"/>
      <c r="F12" s="46"/>
      <c r="G12" s="47"/>
      <c r="H12" s="46"/>
      <c r="I12" s="46"/>
      <c r="J12" s="46"/>
      <c r="K12" s="46"/>
      <c r="L12" s="46"/>
      <c r="M12" s="46"/>
      <c r="N12" s="48"/>
    </row>
    <row r="13" ht="8.75" customHeight="1" hidden="1">
      <c r="A13" s="39"/>
      <c r="B13" s="40"/>
      <c r="C13" s="41"/>
      <c r="D13" s="42"/>
      <c r="E13" s="42"/>
      <c r="F13" s="42"/>
      <c r="G13" s="43"/>
      <c r="H13" s="42"/>
      <c r="I13" s="42"/>
      <c r="J13" s="42"/>
      <c r="K13" s="42"/>
      <c r="L13" s="42"/>
      <c r="M13" s="42"/>
      <c r="N13" s="44"/>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2"/>
      <c r="I15" s="42"/>
      <c r="J15" s="42"/>
      <c r="K15" s="42"/>
      <c r="L15" s="42"/>
      <c r="M15" s="42"/>
      <c r="N15" s="44"/>
    </row>
    <row r="16" ht="8.75" customHeight="1" hidden="1">
      <c r="A16" s="39"/>
      <c r="B16" s="40"/>
      <c r="C16" s="45"/>
      <c r="D16" s="46"/>
      <c r="E16" s="46"/>
      <c r="F16" s="46"/>
      <c r="G16" s="47"/>
      <c r="H16" s="46"/>
      <c r="I16" s="46"/>
      <c r="J16" s="46"/>
      <c r="K16" s="46"/>
      <c r="L16" s="46"/>
      <c r="M16" s="46"/>
      <c r="N16" s="48"/>
    </row>
    <row r="17" ht="8.75" customHeight="1" hidden="1">
      <c r="A17" s="39"/>
      <c r="B17" s="40"/>
      <c r="C17" s="41"/>
      <c r="D17" s="42"/>
      <c r="E17" s="42"/>
      <c r="F17" s="42"/>
      <c r="G17" s="43"/>
      <c r="H17" s="43"/>
      <c r="I17" s="43"/>
      <c r="J17" s="43"/>
      <c r="K17" s="42"/>
      <c r="L17" s="43"/>
      <c r="M17" s="43"/>
      <c r="N17" s="49"/>
    </row>
    <row r="18" ht="8.75" customHeight="1" hidden="1">
      <c r="A18" s="39"/>
      <c r="B18" s="40"/>
      <c r="C18" s="45"/>
      <c r="D18" s="46"/>
      <c r="E18" s="46"/>
      <c r="F18" s="46"/>
      <c r="G18" s="47"/>
      <c r="H18" s="50"/>
      <c r="I18" s="50"/>
      <c r="J18" s="50"/>
      <c r="K18" s="46"/>
      <c r="L18" s="46"/>
      <c r="M18" s="46"/>
      <c r="N18" s="48"/>
    </row>
    <row r="19" ht="8.75" customHeight="1" hidden="1">
      <c r="A19" s="39"/>
      <c r="B19" s="40"/>
      <c r="C19" s="41"/>
      <c r="D19" s="42"/>
      <c r="E19" s="42"/>
      <c r="F19" s="42"/>
      <c r="G19" s="43"/>
      <c r="H19" s="43"/>
      <c r="I19" s="43"/>
      <c r="J19" s="43"/>
      <c r="K19" s="42"/>
      <c r="L19" s="43"/>
      <c r="M19" s="43"/>
      <c r="N19" s="49"/>
    </row>
    <row r="20" ht="8.75" customHeight="1" hidden="1">
      <c r="A20" s="39"/>
      <c r="B20" s="40"/>
      <c r="C20" s="45"/>
      <c r="D20" s="46"/>
      <c r="E20" s="46"/>
      <c r="F20" s="46"/>
      <c r="G20" s="47"/>
      <c r="H20" s="46"/>
      <c r="I20" s="46"/>
      <c r="J20" s="46"/>
      <c r="K20" s="46"/>
      <c r="L20" s="46"/>
      <c r="M20" s="46"/>
      <c r="N20" s="48"/>
    </row>
    <row r="21" ht="8.75" customHeight="1" hidden="1">
      <c r="A21" s="39"/>
      <c r="B21" s="40"/>
      <c r="C21" s="41"/>
      <c r="D21" s="42"/>
      <c r="E21" s="42"/>
      <c r="F21" s="42"/>
      <c r="G21" s="43"/>
      <c r="H21" s="42"/>
      <c r="I21" s="42"/>
      <c r="J21" s="42"/>
      <c r="K21" s="42"/>
      <c r="L21" s="42"/>
      <c r="M21" s="42"/>
      <c r="N21" s="44"/>
    </row>
    <row r="22" ht="8.75" customHeight="1" hidden="1">
      <c r="A22" s="51"/>
      <c r="B22" s="40"/>
      <c r="C22" s="45"/>
      <c r="D22" s="46"/>
      <c r="E22" s="46"/>
      <c r="F22" s="46"/>
      <c r="G22" s="47"/>
      <c r="H22" s="46"/>
      <c r="I22" s="46"/>
      <c r="J22" s="46"/>
      <c r="K22" s="46"/>
      <c r="L22" s="46"/>
      <c r="M22" s="46"/>
      <c r="N22" s="48"/>
    </row>
    <row r="23" ht="8.75" customHeight="1" hidden="1">
      <c r="A23" s="51"/>
      <c r="B23" s="40"/>
      <c r="C23" s="41"/>
      <c r="D23" s="42"/>
      <c r="E23" s="42"/>
      <c r="F23" s="42"/>
      <c r="G23" s="43"/>
      <c r="H23" s="42"/>
      <c r="I23" s="42"/>
      <c r="J23" s="42"/>
      <c r="K23" s="42"/>
      <c r="L23" s="42"/>
      <c r="M23" s="42"/>
      <c r="N23" s="44"/>
    </row>
    <row r="24" ht="8.75" customHeight="1" hidden="1">
      <c r="A24" s="39"/>
      <c r="B24" s="40"/>
      <c r="C24" s="45"/>
      <c r="D24" s="46"/>
      <c r="E24" s="46"/>
      <c r="F24" s="46"/>
      <c r="G24" s="47"/>
      <c r="H24" s="46"/>
      <c r="I24" s="46"/>
      <c r="J24" s="46"/>
      <c r="K24" s="46"/>
      <c r="L24" s="47"/>
      <c r="M24" s="47"/>
      <c r="N24" s="52"/>
    </row>
    <row r="25" ht="8.75" customHeight="1" hidden="1">
      <c r="A25" s="39"/>
      <c r="B25" s="40"/>
      <c r="C25" s="41"/>
      <c r="D25" s="42"/>
      <c r="E25" s="42"/>
      <c r="F25" s="42"/>
      <c r="G25" s="43"/>
      <c r="H25" s="42"/>
      <c r="I25" s="42"/>
      <c r="J25" s="42"/>
      <c r="K25" s="42"/>
      <c r="L25" s="42"/>
      <c r="M25" s="42"/>
      <c r="N25" s="44"/>
    </row>
    <row r="26" ht="8.75" customHeight="1" hidden="1">
      <c r="A26" s="39"/>
      <c r="B26" s="40"/>
      <c r="C26" s="45"/>
      <c r="D26" s="46"/>
      <c r="E26" s="46"/>
      <c r="F26" s="46"/>
      <c r="G26" s="47"/>
      <c r="H26" s="46"/>
      <c r="I26" s="46"/>
      <c r="J26" s="46"/>
      <c r="K26" s="46"/>
      <c r="L26" s="47"/>
      <c r="M26" s="47"/>
      <c r="N26" s="52"/>
    </row>
    <row r="27" ht="20.85" customHeight="1">
      <c r="A27" s="108"/>
      <c r="B27" s="54"/>
      <c r="C27" s="54"/>
      <c r="D27" s="55"/>
      <c r="E27" s="55"/>
      <c r="F27" s="55"/>
      <c r="G27" s="56"/>
      <c r="H27" s="56"/>
      <c r="I27" s="54"/>
      <c r="J27" s="57"/>
      <c r="K27" t="s" s="58">
        <v>38</v>
      </c>
      <c r="L27" s="59" cm="1">
        <f t="array" ref="L27">SUM(L1:L26)</f>
        <v>90111148.95999999</v>
      </c>
      <c r="M27" s="59" cm="1">
        <f t="array" ref="M27">SUM(M1:M26)</f>
        <v>90011710.88</v>
      </c>
      <c r="N27" s="59" cm="1">
        <f t="array" ref="N27">SUM(N1:N26)</f>
        <v>90011710.88</v>
      </c>
    </row>
    <row r="28" ht="21" customHeight="1">
      <c r="A28" s="63" cm="1">
        <f t="array" ref="A28">ROUND(IF(I28&lt;=100000000,I28*0.24%,IF(AND(I28&gt;100000000,I28&lt;=500000000),100000000*0.24%+(I28-100000000)*0.19%,IF(AND(I28&gt;500000000,I28&lt;=1000000000),100000000*0.24%+400000000*0.19%+(I28-500000000)*0.15%,IF(AND(I28&gt;1000000000,I28&lt;=5000000000),100000000*0.24%+400000000*0.19%+500000000*0.15%+(I28-1000000000)*0.12%,IF(I28&gt;5000000000,100000000*0.24%+400000000*0.19%+500000000*0.15%+4000000000*0.12%+(I28-5000000000)*0.1%,"Bingung komputer"))))),2)</f>
        <v>0</v>
      </c>
      <c r="B28" t="s" s="109">
        <v>39</v>
      </c>
      <c r="C28" s="62"/>
      <c r="D28" s="63" cm="1">
        <f t="array" ref="D28">ROUND(IF(L28&lt;=100000000,L28*0.24%,IF(AND(L28&gt;100000000,L28&lt;=500000000),100000000*0.24%+(L28-100000000)*0.19%,IF(AND(L28&gt;500000000,L28&lt;=1000000000),100000000*0.24%+400000000*0.19%+(L28-500000000)*0.15%,IF(AND(L28&gt;1000000000,L28&lt;=5000000000),100000000*0.24%+400000000*0.19%+500000000*0.15%+(L28-1000000000)*0.12%,IF(L28&gt;5000000000,100000000*0.24%+400000000*0.19%+500000000*0.15%+4000000000*0.12%+(L28-5000000000)*0.1%,"Bingung komputer"))))),2)</f>
        <v>215748.96</v>
      </c>
      <c r="E28" s="64" cm="1">
        <f t="array" ref="E28">ROUND(IF(M28&lt;=100000000,M28*0.24%,IF(AND(M28&gt;100000000,M28&lt;=500000000),100000000*0.24%+(M28-100000000)*0.19%,IF(AND(M28&gt;500000000,M28&lt;=1000000000),100000000*0.24%+400000000*0.19%+(M28-500000000)*0.15%,IF(AND(M28&gt;1000000000,M28&lt;=5000000000),100000000*0.24%+400000000*0.19%+500000000*0.15%+(M28-1000000000)*0.12%,IF(M28&gt;5000000000,100000000*0.24%+400000000*0.19%+500000000*0.15%+4000000000*0.12%+(M28-5000000000)*0.1%,"Bingung komputer"))))),2)</f>
        <v>215510.88</v>
      </c>
      <c r="F28" s="64" cm="1">
        <f t="array" ref="F28">ROUND(IF(N28&lt;=100000000,N28*0.24%,IF(AND(N28&gt;100000000,N28&lt;=500000000),100000000*0.24%+(N28-100000000)*0.19%,IF(AND(N28&gt;500000000,N28&lt;=1000000000),100000000*0.24%+400000000*0.19%+(N28-500000000)*0.15%,IF(AND(N28&gt;1000000000,N28&lt;=5000000000),100000000*0.24%+400000000*0.19%+500000000*0.15%+(N28-1000000000)*0.12%,IF(N28&gt;5000000000,100000000*0.24%+400000000*0.19%+500000000*0.15%+4000000000*0.12%+(N28-5000000000)*0.1%,"Bingung komputer"))))),2)</f>
        <v>215510.88</v>
      </c>
      <c r="G28" s="65"/>
      <c r="H28" s="66"/>
      <c r="I28" s="68"/>
      <c r="J28" s="67"/>
      <c r="K28" t="str" s="67" cm="1">
        <f t="array" ref="K28">"Jumlah Terkena Pajak "&amp;MAX(K3:K26)&amp;"% (B)"</f>
        <v>Jumlah Terkena Pajak 11,00% (B)</v>
      </c>
      <c r="L28" s="68" cm="1">
        <f t="array" ref="L28">SUMIF($K3:$K26,"&gt;0",L3:L26)</f>
        <v>89895400</v>
      </c>
      <c r="M28" s="69" cm="1">
        <f t="array" ref="M28">SUMIF($K3:$K26,"&gt;0",M3:M26)</f>
        <v>89796200</v>
      </c>
      <c r="N28" s="69" cm="1">
        <f t="array" ref="N28">SUMIF($K3:$K26,"&gt;0",N3:N26)</f>
        <v>89796200</v>
      </c>
    </row>
    <row r="29" ht="21" customHeight="1">
      <c r="A29" s="70"/>
      <c r="B29" s="71"/>
      <c r="C29" s="71"/>
      <c r="D29" s="72"/>
      <c r="E29" s="72"/>
      <c r="F29" s="71"/>
      <c r="G29" s="72"/>
      <c r="H29" s="72"/>
      <c r="I29" s="74"/>
      <c r="J29" s="73"/>
      <c r="K29" t="str" s="73" cm="1">
        <f t="array" ref="K29">"PPN (C) = "&amp;MAX(K3:K26)&amp;"% x B"</f>
        <v>PPN (C) = 11,00% x B</v>
      </c>
      <c r="L29" s="74" cm="1">
        <f t="array" ref="L29">L28*MAX($K3:$K26)%</f>
        <v>9888494</v>
      </c>
      <c r="M29" s="69" cm="1">
        <f t="array" ref="M29">M28*MAX($K3:$K26)%</f>
        <v>9877582</v>
      </c>
      <c r="N29" s="69" cm="1">
        <f t="array" ref="N29">N28*MAX($K3:$K26)%</f>
        <v>9877582</v>
      </c>
    </row>
    <row r="30" ht="21" customHeight="1">
      <c r="A30" s="70"/>
      <c r="B30" s="71"/>
      <c r="C30" s="71"/>
      <c r="D30" t="s" s="110">
        <v>116</v>
      </c>
      <c r="E30" s="111">
        <v>100000000</v>
      </c>
      <c r="F30" s="112">
        <v>99784550</v>
      </c>
      <c r="G30" s="72"/>
      <c r="H30" s="72"/>
      <c r="I30" s="71"/>
      <c r="J30" s="73"/>
      <c r="K30" t="s" s="75">
        <v>42</v>
      </c>
      <c r="L30" s="76" cm="1">
        <f t="array" ref="L30">L27+L29</f>
        <v>99999642.95999999</v>
      </c>
      <c r="M30" s="69" cm="1">
        <f t="array" ref="M30">M27+M29</f>
        <v>99889292.88</v>
      </c>
      <c r="N30" s="69" cm="1">
        <f t="array" ref="N30">N27+N29</f>
        <v>99889292.88</v>
      </c>
    </row>
    <row r="31" ht="20.5" customHeight="1">
      <c r="A31" s="70"/>
      <c r="B31" s="71"/>
      <c r="C31" s="71"/>
      <c r="D31" s="72"/>
      <c r="E31" s="72" cm="1">
        <f t="array" ref="E31">E$30-L$31</f>
        <v>357.04</v>
      </c>
      <c r="F31" s="113" cm="1">
        <f t="array" ref="F31">ROUNDDOWN(E$30-D$28,2)</f>
        <v>99784251.04000001</v>
      </c>
      <c r="G31" s="72"/>
      <c r="H31" s="72"/>
      <c r="I31" s="71"/>
      <c r="J31" s="73"/>
      <c r="K31" t="s" s="75">
        <v>43</v>
      </c>
      <c r="L31" s="68" cm="1">
        <f t="array" ref="L31">ROUNDDOWN(L30,2)</f>
        <v>99999642.95999999</v>
      </c>
      <c r="M31" s="68" cm="1">
        <f t="array" ref="M31">ROUNDDOWN(M30,2)</f>
        <v>99889292.88</v>
      </c>
      <c r="N31" s="68" cm="1">
        <f t="array" ref="N31">ROUNDDOWN(N30,-3)</f>
        <v>99889000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82.xml><?xml version="1.0" encoding="utf-8"?>
<worksheet xmlns:r="http://schemas.openxmlformats.org/officeDocument/2006/relationships" xmlns="http://schemas.openxmlformats.org/spreadsheetml/2006/main">
  <sheetPr>
    <pageSetUpPr fitToPage="1"/>
  </sheetPr>
  <dimension ref="A1:N31"/>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267" customWidth="1"/>
    <col min="2" max="2" width="43.0312" style="267" customWidth="1"/>
    <col min="3" max="3" width="2.75" style="267" customWidth="1"/>
    <col min="4" max="6" width="10.3672" style="267" customWidth="1"/>
    <col min="7" max="7" width="11.6875" style="267" customWidth="1"/>
    <col min="8" max="11" width="13.5156" style="267" customWidth="1"/>
    <col min="12" max="14" width="14.2344" style="267" customWidth="1"/>
    <col min="15" max="16384" width="16.3516" style="267"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109</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s="95">
        <v>1</v>
      </c>
      <c r="B4" t="s" s="19">
        <v>110</v>
      </c>
      <c r="C4" s="20"/>
      <c r="D4" s="21">
        <v>1</v>
      </c>
      <c r="E4" s="21" cm="1">
        <f t="array" ref="E4">D4</f>
        <v>1</v>
      </c>
      <c r="F4" s="21" cm="1">
        <f t="array" ref="F4">D4</f>
        <v>1</v>
      </c>
      <c r="G4" t="s" s="22">
        <v>19</v>
      </c>
      <c r="H4" s="21" cm="1">
        <f t="array" ref="H4">ROUNDDOWN((F$30*0.1)*100/111,-2)</f>
        <v>2831500</v>
      </c>
      <c r="I4" s="21">
        <v>2830000</v>
      </c>
      <c r="J4" s="21">
        <v>2830000</v>
      </c>
      <c r="K4" s="21">
        <v>11</v>
      </c>
      <c r="L4" s="21" cm="1">
        <f t="array" ref="L4">IF(D4&gt;0,IF($D4&lt;=0,0,D4*H4),"")</f>
        <v>2831500</v>
      </c>
      <c r="M4" s="21" cm="1">
        <f t="array" ref="M4">IF(E4&gt;0,IF($D4&lt;=0,0,ROUND(E4*I4,2)),"")</f>
        <v>2830000</v>
      </c>
      <c r="N4" s="23" cm="1">
        <f t="array" ref="N4">IF(F4&gt;0,IF($D4&lt;=0,0,ROUND(F4*J4,2)),"")</f>
        <v>2830000</v>
      </c>
    </row>
    <row r="5" ht="20.5" customHeight="1">
      <c r="A5" s="95">
        <v>2</v>
      </c>
      <c r="B5" t="s" s="19">
        <v>111</v>
      </c>
      <c r="C5" s="24"/>
      <c r="D5" s="26">
        <v>1</v>
      </c>
      <c r="E5" s="26" cm="1">
        <f t="array" ref="E5">D5</f>
        <v>1</v>
      </c>
      <c r="F5" s="26" cm="1">
        <f t="array" ref="F5">D5</f>
        <v>1</v>
      </c>
      <c r="G5" t="s" s="27">
        <v>19</v>
      </c>
      <c r="H5" s="26" cm="1">
        <f t="array" ref="H5">ROUNDDOWN((F$30*0.2)*100/111,-2)</f>
        <v>5663000</v>
      </c>
      <c r="I5" s="26">
        <v>5660000</v>
      </c>
      <c r="J5" s="26">
        <v>5660000</v>
      </c>
      <c r="K5" s="26">
        <v>11</v>
      </c>
      <c r="L5" s="26" cm="1">
        <f t="array" ref="L5">IF(D5&gt;0,IF($D5&lt;=0,0,D5*H5),"")</f>
        <v>5663000</v>
      </c>
      <c r="M5" s="26" cm="1">
        <f t="array" ref="M5">IF(E5&gt;0,IF($D5&lt;=0,0,ROUND(E5*I5,2)),"")</f>
        <v>5660000</v>
      </c>
      <c r="N5" s="28" cm="1">
        <f t="array" ref="N5">IF(F5&gt;0,IF($D5&lt;=0,0,ROUND(F5*J5,2)),"")</f>
        <v>5660000</v>
      </c>
    </row>
    <row r="6" ht="20.5" customHeight="1">
      <c r="A6" s="95">
        <v>3</v>
      </c>
      <c r="B6" t="s" s="19">
        <v>112</v>
      </c>
      <c r="C6" s="20"/>
      <c r="D6" s="21">
        <v>1</v>
      </c>
      <c r="E6" s="21" cm="1">
        <f t="array" ref="E6">D6</f>
        <v>1</v>
      </c>
      <c r="F6" s="21" cm="1">
        <f t="array" ref="F6">D6</f>
        <v>1</v>
      </c>
      <c r="G6" t="s" s="22">
        <v>19</v>
      </c>
      <c r="H6" s="21" cm="1">
        <f t="array" ref="H6">ROUNDDOWN((F$30*0.25)*100/111,-2)</f>
        <v>7078800</v>
      </c>
      <c r="I6" s="21">
        <v>7050000</v>
      </c>
      <c r="J6" s="21">
        <v>7050000</v>
      </c>
      <c r="K6" s="21">
        <v>11</v>
      </c>
      <c r="L6" s="21" cm="1">
        <f t="array" ref="L6">IF(D6&gt;0,IF($D6&lt;=0,0,D6*H6),"")</f>
        <v>7078800</v>
      </c>
      <c r="M6" s="21" cm="1">
        <f t="array" ref="M6">IF(E6&gt;0,IF($D6&lt;=0,0,ROUND(E6*I6,2)),"")</f>
        <v>7050000</v>
      </c>
      <c r="N6" s="23" cm="1">
        <f t="array" ref="N6">IF(F6&gt;0,IF($D6&lt;=0,0,ROUND(F6*J6,2)),"")</f>
        <v>7050000</v>
      </c>
    </row>
    <row r="7" ht="68.5" customHeight="1">
      <c r="A7" s="95">
        <v>5</v>
      </c>
      <c r="B7" t="s" s="19">
        <v>113</v>
      </c>
      <c r="C7" s="24"/>
      <c r="D7" s="26">
        <v>1</v>
      </c>
      <c r="E7" s="26" cm="1">
        <f t="array" ref="E7">D7</f>
        <v>1</v>
      </c>
      <c r="F7" s="26" cm="1">
        <f t="array" ref="F7">D7</f>
        <v>1</v>
      </c>
      <c r="G7" t="s" s="27">
        <v>19</v>
      </c>
      <c r="H7" s="26" cm="1">
        <f t="array" ref="H7">ROUNDDOWN((F$30*0.25)*100/111,-2)</f>
        <v>7078800</v>
      </c>
      <c r="I7" s="26">
        <v>7075000</v>
      </c>
      <c r="J7" s="26">
        <v>7075000</v>
      </c>
      <c r="K7" s="26">
        <v>11</v>
      </c>
      <c r="L7" s="26" cm="1">
        <f t="array" ref="L7">IF(D7&gt;0,IF($D7&lt;=0,0,D7*H7),"")</f>
        <v>7078800</v>
      </c>
      <c r="M7" s="26" cm="1">
        <f t="array" ref="M7">IF(E7&gt;0,IF($D7&lt;=0,0,ROUND(E7*I7,2)),"")</f>
        <v>7075000</v>
      </c>
      <c r="N7" s="28" cm="1">
        <f t="array" ref="N7">IF(F7&gt;0,IF($D7&lt;=0,0,ROUND(F7*J7,2)),"")</f>
        <v>7075000</v>
      </c>
    </row>
    <row r="8" ht="32.5" customHeight="1">
      <c r="A8" s="95">
        <v>6</v>
      </c>
      <c r="B8" t="s" s="19">
        <v>114</v>
      </c>
      <c r="C8" s="20"/>
      <c r="D8" s="21">
        <v>1</v>
      </c>
      <c r="E8" s="21" cm="1">
        <f t="array" ref="E8">D8</f>
        <v>1</v>
      </c>
      <c r="F8" s="21" cm="1">
        <f t="array" ref="F8">D8</f>
        <v>1</v>
      </c>
      <c r="G8" t="s" s="22">
        <v>19</v>
      </c>
      <c r="H8" s="21" cm="1">
        <f t="array" ref="H8">ROUNDDOWN((F$30*0.05)*100/111,-2)</f>
        <v>1415700</v>
      </c>
      <c r="I8" s="21">
        <v>1410000</v>
      </c>
      <c r="J8" s="21">
        <v>1410000</v>
      </c>
      <c r="K8" s="21">
        <v>11</v>
      </c>
      <c r="L8" s="21" cm="1">
        <f t="array" ref="L8">IF(D8&gt;0,IF($D8&lt;=0,0,D8*H8),"")</f>
        <v>1415700</v>
      </c>
      <c r="M8" s="21" cm="1">
        <f t="array" ref="M8">IF(E8&gt;0,IF($D8&lt;=0,0,ROUND(E8*I8,2)),"")</f>
        <v>1410000</v>
      </c>
      <c r="N8" s="23" cm="1">
        <f t="array" ref="N8">IF(F8&gt;0,IF($D8&lt;=0,0,ROUND(F8*J8,2)),"")</f>
        <v>1410000</v>
      </c>
    </row>
    <row r="9" ht="20.5" customHeight="1">
      <c r="A9" s="95">
        <v>7</v>
      </c>
      <c r="B9" t="s" s="19">
        <v>115</v>
      </c>
      <c r="C9" s="24"/>
      <c r="D9" s="26">
        <v>1</v>
      </c>
      <c r="E9" s="26" cm="1">
        <f t="array" ref="E9">D9</f>
        <v>1</v>
      </c>
      <c r="F9" s="26" cm="1">
        <f t="array" ref="F9">D9</f>
        <v>1</v>
      </c>
      <c r="G9" t="s" s="27">
        <v>19</v>
      </c>
      <c r="H9" s="26" cm="1">
        <f t="array" ref="H9">ROUNDDOWN((F$30*0.15)*100/111,-2)</f>
        <v>4247200</v>
      </c>
      <c r="I9" s="26">
        <v>4230000</v>
      </c>
      <c r="J9" s="26">
        <v>4230000</v>
      </c>
      <c r="K9" s="26">
        <v>11</v>
      </c>
      <c r="L9" s="26" cm="1">
        <f t="array" ref="L9">IF(D9&gt;0,IF($D9&lt;=0,0,D9*H9),"")</f>
        <v>4247200</v>
      </c>
      <c r="M9" s="26" cm="1">
        <f t="array" ref="M9">IF(E9&gt;0,IF($D9&lt;=0,0,ROUND(E9*I9,2)),"")</f>
        <v>4230000</v>
      </c>
      <c r="N9" s="28" cm="1">
        <f t="array" ref="N9">IF(F9&gt;0,IF($D9&lt;=0,0,ROUND(F9*J9,2)),"")</f>
        <v>4230000</v>
      </c>
    </row>
    <row r="10" ht="20.6" customHeight="1">
      <c r="A10" s="33">
        <v>8</v>
      </c>
      <c r="B10" t="s" s="34">
        <v>37</v>
      </c>
      <c r="C10" s="35"/>
      <c r="D10" s="36">
        <v>1</v>
      </c>
      <c r="E10" s="36" cm="1">
        <f t="array" ref="E10">D10</f>
        <v>1</v>
      </c>
      <c r="F10" s="36" cm="1">
        <f t="array" ref="F10">D10</f>
        <v>1</v>
      </c>
      <c r="G10" t="s" s="37">
        <v>19</v>
      </c>
      <c r="H10" s="36">
        <v>67956</v>
      </c>
      <c r="I10" s="36">
        <v>66000</v>
      </c>
      <c r="J10" s="36">
        <v>66000</v>
      </c>
      <c r="K10" s="36">
        <v>0</v>
      </c>
      <c r="L10" s="36" cm="1">
        <f t="array" ref="L10">IF(D10&gt;0,IF($D10&lt;=0,0,D10*H10),"")</f>
        <v>67956</v>
      </c>
      <c r="M10" s="36" cm="1">
        <f t="array" ref="M10">IF(E10&gt;0,IF($D10&lt;=0,0,ROUND(E10*I10,2)),"")</f>
        <v>66000</v>
      </c>
      <c r="N10" s="38" cm="1">
        <f t="array" ref="N10">IF(F10&gt;0,IF($D10&lt;=0,0,ROUND(F10*J10,2)),"")</f>
        <v>66000</v>
      </c>
    </row>
    <row r="11" ht="8.75" customHeight="1" hidden="1">
      <c r="A11" s="39"/>
      <c r="B11" s="40"/>
      <c r="C11" s="41"/>
      <c r="D11" s="42"/>
      <c r="E11" s="42"/>
      <c r="F11" s="42"/>
      <c r="G11" s="43"/>
      <c r="H11" s="42"/>
      <c r="I11" s="42"/>
      <c r="J11" s="42"/>
      <c r="K11" s="42"/>
      <c r="L11" s="42"/>
      <c r="M11" s="42"/>
      <c r="N11" s="44"/>
    </row>
    <row r="12" ht="8.75" customHeight="1" hidden="1">
      <c r="A12" s="39"/>
      <c r="B12" s="40"/>
      <c r="C12" s="45"/>
      <c r="D12" s="46"/>
      <c r="E12" s="46"/>
      <c r="F12" s="46"/>
      <c r="G12" s="47"/>
      <c r="H12" s="46"/>
      <c r="I12" s="46"/>
      <c r="J12" s="46"/>
      <c r="K12" s="46"/>
      <c r="L12" s="46"/>
      <c r="M12" s="46"/>
      <c r="N12" s="48"/>
    </row>
    <row r="13" ht="8.75" customHeight="1" hidden="1">
      <c r="A13" s="39"/>
      <c r="B13" s="40"/>
      <c r="C13" s="41"/>
      <c r="D13" s="42"/>
      <c r="E13" s="42"/>
      <c r="F13" s="42"/>
      <c r="G13" s="43"/>
      <c r="H13" s="42"/>
      <c r="I13" s="42"/>
      <c r="J13" s="42"/>
      <c r="K13" s="42"/>
      <c r="L13" s="42"/>
      <c r="M13" s="42"/>
      <c r="N13" s="44"/>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2"/>
      <c r="I15" s="42"/>
      <c r="J15" s="42"/>
      <c r="K15" s="42"/>
      <c r="L15" s="42"/>
      <c r="M15" s="42"/>
      <c r="N15" s="44"/>
    </row>
    <row r="16" ht="8.75" customHeight="1" hidden="1">
      <c r="A16" s="39"/>
      <c r="B16" s="40"/>
      <c r="C16" s="45"/>
      <c r="D16" s="46"/>
      <c r="E16" s="46"/>
      <c r="F16" s="46"/>
      <c r="G16" s="47"/>
      <c r="H16" s="46"/>
      <c r="I16" s="46"/>
      <c r="J16" s="46"/>
      <c r="K16" s="46"/>
      <c r="L16" s="46"/>
      <c r="M16" s="46"/>
      <c r="N16" s="48"/>
    </row>
    <row r="17" ht="8.75" customHeight="1" hidden="1">
      <c r="A17" s="39"/>
      <c r="B17" s="40"/>
      <c r="C17" s="41"/>
      <c r="D17" s="42"/>
      <c r="E17" s="42"/>
      <c r="F17" s="42"/>
      <c r="G17" s="43"/>
      <c r="H17" s="43"/>
      <c r="I17" s="43"/>
      <c r="J17" s="43"/>
      <c r="K17" s="42"/>
      <c r="L17" s="43"/>
      <c r="M17" s="43"/>
      <c r="N17" s="49"/>
    </row>
    <row r="18" ht="8.75" customHeight="1" hidden="1">
      <c r="A18" s="39"/>
      <c r="B18" s="40"/>
      <c r="C18" s="45"/>
      <c r="D18" s="46"/>
      <c r="E18" s="46"/>
      <c r="F18" s="46"/>
      <c r="G18" s="47"/>
      <c r="H18" s="50"/>
      <c r="I18" s="50"/>
      <c r="J18" s="50"/>
      <c r="K18" s="46"/>
      <c r="L18" s="46"/>
      <c r="M18" s="46"/>
      <c r="N18" s="48"/>
    </row>
    <row r="19" ht="8.75" customHeight="1" hidden="1">
      <c r="A19" s="39"/>
      <c r="B19" s="40"/>
      <c r="C19" s="41"/>
      <c r="D19" s="42"/>
      <c r="E19" s="42"/>
      <c r="F19" s="42"/>
      <c r="G19" s="43"/>
      <c r="H19" s="43"/>
      <c r="I19" s="43"/>
      <c r="J19" s="43"/>
      <c r="K19" s="42"/>
      <c r="L19" s="43"/>
      <c r="M19" s="43"/>
      <c r="N19" s="49"/>
    </row>
    <row r="20" ht="8.75" customHeight="1" hidden="1">
      <c r="A20" s="39"/>
      <c r="B20" s="40"/>
      <c r="C20" s="45"/>
      <c r="D20" s="46"/>
      <c r="E20" s="46"/>
      <c r="F20" s="46"/>
      <c r="G20" s="47"/>
      <c r="H20" s="46"/>
      <c r="I20" s="46"/>
      <c r="J20" s="46"/>
      <c r="K20" s="46"/>
      <c r="L20" s="46"/>
      <c r="M20" s="46"/>
      <c r="N20" s="48"/>
    </row>
    <row r="21" ht="8.75" customHeight="1" hidden="1">
      <c r="A21" s="39"/>
      <c r="B21" s="40"/>
      <c r="C21" s="41"/>
      <c r="D21" s="42"/>
      <c r="E21" s="42"/>
      <c r="F21" s="42"/>
      <c r="G21" s="43"/>
      <c r="H21" s="42"/>
      <c r="I21" s="42"/>
      <c r="J21" s="42"/>
      <c r="K21" s="42"/>
      <c r="L21" s="42"/>
      <c r="M21" s="42"/>
      <c r="N21" s="44"/>
    </row>
    <row r="22" ht="8.75" customHeight="1" hidden="1">
      <c r="A22" s="51"/>
      <c r="B22" s="40"/>
      <c r="C22" s="45"/>
      <c r="D22" s="46"/>
      <c r="E22" s="46"/>
      <c r="F22" s="46"/>
      <c r="G22" s="47"/>
      <c r="H22" s="46"/>
      <c r="I22" s="46"/>
      <c r="J22" s="46"/>
      <c r="K22" s="46"/>
      <c r="L22" s="46"/>
      <c r="M22" s="46"/>
      <c r="N22" s="48"/>
    </row>
    <row r="23" ht="8.75" customHeight="1" hidden="1">
      <c r="A23" s="51"/>
      <c r="B23" s="40"/>
      <c r="C23" s="41"/>
      <c r="D23" s="42"/>
      <c r="E23" s="42"/>
      <c r="F23" s="42"/>
      <c r="G23" s="43"/>
      <c r="H23" s="42"/>
      <c r="I23" s="42"/>
      <c r="J23" s="42"/>
      <c r="K23" s="42"/>
      <c r="L23" s="42"/>
      <c r="M23" s="42"/>
      <c r="N23" s="44"/>
    </row>
    <row r="24" ht="8.75" customHeight="1" hidden="1">
      <c r="A24" s="39"/>
      <c r="B24" s="40"/>
      <c r="C24" s="45"/>
      <c r="D24" s="46"/>
      <c r="E24" s="46"/>
      <c r="F24" s="46"/>
      <c r="G24" s="47"/>
      <c r="H24" s="46"/>
      <c r="I24" s="46"/>
      <c r="J24" s="46"/>
      <c r="K24" s="46"/>
      <c r="L24" s="47"/>
      <c r="M24" s="47"/>
      <c r="N24" s="52"/>
    </row>
    <row r="25" ht="8.75" customHeight="1" hidden="1">
      <c r="A25" s="39"/>
      <c r="B25" s="40"/>
      <c r="C25" s="41"/>
      <c r="D25" s="42"/>
      <c r="E25" s="42"/>
      <c r="F25" s="42"/>
      <c r="G25" s="43"/>
      <c r="H25" s="42"/>
      <c r="I25" s="42"/>
      <c r="J25" s="42"/>
      <c r="K25" s="42"/>
      <c r="L25" s="42"/>
      <c r="M25" s="42"/>
      <c r="N25" s="44"/>
    </row>
    <row r="26" ht="8.75" customHeight="1" hidden="1">
      <c r="A26" s="39"/>
      <c r="B26" s="40"/>
      <c r="C26" s="45"/>
      <c r="D26" s="46"/>
      <c r="E26" s="46"/>
      <c r="F26" s="46"/>
      <c r="G26" s="47"/>
      <c r="H26" s="46"/>
      <c r="I26" s="46"/>
      <c r="J26" s="46"/>
      <c r="K26" s="46"/>
      <c r="L26" s="47"/>
      <c r="M26" s="47"/>
      <c r="N26" s="52"/>
    </row>
    <row r="27" ht="20.85" customHeight="1">
      <c r="A27" s="108"/>
      <c r="B27" s="54"/>
      <c r="C27" s="54"/>
      <c r="D27" s="55"/>
      <c r="E27" s="55"/>
      <c r="F27" s="55"/>
      <c r="G27" s="56"/>
      <c r="H27" s="56"/>
      <c r="I27" s="54"/>
      <c r="J27" s="57"/>
      <c r="K27" t="s" s="58">
        <v>38</v>
      </c>
      <c r="L27" s="59" cm="1">
        <f t="array" ref="L27">SUM(L1:L26)</f>
        <v>28382956</v>
      </c>
      <c r="M27" s="59" cm="1">
        <f t="array" ref="M27">SUM(M1:M26)</f>
        <v>28321000</v>
      </c>
      <c r="N27" s="59" cm="1">
        <f t="array" ref="N27">SUM(N1:N26)</f>
        <v>28321000</v>
      </c>
    </row>
    <row r="28" ht="21" customHeight="1">
      <c r="A28" s="63" cm="1">
        <f t="array" ref="A28">ROUND(IF(I28&lt;=100000000,I28*0.24%,IF(AND(I28&gt;100000000,I28&lt;=500000000),100000000*0.24%+(I28-100000000)*0.19%,IF(AND(I28&gt;500000000,I28&lt;=1000000000),100000000*0.24%+400000000*0.19%+(I28-500000000)*0.15%,IF(AND(I28&gt;1000000000,I28&lt;=5000000000),100000000*0.24%+400000000*0.19%+500000000*0.15%+(I28-1000000000)*0.12%,IF(I28&gt;5000000000,100000000*0.24%+400000000*0.19%+500000000*0.15%+4000000000*0.12%+(I28-5000000000)*0.1%,"Bingung komputer"))))),2)</f>
        <v>0</v>
      </c>
      <c r="B28" t="s" s="109">
        <v>39</v>
      </c>
      <c r="C28" s="62"/>
      <c r="D28" s="63" cm="1">
        <f t="array" ref="D28">ROUND(IF(L28&lt;=100000000,L28*0.24%,IF(AND(L28&gt;100000000,L28&lt;=500000000),100000000*0.24%+(L28-100000000)*0.19%,IF(AND(L28&gt;500000000,L28&lt;=1000000000),100000000*0.24%+400000000*0.19%+(L28-500000000)*0.15%,IF(AND(L28&gt;1000000000,L28&lt;=5000000000),100000000*0.24%+400000000*0.19%+500000000*0.15%+(L28-1000000000)*0.12%,IF(L28&gt;5000000000,100000000*0.24%+400000000*0.19%+500000000*0.15%+4000000000*0.12%+(L28-5000000000)*0.1%,"Bingung komputer"))))),2)</f>
        <v>67956</v>
      </c>
      <c r="E28" s="64" cm="1">
        <f t="array" ref="E28">ROUND(IF(M28&lt;=100000000,M28*0.24%,IF(AND(M28&gt;100000000,M28&lt;=500000000),100000000*0.24%+(M28-100000000)*0.19%,IF(AND(M28&gt;500000000,M28&lt;=1000000000),100000000*0.24%+400000000*0.19%+(M28-500000000)*0.15%,IF(AND(M28&gt;1000000000,M28&lt;=5000000000),100000000*0.24%+400000000*0.19%+500000000*0.15%+(M28-1000000000)*0.12%,IF(M28&gt;5000000000,100000000*0.24%+400000000*0.19%+500000000*0.15%+4000000000*0.12%+(M28-5000000000)*0.1%,"Bingung komputer"))))),2)</f>
        <v>67812</v>
      </c>
      <c r="F28" s="64" cm="1">
        <f t="array" ref="F28">ROUND(IF(N28&lt;=100000000,N28*0.24%,IF(AND(N28&gt;100000000,N28&lt;=500000000),100000000*0.24%+(N28-100000000)*0.19%,IF(AND(N28&gt;500000000,N28&lt;=1000000000),100000000*0.24%+400000000*0.19%+(N28-500000000)*0.15%,IF(AND(N28&gt;1000000000,N28&lt;=5000000000),100000000*0.24%+400000000*0.19%+500000000*0.15%+(N28-1000000000)*0.12%,IF(N28&gt;5000000000,100000000*0.24%+400000000*0.19%+500000000*0.15%+4000000000*0.12%+(N28-5000000000)*0.1%,"Bingung komputer"))))),2)</f>
        <v>67812</v>
      </c>
      <c r="G28" s="65"/>
      <c r="H28" s="66"/>
      <c r="I28" s="68"/>
      <c r="J28" s="67"/>
      <c r="K28" t="str" s="67" cm="1">
        <f t="array" ref="K28">"Jumlah Terkena Pajak "&amp;MAX(K3:K26)&amp;"% (B)"</f>
        <v>Jumlah Terkena Pajak 11,00% (B)</v>
      </c>
      <c r="L28" s="68" cm="1">
        <f t="array" ref="L28">SUMIF($K3:$K26,"&gt;0",L3:L26)</f>
        <v>28315000</v>
      </c>
      <c r="M28" s="69" cm="1">
        <f t="array" ref="M28">SUMIF($K3:$K26,"&gt;0",M3:M26)</f>
        <v>28255000</v>
      </c>
      <c r="N28" s="69" cm="1">
        <f t="array" ref="N28">SUMIF($K3:$K26,"&gt;0",N3:N26)</f>
        <v>28255000</v>
      </c>
    </row>
    <row r="29" ht="21" customHeight="1">
      <c r="A29" s="70"/>
      <c r="B29" s="71"/>
      <c r="C29" s="71"/>
      <c r="D29" s="72"/>
      <c r="E29" s="72"/>
      <c r="F29" s="71"/>
      <c r="G29" s="72"/>
      <c r="H29" s="72"/>
      <c r="I29" s="74"/>
      <c r="J29" s="73"/>
      <c r="K29" t="str" s="73" cm="1">
        <f t="array" ref="K29">"PPN (C) = "&amp;MAX(K3:K26)&amp;"% x B"</f>
        <v>PPN (C) = 11,00% x B</v>
      </c>
      <c r="L29" s="74" cm="1">
        <f t="array" ref="L29">L28*MAX($K3:$K26)%</f>
        <v>3114650</v>
      </c>
      <c r="M29" s="69" cm="1">
        <f t="array" ref="M29">M28*MAX($K3:$K26)%</f>
        <v>3108050</v>
      </c>
      <c r="N29" s="69" cm="1">
        <f t="array" ref="N29">N28*MAX($K3:$K26)%</f>
        <v>3108050</v>
      </c>
    </row>
    <row r="30" ht="21" customHeight="1">
      <c r="A30" s="70"/>
      <c r="B30" s="71"/>
      <c r="C30" s="71"/>
      <c r="D30" t="s" s="110">
        <v>116</v>
      </c>
      <c r="E30" s="112">
        <v>31500000</v>
      </c>
      <c r="F30" s="112">
        <v>31430000</v>
      </c>
      <c r="G30" s="72"/>
      <c r="H30" s="72"/>
      <c r="I30" s="71"/>
      <c r="J30" s="73"/>
      <c r="K30" t="s" s="75">
        <v>42</v>
      </c>
      <c r="L30" s="76" cm="1">
        <f t="array" ref="L30">L27+L29</f>
        <v>31497606</v>
      </c>
      <c r="M30" s="69" cm="1">
        <f t="array" ref="M30">M27+M29</f>
        <v>31429050</v>
      </c>
      <c r="N30" s="69" cm="1">
        <f t="array" ref="N30">N27+N29</f>
        <v>31429050</v>
      </c>
    </row>
    <row r="31" ht="20.5" customHeight="1">
      <c r="A31" s="70"/>
      <c r="B31" s="71"/>
      <c r="C31" s="71"/>
      <c r="D31" s="72"/>
      <c r="E31" s="72" cm="1">
        <f t="array" ref="E31">E$30-L$31</f>
        <v>2394</v>
      </c>
      <c r="F31" s="112" cm="1">
        <f t="array" ref="F31">ROUNDDOWN(E$30-D$28,2)</f>
        <v>31432044</v>
      </c>
      <c r="G31" s="72"/>
      <c r="H31" s="72"/>
      <c r="I31" s="71"/>
      <c r="J31" s="73"/>
      <c r="K31" t="s" s="75">
        <v>43</v>
      </c>
      <c r="L31" s="68" cm="1">
        <f t="array" ref="L31">ROUNDDOWN(L30,2)</f>
        <v>31497606</v>
      </c>
      <c r="M31" s="68" cm="1">
        <f t="array" ref="M31">ROUNDDOWN(M30,2)</f>
        <v>31429050</v>
      </c>
      <c r="N31" s="68" cm="1">
        <f t="array" ref="N31">ROUNDDOWN(N30,-3)</f>
        <v>31429000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83.xml><?xml version="1.0" encoding="utf-8"?>
<worksheet xmlns:r="http://schemas.openxmlformats.org/officeDocument/2006/relationships" xmlns="http://schemas.openxmlformats.org/spreadsheetml/2006/main">
  <sheetPr>
    <pageSetUpPr fitToPage="1"/>
  </sheetPr>
  <dimension ref="A1:N30"/>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268" customWidth="1"/>
    <col min="2" max="2" width="43.0312" style="268" customWidth="1"/>
    <col min="3" max="3" width="2.75" style="268" customWidth="1"/>
    <col min="4" max="6" width="10.3672" style="268" customWidth="1"/>
    <col min="7" max="7" width="11.6875" style="268" customWidth="1"/>
    <col min="8" max="11" width="13.5156" style="268" customWidth="1"/>
    <col min="12" max="14" width="14.2344" style="268" customWidth="1"/>
    <col min="15" max="16384" width="16.3516" style="268"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109</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s="95">
        <v>1</v>
      </c>
      <c r="B4" t="s" s="19">
        <v>381</v>
      </c>
      <c r="C4" s="20"/>
      <c r="D4" s="21">
        <v>1</v>
      </c>
      <c r="E4" s="21" cm="1">
        <f t="array" ref="E4">D4</f>
        <v>1</v>
      </c>
      <c r="F4" s="21" cm="1">
        <f t="array" ref="F4">D4</f>
        <v>1</v>
      </c>
      <c r="G4" t="s" s="22">
        <v>19</v>
      </c>
      <c r="H4" s="21">
        <v>2755000</v>
      </c>
      <c r="I4" s="21">
        <v>2740000</v>
      </c>
      <c r="J4" s="21">
        <v>2740000</v>
      </c>
      <c r="K4" s="21">
        <v>11</v>
      </c>
      <c r="L4" s="21" cm="1">
        <f t="array" ref="L4">IF(D4&gt;0,IF($D4&lt;=0,0,D4*H4),"")</f>
        <v>2755000</v>
      </c>
      <c r="M4" s="21" cm="1">
        <f t="array" ref="M4">IF(E4&gt;0,IF($D4&lt;=0,0,ROUND(E4*I4,2)),"")</f>
        <v>2740000</v>
      </c>
      <c r="N4" s="23" cm="1">
        <f t="array" ref="N4">IF(F4&gt;0,IF($D4&lt;=0,0,ROUND(F4*J4,2)),"")</f>
        <v>2740000</v>
      </c>
    </row>
    <row r="5" ht="20.5" customHeight="1">
      <c r="A5" s="95">
        <v>2</v>
      </c>
      <c r="B5" t="s" s="19">
        <v>382</v>
      </c>
      <c r="C5" s="24"/>
      <c r="D5" s="26">
        <v>1</v>
      </c>
      <c r="E5" s="26" cm="1">
        <f t="array" ref="E5">D5</f>
        <v>1</v>
      </c>
      <c r="F5" s="26" cm="1">
        <f t="array" ref="F5">D5</f>
        <v>1</v>
      </c>
      <c r="G5" t="s" s="27">
        <v>19</v>
      </c>
      <c r="H5" s="26">
        <v>3690000</v>
      </c>
      <c r="I5" s="26">
        <v>3670000</v>
      </c>
      <c r="J5" s="26">
        <v>3670000</v>
      </c>
      <c r="K5" s="26">
        <v>11</v>
      </c>
      <c r="L5" s="26" cm="1">
        <f t="array" ref="L5">IF(D5&gt;0,IF($D5&lt;=0,0,D5*H5),"")</f>
        <v>3690000</v>
      </c>
      <c r="M5" s="26" cm="1">
        <f t="array" ref="M5">IF(E5&gt;0,IF($D5&lt;=0,0,ROUND(E5*I5,2)),"")</f>
        <v>3670000</v>
      </c>
      <c r="N5" s="28" cm="1">
        <f t="array" ref="N5">IF(F5&gt;0,IF($D5&lt;=0,0,ROUND(F5*J5,2)),"")</f>
        <v>3670000</v>
      </c>
    </row>
    <row r="6" ht="20.5" customHeight="1">
      <c r="A6" s="95">
        <v>3</v>
      </c>
      <c r="B6" t="s" s="19">
        <v>383</v>
      </c>
      <c r="C6" s="20"/>
      <c r="D6" s="21">
        <v>1</v>
      </c>
      <c r="E6" s="21" cm="1">
        <f t="array" ref="E6">D6</f>
        <v>1</v>
      </c>
      <c r="F6" s="21" cm="1">
        <f t="array" ref="F6">D6</f>
        <v>1</v>
      </c>
      <c r="G6" t="s" s="22">
        <v>19</v>
      </c>
      <c r="H6" s="21">
        <v>4612500</v>
      </c>
      <c r="I6" s="21">
        <v>4600000</v>
      </c>
      <c r="J6" s="21">
        <v>4600000</v>
      </c>
      <c r="K6" s="21">
        <v>11</v>
      </c>
      <c r="L6" s="21" cm="1">
        <f t="array" ref="L6">IF(D6&gt;0,IF($D6&lt;=0,0,D6*H6),"")</f>
        <v>4612500</v>
      </c>
      <c r="M6" s="21" cm="1">
        <f t="array" ref="M6">IF(E6&gt;0,IF($D6&lt;=0,0,ROUND(E6*I6,2)),"")</f>
        <v>4600000</v>
      </c>
      <c r="N6" s="23" cm="1">
        <f t="array" ref="N6">IF(F6&gt;0,IF($D6&lt;=0,0,ROUND(F6*J6,2)),"")</f>
        <v>4600000</v>
      </c>
    </row>
    <row r="7" ht="44.5" customHeight="1">
      <c r="A7" s="95">
        <v>4</v>
      </c>
      <c r="B7" t="s" s="19">
        <v>384</v>
      </c>
      <c r="C7" s="24"/>
      <c r="D7" s="26">
        <v>1</v>
      </c>
      <c r="E7" s="26" cm="1">
        <f t="array" ref="E7">D7</f>
        <v>1</v>
      </c>
      <c r="F7" s="26" cm="1">
        <f t="array" ref="F7">D7</f>
        <v>1</v>
      </c>
      <c r="G7" t="s" s="27">
        <v>19</v>
      </c>
      <c r="H7" s="26">
        <v>5535000</v>
      </c>
      <c r="I7" s="26">
        <v>5500000</v>
      </c>
      <c r="J7" s="26">
        <v>5500000</v>
      </c>
      <c r="K7" s="26">
        <v>11</v>
      </c>
      <c r="L7" s="26" cm="1">
        <f t="array" ref="L7">IF(D7&gt;0,IF($D7&lt;=0,0,D7*H7),"")</f>
        <v>5535000</v>
      </c>
      <c r="M7" s="26" cm="1">
        <f t="array" ref="M7">IF(E7&gt;0,IF($D7&lt;=0,0,ROUND(E7*I7,2)),"")</f>
        <v>5500000</v>
      </c>
      <c r="N7" s="28" cm="1">
        <f t="array" ref="N7">IF(F7&gt;0,IF($D7&lt;=0,0,ROUND(F7*J7,2)),"")</f>
        <v>5500000</v>
      </c>
    </row>
    <row r="8" ht="20.5" customHeight="1">
      <c r="A8" s="95">
        <v>5</v>
      </c>
      <c r="B8" t="s" s="19">
        <v>385</v>
      </c>
      <c r="C8" s="20"/>
      <c r="D8" s="21">
        <v>1</v>
      </c>
      <c r="E8" s="21" cm="1">
        <f t="array" ref="E8">D8</f>
        <v>1</v>
      </c>
      <c r="F8" s="21" cm="1">
        <f t="array" ref="F8">D8</f>
        <v>1</v>
      </c>
      <c r="G8" t="s" s="22">
        <v>19</v>
      </c>
      <c r="H8" s="21">
        <v>1831675</v>
      </c>
      <c r="I8" s="21">
        <v>1830000</v>
      </c>
      <c r="J8" s="21">
        <v>1830000</v>
      </c>
      <c r="K8" s="21">
        <v>11</v>
      </c>
      <c r="L8" s="21" cm="1">
        <f t="array" ref="L8">IF(D8&gt;0,IF($D8&lt;=0,0,D8*H8),"")</f>
        <v>1831675</v>
      </c>
      <c r="M8" s="21" cm="1">
        <f t="array" ref="M8">IF(E8&gt;0,IF($D8&lt;=0,0,ROUND(E8*I8,2)),"")</f>
        <v>1830000</v>
      </c>
      <c r="N8" s="23" cm="1">
        <f t="array" ref="N8">IF(F8&gt;0,IF($D8&lt;=0,0,ROUND(F8*J8,2)),"")</f>
        <v>1830000</v>
      </c>
    </row>
    <row r="9" ht="20.6" customHeight="1">
      <c r="A9" s="33">
        <v>8</v>
      </c>
      <c r="B9" t="s" s="34">
        <v>37</v>
      </c>
      <c r="C9" s="80"/>
      <c r="D9" s="81">
        <v>1</v>
      </c>
      <c r="E9" s="81" cm="1">
        <f t="array" ref="E9">D9</f>
        <v>1</v>
      </c>
      <c r="F9" s="81" cm="1">
        <f t="array" ref="F9">D9</f>
        <v>1</v>
      </c>
      <c r="G9" t="s" s="82">
        <v>19</v>
      </c>
      <c r="H9" s="81">
        <v>49083</v>
      </c>
      <c r="I9" s="81">
        <v>44016</v>
      </c>
      <c r="J9" s="81">
        <v>44016</v>
      </c>
      <c r="K9" s="81">
        <v>0</v>
      </c>
      <c r="L9" s="81" cm="1">
        <f t="array" ref="L9">IF(D9&gt;0,IF($D9&lt;=0,0,D9*H9),"")</f>
        <v>49083</v>
      </c>
      <c r="M9" s="81" cm="1">
        <f t="array" ref="M9">IF(E9&gt;0,IF($D9&lt;=0,0,ROUND(E9*I9,2)),"")</f>
        <v>44016</v>
      </c>
      <c r="N9" s="83" cm="1">
        <f t="array" ref="N9">IF(F9&gt;0,IF($D9&lt;=0,0,ROUND(F9*J9,2)),"")</f>
        <v>44016</v>
      </c>
    </row>
    <row r="10" ht="8.75" customHeight="1" hidden="1">
      <c r="A10" s="39"/>
      <c r="B10" s="40"/>
      <c r="C10" s="45"/>
      <c r="D10" s="46"/>
      <c r="E10" s="46"/>
      <c r="F10" s="46"/>
      <c r="G10" s="47"/>
      <c r="H10" s="46"/>
      <c r="I10" s="46"/>
      <c r="J10" s="46"/>
      <c r="K10" s="46"/>
      <c r="L10" s="46"/>
      <c r="M10" s="46"/>
      <c r="N10" s="48"/>
    </row>
    <row r="11" ht="8.75" customHeight="1" hidden="1">
      <c r="A11" s="39"/>
      <c r="B11" s="40"/>
      <c r="C11" s="41"/>
      <c r="D11" s="42"/>
      <c r="E11" s="42"/>
      <c r="F11" s="42"/>
      <c r="G11" s="43"/>
      <c r="H11" s="42"/>
      <c r="I11" s="42"/>
      <c r="J11" s="42"/>
      <c r="K11" s="42"/>
      <c r="L11" s="42"/>
      <c r="M11" s="42"/>
      <c r="N11" s="44"/>
    </row>
    <row r="12" ht="8.75" customHeight="1" hidden="1">
      <c r="A12" s="39"/>
      <c r="B12" s="40"/>
      <c r="C12" s="45"/>
      <c r="D12" s="46"/>
      <c r="E12" s="46"/>
      <c r="F12" s="46"/>
      <c r="G12" s="47"/>
      <c r="H12" s="46"/>
      <c r="I12" s="46"/>
      <c r="J12" s="46"/>
      <c r="K12" s="46"/>
      <c r="L12" s="46"/>
      <c r="M12" s="46"/>
      <c r="N12" s="48"/>
    </row>
    <row r="13" ht="8.75" customHeight="1" hidden="1">
      <c r="A13" s="39"/>
      <c r="B13" s="40"/>
      <c r="C13" s="41"/>
      <c r="D13" s="42"/>
      <c r="E13" s="42"/>
      <c r="F13" s="42"/>
      <c r="G13" s="43"/>
      <c r="H13" s="42"/>
      <c r="I13" s="42"/>
      <c r="J13" s="42"/>
      <c r="K13" s="42"/>
      <c r="L13" s="42"/>
      <c r="M13" s="42"/>
      <c r="N13" s="44"/>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2"/>
      <c r="I15" s="42"/>
      <c r="J15" s="42"/>
      <c r="K15" s="42"/>
      <c r="L15" s="42"/>
      <c r="M15" s="42"/>
      <c r="N15" s="44"/>
    </row>
    <row r="16" ht="8.75" customHeight="1" hidden="1">
      <c r="A16" s="39"/>
      <c r="B16" s="40"/>
      <c r="C16" s="45"/>
      <c r="D16" s="46"/>
      <c r="E16" s="46"/>
      <c r="F16" s="46"/>
      <c r="G16" s="47"/>
      <c r="H16" s="47"/>
      <c r="I16" s="47"/>
      <c r="J16" s="47"/>
      <c r="K16" s="46"/>
      <c r="L16" s="47"/>
      <c r="M16" s="47"/>
      <c r="N16" s="52"/>
    </row>
    <row r="17" ht="8.75" customHeight="1" hidden="1">
      <c r="A17" s="39"/>
      <c r="B17" s="40"/>
      <c r="C17" s="41"/>
      <c r="D17" s="42"/>
      <c r="E17" s="42"/>
      <c r="F17" s="42"/>
      <c r="G17" s="43"/>
      <c r="H17" s="84"/>
      <c r="I17" s="84"/>
      <c r="J17" s="84"/>
      <c r="K17" s="42"/>
      <c r="L17" s="42"/>
      <c r="M17" s="42"/>
      <c r="N17" s="44"/>
    </row>
    <row r="18" ht="8.75" customHeight="1" hidden="1">
      <c r="A18" s="39"/>
      <c r="B18" s="40"/>
      <c r="C18" s="45"/>
      <c r="D18" s="46"/>
      <c r="E18" s="46"/>
      <c r="F18" s="46"/>
      <c r="G18" s="47"/>
      <c r="H18" s="47"/>
      <c r="I18" s="47"/>
      <c r="J18" s="47"/>
      <c r="K18" s="46"/>
      <c r="L18" s="47"/>
      <c r="M18" s="47"/>
      <c r="N18" s="52"/>
    </row>
    <row r="19" ht="8.75" customHeight="1" hidden="1">
      <c r="A19" s="39"/>
      <c r="B19" s="40"/>
      <c r="C19" s="41"/>
      <c r="D19" s="42"/>
      <c r="E19" s="42"/>
      <c r="F19" s="42"/>
      <c r="G19" s="43"/>
      <c r="H19" s="42"/>
      <c r="I19" s="42"/>
      <c r="J19" s="42"/>
      <c r="K19" s="42"/>
      <c r="L19" s="42"/>
      <c r="M19" s="42"/>
      <c r="N19" s="44"/>
    </row>
    <row r="20" ht="8.75" customHeight="1" hidden="1">
      <c r="A20" s="39"/>
      <c r="B20" s="40"/>
      <c r="C20" s="45"/>
      <c r="D20" s="46"/>
      <c r="E20" s="46"/>
      <c r="F20" s="46"/>
      <c r="G20" s="47"/>
      <c r="H20" s="46"/>
      <c r="I20" s="46"/>
      <c r="J20" s="46"/>
      <c r="K20" s="46"/>
      <c r="L20" s="46"/>
      <c r="M20" s="46"/>
      <c r="N20" s="48"/>
    </row>
    <row r="21" ht="8.75" customHeight="1" hidden="1">
      <c r="A21" s="51"/>
      <c r="B21" s="40"/>
      <c r="C21" s="41"/>
      <c r="D21" s="42"/>
      <c r="E21" s="42"/>
      <c r="F21" s="42"/>
      <c r="G21" s="43"/>
      <c r="H21" s="42"/>
      <c r="I21" s="42"/>
      <c r="J21" s="42"/>
      <c r="K21" s="42"/>
      <c r="L21" s="42"/>
      <c r="M21" s="42"/>
      <c r="N21" s="44"/>
    </row>
    <row r="22" ht="8.75" customHeight="1" hidden="1">
      <c r="A22" s="51"/>
      <c r="B22" s="40"/>
      <c r="C22" s="45"/>
      <c r="D22" s="46"/>
      <c r="E22" s="46"/>
      <c r="F22" s="46"/>
      <c r="G22" s="47"/>
      <c r="H22" s="46"/>
      <c r="I22" s="46"/>
      <c r="J22" s="46"/>
      <c r="K22" s="46"/>
      <c r="L22" s="46"/>
      <c r="M22" s="46"/>
      <c r="N22" s="48"/>
    </row>
    <row r="23" ht="8.75" customHeight="1" hidden="1">
      <c r="A23" s="39"/>
      <c r="B23" s="40"/>
      <c r="C23" s="41"/>
      <c r="D23" s="42"/>
      <c r="E23" s="42"/>
      <c r="F23" s="42"/>
      <c r="G23" s="43"/>
      <c r="H23" s="42"/>
      <c r="I23" s="42"/>
      <c r="J23" s="42"/>
      <c r="K23" s="42"/>
      <c r="L23" s="43"/>
      <c r="M23" s="43"/>
      <c r="N23" s="49"/>
    </row>
    <row r="24" ht="8.75" customHeight="1" hidden="1">
      <c r="A24" s="39"/>
      <c r="B24" s="40"/>
      <c r="C24" s="45"/>
      <c r="D24" s="46"/>
      <c r="E24" s="46"/>
      <c r="F24" s="46"/>
      <c r="G24" s="47"/>
      <c r="H24" s="46"/>
      <c r="I24" s="46"/>
      <c r="J24" s="46"/>
      <c r="K24" s="46"/>
      <c r="L24" s="46"/>
      <c r="M24" s="46"/>
      <c r="N24" s="48"/>
    </row>
    <row r="25" ht="8.75" customHeight="1" hidden="1">
      <c r="A25" s="39"/>
      <c r="B25" s="40"/>
      <c r="C25" s="41"/>
      <c r="D25" s="42"/>
      <c r="E25" s="42"/>
      <c r="F25" s="42"/>
      <c r="G25" s="43"/>
      <c r="H25" s="42"/>
      <c r="I25" s="42"/>
      <c r="J25" s="42"/>
      <c r="K25" s="42"/>
      <c r="L25" s="43"/>
      <c r="M25" s="43"/>
      <c r="N25" s="49"/>
    </row>
    <row r="26" ht="20.85" customHeight="1">
      <c r="A26" s="108"/>
      <c r="B26" s="54"/>
      <c r="C26" s="54"/>
      <c r="D26" s="55"/>
      <c r="E26" s="55"/>
      <c r="F26" s="55"/>
      <c r="G26" s="56"/>
      <c r="H26" s="56"/>
      <c r="I26" s="54"/>
      <c r="J26" s="57"/>
      <c r="K26" t="s" s="58">
        <v>38</v>
      </c>
      <c r="L26" s="59" cm="1">
        <f t="array" ref="L26">SUM(L1:L25)</f>
        <v>18473258</v>
      </c>
      <c r="M26" s="59" cm="1">
        <f t="array" ref="M26">SUM(M1:M25)</f>
        <v>18384016</v>
      </c>
      <c r="N26" s="59" cm="1">
        <f t="array" ref="N26">SUM(N1:N25)</f>
        <v>18384016</v>
      </c>
    </row>
    <row r="27" ht="21" customHeight="1">
      <c r="A27" s="63" cm="1">
        <f t="array" ref="A27">ROUND(IF(I27&lt;=100000000,I27*0.24%,IF(AND(I27&gt;100000000,I27&lt;=500000000),100000000*0.24%+(I27-100000000)*0.19%,IF(AND(I27&gt;500000000,I27&lt;=1000000000),100000000*0.24%+400000000*0.19%+(I27-500000000)*0.15%,IF(AND(I27&gt;1000000000,I27&lt;=5000000000),100000000*0.24%+400000000*0.19%+500000000*0.15%+(I27-1000000000)*0.12%,IF(I27&gt;5000000000,100000000*0.24%+400000000*0.19%+500000000*0.15%+4000000000*0.12%+(I27-5000000000)*0.1%,"Bingung komputer"))))),2)</f>
        <v>0</v>
      </c>
      <c r="B27" t="s" s="109">
        <v>39</v>
      </c>
      <c r="C27" s="62"/>
      <c r="D27" s="63" cm="1">
        <f t="array" ref="D27">ROUND(IF(L27&lt;=100000000,L27*0.24%,IF(AND(L27&gt;100000000,L27&lt;=500000000),100000000*0.24%+(L27-100000000)*0.19%,IF(AND(L27&gt;500000000,L27&lt;=1000000000),100000000*0.24%+400000000*0.19%+(L27-500000000)*0.15%,IF(AND(L27&gt;1000000000,L27&lt;=5000000000),100000000*0.24%+400000000*0.19%+500000000*0.15%+(L27-1000000000)*0.12%,IF(L27&gt;5000000000,100000000*0.24%+400000000*0.19%+500000000*0.15%+4000000000*0.12%+(L27-5000000000)*0.1%,"Bingung komputer"))))),2)</f>
        <v>44218.02</v>
      </c>
      <c r="E27" s="64" cm="1">
        <f t="array" ref="E27">ROUND(IF(M27&lt;=100000000,M27*0.24%,IF(AND(M27&gt;100000000,M27&lt;=500000000),100000000*0.24%+(M27-100000000)*0.19%,IF(AND(M27&gt;500000000,M27&lt;=1000000000),100000000*0.24%+400000000*0.19%+(M27-500000000)*0.15%,IF(AND(M27&gt;1000000000,M27&lt;=5000000000),100000000*0.24%+400000000*0.19%+500000000*0.15%+(M27-1000000000)*0.12%,IF(M27&gt;5000000000,100000000*0.24%+400000000*0.19%+500000000*0.15%+4000000000*0.12%+(M27-5000000000)*0.1%,"Bingung komputer"))))),2)</f>
        <v>44016</v>
      </c>
      <c r="F27" s="64" cm="1">
        <f t="array" ref="F27">ROUND(IF(N27&lt;=100000000,N27*0.24%,IF(AND(N27&gt;100000000,N27&lt;=500000000),100000000*0.24%+(N27-100000000)*0.19%,IF(AND(N27&gt;500000000,N27&lt;=1000000000),100000000*0.24%+400000000*0.19%+(N27-500000000)*0.15%,IF(AND(N27&gt;1000000000,N27&lt;=5000000000),100000000*0.24%+400000000*0.19%+500000000*0.15%+(N27-1000000000)*0.12%,IF(N27&gt;5000000000,100000000*0.24%+400000000*0.19%+500000000*0.15%+4000000000*0.12%+(N27-5000000000)*0.1%,"Bingung komputer"))))),2)</f>
        <v>44016</v>
      </c>
      <c r="G27" s="65"/>
      <c r="H27" s="66"/>
      <c r="I27" s="68"/>
      <c r="J27" s="67"/>
      <c r="K27" t="str" s="67" cm="1">
        <f t="array" ref="K27">"Jumlah Terkena Pajak "&amp;MAX(K3:K25)&amp;"% (B)"</f>
        <v>Jumlah Terkena Pajak 11,00% (B)</v>
      </c>
      <c r="L27" s="68" cm="1">
        <f t="array" ref="L27">SUMIF($K3:$K25,"&gt;0",L3:L25)</f>
        <v>18424175</v>
      </c>
      <c r="M27" s="69" cm="1">
        <f t="array" ref="M27">SUMIF($K3:$K25,"&gt;0",M3:M25)</f>
        <v>18340000</v>
      </c>
      <c r="N27" s="69" cm="1">
        <f t="array" ref="N27">SUMIF($K3:$K25,"&gt;0",N3:N25)</f>
        <v>18340000</v>
      </c>
    </row>
    <row r="28" ht="21" customHeight="1">
      <c r="A28" s="70"/>
      <c r="B28" s="71"/>
      <c r="C28" s="71"/>
      <c r="D28" s="72"/>
      <c r="E28" s="72"/>
      <c r="F28" s="71"/>
      <c r="G28" s="72"/>
      <c r="H28" s="72"/>
      <c r="I28" s="74"/>
      <c r="J28" s="73"/>
      <c r="K28" t="str" s="73" cm="1">
        <f t="array" ref="K28">"PPN (C) = "&amp;MAX(K3:K25)&amp;"% x B"</f>
        <v>PPN (C) = 11,00% x B</v>
      </c>
      <c r="L28" s="74" cm="1">
        <f t="array" ref="L28">L27*MAX($K3:$K25)%</f>
        <v>2026659.25</v>
      </c>
      <c r="M28" s="69" cm="1">
        <f t="array" ref="M28">M27*MAX($K3:$K25)%</f>
        <v>2017400</v>
      </c>
      <c r="N28" s="69" cm="1">
        <f t="array" ref="N28">N27*MAX($K3:$K25)%</f>
        <v>2017400</v>
      </c>
    </row>
    <row r="29" ht="21" customHeight="1">
      <c r="A29" s="70"/>
      <c r="B29" s="71"/>
      <c r="C29" s="71"/>
      <c r="D29" t="s" s="110">
        <v>116</v>
      </c>
      <c r="E29" s="112">
        <v>31500000</v>
      </c>
      <c r="F29" s="112">
        <v>31430000</v>
      </c>
      <c r="G29" s="72"/>
      <c r="H29" s="72"/>
      <c r="I29" s="71"/>
      <c r="J29" s="73"/>
      <c r="K29" t="s" s="75">
        <v>42</v>
      </c>
      <c r="L29" s="76" cm="1">
        <f t="array" ref="L29">L26+L28</f>
        <v>20499917.25</v>
      </c>
      <c r="M29" s="69" cm="1">
        <f t="array" ref="M29">M26+M28</f>
        <v>20401416</v>
      </c>
      <c r="N29" s="69" cm="1">
        <f t="array" ref="N29">N26+N28</f>
        <v>20401416</v>
      </c>
    </row>
    <row r="30" ht="20.5" customHeight="1">
      <c r="A30" s="70"/>
      <c r="B30" s="71"/>
      <c r="C30" s="71"/>
      <c r="D30" s="72"/>
      <c r="E30" s="72" cm="1">
        <f t="array" ref="E30">E$29-L$30</f>
        <v>11000082.75</v>
      </c>
      <c r="F30" s="113" cm="1">
        <f t="array" ref="F30">ROUNDDOWN(E$29-D$27,2)</f>
        <v>31455781.98</v>
      </c>
      <c r="G30" s="72"/>
      <c r="H30" s="72"/>
      <c r="I30" s="71"/>
      <c r="J30" s="73"/>
      <c r="K30" t="s" s="75">
        <v>43</v>
      </c>
      <c r="L30" s="68" cm="1">
        <f t="array" ref="L30">ROUNDDOWN(L29,2)</f>
        <v>20499917.25</v>
      </c>
      <c r="M30" s="68" cm="1">
        <f t="array" ref="M30">ROUNDDOWN(M29,2)</f>
        <v>20401416</v>
      </c>
      <c r="N30" s="68" cm="1">
        <f t="array" ref="N30">ROUNDDOWN(N29,-3)</f>
        <v>20401000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84.xml><?xml version="1.0" encoding="utf-8"?>
<worksheet xmlns:r="http://schemas.openxmlformats.org/officeDocument/2006/relationships" xmlns="http://schemas.openxmlformats.org/spreadsheetml/2006/main">
  <sheetPr>
    <pageSetUpPr fitToPage="1"/>
  </sheetPr>
  <dimension ref="A1:N31"/>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269" customWidth="1"/>
    <col min="2" max="2" width="43.0312" style="269" customWidth="1"/>
    <col min="3" max="3" width="2.75" style="269" customWidth="1"/>
    <col min="4" max="6" width="10.3672" style="269" customWidth="1"/>
    <col min="7" max="7" width="11.6875" style="269" customWidth="1"/>
    <col min="8" max="11" width="13.5156" style="269" customWidth="1"/>
    <col min="12" max="14" width="14.2344" style="269" customWidth="1"/>
    <col min="15" max="16384" width="16.3516" style="269"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109</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s="95">
        <v>1</v>
      </c>
      <c r="B4" t="s" s="19">
        <v>110</v>
      </c>
      <c r="C4" s="20"/>
      <c r="D4" s="21">
        <v>1</v>
      </c>
      <c r="E4" s="21" cm="1">
        <f t="array" ref="E4">D4</f>
        <v>1</v>
      </c>
      <c r="F4" s="21" cm="1">
        <f t="array" ref="F4">D4</f>
        <v>1</v>
      </c>
      <c r="G4" t="s" s="22">
        <v>19</v>
      </c>
      <c r="H4" s="21" cm="1">
        <f t="array" ref="H4">ROUNDDOWN((F$30*0.1)*100/111,-2)</f>
        <v>8989500</v>
      </c>
      <c r="I4" s="21">
        <v>8960000</v>
      </c>
      <c r="J4" s="21">
        <v>8960000</v>
      </c>
      <c r="K4" s="21">
        <v>11</v>
      </c>
      <c r="L4" s="21" cm="1">
        <f t="array" ref="L4">IF(D4&gt;0,IF($D4&lt;=0,0,D4*H4),"")</f>
        <v>8989500</v>
      </c>
      <c r="M4" s="21" cm="1">
        <f t="array" ref="M4">IF(E4&gt;0,IF($D4&lt;=0,0,ROUND(E4*I4,2)),"")</f>
        <v>8960000</v>
      </c>
      <c r="N4" s="23" cm="1">
        <f t="array" ref="N4">IF(F4&gt;0,IF($D4&lt;=0,0,ROUND(F4*J4,2)),"")</f>
        <v>8960000</v>
      </c>
    </row>
    <row r="5" ht="20.5" customHeight="1">
      <c r="A5" s="95">
        <v>2</v>
      </c>
      <c r="B5" t="s" s="19">
        <v>111</v>
      </c>
      <c r="C5" s="24"/>
      <c r="D5" s="26">
        <v>1</v>
      </c>
      <c r="E5" s="26" cm="1">
        <f t="array" ref="E5">D5</f>
        <v>1</v>
      </c>
      <c r="F5" s="26" cm="1">
        <f t="array" ref="F5">D5</f>
        <v>1</v>
      </c>
      <c r="G5" t="s" s="27">
        <v>19</v>
      </c>
      <c r="H5" s="26" cm="1">
        <f t="array" ref="H5">ROUNDDOWN((F$30*0.2)*100/111,-2)</f>
        <v>17979100</v>
      </c>
      <c r="I5" s="26">
        <v>17990000</v>
      </c>
      <c r="J5" s="26">
        <v>17990000</v>
      </c>
      <c r="K5" s="26">
        <v>11</v>
      </c>
      <c r="L5" s="26" cm="1">
        <f t="array" ref="L5">IF(D5&gt;0,IF($D5&lt;=0,0,D5*H5),"")</f>
        <v>17979100</v>
      </c>
      <c r="M5" s="26" cm="1">
        <f t="array" ref="M5">IF(E5&gt;0,IF($D5&lt;=0,0,ROUND(E5*I5,2)),"")</f>
        <v>17990000</v>
      </c>
      <c r="N5" s="28" cm="1">
        <f t="array" ref="N5">IF(F5&gt;0,IF($D5&lt;=0,0,ROUND(F5*J5,2)),"")</f>
        <v>17990000</v>
      </c>
    </row>
    <row r="6" ht="20.5" customHeight="1">
      <c r="A6" s="95">
        <v>3</v>
      </c>
      <c r="B6" t="s" s="19">
        <v>112</v>
      </c>
      <c r="C6" s="20"/>
      <c r="D6" s="21">
        <v>1</v>
      </c>
      <c r="E6" s="21" cm="1">
        <f t="array" ref="E6">D6</f>
        <v>1</v>
      </c>
      <c r="F6" s="21" cm="1">
        <f t="array" ref="F6">D6</f>
        <v>1</v>
      </c>
      <c r="G6" t="s" s="22">
        <v>19</v>
      </c>
      <c r="H6" s="21" cm="1">
        <f t="array" ref="H6">ROUNDDOWN((F$30*0.25)*100/111,-2)</f>
        <v>22473900</v>
      </c>
      <c r="I6" s="21">
        <v>22450000</v>
      </c>
      <c r="J6" s="21">
        <v>22450000</v>
      </c>
      <c r="K6" s="21">
        <v>11</v>
      </c>
      <c r="L6" s="21" cm="1">
        <f t="array" ref="L6">IF(D6&gt;0,IF($D6&lt;=0,0,D6*H6),"")</f>
        <v>22473900</v>
      </c>
      <c r="M6" s="21" cm="1">
        <f t="array" ref="M6">IF(E6&gt;0,IF($D6&lt;=0,0,ROUND(E6*I6,2)),"")</f>
        <v>22450000</v>
      </c>
      <c r="N6" s="23" cm="1">
        <f t="array" ref="N6">IF(F6&gt;0,IF($D6&lt;=0,0,ROUND(F6*J6,2)),"")</f>
        <v>22450000</v>
      </c>
    </row>
    <row r="7" ht="68.5" customHeight="1">
      <c r="A7" s="95">
        <v>5</v>
      </c>
      <c r="B7" t="s" s="19">
        <v>113</v>
      </c>
      <c r="C7" s="24"/>
      <c r="D7" s="26">
        <v>1</v>
      </c>
      <c r="E7" s="26" cm="1">
        <f t="array" ref="E7">D7</f>
        <v>1</v>
      </c>
      <c r="F7" s="26" cm="1">
        <f t="array" ref="F7">D7</f>
        <v>1</v>
      </c>
      <c r="G7" t="s" s="27">
        <v>19</v>
      </c>
      <c r="H7" s="26" cm="1">
        <f t="array" ref="H7">ROUNDDOWN((F$30*0.25)*100/111,-2)</f>
        <v>22473900</v>
      </c>
      <c r="I7" s="26">
        <v>22460000</v>
      </c>
      <c r="J7" s="26">
        <v>22460000</v>
      </c>
      <c r="K7" s="26">
        <v>11</v>
      </c>
      <c r="L7" s="26" cm="1">
        <f t="array" ref="L7">IF(D7&gt;0,IF($D7&lt;=0,0,D7*H7),"")</f>
        <v>22473900</v>
      </c>
      <c r="M7" s="26" cm="1">
        <f t="array" ref="M7">IF(E7&gt;0,IF($D7&lt;=0,0,ROUND(E7*I7,2)),"")</f>
        <v>22460000</v>
      </c>
      <c r="N7" s="28" cm="1">
        <f t="array" ref="N7">IF(F7&gt;0,IF($D7&lt;=0,0,ROUND(F7*J7,2)),"")</f>
        <v>22460000</v>
      </c>
    </row>
    <row r="8" ht="32.5" customHeight="1">
      <c r="A8" s="95">
        <v>6</v>
      </c>
      <c r="B8" t="s" s="19">
        <v>114</v>
      </c>
      <c r="C8" s="20"/>
      <c r="D8" s="21">
        <v>1</v>
      </c>
      <c r="E8" s="21" cm="1">
        <f t="array" ref="E8">D8</f>
        <v>1</v>
      </c>
      <c r="F8" s="21" cm="1">
        <f t="array" ref="F8">D8</f>
        <v>1</v>
      </c>
      <c r="G8" t="s" s="22">
        <v>19</v>
      </c>
      <c r="H8" s="21" cm="1">
        <f t="array" ref="H8">ROUNDDOWN((F$30*0.05)*100/111,-2)</f>
        <v>4494700</v>
      </c>
      <c r="I8" s="21">
        <v>4476200</v>
      </c>
      <c r="J8" s="21">
        <v>4476200</v>
      </c>
      <c r="K8" s="21">
        <v>11</v>
      </c>
      <c r="L8" s="21" cm="1">
        <f t="array" ref="L8">IF(D8&gt;0,IF($D8&lt;=0,0,D8*H8),"")</f>
        <v>4494700</v>
      </c>
      <c r="M8" s="21" cm="1">
        <f t="array" ref="M8">IF(E8&gt;0,IF($D8&lt;=0,0,ROUND(E8*I8,2)),"")</f>
        <v>4476200</v>
      </c>
      <c r="N8" s="23" cm="1">
        <f t="array" ref="N8">IF(F8&gt;0,IF($D8&lt;=0,0,ROUND(F8*J8,2)),"")</f>
        <v>4476200</v>
      </c>
    </row>
    <row r="9" ht="20.5" customHeight="1">
      <c r="A9" s="95">
        <v>7</v>
      </c>
      <c r="B9" t="s" s="19">
        <v>115</v>
      </c>
      <c r="C9" s="24"/>
      <c r="D9" s="26">
        <v>1</v>
      </c>
      <c r="E9" s="26" cm="1">
        <f t="array" ref="E9">D9</f>
        <v>1</v>
      </c>
      <c r="F9" s="26" cm="1">
        <f t="array" ref="F9">D9</f>
        <v>1</v>
      </c>
      <c r="G9" t="s" s="27">
        <v>19</v>
      </c>
      <c r="H9" s="26" cm="1">
        <f t="array" ref="H9">ROUNDDOWN((F$30*0.15)*100/111,-2)</f>
        <v>13484300</v>
      </c>
      <c r="I9" s="26">
        <v>13460000</v>
      </c>
      <c r="J9" s="26">
        <v>13460000</v>
      </c>
      <c r="K9" s="26">
        <v>11</v>
      </c>
      <c r="L9" s="26" cm="1">
        <f t="array" ref="L9">IF(D9&gt;0,IF($D9&lt;=0,0,D9*H9),"")</f>
        <v>13484300</v>
      </c>
      <c r="M9" s="26" cm="1">
        <f t="array" ref="M9">IF(E9&gt;0,IF($D9&lt;=0,0,ROUND(E9*I9,2)),"")</f>
        <v>13460000</v>
      </c>
      <c r="N9" s="28" cm="1">
        <f t="array" ref="N9">IF(F9&gt;0,IF($D9&lt;=0,0,ROUND(F9*J9,2)),"")</f>
        <v>13460000</v>
      </c>
    </row>
    <row r="10" ht="20.6" customHeight="1">
      <c r="A10" s="33">
        <v>8</v>
      </c>
      <c r="B10" t="s" s="34">
        <v>37</v>
      </c>
      <c r="C10" s="35"/>
      <c r="D10" s="36">
        <v>1</v>
      </c>
      <c r="E10" s="36" cm="1">
        <f t="array" ref="E10">D10</f>
        <v>1</v>
      </c>
      <c r="F10" s="36" cm="1">
        <f t="array" ref="F10">D10</f>
        <v>1</v>
      </c>
      <c r="G10" t="s" s="37">
        <v>19</v>
      </c>
      <c r="H10" s="36">
        <v>215748.96</v>
      </c>
      <c r="I10" s="36">
        <v>215510.88</v>
      </c>
      <c r="J10" s="36">
        <v>215510.88</v>
      </c>
      <c r="K10" s="36">
        <v>0</v>
      </c>
      <c r="L10" s="36" cm="1">
        <f t="array" ref="L10">IF(D10&gt;0,IF($D10&lt;=0,0,D10*H10),"")</f>
        <v>215748.96</v>
      </c>
      <c r="M10" s="36" cm="1">
        <f t="array" ref="M10">IF(E10&gt;0,IF($D10&lt;=0,0,ROUND(E10*I10,2)),"")</f>
        <v>215510.88</v>
      </c>
      <c r="N10" s="38" cm="1">
        <f t="array" ref="N10">IF(F10&gt;0,IF($D10&lt;=0,0,ROUND(F10*J10,2)),"")</f>
        <v>215510.88</v>
      </c>
    </row>
    <row r="11" ht="8.75" customHeight="1" hidden="1">
      <c r="A11" s="39"/>
      <c r="B11" s="40"/>
      <c r="C11" s="41"/>
      <c r="D11" s="42"/>
      <c r="E11" s="42"/>
      <c r="F11" s="42"/>
      <c r="G11" s="43"/>
      <c r="H11" s="42"/>
      <c r="I11" s="42"/>
      <c r="J11" s="42"/>
      <c r="K11" s="42"/>
      <c r="L11" s="42"/>
      <c r="M11" s="42"/>
      <c r="N11" s="44"/>
    </row>
    <row r="12" ht="8.75" customHeight="1" hidden="1">
      <c r="A12" s="39"/>
      <c r="B12" s="40"/>
      <c r="C12" s="45"/>
      <c r="D12" s="46"/>
      <c r="E12" s="46"/>
      <c r="F12" s="46"/>
      <c r="G12" s="47"/>
      <c r="H12" s="46"/>
      <c r="I12" s="46"/>
      <c r="J12" s="46"/>
      <c r="K12" s="46"/>
      <c r="L12" s="46"/>
      <c r="M12" s="46"/>
      <c r="N12" s="48"/>
    </row>
    <row r="13" ht="8.75" customHeight="1" hidden="1">
      <c r="A13" s="39"/>
      <c r="B13" s="40"/>
      <c r="C13" s="41"/>
      <c r="D13" s="42"/>
      <c r="E13" s="42"/>
      <c r="F13" s="42"/>
      <c r="G13" s="43"/>
      <c r="H13" s="42"/>
      <c r="I13" s="42"/>
      <c r="J13" s="42"/>
      <c r="K13" s="42"/>
      <c r="L13" s="42"/>
      <c r="M13" s="42"/>
      <c r="N13" s="44"/>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2"/>
      <c r="I15" s="42"/>
      <c r="J15" s="42"/>
      <c r="K15" s="42"/>
      <c r="L15" s="42"/>
      <c r="M15" s="42"/>
      <c r="N15" s="44"/>
    </row>
    <row r="16" ht="8.75" customHeight="1" hidden="1">
      <c r="A16" s="39"/>
      <c r="B16" s="40"/>
      <c r="C16" s="45"/>
      <c r="D16" s="46"/>
      <c r="E16" s="46"/>
      <c r="F16" s="46"/>
      <c r="G16" s="47"/>
      <c r="H16" s="46"/>
      <c r="I16" s="46"/>
      <c r="J16" s="46"/>
      <c r="K16" s="46"/>
      <c r="L16" s="46"/>
      <c r="M16" s="46"/>
      <c r="N16" s="48"/>
    </row>
    <row r="17" ht="8.75" customHeight="1" hidden="1">
      <c r="A17" s="39"/>
      <c r="B17" s="40"/>
      <c r="C17" s="41"/>
      <c r="D17" s="42"/>
      <c r="E17" s="42"/>
      <c r="F17" s="42"/>
      <c r="G17" s="43"/>
      <c r="H17" s="43"/>
      <c r="I17" s="43"/>
      <c r="J17" s="43"/>
      <c r="K17" s="42"/>
      <c r="L17" s="43"/>
      <c r="M17" s="43"/>
      <c r="N17" s="49"/>
    </row>
    <row r="18" ht="8.75" customHeight="1" hidden="1">
      <c r="A18" s="39"/>
      <c r="B18" s="40"/>
      <c r="C18" s="45"/>
      <c r="D18" s="46"/>
      <c r="E18" s="46"/>
      <c r="F18" s="46"/>
      <c r="G18" s="47"/>
      <c r="H18" s="50"/>
      <c r="I18" s="50"/>
      <c r="J18" s="50"/>
      <c r="K18" s="46"/>
      <c r="L18" s="46"/>
      <c r="M18" s="46"/>
      <c r="N18" s="48"/>
    </row>
    <row r="19" ht="8.75" customHeight="1" hidden="1">
      <c r="A19" s="39"/>
      <c r="B19" s="40"/>
      <c r="C19" s="41"/>
      <c r="D19" s="42"/>
      <c r="E19" s="42"/>
      <c r="F19" s="42"/>
      <c r="G19" s="43"/>
      <c r="H19" s="43"/>
      <c r="I19" s="43"/>
      <c r="J19" s="43"/>
      <c r="K19" s="42"/>
      <c r="L19" s="43"/>
      <c r="M19" s="43"/>
      <c r="N19" s="49"/>
    </row>
    <row r="20" ht="8.75" customHeight="1" hidden="1">
      <c r="A20" s="39"/>
      <c r="B20" s="40"/>
      <c r="C20" s="45"/>
      <c r="D20" s="46"/>
      <c r="E20" s="46"/>
      <c r="F20" s="46"/>
      <c r="G20" s="47"/>
      <c r="H20" s="46"/>
      <c r="I20" s="46"/>
      <c r="J20" s="46"/>
      <c r="K20" s="46"/>
      <c r="L20" s="46"/>
      <c r="M20" s="46"/>
      <c r="N20" s="48"/>
    </row>
    <row r="21" ht="8.75" customHeight="1" hidden="1">
      <c r="A21" s="39"/>
      <c r="B21" s="40"/>
      <c r="C21" s="41"/>
      <c r="D21" s="42"/>
      <c r="E21" s="42"/>
      <c r="F21" s="42"/>
      <c r="G21" s="43"/>
      <c r="H21" s="42"/>
      <c r="I21" s="42"/>
      <c r="J21" s="42"/>
      <c r="K21" s="42"/>
      <c r="L21" s="42"/>
      <c r="M21" s="42"/>
      <c r="N21" s="44"/>
    </row>
    <row r="22" ht="8.75" customHeight="1" hidden="1">
      <c r="A22" s="51"/>
      <c r="B22" s="40"/>
      <c r="C22" s="45"/>
      <c r="D22" s="46"/>
      <c r="E22" s="46"/>
      <c r="F22" s="46"/>
      <c r="G22" s="47"/>
      <c r="H22" s="46"/>
      <c r="I22" s="46"/>
      <c r="J22" s="46"/>
      <c r="K22" s="46"/>
      <c r="L22" s="46"/>
      <c r="M22" s="46"/>
      <c r="N22" s="48"/>
    </row>
    <row r="23" ht="8.75" customHeight="1" hidden="1">
      <c r="A23" s="51"/>
      <c r="B23" s="40"/>
      <c r="C23" s="41"/>
      <c r="D23" s="42"/>
      <c r="E23" s="42"/>
      <c r="F23" s="42"/>
      <c r="G23" s="43"/>
      <c r="H23" s="42"/>
      <c r="I23" s="42"/>
      <c r="J23" s="42"/>
      <c r="K23" s="42"/>
      <c r="L23" s="42"/>
      <c r="M23" s="42"/>
      <c r="N23" s="44"/>
    </row>
    <row r="24" ht="8.75" customHeight="1" hidden="1">
      <c r="A24" s="39"/>
      <c r="B24" s="40"/>
      <c r="C24" s="45"/>
      <c r="D24" s="46"/>
      <c r="E24" s="46"/>
      <c r="F24" s="46"/>
      <c r="G24" s="47"/>
      <c r="H24" s="46"/>
      <c r="I24" s="46"/>
      <c r="J24" s="46"/>
      <c r="K24" s="46"/>
      <c r="L24" s="47"/>
      <c r="M24" s="47"/>
      <c r="N24" s="52"/>
    </row>
    <row r="25" ht="8.75" customHeight="1" hidden="1">
      <c r="A25" s="39"/>
      <c r="B25" s="40"/>
      <c r="C25" s="41"/>
      <c r="D25" s="42"/>
      <c r="E25" s="42"/>
      <c r="F25" s="42"/>
      <c r="G25" s="43"/>
      <c r="H25" s="42"/>
      <c r="I25" s="42"/>
      <c r="J25" s="42"/>
      <c r="K25" s="42"/>
      <c r="L25" s="42"/>
      <c r="M25" s="42"/>
      <c r="N25" s="44"/>
    </row>
    <row r="26" ht="8.75" customHeight="1" hidden="1">
      <c r="A26" s="39"/>
      <c r="B26" s="40"/>
      <c r="C26" s="45"/>
      <c r="D26" s="46"/>
      <c r="E26" s="46"/>
      <c r="F26" s="46"/>
      <c r="G26" s="47"/>
      <c r="H26" s="46"/>
      <c r="I26" s="46"/>
      <c r="J26" s="46"/>
      <c r="K26" s="46"/>
      <c r="L26" s="47"/>
      <c r="M26" s="47"/>
      <c r="N26" s="52"/>
    </row>
    <row r="27" ht="20.85" customHeight="1">
      <c r="A27" s="108"/>
      <c r="B27" s="54"/>
      <c r="C27" s="54"/>
      <c r="D27" s="55"/>
      <c r="E27" s="55"/>
      <c r="F27" s="55"/>
      <c r="G27" s="56"/>
      <c r="H27" s="56"/>
      <c r="I27" s="54"/>
      <c r="J27" s="57"/>
      <c r="K27" t="s" s="58">
        <v>38</v>
      </c>
      <c r="L27" s="59" cm="1">
        <f t="array" ref="L27">SUM(L1:L26)</f>
        <v>90111148.95999999</v>
      </c>
      <c r="M27" s="59" cm="1">
        <f t="array" ref="M27">SUM(M1:M26)</f>
        <v>90011710.88</v>
      </c>
      <c r="N27" s="59" cm="1">
        <f t="array" ref="N27">SUM(N1:N26)</f>
        <v>90011710.88</v>
      </c>
    </row>
    <row r="28" ht="21" customHeight="1">
      <c r="A28" s="63" cm="1">
        <f t="array" ref="A28">ROUND(IF(I28&lt;=100000000,I28*0.24%,IF(AND(I28&gt;100000000,I28&lt;=500000000),100000000*0.24%+(I28-100000000)*0.19%,IF(AND(I28&gt;500000000,I28&lt;=1000000000),100000000*0.24%+400000000*0.19%+(I28-500000000)*0.15%,IF(AND(I28&gt;1000000000,I28&lt;=5000000000),100000000*0.24%+400000000*0.19%+500000000*0.15%+(I28-1000000000)*0.12%,IF(I28&gt;5000000000,100000000*0.24%+400000000*0.19%+500000000*0.15%+4000000000*0.12%+(I28-5000000000)*0.1%,"Bingung komputer"))))),2)</f>
        <v>0</v>
      </c>
      <c r="B28" t="s" s="109">
        <v>39</v>
      </c>
      <c r="C28" s="62"/>
      <c r="D28" s="63" cm="1">
        <f t="array" ref="D28">ROUND(IF(L28&lt;=100000000,L28*0.24%,IF(AND(L28&gt;100000000,L28&lt;=500000000),100000000*0.24%+(L28-100000000)*0.19%,IF(AND(L28&gt;500000000,L28&lt;=1000000000),100000000*0.24%+400000000*0.19%+(L28-500000000)*0.15%,IF(AND(L28&gt;1000000000,L28&lt;=5000000000),100000000*0.24%+400000000*0.19%+500000000*0.15%+(L28-1000000000)*0.12%,IF(L28&gt;5000000000,100000000*0.24%+400000000*0.19%+500000000*0.15%+4000000000*0.12%+(L28-5000000000)*0.1%,"Bingung komputer"))))),2)</f>
        <v>215748.96</v>
      </c>
      <c r="E28" s="64" cm="1">
        <f t="array" ref="E28">ROUND(IF(M28&lt;=100000000,M28*0.24%,IF(AND(M28&gt;100000000,M28&lt;=500000000),100000000*0.24%+(M28-100000000)*0.19%,IF(AND(M28&gt;500000000,M28&lt;=1000000000),100000000*0.24%+400000000*0.19%+(M28-500000000)*0.15%,IF(AND(M28&gt;1000000000,M28&lt;=5000000000),100000000*0.24%+400000000*0.19%+500000000*0.15%+(M28-1000000000)*0.12%,IF(M28&gt;5000000000,100000000*0.24%+400000000*0.19%+500000000*0.15%+4000000000*0.12%+(M28-5000000000)*0.1%,"Bingung komputer"))))),2)</f>
        <v>215510.88</v>
      </c>
      <c r="F28" s="64" cm="1">
        <f t="array" ref="F28">ROUND(IF(N28&lt;=100000000,N28*0.24%,IF(AND(N28&gt;100000000,N28&lt;=500000000),100000000*0.24%+(N28-100000000)*0.19%,IF(AND(N28&gt;500000000,N28&lt;=1000000000),100000000*0.24%+400000000*0.19%+(N28-500000000)*0.15%,IF(AND(N28&gt;1000000000,N28&lt;=5000000000),100000000*0.24%+400000000*0.19%+500000000*0.15%+(N28-1000000000)*0.12%,IF(N28&gt;5000000000,100000000*0.24%+400000000*0.19%+500000000*0.15%+4000000000*0.12%+(N28-5000000000)*0.1%,"Bingung komputer"))))),2)</f>
        <v>215510.88</v>
      </c>
      <c r="G28" s="65"/>
      <c r="H28" s="66"/>
      <c r="I28" s="68"/>
      <c r="J28" s="67"/>
      <c r="K28" t="str" s="67" cm="1">
        <f t="array" ref="K28">"Jumlah Terkena Pajak "&amp;MAX(K3:K26)&amp;"% (B)"</f>
        <v>Jumlah Terkena Pajak 11,00% (B)</v>
      </c>
      <c r="L28" s="68" cm="1">
        <f t="array" ref="L28">SUMIF($K3:$K26,"&gt;0",L3:L26)</f>
        <v>89895400</v>
      </c>
      <c r="M28" s="69" cm="1">
        <f t="array" ref="M28">SUMIF($K3:$K26,"&gt;0",M3:M26)</f>
        <v>89796200</v>
      </c>
      <c r="N28" s="69" cm="1">
        <f t="array" ref="N28">SUMIF($K3:$K26,"&gt;0",N3:N26)</f>
        <v>89796200</v>
      </c>
    </row>
    <row r="29" ht="21" customHeight="1">
      <c r="A29" s="70"/>
      <c r="B29" s="71"/>
      <c r="C29" s="71"/>
      <c r="D29" s="72"/>
      <c r="E29" s="72"/>
      <c r="F29" s="71"/>
      <c r="G29" s="72"/>
      <c r="H29" s="72"/>
      <c r="I29" s="74"/>
      <c r="J29" s="73"/>
      <c r="K29" t="str" s="73" cm="1">
        <f t="array" ref="K29">"PPN (C) = "&amp;MAX(K3:K26)&amp;"% x B"</f>
        <v>PPN (C) = 11,00% x B</v>
      </c>
      <c r="L29" s="74" cm="1">
        <f t="array" ref="L29">L28*MAX($K3:$K26)%</f>
        <v>9888494</v>
      </c>
      <c r="M29" s="69" cm="1">
        <f t="array" ref="M29">M28*MAX($K3:$K26)%</f>
        <v>9877582</v>
      </c>
      <c r="N29" s="69" cm="1">
        <f t="array" ref="N29">N28*MAX($K3:$K26)%</f>
        <v>9877582</v>
      </c>
    </row>
    <row r="30" ht="21" customHeight="1">
      <c r="A30" s="70"/>
      <c r="B30" s="71"/>
      <c r="C30" s="71"/>
      <c r="D30" t="s" s="110">
        <v>116</v>
      </c>
      <c r="E30" s="111">
        <v>100000000</v>
      </c>
      <c r="F30" s="112">
        <v>99784550</v>
      </c>
      <c r="G30" s="72"/>
      <c r="H30" s="72"/>
      <c r="I30" s="71"/>
      <c r="J30" s="73"/>
      <c r="K30" t="s" s="75">
        <v>42</v>
      </c>
      <c r="L30" s="76" cm="1">
        <f t="array" ref="L30">L27+L29</f>
        <v>99999642.95999999</v>
      </c>
      <c r="M30" s="69" cm="1">
        <f t="array" ref="M30">M27+M29</f>
        <v>99889292.88</v>
      </c>
      <c r="N30" s="69" cm="1">
        <f t="array" ref="N30">N27+N29</f>
        <v>99889292.88</v>
      </c>
    </row>
    <row r="31" ht="20.5" customHeight="1">
      <c r="A31" s="70"/>
      <c r="B31" s="71"/>
      <c r="C31" s="71"/>
      <c r="D31" s="72"/>
      <c r="E31" s="72" cm="1">
        <f t="array" ref="E31">E$30-L$31</f>
        <v>357.04</v>
      </c>
      <c r="F31" s="113" cm="1">
        <f t="array" ref="F31">ROUNDDOWN(E$30-D$28,2)</f>
        <v>99784251.04000001</v>
      </c>
      <c r="G31" s="72"/>
      <c r="H31" s="72"/>
      <c r="I31" s="71"/>
      <c r="J31" s="73"/>
      <c r="K31" t="s" s="75">
        <v>43</v>
      </c>
      <c r="L31" s="68" cm="1">
        <f t="array" ref="L31">ROUNDDOWN(L30,2)</f>
        <v>99999642.95999999</v>
      </c>
      <c r="M31" s="68" cm="1">
        <f t="array" ref="M31">ROUNDDOWN(M30,2)</f>
        <v>99889292.88</v>
      </c>
      <c r="N31" s="68" cm="1">
        <f t="array" ref="N31">ROUNDDOWN(N30,-3)</f>
        <v>99889000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85.xml><?xml version="1.0" encoding="utf-8"?>
<worksheet xmlns:r="http://schemas.openxmlformats.org/officeDocument/2006/relationships" xmlns="http://schemas.openxmlformats.org/spreadsheetml/2006/main">
  <sheetPr>
    <pageSetUpPr fitToPage="1"/>
  </sheetPr>
  <dimension ref="A1:N31"/>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270" customWidth="1"/>
    <col min="2" max="2" width="43.0312" style="270" customWidth="1"/>
    <col min="3" max="3" width="2.75" style="270" customWidth="1"/>
    <col min="4" max="6" width="10.3672" style="270" customWidth="1"/>
    <col min="7" max="7" width="11.6875" style="270" customWidth="1"/>
    <col min="8" max="11" width="13.5156" style="270" customWidth="1"/>
    <col min="12" max="14" width="14.2344" style="270" customWidth="1"/>
    <col min="15" max="16384" width="16.3516" style="270"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109</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s="95">
        <v>1</v>
      </c>
      <c r="B4" t="s" s="19">
        <v>110</v>
      </c>
      <c r="C4" s="20"/>
      <c r="D4" s="21">
        <v>1</v>
      </c>
      <c r="E4" s="21" cm="1">
        <f t="array" ref="E4">D4</f>
        <v>1</v>
      </c>
      <c r="F4" s="21" cm="1">
        <f t="array" ref="F4">D4</f>
        <v>1</v>
      </c>
      <c r="G4" t="s" s="22">
        <v>19</v>
      </c>
      <c r="H4" s="21" cm="1">
        <f t="array" ref="H4">ROUNDDOWN((F$30*0.1)*100/111,-2)</f>
        <v>4045200</v>
      </c>
      <c r="I4" s="21">
        <v>4040000</v>
      </c>
      <c r="J4" s="21">
        <v>4040000</v>
      </c>
      <c r="K4" s="21">
        <v>11</v>
      </c>
      <c r="L4" s="21" cm="1">
        <f t="array" ref="L4">IF(D4&gt;0,IF($D4&lt;=0,0,D4*H4),"")</f>
        <v>4045200</v>
      </c>
      <c r="M4" s="21" cm="1">
        <f t="array" ref="M4">IF(E4&gt;0,IF($D4&lt;=0,0,ROUND(E4*I4,2)),"")</f>
        <v>4040000</v>
      </c>
      <c r="N4" s="23" cm="1">
        <f t="array" ref="N4">IF(F4&gt;0,IF($D4&lt;=0,0,ROUND(F4*J4,2)),"")</f>
        <v>4040000</v>
      </c>
    </row>
    <row r="5" ht="20.5" customHeight="1">
      <c r="A5" s="95">
        <v>2</v>
      </c>
      <c r="B5" t="s" s="19">
        <v>111</v>
      </c>
      <c r="C5" s="24"/>
      <c r="D5" s="26">
        <v>1</v>
      </c>
      <c r="E5" s="26" cm="1">
        <f t="array" ref="E5">D5</f>
        <v>1</v>
      </c>
      <c r="F5" s="26" cm="1">
        <f t="array" ref="F5">D5</f>
        <v>1</v>
      </c>
      <c r="G5" t="s" s="27">
        <v>19</v>
      </c>
      <c r="H5" s="26" cm="1">
        <f t="array" ref="H5">ROUNDDOWN((F$30*0.2)*100/111,-2)</f>
        <v>8090500</v>
      </c>
      <c r="I5" s="26">
        <v>8050000</v>
      </c>
      <c r="J5" s="26">
        <v>8050000</v>
      </c>
      <c r="K5" s="26">
        <v>11</v>
      </c>
      <c r="L5" s="26" cm="1">
        <f t="array" ref="L5">IF(D5&gt;0,IF($D5&lt;=0,0,D5*H5),"")</f>
        <v>8090500</v>
      </c>
      <c r="M5" s="26" cm="1">
        <f t="array" ref="M5">IF(E5&gt;0,IF($D5&lt;=0,0,ROUND(E5*I5,2)),"")</f>
        <v>8050000</v>
      </c>
      <c r="N5" s="28" cm="1">
        <f t="array" ref="N5">IF(F5&gt;0,IF($D5&lt;=0,0,ROUND(F5*J5,2)),"")</f>
        <v>8050000</v>
      </c>
    </row>
    <row r="6" ht="20.5" customHeight="1">
      <c r="A6" s="95">
        <v>3</v>
      </c>
      <c r="B6" t="s" s="19">
        <v>112</v>
      </c>
      <c r="C6" s="20"/>
      <c r="D6" s="21">
        <v>1</v>
      </c>
      <c r="E6" s="21" cm="1">
        <f t="array" ref="E6">D6</f>
        <v>1</v>
      </c>
      <c r="F6" s="21" cm="1">
        <f t="array" ref="F6">D6</f>
        <v>1</v>
      </c>
      <c r="G6" t="s" s="22">
        <v>19</v>
      </c>
      <c r="H6" s="21" cm="1">
        <f t="array" ref="H6">ROUNDDOWN((F$30*0.25)*100/111,-2)</f>
        <v>10113100</v>
      </c>
      <c r="I6" s="21">
        <v>10100000</v>
      </c>
      <c r="J6" s="21">
        <v>10100000</v>
      </c>
      <c r="K6" s="21">
        <v>11</v>
      </c>
      <c r="L6" s="21" cm="1">
        <f t="array" ref="L6">IF(D6&gt;0,IF($D6&lt;=0,0,D6*H6),"")</f>
        <v>10113100</v>
      </c>
      <c r="M6" s="21" cm="1">
        <f t="array" ref="M6">IF(E6&gt;0,IF($D6&lt;=0,0,ROUND(E6*I6,2)),"")</f>
        <v>10100000</v>
      </c>
      <c r="N6" s="23" cm="1">
        <f t="array" ref="N6">IF(F6&gt;0,IF($D6&lt;=0,0,ROUND(F6*J6,2)),"")</f>
        <v>10100000</v>
      </c>
    </row>
    <row r="7" ht="68.5" customHeight="1">
      <c r="A7" s="95">
        <v>5</v>
      </c>
      <c r="B7" t="s" s="19">
        <v>113</v>
      </c>
      <c r="C7" s="24"/>
      <c r="D7" s="26">
        <v>1</v>
      </c>
      <c r="E7" s="26" cm="1">
        <f t="array" ref="E7">D7</f>
        <v>1</v>
      </c>
      <c r="F7" s="26" cm="1">
        <f t="array" ref="F7">D7</f>
        <v>1</v>
      </c>
      <c r="G7" t="s" s="27">
        <v>19</v>
      </c>
      <c r="H7" s="26" cm="1">
        <f t="array" ref="H7">ROUNDDOWN((F$30*0.25)*100/111,-2)</f>
        <v>10113100</v>
      </c>
      <c r="I7" s="26">
        <v>10115000</v>
      </c>
      <c r="J7" s="26">
        <v>10115000</v>
      </c>
      <c r="K7" s="26">
        <v>11</v>
      </c>
      <c r="L7" s="26" cm="1">
        <f t="array" ref="L7">IF(D7&gt;0,IF($D7&lt;=0,0,D7*H7),"")</f>
        <v>10113100</v>
      </c>
      <c r="M7" s="26" cm="1">
        <f t="array" ref="M7">IF(E7&gt;0,IF($D7&lt;=0,0,ROUND(E7*I7,2)),"")</f>
        <v>10115000</v>
      </c>
      <c r="N7" s="28" cm="1">
        <f t="array" ref="N7">IF(F7&gt;0,IF($D7&lt;=0,0,ROUND(F7*J7,2)),"")</f>
        <v>10115000</v>
      </c>
    </row>
    <row r="8" ht="32.5" customHeight="1">
      <c r="A8" s="95">
        <v>6</v>
      </c>
      <c r="B8" t="s" s="19">
        <v>114</v>
      </c>
      <c r="C8" s="20"/>
      <c r="D8" s="21">
        <v>1</v>
      </c>
      <c r="E8" s="21" cm="1">
        <f t="array" ref="E8">D8</f>
        <v>1</v>
      </c>
      <c r="F8" s="21" cm="1">
        <f t="array" ref="F8">D8</f>
        <v>1</v>
      </c>
      <c r="G8" t="s" s="22">
        <v>19</v>
      </c>
      <c r="H8" s="21" cm="1">
        <f t="array" ref="H8">ROUNDDOWN((F$30*0.05)*100/111,-2)</f>
        <v>2022600</v>
      </c>
      <c r="I8" s="21">
        <v>2020000</v>
      </c>
      <c r="J8" s="21">
        <v>2020000</v>
      </c>
      <c r="K8" s="21">
        <v>11</v>
      </c>
      <c r="L8" s="21" cm="1">
        <f t="array" ref="L8">IF(D8&gt;0,IF($D8&lt;=0,0,D8*H8),"")</f>
        <v>2022600</v>
      </c>
      <c r="M8" s="21" cm="1">
        <f t="array" ref="M8">IF(E8&gt;0,IF($D8&lt;=0,0,ROUND(E8*I8,2)),"")</f>
        <v>2020000</v>
      </c>
      <c r="N8" s="23" cm="1">
        <f t="array" ref="N8">IF(F8&gt;0,IF($D8&lt;=0,0,ROUND(F8*J8,2)),"")</f>
        <v>2020000</v>
      </c>
    </row>
    <row r="9" ht="20.5" customHeight="1">
      <c r="A9" s="95">
        <v>7</v>
      </c>
      <c r="B9" t="s" s="19">
        <v>115</v>
      </c>
      <c r="C9" s="24"/>
      <c r="D9" s="26">
        <v>1</v>
      </c>
      <c r="E9" s="26" cm="1">
        <f t="array" ref="E9">D9</f>
        <v>1</v>
      </c>
      <c r="F9" s="26" cm="1">
        <f t="array" ref="F9">D9</f>
        <v>1</v>
      </c>
      <c r="G9" t="s" s="27">
        <v>19</v>
      </c>
      <c r="H9" s="26" cm="1">
        <f t="array" ref="H9">ROUNDDOWN((F$30*0.15)*100/111,-2)</f>
        <v>6067900</v>
      </c>
      <c r="I9" s="26">
        <v>6065000</v>
      </c>
      <c r="J9" s="26">
        <v>6065000</v>
      </c>
      <c r="K9" s="26">
        <v>11</v>
      </c>
      <c r="L9" s="26" cm="1">
        <f t="array" ref="L9">IF(D9&gt;0,IF($D9&lt;=0,0,D9*H9),"")</f>
        <v>6067900</v>
      </c>
      <c r="M9" s="26" cm="1">
        <f t="array" ref="M9">IF(E9&gt;0,IF($D9&lt;=0,0,ROUND(E9*I9,2)),"")</f>
        <v>6065000</v>
      </c>
      <c r="N9" s="28" cm="1">
        <f t="array" ref="N9">IF(F9&gt;0,IF($D9&lt;=0,0,ROUND(F9*J9,2)),"")</f>
        <v>6065000</v>
      </c>
    </row>
    <row r="10" ht="20.6" customHeight="1">
      <c r="A10" s="33">
        <v>8</v>
      </c>
      <c r="B10" t="s" s="34">
        <v>37</v>
      </c>
      <c r="C10" s="35"/>
      <c r="D10" s="36">
        <v>1</v>
      </c>
      <c r="E10" s="36" cm="1">
        <f t="array" ref="E10">D10</f>
        <v>1</v>
      </c>
      <c r="F10" s="36" cm="1">
        <f t="array" ref="F10">D10</f>
        <v>1</v>
      </c>
      <c r="G10" t="s" s="37">
        <v>19</v>
      </c>
      <c r="H10" s="36">
        <v>97085.759999999995</v>
      </c>
      <c r="I10" s="36">
        <v>96936</v>
      </c>
      <c r="J10" s="36">
        <v>96936</v>
      </c>
      <c r="K10" s="36">
        <v>0</v>
      </c>
      <c r="L10" s="36" cm="1">
        <f t="array" ref="L10">IF(D10&gt;0,IF($D10&lt;=0,0,D10*H10),"")</f>
        <v>97085.759999999995</v>
      </c>
      <c r="M10" s="36" cm="1">
        <f t="array" ref="M10">IF(E10&gt;0,IF($D10&lt;=0,0,ROUND(E10*I10,2)),"")</f>
        <v>96936</v>
      </c>
      <c r="N10" s="38" cm="1">
        <f t="array" ref="N10">IF(F10&gt;0,IF($D10&lt;=0,0,ROUND(F10*J10,2)),"")</f>
        <v>96936</v>
      </c>
    </row>
    <row r="11" ht="8.75" customHeight="1" hidden="1">
      <c r="A11" s="39"/>
      <c r="B11" s="40"/>
      <c r="C11" s="41"/>
      <c r="D11" s="42"/>
      <c r="E11" s="42"/>
      <c r="F11" s="42"/>
      <c r="G11" s="43"/>
      <c r="H11" s="42"/>
      <c r="I11" s="42"/>
      <c r="J11" s="42"/>
      <c r="K11" s="42"/>
      <c r="L11" s="42"/>
      <c r="M11" s="42"/>
      <c r="N11" s="44"/>
    </row>
    <row r="12" ht="8.75" customHeight="1" hidden="1">
      <c r="A12" s="39"/>
      <c r="B12" s="40"/>
      <c r="C12" s="45"/>
      <c r="D12" s="46"/>
      <c r="E12" s="46"/>
      <c r="F12" s="46"/>
      <c r="G12" s="47"/>
      <c r="H12" s="46"/>
      <c r="I12" s="46"/>
      <c r="J12" s="46"/>
      <c r="K12" s="46"/>
      <c r="L12" s="46"/>
      <c r="M12" s="46"/>
      <c r="N12" s="48"/>
    </row>
    <row r="13" ht="8.75" customHeight="1" hidden="1">
      <c r="A13" s="39"/>
      <c r="B13" s="40"/>
      <c r="C13" s="41"/>
      <c r="D13" s="42"/>
      <c r="E13" s="42"/>
      <c r="F13" s="42"/>
      <c r="G13" s="43"/>
      <c r="H13" s="42"/>
      <c r="I13" s="42"/>
      <c r="J13" s="42"/>
      <c r="K13" s="42"/>
      <c r="L13" s="42"/>
      <c r="M13" s="42"/>
      <c r="N13" s="44"/>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2"/>
      <c r="I15" s="42"/>
      <c r="J15" s="42"/>
      <c r="K15" s="42"/>
      <c r="L15" s="42"/>
      <c r="M15" s="42"/>
      <c r="N15" s="44"/>
    </row>
    <row r="16" ht="8.75" customHeight="1" hidden="1">
      <c r="A16" s="39"/>
      <c r="B16" s="40"/>
      <c r="C16" s="45"/>
      <c r="D16" s="46"/>
      <c r="E16" s="46"/>
      <c r="F16" s="46"/>
      <c r="G16" s="47"/>
      <c r="H16" s="46"/>
      <c r="I16" s="46"/>
      <c r="J16" s="46"/>
      <c r="K16" s="46"/>
      <c r="L16" s="46"/>
      <c r="M16" s="46"/>
      <c r="N16" s="48"/>
    </row>
    <row r="17" ht="8.75" customHeight="1" hidden="1">
      <c r="A17" s="39"/>
      <c r="B17" s="40"/>
      <c r="C17" s="41"/>
      <c r="D17" s="42"/>
      <c r="E17" s="42"/>
      <c r="F17" s="42"/>
      <c r="G17" s="43"/>
      <c r="H17" s="43"/>
      <c r="I17" s="43"/>
      <c r="J17" s="43"/>
      <c r="K17" s="42"/>
      <c r="L17" s="43"/>
      <c r="M17" s="43"/>
      <c r="N17" s="49"/>
    </row>
    <row r="18" ht="8.75" customHeight="1" hidden="1">
      <c r="A18" s="39"/>
      <c r="B18" s="40"/>
      <c r="C18" s="45"/>
      <c r="D18" s="46"/>
      <c r="E18" s="46"/>
      <c r="F18" s="46"/>
      <c r="G18" s="47"/>
      <c r="H18" s="50"/>
      <c r="I18" s="50"/>
      <c r="J18" s="50"/>
      <c r="K18" s="46"/>
      <c r="L18" s="46"/>
      <c r="M18" s="46"/>
      <c r="N18" s="48"/>
    </row>
    <row r="19" ht="8.75" customHeight="1" hidden="1">
      <c r="A19" s="39"/>
      <c r="B19" s="40"/>
      <c r="C19" s="41"/>
      <c r="D19" s="42"/>
      <c r="E19" s="42"/>
      <c r="F19" s="42"/>
      <c r="G19" s="43"/>
      <c r="H19" s="43"/>
      <c r="I19" s="43"/>
      <c r="J19" s="43"/>
      <c r="K19" s="42"/>
      <c r="L19" s="43"/>
      <c r="M19" s="43"/>
      <c r="N19" s="49"/>
    </row>
    <row r="20" ht="8.75" customHeight="1" hidden="1">
      <c r="A20" s="39"/>
      <c r="B20" s="40"/>
      <c r="C20" s="45"/>
      <c r="D20" s="46"/>
      <c r="E20" s="46"/>
      <c r="F20" s="46"/>
      <c r="G20" s="47"/>
      <c r="H20" s="46"/>
      <c r="I20" s="46"/>
      <c r="J20" s="46"/>
      <c r="K20" s="46"/>
      <c r="L20" s="46"/>
      <c r="M20" s="46"/>
      <c r="N20" s="48"/>
    </row>
    <row r="21" ht="8.75" customHeight="1" hidden="1">
      <c r="A21" s="39"/>
      <c r="B21" s="40"/>
      <c r="C21" s="41"/>
      <c r="D21" s="42"/>
      <c r="E21" s="42"/>
      <c r="F21" s="42"/>
      <c r="G21" s="43"/>
      <c r="H21" s="42"/>
      <c r="I21" s="42"/>
      <c r="J21" s="42"/>
      <c r="K21" s="42"/>
      <c r="L21" s="42"/>
      <c r="M21" s="42"/>
      <c r="N21" s="44"/>
    </row>
    <row r="22" ht="8.75" customHeight="1" hidden="1">
      <c r="A22" s="51"/>
      <c r="B22" s="40"/>
      <c r="C22" s="45"/>
      <c r="D22" s="46"/>
      <c r="E22" s="46"/>
      <c r="F22" s="46"/>
      <c r="G22" s="47"/>
      <c r="H22" s="46"/>
      <c r="I22" s="46"/>
      <c r="J22" s="46"/>
      <c r="K22" s="46"/>
      <c r="L22" s="46"/>
      <c r="M22" s="46"/>
      <c r="N22" s="48"/>
    </row>
    <row r="23" ht="8.75" customHeight="1" hidden="1">
      <c r="A23" s="51"/>
      <c r="B23" s="40"/>
      <c r="C23" s="41"/>
      <c r="D23" s="42"/>
      <c r="E23" s="42"/>
      <c r="F23" s="42"/>
      <c r="G23" s="43"/>
      <c r="H23" s="42"/>
      <c r="I23" s="42"/>
      <c r="J23" s="42"/>
      <c r="K23" s="42"/>
      <c r="L23" s="42"/>
      <c r="M23" s="42"/>
      <c r="N23" s="44"/>
    </row>
    <row r="24" ht="8.75" customHeight="1" hidden="1">
      <c r="A24" s="39"/>
      <c r="B24" s="40"/>
      <c r="C24" s="45"/>
      <c r="D24" s="46"/>
      <c r="E24" s="46"/>
      <c r="F24" s="46"/>
      <c r="G24" s="47"/>
      <c r="H24" s="46"/>
      <c r="I24" s="46"/>
      <c r="J24" s="46"/>
      <c r="K24" s="46"/>
      <c r="L24" s="47"/>
      <c r="M24" s="47"/>
      <c r="N24" s="52"/>
    </row>
    <row r="25" ht="8.75" customHeight="1" hidden="1">
      <c r="A25" s="39"/>
      <c r="B25" s="40"/>
      <c r="C25" s="41"/>
      <c r="D25" s="42"/>
      <c r="E25" s="42"/>
      <c r="F25" s="42"/>
      <c r="G25" s="43"/>
      <c r="H25" s="42"/>
      <c r="I25" s="42"/>
      <c r="J25" s="42"/>
      <c r="K25" s="42"/>
      <c r="L25" s="42"/>
      <c r="M25" s="42"/>
      <c r="N25" s="44"/>
    </row>
    <row r="26" ht="8.75" customHeight="1" hidden="1">
      <c r="A26" s="39"/>
      <c r="B26" s="40"/>
      <c r="C26" s="45"/>
      <c r="D26" s="46"/>
      <c r="E26" s="46"/>
      <c r="F26" s="46"/>
      <c r="G26" s="47"/>
      <c r="H26" s="46"/>
      <c r="I26" s="46"/>
      <c r="J26" s="46"/>
      <c r="K26" s="46"/>
      <c r="L26" s="47"/>
      <c r="M26" s="47"/>
      <c r="N26" s="52"/>
    </row>
    <row r="27" ht="20.85" customHeight="1">
      <c r="A27" s="108"/>
      <c r="B27" s="54"/>
      <c r="C27" s="54"/>
      <c r="D27" s="55"/>
      <c r="E27" s="55"/>
      <c r="F27" s="55"/>
      <c r="G27" s="56"/>
      <c r="H27" s="56"/>
      <c r="I27" s="54"/>
      <c r="J27" s="57"/>
      <c r="K27" t="s" s="58">
        <v>38</v>
      </c>
      <c r="L27" s="59" cm="1">
        <f t="array" ref="L27">SUM(L1:L26)</f>
        <v>40549485.76</v>
      </c>
      <c r="M27" s="59" cm="1">
        <f t="array" ref="M27">SUM(M1:M26)</f>
        <v>40486936</v>
      </c>
      <c r="N27" s="59" cm="1">
        <f t="array" ref="N27">SUM(N1:N26)</f>
        <v>40486936</v>
      </c>
    </row>
    <row r="28" ht="21" customHeight="1">
      <c r="A28" s="63" cm="1">
        <f t="array" ref="A28">ROUND(IF(I28&lt;=100000000,I28*0.24%,IF(AND(I28&gt;100000000,I28&lt;=500000000),100000000*0.24%+(I28-100000000)*0.19%,IF(AND(I28&gt;500000000,I28&lt;=1000000000),100000000*0.24%+400000000*0.19%+(I28-500000000)*0.15%,IF(AND(I28&gt;1000000000,I28&lt;=5000000000),100000000*0.24%+400000000*0.19%+500000000*0.15%+(I28-1000000000)*0.12%,IF(I28&gt;5000000000,100000000*0.24%+400000000*0.19%+500000000*0.15%+4000000000*0.12%+(I28-5000000000)*0.1%,"Bingung komputer"))))),2)</f>
        <v>0</v>
      </c>
      <c r="B28" t="s" s="109">
        <v>39</v>
      </c>
      <c r="C28" s="62"/>
      <c r="D28" s="63" cm="1">
        <f t="array" ref="D28">ROUND(IF(L28&lt;=100000000,L28*0.24%,IF(AND(L28&gt;100000000,L28&lt;=500000000),100000000*0.24%+(L28-100000000)*0.19%,IF(AND(L28&gt;500000000,L28&lt;=1000000000),100000000*0.24%+400000000*0.19%+(L28-500000000)*0.15%,IF(AND(L28&gt;1000000000,L28&lt;=5000000000),100000000*0.24%+400000000*0.19%+500000000*0.15%+(L28-1000000000)*0.12%,IF(L28&gt;5000000000,100000000*0.24%+400000000*0.19%+500000000*0.15%+4000000000*0.12%+(L28-5000000000)*0.1%,"Bingung komputer"))))),2)</f>
        <v>97085.759999999995</v>
      </c>
      <c r="E28" s="64" cm="1">
        <f t="array" ref="E28">ROUND(IF(M28&lt;=100000000,M28*0.24%,IF(AND(M28&gt;100000000,M28&lt;=500000000),100000000*0.24%+(M28-100000000)*0.19%,IF(AND(M28&gt;500000000,M28&lt;=1000000000),100000000*0.24%+400000000*0.19%+(M28-500000000)*0.15%,IF(AND(M28&gt;1000000000,M28&lt;=5000000000),100000000*0.24%+400000000*0.19%+500000000*0.15%+(M28-1000000000)*0.12%,IF(M28&gt;5000000000,100000000*0.24%+400000000*0.19%+500000000*0.15%+4000000000*0.12%+(M28-5000000000)*0.1%,"Bingung komputer"))))),2)</f>
        <v>96936</v>
      </c>
      <c r="F28" s="64" cm="1">
        <f t="array" ref="F28">ROUND(IF(N28&lt;=100000000,N28*0.24%,IF(AND(N28&gt;100000000,N28&lt;=500000000),100000000*0.24%+(N28-100000000)*0.19%,IF(AND(N28&gt;500000000,N28&lt;=1000000000),100000000*0.24%+400000000*0.19%+(N28-500000000)*0.15%,IF(AND(N28&gt;1000000000,N28&lt;=5000000000),100000000*0.24%+400000000*0.19%+500000000*0.15%+(N28-1000000000)*0.12%,IF(N28&gt;5000000000,100000000*0.24%+400000000*0.19%+500000000*0.15%+4000000000*0.12%+(N28-5000000000)*0.1%,"Bingung komputer"))))),2)</f>
        <v>96936</v>
      </c>
      <c r="G28" s="65"/>
      <c r="H28" s="66"/>
      <c r="I28" s="68"/>
      <c r="J28" s="67"/>
      <c r="K28" t="str" s="67" cm="1">
        <f t="array" ref="K28">"Jumlah Terkena Pajak "&amp;MAX(K3:K26)&amp;"% (B)"</f>
        <v>Jumlah Terkena Pajak 11,00% (B)</v>
      </c>
      <c r="L28" s="68" cm="1">
        <f t="array" ref="L28">SUMIF($K3:$K26,"&gt;0",L3:L26)</f>
        <v>40452400</v>
      </c>
      <c r="M28" s="69" cm="1">
        <f t="array" ref="M28">SUMIF($K3:$K26,"&gt;0",M3:M26)</f>
        <v>40390000</v>
      </c>
      <c r="N28" s="69" cm="1">
        <f t="array" ref="N28">SUMIF($K3:$K26,"&gt;0",N3:N26)</f>
        <v>40390000</v>
      </c>
    </row>
    <row r="29" ht="21" customHeight="1">
      <c r="A29" s="70"/>
      <c r="B29" s="71"/>
      <c r="C29" s="71"/>
      <c r="D29" s="72"/>
      <c r="E29" s="72"/>
      <c r="F29" s="71"/>
      <c r="G29" s="72"/>
      <c r="H29" s="72"/>
      <c r="I29" s="74"/>
      <c r="J29" s="73"/>
      <c r="K29" t="str" s="73" cm="1">
        <f t="array" ref="K29">"PPN (C) = "&amp;MAX(K3:K26)&amp;"% x B"</f>
        <v>PPN (C) = 11,00% x B</v>
      </c>
      <c r="L29" s="74" cm="1">
        <f t="array" ref="L29">L28*MAX($K3:$K26)%</f>
        <v>4449764</v>
      </c>
      <c r="M29" s="69" cm="1">
        <f t="array" ref="M29">M28*MAX($K3:$K26)%</f>
        <v>4442900</v>
      </c>
      <c r="N29" s="69" cm="1">
        <f t="array" ref="N29">N28*MAX($K3:$K26)%</f>
        <v>4442900</v>
      </c>
    </row>
    <row r="30" ht="21" customHeight="1">
      <c r="A30" s="70"/>
      <c r="B30" s="71"/>
      <c r="C30" s="71"/>
      <c r="D30" t="s" s="110">
        <v>116</v>
      </c>
      <c r="E30" s="111">
        <v>45000000</v>
      </c>
      <c r="F30" s="112">
        <v>44902500</v>
      </c>
      <c r="G30" s="72"/>
      <c r="H30" s="72"/>
      <c r="I30" s="71"/>
      <c r="J30" s="73"/>
      <c r="K30" t="s" s="75">
        <v>42</v>
      </c>
      <c r="L30" s="76" cm="1">
        <f t="array" ref="L30">L27+L29</f>
        <v>44999249.76</v>
      </c>
      <c r="M30" s="69" cm="1">
        <f t="array" ref="M30">M27+M29</f>
        <v>44929836</v>
      </c>
      <c r="N30" s="69" cm="1">
        <f t="array" ref="N30">N27+N29</f>
        <v>44929836</v>
      </c>
    </row>
    <row r="31" ht="20.5" customHeight="1">
      <c r="A31" s="70"/>
      <c r="B31" s="71"/>
      <c r="C31" s="71"/>
      <c r="D31" s="72"/>
      <c r="E31" s="72" cm="1">
        <f t="array" ref="E31">E$30-L$31</f>
        <v>750.24</v>
      </c>
      <c r="F31" s="113" cm="1">
        <f t="array" ref="F31">ROUNDDOWN(E$30-D$28,2)</f>
        <v>44902914.24</v>
      </c>
      <c r="G31" s="72"/>
      <c r="H31" s="72"/>
      <c r="I31" s="71"/>
      <c r="J31" s="73"/>
      <c r="K31" t="s" s="75">
        <v>43</v>
      </c>
      <c r="L31" s="68" cm="1">
        <f t="array" ref="L31">ROUNDDOWN(L30,2)</f>
        <v>44999249.76</v>
      </c>
      <c r="M31" s="68" cm="1">
        <f t="array" ref="M31">ROUNDDOWN(M30,2)</f>
        <v>44929836</v>
      </c>
      <c r="N31" s="68" cm="1">
        <f t="array" ref="N31">ROUNDDOWN(N30,-3)</f>
        <v>44929000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86.xml><?xml version="1.0" encoding="utf-8"?>
<worksheet xmlns:r="http://schemas.openxmlformats.org/officeDocument/2006/relationships" xmlns="http://schemas.openxmlformats.org/spreadsheetml/2006/main">
  <sheetPr>
    <pageSetUpPr fitToPage="1"/>
  </sheetPr>
  <dimension ref="A1:N31"/>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271" customWidth="1"/>
    <col min="2" max="2" width="43.0312" style="271" customWidth="1"/>
    <col min="3" max="3" width="2.75" style="271" customWidth="1"/>
    <col min="4" max="6" width="10.3672" style="271" customWidth="1"/>
    <col min="7" max="7" width="11.6875" style="271" customWidth="1"/>
    <col min="8" max="11" width="13.5156" style="271" customWidth="1"/>
    <col min="12" max="14" width="14.2344" style="271" customWidth="1"/>
    <col min="15" max="16384" width="16.3516" style="271"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109</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s="95">
        <v>1</v>
      </c>
      <c r="B4" t="s" s="19">
        <v>110</v>
      </c>
      <c r="C4" s="20"/>
      <c r="D4" s="21">
        <v>1</v>
      </c>
      <c r="E4" s="21" cm="1">
        <f t="array" ref="E4">D4</f>
        <v>1</v>
      </c>
      <c r="F4" s="21" cm="1">
        <f t="array" ref="F4">D4</f>
        <v>1</v>
      </c>
      <c r="G4" t="s" s="22">
        <v>19</v>
      </c>
      <c r="H4" s="21" cm="1">
        <f t="array" ref="H4">ROUNDDOWN((F$30*0.1)*100/111,-2)</f>
        <v>1797900</v>
      </c>
      <c r="I4" s="21">
        <v>1799000</v>
      </c>
      <c r="J4" s="21">
        <v>1799000</v>
      </c>
      <c r="K4" s="21">
        <v>11</v>
      </c>
      <c r="L4" s="21" cm="1">
        <f t="array" ref="L4">IF(D4&gt;0,IF($D4&lt;=0,0,D4*H4),"")</f>
        <v>1797900</v>
      </c>
      <c r="M4" s="21" cm="1">
        <f t="array" ref="M4">IF(E4&gt;0,IF($D4&lt;=0,0,ROUND(E4*I4,2)),"")</f>
        <v>1799000</v>
      </c>
      <c r="N4" s="23" cm="1">
        <f t="array" ref="N4">IF(F4&gt;0,IF($D4&lt;=0,0,ROUND(F4*J4,2)),"")</f>
        <v>1799000</v>
      </c>
    </row>
    <row r="5" ht="20.5" customHeight="1">
      <c r="A5" s="95">
        <v>2</v>
      </c>
      <c r="B5" t="s" s="19">
        <v>111</v>
      </c>
      <c r="C5" s="24"/>
      <c r="D5" s="26">
        <v>1</v>
      </c>
      <c r="E5" s="26" cm="1">
        <f t="array" ref="E5">D5</f>
        <v>1</v>
      </c>
      <c r="F5" s="26" cm="1">
        <f t="array" ref="F5">D5</f>
        <v>1</v>
      </c>
      <c r="G5" t="s" s="27">
        <v>19</v>
      </c>
      <c r="H5" s="26" cm="1">
        <f t="array" ref="H5">ROUNDDOWN((F$30*0.2)*100/111,-2)</f>
        <v>3595800</v>
      </c>
      <c r="I5" s="26">
        <v>3590000</v>
      </c>
      <c r="J5" s="26">
        <v>3590000</v>
      </c>
      <c r="K5" s="26">
        <v>11</v>
      </c>
      <c r="L5" s="26" cm="1">
        <f t="array" ref="L5">IF(D5&gt;0,IF($D5&lt;=0,0,D5*H5),"")</f>
        <v>3595800</v>
      </c>
      <c r="M5" s="26" cm="1">
        <f t="array" ref="M5">IF(E5&gt;0,IF($D5&lt;=0,0,ROUND(E5*I5,2)),"")</f>
        <v>3590000</v>
      </c>
      <c r="N5" s="28" cm="1">
        <f t="array" ref="N5">IF(F5&gt;0,IF($D5&lt;=0,0,ROUND(F5*J5,2)),"")</f>
        <v>3590000</v>
      </c>
    </row>
    <row r="6" ht="20.5" customHeight="1">
      <c r="A6" s="95">
        <v>3</v>
      </c>
      <c r="B6" t="s" s="19">
        <v>112</v>
      </c>
      <c r="C6" s="20"/>
      <c r="D6" s="21">
        <v>1</v>
      </c>
      <c r="E6" s="21" cm="1">
        <f t="array" ref="E6">D6</f>
        <v>1</v>
      </c>
      <c r="F6" s="21" cm="1">
        <f t="array" ref="F6">D6</f>
        <v>1</v>
      </c>
      <c r="G6" t="s" s="22">
        <v>19</v>
      </c>
      <c r="H6" s="21" cm="1">
        <f t="array" ref="H6">ROUNDDOWN((F$30*0.25)*100/111,-2)</f>
        <v>4494800</v>
      </c>
      <c r="I6" s="21">
        <v>4480000</v>
      </c>
      <c r="J6" s="21">
        <v>4480000</v>
      </c>
      <c r="K6" s="21">
        <v>11</v>
      </c>
      <c r="L6" s="21" cm="1">
        <f t="array" ref="L6">IF(D6&gt;0,IF($D6&lt;=0,0,D6*H6),"")</f>
        <v>4494800</v>
      </c>
      <c r="M6" s="21" cm="1">
        <f t="array" ref="M6">IF(E6&gt;0,IF($D6&lt;=0,0,ROUND(E6*I6,2)),"")</f>
        <v>4480000</v>
      </c>
      <c r="N6" s="23" cm="1">
        <f t="array" ref="N6">IF(F6&gt;0,IF($D6&lt;=0,0,ROUND(F6*J6,2)),"")</f>
        <v>4480000</v>
      </c>
    </row>
    <row r="7" ht="68.5" customHeight="1">
      <c r="A7" s="95">
        <v>5</v>
      </c>
      <c r="B7" t="s" s="19">
        <v>113</v>
      </c>
      <c r="C7" s="24"/>
      <c r="D7" s="26">
        <v>1</v>
      </c>
      <c r="E7" s="26" cm="1">
        <f t="array" ref="E7">D7</f>
        <v>1</v>
      </c>
      <c r="F7" s="26" cm="1">
        <f t="array" ref="F7">D7</f>
        <v>1</v>
      </c>
      <c r="G7" t="s" s="27">
        <v>19</v>
      </c>
      <c r="H7" s="26" cm="1">
        <f t="array" ref="H7">ROUNDDOWN((F$30*0.25)*100/111,-2)</f>
        <v>4494800</v>
      </c>
      <c r="I7" s="26">
        <v>4480000</v>
      </c>
      <c r="J7" s="26">
        <v>4480000</v>
      </c>
      <c r="K7" s="26">
        <v>11</v>
      </c>
      <c r="L7" s="26" cm="1">
        <f t="array" ref="L7">IF(D7&gt;0,IF($D7&lt;=0,0,D7*H7),"")</f>
        <v>4494800</v>
      </c>
      <c r="M7" s="26" cm="1">
        <f t="array" ref="M7">IF(E7&gt;0,IF($D7&lt;=0,0,ROUND(E7*I7,2)),"")</f>
        <v>4480000</v>
      </c>
      <c r="N7" s="28" cm="1">
        <f t="array" ref="N7">IF(F7&gt;0,IF($D7&lt;=0,0,ROUND(F7*J7,2)),"")</f>
        <v>4480000</v>
      </c>
    </row>
    <row r="8" ht="32.5" customHeight="1">
      <c r="A8" s="95">
        <v>6</v>
      </c>
      <c r="B8" t="s" s="19">
        <v>114</v>
      </c>
      <c r="C8" s="20"/>
      <c r="D8" s="21">
        <v>1</v>
      </c>
      <c r="E8" s="21" cm="1">
        <f t="array" ref="E8">D8</f>
        <v>1</v>
      </c>
      <c r="F8" s="21" cm="1">
        <f t="array" ref="F8">D8</f>
        <v>1</v>
      </c>
      <c r="G8" t="s" s="22">
        <v>19</v>
      </c>
      <c r="H8" s="21" cm="1">
        <f t="array" ref="H8">ROUNDDOWN((F$30*0.05)*100/111,-2)</f>
        <v>898900</v>
      </c>
      <c r="I8" s="21">
        <v>900000</v>
      </c>
      <c r="J8" s="21">
        <v>900000</v>
      </c>
      <c r="K8" s="21">
        <v>11</v>
      </c>
      <c r="L8" s="21" cm="1">
        <f t="array" ref="L8">IF(D8&gt;0,IF($D8&lt;=0,0,D8*H8),"")</f>
        <v>898900</v>
      </c>
      <c r="M8" s="21" cm="1">
        <f t="array" ref="M8">IF(E8&gt;0,IF($D8&lt;=0,0,ROUND(E8*I8,2)),"")</f>
        <v>900000</v>
      </c>
      <c r="N8" s="23" cm="1">
        <f t="array" ref="N8">IF(F8&gt;0,IF($D8&lt;=0,0,ROUND(F8*J8,2)),"")</f>
        <v>900000</v>
      </c>
    </row>
    <row r="9" ht="20.5" customHeight="1">
      <c r="A9" s="95">
        <v>7</v>
      </c>
      <c r="B9" t="s" s="19">
        <v>115</v>
      </c>
      <c r="C9" s="24"/>
      <c r="D9" s="26">
        <v>1</v>
      </c>
      <c r="E9" s="26" cm="1">
        <f t="array" ref="E9">D9</f>
        <v>1</v>
      </c>
      <c r="F9" s="26" cm="1">
        <f t="array" ref="F9">D9</f>
        <v>1</v>
      </c>
      <c r="G9" t="s" s="27">
        <v>19</v>
      </c>
      <c r="H9" s="26" cm="1">
        <f t="array" ref="H9">ROUNDDOWN((F$30*0.15)*100/111,-2)</f>
        <v>2696800</v>
      </c>
      <c r="I9" s="26">
        <v>2685000</v>
      </c>
      <c r="J9" s="26">
        <v>2685000</v>
      </c>
      <c r="K9" s="26">
        <v>11</v>
      </c>
      <c r="L9" s="26" cm="1">
        <f t="array" ref="L9">IF(D9&gt;0,IF($D9&lt;=0,0,D9*H9),"")</f>
        <v>2696800</v>
      </c>
      <c r="M9" s="26" cm="1">
        <f t="array" ref="M9">IF(E9&gt;0,IF($D9&lt;=0,0,ROUND(E9*I9,2)),"")</f>
        <v>2685000</v>
      </c>
      <c r="N9" s="28" cm="1">
        <f t="array" ref="N9">IF(F9&gt;0,IF($D9&lt;=0,0,ROUND(F9*J9,2)),"")</f>
        <v>2685000</v>
      </c>
    </row>
    <row r="10" ht="20.6" customHeight="1">
      <c r="A10" s="33">
        <v>8</v>
      </c>
      <c r="B10" t="s" s="34">
        <v>37</v>
      </c>
      <c r="C10" s="35"/>
      <c r="D10" s="36">
        <v>1</v>
      </c>
      <c r="E10" s="36" cm="1">
        <f t="array" ref="E10">D10</f>
        <v>1</v>
      </c>
      <c r="F10" s="36" cm="1">
        <f t="array" ref="F10">D10</f>
        <v>1</v>
      </c>
      <c r="G10" t="s" s="37">
        <v>19</v>
      </c>
      <c r="H10" s="36">
        <v>43149.6</v>
      </c>
      <c r="I10" s="36">
        <v>43041.6</v>
      </c>
      <c r="J10" s="36">
        <v>43041.6</v>
      </c>
      <c r="K10" s="36">
        <v>0</v>
      </c>
      <c r="L10" s="36" cm="1">
        <f t="array" ref="L10">IF(D10&gt;0,IF($D10&lt;=0,0,D10*H10),"")</f>
        <v>43149.6</v>
      </c>
      <c r="M10" s="36" cm="1">
        <f t="array" ref="M10">IF(E10&gt;0,IF($D10&lt;=0,0,ROUND(E10*I10,2)),"")</f>
        <v>43041.6</v>
      </c>
      <c r="N10" s="38" cm="1">
        <f t="array" ref="N10">IF(F10&gt;0,IF($D10&lt;=0,0,ROUND(F10*J10,2)),"")</f>
        <v>43041.6</v>
      </c>
    </row>
    <row r="11" ht="8.75" customHeight="1" hidden="1">
      <c r="A11" s="39"/>
      <c r="B11" s="40"/>
      <c r="C11" s="41"/>
      <c r="D11" s="42"/>
      <c r="E11" s="42"/>
      <c r="F11" s="42"/>
      <c r="G11" s="43"/>
      <c r="H11" s="42"/>
      <c r="I11" s="42"/>
      <c r="J11" s="42"/>
      <c r="K11" s="42"/>
      <c r="L11" s="42"/>
      <c r="M11" s="42"/>
      <c r="N11" s="44"/>
    </row>
    <row r="12" ht="8.75" customHeight="1" hidden="1">
      <c r="A12" s="39"/>
      <c r="B12" s="40"/>
      <c r="C12" s="45"/>
      <c r="D12" s="46"/>
      <c r="E12" s="46"/>
      <c r="F12" s="46"/>
      <c r="G12" s="47"/>
      <c r="H12" s="46"/>
      <c r="I12" s="46"/>
      <c r="J12" s="46"/>
      <c r="K12" s="46"/>
      <c r="L12" s="46"/>
      <c r="M12" s="46"/>
      <c r="N12" s="48"/>
    </row>
    <row r="13" ht="8.75" customHeight="1" hidden="1">
      <c r="A13" s="39"/>
      <c r="B13" s="40"/>
      <c r="C13" s="41"/>
      <c r="D13" s="42"/>
      <c r="E13" s="42"/>
      <c r="F13" s="42"/>
      <c r="G13" s="43"/>
      <c r="H13" s="42"/>
      <c r="I13" s="42"/>
      <c r="J13" s="42"/>
      <c r="K13" s="42"/>
      <c r="L13" s="42"/>
      <c r="M13" s="42"/>
      <c r="N13" s="44"/>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2"/>
      <c r="I15" s="42"/>
      <c r="J15" s="42"/>
      <c r="K15" s="42"/>
      <c r="L15" s="42"/>
      <c r="M15" s="42"/>
      <c r="N15" s="44"/>
    </row>
    <row r="16" ht="8.75" customHeight="1" hidden="1">
      <c r="A16" s="39"/>
      <c r="B16" s="40"/>
      <c r="C16" s="45"/>
      <c r="D16" s="46"/>
      <c r="E16" s="46"/>
      <c r="F16" s="46"/>
      <c r="G16" s="47"/>
      <c r="H16" s="46"/>
      <c r="I16" s="46"/>
      <c r="J16" s="46"/>
      <c r="K16" s="46"/>
      <c r="L16" s="46"/>
      <c r="M16" s="46"/>
      <c r="N16" s="48"/>
    </row>
    <row r="17" ht="8.75" customHeight="1" hidden="1">
      <c r="A17" s="39"/>
      <c r="B17" s="40"/>
      <c r="C17" s="41"/>
      <c r="D17" s="42"/>
      <c r="E17" s="42"/>
      <c r="F17" s="42"/>
      <c r="G17" s="43"/>
      <c r="H17" s="43"/>
      <c r="I17" s="43"/>
      <c r="J17" s="43"/>
      <c r="K17" s="42"/>
      <c r="L17" s="43"/>
      <c r="M17" s="43"/>
      <c r="N17" s="49"/>
    </row>
    <row r="18" ht="8.75" customHeight="1" hidden="1">
      <c r="A18" s="39"/>
      <c r="B18" s="40"/>
      <c r="C18" s="45"/>
      <c r="D18" s="46"/>
      <c r="E18" s="46"/>
      <c r="F18" s="46"/>
      <c r="G18" s="47"/>
      <c r="H18" s="50"/>
      <c r="I18" s="50"/>
      <c r="J18" s="50"/>
      <c r="K18" s="46"/>
      <c r="L18" s="46"/>
      <c r="M18" s="46"/>
      <c r="N18" s="48"/>
    </row>
    <row r="19" ht="8.75" customHeight="1" hidden="1">
      <c r="A19" s="39"/>
      <c r="B19" s="40"/>
      <c r="C19" s="41"/>
      <c r="D19" s="42"/>
      <c r="E19" s="42"/>
      <c r="F19" s="42"/>
      <c r="G19" s="43"/>
      <c r="H19" s="43"/>
      <c r="I19" s="43"/>
      <c r="J19" s="43"/>
      <c r="K19" s="42"/>
      <c r="L19" s="43"/>
      <c r="M19" s="43"/>
      <c r="N19" s="49"/>
    </row>
    <row r="20" ht="8.75" customHeight="1" hidden="1">
      <c r="A20" s="39"/>
      <c r="B20" s="40"/>
      <c r="C20" s="45"/>
      <c r="D20" s="46"/>
      <c r="E20" s="46"/>
      <c r="F20" s="46"/>
      <c r="G20" s="47"/>
      <c r="H20" s="46"/>
      <c r="I20" s="46"/>
      <c r="J20" s="46"/>
      <c r="K20" s="46"/>
      <c r="L20" s="46"/>
      <c r="M20" s="46"/>
      <c r="N20" s="48"/>
    </row>
    <row r="21" ht="8.75" customHeight="1" hidden="1">
      <c r="A21" s="39"/>
      <c r="B21" s="40"/>
      <c r="C21" s="41"/>
      <c r="D21" s="42"/>
      <c r="E21" s="42"/>
      <c r="F21" s="42"/>
      <c r="G21" s="43"/>
      <c r="H21" s="42"/>
      <c r="I21" s="42"/>
      <c r="J21" s="42"/>
      <c r="K21" s="42"/>
      <c r="L21" s="42"/>
      <c r="M21" s="42"/>
      <c r="N21" s="44"/>
    </row>
    <row r="22" ht="8.75" customHeight="1" hidden="1">
      <c r="A22" s="51"/>
      <c r="B22" s="40"/>
      <c r="C22" s="45"/>
      <c r="D22" s="46"/>
      <c r="E22" s="46"/>
      <c r="F22" s="46"/>
      <c r="G22" s="47"/>
      <c r="H22" s="46"/>
      <c r="I22" s="46"/>
      <c r="J22" s="46"/>
      <c r="K22" s="46"/>
      <c r="L22" s="46"/>
      <c r="M22" s="46"/>
      <c r="N22" s="48"/>
    </row>
    <row r="23" ht="8.75" customHeight="1" hidden="1">
      <c r="A23" s="51"/>
      <c r="B23" s="40"/>
      <c r="C23" s="41"/>
      <c r="D23" s="42"/>
      <c r="E23" s="42"/>
      <c r="F23" s="42"/>
      <c r="G23" s="43"/>
      <c r="H23" s="42"/>
      <c r="I23" s="42"/>
      <c r="J23" s="42"/>
      <c r="K23" s="42"/>
      <c r="L23" s="42"/>
      <c r="M23" s="42"/>
      <c r="N23" s="44"/>
    </row>
    <row r="24" ht="8.75" customHeight="1" hidden="1">
      <c r="A24" s="39"/>
      <c r="B24" s="40"/>
      <c r="C24" s="45"/>
      <c r="D24" s="46"/>
      <c r="E24" s="46"/>
      <c r="F24" s="46"/>
      <c r="G24" s="47"/>
      <c r="H24" s="46"/>
      <c r="I24" s="46"/>
      <c r="J24" s="46"/>
      <c r="K24" s="46"/>
      <c r="L24" s="47"/>
      <c r="M24" s="47"/>
      <c r="N24" s="52"/>
    </row>
    <row r="25" ht="8.75" customHeight="1" hidden="1">
      <c r="A25" s="39"/>
      <c r="B25" s="40"/>
      <c r="C25" s="41"/>
      <c r="D25" s="42"/>
      <c r="E25" s="42"/>
      <c r="F25" s="42"/>
      <c r="G25" s="43"/>
      <c r="H25" s="42"/>
      <c r="I25" s="42"/>
      <c r="J25" s="42"/>
      <c r="K25" s="42"/>
      <c r="L25" s="42"/>
      <c r="M25" s="42"/>
      <c r="N25" s="44"/>
    </row>
    <row r="26" ht="8.75" customHeight="1" hidden="1">
      <c r="A26" s="39"/>
      <c r="B26" s="40"/>
      <c r="C26" s="45"/>
      <c r="D26" s="46"/>
      <c r="E26" s="46"/>
      <c r="F26" s="46"/>
      <c r="G26" s="47"/>
      <c r="H26" s="46"/>
      <c r="I26" s="46"/>
      <c r="J26" s="46"/>
      <c r="K26" s="46"/>
      <c r="L26" s="47"/>
      <c r="M26" s="47"/>
      <c r="N26" s="52"/>
    </row>
    <row r="27" ht="20.85" customHeight="1">
      <c r="A27" s="108"/>
      <c r="B27" s="54"/>
      <c r="C27" s="54"/>
      <c r="D27" s="55"/>
      <c r="E27" s="55"/>
      <c r="F27" s="55"/>
      <c r="G27" s="56"/>
      <c r="H27" s="56"/>
      <c r="I27" s="54"/>
      <c r="J27" s="57"/>
      <c r="K27" t="s" s="58">
        <v>38</v>
      </c>
      <c r="L27" s="59" cm="1">
        <f t="array" ref="L27">SUM(L1:L26)</f>
        <v>18022149.6</v>
      </c>
      <c r="M27" s="59" cm="1">
        <f t="array" ref="M27">SUM(M1:M26)</f>
        <v>17977041.6</v>
      </c>
      <c r="N27" s="59" cm="1">
        <f t="array" ref="N27">SUM(N1:N26)</f>
        <v>17977041.6</v>
      </c>
    </row>
    <row r="28" ht="21" customHeight="1">
      <c r="A28" s="63" cm="1">
        <f t="array" ref="A28">ROUND(IF(I28&lt;=100000000,I28*0.24%,IF(AND(I28&gt;100000000,I28&lt;=500000000),100000000*0.24%+(I28-100000000)*0.19%,IF(AND(I28&gt;500000000,I28&lt;=1000000000),100000000*0.24%+400000000*0.19%+(I28-500000000)*0.15%,IF(AND(I28&gt;1000000000,I28&lt;=5000000000),100000000*0.24%+400000000*0.19%+500000000*0.15%+(I28-1000000000)*0.12%,IF(I28&gt;5000000000,100000000*0.24%+400000000*0.19%+500000000*0.15%+4000000000*0.12%+(I28-5000000000)*0.1%,"Bingung komputer"))))),2)</f>
        <v>0</v>
      </c>
      <c r="B28" t="s" s="109">
        <v>39</v>
      </c>
      <c r="C28" s="62"/>
      <c r="D28" s="63" cm="1">
        <f t="array" ref="D28">ROUND(IF(L28&lt;=100000000,L28*0.24%,IF(AND(L28&gt;100000000,L28&lt;=500000000),100000000*0.24%+(L28-100000000)*0.19%,IF(AND(L28&gt;500000000,L28&lt;=1000000000),100000000*0.24%+400000000*0.19%+(L28-500000000)*0.15%,IF(AND(L28&gt;1000000000,L28&lt;=5000000000),100000000*0.24%+400000000*0.19%+500000000*0.15%+(L28-1000000000)*0.12%,IF(L28&gt;5000000000,100000000*0.24%+400000000*0.19%+500000000*0.15%+4000000000*0.12%+(L28-5000000000)*0.1%,"Bingung komputer"))))),2)</f>
        <v>43149.6</v>
      </c>
      <c r="E28" s="64" cm="1">
        <f t="array" ref="E28">ROUND(IF(M28&lt;=100000000,M28*0.24%,IF(AND(M28&gt;100000000,M28&lt;=500000000),100000000*0.24%+(M28-100000000)*0.19%,IF(AND(M28&gt;500000000,M28&lt;=1000000000),100000000*0.24%+400000000*0.19%+(M28-500000000)*0.15%,IF(AND(M28&gt;1000000000,M28&lt;=5000000000),100000000*0.24%+400000000*0.19%+500000000*0.15%+(M28-1000000000)*0.12%,IF(M28&gt;5000000000,100000000*0.24%+400000000*0.19%+500000000*0.15%+4000000000*0.12%+(M28-5000000000)*0.1%,"Bingung komputer"))))),2)</f>
        <v>43041.6</v>
      </c>
      <c r="F28" s="64" cm="1">
        <f t="array" ref="F28">ROUND(IF(N28&lt;=100000000,N28*0.24%,IF(AND(N28&gt;100000000,N28&lt;=500000000),100000000*0.24%+(N28-100000000)*0.19%,IF(AND(N28&gt;500000000,N28&lt;=1000000000),100000000*0.24%+400000000*0.19%+(N28-500000000)*0.15%,IF(AND(N28&gt;1000000000,N28&lt;=5000000000),100000000*0.24%+400000000*0.19%+500000000*0.15%+(N28-1000000000)*0.12%,IF(N28&gt;5000000000,100000000*0.24%+400000000*0.19%+500000000*0.15%+4000000000*0.12%+(N28-5000000000)*0.1%,"Bingung komputer"))))),2)</f>
        <v>43041.6</v>
      </c>
      <c r="G28" s="65"/>
      <c r="H28" s="66"/>
      <c r="I28" s="68"/>
      <c r="J28" s="67"/>
      <c r="K28" t="str" s="67" cm="1">
        <f t="array" ref="K28">"Jumlah Terkena Pajak "&amp;MAX(K3:K26)&amp;"% (B)"</f>
        <v>Jumlah Terkena Pajak 11,00% (B)</v>
      </c>
      <c r="L28" s="68" cm="1">
        <f t="array" ref="L28">SUMIF($K3:$K26,"&gt;0",L3:L26)</f>
        <v>17979000</v>
      </c>
      <c r="M28" s="69" cm="1">
        <f t="array" ref="M28">SUMIF($K3:$K26,"&gt;0",M3:M26)</f>
        <v>17934000</v>
      </c>
      <c r="N28" s="69" cm="1">
        <f t="array" ref="N28">SUMIF($K3:$K26,"&gt;0",N3:N26)</f>
        <v>17934000</v>
      </c>
    </row>
    <row r="29" ht="21" customHeight="1">
      <c r="A29" s="70"/>
      <c r="B29" s="71"/>
      <c r="C29" s="71"/>
      <c r="D29" s="72"/>
      <c r="E29" s="72"/>
      <c r="F29" s="71"/>
      <c r="G29" s="72"/>
      <c r="H29" s="72"/>
      <c r="I29" s="74"/>
      <c r="J29" s="73"/>
      <c r="K29" t="str" s="73" cm="1">
        <f t="array" ref="K29">"PPN (C) = "&amp;MAX(K3:K26)&amp;"% x B"</f>
        <v>PPN (C) = 11,00% x B</v>
      </c>
      <c r="L29" s="74" cm="1">
        <f t="array" ref="L29">L28*MAX($K3:$K26)%</f>
        <v>1977690</v>
      </c>
      <c r="M29" s="69" cm="1">
        <f t="array" ref="M29">M28*MAX($K3:$K26)%</f>
        <v>1972740</v>
      </c>
      <c r="N29" s="69" cm="1">
        <f t="array" ref="N29">N28*MAX($K3:$K26)%</f>
        <v>1972740</v>
      </c>
    </row>
    <row r="30" ht="21" customHeight="1">
      <c r="A30" s="70"/>
      <c r="B30" s="71"/>
      <c r="C30" s="71"/>
      <c r="D30" t="s" s="110">
        <v>116</v>
      </c>
      <c r="E30" s="111">
        <v>20000000</v>
      </c>
      <c r="F30" s="112">
        <v>19957000</v>
      </c>
      <c r="G30" s="72"/>
      <c r="H30" s="72"/>
      <c r="I30" s="71"/>
      <c r="J30" s="73"/>
      <c r="K30" t="s" s="75">
        <v>42</v>
      </c>
      <c r="L30" s="76" cm="1">
        <f t="array" ref="L30">L27+L29</f>
        <v>19999839.6</v>
      </c>
      <c r="M30" s="69" cm="1">
        <f t="array" ref="M30">M27+M29</f>
        <v>19949781.6</v>
      </c>
      <c r="N30" s="69" cm="1">
        <f t="array" ref="N30">N27+N29</f>
        <v>19949781.6</v>
      </c>
    </row>
    <row r="31" ht="20.5" customHeight="1">
      <c r="A31" s="70"/>
      <c r="B31" s="71"/>
      <c r="C31" s="71"/>
      <c r="D31" s="72"/>
      <c r="E31" s="72" cm="1">
        <f t="array" ref="E31">E$30-L$31</f>
        <v>160.4</v>
      </c>
      <c r="F31" s="180" cm="1">
        <f t="array" ref="F31">ROUNDDOWN(E$30-D$28,2)</f>
        <v>19956850.4</v>
      </c>
      <c r="G31" s="72"/>
      <c r="H31" s="72"/>
      <c r="I31" s="71"/>
      <c r="J31" s="73"/>
      <c r="K31" t="s" s="75">
        <v>43</v>
      </c>
      <c r="L31" s="68" cm="1">
        <f t="array" ref="L31">ROUNDDOWN(L30,2)</f>
        <v>19999839.6</v>
      </c>
      <c r="M31" s="68" cm="1">
        <f t="array" ref="M31">ROUNDDOWN(M30,2)</f>
        <v>19949781.6</v>
      </c>
      <c r="N31" s="68" cm="1">
        <f t="array" ref="N31">ROUNDDOWN(N30,-3)</f>
        <v>19949000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87.xml><?xml version="1.0" encoding="utf-8"?>
<worksheet xmlns:r="http://schemas.openxmlformats.org/officeDocument/2006/relationships" xmlns="http://schemas.openxmlformats.org/spreadsheetml/2006/main">
  <sheetPr>
    <pageSetUpPr fitToPage="1"/>
  </sheetPr>
  <dimension ref="A1:N31"/>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272" customWidth="1"/>
    <col min="2" max="2" width="43.0312" style="272" customWidth="1"/>
    <col min="3" max="3" width="2.75" style="272" customWidth="1"/>
    <col min="4" max="6" width="10.3672" style="272" customWidth="1"/>
    <col min="7" max="7" width="11.6875" style="272" customWidth="1"/>
    <col min="8" max="11" width="13.5156" style="272" customWidth="1"/>
    <col min="12" max="14" width="14.2344" style="272" customWidth="1"/>
    <col min="15" max="16384" width="16.3516" style="272"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109</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s="95">
        <v>1</v>
      </c>
      <c r="B4" t="s" s="19">
        <v>110</v>
      </c>
      <c r="C4" s="20"/>
      <c r="D4" s="21">
        <v>1</v>
      </c>
      <c r="E4" s="21" cm="1">
        <f t="array" ref="E4">D4</f>
        <v>1</v>
      </c>
      <c r="F4" s="21" cm="1">
        <f t="array" ref="F4">D4</f>
        <v>1</v>
      </c>
      <c r="G4" t="s" s="22">
        <v>19</v>
      </c>
      <c r="H4" s="21" cm="1">
        <f t="array" ref="H4">ROUNDDOWN((F$30*0.1)*100/111,-2)</f>
        <v>8989500</v>
      </c>
      <c r="I4" s="21">
        <v>8980000</v>
      </c>
      <c r="J4" s="21">
        <v>8980000</v>
      </c>
      <c r="K4" s="21">
        <v>11</v>
      </c>
      <c r="L4" s="21" cm="1">
        <f t="array" ref="L4">IF(D4&gt;0,IF($D4&lt;=0,0,D4*H4),"")</f>
        <v>8989500</v>
      </c>
      <c r="M4" s="21" cm="1">
        <f t="array" ref="M4">IF(E4&gt;0,IF($D4&lt;=0,0,ROUND(E4*I4,2)),"")</f>
        <v>8980000</v>
      </c>
      <c r="N4" s="23" cm="1">
        <f t="array" ref="N4">IF(F4&gt;0,IF($D4&lt;=0,0,ROUND(F4*J4,2)),"")</f>
        <v>8980000</v>
      </c>
    </row>
    <row r="5" ht="20.5" customHeight="1">
      <c r="A5" s="95">
        <v>2</v>
      </c>
      <c r="B5" t="s" s="19">
        <v>111</v>
      </c>
      <c r="C5" s="24"/>
      <c r="D5" s="26">
        <v>1</v>
      </c>
      <c r="E5" s="26" cm="1">
        <f t="array" ref="E5">D5</f>
        <v>1</v>
      </c>
      <c r="F5" s="26" cm="1">
        <f t="array" ref="F5">D5</f>
        <v>1</v>
      </c>
      <c r="G5" t="s" s="27">
        <v>19</v>
      </c>
      <c r="H5" s="26" cm="1">
        <f t="array" ref="H5">ROUNDDOWN((F$30*0.2)*100/111,-2)</f>
        <v>17979100</v>
      </c>
      <c r="I5" s="26">
        <v>17975000</v>
      </c>
      <c r="J5" s="26">
        <v>17975000</v>
      </c>
      <c r="K5" s="26">
        <v>11</v>
      </c>
      <c r="L5" s="26" cm="1">
        <f t="array" ref="L5">IF(D5&gt;0,IF($D5&lt;=0,0,D5*H5),"")</f>
        <v>17979100</v>
      </c>
      <c r="M5" s="26" cm="1">
        <f t="array" ref="M5">IF(E5&gt;0,IF($D5&lt;=0,0,ROUND(E5*I5,2)),"")</f>
        <v>17975000</v>
      </c>
      <c r="N5" s="28" cm="1">
        <f t="array" ref="N5">IF(F5&gt;0,IF($D5&lt;=0,0,ROUND(F5*J5,2)),"")</f>
        <v>17975000</v>
      </c>
    </row>
    <row r="6" ht="20.5" customHeight="1">
      <c r="A6" s="95">
        <v>3</v>
      </c>
      <c r="B6" t="s" s="19">
        <v>112</v>
      </c>
      <c r="C6" s="20"/>
      <c r="D6" s="21">
        <v>1</v>
      </c>
      <c r="E6" s="21" cm="1">
        <f t="array" ref="E6">D6</f>
        <v>1</v>
      </c>
      <c r="F6" s="21" cm="1">
        <f t="array" ref="F6">D6</f>
        <v>1</v>
      </c>
      <c r="G6" t="s" s="22">
        <v>19</v>
      </c>
      <c r="H6" s="21" cm="1">
        <f t="array" ref="H6">ROUNDDOWN((F$30*0.25)*100/111,-2)</f>
        <v>22473900</v>
      </c>
      <c r="I6" s="21">
        <v>22470000</v>
      </c>
      <c r="J6" s="21">
        <v>22470000</v>
      </c>
      <c r="K6" s="21">
        <v>11</v>
      </c>
      <c r="L6" s="21" cm="1">
        <f t="array" ref="L6">IF(D6&gt;0,IF($D6&lt;=0,0,D6*H6),"")</f>
        <v>22473900</v>
      </c>
      <c r="M6" s="21" cm="1">
        <f t="array" ref="M6">IF(E6&gt;0,IF($D6&lt;=0,0,ROUND(E6*I6,2)),"")</f>
        <v>22470000</v>
      </c>
      <c r="N6" s="23" cm="1">
        <f t="array" ref="N6">IF(F6&gt;0,IF($D6&lt;=0,0,ROUND(F6*J6,2)),"")</f>
        <v>22470000</v>
      </c>
    </row>
    <row r="7" ht="68.5" customHeight="1">
      <c r="A7" s="95">
        <v>5</v>
      </c>
      <c r="B7" t="s" s="19">
        <v>113</v>
      </c>
      <c r="C7" s="24"/>
      <c r="D7" s="26">
        <v>1</v>
      </c>
      <c r="E7" s="26" cm="1">
        <f t="array" ref="E7">D7</f>
        <v>1</v>
      </c>
      <c r="F7" s="26" cm="1">
        <f t="array" ref="F7">D7</f>
        <v>1</v>
      </c>
      <c r="G7" t="s" s="27">
        <v>19</v>
      </c>
      <c r="H7" s="26" cm="1">
        <f t="array" ref="H7">ROUNDDOWN((F$30*0.25)*100/111,-2)</f>
        <v>22473900</v>
      </c>
      <c r="I7" s="26">
        <v>22450000</v>
      </c>
      <c r="J7" s="26">
        <v>22450000</v>
      </c>
      <c r="K7" s="26">
        <v>11</v>
      </c>
      <c r="L7" s="26" cm="1">
        <f t="array" ref="L7">IF(D7&gt;0,IF($D7&lt;=0,0,D7*H7),"")</f>
        <v>22473900</v>
      </c>
      <c r="M7" s="26" cm="1">
        <f t="array" ref="M7">IF(E7&gt;0,IF($D7&lt;=0,0,ROUND(E7*I7,2)),"")</f>
        <v>22450000</v>
      </c>
      <c r="N7" s="28" cm="1">
        <f t="array" ref="N7">IF(F7&gt;0,IF($D7&lt;=0,0,ROUND(F7*J7,2)),"")</f>
        <v>22450000</v>
      </c>
    </row>
    <row r="8" ht="32.5" customHeight="1">
      <c r="A8" s="95">
        <v>6</v>
      </c>
      <c r="B8" t="s" s="19">
        <v>114</v>
      </c>
      <c r="C8" s="20"/>
      <c r="D8" s="21">
        <v>1</v>
      </c>
      <c r="E8" s="21" cm="1">
        <f t="array" ref="E8">D8</f>
        <v>1</v>
      </c>
      <c r="F8" s="21" cm="1">
        <f t="array" ref="F8">D8</f>
        <v>1</v>
      </c>
      <c r="G8" t="s" s="22">
        <v>19</v>
      </c>
      <c r="H8" s="21" cm="1">
        <f t="array" ref="H8">ROUNDDOWN((F$30*0.05)*100/111,-2)</f>
        <v>4494700</v>
      </c>
      <c r="I8" s="21">
        <v>4490000</v>
      </c>
      <c r="J8" s="21">
        <v>4490000</v>
      </c>
      <c r="K8" s="21">
        <v>11</v>
      </c>
      <c r="L8" s="21" cm="1">
        <f t="array" ref="L8">IF(D8&gt;0,IF($D8&lt;=0,0,D8*H8),"")</f>
        <v>4494700</v>
      </c>
      <c r="M8" s="21" cm="1">
        <f t="array" ref="M8">IF(E8&gt;0,IF($D8&lt;=0,0,ROUND(E8*I8,2)),"")</f>
        <v>4490000</v>
      </c>
      <c r="N8" s="23" cm="1">
        <f t="array" ref="N8">IF(F8&gt;0,IF($D8&lt;=0,0,ROUND(F8*J8,2)),"")</f>
        <v>4490000</v>
      </c>
    </row>
    <row r="9" ht="20.5" customHeight="1">
      <c r="A9" s="95">
        <v>7</v>
      </c>
      <c r="B9" t="s" s="19">
        <v>115</v>
      </c>
      <c r="C9" s="24"/>
      <c r="D9" s="26">
        <v>1</v>
      </c>
      <c r="E9" s="26" cm="1">
        <f t="array" ref="E9">D9</f>
        <v>1</v>
      </c>
      <c r="F9" s="26" cm="1">
        <f t="array" ref="F9">D9</f>
        <v>1</v>
      </c>
      <c r="G9" t="s" s="27">
        <v>19</v>
      </c>
      <c r="H9" s="26" cm="1">
        <f t="array" ref="H9">ROUNDDOWN((F$30*0.15)*100/111,-2)</f>
        <v>13484300</v>
      </c>
      <c r="I9" s="26">
        <v>13430000</v>
      </c>
      <c r="J9" s="26">
        <v>13430000</v>
      </c>
      <c r="K9" s="26">
        <v>11</v>
      </c>
      <c r="L9" s="26" cm="1">
        <f t="array" ref="L9">IF(D9&gt;0,IF($D9&lt;=0,0,D9*H9),"")</f>
        <v>13484300</v>
      </c>
      <c r="M9" s="26" cm="1">
        <f t="array" ref="M9">IF(E9&gt;0,IF($D9&lt;=0,0,ROUND(E9*I9,2)),"")</f>
        <v>13430000</v>
      </c>
      <c r="N9" s="28" cm="1">
        <f t="array" ref="N9">IF(F9&gt;0,IF($D9&lt;=0,0,ROUND(F9*J9,2)),"")</f>
        <v>13430000</v>
      </c>
    </row>
    <row r="10" ht="20.6" customHeight="1">
      <c r="A10" s="33">
        <v>8</v>
      </c>
      <c r="B10" t="s" s="34">
        <v>37</v>
      </c>
      <c r="C10" s="35"/>
      <c r="D10" s="36">
        <v>1</v>
      </c>
      <c r="E10" s="36" cm="1">
        <f t="array" ref="E10">D10</f>
        <v>1</v>
      </c>
      <c r="F10" s="36" cm="1">
        <f t="array" ref="F10">D10</f>
        <v>1</v>
      </c>
      <c r="G10" t="s" s="37">
        <v>19</v>
      </c>
      <c r="H10" s="36">
        <v>215748.96</v>
      </c>
      <c r="I10" s="36">
        <v>215508</v>
      </c>
      <c r="J10" s="36">
        <v>215508</v>
      </c>
      <c r="K10" s="36">
        <v>0</v>
      </c>
      <c r="L10" s="36" cm="1">
        <f t="array" ref="L10">IF(D10&gt;0,IF($D10&lt;=0,0,D10*H10),"")</f>
        <v>215748.96</v>
      </c>
      <c r="M10" s="36" cm="1">
        <f t="array" ref="M10">IF(E10&gt;0,IF($D10&lt;=0,0,ROUND(E10*I10,2)),"")</f>
        <v>215508</v>
      </c>
      <c r="N10" s="38" cm="1">
        <f t="array" ref="N10">IF(F10&gt;0,IF($D10&lt;=0,0,ROUND(F10*J10,2)),"")</f>
        <v>215508</v>
      </c>
    </row>
    <row r="11" ht="8.75" customHeight="1" hidden="1">
      <c r="A11" s="39"/>
      <c r="B11" s="40"/>
      <c r="C11" s="41"/>
      <c r="D11" s="42"/>
      <c r="E11" s="42"/>
      <c r="F11" s="42"/>
      <c r="G11" s="43"/>
      <c r="H11" s="42"/>
      <c r="I11" s="42"/>
      <c r="J11" s="42"/>
      <c r="K11" s="42"/>
      <c r="L11" s="42"/>
      <c r="M11" s="42"/>
      <c r="N11" s="44"/>
    </row>
    <row r="12" ht="8.75" customHeight="1" hidden="1">
      <c r="A12" s="39"/>
      <c r="B12" s="40"/>
      <c r="C12" s="45"/>
      <c r="D12" s="46"/>
      <c r="E12" s="46"/>
      <c r="F12" s="46"/>
      <c r="G12" s="47"/>
      <c r="H12" s="46"/>
      <c r="I12" s="46"/>
      <c r="J12" s="46"/>
      <c r="K12" s="46"/>
      <c r="L12" s="46"/>
      <c r="M12" s="46"/>
      <c r="N12" s="48"/>
    </row>
    <row r="13" ht="8.75" customHeight="1" hidden="1">
      <c r="A13" s="39"/>
      <c r="B13" s="40"/>
      <c r="C13" s="41"/>
      <c r="D13" s="42"/>
      <c r="E13" s="42"/>
      <c r="F13" s="42"/>
      <c r="G13" s="43"/>
      <c r="H13" s="42"/>
      <c r="I13" s="42"/>
      <c r="J13" s="42"/>
      <c r="K13" s="42"/>
      <c r="L13" s="42"/>
      <c r="M13" s="42"/>
      <c r="N13" s="44"/>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2"/>
      <c r="I15" s="42"/>
      <c r="J15" s="42"/>
      <c r="K15" s="42"/>
      <c r="L15" s="42"/>
      <c r="M15" s="42"/>
      <c r="N15" s="44"/>
    </row>
    <row r="16" ht="8.75" customHeight="1" hidden="1">
      <c r="A16" s="39"/>
      <c r="B16" s="40"/>
      <c r="C16" s="45"/>
      <c r="D16" s="46"/>
      <c r="E16" s="46"/>
      <c r="F16" s="46"/>
      <c r="G16" s="47"/>
      <c r="H16" s="46"/>
      <c r="I16" s="46"/>
      <c r="J16" s="46"/>
      <c r="K16" s="46"/>
      <c r="L16" s="46"/>
      <c r="M16" s="46"/>
      <c r="N16" s="48"/>
    </row>
    <row r="17" ht="8.75" customHeight="1" hidden="1">
      <c r="A17" s="39"/>
      <c r="B17" s="40"/>
      <c r="C17" s="41"/>
      <c r="D17" s="42"/>
      <c r="E17" s="42"/>
      <c r="F17" s="42"/>
      <c r="G17" s="43"/>
      <c r="H17" s="43"/>
      <c r="I17" s="43"/>
      <c r="J17" s="43"/>
      <c r="K17" s="42"/>
      <c r="L17" s="43"/>
      <c r="M17" s="43"/>
      <c r="N17" s="49"/>
    </row>
    <row r="18" ht="8.75" customHeight="1" hidden="1">
      <c r="A18" s="39"/>
      <c r="B18" s="40"/>
      <c r="C18" s="45"/>
      <c r="D18" s="46"/>
      <c r="E18" s="46"/>
      <c r="F18" s="46"/>
      <c r="G18" s="47"/>
      <c r="H18" s="50"/>
      <c r="I18" s="50"/>
      <c r="J18" s="50"/>
      <c r="K18" s="46"/>
      <c r="L18" s="46"/>
      <c r="M18" s="46"/>
      <c r="N18" s="48"/>
    </row>
    <row r="19" ht="8.75" customHeight="1" hidden="1">
      <c r="A19" s="39"/>
      <c r="B19" s="40"/>
      <c r="C19" s="41"/>
      <c r="D19" s="42"/>
      <c r="E19" s="42"/>
      <c r="F19" s="42"/>
      <c r="G19" s="43"/>
      <c r="H19" s="43"/>
      <c r="I19" s="43"/>
      <c r="J19" s="43"/>
      <c r="K19" s="42"/>
      <c r="L19" s="43"/>
      <c r="M19" s="43"/>
      <c r="N19" s="49"/>
    </row>
    <row r="20" ht="8.75" customHeight="1" hidden="1">
      <c r="A20" s="39"/>
      <c r="B20" s="40"/>
      <c r="C20" s="45"/>
      <c r="D20" s="46"/>
      <c r="E20" s="46"/>
      <c r="F20" s="46"/>
      <c r="G20" s="47"/>
      <c r="H20" s="46"/>
      <c r="I20" s="46"/>
      <c r="J20" s="46"/>
      <c r="K20" s="46"/>
      <c r="L20" s="46"/>
      <c r="M20" s="46"/>
      <c r="N20" s="48"/>
    </row>
    <row r="21" ht="8.75" customHeight="1" hidden="1">
      <c r="A21" s="39"/>
      <c r="B21" s="40"/>
      <c r="C21" s="41"/>
      <c r="D21" s="42"/>
      <c r="E21" s="42"/>
      <c r="F21" s="42"/>
      <c r="G21" s="43"/>
      <c r="H21" s="42"/>
      <c r="I21" s="42"/>
      <c r="J21" s="42"/>
      <c r="K21" s="42"/>
      <c r="L21" s="42"/>
      <c r="M21" s="42"/>
      <c r="N21" s="44"/>
    </row>
    <row r="22" ht="8.75" customHeight="1" hidden="1">
      <c r="A22" s="51"/>
      <c r="B22" s="40"/>
      <c r="C22" s="45"/>
      <c r="D22" s="46"/>
      <c r="E22" s="46"/>
      <c r="F22" s="46"/>
      <c r="G22" s="47"/>
      <c r="H22" s="46"/>
      <c r="I22" s="46"/>
      <c r="J22" s="46"/>
      <c r="K22" s="46"/>
      <c r="L22" s="46"/>
      <c r="M22" s="46"/>
      <c r="N22" s="48"/>
    </row>
    <row r="23" ht="8.75" customHeight="1" hidden="1">
      <c r="A23" s="51"/>
      <c r="B23" s="40"/>
      <c r="C23" s="41"/>
      <c r="D23" s="42"/>
      <c r="E23" s="42"/>
      <c r="F23" s="42"/>
      <c r="G23" s="43"/>
      <c r="H23" s="42"/>
      <c r="I23" s="42"/>
      <c r="J23" s="42"/>
      <c r="K23" s="42"/>
      <c r="L23" s="42"/>
      <c r="M23" s="42"/>
      <c r="N23" s="44"/>
    </row>
    <row r="24" ht="8.75" customHeight="1" hidden="1">
      <c r="A24" s="39"/>
      <c r="B24" s="40"/>
      <c r="C24" s="45"/>
      <c r="D24" s="46"/>
      <c r="E24" s="46"/>
      <c r="F24" s="46"/>
      <c r="G24" s="47"/>
      <c r="H24" s="46"/>
      <c r="I24" s="46"/>
      <c r="J24" s="46"/>
      <c r="K24" s="46"/>
      <c r="L24" s="47"/>
      <c r="M24" s="47"/>
      <c r="N24" s="52"/>
    </row>
    <row r="25" ht="8.75" customHeight="1" hidden="1">
      <c r="A25" s="39"/>
      <c r="B25" s="40"/>
      <c r="C25" s="41"/>
      <c r="D25" s="42"/>
      <c r="E25" s="42"/>
      <c r="F25" s="42"/>
      <c r="G25" s="43"/>
      <c r="H25" s="42"/>
      <c r="I25" s="42"/>
      <c r="J25" s="42"/>
      <c r="K25" s="42"/>
      <c r="L25" s="42"/>
      <c r="M25" s="42"/>
      <c r="N25" s="44"/>
    </row>
    <row r="26" ht="8.75" customHeight="1" hidden="1">
      <c r="A26" s="39"/>
      <c r="B26" s="40"/>
      <c r="C26" s="45"/>
      <c r="D26" s="46"/>
      <c r="E26" s="46"/>
      <c r="F26" s="46"/>
      <c r="G26" s="47"/>
      <c r="H26" s="46"/>
      <c r="I26" s="46"/>
      <c r="J26" s="46"/>
      <c r="K26" s="46"/>
      <c r="L26" s="47"/>
      <c r="M26" s="47"/>
      <c r="N26" s="52"/>
    </row>
    <row r="27" ht="20.85" customHeight="1">
      <c r="A27" s="108"/>
      <c r="B27" s="54"/>
      <c r="C27" s="54"/>
      <c r="D27" s="55"/>
      <c r="E27" s="55"/>
      <c r="F27" s="55"/>
      <c r="G27" s="56"/>
      <c r="H27" s="56"/>
      <c r="I27" s="54"/>
      <c r="J27" s="57"/>
      <c r="K27" t="s" s="58">
        <v>38</v>
      </c>
      <c r="L27" s="59" cm="1">
        <f t="array" ref="L27">SUM(L1:L26)</f>
        <v>90111148.95999999</v>
      </c>
      <c r="M27" s="59" cm="1">
        <f t="array" ref="M27">SUM(M1:M26)</f>
        <v>90010508</v>
      </c>
      <c r="N27" s="59" cm="1">
        <f t="array" ref="N27">SUM(N1:N26)</f>
        <v>90010508</v>
      </c>
    </row>
    <row r="28" ht="21" customHeight="1">
      <c r="A28" s="63" cm="1">
        <f t="array" ref="A28">ROUND(IF(I28&lt;=100000000,I28*0.24%,IF(AND(I28&gt;100000000,I28&lt;=500000000),100000000*0.24%+(I28-100000000)*0.19%,IF(AND(I28&gt;500000000,I28&lt;=1000000000),100000000*0.24%+400000000*0.19%+(I28-500000000)*0.15%,IF(AND(I28&gt;1000000000,I28&lt;=5000000000),100000000*0.24%+400000000*0.19%+500000000*0.15%+(I28-1000000000)*0.12%,IF(I28&gt;5000000000,100000000*0.24%+400000000*0.19%+500000000*0.15%+4000000000*0.12%+(I28-5000000000)*0.1%,"Bingung komputer"))))),2)</f>
        <v>0</v>
      </c>
      <c r="B28" t="s" s="109">
        <v>39</v>
      </c>
      <c r="C28" s="62"/>
      <c r="D28" s="63" cm="1">
        <f t="array" ref="D28">ROUND(IF(L28&lt;=100000000,L28*0.24%,IF(AND(L28&gt;100000000,L28&lt;=500000000),100000000*0.24%+(L28-100000000)*0.19%,IF(AND(L28&gt;500000000,L28&lt;=1000000000),100000000*0.24%+400000000*0.19%+(L28-500000000)*0.15%,IF(AND(L28&gt;1000000000,L28&lt;=5000000000),100000000*0.24%+400000000*0.19%+500000000*0.15%+(L28-1000000000)*0.12%,IF(L28&gt;5000000000,100000000*0.24%+400000000*0.19%+500000000*0.15%+4000000000*0.12%+(L28-5000000000)*0.1%,"Bingung komputer"))))),2)</f>
        <v>215748.96</v>
      </c>
      <c r="E28" s="64" cm="1">
        <f t="array" ref="E28">ROUND(IF(M28&lt;=100000000,M28*0.24%,IF(AND(M28&gt;100000000,M28&lt;=500000000),100000000*0.24%+(M28-100000000)*0.19%,IF(AND(M28&gt;500000000,M28&lt;=1000000000),100000000*0.24%+400000000*0.19%+(M28-500000000)*0.15%,IF(AND(M28&gt;1000000000,M28&lt;=5000000000),100000000*0.24%+400000000*0.19%+500000000*0.15%+(M28-1000000000)*0.12%,IF(M28&gt;5000000000,100000000*0.24%+400000000*0.19%+500000000*0.15%+4000000000*0.12%+(M28-5000000000)*0.1%,"Bingung komputer"))))),2)</f>
        <v>215508</v>
      </c>
      <c r="F28" s="64" cm="1">
        <f t="array" ref="F28">ROUND(IF(N28&lt;=100000000,N28*0.24%,IF(AND(N28&gt;100000000,N28&lt;=500000000),100000000*0.24%+(N28-100000000)*0.19%,IF(AND(N28&gt;500000000,N28&lt;=1000000000),100000000*0.24%+400000000*0.19%+(N28-500000000)*0.15%,IF(AND(N28&gt;1000000000,N28&lt;=5000000000),100000000*0.24%+400000000*0.19%+500000000*0.15%+(N28-1000000000)*0.12%,IF(N28&gt;5000000000,100000000*0.24%+400000000*0.19%+500000000*0.15%+4000000000*0.12%+(N28-5000000000)*0.1%,"Bingung komputer"))))),2)</f>
        <v>215508</v>
      </c>
      <c r="G28" s="65"/>
      <c r="H28" s="66"/>
      <c r="I28" s="68"/>
      <c r="J28" s="67"/>
      <c r="K28" t="str" s="67" cm="1">
        <f t="array" ref="K28">"Jumlah Terkena Pajak "&amp;MAX(K3:K26)&amp;"% (B)"</f>
        <v>Jumlah Terkena Pajak 11,00% (B)</v>
      </c>
      <c r="L28" s="68" cm="1">
        <f t="array" ref="L28">SUMIF($K3:$K26,"&gt;0",L3:L26)</f>
        <v>89895400</v>
      </c>
      <c r="M28" s="69" cm="1">
        <f t="array" ref="M28">SUMIF($K3:$K26,"&gt;0",M3:M26)</f>
        <v>89795000</v>
      </c>
      <c r="N28" s="69" cm="1">
        <f t="array" ref="N28">SUMIF($K3:$K26,"&gt;0",N3:N26)</f>
        <v>89795000</v>
      </c>
    </row>
    <row r="29" ht="21" customHeight="1">
      <c r="A29" s="70"/>
      <c r="B29" s="71"/>
      <c r="C29" s="71"/>
      <c r="D29" s="72"/>
      <c r="E29" s="72"/>
      <c r="F29" s="71"/>
      <c r="G29" s="72"/>
      <c r="H29" s="72"/>
      <c r="I29" s="74"/>
      <c r="J29" s="73"/>
      <c r="K29" t="str" s="73" cm="1">
        <f t="array" ref="K29">"PPN (C) = "&amp;MAX(K3:K26)&amp;"% x B"</f>
        <v>PPN (C) = 11,00% x B</v>
      </c>
      <c r="L29" s="74" cm="1">
        <f t="array" ref="L29">L28*MAX($K3:$K26)%</f>
        <v>9888494</v>
      </c>
      <c r="M29" s="69" cm="1">
        <f t="array" ref="M29">M28*MAX($K3:$K26)%</f>
        <v>9877450</v>
      </c>
      <c r="N29" s="69" cm="1">
        <f t="array" ref="N29">N28*MAX($K3:$K26)%</f>
        <v>9877450</v>
      </c>
    </row>
    <row r="30" ht="21" customHeight="1">
      <c r="A30" s="70"/>
      <c r="B30" s="71"/>
      <c r="C30" s="71"/>
      <c r="D30" t="s" s="110">
        <v>116</v>
      </c>
      <c r="E30" s="111">
        <v>100000000</v>
      </c>
      <c r="F30" s="112">
        <v>99784550</v>
      </c>
      <c r="G30" s="72"/>
      <c r="H30" s="72"/>
      <c r="I30" s="71"/>
      <c r="J30" s="73"/>
      <c r="K30" t="s" s="75">
        <v>42</v>
      </c>
      <c r="L30" s="76" cm="1">
        <f t="array" ref="L30">L27+L29</f>
        <v>99999642.95999999</v>
      </c>
      <c r="M30" s="69" cm="1">
        <f t="array" ref="M30">M27+M29</f>
        <v>99887958</v>
      </c>
      <c r="N30" s="69" cm="1">
        <f t="array" ref="N30">N27+N29</f>
        <v>99887958</v>
      </c>
    </row>
    <row r="31" ht="20.5" customHeight="1">
      <c r="A31" s="70"/>
      <c r="B31" s="71"/>
      <c r="C31" s="71"/>
      <c r="D31" s="72"/>
      <c r="E31" s="72" cm="1">
        <f t="array" ref="E31">E$30-L$31</f>
        <v>357.04</v>
      </c>
      <c r="F31" s="113" cm="1">
        <f t="array" ref="F31">ROUNDDOWN(E$30-D$28,2)</f>
        <v>99784251.04000001</v>
      </c>
      <c r="G31" s="72"/>
      <c r="H31" s="72"/>
      <c r="I31" s="71"/>
      <c r="J31" s="73"/>
      <c r="K31" t="s" s="75">
        <v>43</v>
      </c>
      <c r="L31" s="68" cm="1">
        <f t="array" ref="L31">ROUNDDOWN(L30,2)</f>
        <v>99999642.95999999</v>
      </c>
      <c r="M31" s="68" cm="1">
        <f t="array" ref="M31">ROUNDDOWN(M30,2)</f>
        <v>99887958</v>
      </c>
      <c r="N31" s="68" cm="1">
        <f t="array" ref="N31">ROUNDDOWN(N30,-3)</f>
        <v>99887000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88.xml><?xml version="1.0" encoding="utf-8"?>
<worksheet xmlns:r="http://schemas.openxmlformats.org/officeDocument/2006/relationships" xmlns="http://schemas.openxmlformats.org/spreadsheetml/2006/main">
  <sheetPr>
    <pageSetUpPr fitToPage="1"/>
  </sheetPr>
  <dimension ref="A1:N31"/>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273" customWidth="1"/>
    <col min="2" max="2" width="43.0312" style="273" customWidth="1"/>
    <col min="3" max="3" width="2.75" style="273" customWidth="1"/>
    <col min="4" max="6" width="10.3672" style="273" customWidth="1"/>
    <col min="7" max="7" width="11.6875" style="273" customWidth="1"/>
    <col min="8" max="11" width="13.5156" style="273" customWidth="1"/>
    <col min="12" max="14" width="14.2344" style="273" customWidth="1"/>
    <col min="15" max="16384" width="16.3516" style="273"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109</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s="95">
        <v>1</v>
      </c>
      <c r="B4" t="s" s="19">
        <v>110</v>
      </c>
      <c r="C4" s="20"/>
      <c r="D4" s="21">
        <v>1</v>
      </c>
      <c r="E4" s="21" cm="1">
        <f t="array" ref="E4">D4</f>
        <v>1</v>
      </c>
      <c r="F4" s="21" cm="1">
        <f t="array" ref="F4">D4</f>
        <v>1</v>
      </c>
      <c r="G4" t="s" s="22">
        <v>19</v>
      </c>
      <c r="H4" s="21" cm="1">
        <f t="array" ref="H4">ROUNDDOWN((F$30*0.1)*100/111,-2)</f>
        <v>4494700</v>
      </c>
      <c r="I4" s="21">
        <v>4490000</v>
      </c>
      <c r="J4" s="21">
        <v>4490000</v>
      </c>
      <c r="K4" s="21">
        <v>11</v>
      </c>
      <c r="L4" s="21" cm="1">
        <f t="array" ref="L4">IF(D4&gt;0,IF($D4&lt;=0,0,D4*H4),"")</f>
        <v>4494700</v>
      </c>
      <c r="M4" s="21" cm="1">
        <f t="array" ref="M4">IF(E4&gt;0,IF($D4&lt;=0,0,ROUND(E4*I4,2)),"")</f>
        <v>4490000</v>
      </c>
      <c r="N4" s="23" cm="1">
        <f t="array" ref="N4">IF(F4&gt;0,IF($D4&lt;=0,0,ROUND(F4*J4,2)),"")</f>
        <v>4490000</v>
      </c>
    </row>
    <row r="5" ht="20.5" customHeight="1">
      <c r="A5" s="95">
        <v>2</v>
      </c>
      <c r="B5" t="s" s="19">
        <v>111</v>
      </c>
      <c r="C5" s="24"/>
      <c r="D5" s="26">
        <v>1</v>
      </c>
      <c r="E5" s="26" cm="1">
        <f t="array" ref="E5">D5</f>
        <v>1</v>
      </c>
      <c r="F5" s="26" cm="1">
        <f t="array" ref="F5">D5</f>
        <v>1</v>
      </c>
      <c r="G5" t="s" s="27">
        <v>19</v>
      </c>
      <c r="H5" s="26" cm="1">
        <f t="array" ref="H5">ROUNDDOWN((F$30*0.2)*100/111,-2)</f>
        <v>8989500</v>
      </c>
      <c r="I5" s="26">
        <v>8970000</v>
      </c>
      <c r="J5" s="26">
        <v>8970000</v>
      </c>
      <c r="K5" s="26">
        <v>11</v>
      </c>
      <c r="L5" s="26" cm="1">
        <f t="array" ref="L5">IF(D5&gt;0,IF($D5&lt;=0,0,D5*H5),"")</f>
        <v>8989500</v>
      </c>
      <c r="M5" s="26" cm="1">
        <f t="array" ref="M5">IF(E5&gt;0,IF($D5&lt;=0,0,ROUND(E5*I5,2)),"")</f>
        <v>8970000</v>
      </c>
      <c r="N5" s="28" cm="1">
        <f t="array" ref="N5">IF(F5&gt;0,IF($D5&lt;=0,0,ROUND(F5*J5,2)),"")</f>
        <v>8970000</v>
      </c>
    </row>
    <row r="6" ht="20.5" customHeight="1">
      <c r="A6" s="95">
        <v>3</v>
      </c>
      <c r="B6" t="s" s="19">
        <v>112</v>
      </c>
      <c r="C6" s="20"/>
      <c r="D6" s="21">
        <v>1</v>
      </c>
      <c r="E6" s="21" cm="1">
        <f t="array" ref="E6">D6</f>
        <v>1</v>
      </c>
      <c r="F6" s="21" cm="1">
        <f t="array" ref="F6">D6</f>
        <v>1</v>
      </c>
      <c r="G6" t="s" s="22">
        <v>19</v>
      </c>
      <c r="H6" s="21" cm="1">
        <f t="array" ref="H6">ROUNDDOWN((F$30*0.25)*100/111,-2)</f>
        <v>11236900</v>
      </c>
      <c r="I6" s="21">
        <v>11230000</v>
      </c>
      <c r="J6" s="21">
        <v>11230000</v>
      </c>
      <c r="K6" s="21">
        <v>11</v>
      </c>
      <c r="L6" s="21" cm="1">
        <f t="array" ref="L6">IF(D6&gt;0,IF($D6&lt;=0,0,D6*H6),"")</f>
        <v>11236900</v>
      </c>
      <c r="M6" s="21" cm="1">
        <f t="array" ref="M6">IF(E6&gt;0,IF($D6&lt;=0,0,ROUND(E6*I6,2)),"")</f>
        <v>11230000</v>
      </c>
      <c r="N6" s="23" cm="1">
        <f t="array" ref="N6">IF(F6&gt;0,IF($D6&lt;=0,0,ROUND(F6*J6,2)),"")</f>
        <v>11230000</v>
      </c>
    </row>
    <row r="7" ht="68.5" customHeight="1">
      <c r="A7" s="95">
        <v>5</v>
      </c>
      <c r="B7" t="s" s="19">
        <v>113</v>
      </c>
      <c r="C7" s="24"/>
      <c r="D7" s="26">
        <v>1</v>
      </c>
      <c r="E7" s="26" cm="1">
        <f t="array" ref="E7">D7</f>
        <v>1</v>
      </c>
      <c r="F7" s="26" cm="1">
        <f t="array" ref="F7">D7</f>
        <v>1</v>
      </c>
      <c r="G7" t="s" s="27">
        <v>19</v>
      </c>
      <c r="H7" s="26" cm="1">
        <f t="array" ref="H7">ROUNDDOWN((F$30*0.25)*100/111,-2)</f>
        <v>11236900</v>
      </c>
      <c r="I7" s="26">
        <v>11210000</v>
      </c>
      <c r="J7" s="26">
        <v>11210000</v>
      </c>
      <c r="K7" s="26">
        <v>11</v>
      </c>
      <c r="L7" s="26" cm="1">
        <f t="array" ref="L7">IF(D7&gt;0,IF($D7&lt;=0,0,D7*H7),"")</f>
        <v>11236900</v>
      </c>
      <c r="M7" s="26" cm="1">
        <f t="array" ref="M7">IF(E7&gt;0,IF($D7&lt;=0,0,ROUND(E7*I7,2)),"")</f>
        <v>11210000</v>
      </c>
      <c r="N7" s="28" cm="1">
        <f t="array" ref="N7">IF(F7&gt;0,IF($D7&lt;=0,0,ROUND(F7*J7,2)),"")</f>
        <v>11210000</v>
      </c>
    </row>
    <row r="8" ht="32.5" customHeight="1">
      <c r="A8" s="95">
        <v>6</v>
      </c>
      <c r="B8" t="s" s="19">
        <v>114</v>
      </c>
      <c r="C8" s="20"/>
      <c r="D8" s="21">
        <v>1</v>
      </c>
      <c r="E8" s="21" cm="1">
        <f t="array" ref="E8">D8</f>
        <v>1</v>
      </c>
      <c r="F8" s="21" cm="1">
        <f t="array" ref="F8">D8</f>
        <v>1</v>
      </c>
      <c r="G8" t="s" s="22">
        <v>19</v>
      </c>
      <c r="H8" s="21" cm="1">
        <f t="array" ref="H8">ROUNDDOWN((F$30*0.05)*100/111,-2)</f>
        <v>2247300</v>
      </c>
      <c r="I8" s="21">
        <v>2230000</v>
      </c>
      <c r="J8" s="21">
        <v>2230000</v>
      </c>
      <c r="K8" s="21">
        <v>11</v>
      </c>
      <c r="L8" s="21" cm="1">
        <f t="array" ref="L8">IF(D8&gt;0,IF($D8&lt;=0,0,D8*H8),"")</f>
        <v>2247300</v>
      </c>
      <c r="M8" s="21" cm="1">
        <f t="array" ref="M8">IF(E8&gt;0,IF($D8&lt;=0,0,ROUND(E8*I8,2)),"")</f>
        <v>2230000</v>
      </c>
      <c r="N8" s="23" cm="1">
        <f t="array" ref="N8">IF(F8&gt;0,IF($D8&lt;=0,0,ROUND(F8*J8,2)),"")</f>
        <v>2230000</v>
      </c>
    </row>
    <row r="9" ht="20.5" customHeight="1">
      <c r="A9" s="95">
        <v>7</v>
      </c>
      <c r="B9" t="s" s="19">
        <v>115</v>
      </c>
      <c r="C9" s="24"/>
      <c r="D9" s="26">
        <v>1</v>
      </c>
      <c r="E9" s="26" cm="1">
        <f t="array" ref="E9">D9</f>
        <v>1</v>
      </c>
      <c r="F9" s="26" cm="1">
        <f t="array" ref="F9">D9</f>
        <v>1</v>
      </c>
      <c r="G9" t="s" s="27">
        <v>19</v>
      </c>
      <c r="H9" s="26" cm="1">
        <f t="array" ref="H9">ROUNDDOWN((F$30*0.15)*100/111,-2)</f>
        <v>6742100</v>
      </c>
      <c r="I9" s="26">
        <v>6720000</v>
      </c>
      <c r="J9" s="26">
        <v>6720000</v>
      </c>
      <c r="K9" s="26">
        <v>11</v>
      </c>
      <c r="L9" s="26" cm="1">
        <f t="array" ref="L9">IF(D9&gt;0,IF($D9&lt;=0,0,D9*H9),"")</f>
        <v>6742100</v>
      </c>
      <c r="M9" s="26" cm="1">
        <f t="array" ref="M9">IF(E9&gt;0,IF($D9&lt;=0,0,ROUND(E9*I9,2)),"")</f>
        <v>6720000</v>
      </c>
      <c r="N9" s="28" cm="1">
        <f t="array" ref="N9">IF(F9&gt;0,IF($D9&lt;=0,0,ROUND(F9*J9,2)),"")</f>
        <v>6720000</v>
      </c>
    </row>
    <row r="10" ht="20.6" customHeight="1">
      <c r="A10" s="33">
        <v>8</v>
      </c>
      <c r="B10" t="s" s="34">
        <v>37</v>
      </c>
      <c r="C10" s="35"/>
      <c r="D10" s="36">
        <v>1</v>
      </c>
      <c r="E10" s="36" cm="1">
        <f t="array" ref="E10">D10</f>
        <v>1</v>
      </c>
      <c r="F10" s="36" cm="1">
        <f t="array" ref="F10">D10</f>
        <v>1</v>
      </c>
      <c r="G10" t="s" s="37">
        <v>19</v>
      </c>
      <c r="H10" s="36">
        <v>107640.48</v>
      </c>
      <c r="I10" s="36">
        <v>107640</v>
      </c>
      <c r="J10" s="36">
        <v>107640</v>
      </c>
      <c r="K10" s="36">
        <v>0</v>
      </c>
      <c r="L10" s="36" cm="1">
        <f t="array" ref="L10">IF(D10&gt;0,IF($D10&lt;=0,0,D10*H10),"")</f>
        <v>107640.48</v>
      </c>
      <c r="M10" s="36" cm="1">
        <f t="array" ref="M10">IF(E10&gt;0,IF($D10&lt;=0,0,ROUND(E10*I10,2)),"")</f>
        <v>107640</v>
      </c>
      <c r="N10" s="38" cm="1">
        <f t="array" ref="N10">IF(F10&gt;0,IF($D10&lt;=0,0,ROUND(F10*J10,2)),"")</f>
        <v>107640</v>
      </c>
    </row>
    <row r="11" ht="8.75" customHeight="1" hidden="1">
      <c r="A11" s="39"/>
      <c r="B11" s="40"/>
      <c r="C11" s="41"/>
      <c r="D11" s="42"/>
      <c r="E11" s="42"/>
      <c r="F11" s="42"/>
      <c r="G11" s="43"/>
      <c r="H11" s="42"/>
      <c r="I11" s="42"/>
      <c r="J11" s="42"/>
      <c r="K11" s="42"/>
      <c r="L11" s="42"/>
      <c r="M11" s="42"/>
      <c r="N11" s="44"/>
    </row>
    <row r="12" ht="8.75" customHeight="1" hidden="1">
      <c r="A12" s="39"/>
      <c r="B12" s="40"/>
      <c r="C12" s="45"/>
      <c r="D12" s="46"/>
      <c r="E12" s="46"/>
      <c r="F12" s="46"/>
      <c r="G12" s="47"/>
      <c r="H12" s="46"/>
      <c r="I12" s="46"/>
      <c r="J12" s="46"/>
      <c r="K12" s="46"/>
      <c r="L12" s="46"/>
      <c r="M12" s="46"/>
      <c r="N12" s="48"/>
    </row>
    <row r="13" ht="8.75" customHeight="1" hidden="1">
      <c r="A13" s="39"/>
      <c r="B13" s="40"/>
      <c r="C13" s="41"/>
      <c r="D13" s="42"/>
      <c r="E13" s="42"/>
      <c r="F13" s="42"/>
      <c r="G13" s="43"/>
      <c r="H13" s="42"/>
      <c r="I13" s="42"/>
      <c r="J13" s="42"/>
      <c r="K13" s="42"/>
      <c r="L13" s="42"/>
      <c r="M13" s="42"/>
      <c r="N13" s="44"/>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2"/>
      <c r="I15" s="42"/>
      <c r="J15" s="42"/>
      <c r="K15" s="42"/>
      <c r="L15" s="42"/>
      <c r="M15" s="42"/>
      <c r="N15" s="44"/>
    </row>
    <row r="16" ht="8.75" customHeight="1" hidden="1">
      <c r="A16" s="39"/>
      <c r="B16" s="40"/>
      <c r="C16" s="45"/>
      <c r="D16" s="46"/>
      <c r="E16" s="46"/>
      <c r="F16" s="46"/>
      <c r="G16" s="47"/>
      <c r="H16" s="46"/>
      <c r="I16" s="46"/>
      <c r="J16" s="46"/>
      <c r="K16" s="46"/>
      <c r="L16" s="46"/>
      <c r="M16" s="46"/>
      <c r="N16" s="48"/>
    </row>
    <row r="17" ht="8.75" customHeight="1" hidden="1">
      <c r="A17" s="39"/>
      <c r="B17" s="40"/>
      <c r="C17" s="41"/>
      <c r="D17" s="42"/>
      <c r="E17" s="42"/>
      <c r="F17" s="42"/>
      <c r="G17" s="43"/>
      <c r="H17" s="43"/>
      <c r="I17" s="43"/>
      <c r="J17" s="43"/>
      <c r="K17" s="42"/>
      <c r="L17" s="43"/>
      <c r="M17" s="43"/>
      <c r="N17" s="49"/>
    </row>
    <row r="18" ht="8.75" customHeight="1" hidden="1">
      <c r="A18" s="39"/>
      <c r="B18" s="40"/>
      <c r="C18" s="45"/>
      <c r="D18" s="46"/>
      <c r="E18" s="46"/>
      <c r="F18" s="46"/>
      <c r="G18" s="47"/>
      <c r="H18" s="50"/>
      <c r="I18" s="50"/>
      <c r="J18" s="50"/>
      <c r="K18" s="46"/>
      <c r="L18" s="46"/>
      <c r="M18" s="46"/>
      <c r="N18" s="48"/>
    </row>
    <row r="19" ht="8.75" customHeight="1" hidden="1">
      <c r="A19" s="39"/>
      <c r="B19" s="40"/>
      <c r="C19" s="41"/>
      <c r="D19" s="42"/>
      <c r="E19" s="42"/>
      <c r="F19" s="42"/>
      <c r="G19" s="43"/>
      <c r="H19" s="43"/>
      <c r="I19" s="43"/>
      <c r="J19" s="43"/>
      <c r="K19" s="42"/>
      <c r="L19" s="43"/>
      <c r="M19" s="43"/>
      <c r="N19" s="49"/>
    </row>
    <row r="20" ht="8.75" customHeight="1" hidden="1">
      <c r="A20" s="39"/>
      <c r="B20" s="40"/>
      <c r="C20" s="45"/>
      <c r="D20" s="46"/>
      <c r="E20" s="46"/>
      <c r="F20" s="46"/>
      <c r="G20" s="47"/>
      <c r="H20" s="46"/>
      <c r="I20" s="46"/>
      <c r="J20" s="46"/>
      <c r="K20" s="46"/>
      <c r="L20" s="46"/>
      <c r="M20" s="46"/>
      <c r="N20" s="48"/>
    </row>
    <row r="21" ht="8.75" customHeight="1" hidden="1">
      <c r="A21" s="39"/>
      <c r="B21" s="40"/>
      <c r="C21" s="41"/>
      <c r="D21" s="42"/>
      <c r="E21" s="42"/>
      <c r="F21" s="42"/>
      <c r="G21" s="43"/>
      <c r="H21" s="42"/>
      <c r="I21" s="42"/>
      <c r="J21" s="42"/>
      <c r="K21" s="42"/>
      <c r="L21" s="42"/>
      <c r="M21" s="42"/>
      <c r="N21" s="44"/>
    </row>
    <row r="22" ht="8.75" customHeight="1" hidden="1">
      <c r="A22" s="51"/>
      <c r="B22" s="40"/>
      <c r="C22" s="45"/>
      <c r="D22" s="46"/>
      <c r="E22" s="46"/>
      <c r="F22" s="46"/>
      <c r="G22" s="47"/>
      <c r="H22" s="46"/>
      <c r="I22" s="46"/>
      <c r="J22" s="46"/>
      <c r="K22" s="46"/>
      <c r="L22" s="46"/>
      <c r="M22" s="46"/>
      <c r="N22" s="48"/>
    </row>
    <row r="23" ht="8.75" customHeight="1" hidden="1">
      <c r="A23" s="51"/>
      <c r="B23" s="40"/>
      <c r="C23" s="41"/>
      <c r="D23" s="42"/>
      <c r="E23" s="42"/>
      <c r="F23" s="42"/>
      <c r="G23" s="43"/>
      <c r="H23" s="42"/>
      <c r="I23" s="42"/>
      <c r="J23" s="42"/>
      <c r="K23" s="42"/>
      <c r="L23" s="42"/>
      <c r="M23" s="42"/>
      <c r="N23" s="44"/>
    </row>
    <row r="24" ht="8.75" customHeight="1" hidden="1">
      <c r="A24" s="39"/>
      <c r="B24" s="40"/>
      <c r="C24" s="45"/>
      <c r="D24" s="46"/>
      <c r="E24" s="46"/>
      <c r="F24" s="46"/>
      <c r="G24" s="47"/>
      <c r="H24" s="46"/>
      <c r="I24" s="46"/>
      <c r="J24" s="46"/>
      <c r="K24" s="46"/>
      <c r="L24" s="47"/>
      <c r="M24" s="47"/>
      <c r="N24" s="52"/>
    </row>
    <row r="25" ht="8.75" customHeight="1" hidden="1">
      <c r="A25" s="39"/>
      <c r="B25" s="40"/>
      <c r="C25" s="41"/>
      <c r="D25" s="42"/>
      <c r="E25" s="42"/>
      <c r="F25" s="42"/>
      <c r="G25" s="43"/>
      <c r="H25" s="42"/>
      <c r="I25" s="42"/>
      <c r="J25" s="42"/>
      <c r="K25" s="42"/>
      <c r="L25" s="42"/>
      <c r="M25" s="42"/>
      <c r="N25" s="44"/>
    </row>
    <row r="26" ht="8.75" customHeight="1" hidden="1">
      <c r="A26" s="39"/>
      <c r="B26" s="40"/>
      <c r="C26" s="45"/>
      <c r="D26" s="46"/>
      <c r="E26" s="46"/>
      <c r="F26" s="46"/>
      <c r="G26" s="47"/>
      <c r="H26" s="46"/>
      <c r="I26" s="46"/>
      <c r="J26" s="46"/>
      <c r="K26" s="46"/>
      <c r="L26" s="47"/>
      <c r="M26" s="47"/>
      <c r="N26" s="52"/>
    </row>
    <row r="27" ht="20.85" customHeight="1">
      <c r="A27" s="108"/>
      <c r="B27" s="54"/>
      <c r="C27" s="54"/>
      <c r="D27" s="55"/>
      <c r="E27" s="55"/>
      <c r="F27" s="55"/>
      <c r="G27" s="56"/>
      <c r="H27" s="56"/>
      <c r="I27" s="54"/>
      <c r="J27" s="57"/>
      <c r="K27" t="s" s="58">
        <v>38</v>
      </c>
      <c r="L27" s="59" cm="1">
        <f t="array" ref="L27">SUM(L1:L26)</f>
        <v>45055040.48</v>
      </c>
      <c r="M27" s="59" cm="1">
        <f t="array" ref="M27">SUM(M1:M26)</f>
        <v>44957640</v>
      </c>
      <c r="N27" s="59" cm="1">
        <f t="array" ref="N27">SUM(N1:N26)</f>
        <v>44957640</v>
      </c>
    </row>
    <row r="28" ht="21" customHeight="1">
      <c r="A28" s="63" cm="1">
        <f t="array" ref="A28">ROUND(IF(I28&lt;=100000000,I28*0.24%,IF(AND(I28&gt;100000000,I28&lt;=500000000),100000000*0.24%+(I28-100000000)*0.19%,IF(AND(I28&gt;500000000,I28&lt;=1000000000),100000000*0.24%+400000000*0.19%+(I28-500000000)*0.15%,IF(AND(I28&gt;1000000000,I28&lt;=5000000000),100000000*0.24%+400000000*0.19%+500000000*0.15%+(I28-1000000000)*0.12%,IF(I28&gt;5000000000,100000000*0.24%+400000000*0.19%+500000000*0.15%+4000000000*0.12%+(I28-5000000000)*0.1%,"Bingung komputer"))))),2)</f>
        <v>0</v>
      </c>
      <c r="B28" t="s" s="109">
        <v>39</v>
      </c>
      <c r="C28" s="62"/>
      <c r="D28" s="63" cm="1">
        <f t="array" ref="D28">ROUND(IF(L28&lt;=100000000,L28*0.24%,IF(AND(L28&gt;100000000,L28&lt;=500000000),100000000*0.24%+(L28-100000000)*0.19%,IF(AND(L28&gt;500000000,L28&lt;=1000000000),100000000*0.24%+400000000*0.19%+(L28-500000000)*0.15%,IF(AND(L28&gt;1000000000,L28&lt;=5000000000),100000000*0.24%+400000000*0.19%+500000000*0.15%+(L28-1000000000)*0.12%,IF(L28&gt;5000000000,100000000*0.24%+400000000*0.19%+500000000*0.15%+4000000000*0.12%+(L28-5000000000)*0.1%,"Bingung komputer"))))),2)</f>
        <v>107873.76</v>
      </c>
      <c r="E28" s="64" cm="1">
        <f t="array" ref="E28">ROUND(IF(M28&lt;=100000000,M28*0.24%,IF(AND(M28&gt;100000000,M28&lt;=500000000),100000000*0.24%+(M28-100000000)*0.19%,IF(AND(M28&gt;500000000,M28&lt;=1000000000),100000000*0.24%+400000000*0.19%+(M28-500000000)*0.15%,IF(AND(M28&gt;1000000000,M28&lt;=5000000000),100000000*0.24%+400000000*0.19%+500000000*0.15%+(M28-1000000000)*0.12%,IF(M28&gt;5000000000,100000000*0.24%+400000000*0.19%+500000000*0.15%+4000000000*0.12%+(M28-5000000000)*0.1%,"Bingung komputer"))))),2)</f>
        <v>107640</v>
      </c>
      <c r="F28" s="64" cm="1">
        <f t="array" ref="F28">ROUND(IF(N28&lt;=100000000,N28*0.24%,IF(AND(N28&gt;100000000,N28&lt;=500000000),100000000*0.24%+(N28-100000000)*0.19%,IF(AND(N28&gt;500000000,N28&lt;=1000000000),100000000*0.24%+400000000*0.19%+(N28-500000000)*0.15%,IF(AND(N28&gt;1000000000,N28&lt;=5000000000),100000000*0.24%+400000000*0.19%+500000000*0.15%+(N28-1000000000)*0.12%,IF(N28&gt;5000000000,100000000*0.24%+400000000*0.19%+500000000*0.15%+4000000000*0.12%+(N28-5000000000)*0.1%,"Bingung komputer"))))),2)</f>
        <v>107640</v>
      </c>
      <c r="G28" s="65"/>
      <c r="H28" s="66"/>
      <c r="I28" s="68"/>
      <c r="J28" s="67"/>
      <c r="K28" t="str" s="67" cm="1">
        <f t="array" ref="K28">"Jumlah Terkena Pajak "&amp;MAX(K3:K26)&amp;"% (B)"</f>
        <v>Jumlah Terkena Pajak 11,00% (B)</v>
      </c>
      <c r="L28" s="68" cm="1">
        <f t="array" ref="L28">SUMIF($K3:$K26,"&gt;0",L3:L26)</f>
        <v>44947400</v>
      </c>
      <c r="M28" s="69" cm="1">
        <f t="array" ref="M28">SUMIF($K3:$K26,"&gt;0",M3:M26)</f>
        <v>44850000</v>
      </c>
      <c r="N28" s="69" cm="1">
        <f t="array" ref="N28">SUMIF($K3:$K26,"&gt;0",N3:N26)</f>
        <v>44850000</v>
      </c>
    </row>
    <row r="29" ht="21" customHeight="1">
      <c r="A29" s="70"/>
      <c r="B29" s="71"/>
      <c r="C29" s="71"/>
      <c r="D29" s="72"/>
      <c r="E29" s="72"/>
      <c r="F29" s="71"/>
      <c r="G29" s="72"/>
      <c r="H29" s="72"/>
      <c r="I29" s="74"/>
      <c r="J29" s="73"/>
      <c r="K29" t="str" s="73" cm="1">
        <f t="array" ref="K29">"PPN (C) = "&amp;MAX(K3:K26)&amp;"% x B"</f>
        <v>PPN (C) = 11,00% x B</v>
      </c>
      <c r="L29" s="74" cm="1">
        <f t="array" ref="L29">L28*MAX($K3:$K26)%</f>
        <v>4944214</v>
      </c>
      <c r="M29" s="69" cm="1">
        <f t="array" ref="M29">M28*MAX($K3:$K26)%</f>
        <v>4933500</v>
      </c>
      <c r="N29" s="69" cm="1">
        <f t="array" ref="N29">N28*MAX($K3:$K26)%</f>
        <v>4933500</v>
      </c>
    </row>
    <row r="30" ht="21" customHeight="1">
      <c r="A30" s="70"/>
      <c r="B30" s="71"/>
      <c r="C30" s="71"/>
      <c r="D30" t="s" s="110">
        <v>116</v>
      </c>
      <c r="E30" s="111">
        <v>50000000</v>
      </c>
      <c r="F30" s="112">
        <v>49892000</v>
      </c>
      <c r="G30" s="72"/>
      <c r="H30" s="72"/>
      <c r="I30" s="71"/>
      <c r="J30" s="73"/>
      <c r="K30" t="s" s="75">
        <v>42</v>
      </c>
      <c r="L30" s="76" cm="1">
        <f t="array" ref="L30">L27+L29</f>
        <v>49999254.48</v>
      </c>
      <c r="M30" s="69" cm="1">
        <f t="array" ref="M30">M27+M29</f>
        <v>49891140</v>
      </c>
      <c r="N30" s="69" cm="1">
        <f t="array" ref="N30">N27+N29</f>
        <v>49891140</v>
      </c>
    </row>
    <row r="31" ht="20.5" customHeight="1">
      <c r="A31" s="70"/>
      <c r="B31" s="71"/>
      <c r="C31" s="71"/>
      <c r="D31" s="72"/>
      <c r="E31" s="72" cm="1">
        <f t="array" ref="E31">E$30-L$31</f>
        <v>745.52</v>
      </c>
      <c r="F31" s="113" cm="1">
        <f t="array" ref="F31">ROUNDDOWN(E$30-D$28,2)</f>
        <v>49892126.24</v>
      </c>
      <c r="G31" s="72"/>
      <c r="H31" s="72"/>
      <c r="I31" s="71"/>
      <c r="J31" s="73"/>
      <c r="K31" t="s" s="75">
        <v>43</v>
      </c>
      <c r="L31" s="68" cm="1">
        <f t="array" ref="L31">ROUNDDOWN(L30,2)</f>
        <v>49999254.48</v>
      </c>
      <c r="M31" s="68" cm="1">
        <f t="array" ref="M31">ROUNDDOWN(M30,2)</f>
        <v>49891140</v>
      </c>
      <c r="N31" s="68" cm="1">
        <f t="array" ref="N31">ROUNDDOWN(N30,-3)</f>
        <v>49891000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89.xml><?xml version="1.0" encoding="utf-8"?>
<worksheet xmlns:r="http://schemas.openxmlformats.org/officeDocument/2006/relationships" xmlns="http://schemas.openxmlformats.org/spreadsheetml/2006/main">
  <sheetPr>
    <pageSetUpPr fitToPage="1"/>
  </sheetPr>
  <dimension ref="A1:N31"/>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274" customWidth="1"/>
    <col min="2" max="2" width="43.0312" style="274" customWidth="1"/>
    <col min="3" max="3" width="2.75" style="274" customWidth="1"/>
    <col min="4" max="6" width="10.3672" style="274" customWidth="1"/>
    <col min="7" max="7" width="11.6875" style="274" customWidth="1"/>
    <col min="8" max="11" width="13.5156" style="274" customWidth="1"/>
    <col min="12" max="14" width="14.2344" style="274" customWidth="1"/>
    <col min="15" max="16384" width="16.3516" style="274"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109</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s="95">
        <v>1</v>
      </c>
      <c r="B4" t="s" s="19">
        <v>110</v>
      </c>
      <c r="C4" s="20"/>
      <c r="D4" s="21">
        <v>1</v>
      </c>
      <c r="E4" s="21" cm="1">
        <f t="array" ref="E4">D4</f>
        <v>1</v>
      </c>
      <c r="F4" s="21" cm="1">
        <f t="array" ref="F4">D4</f>
        <v>1</v>
      </c>
      <c r="G4" t="s" s="22">
        <v>19</v>
      </c>
      <c r="H4" s="21" cm="1">
        <f t="array" ref="H4">ROUNDDOWN((F$30*0.1)*100/111,-2)</f>
        <v>404500</v>
      </c>
      <c r="I4" s="21">
        <v>404500</v>
      </c>
      <c r="J4" s="21">
        <v>404500</v>
      </c>
      <c r="K4" s="21">
        <v>11</v>
      </c>
      <c r="L4" s="21" cm="1">
        <f t="array" ref="L4">IF(D4&gt;0,IF($D4&lt;=0,0,D4*H4),"")</f>
        <v>404500</v>
      </c>
      <c r="M4" s="21" cm="1">
        <f t="array" ref="M4">IF(E4&gt;0,IF($D4&lt;=0,0,ROUND(E4*I4,2)),"")</f>
        <v>404500</v>
      </c>
      <c r="N4" s="23" cm="1">
        <f t="array" ref="N4">IF(F4&gt;0,IF($D4&lt;=0,0,ROUND(F4*J4,2)),"")</f>
        <v>404500</v>
      </c>
    </row>
    <row r="5" ht="20.5" customHeight="1">
      <c r="A5" s="95">
        <v>2</v>
      </c>
      <c r="B5" t="s" s="19">
        <v>111</v>
      </c>
      <c r="C5" s="24"/>
      <c r="D5" s="26">
        <v>1</v>
      </c>
      <c r="E5" s="26" cm="1">
        <f t="array" ref="E5">D5</f>
        <v>1</v>
      </c>
      <c r="F5" s="26" cm="1">
        <f t="array" ref="F5">D5</f>
        <v>1</v>
      </c>
      <c r="G5" t="s" s="27">
        <v>19</v>
      </c>
      <c r="H5" s="26" cm="1">
        <f t="array" ref="H5">ROUNDDOWN((F$30*0.2)*100/111,-2)</f>
        <v>809000</v>
      </c>
      <c r="I5" s="26">
        <v>809000</v>
      </c>
      <c r="J5" s="26">
        <v>809000</v>
      </c>
      <c r="K5" s="26">
        <v>11</v>
      </c>
      <c r="L5" s="26" cm="1">
        <f t="array" ref="L5">IF(D5&gt;0,IF($D5&lt;=0,0,D5*H5),"")</f>
        <v>809000</v>
      </c>
      <c r="M5" s="26" cm="1">
        <f t="array" ref="M5">IF(E5&gt;0,IF($D5&lt;=0,0,ROUND(E5*I5,2)),"")</f>
        <v>809000</v>
      </c>
      <c r="N5" s="28" cm="1">
        <f t="array" ref="N5">IF(F5&gt;0,IF($D5&lt;=0,0,ROUND(F5*J5,2)),"")</f>
        <v>809000</v>
      </c>
    </row>
    <row r="6" ht="20.5" customHeight="1">
      <c r="A6" s="95">
        <v>3</v>
      </c>
      <c r="B6" t="s" s="19">
        <v>112</v>
      </c>
      <c r="C6" s="20"/>
      <c r="D6" s="21">
        <v>1</v>
      </c>
      <c r="E6" s="21" cm="1">
        <f t="array" ref="E6">D6</f>
        <v>1</v>
      </c>
      <c r="F6" s="21" cm="1">
        <f t="array" ref="F6">D6</f>
        <v>1</v>
      </c>
      <c r="G6" t="s" s="22">
        <v>19</v>
      </c>
      <c r="H6" s="21" cm="1">
        <f t="array" ref="H6">ROUNDDOWN((F$30*0.25)*100/111,-2)</f>
        <v>1011300</v>
      </c>
      <c r="I6" s="21">
        <v>1011000</v>
      </c>
      <c r="J6" s="21">
        <v>1011000</v>
      </c>
      <c r="K6" s="21">
        <v>11</v>
      </c>
      <c r="L6" s="21" cm="1">
        <f t="array" ref="L6">IF(D6&gt;0,IF($D6&lt;=0,0,D6*H6),"")</f>
        <v>1011300</v>
      </c>
      <c r="M6" s="21" cm="1">
        <f t="array" ref="M6">IF(E6&gt;0,IF($D6&lt;=0,0,ROUND(E6*I6,2)),"")</f>
        <v>1011000</v>
      </c>
      <c r="N6" s="23" cm="1">
        <f t="array" ref="N6">IF(F6&gt;0,IF($D6&lt;=0,0,ROUND(F6*J6,2)),"")</f>
        <v>1011000</v>
      </c>
    </row>
    <row r="7" ht="68.5" customHeight="1">
      <c r="A7" s="95">
        <v>5</v>
      </c>
      <c r="B7" t="s" s="19">
        <v>113</v>
      </c>
      <c r="C7" s="24"/>
      <c r="D7" s="26">
        <v>1</v>
      </c>
      <c r="E7" s="26" cm="1">
        <f t="array" ref="E7">D7</f>
        <v>1</v>
      </c>
      <c r="F7" s="26" cm="1">
        <f t="array" ref="F7">D7</f>
        <v>1</v>
      </c>
      <c r="G7" t="s" s="27">
        <v>19</v>
      </c>
      <c r="H7" s="26" cm="1">
        <f t="array" ref="H7">ROUNDDOWN((F$30*0.25)*100/111,-2)</f>
        <v>1011300</v>
      </c>
      <c r="I7" s="26">
        <v>1011200</v>
      </c>
      <c r="J7" s="26">
        <v>1011200</v>
      </c>
      <c r="K7" s="26">
        <v>11</v>
      </c>
      <c r="L7" s="26" cm="1">
        <f t="array" ref="L7">IF(D7&gt;0,IF($D7&lt;=0,0,D7*H7),"")</f>
        <v>1011300</v>
      </c>
      <c r="M7" s="26" cm="1">
        <f t="array" ref="M7">IF(E7&gt;0,IF($D7&lt;=0,0,ROUND(E7*I7,2)),"")</f>
        <v>1011200</v>
      </c>
      <c r="N7" s="28" cm="1">
        <f t="array" ref="N7">IF(F7&gt;0,IF($D7&lt;=0,0,ROUND(F7*J7,2)),"")</f>
        <v>1011200</v>
      </c>
    </row>
    <row r="8" ht="32.5" customHeight="1">
      <c r="A8" s="95">
        <v>6</v>
      </c>
      <c r="B8" t="s" s="19">
        <v>114</v>
      </c>
      <c r="C8" s="20"/>
      <c r="D8" s="21">
        <v>1</v>
      </c>
      <c r="E8" s="21" cm="1">
        <f t="array" ref="E8">D8</f>
        <v>1</v>
      </c>
      <c r="F8" s="21" cm="1">
        <f t="array" ref="F8">D8</f>
        <v>1</v>
      </c>
      <c r="G8" t="s" s="22">
        <v>19</v>
      </c>
      <c r="H8" s="21" cm="1">
        <f t="array" ref="H8">ROUNDDOWN((F$30*0.05)*100/111,-2)</f>
        <v>202200</v>
      </c>
      <c r="I8" s="21">
        <v>202200</v>
      </c>
      <c r="J8" s="21">
        <v>202200</v>
      </c>
      <c r="K8" s="21">
        <v>11</v>
      </c>
      <c r="L8" s="21" cm="1">
        <f t="array" ref="L8">IF(D8&gt;0,IF($D8&lt;=0,0,D8*H8),"")</f>
        <v>202200</v>
      </c>
      <c r="M8" s="21" cm="1">
        <f t="array" ref="M8">IF(E8&gt;0,IF($D8&lt;=0,0,ROUND(E8*I8,2)),"")</f>
        <v>202200</v>
      </c>
      <c r="N8" s="23" cm="1">
        <f t="array" ref="N8">IF(F8&gt;0,IF($D8&lt;=0,0,ROUND(F8*J8,2)),"")</f>
        <v>202200</v>
      </c>
    </row>
    <row r="9" ht="20.5" customHeight="1">
      <c r="A9" s="95">
        <v>7</v>
      </c>
      <c r="B9" t="s" s="19">
        <v>115</v>
      </c>
      <c r="C9" s="24"/>
      <c r="D9" s="26">
        <v>1</v>
      </c>
      <c r="E9" s="26" cm="1">
        <f t="array" ref="E9">D9</f>
        <v>1</v>
      </c>
      <c r="F9" s="26" cm="1">
        <f t="array" ref="F9">D9</f>
        <v>1</v>
      </c>
      <c r="G9" t="s" s="27">
        <v>19</v>
      </c>
      <c r="H9" s="26" cm="1">
        <f t="array" ref="H9">ROUNDDOWN((F$30*0.15)*100/111,-2)</f>
        <v>606800</v>
      </c>
      <c r="I9" s="26">
        <v>606700</v>
      </c>
      <c r="J9" s="26">
        <v>606700</v>
      </c>
      <c r="K9" s="26">
        <v>11</v>
      </c>
      <c r="L9" s="26" cm="1">
        <f t="array" ref="L9">IF(D9&gt;0,IF($D9&lt;=0,0,D9*H9),"")</f>
        <v>606800</v>
      </c>
      <c r="M9" s="26" cm="1">
        <f t="array" ref="M9">IF(E9&gt;0,IF($D9&lt;=0,0,ROUND(E9*I9,2)),"")</f>
        <v>606700</v>
      </c>
      <c r="N9" s="28" cm="1">
        <f t="array" ref="N9">IF(F9&gt;0,IF($D9&lt;=0,0,ROUND(F9*J9,2)),"")</f>
        <v>606700</v>
      </c>
    </row>
    <row r="10" ht="20.6" customHeight="1">
      <c r="A10" s="33">
        <v>8</v>
      </c>
      <c r="B10" t="s" s="34">
        <v>37</v>
      </c>
      <c r="C10" s="35"/>
      <c r="D10" s="36">
        <v>1</v>
      </c>
      <c r="E10" s="36" cm="1">
        <f t="array" ref="E10">D10</f>
        <v>1</v>
      </c>
      <c r="F10" s="36" cm="1">
        <f t="array" ref="F10">D10</f>
        <v>1</v>
      </c>
      <c r="G10" t="s" s="37">
        <v>19</v>
      </c>
      <c r="H10" s="36">
        <v>9708.24</v>
      </c>
      <c r="I10" s="36">
        <v>9708</v>
      </c>
      <c r="J10" s="36">
        <v>9700</v>
      </c>
      <c r="K10" s="36">
        <v>0</v>
      </c>
      <c r="L10" s="36" cm="1">
        <f t="array" ref="L10">IF(D10&gt;0,IF($D10&lt;=0,0,D10*H10),"")</f>
        <v>9708.24</v>
      </c>
      <c r="M10" s="36" cm="1">
        <f t="array" ref="M10">IF(E10&gt;0,IF($D10&lt;=0,0,ROUND(E10*I10,2)),"")</f>
        <v>9708</v>
      </c>
      <c r="N10" s="38" cm="1">
        <f t="array" ref="N10">IF(F10&gt;0,IF($D10&lt;=0,0,ROUND(F10*J10,2)),"")</f>
        <v>9700</v>
      </c>
    </row>
    <row r="11" ht="8.75" customHeight="1" hidden="1">
      <c r="A11" s="39"/>
      <c r="B11" s="40"/>
      <c r="C11" s="41"/>
      <c r="D11" s="42"/>
      <c r="E11" s="42"/>
      <c r="F11" s="42"/>
      <c r="G11" s="43"/>
      <c r="H11" s="42"/>
      <c r="I11" s="42"/>
      <c r="J11" s="42"/>
      <c r="K11" s="42"/>
      <c r="L11" s="42"/>
      <c r="M11" s="42"/>
      <c r="N11" s="44"/>
    </row>
    <row r="12" ht="8.75" customHeight="1" hidden="1">
      <c r="A12" s="39"/>
      <c r="B12" s="40"/>
      <c r="C12" s="45"/>
      <c r="D12" s="46"/>
      <c r="E12" s="46"/>
      <c r="F12" s="46"/>
      <c r="G12" s="47"/>
      <c r="H12" s="46"/>
      <c r="I12" s="46"/>
      <c r="J12" s="46"/>
      <c r="K12" s="46"/>
      <c r="L12" s="46"/>
      <c r="M12" s="46"/>
      <c r="N12" s="48"/>
    </row>
    <row r="13" ht="8.75" customHeight="1" hidden="1">
      <c r="A13" s="39"/>
      <c r="B13" s="40"/>
      <c r="C13" s="41"/>
      <c r="D13" s="42"/>
      <c r="E13" s="42"/>
      <c r="F13" s="42"/>
      <c r="G13" s="43"/>
      <c r="H13" s="42"/>
      <c r="I13" s="42"/>
      <c r="J13" s="42"/>
      <c r="K13" s="42"/>
      <c r="L13" s="42"/>
      <c r="M13" s="42"/>
      <c r="N13" s="44"/>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2"/>
      <c r="I15" s="42"/>
      <c r="J15" s="42"/>
      <c r="K15" s="42"/>
      <c r="L15" s="42"/>
      <c r="M15" s="42"/>
      <c r="N15" s="44"/>
    </row>
    <row r="16" ht="8.75" customHeight="1" hidden="1">
      <c r="A16" s="39"/>
      <c r="B16" s="40"/>
      <c r="C16" s="45"/>
      <c r="D16" s="46"/>
      <c r="E16" s="46"/>
      <c r="F16" s="46"/>
      <c r="G16" s="47"/>
      <c r="H16" s="46"/>
      <c r="I16" s="46"/>
      <c r="J16" s="46"/>
      <c r="K16" s="46"/>
      <c r="L16" s="46"/>
      <c r="M16" s="46"/>
      <c r="N16" s="48"/>
    </row>
    <row r="17" ht="8.75" customHeight="1" hidden="1">
      <c r="A17" s="39"/>
      <c r="B17" s="40"/>
      <c r="C17" s="41"/>
      <c r="D17" s="42"/>
      <c r="E17" s="42"/>
      <c r="F17" s="42"/>
      <c r="G17" s="43"/>
      <c r="H17" s="43"/>
      <c r="I17" s="43"/>
      <c r="J17" s="43"/>
      <c r="K17" s="42"/>
      <c r="L17" s="43"/>
      <c r="M17" s="43"/>
      <c r="N17" s="49"/>
    </row>
    <row r="18" ht="8.75" customHeight="1" hidden="1">
      <c r="A18" s="39"/>
      <c r="B18" s="40"/>
      <c r="C18" s="45"/>
      <c r="D18" s="46"/>
      <c r="E18" s="46"/>
      <c r="F18" s="46"/>
      <c r="G18" s="47"/>
      <c r="H18" s="50"/>
      <c r="I18" s="50"/>
      <c r="J18" s="50"/>
      <c r="K18" s="46"/>
      <c r="L18" s="46"/>
      <c r="M18" s="46"/>
      <c r="N18" s="48"/>
    </row>
    <row r="19" ht="8.75" customHeight="1" hidden="1">
      <c r="A19" s="39"/>
      <c r="B19" s="40"/>
      <c r="C19" s="41"/>
      <c r="D19" s="42"/>
      <c r="E19" s="42"/>
      <c r="F19" s="42"/>
      <c r="G19" s="43"/>
      <c r="H19" s="43"/>
      <c r="I19" s="43"/>
      <c r="J19" s="43"/>
      <c r="K19" s="42"/>
      <c r="L19" s="43"/>
      <c r="M19" s="43"/>
      <c r="N19" s="49"/>
    </row>
    <row r="20" ht="8.75" customHeight="1" hidden="1">
      <c r="A20" s="39"/>
      <c r="B20" s="40"/>
      <c r="C20" s="45"/>
      <c r="D20" s="46"/>
      <c r="E20" s="46"/>
      <c r="F20" s="46"/>
      <c r="G20" s="47"/>
      <c r="H20" s="46"/>
      <c r="I20" s="46"/>
      <c r="J20" s="46"/>
      <c r="K20" s="46"/>
      <c r="L20" s="46"/>
      <c r="M20" s="46"/>
      <c r="N20" s="48"/>
    </row>
    <row r="21" ht="8.75" customHeight="1" hidden="1">
      <c r="A21" s="39"/>
      <c r="B21" s="40"/>
      <c r="C21" s="41"/>
      <c r="D21" s="42"/>
      <c r="E21" s="42"/>
      <c r="F21" s="42"/>
      <c r="G21" s="43"/>
      <c r="H21" s="42"/>
      <c r="I21" s="42"/>
      <c r="J21" s="42"/>
      <c r="K21" s="42"/>
      <c r="L21" s="42"/>
      <c r="M21" s="42"/>
      <c r="N21" s="44"/>
    </row>
    <row r="22" ht="8.75" customHeight="1" hidden="1">
      <c r="A22" s="51"/>
      <c r="B22" s="40"/>
      <c r="C22" s="45"/>
      <c r="D22" s="46"/>
      <c r="E22" s="46"/>
      <c r="F22" s="46"/>
      <c r="G22" s="47"/>
      <c r="H22" s="46"/>
      <c r="I22" s="46"/>
      <c r="J22" s="46"/>
      <c r="K22" s="46"/>
      <c r="L22" s="46"/>
      <c r="M22" s="46"/>
      <c r="N22" s="48"/>
    </row>
    <row r="23" ht="8.75" customHeight="1" hidden="1">
      <c r="A23" s="51"/>
      <c r="B23" s="40"/>
      <c r="C23" s="41"/>
      <c r="D23" s="42"/>
      <c r="E23" s="42"/>
      <c r="F23" s="42"/>
      <c r="G23" s="43"/>
      <c r="H23" s="42"/>
      <c r="I23" s="42"/>
      <c r="J23" s="42"/>
      <c r="K23" s="42"/>
      <c r="L23" s="42"/>
      <c r="M23" s="42"/>
      <c r="N23" s="44"/>
    </row>
    <row r="24" ht="8.75" customHeight="1" hidden="1">
      <c r="A24" s="39"/>
      <c r="B24" s="40"/>
      <c r="C24" s="45"/>
      <c r="D24" s="46"/>
      <c r="E24" s="46"/>
      <c r="F24" s="46"/>
      <c r="G24" s="47"/>
      <c r="H24" s="46"/>
      <c r="I24" s="46"/>
      <c r="J24" s="46"/>
      <c r="K24" s="46"/>
      <c r="L24" s="47"/>
      <c r="M24" s="47"/>
      <c r="N24" s="52"/>
    </row>
    <row r="25" ht="8.75" customHeight="1" hidden="1">
      <c r="A25" s="39"/>
      <c r="B25" s="40"/>
      <c r="C25" s="41"/>
      <c r="D25" s="42"/>
      <c r="E25" s="42"/>
      <c r="F25" s="42"/>
      <c r="G25" s="43"/>
      <c r="H25" s="42"/>
      <c r="I25" s="42"/>
      <c r="J25" s="42"/>
      <c r="K25" s="42"/>
      <c r="L25" s="42"/>
      <c r="M25" s="42"/>
      <c r="N25" s="44"/>
    </row>
    <row r="26" ht="8.75" customHeight="1" hidden="1">
      <c r="A26" s="39"/>
      <c r="B26" s="40"/>
      <c r="C26" s="45"/>
      <c r="D26" s="46"/>
      <c r="E26" s="46"/>
      <c r="F26" s="46"/>
      <c r="G26" s="47"/>
      <c r="H26" s="46"/>
      <c r="I26" s="46"/>
      <c r="J26" s="46"/>
      <c r="K26" s="46"/>
      <c r="L26" s="47"/>
      <c r="M26" s="47"/>
      <c r="N26" s="52"/>
    </row>
    <row r="27" ht="20.85" customHeight="1">
      <c r="A27" s="108"/>
      <c r="B27" s="54"/>
      <c r="C27" s="54"/>
      <c r="D27" s="55"/>
      <c r="E27" s="55"/>
      <c r="F27" s="55"/>
      <c r="G27" s="56"/>
      <c r="H27" s="56"/>
      <c r="I27" s="54"/>
      <c r="J27" s="57"/>
      <c r="K27" t="s" s="58">
        <v>38</v>
      </c>
      <c r="L27" s="59" cm="1">
        <f t="array" ref="L27">SUM(L1:L26)</f>
        <v>4054808.24</v>
      </c>
      <c r="M27" s="59" cm="1">
        <f t="array" ref="M27">SUM(M1:M26)</f>
        <v>4054308</v>
      </c>
      <c r="N27" s="59" cm="1">
        <f t="array" ref="N27">SUM(N1:N26)</f>
        <v>4054300</v>
      </c>
    </row>
    <row r="28" ht="21" customHeight="1">
      <c r="A28" s="63" cm="1">
        <f t="array" ref="A28">ROUND(IF(I28&lt;=100000000,I28*0.24%,IF(AND(I28&gt;100000000,I28&lt;=500000000),100000000*0.24%+(I28-100000000)*0.19%,IF(AND(I28&gt;500000000,I28&lt;=1000000000),100000000*0.24%+400000000*0.19%+(I28-500000000)*0.15%,IF(AND(I28&gt;1000000000,I28&lt;=5000000000),100000000*0.24%+400000000*0.19%+500000000*0.15%+(I28-1000000000)*0.12%,IF(I28&gt;5000000000,100000000*0.24%+400000000*0.19%+500000000*0.15%+4000000000*0.12%+(I28-5000000000)*0.1%,"Bingung komputer"))))),2)</f>
        <v>0</v>
      </c>
      <c r="B28" t="s" s="109">
        <v>39</v>
      </c>
      <c r="C28" s="62"/>
      <c r="D28" s="63" cm="1">
        <f t="array" ref="D28">ROUND(IF(L28&lt;=100000000,L28*0.24%,IF(AND(L28&gt;100000000,L28&lt;=500000000),100000000*0.24%+(L28-100000000)*0.19%,IF(AND(L28&gt;500000000,L28&lt;=1000000000),100000000*0.24%+400000000*0.19%+(L28-500000000)*0.15%,IF(AND(L28&gt;1000000000,L28&lt;=5000000000),100000000*0.24%+400000000*0.19%+500000000*0.15%+(L28-1000000000)*0.12%,IF(L28&gt;5000000000,100000000*0.24%+400000000*0.19%+500000000*0.15%+4000000000*0.12%+(L28-5000000000)*0.1%,"Bingung komputer"))))),2)</f>
        <v>9708.24</v>
      </c>
      <c r="E28" s="64" cm="1">
        <f t="array" ref="E28">ROUND(IF(M28&lt;=100000000,M28*0.24%,IF(AND(M28&gt;100000000,M28&lt;=500000000),100000000*0.24%+(M28-100000000)*0.19%,IF(AND(M28&gt;500000000,M28&lt;=1000000000),100000000*0.24%+400000000*0.19%+(M28-500000000)*0.15%,IF(AND(M28&gt;1000000000,M28&lt;=5000000000),100000000*0.24%+400000000*0.19%+500000000*0.15%+(M28-1000000000)*0.12%,IF(M28&gt;5000000000,100000000*0.24%+400000000*0.19%+500000000*0.15%+4000000000*0.12%+(M28-5000000000)*0.1%,"Bingung komputer"))))),2)</f>
        <v>9707.040000000001</v>
      </c>
      <c r="F28" s="64" cm="1">
        <f t="array" ref="F28">ROUND(IF(N28&lt;=100000000,N28*0.24%,IF(AND(N28&gt;100000000,N28&lt;=500000000),100000000*0.24%+(N28-100000000)*0.19%,IF(AND(N28&gt;500000000,N28&lt;=1000000000),100000000*0.24%+400000000*0.19%+(N28-500000000)*0.15%,IF(AND(N28&gt;1000000000,N28&lt;=5000000000),100000000*0.24%+400000000*0.19%+500000000*0.15%+(N28-1000000000)*0.12%,IF(N28&gt;5000000000,100000000*0.24%+400000000*0.19%+500000000*0.15%+4000000000*0.12%+(N28-5000000000)*0.1%,"Bingung komputer"))))),2)</f>
        <v>9707.040000000001</v>
      </c>
      <c r="G28" s="65"/>
      <c r="H28" s="66"/>
      <c r="I28" s="68"/>
      <c r="J28" s="67"/>
      <c r="K28" t="str" s="67" cm="1">
        <f t="array" ref="K28">"Jumlah Terkena Pajak "&amp;MAX(K3:K26)&amp;"% (B)"</f>
        <v>Jumlah Terkena Pajak 11,00% (B)</v>
      </c>
      <c r="L28" s="68" cm="1">
        <f t="array" ref="L28">SUMIF($K3:$K26,"&gt;0",L3:L26)</f>
        <v>4045100</v>
      </c>
      <c r="M28" s="69" cm="1">
        <f t="array" ref="M28">SUMIF($K3:$K26,"&gt;0",M3:M26)</f>
        <v>4044600</v>
      </c>
      <c r="N28" s="69" cm="1">
        <f t="array" ref="N28">SUMIF($K3:$K26,"&gt;0",N3:N26)</f>
        <v>4044600</v>
      </c>
    </row>
    <row r="29" ht="21" customHeight="1">
      <c r="A29" s="70"/>
      <c r="B29" s="71"/>
      <c r="C29" s="71"/>
      <c r="D29" s="72"/>
      <c r="E29" s="72"/>
      <c r="F29" s="71"/>
      <c r="G29" s="72"/>
      <c r="H29" s="72"/>
      <c r="I29" s="74"/>
      <c r="J29" s="73"/>
      <c r="K29" t="str" s="73" cm="1">
        <f t="array" ref="K29">"PPN (C) = "&amp;MAX(K3:K26)&amp;"% x B"</f>
        <v>PPN (C) = 11,00% x B</v>
      </c>
      <c r="L29" s="74" cm="1">
        <f t="array" ref="L29">L28*MAX($K3:$K26)%</f>
        <v>444961</v>
      </c>
      <c r="M29" s="69" cm="1">
        <f t="array" ref="M29">M28*MAX($K3:$K26)%</f>
        <v>444906</v>
      </c>
      <c r="N29" s="69" cm="1">
        <f t="array" ref="N29">N28*MAX($K3:$K26)%</f>
        <v>444906</v>
      </c>
    </row>
    <row r="30" ht="21" customHeight="1">
      <c r="A30" s="70"/>
      <c r="B30" s="71"/>
      <c r="C30" s="71"/>
      <c r="D30" t="s" s="110">
        <v>116</v>
      </c>
      <c r="E30" s="112">
        <v>4500000</v>
      </c>
      <c r="F30" s="112">
        <v>4490500</v>
      </c>
      <c r="G30" s="72"/>
      <c r="H30" s="72"/>
      <c r="I30" s="71"/>
      <c r="J30" s="73"/>
      <c r="K30" t="s" s="75">
        <v>42</v>
      </c>
      <c r="L30" s="76" cm="1">
        <f t="array" ref="L30">L27+L29</f>
        <v>4499769.24</v>
      </c>
      <c r="M30" s="69" cm="1">
        <f t="array" ref="M30">M27+M29</f>
        <v>4499214</v>
      </c>
      <c r="N30" s="69" cm="1">
        <f t="array" ref="N30">N27+N29</f>
        <v>4499206</v>
      </c>
    </row>
    <row r="31" ht="20.5" customHeight="1">
      <c r="A31" s="70"/>
      <c r="B31" s="71"/>
      <c r="C31" s="71"/>
      <c r="D31" s="72"/>
      <c r="E31" s="72" cm="1">
        <f t="array" ref="E31">E$30-L$31</f>
        <v>230.76</v>
      </c>
      <c r="F31" s="113" cm="1">
        <f t="array" ref="F31">ROUNDDOWN(E$30-D$28,2)</f>
        <v>4490291.76</v>
      </c>
      <c r="G31" s="72"/>
      <c r="H31" s="72"/>
      <c r="I31" s="71"/>
      <c r="J31" s="73"/>
      <c r="K31" t="s" s="75">
        <v>43</v>
      </c>
      <c r="L31" s="68" cm="1">
        <f t="array" ref="L31">ROUNDDOWN(L30,2)</f>
        <v>4499769.24</v>
      </c>
      <c r="M31" s="68" cm="1">
        <f t="array" ref="M31">ROUNDDOWN(M30,2)</f>
        <v>4499214</v>
      </c>
      <c r="N31" s="68" cm="1">
        <f t="array" ref="N31">ROUNDDOWN(N30,-3)</f>
        <v>4499000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90.xml><?xml version="1.0" encoding="utf-8"?>
<worksheet xmlns:r="http://schemas.openxmlformats.org/officeDocument/2006/relationships" xmlns="http://schemas.openxmlformats.org/spreadsheetml/2006/main">
  <sheetPr>
    <pageSetUpPr fitToPage="1"/>
  </sheetPr>
  <dimension ref="A1:N31"/>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275" customWidth="1"/>
    <col min="2" max="2" width="43.0312" style="275" customWidth="1"/>
    <col min="3" max="3" width="2.75" style="275" customWidth="1"/>
    <col min="4" max="6" width="10.3672" style="275" customWidth="1"/>
    <col min="7" max="7" width="11.6875" style="275" customWidth="1"/>
    <col min="8" max="11" width="13.5156" style="275" customWidth="1"/>
    <col min="12" max="14" width="14.2344" style="275" customWidth="1"/>
    <col min="15" max="16384" width="16.3516" style="275"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109</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s="95">
        <v>1</v>
      </c>
      <c r="B4" t="s" s="19">
        <v>110</v>
      </c>
      <c r="C4" s="20"/>
      <c r="D4" s="21">
        <v>1</v>
      </c>
      <c r="E4" s="21" cm="1">
        <f t="array" ref="E4">D4</f>
        <v>1</v>
      </c>
      <c r="F4" s="21" cm="1">
        <f t="array" ref="F4">D4</f>
        <v>1</v>
      </c>
      <c r="G4" t="s" s="22">
        <v>19</v>
      </c>
      <c r="H4" s="21" cm="1">
        <f t="array" ref="H4">ROUNDDOWN((F$30*0.1)*100/111,-2)</f>
        <v>336900</v>
      </c>
      <c r="I4" s="21">
        <v>336900</v>
      </c>
      <c r="J4" s="21">
        <v>336900</v>
      </c>
      <c r="K4" s="21">
        <v>11</v>
      </c>
      <c r="L4" s="21" cm="1">
        <f t="array" ref="L4">IF(D4&gt;0,IF($D4&lt;=0,0,D4*H4),"")</f>
        <v>336900</v>
      </c>
      <c r="M4" s="21" cm="1">
        <f t="array" ref="M4">IF(E4&gt;0,IF($D4&lt;=0,0,ROUND(E4*I4,2)),"")</f>
        <v>336900</v>
      </c>
      <c r="N4" s="23" cm="1">
        <f t="array" ref="N4">IF(F4&gt;0,IF($D4&lt;=0,0,ROUND(F4*J4,2)),"")</f>
        <v>336900</v>
      </c>
    </row>
    <row r="5" ht="20.5" customHeight="1">
      <c r="A5" s="95">
        <v>2</v>
      </c>
      <c r="B5" t="s" s="19">
        <v>111</v>
      </c>
      <c r="C5" s="24"/>
      <c r="D5" s="26">
        <v>1</v>
      </c>
      <c r="E5" s="26" cm="1">
        <f t="array" ref="E5">D5</f>
        <v>1</v>
      </c>
      <c r="F5" s="26" cm="1">
        <f t="array" ref="F5">D5</f>
        <v>1</v>
      </c>
      <c r="G5" t="s" s="27">
        <v>19</v>
      </c>
      <c r="H5" s="26" cm="1">
        <f t="array" ref="H5">ROUNDDOWN((F$30*0.2)*100/111,-2)</f>
        <v>673800</v>
      </c>
      <c r="I5" s="26">
        <v>673000</v>
      </c>
      <c r="J5" s="26">
        <v>673000</v>
      </c>
      <c r="K5" s="26">
        <v>11</v>
      </c>
      <c r="L5" s="26" cm="1">
        <f t="array" ref="L5">IF(D5&gt;0,IF($D5&lt;=0,0,D5*H5),"")</f>
        <v>673800</v>
      </c>
      <c r="M5" s="26" cm="1">
        <f t="array" ref="M5">IF(E5&gt;0,IF($D5&lt;=0,0,ROUND(E5*I5,2)),"")</f>
        <v>673000</v>
      </c>
      <c r="N5" s="28" cm="1">
        <f t="array" ref="N5">IF(F5&gt;0,IF($D5&lt;=0,0,ROUND(F5*J5,2)),"")</f>
        <v>673000</v>
      </c>
    </row>
    <row r="6" ht="20.5" customHeight="1">
      <c r="A6" s="95">
        <v>3</v>
      </c>
      <c r="B6" t="s" s="19">
        <v>112</v>
      </c>
      <c r="C6" s="20"/>
      <c r="D6" s="21">
        <v>1</v>
      </c>
      <c r="E6" s="21" cm="1">
        <f t="array" ref="E6">D6</f>
        <v>1</v>
      </c>
      <c r="F6" s="21" cm="1">
        <f t="array" ref="F6">D6</f>
        <v>1</v>
      </c>
      <c r="G6" t="s" s="22">
        <v>19</v>
      </c>
      <c r="H6" s="21" cm="1">
        <f t="array" ref="H6">ROUNDDOWN((F$30*0.25)*100/111,-2)</f>
        <v>842300</v>
      </c>
      <c r="I6" s="21">
        <v>842300</v>
      </c>
      <c r="J6" s="21">
        <v>842300</v>
      </c>
      <c r="K6" s="21">
        <v>11</v>
      </c>
      <c r="L6" s="21" cm="1">
        <f t="array" ref="L6">IF(D6&gt;0,IF($D6&lt;=0,0,D6*H6),"")</f>
        <v>842300</v>
      </c>
      <c r="M6" s="21" cm="1">
        <f t="array" ref="M6">IF(E6&gt;0,IF($D6&lt;=0,0,ROUND(E6*I6,2)),"")</f>
        <v>842300</v>
      </c>
      <c r="N6" s="23" cm="1">
        <f t="array" ref="N6">IF(F6&gt;0,IF($D6&lt;=0,0,ROUND(F6*J6,2)),"")</f>
        <v>842300</v>
      </c>
    </row>
    <row r="7" ht="68.5" customHeight="1">
      <c r="A7" s="95">
        <v>5</v>
      </c>
      <c r="B7" t="s" s="19">
        <v>113</v>
      </c>
      <c r="C7" s="24"/>
      <c r="D7" s="26">
        <v>1</v>
      </c>
      <c r="E7" s="26" cm="1">
        <f t="array" ref="E7">D7</f>
        <v>1</v>
      </c>
      <c r="F7" s="26" cm="1">
        <f t="array" ref="F7">D7</f>
        <v>1</v>
      </c>
      <c r="G7" t="s" s="27">
        <v>19</v>
      </c>
      <c r="H7" s="26" cm="1">
        <f t="array" ref="H7">ROUNDDOWN((F$30*0.25)*100/111,-2)</f>
        <v>842300</v>
      </c>
      <c r="I7" s="26">
        <v>842300</v>
      </c>
      <c r="J7" s="26">
        <v>842300</v>
      </c>
      <c r="K7" s="26">
        <v>11</v>
      </c>
      <c r="L7" s="26" cm="1">
        <f t="array" ref="L7">IF(D7&gt;0,IF($D7&lt;=0,0,D7*H7),"")</f>
        <v>842300</v>
      </c>
      <c r="M7" s="26" cm="1">
        <f t="array" ref="M7">IF(E7&gt;0,IF($D7&lt;=0,0,ROUND(E7*I7,2)),"")</f>
        <v>842300</v>
      </c>
      <c r="N7" s="28" cm="1">
        <f t="array" ref="N7">IF(F7&gt;0,IF($D7&lt;=0,0,ROUND(F7*J7,2)),"")</f>
        <v>842300</v>
      </c>
    </row>
    <row r="8" ht="32.5" customHeight="1">
      <c r="A8" s="95">
        <v>6</v>
      </c>
      <c r="B8" t="s" s="19">
        <v>114</v>
      </c>
      <c r="C8" s="20"/>
      <c r="D8" s="21">
        <v>1</v>
      </c>
      <c r="E8" s="21" cm="1">
        <f t="array" ref="E8">D8</f>
        <v>1</v>
      </c>
      <c r="F8" s="21" cm="1">
        <f t="array" ref="F8">D8</f>
        <v>1</v>
      </c>
      <c r="G8" t="s" s="22">
        <v>19</v>
      </c>
      <c r="H8" s="21" cm="1">
        <f t="array" ref="H8">ROUNDDOWN((F$30*0.05)*100/111,-2)</f>
        <v>168400</v>
      </c>
      <c r="I8" s="21">
        <v>168000</v>
      </c>
      <c r="J8" s="21">
        <v>168000</v>
      </c>
      <c r="K8" s="21">
        <v>11</v>
      </c>
      <c r="L8" s="21" cm="1">
        <f t="array" ref="L8">IF(D8&gt;0,IF($D8&lt;=0,0,D8*H8),"")</f>
        <v>168400</v>
      </c>
      <c r="M8" s="21" cm="1">
        <f t="array" ref="M8">IF(E8&gt;0,IF($D8&lt;=0,0,ROUND(E8*I8,2)),"")</f>
        <v>168000</v>
      </c>
      <c r="N8" s="23" cm="1">
        <f t="array" ref="N8">IF(F8&gt;0,IF($D8&lt;=0,0,ROUND(F8*J8,2)),"")</f>
        <v>168000</v>
      </c>
    </row>
    <row r="9" ht="20.5" customHeight="1">
      <c r="A9" s="95">
        <v>7</v>
      </c>
      <c r="B9" t="s" s="19">
        <v>115</v>
      </c>
      <c r="C9" s="24"/>
      <c r="D9" s="26">
        <v>1</v>
      </c>
      <c r="E9" s="26" cm="1">
        <f t="array" ref="E9">D9</f>
        <v>1</v>
      </c>
      <c r="F9" s="26" cm="1">
        <f t="array" ref="F9">D9</f>
        <v>1</v>
      </c>
      <c r="G9" t="s" s="27">
        <v>19</v>
      </c>
      <c r="H9" s="26" cm="1">
        <f t="array" ref="H9">ROUNDDOWN((F$30*0.15)*100/111,-2)</f>
        <v>505400</v>
      </c>
      <c r="I9" s="26">
        <v>505400</v>
      </c>
      <c r="J9" s="26">
        <v>505400</v>
      </c>
      <c r="K9" s="26">
        <v>11</v>
      </c>
      <c r="L9" s="26" cm="1">
        <f t="array" ref="L9">IF(D9&gt;0,IF($D9&lt;=0,0,D9*H9),"")</f>
        <v>505400</v>
      </c>
      <c r="M9" s="26" cm="1">
        <f t="array" ref="M9">IF(E9&gt;0,IF($D9&lt;=0,0,ROUND(E9*I9,2)),"")</f>
        <v>505400</v>
      </c>
      <c r="N9" s="28" cm="1">
        <f t="array" ref="N9">IF(F9&gt;0,IF($D9&lt;=0,0,ROUND(F9*J9,2)),"")</f>
        <v>505400</v>
      </c>
    </row>
    <row r="10" ht="20.6" customHeight="1">
      <c r="A10" s="33">
        <v>8</v>
      </c>
      <c r="B10" t="s" s="34">
        <v>37</v>
      </c>
      <c r="C10" s="35"/>
      <c r="D10" s="36">
        <v>1</v>
      </c>
      <c r="E10" s="36" cm="1">
        <f t="array" ref="E10">D10</f>
        <v>1</v>
      </c>
      <c r="F10" s="36" cm="1">
        <f t="array" ref="F10">D10</f>
        <v>1</v>
      </c>
      <c r="G10" t="s" s="37">
        <v>19</v>
      </c>
      <c r="H10" s="36">
        <v>8085.84</v>
      </c>
      <c r="I10" s="36">
        <v>8080</v>
      </c>
      <c r="J10" s="36">
        <v>8080</v>
      </c>
      <c r="K10" s="36">
        <v>0</v>
      </c>
      <c r="L10" s="36" cm="1">
        <f t="array" ref="L10">IF(D10&gt;0,IF($D10&lt;=0,0,D10*H10),"")</f>
        <v>8085.84</v>
      </c>
      <c r="M10" s="36" cm="1">
        <f t="array" ref="M10">IF(E10&gt;0,IF($D10&lt;=0,0,ROUND(E10*I10,2)),"")</f>
        <v>8080</v>
      </c>
      <c r="N10" s="38" cm="1">
        <f t="array" ref="N10">IF(F10&gt;0,IF($D10&lt;=0,0,ROUND(F10*J10,2)),"")</f>
        <v>8080</v>
      </c>
    </row>
    <row r="11" ht="8.75" customHeight="1" hidden="1">
      <c r="A11" s="39"/>
      <c r="B11" s="40"/>
      <c r="C11" s="41"/>
      <c r="D11" s="42"/>
      <c r="E11" s="42"/>
      <c r="F11" s="42"/>
      <c r="G11" s="43"/>
      <c r="H11" s="42"/>
      <c r="I11" s="42"/>
      <c r="J11" s="42"/>
      <c r="K11" s="42"/>
      <c r="L11" s="42"/>
      <c r="M11" s="42"/>
      <c r="N11" s="44"/>
    </row>
    <row r="12" ht="8.75" customHeight="1" hidden="1">
      <c r="A12" s="39"/>
      <c r="B12" s="40"/>
      <c r="C12" s="45"/>
      <c r="D12" s="46"/>
      <c r="E12" s="46"/>
      <c r="F12" s="46"/>
      <c r="G12" s="47"/>
      <c r="H12" s="46"/>
      <c r="I12" s="46"/>
      <c r="J12" s="46"/>
      <c r="K12" s="46"/>
      <c r="L12" s="46"/>
      <c r="M12" s="46"/>
      <c r="N12" s="48"/>
    </row>
    <row r="13" ht="8.75" customHeight="1" hidden="1">
      <c r="A13" s="39"/>
      <c r="B13" s="40"/>
      <c r="C13" s="41"/>
      <c r="D13" s="42"/>
      <c r="E13" s="42"/>
      <c r="F13" s="42"/>
      <c r="G13" s="43"/>
      <c r="H13" s="42"/>
      <c r="I13" s="42"/>
      <c r="J13" s="42"/>
      <c r="K13" s="42"/>
      <c r="L13" s="42"/>
      <c r="M13" s="42"/>
      <c r="N13" s="44"/>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2"/>
      <c r="I15" s="42"/>
      <c r="J15" s="42"/>
      <c r="K15" s="42"/>
      <c r="L15" s="42"/>
      <c r="M15" s="42"/>
      <c r="N15" s="44"/>
    </row>
    <row r="16" ht="8.75" customHeight="1" hidden="1">
      <c r="A16" s="39"/>
      <c r="B16" s="40"/>
      <c r="C16" s="45"/>
      <c r="D16" s="46"/>
      <c r="E16" s="46"/>
      <c r="F16" s="46"/>
      <c r="G16" s="47"/>
      <c r="H16" s="46"/>
      <c r="I16" s="46"/>
      <c r="J16" s="46"/>
      <c r="K16" s="46"/>
      <c r="L16" s="46"/>
      <c r="M16" s="46"/>
      <c r="N16" s="48"/>
    </row>
    <row r="17" ht="8.75" customHeight="1" hidden="1">
      <c r="A17" s="39"/>
      <c r="B17" s="40"/>
      <c r="C17" s="41"/>
      <c r="D17" s="42"/>
      <c r="E17" s="42"/>
      <c r="F17" s="42"/>
      <c r="G17" s="43"/>
      <c r="H17" s="43"/>
      <c r="I17" s="43"/>
      <c r="J17" s="43"/>
      <c r="K17" s="42"/>
      <c r="L17" s="43"/>
      <c r="M17" s="43"/>
      <c r="N17" s="49"/>
    </row>
    <row r="18" ht="8.75" customHeight="1" hidden="1">
      <c r="A18" s="39"/>
      <c r="B18" s="40"/>
      <c r="C18" s="45"/>
      <c r="D18" s="46"/>
      <c r="E18" s="46"/>
      <c r="F18" s="46"/>
      <c r="G18" s="47"/>
      <c r="H18" s="50"/>
      <c r="I18" s="50"/>
      <c r="J18" s="50"/>
      <c r="K18" s="46"/>
      <c r="L18" s="46"/>
      <c r="M18" s="46"/>
      <c r="N18" s="48"/>
    </row>
    <row r="19" ht="8.75" customHeight="1" hidden="1">
      <c r="A19" s="39"/>
      <c r="B19" s="40"/>
      <c r="C19" s="41"/>
      <c r="D19" s="42"/>
      <c r="E19" s="42"/>
      <c r="F19" s="42"/>
      <c r="G19" s="43"/>
      <c r="H19" s="43"/>
      <c r="I19" s="43"/>
      <c r="J19" s="43"/>
      <c r="K19" s="42"/>
      <c r="L19" s="43"/>
      <c r="M19" s="43"/>
      <c r="N19" s="49"/>
    </row>
    <row r="20" ht="8.75" customHeight="1" hidden="1">
      <c r="A20" s="39"/>
      <c r="B20" s="40"/>
      <c r="C20" s="45"/>
      <c r="D20" s="46"/>
      <c r="E20" s="46"/>
      <c r="F20" s="46"/>
      <c r="G20" s="47"/>
      <c r="H20" s="46"/>
      <c r="I20" s="46"/>
      <c r="J20" s="46"/>
      <c r="K20" s="46"/>
      <c r="L20" s="46"/>
      <c r="M20" s="46"/>
      <c r="N20" s="48"/>
    </row>
    <row r="21" ht="8.75" customHeight="1" hidden="1">
      <c r="A21" s="39"/>
      <c r="B21" s="40"/>
      <c r="C21" s="41"/>
      <c r="D21" s="42"/>
      <c r="E21" s="42"/>
      <c r="F21" s="42"/>
      <c r="G21" s="43"/>
      <c r="H21" s="42"/>
      <c r="I21" s="42"/>
      <c r="J21" s="42"/>
      <c r="K21" s="42"/>
      <c r="L21" s="42"/>
      <c r="M21" s="42"/>
      <c r="N21" s="44"/>
    </row>
    <row r="22" ht="8.75" customHeight="1" hidden="1">
      <c r="A22" s="51"/>
      <c r="B22" s="40"/>
      <c r="C22" s="45"/>
      <c r="D22" s="46"/>
      <c r="E22" s="46"/>
      <c r="F22" s="46"/>
      <c r="G22" s="47"/>
      <c r="H22" s="46"/>
      <c r="I22" s="46"/>
      <c r="J22" s="46"/>
      <c r="K22" s="46"/>
      <c r="L22" s="46"/>
      <c r="M22" s="46"/>
      <c r="N22" s="48"/>
    </row>
    <row r="23" ht="8.75" customHeight="1" hidden="1">
      <c r="A23" s="51"/>
      <c r="B23" s="40"/>
      <c r="C23" s="41"/>
      <c r="D23" s="42"/>
      <c r="E23" s="42"/>
      <c r="F23" s="42"/>
      <c r="G23" s="43"/>
      <c r="H23" s="42"/>
      <c r="I23" s="42"/>
      <c r="J23" s="42"/>
      <c r="K23" s="42"/>
      <c r="L23" s="42"/>
      <c r="M23" s="42"/>
      <c r="N23" s="44"/>
    </row>
    <row r="24" ht="8.75" customHeight="1" hidden="1">
      <c r="A24" s="39"/>
      <c r="B24" s="40"/>
      <c r="C24" s="45"/>
      <c r="D24" s="46"/>
      <c r="E24" s="46"/>
      <c r="F24" s="46"/>
      <c r="G24" s="47"/>
      <c r="H24" s="46"/>
      <c r="I24" s="46"/>
      <c r="J24" s="46"/>
      <c r="K24" s="46"/>
      <c r="L24" s="47"/>
      <c r="M24" s="47"/>
      <c r="N24" s="52"/>
    </row>
    <row r="25" ht="8.75" customHeight="1" hidden="1">
      <c r="A25" s="39"/>
      <c r="B25" s="40"/>
      <c r="C25" s="41"/>
      <c r="D25" s="42"/>
      <c r="E25" s="42"/>
      <c r="F25" s="42"/>
      <c r="G25" s="43"/>
      <c r="H25" s="42"/>
      <c r="I25" s="42"/>
      <c r="J25" s="42"/>
      <c r="K25" s="42"/>
      <c r="L25" s="42"/>
      <c r="M25" s="42"/>
      <c r="N25" s="44"/>
    </row>
    <row r="26" ht="8.75" customHeight="1" hidden="1">
      <c r="A26" s="39"/>
      <c r="B26" s="40"/>
      <c r="C26" s="45"/>
      <c r="D26" s="46"/>
      <c r="E26" s="46"/>
      <c r="F26" s="46"/>
      <c r="G26" s="47"/>
      <c r="H26" s="46"/>
      <c r="I26" s="46"/>
      <c r="J26" s="46"/>
      <c r="K26" s="46"/>
      <c r="L26" s="47"/>
      <c r="M26" s="47"/>
      <c r="N26" s="52"/>
    </row>
    <row r="27" ht="20.85" customHeight="1">
      <c r="A27" s="108"/>
      <c r="B27" s="54"/>
      <c r="C27" s="54"/>
      <c r="D27" s="55"/>
      <c r="E27" s="55"/>
      <c r="F27" s="55"/>
      <c r="G27" s="56"/>
      <c r="H27" s="56"/>
      <c r="I27" s="54"/>
      <c r="J27" s="57"/>
      <c r="K27" t="s" s="58">
        <v>38</v>
      </c>
      <c r="L27" s="59" cm="1">
        <f t="array" ref="L27">SUM(L1:L26)</f>
        <v>3377185.84</v>
      </c>
      <c r="M27" s="59" cm="1">
        <f t="array" ref="M27">SUM(M1:M26)</f>
        <v>3375980</v>
      </c>
      <c r="N27" s="59" cm="1">
        <f t="array" ref="N27">SUM(N1:N26)</f>
        <v>3375980</v>
      </c>
    </row>
    <row r="28" ht="21" customHeight="1">
      <c r="A28" s="63" cm="1">
        <f t="array" ref="A28">ROUND(IF(I28&lt;=100000000,I28*0.24%,IF(AND(I28&gt;100000000,I28&lt;=500000000),100000000*0.24%+(I28-100000000)*0.19%,IF(AND(I28&gt;500000000,I28&lt;=1000000000),100000000*0.24%+400000000*0.19%+(I28-500000000)*0.15%,IF(AND(I28&gt;1000000000,I28&lt;=5000000000),100000000*0.24%+400000000*0.19%+500000000*0.15%+(I28-1000000000)*0.12%,IF(I28&gt;5000000000,100000000*0.24%+400000000*0.19%+500000000*0.15%+4000000000*0.12%+(I28-5000000000)*0.1%,"Bingung komputer"))))),2)</f>
        <v>0</v>
      </c>
      <c r="B28" t="s" s="109">
        <v>39</v>
      </c>
      <c r="C28" s="62"/>
      <c r="D28" s="63" cm="1">
        <f t="array" ref="D28">ROUND(IF(L28&lt;=100000000,L28*0.24%,IF(AND(L28&gt;100000000,L28&lt;=500000000),100000000*0.24%+(L28-100000000)*0.19%,IF(AND(L28&gt;500000000,L28&lt;=1000000000),100000000*0.24%+400000000*0.19%+(L28-500000000)*0.15%,IF(AND(L28&gt;1000000000,L28&lt;=5000000000),100000000*0.24%+400000000*0.19%+500000000*0.15%+(L28-1000000000)*0.12%,IF(L28&gt;5000000000,100000000*0.24%+400000000*0.19%+500000000*0.15%+4000000000*0.12%+(L28-5000000000)*0.1%,"Bingung komputer"))))),2)</f>
        <v>8085.84</v>
      </c>
      <c r="E28" s="64" cm="1">
        <f t="array" ref="E28">ROUND(IF(M28&lt;=100000000,M28*0.24%,IF(AND(M28&gt;100000000,M28&lt;=500000000),100000000*0.24%+(M28-100000000)*0.19%,IF(AND(M28&gt;500000000,M28&lt;=1000000000),100000000*0.24%+400000000*0.19%+(M28-500000000)*0.15%,IF(AND(M28&gt;1000000000,M28&lt;=5000000000),100000000*0.24%+400000000*0.19%+500000000*0.15%+(M28-1000000000)*0.12%,IF(M28&gt;5000000000,100000000*0.24%+400000000*0.19%+500000000*0.15%+4000000000*0.12%+(M28-5000000000)*0.1%,"Bingung komputer"))))),2)</f>
        <v>8082.96</v>
      </c>
      <c r="F28" s="64" cm="1">
        <f t="array" ref="F28">ROUND(IF(N28&lt;=100000000,N28*0.24%,IF(AND(N28&gt;100000000,N28&lt;=500000000),100000000*0.24%+(N28-100000000)*0.19%,IF(AND(N28&gt;500000000,N28&lt;=1000000000),100000000*0.24%+400000000*0.19%+(N28-500000000)*0.15%,IF(AND(N28&gt;1000000000,N28&lt;=5000000000),100000000*0.24%+400000000*0.19%+500000000*0.15%+(N28-1000000000)*0.12%,IF(N28&gt;5000000000,100000000*0.24%+400000000*0.19%+500000000*0.15%+4000000000*0.12%+(N28-5000000000)*0.1%,"Bingung komputer"))))),2)</f>
        <v>8082.96</v>
      </c>
      <c r="G28" s="65"/>
      <c r="H28" s="66"/>
      <c r="I28" s="68"/>
      <c r="J28" s="67"/>
      <c r="K28" t="str" s="67" cm="1">
        <f t="array" ref="K28">"Jumlah Terkena Pajak "&amp;MAX(K3:K26)&amp;"% (B)"</f>
        <v>Jumlah Terkena Pajak 11,00% (B)</v>
      </c>
      <c r="L28" s="68" cm="1">
        <f t="array" ref="L28">SUMIF($K3:$K26,"&gt;0",L3:L26)</f>
        <v>3369100</v>
      </c>
      <c r="M28" s="69" cm="1">
        <f t="array" ref="M28">SUMIF($K3:$K26,"&gt;0",M3:M26)</f>
        <v>3367900</v>
      </c>
      <c r="N28" s="69" cm="1">
        <f t="array" ref="N28">SUMIF($K3:$K26,"&gt;0",N3:N26)</f>
        <v>3367900</v>
      </c>
    </row>
    <row r="29" ht="21" customHeight="1">
      <c r="A29" s="70"/>
      <c r="B29" s="71"/>
      <c r="C29" s="71"/>
      <c r="D29" s="72"/>
      <c r="E29" s="72"/>
      <c r="F29" s="71"/>
      <c r="G29" s="72"/>
      <c r="H29" s="72"/>
      <c r="I29" s="74"/>
      <c r="J29" s="73"/>
      <c r="K29" t="str" s="73" cm="1">
        <f t="array" ref="K29">"PPN (C) = "&amp;MAX(K3:K26)&amp;"% x B"</f>
        <v>PPN (C) = 11,00% x B</v>
      </c>
      <c r="L29" s="74" cm="1">
        <f t="array" ref="L29">L28*MAX($K3:$K26)%</f>
        <v>370601</v>
      </c>
      <c r="M29" s="69" cm="1">
        <f t="array" ref="M29">M28*MAX($K3:$K26)%</f>
        <v>370469</v>
      </c>
      <c r="N29" s="69" cm="1">
        <f t="array" ref="N29">N28*MAX($K3:$K26)%</f>
        <v>370469</v>
      </c>
    </row>
    <row r="30" ht="21" customHeight="1">
      <c r="A30" s="70"/>
      <c r="B30" s="71"/>
      <c r="C30" s="71"/>
      <c r="D30" t="s" s="110">
        <v>116</v>
      </c>
      <c r="E30" s="112">
        <v>3750000</v>
      </c>
      <c r="F30" s="112">
        <v>3740000</v>
      </c>
      <c r="G30" s="72"/>
      <c r="H30" s="72"/>
      <c r="I30" s="71"/>
      <c r="J30" s="73"/>
      <c r="K30" t="s" s="75">
        <v>42</v>
      </c>
      <c r="L30" s="76" cm="1">
        <f t="array" ref="L30">L27+L29</f>
        <v>3747786.84</v>
      </c>
      <c r="M30" s="69" cm="1">
        <f t="array" ref="M30">M27+M29</f>
        <v>3746449</v>
      </c>
      <c r="N30" s="69" cm="1">
        <f t="array" ref="N30">N27+N29</f>
        <v>3746449</v>
      </c>
    </row>
    <row r="31" ht="20.5" customHeight="1">
      <c r="A31" s="70"/>
      <c r="B31" s="71"/>
      <c r="C31" s="71"/>
      <c r="D31" s="72"/>
      <c r="E31" s="72" cm="1">
        <f t="array" ref="E31">E$30-L$31</f>
        <v>2213.16</v>
      </c>
      <c r="F31" s="113" cm="1">
        <f t="array" ref="F31">ROUNDDOWN(E$30-D$28,2)</f>
        <v>3741914.16</v>
      </c>
      <c r="G31" s="72"/>
      <c r="H31" s="72"/>
      <c r="I31" s="71"/>
      <c r="J31" s="73"/>
      <c r="K31" t="s" s="75">
        <v>43</v>
      </c>
      <c r="L31" s="68" cm="1">
        <f t="array" ref="L31">ROUNDDOWN(L30,2)</f>
        <v>3747786.84</v>
      </c>
      <c r="M31" s="68" cm="1">
        <f t="array" ref="M31">ROUNDDOWN(M30,2)</f>
        <v>3746449</v>
      </c>
      <c r="N31" s="68" cm="1">
        <f t="array" ref="N31">ROUNDDOWN(N30,-3)</f>
        <v>3746000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91.xml><?xml version="1.0" encoding="utf-8"?>
<worksheet xmlns:r="http://schemas.openxmlformats.org/officeDocument/2006/relationships" xmlns="http://schemas.openxmlformats.org/spreadsheetml/2006/main">
  <sheetPr>
    <pageSetUpPr fitToPage="1"/>
  </sheetPr>
  <dimension ref="A1:N33"/>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276" customWidth="1"/>
    <col min="2" max="2" width="43.0312" style="276" customWidth="1"/>
    <col min="3" max="3" width="2.75" style="276" customWidth="1"/>
    <col min="4" max="6" width="10.3672" style="276" customWidth="1"/>
    <col min="7" max="7" width="11.6875" style="276" customWidth="1"/>
    <col min="8" max="11" width="13.5156" style="276" customWidth="1"/>
    <col min="12" max="14" width="14.2344" style="276" customWidth="1"/>
    <col min="15" max="16384" width="16.3516" style="276"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133</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s="95">
        <v>1</v>
      </c>
      <c r="B4" t="s" s="19">
        <v>134</v>
      </c>
      <c r="C4" s="20"/>
      <c r="D4" s="21">
        <v>1</v>
      </c>
      <c r="E4" s="21" cm="1">
        <f t="array" ref="E4">D4</f>
        <v>1</v>
      </c>
      <c r="F4" s="21" cm="1">
        <f t="array" ref="F4">D4</f>
        <v>1</v>
      </c>
      <c r="G4" t="s" s="22">
        <v>19</v>
      </c>
      <c r="H4" s="21">
        <v>1200000</v>
      </c>
      <c r="I4" s="21">
        <v>1190000</v>
      </c>
      <c r="J4" s="21">
        <v>1190000</v>
      </c>
      <c r="K4" s="21">
        <v>11</v>
      </c>
      <c r="L4" s="21" cm="1">
        <f t="array" ref="L4">IF(D4&gt;0,IF($D4&lt;=0,0,D4*H4),"")</f>
        <v>1200000</v>
      </c>
      <c r="M4" s="21" cm="1">
        <f t="array" ref="M4">IF(E4&gt;0,IF($D4&lt;=0,0,ROUND(E4*I4,2)),"")</f>
        <v>1190000</v>
      </c>
      <c r="N4" s="23" cm="1">
        <f t="array" ref="N4">IF(F4&gt;0,IF($D4&lt;=0,0,ROUND(F4*J4,2)),"")</f>
        <v>1190000</v>
      </c>
    </row>
    <row r="5" ht="20.5" customHeight="1">
      <c r="A5" s="95">
        <v>2</v>
      </c>
      <c r="B5" t="s" s="19">
        <v>144</v>
      </c>
      <c r="C5" s="24"/>
      <c r="D5" s="25">
        <v>1</v>
      </c>
      <c r="E5" s="26" cm="1">
        <f t="array" ref="E5">D5</f>
        <v>1</v>
      </c>
      <c r="F5" s="26" cm="1">
        <f t="array" ref="F5">D5</f>
        <v>1</v>
      </c>
      <c r="G5" t="s" s="27">
        <v>19</v>
      </c>
      <c r="H5" s="26">
        <v>775000</v>
      </c>
      <c r="I5" s="26">
        <v>755000</v>
      </c>
      <c r="J5" s="26">
        <v>755000</v>
      </c>
      <c r="K5" s="26">
        <v>11</v>
      </c>
      <c r="L5" s="26" cm="1">
        <f t="array" ref="L5">IF(D5&gt;0,IF($D5&lt;=0,0,D5*H5),"")</f>
        <v>775000</v>
      </c>
      <c r="M5" s="26" cm="1">
        <f t="array" ref="M5">IF(E5&gt;0,IF($D5&lt;=0,0,ROUND(E5*I5,2)),"")</f>
        <v>755000</v>
      </c>
      <c r="N5" s="28" cm="1">
        <f t="array" ref="N5">IF(F5&gt;0,IF($D5&lt;=0,0,ROUND(F5*J5,2)),"")</f>
        <v>755000</v>
      </c>
    </row>
    <row r="6" ht="20.5" customHeight="1">
      <c r="A6" s="29"/>
      <c r="B6" t="s" s="19">
        <v>145</v>
      </c>
      <c r="C6" s="20"/>
      <c r="D6" s="79"/>
      <c r="E6" s="21"/>
      <c r="F6" s="21"/>
      <c r="G6" s="79"/>
      <c r="H6" s="21"/>
      <c r="I6" s="79"/>
      <c r="J6" s="79"/>
      <c r="K6" s="21"/>
      <c r="L6" t="str" s="79" cm="1">
        <f t="array" ref="L6">IF(D6&gt;0,IF($D6&lt;=0,0,D6*H6),"")</f>
      </c>
      <c r="M6" t="str" s="79" cm="1">
        <f t="array" ref="M6">IF(E6&gt;0,IF($D6&lt;=0,0,ROUND(E6*I6,2)),"")</f>
      </c>
      <c r="N6" t="str" s="91" cm="1">
        <f t="array" ref="N6">IF(F6&gt;0,IF($D6&lt;=0,0,ROUND(F6*J6,2)),"")</f>
      </c>
    </row>
    <row r="7" ht="20.5" customHeight="1">
      <c r="A7" s="29"/>
      <c r="B7" t="s" s="19">
        <v>374</v>
      </c>
      <c r="C7" s="24"/>
      <c r="D7" s="30"/>
      <c r="E7" s="26"/>
      <c r="F7" s="26"/>
      <c r="G7" s="30"/>
      <c r="H7" s="26"/>
      <c r="I7" s="30"/>
      <c r="J7" s="30"/>
      <c r="K7" s="26"/>
      <c r="L7" t="str" s="30" cm="1">
        <f t="array" ref="L7">IF(D7&gt;0,IF($D7&lt;=0,0,D7*H7),"")</f>
      </c>
      <c r="M7" t="str" s="30" cm="1">
        <f t="array" ref="M7">IF(E7&gt;0,IF($D7&lt;=0,0,ROUND(E7*I7,2)),"")</f>
      </c>
      <c r="N7" t="str" s="31" cm="1">
        <f t="array" ref="N7">IF(F7&gt;0,IF($D7&lt;=0,0,ROUND(F7*J7,2)),"")</f>
      </c>
    </row>
    <row r="8" ht="20.5" customHeight="1">
      <c r="A8" s="95">
        <v>1</v>
      </c>
      <c r="B8" t="s" s="19">
        <v>394</v>
      </c>
      <c r="C8" s="20"/>
      <c r="D8" s="78">
        <v>20.8</v>
      </c>
      <c r="E8" s="21" cm="1">
        <f t="array" ref="E8">D8</f>
        <v>20.8</v>
      </c>
      <c r="F8" s="21" cm="1">
        <f t="array" ref="F8">D8</f>
        <v>20.8</v>
      </c>
      <c r="G8" t="s" s="22">
        <v>140</v>
      </c>
      <c r="H8" s="21">
        <v>270825</v>
      </c>
      <c r="I8" s="21">
        <v>270738.75</v>
      </c>
      <c r="J8" s="21">
        <v>270738.75</v>
      </c>
      <c r="K8" s="21">
        <v>11</v>
      </c>
      <c r="L8" s="21" cm="1">
        <f t="array" ref="L8">IF(D8&gt;0,IF($D8&lt;=0,0,D8*H8),"")</f>
        <v>5633160</v>
      </c>
      <c r="M8" s="21" cm="1">
        <f t="array" ref="M8">IF(E8&gt;0,IF($D8&lt;=0,0,ROUND(E8*I8,2)),"")</f>
        <v>5631366</v>
      </c>
      <c r="N8" s="23" cm="1">
        <f t="array" ref="N8">IF(F8&gt;0,IF($D8&lt;=0,0,ROUND(F8*J8,2)),"")</f>
        <v>5631366</v>
      </c>
    </row>
    <row r="9" ht="20.5" customHeight="1">
      <c r="A9" s="95">
        <v>2</v>
      </c>
      <c r="B9" t="s" s="19">
        <v>139</v>
      </c>
      <c r="C9" s="24"/>
      <c r="D9" s="25">
        <v>83.2</v>
      </c>
      <c r="E9" s="26" cm="1">
        <f t="array" ref="E9">D9</f>
        <v>83.2</v>
      </c>
      <c r="F9" s="26" cm="1">
        <f t="array" ref="F9">D9</f>
        <v>83.2</v>
      </c>
      <c r="G9" t="s" s="27">
        <v>140</v>
      </c>
      <c r="H9" s="26">
        <v>1449813</v>
      </c>
      <c r="I9" s="26">
        <v>1449243.75</v>
      </c>
      <c r="J9" s="26">
        <v>1449243.75</v>
      </c>
      <c r="K9" s="26">
        <v>11</v>
      </c>
      <c r="L9" s="26" cm="1">
        <f t="array" ref="L9">IF(D9&gt;0,IF($D9&lt;=0,0,D9*H9),"")</f>
        <v>120624441.6</v>
      </c>
      <c r="M9" s="26" cm="1">
        <f t="array" ref="M9">IF(E9&gt;0,IF($D9&lt;=0,0,ROUND(E9*I9,2)),"")</f>
        <v>120577080</v>
      </c>
      <c r="N9" s="28" cm="1">
        <f t="array" ref="N9">IF(F9&gt;0,IF($D9&lt;=0,0,ROUND(F9*J9,2)),"")</f>
        <v>120577080</v>
      </c>
    </row>
    <row r="10" ht="20.5" customHeight="1">
      <c r="A10" s="95">
        <v>3</v>
      </c>
      <c r="B10" t="s" s="19">
        <v>141</v>
      </c>
      <c r="C10" s="20"/>
      <c r="D10" s="21">
        <v>20.8</v>
      </c>
      <c r="E10" s="21" cm="1">
        <f t="array" ref="E10">D10</f>
        <v>20.8</v>
      </c>
      <c r="F10" s="21" cm="1">
        <f t="array" ref="F10">D10</f>
        <v>20.8</v>
      </c>
      <c r="G10" t="s" s="22">
        <v>140</v>
      </c>
      <c r="H10" s="21">
        <v>297818.38</v>
      </c>
      <c r="I10" s="32">
        <v>297590.68</v>
      </c>
      <c r="J10" s="32">
        <v>297590.68</v>
      </c>
      <c r="K10" s="21">
        <v>11</v>
      </c>
      <c r="L10" s="21" cm="1">
        <f t="array" ref="L10">IF(D10&gt;0,IF($D10&lt;=0,0,D10*H10),"")</f>
        <v>6194622.304</v>
      </c>
      <c r="M10" s="21" cm="1">
        <f t="array" ref="M10">IF(E10&gt;0,IF($D10&lt;=0,0,ROUND(E10*I10,2)),"")</f>
        <v>6189886.14</v>
      </c>
      <c r="N10" s="23" cm="1">
        <f t="array" ref="N10">IF(F10&gt;0,IF($D10&lt;=0,0,ROUND(F10*J10,2)),"")</f>
        <v>6189886.14</v>
      </c>
    </row>
    <row r="11" ht="20.5" customHeight="1">
      <c r="A11" s="29"/>
      <c r="B11" t="s" s="19">
        <v>36</v>
      </c>
      <c r="C11" s="24"/>
      <c r="D11" s="26"/>
      <c r="E11" s="26"/>
      <c r="F11" s="26"/>
      <c r="G11" s="30"/>
      <c r="H11" s="30"/>
      <c r="I11" s="30"/>
      <c r="J11" s="30"/>
      <c r="K11" s="26"/>
      <c r="L11" t="str" s="30" cm="1">
        <f t="array" ref="L11">IF(D11&gt;0,IF($D11&lt;=0,0,D11*H11),"")</f>
      </c>
      <c r="M11" s="26"/>
      <c r="N11" s="28"/>
    </row>
    <row r="12" ht="20.6" customHeight="1">
      <c r="A12" s="33">
        <v>1</v>
      </c>
      <c r="B12" t="s" s="34">
        <v>37</v>
      </c>
      <c r="C12" s="35"/>
      <c r="D12" s="36">
        <v>1</v>
      </c>
      <c r="E12" s="36" cm="1">
        <f t="array" ref="E12">D12</f>
        <v>1</v>
      </c>
      <c r="F12" s="36" cm="1">
        <f t="array" ref="F12">D12</f>
        <v>1</v>
      </c>
      <c r="G12" t="s" s="37">
        <v>19</v>
      </c>
      <c r="H12" s="36">
        <v>305411.73</v>
      </c>
      <c r="I12" s="36">
        <v>305252.33</v>
      </c>
      <c r="J12" s="36">
        <v>305252.33</v>
      </c>
      <c r="K12" s="36">
        <v>0</v>
      </c>
      <c r="L12" s="36" cm="1">
        <f t="array" ref="L12">IF(D12&gt;0,IF($D12&lt;=0,0,D12*H12),"")</f>
        <v>305411.73</v>
      </c>
      <c r="M12" s="36" cm="1">
        <f t="array" ref="M12">IF(E12&gt;0,IF($D12&lt;=0,0,ROUND(E12*I12,2)),"")</f>
        <v>305252.33</v>
      </c>
      <c r="N12" s="38" cm="1">
        <f t="array" ref="N12">IF(F12&gt;0,IF($D12&lt;=0,0,ROUND(F12*J12,2)),"")</f>
        <v>305252.33</v>
      </c>
    </row>
    <row r="13" ht="8.75" customHeight="1" hidden="1">
      <c r="A13" s="39"/>
      <c r="B13" s="40"/>
      <c r="C13" s="41"/>
      <c r="D13" s="42"/>
      <c r="E13" s="42"/>
      <c r="F13" s="42"/>
      <c r="G13" s="43"/>
      <c r="H13" s="42"/>
      <c r="I13" s="42"/>
      <c r="J13" s="42"/>
      <c r="K13" s="42"/>
      <c r="L13" s="42"/>
      <c r="M13" s="42"/>
      <c r="N13" s="44"/>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2"/>
      <c r="I15" s="42"/>
      <c r="J15" s="42"/>
      <c r="K15" s="42"/>
      <c r="L15" s="42"/>
      <c r="M15" s="42"/>
      <c r="N15" s="44"/>
    </row>
    <row r="16" ht="8.75" customHeight="1" hidden="1">
      <c r="A16" s="39"/>
      <c r="B16" s="40"/>
      <c r="C16" s="45"/>
      <c r="D16" s="46"/>
      <c r="E16" s="46"/>
      <c r="F16" s="46"/>
      <c r="G16" s="47"/>
      <c r="H16" s="46"/>
      <c r="I16" s="46"/>
      <c r="J16" s="46"/>
      <c r="K16" s="46"/>
      <c r="L16" s="46"/>
      <c r="M16" s="46"/>
      <c r="N16" s="48"/>
    </row>
    <row r="17" ht="8.75" customHeight="1" hidden="1">
      <c r="A17" s="39"/>
      <c r="B17" s="40"/>
      <c r="C17" s="41"/>
      <c r="D17" s="42"/>
      <c r="E17" s="42"/>
      <c r="F17" s="42"/>
      <c r="G17" s="43"/>
      <c r="H17" s="42"/>
      <c r="I17" s="42"/>
      <c r="J17" s="42"/>
      <c r="K17" s="42"/>
      <c r="L17" s="42"/>
      <c r="M17" s="42"/>
      <c r="N17" s="44"/>
    </row>
    <row r="18" ht="8.75" customHeight="1" hidden="1">
      <c r="A18" s="39"/>
      <c r="B18" s="40"/>
      <c r="C18" s="45"/>
      <c r="D18" s="46"/>
      <c r="E18" s="46"/>
      <c r="F18" s="46"/>
      <c r="G18" s="47"/>
      <c r="H18" s="46"/>
      <c r="I18" s="46"/>
      <c r="J18" s="46"/>
      <c r="K18" s="46"/>
      <c r="L18" s="46"/>
      <c r="M18" s="46"/>
      <c r="N18" s="48"/>
    </row>
    <row r="19" ht="8.75" customHeight="1" hidden="1">
      <c r="A19" s="39"/>
      <c r="B19" s="40"/>
      <c r="C19" s="41"/>
      <c r="D19" s="42"/>
      <c r="E19" s="42"/>
      <c r="F19" s="42"/>
      <c r="G19" s="43"/>
      <c r="H19" s="43"/>
      <c r="I19" s="43"/>
      <c r="J19" s="43"/>
      <c r="K19" s="42"/>
      <c r="L19" s="43"/>
      <c r="M19" s="43"/>
      <c r="N19" s="49"/>
    </row>
    <row r="20" ht="8.75" customHeight="1" hidden="1">
      <c r="A20" s="39"/>
      <c r="B20" s="40"/>
      <c r="C20" s="45"/>
      <c r="D20" s="46"/>
      <c r="E20" s="46"/>
      <c r="F20" s="46"/>
      <c r="G20" s="47"/>
      <c r="H20" s="50"/>
      <c r="I20" s="50"/>
      <c r="J20" s="50"/>
      <c r="K20" s="46"/>
      <c r="L20" s="46"/>
      <c r="M20" s="46"/>
      <c r="N20" s="48"/>
    </row>
    <row r="21" ht="8.75" customHeight="1" hidden="1">
      <c r="A21" s="39"/>
      <c r="B21" s="40"/>
      <c r="C21" s="41"/>
      <c r="D21" s="42"/>
      <c r="E21" s="42"/>
      <c r="F21" s="42"/>
      <c r="G21" s="43"/>
      <c r="H21" s="43"/>
      <c r="I21" s="43"/>
      <c r="J21" s="43"/>
      <c r="K21" s="42"/>
      <c r="L21" s="43"/>
      <c r="M21" s="43"/>
      <c r="N21" s="49"/>
    </row>
    <row r="22" ht="8.75" customHeight="1" hidden="1">
      <c r="A22" s="39"/>
      <c r="B22" s="40"/>
      <c r="C22" s="45"/>
      <c r="D22" s="46"/>
      <c r="E22" s="46"/>
      <c r="F22" s="46"/>
      <c r="G22" s="47"/>
      <c r="H22" s="46"/>
      <c r="I22" s="46"/>
      <c r="J22" s="46"/>
      <c r="K22" s="46"/>
      <c r="L22" s="46"/>
      <c r="M22" s="46"/>
      <c r="N22" s="48"/>
    </row>
    <row r="23" ht="8.75" customHeight="1" hidden="1">
      <c r="A23" s="39"/>
      <c r="B23" s="40"/>
      <c r="C23" s="41"/>
      <c r="D23" s="42"/>
      <c r="E23" s="42"/>
      <c r="F23" s="42"/>
      <c r="G23" s="43"/>
      <c r="H23" s="42"/>
      <c r="I23" s="42"/>
      <c r="J23" s="42"/>
      <c r="K23" s="42"/>
      <c r="L23" s="42"/>
      <c r="M23" s="42"/>
      <c r="N23" s="44"/>
    </row>
    <row r="24" ht="8.75" customHeight="1" hidden="1">
      <c r="A24" s="51"/>
      <c r="B24" s="40"/>
      <c r="C24" s="45"/>
      <c r="D24" s="46"/>
      <c r="E24" s="46"/>
      <c r="F24" s="46"/>
      <c r="G24" s="47"/>
      <c r="H24" s="46"/>
      <c r="I24" s="46"/>
      <c r="J24" s="46"/>
      <c r="K24" s="46"/>
      <c r="L24" s="46"/>
      <c r="M24" s="46"/>
      <c r="N24" s="48"/>
    </row>
    <row r="25" ht="8.75" customHeight="1" hidden="1">
      <c r="A25" s="51"/>
      <c r="B25" s="40"/>
      <c r="C25" s="41"/>
      <c r="D25" s="42"/>
      <c r="E25" s="42"/>
      <c r="F25" s="42"/>
      <c r="G25" s="43"/>
      <c r="H25" s="42"/>
      <c r="I25" s="42"/>
      <c r="J25" s="42"/>
      <c r="K25" s="42"/>
      <c r="L25" s="42"/>
      <c r="M25" s="42"/>
      <c r="N25" s="44"/>
    </row>
    <row r="26" ht="8.75" customHeight="1" hidden="1">
      <c r="A26" s="39"/>
      <c r="B26" s="40"/>
      <c r="C26" s="45"/>
      <c r="D26" s="46"/>
      <c r="E26" s="46"/>
      <c r="F26" s="46"/>
      <c r="G26" s="47"/>
      <c r="H26" s="46"/>
      <c r="I26" s="46"/>
      <c r="J26" s="46"/>
      <c r="K26" s="46"/>
      <c r="L26" s="47"/>
      <c r="M26" s="47"/>
      <c r="N26" s="52"/>
    </row>
    <row r="27" ht="8.75" customHeight="1" hidden="1">
      <c r="A27" s="39"/>
      <c r="B27" s="40"/>
      <c r="C27" s="41"/>
      <c r="D27" s="42"/>
      <c r="E27" s="42"/>
      <c r="F27" s="42"/>
      <c r="G27" s="43"/>
      <c r="H27" s="42"/>
      <c r="I27" s="42"/>
      <c r="J27" s="42"/>
      <c r="K27" s="42"/>
      <c r="L27" s="42"/>
      <c r="M27" s="42"/>
      <c r="N27" s="44"/>
    </row>
    <row r="28" ht="8.75" customHeight="1" hidden="1">
      <c r="A28" s="39"/>
      <c r="B28" s="40"/>
      <c r="C28" s="45"/>
      <c r="D28" s="46"/>
      <c r="E28" s="46"/>
      <c r="F28" s="46"/>
      <c r="G28" s="47"/>
      <c r="H28" s="46"/>
      <c r="I28" s="46"/>
      <c r="J28" s="46"/>
      <c r="K28" s="46"/>
      <c r="L28" s="47"/>
      <c r="M28" s="47"/>
      <c r="N28" s="52"/>
    </row>
    <row r="29" ht="20.85" customHeight="1">
      <c r="A29" s="53"/>
      <c r="B29" s="54"/>
      <c r="C29" s="54"/>
      <c r="D29" s="55"/>
      <c r="E29" s="55"/>
      <c r="F29" s="55"/>
      <c r="G29" s="56"/>
      <c r="H29" s="56"/>
      <c r="I29" s="54"/>
      <c r="J29" s="57"/>
      <c r="K29" t="s" s="58">
        <v>38</v>
      </c>
      <c r="L29" s="59" cm="1">
        <f t="array" ref="L29">SUM(L1:L28)</f>
        <v>134732635.634</v>
      </c>
      <c r="M29" s="59" cm="1">
        <f t="array" ref="M29">SUM(M1:M28)</f>
        <v>134648584.47</v>
      </c>
      <c r="N29" s="59" cm="1">
        <f t="array" ref="N29">SUM(N1:N28)</f>
        <v>134648584.47</v>
      </c>
    </row>
    <row r="30" ht="21" customHeight="1">
      <c r="A30" s="60"/>
      <c r="B30" t="s" s="61">
        <v>39</v>
      </c>
      <c r="C30" s="62"/>
      <c r="D30" s="63" cm="1">
        <f t="array" ref="D30">ROUND(IF(L30&lt;=100000000,L30*0.24%,IF(AND(L30&gt;100000000,L30&lt;=500000000),100000000*0.24%+(L30-100000000)*0.19%,IF(AND(L30&gt;500000000,L30&lt;=1000000000),100000000*0.24%+400000000*0.19%+(L30-500000000)*0.15%,IF(AND(L30&gt;1000000000,L30&lt;=5000000000),100000000*0.24%+400000000*0.19%+500000000*0.15%+(L30-1000000000)*0.12%,IF(L30&gt;5000000000,100000000*0.24%+400000000*0.19%+500000000*0.15%+4000000000*0.12%+(L30-5000000000)*0.1%,"Bingung komputer"))))),2)</f>
        <v>305411.73</v>
      </c>
      <c r="E30" s="64" cm="1">
        <f t="array" ref="E30">ROUND(IF(M30&lt;=100000000,M30*0.24%,IF(AND(M30&gt;100000000,M30&lt;=500000000),100000000*0.24%+(M30-100000000)*0.19%,IF(AND(M30&gt;500000000,M30&lt;=1000000000),100000000*0.24%+400000000*0.19%+(M30-500000000)*0.15%,IF(AND(M30&gt;1000000000,M30&lt;=5000000000),100000000*0.24%+400000000*0.19%+500000000*0.15%+(M30-1000000000)*0.12%,IF(M30&gt;5000000000,100000000*0.24%+400000000*0.19%+500000000*0.15%+4000000000*0.12%+(M30-5000000000)*0.1%,"Bingung komputer"))))),2)</f>
        <v>305252.33</v>
      </c>
      <c r="F30" s="64" cm="1">
        <f t="array" ref="F30">ROUND(IF(N30&lt;=100000000,N30*0.24%,IF(AND(N30&gt;100000000,N30&lt;=500000000),100000000*0.24%+(N30-100000000)*0.19%,IF(AND(N30&gt;500000000,N30&lt;=1000000000),100000000*0.24%+400000000*0.19%+(N30-500000000)*0.15%,IF(AND(N30&gt;1000000000,N30&lt;=5000000000),100000000*0.24%+400000000*0.19%+500000000*0.15%+(N30-1000000000)*0.12%,IF(N30&gt;5000000000,100000000*0.24%+400000000*0.19%+500000000*0.15%+4000000000*0.12%+(N30-5000000000)*0.1%,"Bingung komputer"))))),2)</f>
        <v>305252.33</v>
      </c>
      <c r="G30" s="65"/>
      <c r="H30" s="66"/>
      <c r="I30" s="62"/>
      <c r="J30" s="67"/>
      <c r="K30" t="str" s="67" cm="1">
        <f t="array" ref="K30">"Jumlah Terkena Pajak "&amp;MAX(K3:K28)&amp;"% (B)"</f>
        <v>Jumlah Terkena Pajak 11,00% (B)</v>
      </c>
      <c r="L30" s="68" cm="1">
        <f t="array" ref="L30">SUMIF($K3:$K28,"&gt;0",L3:L28)</f>
        <v>134427223.904</v>
      </c>
      <c r="M30" s="69" cm="1">
        <f t="array" ref="M30">SUMIF($K3:$K28,"&gt;0",M3:M28)</f>
        <v>134343332.14</v>
      </c>
      <c r="N30" s="69" cm="1">
        <f t="array" ref="N30">SUMIF($K3:$K28,"&gt;0",N3:N28)</f>
        <v>134343332.14</v>
      </c>
    </row>
    <row r="31" ht="21" customHeight="1">
      <c r="A31" s="70"/>
      <c r="B31" s="71"/>
      <c r="C31" s="71"/>
      <c r="D31" s="72"/>
      <c r="E31" s="72"/>
      <c r="F31" s="71"/>
      <c r="G31" s="72"/>
      <c r="H31" s="72"/>
      <c r="I31" s="71"/>
      <c r="J31" s="73"/>
      <c r="K31" t="str" s="73" cm="1">
        <f t="array" ref="K31">"PPN (C) = "&amp;MAX(K3:K28)&amp;"% x B"</f>
        <v>PPN (C) = 11,00% x B</v>
      </c>
      <c r="L31" s="74" cm="1">
        <f t="array" ref="L31">L30*MAX($K3:$K28)%</f>
        <v>14786994.62944</v>
      </c>
      <c r="M31" s="69" cm="1">
        <f t="array" ref="M31">M30*MAX($K3:$K28)%</f>
        <v>14777766.5354</v>
      </c>
      <c r="N31" s="69" cm="1">
        <f t="array" ref="N31">N30*MAX($K3:$K28)%</f>
        <v>14777766.5354</v>
      </c>
    </row>
    <row r="32" ht="21" customHeight="1">
      <c r="A32" s="70"/>
      <c r="B32" s="71"/>
      <c r="C32" s="71"/>
      <c r="D32" s="72"/>
      <c r="E32" s="72"/>
      <c r="F32" s="72"/>
      <c r="G32" s="72"/>
      <c r="H32" s="72"/>
      <c r="I32" s="71"/>
      <c r="J32" s="73"/>
      <c r="K32" t="s" s="75">
        <v>42</v>
      </c>
      <c r="L32" s="76" cm="1">
        <f t="array" ref="L32">L29+L31</f>
        <v>149519630.26344</v>
      </c>
      <c r="M32" s="69" cm="1">
        <f t="array" ref="M32">M29+M31</f>
        <v>149426351.0054</v>
      </c>
      <c r="N32" s="69" cm="1">
        <f t="array" ref="N32">N29+N31</f>
        <v>149426351.0054</v>
      </c>
    </row>
    <row r="33" ht="20.5" customHeight="1">
      <c r="A33" s="70"/>
      <c r="B33" s="71"/>
      <c r="C33" s="71"/>
      <c r="D33" s="72"/>
      <c r="E33" s="72"/>
      <c r="F33" s="72"/>
      <c r="G33" s="72"/>
      <c r="H33" s="72"/>
      <c r="I33" s="71"/>
      <c r="J33" s="73"/>
      <c r="K33" t="s" s="75">
        <v>43</v>
      </c>
      <c r="L33" s="68" cm="1">
        <f t="array" ref="L33">ROUNDDOWN(L32,2)</f>
        <v>149519630.26</v>
      </c>
      <c r="M33" s="68" cm="1">
        <f t="array" ref="M33">ROUNDDOWN(M32,2)</f>
        <v>149426351</v>
      </c>
      <c r="N33" s="68" cm="1">
        <f t="array" ref="N33">ROUNDDOWN(N32,-3)</f>
        <v>149426000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92.xml><?xml version="1.0" encoding="utf-8"?>
<worksheet xmlns:r="http://schemas.openxmlformats.org/officeDocument/2006/relationships" xmlns="http://schemas.openxmlformats.org/spreadsheetml/2006/main">
  <sheetPr>
    <pageSetUpPr fitToPage="1"/>
  </sheetPr>
  <dimension ref="A1:N36"/>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277" customWidth="1"/>
    <col min="2" max="2" width="43.0312" style="277" customWidth="1"/>
    <col min="3" max="3" width="2.75" style="277" customWidth="1"/>
    <col min="4" max="6" width="10.3672" style="277" customWidth="1"/>
    <col min="7" max="7" width="11.6875" style="277" customWidth="1"/>
    <col min="8" max="11" width="13.5156" style="277" customWidth="1"/>
    <col min="12" max="14" width="14.2344" style="277" customWidth="1"/>
    <col min="15" max="16384" width="16.3516" style="277"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133</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s="95">
        <v>1</v>
      </c>
      <c r="B4" t="s" s="19">
        <v>134</v>
      </c>
      <c r="C4" s="20"/>
      <c r="D4" s="21">
        <v>1</v>
      </c>
      <c r="E4" s="21" cm="1">
        <f t="array" ref="E4">D4</f>
        <v>1</v>
      </c>
      <c r="F4" s="21" cm="1">
        <f t="array" ref="F4">D4</f>
        <v>1</v>
      </c>
      <c r="G4" t="s" s="22">
        <v>19</v>
      </c>
      <c r="H4" s="21">
        <v>2500000</v>
      </c>
      <c r="I4" s="21">
        <v>2470000</v>
      </c>
      <c r="J4" s="21">
        <v>2470000</v>
      </c>
      <c r="K4" s="21">
        <v>11</v>
      </c>
      <c r="L4" s="21" cm="1">
        <f t="array" ref="L4">IF(D4&gt;0,IF($D4&lt;=0,0,D4*H4),"")</f>
        <v>2500000</v>
      </c>
      <c r="M4" s="21" cm="1">
        <f t="array" ref="M4">IF(E4&gt;0,IF($D4&lt;=0,0,ROUND(E4*I4,2)),"")</f>
        <v>2470000</v>
      </c>
      <c r="N4" s="23" cm="1">
        <f t="array" ref="N4">IF(F4&gt;0,IF($D4&lt;=0,0,ROUND(F4*J4,2)),"")</f>
        <v>2470000</v>
      </c>
    </row>
    <row r="5" ht="20.5" customHeight="1">
      <c r="A5" s="95">
        <v>2</v>
      </c>
      <c r="B5" t="s" s="19">
        <v>144</v>
      </c>
      <c r="C5" s="24"/>
      <c r="D5" s="25">
        <v>1</v>
      </c>
      <c r="E5" s="26" cm="1">
        <f t="array" ref="E5">D5</f>
        <v>1</v>
      </c>
      <c r="F5" s="26" cm="1">
        <f t="array" ref="F5">D5</f>
        <v>1</v>
      </c>
      <c r="G5" t="s" s="27">
        <v>19</v>
      </c>
      <c r="H5" s="26">
        <v>625000</v>
      </c>
      <c r="I5" s="26">
        <v>600000</v>
      </c>
      <c r="J5" s="26">
        <v>600000</v>
      </c>
      <c r="K5" s="26">
        <v>11</v>
      </c>
      <c r="L5" s="26" cm="1">
        <f t="array" ref="L5">IF(D5&gt;0,IF($D5&lt;=0,0,D5*H5),"")</f>
        <v>625000</v>
      </c>
      <c r="M5" s="26" cm="1">
        <f t="array" ref="M5">IF(E5&gt;0,IF($D5&lt;=0,0,ROUND(E5*I5,2)),"")</f>
        <v>600000</v>
      </c>
      <c r="N5" s="28" cm="1">
        <f t="array" ref="N5">IF(F5&gt;0,IF($D5&lt;=0,0,ROUND(F5*J5,2)),"")</f>
        <v>600000</v>
      </c>
    </row>
    <row r="6" ht="20.5" customHeight="1">
      <c r="A6" s="29"/>
      <c r="B6" t="s" s="19">
        <v>145</v>
      </c>
      <c r="C6" s="20"/>
      <c r="D6" s="79"/>
      <c r="E6" s="21"/>
      <c r="F6" s="21"/>
      <c r="G6" s="79"/>
      <c r="H6" s="21"/>
      <c r="I6" s="79"/>
      <c r="J6" s="79"/>
      <c r="K6" s="21"/>
      <c r="L6" t="str" s="79" cm="1">
        <f t="array" ref="L6">IF(D6&gt;0,IF($D6&lt;=0,0,D6*H6),"")</f>
      </c>
      <c r="M6" t="str" s="79" cm="1">
        <f t="array" ref="M6">IF(E6&gt;0,IF($D6&lt;=0,0,ROUND(E6*I6,2)),"")</f>
      </c>
      <c r="N6" t="str" s="91" cm="1">
        <f t="array" ref="N6">IF(F6&gt;0,IF($D6&lt;=0,0,ROUND(F6*J6,2)),"")</f>
      </c>
    </row>
    <row r="7" ht="20.5" customHeight="1">
      <c r="A7" s="29"/>
      <c r="B7" t="s" s="19">
        <v>374</v>
      </c>
      <c r="C7" s="24"/>
      <c r="D7" s="30"/>
      <c r="E7" s="26"/>
      <c r="F7" s="26"/>
      <c r="G7" s="30"/>
      <c r="H7" s="26"/>
      <c r="I7" s="30"/>
      <c r="J7" s="30"/>
      <c r="K7" s="26"/>
      <c r="L7" t="str" s="30" cm="1">
        <f t="array" ref="L7">IF(D7&gt;0,IF($D7&lt;=0,0,D7*H7),"")</f>
      </c>
      <c r="M7" t="str" s="30" cm="1">
        <f t="array" ref="M7">IF(E7&gt;0,IF($D7&lt;=0,0,ROUND(E7*I7,2)),"")</f>
      </c>
      <c r="N7" t="str" s="31" cm="1">
        <f t="array" ref="N7">IF(F7&gt;0,IF($D7&lt;=0,0,ROUND(F7*J7,2)),"")</f>
      </c>
    </row>
    <row r="8" ht="20.5" customHeight="1">
      <c r="A8" s="95">
        <v>1</v>
      </c>
      <c r="B8" t="s" s="19">
        <v>147</v>
      </c>
      <c r="C8" s="20"/>
      <c r="D8" s="78">
        <v>130.41</v>
      </c>
      <c r="E8" s="21" cm="1">
        <f t="array" ref="E8">D8</f>
        <v>130.41</v>
      </c>
      <c r="F8" s="21" cm="1">
        <f t="array" ref="F8">D8</f>
        <v>130.41</v>
      </c>
      <c r="G8" t="s" s="22">
        <v>140</v>
      </c>
      <c r="H8" s="21">
        <v>81075</v>
      </c>
      <c r="I8" s="21">
        <v>80212.5</v>
      </c>
      <c r="J8" s="21">
        <v>80212.5</v>
      </c>
      <c r="K8" s="21">
        <v>11</v>
      </c>
      <c r="L8" s="21" cm="1">
        <f t="array" ref="L8">IF(D8&gt;0,IF($D8&lt;=0,0,D8*H8),"")</f>
        <v>10572990.75</v>
      </c>
      <c r="M8" s="21" cm="1">
        <f t="array" ref="M8">IF(E8&gt;0,IF($D8&lt;=0,0,ROUND(E8*I8,2)),"")</f>
        <v>10460512.13</v>
      </c>
      <c r="N8" s="23" cm="1">
        <f t="array" ref="N8">IF(F8&gt;0,IF($D8&lt;=0,0,ROUND(F8*J8,2)),"")</f>
        <v>10460512.13</v>
      </c>
    </row>
    <row r="9" ht="20.5" customHeight="1">
      <c r="A9" s="95">
        <v>2</v>
      </c>
      <c r="B9" t="s" s="19">
        <v>148</v>
      </c>
      <c r="C9" s="24"/>
      <c r="D9" s="25">
        <v>48.3</v>
      </c>
      <c r="E9" s="26" cm="1">
        <f t="array" ref="E9">D9</f>
        <v>48.3</v>
      </c>
      <c r="F9" s="26" cm="1">
        <f t="array" ref="F9">D9</f>
        <v>48.3</v>
      </c>
      <c r="G9" t="s" s="27">
        <v>140</v>
      </c>
      <c r="H9" s="26">
        <v>58650</v>
      </c>
      <c r="I9" s="26">
        <v>58075</v>
      </c>
      <c r="J9" s="26">
        <v>58075</v>
      </c>
      <c r="K9" s="26">
        <v>11</v>
      </c>
      <c r="L9" s="26" cm="1">
        <f t="array" ref="L9">IF(D9&gt;0,IF($D9&lt;=0,0,D9*H9),"")</f>
        <v>2832795</v>
      </c>
      <c r="M9" s="26" cm="1">
        <f t="array" ref="M9">IF(E9&gt;0,IF($D9&lt;=0,0,ROUND(E9*I9,2)),"")</f>
        <v>2805022.5</v>
      </c>
      <c r="N9" s="28" cm="1">
        <f t="array" ref="N9">IF(F9&gt;0,IF($D9&lt;=0,0,ROUND(F9*J9,2)),"")</f>
        <v>2805022.5</v>
      </c>
    </row>
    <row r="10" ht="20.5" customHeight="1">
      <c r="A10" s="95">
        <v>3</v>
      </c>
      <c r="B10" t="s" s="19">
        <v>375</v>
      </c>
      <c r="C10" s="20"/>
      <c r="D10" s="21">
        <v>1.61</v>
      </c>
      <c r="E10" s="21" cm="1">
        <f t="array" ref="E10">D10</f>
        <v>1.61</v>
      </c>
      <c r="F10" s="21" cm="1">
        <f t="array" ref="F10">D10</f>
        <v>1.61</v>
      </c>
      <c r="G10" t="s" s="22">
        <v>140</v>
      </c>
      <c r="H10" s="21">
        <v>1221960.88</v>
      </c>
      <c r="I10" s="32">
        <v>1220063.38</v>
      </c>
      <c r="J10" s="32">
        <v>1220063.38</v>
      </c>
      <c r="K10" s="21">
        <v>11</v>
      </c>
      <c r="L10" s="21" cm="1">
        <f t="array" ref="L10">IF(D10&gt;0,IF($D10&lt;=0,0,D10*H10),"")</f>
        <v>1967357.0168</v>
      </c>
      <c r="M10" s="21" cm="1">
        <f t="array" ref="M10">IF(E10&gt;0,IF($D10&lt;=0,0,ROUND(E10*I10,2)),"")</f>
        <v>1964302.04</v>
      </c>
      <c r="N10" s="23" cm="1">
        <f t="array" ref="N10">IF(F10&gt;0,IF($D10&lt;=0,0,ROUND(F10*J10,2)),"")</f>
        <v>1964302.04</v>
      </c>
    </row>
    <row r="11" ht="32.5" customHeight="1">
      <c r="A11" s="95">
        <v>4</v>
      </c>
      <c r="B11" t="s" s="19">
        <v>150</v>
      </c>
      <c r="C11" s="24"/>
      <c r="D11" s="25">
        <v>53.13</v>
      </c>
      <c r="E11" s="26" cm="1">
        <f t="array" ref="E11">D11</f>
        <v>53.13</v>
      </c>
      <c r="F11" s="26" cm="1">
        <f t="array" ref="F11">D11</f>
        <v>53.13</v>
      </c>
      <c r="G11" t="s" s="27">
        <v>140</v>
      </c>
      <c r="H11" s="26">
        <v>1004812.5</v>
      </c>
      <c r="I11" s="26">
        <v>1003087.5</v>
      </c>
      <c r="J11" s="26">
        <v>1003087.5</v>
      </c>
      <c r="K11" s="26">
        <v>11</v>
      </c>
      <c r="L11" s="26" cm="1">
        <f t="array" ref="L11">IF(D11&gt;0,IF($D11&lt;=0,0,D11*H11),"")</f>
        <v>53385688.125</v>
      </c>
      <c r="M11" s="26" cm="1">
        <f t="array" ref="M11">IF(E11&gt;0,IF($D11&lt;=0,0,ROUND(E11*I11,2)),"")</f>
        <v>53294038.88</v>
      </c>
      <c r="N11" s="28" cm="1">
        <f t="array" ref="N11">IF(F11&gt;0,IF($D11&lt;=0,0,ROUND(F11*J11,2)),"")</f>
        <v>53294038.88</v>
      </c>
    </row>
    <row r="12" ht="20.5" customHeight="1">
      <c r="A12" s="95">
        <v>5</v>
      </c>
      <c r="B12" t="s" s="19">
        <v>376</v>
      </c>
      <c r="C12" s="20"/>
      <c r="D12" s="78">
        <v>144.9</v>
      </c>
      <c r="E12" s="21" cm="1">
        <f t="array" ref="E12">D12</f>
        <v>144.9</v>
      </c>
      <c r="F12" s="21" cm="1">
        <f t="array" ref="F12">D12</f>
        <v>144.9</v>
      </c>
      <c r="G12" t="s" s="22">
        <v>142</v>
      </c>
      <c r="H12" s="21">
        <v>71329.899999999994</v>
      </c>
      <c r="I12" s="21">
        <v>70984.899999999994</v>
      </c>
      <c r="J12" s="21">
        <v>70984.899999999994</v>
      </c>
      <c r="K12" s="21">
        <v>11</v>
      </c>
      <c r="L12" s="21" cm="1">
        <f t="array" ref="L12">IF(D12&gt;0,IF($D12&lt;=0,0,D12*H12),"")</f>
        <v>10335702.51</v>
      </c>
      <c r="M12" s="21" cm="1">
        <f t="array" ref="M12">IF(E12&gt;0,IF($D12&lt;=0,0,ROUND(E12*I12,2)),"")</f>
        <v>10285712.01</v>
      </c>
      <c r="N12" s="23" cm="1">
        <f t="array" ref="N12">IF(F12&gt;0,IF($D12&lt;=0,0,ROUND(F12*J12,2)),"")</f>
        <v>10285712.01</v>
      </c>
    </row>
    <row r="13" ht="20.5" customHeight="1">
      <c r="A13" s="95">
        <v>6</v>
      </c>
      <c r="B13" t="s" s="19">
        <v>377</v>
      </c>
      <c r="C13" s="24"/>
      <c r="D13" s="26">
        <v>177.1</v>
      </c>
      <c r="E13" s="26" cm="1">
        <f t="array" ref="E13">D13</f>
        <v>177.1</v>
      </c>
      <c r="F13" s="26" cm="1">
        <f t="array" ref="F13">D13</f>
        <v>177.1</v>
      </c>
      <c r="G13" t="s" s="27">
        <v>142</v>
      </c>
      <c r="H13" s="26">
        <v>43211.25</v>
      </c>
      <c r="I13" s="122">
        <v>42981.25</v>
      </c>
      <c r="J13" s="122">
        <v>42981.25</v>
      </c>
      <c r="K13" s="26">
        <v>11</v>
      </c>
      <c r="L13" s="26" cm="1">
        <f t="array" ref="L13">IF(D13&gt;0,IF($D13&lt;=0,0,D13*H13),"")</f>
        <v>7652712.375</v>
      </c>
      <c r="M13" s="26" cm="1">
        <f t="array" ref="M13">IF(E13&gt;0,IF($D13&lt;=0,0,ROUND(E13*I13,2)),"")</f>
        <v>7611979.38</v>
      </c>
      <c r="N13" s="28" cm="1">
        <f t="array" ref="N13">IF(F13&gt;0,IF($D13&lt;=0,0,ROUND(F13*J13,2)),"")</f>
        <v>7611979.38</v>
      </c>
    </row>
    <row r="14" ht="20.5" customHeight="1">
      <c r="A14" s="29"/>
      <c r="B14" t="s" s="19">
        <v>36</v>
      </c>
      <c r="C14" s="20"/>
      <c r="D14" s="21"/>
      <c r="E14" s="21"/>
      <c r="F14" s="21"/>
      <c r="G14" s="79"/>
      <c r="H14" s="79"/>
      <c r="I14" s="79"/>
      <c r="J14" s="79"/>
      <c r="K14" s="21"/>
      <c r="L14" t="str" s="79" cm="1">
        <f t="array" ref="L14">IF(D14&gt;0,IF($D14&lt;=0,0,D14*H14),"")</f>
      </c>
      <c r="M14" s="21"/>
      <c r="N14" s="23"/>
    </row>
    <row r="15" ht="20.6" customHeight="1">
      <c r="A15" s="33">
        <v>1</v>
      </c>
      <c r="B15" t="s" s="34">
        <v>37</v>
      </c>
      <c r="C15" s="80"/>
      <c r="D15" s="81">
        <v>1</v>
      </c>
      <c r="E15" s="81" cm="1">
        <f t="array" ref="E15">D15</f>
        <v>1</v>
      </c>
      <c r="F15" s="81" cm="1">
        <f t="array" ref="F15">D15</f>
        <v>1</v>
      </c>
      <c r="G15" t="s" s="82">
        <v>19</v>
      </c>
      <c r="H15" s="81">
        <v>215693.39</v>
      </c>
      <c r="I15" s="81">
        <v>220033.98</v>
      </c>
      <c r="J15" s="81">
        <v>214779.76</v>
      </c>
      <c r="K15" s="81">
        <v>0</v>
      </c>
      <c r="L15" s="81" cm="1">
        <f t="array" ref="L15">IF(D15&gt;0,IF($D15&lt;=0,0,D15*H15),"")</f>
        <v>215693.39</v>
      </c>
      <c r="M15" s="81" cm="1">
        <f t="array" ref="M15">IF(E15&gt;0,IF($D15&lt;=0,0,ROUND(E15*I15,2)),"")</f>
        <v>220033.98</v>
      </c>
      <c r="N15" s="83" cm="1">
        <f t="array" ref="N15">IF(F15&gt;0,IF($D15&lt;=0,0,ROUND(F15*J15,2)),"")</f>
        <v>214779.76</v>
      </c>
    </row>
    <row r="16" ht="8.75" customHeight="1" hidden="1">
      <c r="A16" s="39"/>
      <c r="B16" s="40"/>
      <c r="C16" s="45"/>
      <c r="D16" s="46"/>
      <c r="E16" s="46"/>
      <c r="F16" s="46"/>
      <c r="G16" s="47"/>
      <c r="H16" s="46"/>
      <c r="I16" s="46"/>
      <c r="J16" s="46"/>
      <c r="K16" s="46"/>
      <c r="L16" s="46"/>
      <c r="M16" s="46"/>
      <c r="N16" s="48"/>
    </row>
    <row r="17" ht="8.75" customHeight="1" hidden="1">
      <c r="A17" s="39"/>
      <c r="B17" s="40"/>
      <c r="C17" s="41"/>
      <c r="D17" s="42"/>
      <c r="E17" s="42"/>
      <c r="F17" s="42"/>
      <c r="G17" s="43"/>
      <c r="H17" s="42"/>
      <c r="I17" s="42"/>
      <c r="J17" s="42"/>
      <c r="K17" s="42"/>
      <c r="L17" s="42"/>
      <c r="M17" s="42"/>
      <c r="N17" s="44"/>
    </row>
    <row r="18" ht="8.75" customHeight="1" hidden="1">
      <c r="A18" s="39"/>
      <c r="B18" s="40"/>
      <c r="C18" s="45"/>
      <c r="D18" s="46"/>
      <c r="E18" s="46"/>
      <c r="F18" s="46"/>
      <c r="G18" s="47"/>
      <c r="H18" s="46"/>
      <c r="I18" s="46"/>
      <c r="J18" s="46"/>
      <c r="K18" s="46"/>
      <c r="L18" s="46"/>
      <c r="M18" s="46"/>
      <c r="N18" s="48"/>
    </row>
    <row r="19" ht="8.75" customHeight="1" hidden="1">
      <c r="A19" s="39"/>
      <c r="B19" s="40"/>
      <c r="C19" s="41"/>
      <c r="D19" s="42"/>
      <c r="E19" s="42"/>
      <c r="F19" s="42"/>
      <c r="G19" s="43"/>
      <c r="H19" s="42"/>
      <c r="I19" s="42"/>
      <c r="J19" s="42"/>
      <c r="K19" s="42"/>
      <c r="L19" s="42"/>
      <c r="M19" s="42"/>
      <c r="N19" s="44"/>
    </row>
    <row r="20" ht="8.75" customHeight="1" hidden="1">
      <c r="A20" s="39"/>
      <c r="B20" s="40"/>
      <c r="C20" s="45"/>
      <c r="D20" s="46"/>
      <c r="E20" s="46"/>
      <c r="F20" s="46"/>
      <c r="G20" s="47"/>
      <c r="H20" s="46"/>
      <c r="I20" s="46"/>
      <c r="J20" s="46"/>
      <c r="K20" s="46"/>
      <c r="L20" s="46"/>
      <c r="M20" s="46"/>
      <c r="N20" s="48"/>
    </row>
    <row r="21" ht="8.75" customHeight="1" hidden="1">
      <c r="A21" s="39"/>
      <c r="B21" s="40"/>
      <c r="C21" s="41"/>
      <c r="D21" s="42"/>
      <c r="E21" s="42"/>
      <c r="F21" s="42"/>
      <c r="G21" s="43"/>
      <c r="H21" s="42"/>
      <c r="I21" s="42"/>
      <c r="J21" s="42"/>
      <c r="K21" s="42"/>
      <c r="L21" s="42"/>
      <c r="M21" s="42"/>
      <c r="N21" s="44"/>
    </row>
    <row r="22" ht="8.75" customHeight="1" hidden="1">
      <c r="A22" s="39"/>
      <c r="B22" s="40"/>
      <c r="C22" s="45"/>
      <c r="D22" s="46"/>
      <c r="E22" s="46"/>
      <c r="F22" s="46"/>
      <c r="G22" s="47"/>
      <c r="H22" s="47"/>
      <c r="I22" s="47"/>
      <c r="J22" s="47"/>
      <c r="K22" s="46"/>
      <c r="L22" s="47"/>
      <c r="M22" s="47"/>
      <c r="N22" s="52"/>
    </row>
    <row r="23" ht="8.75" customHeight="1" hidden="1">
      <c r="A23" s="39"/>
      <c r="B23" s="40"/>
      <c r="C23" s="41"/>
      <c r="D23" s="42"/>
      <c r="E23" s="42"/>
      <c r="F23" s="42"/>
      <c r="G23" s="43"/>
      <c r="H23" s="84"/>
      <c r="I23" s="84"/>
      <c r="J23" s="84"/>
      <c r="K23" s="42"/>
      <c r="L23" s="42"/>
      <c r="M23" s="42"/>
      <c r="N23" s="44"/>
    </row>
    <row r="24" ht="8.75" customHeight="1" hidden="1">
      <c r="A24" s="39"/>
      <c r="B24" s="40"/>
      <c r="C24" s="45"/>
      <c r="D24" s="46"/>
      <c r="E24" s="46"/>
      <c r="F24" s="46"/>
      <c r="G24" s="47"/>
      <c r="H24" s="47"/>
      <c r="I24" s="47"/>
      <c r="J24" s="47"/>
      <c r="K24" s="46"/>
      <c r="L24" s="47"/>
      <c r="M24" s="47"/>
      <c r="N24" s="52"/>
    </row>
    <row r="25" ht="8.75" customHeight="1" hidden="1">
      <c r="A25" s="39"/>
      <c r="B25" s="40"/>
      <c r="C25" s="41"/>
      <c r="D25" s="42"/>
      <c r="E25" s="42"/>
      <c r="F25" s="42"/>
      <c r="G25" s="43"/>
      <c r="H25" s="42"/>
      <c r="I25" s="42"/>
      <c r="J25" s="42"/>
      <c r="K25" s="42"/>
      <c r="L25" s="42"/>
      <c r="M25" s="42"/>
      <c r="N25" s="44"/>
    </row>
    <row r="26" ht="8.75" customHeight="1" hidden="1">
      <c r="A26" s="39"/>
      <c r="B26" s="40"/>
      <c r="C26" s="45"/>
      <c r="D26" s="46"/>
      <c r="E26" s="46"/>
      <c r="F26" s="46"/>
      <c r="G26" s="47"/>
      <c r="H26" s="46"/>
      <c r="I26" s="46"/>
      <c r="J26" s="46"/>
      <c r="K26" s="46"/>
      <c r="L26" s="46"/>
      <c r="M26" s="46"/>
      <c r="N26" s="48"/>
    </row>
    <row r="27" ht="8.75" customHeight="1" hidden="1">
      <c r="A27" s="51"/>
      <c r="B27" s="40"/>
      <c r="C27" s="41"/>
      <c r="D27" s="42"/>
      <c r="E27" s="42"/>
      <c r="F27" s="42"/>
      <c r="G27" s="43"/>
      <c r="H27" s="42"/>
      <c r="I27" s="42"/>
      <c r="J27" s="42"/>
      <c r="K27" s="42"/>
      <c r="L27" s="42"/>
      <c r="M27" s="42"/>
      <c r="N27" s="44"/>
    </row>
    <row r="28" ht="8.75" customHeight="1" hidden="1">
      <c r="A28" s="51"/>
      <c r="B28" s="40"/>
      <c r="C28" s="45"/>
      <c r="D28" s="46"/>
      <c r="E28" s="46"/>
      <c r="F28" s="46"/>
      <c r="G28" s="47"/>
      <c r="H28" s="46"/>
      <c r="I28" s="46"/>
      <c r="J28" s="46"/>
      <c r="K28" s="46"/>
      <c r="L28" s="46"/>
      <c r="M28" s="46"/>
      <c r="N28" s="48"/>
    </row>
    <row r="29" ht="8.75" customHeight="1" hidden="1">
      <c r="A29" s="39"/>
      <c r="B29" s="40"/>
      <c r="C29" s="41"/>
      <c r="D29" s="42"/>
      <c r="E29" s="42"/>
      <c r="F29" s="42"/>
      <c r="G29" s="43"/>
      <c r="H29" s="42"/>
      <c r="I29" s="42"/>
      <c r="J29" s="42"/>
      <c r="K29" s="42"/>
      <c r="L29" s="43"/>
      <c r="M29" s="43"/>
      <c r="N29" s="49"/>
    </row>
    <row r="30" ht="8.75" customHeight="1" hidden="1">
      <c r="A30" s="39"/>
      <c r="B30" s="40"/>
      <c r="C30" s="45"/>
      <c r="D30" s="46"/>
      <c r="E30" s="46"/>
      <c r="F30" s="46"/>
      <c r="G30" s="47"/>
      <c r="H30" s="46"/>
      <c r="I30" s="46"/>
      <c r="J30" s="46"/>
      <c r="K30" s="46"/>
      <c r="L30" s="46"/>
      <c r="M30" s="46"/>
      <c r="N30" s="48"/>
    </row>
    <row r="31" ht="8.75" customHeight="1" hidden="1">
      <c r="A31" s="39"/>
      <c r="B31" s="40"/>
      <c r="C31" s="41"/>
      <c r="D31" s="42"/>
      <c r="E31" s="42"/>
      <c r="F31" s="42"/>
      <c r="G31" s="43"/>
      <c r="H31" s="42"/>
      <c r="I31" s="42"/>
      <c r="J31" s="42"/>
      <c r="K31" s="42"/>
      <c r="L31" s="43"/>
      <c r="M31" s="43"/>
      <c r="N31" s="49"/>
    </row>
    <row r="32" ht="20.85" customHeight="1">
      <c r="A32" s="53"/>
      <c r="B32" s="54"/>
      <c r="C32" s="54"/>
      <c r="D32" s="55"/>
      <c r="E32" s="55"/>
      <c r="F32" s="55"/>
      <c r="G32" s="56"/>
      <c r="H32" s="56"/>
      <c r="I32" s="54"/>
      <c r="J32" s="57"/>
      <c r="K32" t="s" s="58">
        <v>38</v>
      </c>
      <c r="L32" s="59" cm="1">
        <f t="array" ref="L32">SUM(L1:L31)</f>
        <v>90087939.16680001</v>
      </c>
      <c r="M32" s="59" cm="1">
        <f t="array" ref="M32">SUM(M1:M31)</f>
        <v>89711600.92</v>
      </c>
      <c r="N32" s="59" cm="1">
        <f t="array" ref="N32">SUM(N1:N31)</f>
        <v>89706346.7</v>
      </c>
    </row>
    <row r="33" ht="21" customHeight="1">
      <c r="A33" s="60"/>
      <c r="B33" t="s" s="61">
        <v>39</v>
      </c>
      <c r="C33" s="62"/>
      <c r="D33" s="63" cm="1">
        <f t="array" ref="D33">ROUND(IF(L33&lt;=100000000,L33*0.24%,IF(AND(L33&gt;100000000,L33&lt;=500000000),100000000*0.24%+(L33-100000000)*0.19%,IF(AND(L33&gt;500000000,L33&lt;=1000000000),100000000*0.24%+400000000*0.19%+(L33-500000000)*0.15%,IF(AND(L33&gt;1000000000,L33&lt;=5000000000),100000000*0.24%+400000000*0.19%+500000000*0.15%+(L33-1000000000)*0.12%,IF(L33&gt;5000000000,100000000*0.24%+400000000*0.19%+500000000*0.15%+4000000000*0.12%+(L33-5000000000)*0.1%,"Bingung komputer"))))),2)</f>
        <v>215693.39</v>
      </c>
      <c r="E33" s="64" cm="1">
        <f t="array" ref="E33">ROUND(IF(M33&lt;=100000000,M33*0.24%,IF(AND(M33&gt;100000000,M33&lt;=500000000),100000000*0.24%+(M33-100000000)*0.19%,IF(AND(M33&gt;500000000,M33&lt;=1000000000),100000000*0.24%+400000000*0.19%+(M33-500000000)*0.15%,IF(AND(M33&gt;1000000000,M33&lt;=5000000000),100000000*0.24%+400000000*0.19%+500000000*0.15%+(M33-1000000000)*0.12%,IF(M33&gt;5000000000,100000000*0.24%+400000000*0.19%+500000000*0.15%+4000000000*0.12%+(M33-5000000000)*0.1%,"Bingung komputer"))))),2)</f>
        <v>214779.76</v>
      </c>
      <c r="F33" s="64" cm="1">
        <f t="array" ref="F33">ROUND(IF(N33&lt;=100000000,N33*0.24%,IF(AND(N33&gt;100000000,N33&lt;=500000000),100000000*0.24%+(N33-100000000)*0.19%,IF(AND(N33&gt;500000000,N33&lt;=1000000000),100000000*0.24%+400000000*0.19%+(N33-500000000)*0.15%,IF(AND(N33&gt;1000000000,N33&lt;=5000000000),100000000*0.24%+400000000*0.19%+500000000*0.15%+(N33-1000000000)*0.12%,IF(N33&gt;5000000000,100000000*0.24%+400000000*0.19%+500000000*0.15%+4000000000*0.12%+(N33-5000000000)*0.1%,"Bingung komputer"))))),2)</f>
        <v>214779.76</v>
      </c>
      <c r="G33" s="65"/>
      <c r="H33" s="66"/>
      <c r="I33" s="62"/>
      <c r="J33" s="67"/>
      <c r="K33" t="str" s="67" cm="1">
        <f t="array" ref="K33">"Jumlah Terkena Pajak "&amp;MAX(K3:K31)&amp;"% (B)"</f>
        <v>Jumlah Terkena Pajak 11,00% (B)</v>
      </c>
      <c r="L33" s="68" cm="1">
        <f t="array" ref="L33">SUMIF($K3:$K31,"&gt;0",L3:L31)</f>
        <v>89872245.77680001</v>
      </c>
      <c r="M33" s="69" cm="1">
        <f t="array" ref="M33">SUMIF($K3:$K31,"&gt;0",M3:M31)</f>
        <v>89491566.94</v>
      </c>
      <c r="N33" s="69" cm="1">
        <f t="array" ref="N33">SUMIF($K3:$K31,"&gt;0",N3:N31)</f>
        <v>89491566.94</v>
      </c>
    </row>
    <row r="34" ht="21" customHeight="1">
      <c r="A34" s="70"/>
      <c r="B34" s="71"/>
      <c r="C34" s="71"/>
      <c r="D34" s="72"/>
      <c r="E34" s="72"/>
      <c r="F34" s="71"/>
      <c r="G34" s="72"/>
      <c r="H34" s="72"/>
      <c r="I34" s="71"/>
      <c r="J34" s="73"/>
      <c r="K34" t="str" s="73" cm="1">
        <f t="array" ref="K34">"PPN (C) = "&amp;MAX(K3:K31)&amp;"% x B"</f>
        <v>PPN (C) = 11,00% x B</v>
      </c>
      <c r="L34" s="74" cm="1">
        <f t="array" ref="L34">L33*MAX($K3:$K31)%</f>
        <v>9885947.035448</v>
      </c>
      <c r="M34" s="69" cm="1">
        <f t="array" ref="M34">M33*MAX($K3:$K31)%</f>
        <v>9844072.363399999</v>
      </c>
      <c r="N34" s="69" cm="1">
        <f t="array" ref="N34">N33*MAX($K3:$K31)%</f>
        <v>9844072.363399999</v>
      </c>
    </row>
    <row r="35" ht="21" customHeight="1">
      <c r="A35" s="70"/>
      <c r="B35" s="71"/>
      <c r="C35" s="71"/>
      <c r="D35" s="72"/>
      <c r="E35" s="72"/>
      <c r="F35" s="72"/>
      <c r="G35" s="72"/>
      <c r="H35" s="72"/>
      <c r="I35" s="71"/>
      <c r="J35" s="73"/>
      <c r="K35" t="s" s="75">
        <v>42</v>
      </c>
      <c r="L35" s="76" cm="1">
        <f t="array" ref="L35">L32+L34</f>
        <v>99973886.20224801</v>
      </c>
      <c r="M35" s="69" cm="1">
        <f t="array" ref="M35">M32+M34</f>
        <v>99555673.2834</v>
      </c>
      <c r="N35" s="69" cm="1">
        <f t="array" ref="N35">N32+N34</f>
        <v>99550419.0634</v>
      </c>
    </row>
    <row r="36" ht="20.5" customHeight="1">
      <c r="A36" s="70"/>
      <c r="B36" s="71"/>
      <c r="C36" s="71"/>
      <c r="D36" s="72"/>
      <c r="E36" s="72"/>
      <c r="F36" s="72"/>
      <c r="G36" s="72"/>
      <c r="H36" s="72"/>
      <c r="I36" s="71"/>
      <c r="J36" s="73"/>
      <c r="K36" t="s" s="75">
        <v>43</v>
      </c>
      <c r="L36" s="68" cm="1">
        <f t="array" ref="L36">ROUNDDOWN(L35,2)</f>
        <v>99973886.2</v>
      </c>
      <c r="M36" s="68" cm="1">
        <f t="array" ref="M36">ROUNDDOWN(M35,2)</f>
        <v>99555673.28</v>
      </c>
      <c r="N36" s="68" cm="1">
        <f t="array" ref="N36">ROUNDDOWN(N35,-3)</f>
        <v>99550000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93.xml><?xml version="1.0" encoding="utf-8"?>
<worksheet xmlns:r="http://schemas.openxmlformats.org/officeDocument/2006/relationships" xmlns="http://schemas.openxmlformats.org/spreadsheetml/2006/main">
  <sheetPr>
    <pageSetUpPr fitToPage="1"/>
  </sheetPr>
  <dimension ref="A1:N38"/>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278" customWidth="1"/>
    <col min="2" max="2" width="43.0312" style="278" customWidth="1"/>
    <col min="3" max="3" width="2.75" style="278" customWidth="1"/>
    <col min="4" max="6" width="10.3672" style="278" customWidth="1"/>
    <col min="7" max="7" width="11.6875" style="278" customWidth="1"/>
    <col min="8" max="11" width="13.5156" style="278" customWidth="1"/>
    <col min="12" max="14" width="14.2344" style="278" customWidth="1"/>
    <col min="15" max="16384" width="16.3516" style="278"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16</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t="s" s="18">
        <v>17</v>
      </c>
      <c r="B4" t="s" s="19">
        <v>18</v>
      </c>
      <c r="C4" s="20"/>
      <c r="D4" s="21">
        <v>1</v>
      </c>
      <c r="E4" s="21" cm="1">
        <f t="array" ref="E4">D4</f>
        <v>1</v>
      </c>
      <c r="F4" s="21" cm="1">
        <f t="array" ref="F4">D4</f>
        <v>1</v>
      </c>
      <c r="G4" t="s" s="22">
        <v>19</v>
      </c>
      <c r="H4" s="21">
        <v>3749000</v>
      </c>
      <c r="I4" s="21">
        <v>3691500</v>
      </c>
      <c r="J4" s="21">
        <v>3691500</v>
      </c>
      <c r="K4" s="21">
        <v>11</v>
      </c>
      <c r="L4" s="21" cm="1">
        <f t="array" ref="L4">IF(D4&gt;0,IF($D4&lt;=0,0,D4*H4),"")</f>
        <v>3749000</v>
      </c>
      <c r="M4" s="21" cm="1">
        <f t="array" ref="M4">IF(E4&gt;0,IF($D4&lt;=0,0,ROUND(E4*I4,2)),"")</f>
        <v>3691500</v>
      </c>
      <c r="N4" s="23" cm="1">
        <f t="array" ref="N4">IF(F4&gt;0,IF($D4&lt;=0,0,ROUND(F4*J4,2)),"")</f>
        <v>3691500</v>
      </c>
    </row>
    <row r="5" ht="20.5" customHeight="1">
      <c r="A5" t="s" s="18">
        <v>20</v>
      </c>
      <c r="B5" t="s" s="19">
        <v>21</v>
      </c>
      <c r="C5" s="24"/>
      <c r="D5" s="25">
        <v>1</v>
      </c>
      <c r="E5" s="26" cm="1">
        <f t="array" ref="E5">D5</f>
        <v>1</v>
      </c>
      <c r="F5" s="26" cm="1">
        <f t="array" ref="F5">D5</f>
        <v>1</v>
      </c>
      <c r="G5" t="s" s="27">
        <v>19</v>
      </c>
      <c r="H5" s="26">
        <v>660000</v>
      </c>
      <c r="I5" s="26">
        <v>640000</v>
      </c>
      <c r="J5" s="26">
        <v>640000</v>
      </c>
      <c r="K5" s="26">
        <v>11</v>
      </c>
      <c r="L5" s="26" cm="1">
        <f t="array" ref="L5">IF(D5&gt;0,IF($D5&lt;=0,0,D5*H5),"")</f>
        <v>660000</v>
      </c>
      <c r="M5" s="26" cm="1">
        <f t="array" ref="M5">IF(E5&gt;0,IF($D5&lt;=0,0,ROUND(E5*I5,2)),"")</f>
        <v>640000</v>
      </c>
      <c r="N5" s="28" cm="1">
        <f t="array" ref="N5">IF(F5&gt;0,IF($D5&lt;=0,0,ROUND(F5*J5,2)),"")</f>
        <v>640000</v>
      </c>
    </row>
    <row r="6" ht="20.5" customHeight="1">
      <c r="A6" t="s" s="18">
        <v>22</v>
      </c>
      <c r="B6" t="s" s="19">
        <v>23</v>
      </c>
      <c r="C6" s="20"/>
      <c r="D6" s="21">
        <v>1</v>
      </c>
      <c r="E6" s="21" cm="1">
        <f t="array" ref="E6">D6</f>
        <v>1</v>
      </c>
      <c r="F6" s="21" cm="1">
        <f t="array" ref="F6">D6</f>
        <v>1</v>
      </c>
      <c r="G6" t="s" s="22">
        <v>19</v>
      </c>
      <c r="H6" s="21">
        <v>300000</v>
      </c>
      <c r="I6" s="21">
        <v>270000</v>
      </c>
      <c r="J6" s="21">
        <v>270000</v>
      </c>
      <c r="K6" s="21">
        <v>11</v>
      </c>
      <c r="L6" s="21" cm="1">
        <f t="array" ref="L6">IF(D6&gt;0,IF($D6&lt;=0,0,D6*H6),"")</f>
        <v>300000</v>
      </c>
      <c r="M6" s="21" cm="1">
        <f t="array" ref="M6">IF(E6&gt;0,IF($D6&lt;=0,0,ROUND(E6*I6,2)),"")</f>
        <v>270000</v>
      </c>
      <c r="N6" s="23" cm="1">
        <f t="array" ref="N6">IF(F6&gt;0,IF($D6&lt;=0,0,ROUND(F6*J6,2)),"")</f>
        <v>270000</v>
      </c>
    </row>
    <row r="7" ht="20.5" customHeight="1">
      <c r="A7" s="29"/>
      <c r="B7" t="s" s="19">
        <v>28</v>
      </c>
      <c r="C7" s="24"/>
      <c r="D7" s="30"/>
      <c r="E7" s="26"/>
      <c r="F7" s="26"/>
      <c r="G7" s="30"/>
      <c r="H7" s="26"/>
      <c r="I7" s="30"/>
      <c r="J7" s="30"/>
      <c r="K7" s="26"/>
      <c r="L7" t="str" s="30" cm="1">
        <f t="array" ref="L7">IF(D7&gt;0,IF($D7&lt;=0,0,D7*H7),"")</f>
      </c>
      <c r="M7" t="str" s="30" cm="1">
        <f t="array" ref="M7">IF(E7&gt;0,IF($D7&lt;=0,0,ROUND(E7*I7,2)),"")</f>
      </c>
      <c r="N7" t="str" s="31" cm="1">
        <f t="array" ref="N7">IF(F7&gt;0,IF($D7&lt;=0,0,ROUND(F7*J7,2)),"")</f>
      </c>
    </row>
    <row r="8" ht="20.5" customHeight="1">
      <c r="A8" t="s" s="18">
        <v>31</v>
      </c>
      <c r="B8" t="s" s="19">
        <v>32</v>
      </c>
      <c r="C8" s="20"/>
      <c r="D8" s="78">
        <v>31.5</v>
      </c>
      <c r="E8" s="21" cm="1">
        <f t="array" ref="E8">D8</f>
        <v>31.5</v>
      </c>
      <c r="F8" s="21" cm="1">
        <f t="array" ref="F8">D8</f>
        <v>31.5</v>
      </c>
      <c r="G8" t="s" s="22">
        <v>27</v>
      </c>
      <c r="H8" s="21">
        <v>236792.95</v>
      </c>
      <c r="I8" s="21">
        <v>236791.92</v>
      </c>
      <c r="J8" s="21">
        <v>236791.92</v>
      </c>
      <c r="K8" s="21">
        <v>11</v>
      </c>
      <c r="L8" s="21" cm="1">
        <f t="array" ref="L8">IF(D8&gt;0,IF($D8&lt;=0,0,D8*H8),"")</f>
        <v>7458977.925</v>
      </c>
      <c r="M8" s="21" cm="1">
        <f t="array" ref="M8">IF(E8&gt;0,IF($D8&lt;=0,0,ROUND(E8*I8,2)),"")</f>
        <v>7458945.48</v>
      </c>
      <c r="N8" s="23" cm="1">
        <f t="array" ref="N8">IF(F8&gt;0,IF($D8&lt;=0,0,ROUND(F8*J8,2)),"")</f>
        <v>7458945.48</v>
      </c>
    </row>
    <row r="9" ht="20.5" customHeight="1">
      <c r="A9" s="29"/>
      <c r="B9" t="s" s="19">
        <v>92</v>
      </c>
      <c r="C9" s="24"/>
      <c r="D9" s="30"/>
      <c r="E9" s="26"/>
      <c r="F9" s="26"/>
      <c r="G9" s="30"/>
      <c r="H9" s="26"/>
      <c r="I9" s="30"/>
      <c r="J9" s="30"/>
      <c r="K9" s="26"/>
      <c r="L9" t="str" s="30" cm="1">
        <f t="array" ref="L9">IF(D9&gt;0,IF($D9&lt;=0,0,D9*H9),"")</f>
      </c>
      <c r="M9" t="str" s="30" cm="1">
        <f t="array" ref="M9">IF(E9&gt;0,IF($D9&lt;=0,0,ROUND(E9*I9,2)),"")</f>
      </c>
      <c r="N9" t="str" s="31" cm="1">
        <f t="array" ref="N9">IF(F9&gt;0,IF($D9&lt;=0,0,ROUND(F9*J9,2)),"")</f>
      </c>
    </row>
    <row r="10" ht="20.5" customHeight="1">
      <c r="A10" t="s" s="18">
        <v>157</v>
      </c>
      <c r="B10" t="s" s="19">
        <v>158</v>
      </c>
      <c r="C10" s="20"/>
      <c r="D10" s="78">
        <v>30.86</v>
      </c>
      <c r="E10" s="21" cm="1">
        <f t="array" ref="E10">D10</f>
        <v>30.86</v>
      </c>
      <c r="F10" s="21" cm="1">
        <f t="array" ref="F10">D10</f>
        <v>30.86</v>
      </c>
      <c r="G10" t="s" s="22">
        <v>27</v>
      </c>
      <c r="H10" s="21">
        <v>1759504</v>
      </c>
      <c r="I10" s="21">
        <v>1758407.11</v>
      </c>
      <c r="J10" s="21">
        <v>1758407.11</v>
      </c>
      <c r="K10" s="21">
        <v>11</v>
      </c>
      <c r="L10" s="21" cm="1">
        <f t="array" ref="L10">IF(D10&gt;0,IF($D10&lt;=0,0,D10*H10),"")</f>
        <v>54298293.44</v>
      </c>
      <c r="M10" s="21" cm="1">
        <f t="array" ref="M10">IF(E10&gt;0,IF($D10&lt;=0,0,ROUND(E10*I10,2)),"")</f>
        <v>54264443.41</v>
      </c>
      <c r="N10" s="23" cm="1">
        <f t="array" ref="N10">IF(F10&gt;0,IF($D10&lt;=0,0,ROUND(F10*J10,2)),"")</f>
        <v>54264443.41</v>
      </c>
    </row>
    <row r="11" ht="20.5" customHeight="1">
      <c r="A11" t="s" s="18">
        <v>95</v>
      </c>
      <c r="B11" t="s" s="19">
        <v>96</v>
      </c>
      <c r="C11" s="24"/>
      <c r="D11" s="25">
        <v>2.38</v>
      </c>
      <c r="E11" s="26" cm="1">
        <f t="array" ref="E11">D11</f>
        <v>2.38</v>
      </c>
      <c r="F11" s="26" cm="1">
        <f t="array" ref="F11">D11</f>
        <v>2.38</v>
      </c>
      <c r="G11" t="s" s="27">
        <v>27</v>
      </c>
      <c r="H11" s="26">
        <v>574369.9300000001</v>
      </c>
      <c r="I11" s="26">
        <v>574369.9300000001</v>
      </c>
      <c r="J11" s="26">
        <v>574369.9300000001</v>
      </c>
      <c r="K11" s="26">
        <v>11</v>
      </c>
      <c r="L11" s="26" cm="1">
        <f t="array" ref="L11">IF(D11&gt;0,IF($D11&lt;=0,0,D11*H11),"")</f>
        <v>1367000.4334</v>
      </c>
      <c r="M11" s="26" cm="1">
        <f t="array" ref="M11">IF(E11&gt;0,IF($D11&lt;=0,0,ROUND(E11*I11,2)),"")</f>
        <v>1367000.43</v>
      </c>
      <c r="N11" s="28" cm="1">
        <f t="array" ref="N11">IF(F11&gt;0,IF($D11&lt;=0,0,ROUND(F11*J11,2)),"")</f>
        <v>1367000.43</v>
      </c>
    </row>
    <row r="12" ht="20.5" customHeight="1">
      <c r="A12" t="s" s="18">
        <v>99</v>
      </c>
      <c r="B12" t="s" s="19">
        <v>159</v>
      </c>
      <c r="C12" s="20"/>
      <c r="D12" s="21">
        <v>3075.7</v>
      </c>
      <c r="E12" s="21" cm="1">
        <f t="array" ref="E12">D12</f>
        <v>3075.7</v>
      </c>
      <c r="F12" s="21" cm="1">
        <f t="array" ref="F12">D12</f>
        <v>3075.7</v>
      </c>
      <c r="G12" t="s" s="22">
        <v>154</v>
      </c>
      <c r="H12" s="21">
        <v>14388.09</v>
      </c>
      <c r="I12" s="32">
        <v>14378.89</v>
      </c>
      <c r="J12" s="32">
        <v>14378.89</v>
      </c>
      <c r="K12" s="21">
        <v>11</v>
      </c>
      <c r="L12" s="21" cm="1">
        <f t="array" ref="L12">IF(D12&gt;0,IF($D12&lt;=0,0,D12*H12),"")</f>
        <v>44253448.413</v>
      </c>
      <c r="M12" s="21" cm="1">
        <f t="array" ref="M12">IF(E12&gt;0,IF($D12&lt;=0,0,ROUND(E12*I12,2)),"")</f>
        <v>44225151.97</v>
      </c>
      <c r="N12" s="23" cm="1">
        <f t="array" ref="N12">IF(F12&gt;0,IF($D12&lt;=0,0,ROUND(F12*J12,2)),"")</f>
        <v>44225151.97</v>
      </c>
    </row>
    <row r="13" ht="32.5" customHeight="1">
      <c r="A13" s="29"/>
      <c r="B13" t="s" s="19">
        <v>104</v>
      </c>
      <c r="C13" s="24"/>
      <c r="D13" s="30"/>
      <c r="E13" s="26"/>
      <c r="F13" s="26"/>
      <c r="G13" s="30"/>
      <c r="H13" s="26"/>
      <c r="I13" s="30"/>
      <c r="J13" s="30"/>
      <c r="K13" s="26"/>
      <c r="L13" t="str" s="30" cm="1">
        <f t="array" ref="L13">IF(D13&gt;0,IF($D13&lt;=0,0,D13*H13),"")</f>
      </c>
      <c r="M13" t="str" s="30" cm="1">
        <f t="array" ref="M13">IF(E13&gt;0,IF($D13&lt;=0,0,ROUND(E13*I13,2)),"")</f>
      </c>
      <c r="N13" t="str" s="31" cm="1">
        <f t="array" ref="N13">IF(F13&gt;0,IF($D13&lt;=0,0,ROUND(F13*J13,2)),"")</f>
      </c>
    </row>
    <row r="14" ht="20.5" customHeight="1">
      <c r="A14" t="s" s="18">
        <v>332</v>
      </c>
      <c r="B14" t="s" s="19">
        <v>256</v>
      </c>
      <c r="C14" s="20"/>
      <c r="D14" s="78">
        <v>10.73</v>
      </c>
      <c r="E14" s="21" cm="1">
        <f t="array" ref="E14">D14</f>
        <v>10.73</v>
      </c>
      <c r="F14" s="21" cm="1">
        <f t="array" ref="F14">D14</f>
        <v>10.73</v>
      </c>
      <c r="G14" t="s" s="22">
        <v>135</v>
      </c>
      <c r="H14" s="21">
        <v>104937.5</v>
      </c>
      <c r="I14" s="21">
        <v>104673</v>
      </c>
      <c r="J14" s="21">
        <v>104673</v>
      </c>
      <c r="K14" s="21">
        <v>11</v>
      </c>
      <c r="L14" s="21" cm="1">
        <f t="array" ref="L14">IF(D14&gt;0,IF($D14&lt;=0,0,D14*H14),"")</f>
        <v>1125979.375</v>
      </c>
      <c r="M14" s="21" cm="1">
        <f t="array" ref="M14">IF(E14&gt;0,IF($D14&lt;=0,0,ROUND(E14*I14,2)),"")</f>
        <v>1123141.29</v>
      </c>
      <c r="N14" s="23" cm="1">
        <f t="array" ref="N14">IF(F14&gt;0,IF($D14&lt;=0,0,ROUND(F14*J14,2)),"")</f>
        <v>1123141.29</v>
      </c>
    </row>
    <row r="15" ht="20.5" customHeight="1">
      <c r="A15" t="s" s="18">
        <v>105</v>
      </c>
      <c r="B15" t="s" s="19">
        <v>106</v>
      </c>
      <c r="C15" s="24"/>
      <c r="D15" s="25">
        <v>49</v>
      </c>
      <c r="E15" s="26" cm="1">
        <f t="array" ref="E15">D15</f>
        <v>49</v>
      </c>
      <c r="F15" s="26" cm="1">
        <f t="array" ref="F15">D15</f>
        <v>49</v>
      </c>
      <c r="G15" t="s" s="27">
        <v>107</v>
      </c>
      <c r="H15" s="26">
        <v>69712.899999999994</v>
      </c>
      <c r="I15" s="26">
        <v>69712.899999999994</v>
      </c>
      <c r="J15" s="26">
        <v>69712.899999999994</v>
      </c>
      <c r="K15" s="26">
        <v>11</v>
      </c>
      <c r="L15" s="26" cm="1">
        <f t="array" ref="L15">IF(D15&gt;0,IF($D15&lt;=0,0,D15*H15),"")</f>
        <v>3415932.1</v>
      </c>
      <c r="M15" s="26" cm="1">
        <f t="array" ref="M15">IF(E15&gt;0,IF($D15&lt;=0,0,ROUND(E15*I15,2)),"")</f>
        <v>3415932.1</v>
      </c>
      <c r="N15" s="28" cm="1">
        <f t="array" ref="N15">IF(F15&gt;0,IF($D15&lt;=0,0,ROUND(F15*J15,2)),"")</f>
        <v>3415932.1</v>
      </c>
    </row>
    <row r="16" ht="20.5" customHeight="1">
      <c r="A16" s="29"/>
      <c r="B16" t="s" s="19">
        <v>36</v>
      </c>
      <c r="C16" s="20"/>
      <c r="D16" s="21"/>
      <c r="E16" s="21"/>
      <c r="F16" s="21"/>
      <c r="G16" s="79"/>
      <c r="H16" s="79"/>
      <c r="I16" s="79"/>
      <c r="J16" s="79"/>
      <c r="K16" s="21"/>
      <c r="L16" t="str" s="79" cm="1">
        <f t="array" ref="L16">IF(D16&gt;0,IF($D16&lt;=0,0,D16*H16),"")</f>
      </c>
      <c r="M16" s="21"/>
      <c r="N16" s="23"/>
    </row>
    <row r="17" ht="20.6" customHeight="1">
      <c r="A17" s="33">
        <v>1</v>
      </c>
      <c r="B17" t="s" s="34">
        <v>37</v>
      </c>
      <c r="C17" s="80"/>
      <c r="D17" s="81">
        <v>1</v>
      </c>
      <c r="E17" s="81" cm="1">
        <f t="array" ref="E17">D17</f>
        <v>1</v>
      </c>
      <c r="F17" s="81" cm="1">
        <f t="array" ref="F17">D17</f>
        <v>1</v>
      </c>
      <c r="G17" t="s" s="82">
        <v>19</v>
      </c>
      <c r="H17" s="81">
        <v>271579.67</v>
      </c>
      <c r="I17" s="81">
        <v>271251.89</v>
      </c>
      <c r="J17" s="81">
        <v>271251.89</v>
      </c>
      <c r="K17" s="81">
        <v>0</v>
      </c>
      <c r="L17" s="81" cm="1">
        <f t="array" ref="L17">IF(D17&gt;0,IF($D17&lt;=0,0,D17*H17),"")</f>
        <v>271579.67</v>
      </c>
      <c r="M17" s="81" cm="1">
        <f t="array" ref="M17">IF(E17&gt;0,IF($D17&lt;=0,0,ROUND(E17*I17,2)),"")</f>
        <v>271251.89</v>
      </c>
      <c r="N17" s="83" cm="1">
        <f t="array" ref="N17">IF(F17&gt;0,IF($D17&lt;=0,0,ROUND(F17*J17,2)),"")</f>
        <v>271251.89</v>
      </c>
    </row>
    <row r="18" ht="8.75" customHeight="1" hidden="1">
      <c r="A18" s="39"/>
      <c r="B18" s="40"/>
      <c r="C18" s="45"/>
      <c r="D18" s="46"/>
      <c r="E18" s="46"/>
      <c r="F18" s="46"/>
      <c r="G18" s="47"/>
      <c r="H18" s="46"/>
      <c r="I18" s="46"/>
      <c r="J18" s="46"/>
      <c r="K18" s="46"/>
      <c r="L18" s="46"/>
      <c r="M18" s="46"/>
      <c r="N18" s="48"/>
    </row>
    <row r="19" ht="8.75" customHeight="1" hidden="1">
      <c r="A19" s="39"/>
      <c r="B19" s="40"/>
      <c r="C19" s="41"/>
      <c r="D19" s="42"/>
      <c r="E19" s="42"/>
      <c r="F19" s="42"/>
      <c r="G19" s="43"/>
      <c r="H19" s="42"/>
      <c r="I19" s="42"/>
      <c r="J19" s="42"/>
      <c r="K19" s="42"/>
      <c r="L19" s="42"/>
      <c r="M19" s="42"/>
      <c r="N19" s="44"/>
    </row>
    <row r="20" ht="8.75" customHeight="1" hidden="1">
      <c r="A20" s="39"/>
      <c r="B20" s="40"/>
      <c r="C20" s="45"/>
      <c r="D20" s="46"/>
      <c r="E20" s="46"/>
      <c r="F20" s="46"/>
      <c r="G20" s="47"/>
      <c r="H20" s="46"/>
      <c r="I20" s="46"/>
      <c r="J20" s="46"/>
      <c r="K20" s="46"/>
      <c r="L20" s="46"/>
      <c r="M20" s="46"/>
      <c r="N20" s="48"/>
    </row>
    <row r="21" ht="8.75" customHeight="1" hidden="1">
      <c r="A21" s="39"/>
      <c r="B21" s="40"/>
      <c r="C21" s="41"/>
      <c r="D21" s="42"/>
      <c r="E21" s="42"/>
      <c r="F21" s="42"/>
      <c r="G21" s="43"/>
      <c r="H21" s="42"/>
      <c r="I21" s="42"/>
      <c r="J21" s="42"/>
      <c r="K21" s="42"/>
      <c r="L21" s="42"/>
      <c r="M21" s="42"/>
      <c r="N21" s="44"/>
    </row>
    <row r="22" ht="8.75" customHeight="1" hidden="1">
      <c r="A22" s="39"/>
      <c r="B22" s="40"/>
      <c r="C22" s="45"/>
      <c r="D22" s="46"/>
      <c r="E22" s="46"/>
      <c r="F22" s="46"/>
      <c r="G22" s="47"/>
      <c r="H22" s="46"/>
      <c r="I22" s="46"/>
      <c r="J22" s="46"/>
      <c r="K22" s="46"/>
      <c r="L22" s="46"/>
      <c r="M22" s="46"/>
      <c r="N22" s="48"/>
    </row>
    <row r="23" ht="8.75" customHeight="1" hidden="1">
      <c r="A23" s="39"/>
      <c r="B23" s="40"/>
      <c r="C23" s="41"/>
      <c r="D23" s="42"/>
      <c r="E23" s="42"/>
      <c r="F23" s="42"/>
      <c r="G23" s="43"/>
      <c r="H23" s="42"/>
      <c r="I23" s="42"/>
      <c r="J23" s="42"/>
      <c r="K23" s="42"/>
      <c r="L23" s="42"/>
      <c r="M23" s="42"/>
      <c r="N23" s="44"/>
    </row>
    <row r="24" ht="8.75" customHeight="1" hidden="1">
      <c r="A24" s="39"/>
      <c r="B24" s="40"/>
      <c r="C24" s="45"/>
      <c r="D24" s="46"/>
      <c r="E24" s="46"/>
      <c r="F24" s="46"/>
      <c r="G24" s="47"/>
      <c r="H24" s="47"/>
      <c r="I24" s="47"/>
      <c r="J24" s="47"/>
      <c r="K24" s="46"/>
      <c r="L24" s="47"/>
      <c r="M24" s="47"/>
      <c r="N24" s="52"/>
    </row>
    <row r="25" ht="8.75" customHeight="1" hidden="1">
      <c r="A25" s="39"/>
      <c r="B25" s="40"/>
      <c r="C25" s="41"/>
      <c r="D25" s="42"/>
      <c r="E25" s="42"/>
      <c r="F25" s="42"/>
      <c r="G25" s="43"/>
      <c r="H25" s="84"/>
      <c r="I25" s="84"/>
      <c r="J25" s="84"/>
      <c r="K25" s="42"/>
      <c r="L25" s="42"/>
      <c r="M25" s="42"/>
      <c r="N25" s="44"/>
    </row>
    <row r="26" ht="8.75" customHeight="1" hidden="1">
      <c r="A26" s="39"/>
      <c r="B26" s="40"/>
      <c r="C26" s="45"/>
      <c r="D26" s="46"/>
      <c r="E26" s="46"/>
      <c r="F26" s="46"/>
      <c r="G26" s="47"/>
      <c r="H26" s="47"/>
      <c r="I26" s="47"/>
      <c r="J26" s="47"/>
      <c r="K26" s="46"/>
      <c r="L26" s="47"/>
      <c r="M26" s="47"/>
      <c r="N26" s="52"/>
    </row>
    <row r="27" ht="8.75" customHeight="1" hidden="1">
      <c r="A27" s="39"/>
      <c r="B27" s="40"/>
      <c r="C27" s="41"/>
      <c r="D27" s="42"/>
      <c r="E27" s="42"/>
      <c r="F27" s="42"/>
      <c r="G27" s="43"/>
      <c r="H27" s="42"/>
      <c r="I27" s="42"/>
      <c r="J27" s="42"/>
      <c r="K27" s="42"/>
      <c r="L27" s="42"/>
      <c r="M27" s="42"/>
      <c r="N27" s="44"/>
    </row>
    <row r="28" ht="8.75" customHeight="1" hidden="1">
      <c r="A28" s="39"/>
      <c r="B28" s="40"/>
      <c r="C28" s="45"/>
      <c r="D28" s="46"/>
      <c r="E28" s="46"/>
      <c r="F28" s="46"/>
      <c r="G28" s="47"/>
      <c r="H28" s="46"/>
      <c r="I28" s="46"/>
      <c r="J28" s="46"/>
      <c r="K28" s="46"/>
      <c r="L28" s="46"/>
      <c r="M28" s="46"/>
      <c r="N28" s="48"/>
    </row>
    <row r="29" ht="8.75" customHeight="1" hidden="1">
      <c r="A29" s="51"/>
      <c r="B29" s="40"/>
      <c r="C29" s="41"/>
      <c r="D29" s="42"/>
      <c r="E29" s="42"/>
      <c r="F29" s="42"/>
      <c r="G29" s="43"/>
      <c r="H29" s="42"/>
      <c r="I29" s="42"/>
      <c r="J29" s="42"/>
      <c r="K29" s="42"/>
      <c r="L29" s="42"/>
      <c r="M29" s="42"/>
      <c r="N29" s="44"/>
    </row>
    <row r="30" ht="8.75" customHeight="1" hidden="1">
      <c r="A30" s="51"/>
      <c r="B30" s="40"/>
      <c r="C30" s="45"/>
      <c r="D30" s="46"/>
      <c r="E30" s="46"/>
      <c r="F30" s="46"/>
      <c r="G30" s="47"/>
      <c r="H30" s="46"/>
      <c r="I30" s="46"/>
      <c r="J30" s="46"/>
      <c r="K30" s="46"/>
      <c r="L30" s="46"/>
      <c r="M30" s="46"/>
      <c r="N30" s="48"/>
    </row>
    <row r="31" ht="8.75" customHeight="1" hidden="1">
      <c r="A31" s="39"/>
      <c r="B31" s="40"/>
      <c r="C31" s="41"/>
      <c r="D31" s="42"/>
      <c r="E31" s="42"/>
      <c r="F31" s="42"/>
      <c r="G31" s="43"/>
      <c r="H31" s="42"/>
      <c r="I31" s="42"/>
      <c r="J31" s="42"/>
      <c r="K31" s="42"/>
      <c r="L31" s="43"/>
      <c r="M31" s="43"/>
      <c r="N31" s="49"/>
    </row>
    <row r="32" ht="8.75" customHeight="1" hidden="1">
      <c r="A32" s="39"/>
      <c r="B32" s="40"/>
      <c r="C32" s="45"/>
      <c r="D32" s="46"/>
      <c r="E32" s="46"/>
      <c r="F32" s="46"/>
      <c r="G32" s="47"/>
      <c r="H32" s="46"/>
      <c r="I32" s="46"/>
      <c r="J32" s="46"/>
      <c r="K32" s="46"/>
      <c r="L32" s="46"/>
      <c r="M32" s="46"/>
      <c r="N32" s="48"/>
    </row>
    <row r="33" ht="8.75" customHeight="1" hidden="1">
      <c r="A33" s="39"/>
      <c r="B33" s="40"/>
      <c r="C33" s="41"/>
      <c r="D33" s="42"/>
      <c r="E33" s="42"/>
      <c r="F33" s="42"/>
      <c r="G33" s="43"/>
      <c r="H33" s="42"/>
      <c r="I33" s="42"/>
      <c r="J33" s="42"/>
      <c r="K33" s="42"/>
      <c r="L33" s="43"/>
      <c r="M33" s="43"/>
      <c r="N33" s="49"/>
    </row>
    <row r="34" ht="20.85" customHeight="1">
      <c r="A34" s="53"/>
      <c r="B34" s="54"/>
      <c r="C34" s="54"/>
      <c r="D34" s="55"/>
      <c r="E34" s="55"/>
      <c r="F34" s="55"/>
      <c r="G34" s="56"/>
      <c r="H34" s="56"/>
      <c r="I34" s="54"/>
      <c r="J34" s="57"/>
      <c r="K34" t="s" s="58">
        <v>38</v>
      </c>
      <c r="L34" s="59" cm="1">
        <f t="array" ref="L34">SUM(L1:L33)</f>
        <v>116900211.3564</v>
      </c>
      <c r="M34" s="59" cm="1">
        <f t="array" ref="M34">SUM(M1:M33)</f>
        <v>116727366.57</v>
      </c>
      <c r="N34" s="59" cm="1">
        <f t="array" ref="N34">SUM(N1:N33)</f>
        <v>116727366.57</v>
      </c>
    </row>
    <row r="35" ht="21" customHeight="1">
      <c r="A35" s="60"/>
      <c r="B35" t="s" s="61">
        <v>39</v>
      </c>
      <c r="C35" s="62"/>
      <c r="D35" s="63" cm="1">
        <f t="array" ref="D35">ROUND(IF(L35&lt;=100000000,L35*0.24%,IF(AND(L35&gt;100000000,L35&lt;=500000000),100000000*0.24%+(L35-100000000)*0.19%,IF(AND(L35&gt;500000000,L35&lt;=1000000000),100000000*0.24%+400000000*0.19%+(L35-500000000)*0.15%,IF(AND(L35&gt;1000000000,L35&lt;=5000000000),100000000*0.24%+400000000*0.19%+500000000*0.15%+(L35-1000000000)*0.12%,IF(L35&gt;5000000000,100000000*0.24%+400000000*0.19%+500000000*0.15%+4000000000*0.12%+(L35-5000000000)*0.1%,"Bingung komputer"))))),2)</f>
        <v>271594.4</v>
      </c>
      <c r="E35" s="64" cm="1">
        <f t="array" ref="E35">ROUND(IF(M35&lt;=100000000,M35*0.24%,IF(AND(M35&gt;100000000,M35&lt;=500000000),100000000*0.24%+(M35-100000000)*0.19%,IF(AND(M35&gt;500000000,M35&lt;=1000000000),100000000*0.24%+400000000*0.19%+(M35-500000000)*0.15%,IF(AND(M35&gt;1000000000,M35&lt;=5000000000),100000000*0.24%+400000000*0.19%+500000000*0.15%+(M35-1000000000)*0.12%,IF(M35&gt;5000000000,100000000*0.24%+400000000*0.19%+500000000*0.15%+4000000000*0.12%+(M35-5000000000)*0.1%,"Bingung komputer"))))),2)</f>
        <v>271266.62</v>
      </c>
      <c r="F35" s="64" cm="1">
        <f t="array" ref="F35">ROUND(IF(N35&lt;=100000000,N35*0.24%,IF(AND(N35&gt;100000000,N35&lt;=500000000),100000000*0.24%+(N35-100000000)*0.19%,IF(AND(N35&gt;500000000,N35&lt;=1000000000),100000000*0.24%+400000000*0.19%+(N35-500000000)*0.15%,IF(AND(N35&gt;1000000000,N35&lt;=5000000000),100000000*0.24%+400000000*0.19%+500000000*0.15%+(N35-1000000000)*0.12%,IF(N35&gt;5000000000,100000000*0.24%+400000000*0.19%+500000000*0.15%+4000000000*0.12%+(N35-5000000000)*0.1%,"Bingung komputer"))))),2)</f>
        <v>271266.62</v>
      </c>
      <c r="G35" s="65"/>
      <c r="H35" s="66"/>
      <c r="I35" s="62"/>
      <c r="J35" s="67"/>
      <c r="K35" t="str" s="67" cm="1">
        <f t="array" ref="K35">"Jumlah Terkena Pajak "&amp;MAX(K3:K33)&amp;"% (B)"</f>
        <v>Jumlah Terkena Pajak 11,00% (B)</v>
      </c>
      <c r="L35" s="68" cm="1">
        <f t="array" ref="L35">SUMIF($K3:$K33,"&gt;0",L3:L33)</f>
        <v>116628631.6864</v>
      </c>
      <c r="M35" s="69" cm="1">
        <f t="array" ref="M35">SUMIF($K3:$K33,"&gt;0",M3:M33)</f>
        <v>116456114.68</v>
      </c>
      <c r="N35" s="69" cm="1">
        <f t="array" ref="N35">SUMIF($K3:$K33,"&gt;0",N3:N33)</f>
        <v>116456114.68</v>
      </c>
    </row>
    <row r="36" ht="21" customHeight="1">
      <c r="A36" s="70"/>
      <c r="B36" s="71"/>
      <c r="C36" s="71"/>
      <c r="D36" s="72"/>
      <c r="E36" s="72"/>
      <c r="F36" s="71"/>
      <c r="G36" s="72"/>
      <c r="H36" s="72"/>
      <c r="I36" s="71"/>
      <c r="J36" s="73"/>
      <c r="K36" t="str" s="73" cm="1">
        <f t="array" ref="K36">"PPN (C) = "&amp;MAX(K3:K33)&amp;"% x B"</f>
        <v>PPN (C) = 11,00% x B</v>
      </c>
      <c r="L36" s="74" cm="1">
        <f t="array" ref="L36">L35*MAX($K3:$K33)%</f>
        <v>12829149.485504</v>
      </c>
      <c r="M36" s="69" cm="1">
        <f t="array" ref="M36">M35*MAX($K3:$K33)%</f>
        <v>12810172.6148</v>
      </c>
      <c r="N36" s="69" cm="1">
        <f t="array" ref="N36">N35*MAX($K3:$K33)%</f>
        <v>12810172.6148</v>
      </c>
    </row>
    <row r="37" ht="21" customHeight="1">
      <c r="A37" s="70"/>
      <c r="B37" s="71"/>
      <c r="C37" s="71"/>
      <c r="D37" s="72"/>
      <c r="E37" s="72"/>
      <c r="F37" s="72"/>
      <c r="G37" s="72"/>
      <c r="H37" s="72"/>
      <c r="I37" s="71"/>
      <c r="J37" s="73"/>
      <c r="K37" t="s" s="75">
        <v>42</v>
      </c>
      <c r="L37" s="76" cm="1">
        <f t="array" ref="L37">L34+L36</f>
        <v>129729360.841904</v>
      </c>
      <c r="M37" s="69" cm="1">
        <f t="array" ref="M37">M34+M36</f>
        <v>129537539.1848</v>
      </c>
      <c r="N37" s="69" cm="1">
        <f t="array" ref="N37">N34+N36</f>
        <v>129537539.1848</v>
      </c>
    </row>
    <row r="38" ht="20.5" customHeight="1">
      <c r="A38" s="70"/>
      <c r="B38" s="71"/>
      <c r="C38" s="71"/>
      <c r="D38" s="72"/>
      <c r="E38" s="72"/>
      <c r="F38" s="72"/>
      <c r="G38" s="72"/>
      <c r="H38" s="72"/>
      <c r="I38" s="71"/>
      <c r="J38" s="73"/>
      <c r="K38" t="s" s="75">
        <v>43</v>
      </c>
      <c r="L38" s="68" cm="1">
        <f t="array" ref="L38">ROUNDDOWN(L37,2)</f>
        <v>129729360.84</v>
      </c>
      <c r="M38" s="68" cm="1">
        <f t="array" ref="M38">ROUNDDOWN(M37,2)</f>
        <v>129537539.18</v>
      </c>
      <c r="N38" s="68" cm="1">
        <f t="array" ref="N38">ROUNDDOWN(N37,-3)</f>
        <v>129537000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drawing r:id="rId1"/>
</worksheet>
</file>

<file path=xl/worksheets/sheet94.xml><?xml version="1.0" encoding="utf-8"?>
<worksheet xmlns:r="http://schemas.openxmlformats.org/officeDocument/2006/relationships" xmlns="http://schemas.openxmlformats.org/spreadsheetml/2006/main">
  <sheetPr>
    <pageSetUpPr fitToPage="1"/>
  </sheetPr>
  <dimension ref="A1:N39"/>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279" customWidth="1"/>
    <col min="2" max="2" width="43.0312" style="279" customWidth="1"/>
    <col min="3" max="3" width="2.75" style="279" customWidth="1"/>
    <col min="4" max="6" width="10.3672" style="279" customWidth="1"/>
    <col min="7" max="7" width="11.6875" style="279" customWidth="1"/>
    <col min="8" max="11" width="13.5156" style="279" customWidth="1"/>
    <col min="12" max="14" width="14.2344" style="279" customWidth="1"/>
    <col min="15" max="16384" width="16.3516" style="279"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t="s" s="90">
        <v>53</v>
      </c>
      <c r="B3" t="s" s="12">
        <v>398</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s="95">
        <v>1</v>
      </c>
      <c r="B4" t="s" s="19">
        <v>399</v>
      </c>
      <c r="C4" s="20"/>
      <c r="D4" s="21">
        <v>1</v>
      </c>
      <c r="E4" s="21" cm="1">
        <f t="array" ref="E4">D4</f>
        <v>1</v>
      </c>
      <c r="F4" s="21" cm="1">
        <f t="array" ref="F4">D4</f>
        <v>1</v>
      </c>
      <c r="G4" t="s" s="22">
        <v>135</v>
      </c>
      <c r="H4" s="21">
        <v>250000</v>
      </c>
      <c r="I4" s="21">
        <v>240000</v>
      </c>
      <c r="J4" s="21">
        <v>240000</v>
      </c>
      <c r="K4" s="21">
        <v>11</v>
      </c>
      <c r="L4" s="21" cm="1">
        <f t="array" ref="L4">IF(D4&gt;0,IF($D4&lt;=0,0,D4*H4),"")</f>
        <v>250000</v>
      </c>
      <c r="M4" s="21" cm="1">
        <f t="array" ref="M4">IF(E4&gt;0,IF($D4&lt;=0,0,ROUND(E4*I4,2)),"")</f>
        <v>240000</v>
      </c>
      <c r="N4" s="23" cm="1">
        <f t="array" ref="N4">IF(F4&gt;0,IF($D4&lt;=0,0,ROUND(F4*J4,2)),"")</f>
        <v>240000</v>
      </c>
    </row>
    <row r="5" ht="20.5" customHeight="1">
      <c r="A5" s="95">
        <v>2</v>
      </c>
      <c r="B5" t="s" s="19">
        <v>399</v>
      </c>
      <c r="C5" s="24"/>
      <c r="D5" s="25">
        <v>1</v>
      </c>
      <c r="E5" s="26" cm="1">
        <f t="array" ref="E5">D5</f>
        <v>1</v>
      </c>
      <c r="F5" s="26" cm="1">
        <f t="array" ref="F5">D5</f>
        <v>1</v>
      </c>
      <c r="G5" t="s" s="27">
        <v>135</v>
      </c>
      <c r="H5" s="26">
        <v>500000</v>
      </c>
      <c r="I5" s="26">
        <v>480000</v>
      </c>
      <c r="J5" s="26">
        <v>480000</v>
      </c>
      <c r="K5" s="26">
        <v>11</v>
      </c>
      <c r="L5" s="26" cm="1">
        <f t="array" ref="L5">IF(D5&gt;0,IF($D5&lt;=0,0,D5*H5),"")</f>
        <v>500000</v>
      </c>
      <c r="M5" s="26" cm="1">
        <f t="array" ref="M5">IF(E5&gt;0,IF($D5&lt;=0,0,ROUND(E5*I5,2)),"")</f>
        <v>480000</v>
      </c>
      <c r="N5" s="28" cm="1">
        <f t="array" ref="N5">IF(F5&gt;0,IF($D5&lt;=0,0,ROUND(F5*J5,2)),"")</f>
        <v>480000</v>
      </c>
    </row>
    <row r="6" ht="20.5" customHeight="1">
      <c r="A6" t="s" s="18">
        <v>71</v>
      </c>
      <c r="B6" t="s" s="19">
        <v>400</v>
      </c>
      <c r="C6" s="20"/>
      <c r="D6" s="79"/>
      <c r="E6" s="21"/>
      <c r="F6" s="21"/>
      <c r="G6" s="21"/>
      <c r="H6" s="21"/>
      <c r="I6" s="79"/>
      <c r="J6" s="79"/>
      <c r="K6" s="21"/>
      <c r="L6" s="79"/>
      <c r="M6" t="str" s="79" cm="1">
        <f t="array" ref="M6">IF(E6&gt;0,IF($D6&lt;=0,0,ROUND(E6*I6,2)),"")</f>
      </c>
      <c r="N6" t="str" s="91" cm="1">
        <f t="array" ref="N6">IF(F6&gt;0,IF($D6&lt;=0,0,ROUND(F6*J6,2)),"")</f>
      </c>
    </row>
    <row r="7" ht="32.5" customHeight="1">
      <c r="A7" s="95">
        <v>1</v>
      </c>
      <c r="B7" t="s" s="19">
        <v>401</v>
      </c>
      <c r="C7" s="24"/>
      <c r="D7" s="25">
        <v>16.28</v>
      </c>
      <c r="E7" s="26" cm="1">
        <f t="array" ref="E7">D7</f>
        <v>16.28</v>
      </c>
      <c r="F7" s="26" cm="1">
        <f t="array" ref="F7">D7</f>
        <v>16.28</v>
      </c>
      <c r="G7" t="s" s="27">
        <v>402</v>
      </c>
      <c r="H7" s="26">
        <v>1919176.24</v>
      </c>
      <c r="I7" s="280">
        <v>1917377.64</v>
      </c>
      <c r="J7" s="280">
        <v>1917377.64</v>
      </c>
      <c r="K7" s="26">
        <v>11</v>
      </c>
      <c r="L7" s="26" cm="1">
        <f t="array" ref="L7">IF(D7&gt;0,IF($D7&lt;=0,0,D7*H7),"")</f>
        <v>31244189.1872</v>
      </c>
      <c r="M7" s="26" cm="1">
        <f t="array" ref="M7">IF(E7&gt;0,IF($D7&lt;=0,0,ROUND(E7*I7,2)),"")</f>
        <v>31214907.98</v>
      </c>
      <c r="N7" s="28" cm="1">
        <f t="array" ref="N7">IF(F7&gt;0,IF($D7&lt;=0,0,ROUND(F7*J7,2)),"")</f>
        <v>31214907.98</v>
      </c>
    </row>
    <row r="8" ht="44.5" customHeight="1">
      <c r="A8" s="95">
        <v>2</v>
      </c>
      <c r="B8" t="s" s="19">
        <v>403</v>
      </c>
      <c r="C8" s="20"/>
      <c r="D8" s="78">
        <v>1.38</v>
      </c>
      <c r="E8" s="21" cm="1">
        <f t="array" ref="E8">D8</f>
        <v>1.38</v>
      </c>
      <c r="F8" s="21" cm="1">
        <f t="array" ref="F8">D8</f>
        <v>1.38</v>
      </c>
      <c r="G8" t="s" s="22">
        <v>402</v>
      </c>
      <c r="H8" s="21">
        <v>1782326.24</v>
      </c>
      <c r="I8" s="281">
        <v>1780527.64</v>
      </c>
      <c r="J8" s="281">
        <v>1780527.64</v>
      </c>
      <c r="K8" s="21">
        <v>11</v>
      </c>
      <c r="L8" s="21" cm="1">
        <f t="array" ref="L8">IF(D8&gt;0,IF($D8&lt;=0,0,D8*H8),"")</f>
        <v>2459610.2112</v>
      </c>
      <c r="M8" s="21" cm="1">
        <f t="array" ref="M8">IF(E8&gt;0,IF($D8&lt;=0,0,ROUND(E8*I8,2)),"")</f>
        <v>2457128.14</v>
      </c>
      <c r="N8" s="23" cm="1">
        <f t="array" ref="N8">IF(F8&gt;0,IF($D8&lt;=0,0,ROUND(F8*J8,2)),"")</f>
        <v>2457128.14</v>
      </c>
    </row>
    <row r="9" ht="20.5" customHeight="1">
      <c r="A9" s="95">
        <v>3</v>
      </c>
      <c r="B9" t="s" s="19">
        <v>404</v>
      </c>
      <c r="C9" s="24"/>
      <c r="D9" s="25">
        <v>1</v>
      </c>
      <c r="E9" s="26" cm="1">
        <f t="array" ref="E9">D9</f>
        <v>1</v>
      </c>
      <c r="F9" s="26" cm="1">
        <f t="array" ref="F9">D9</f>
        <v>1</v>
      </c>
      <c r="G9" t="s" s="27">
        <v>405</v>
      </c>
      <c r="H9" s="26">
        <v>235763</v>
      </c>
      <c r="I9" s="280">
        <v>235597.78</v>
      </c>
      <c r="J9" s="280">
        <v>235597.78</v>
      </c>
      <c r="K9" s="26">
        <v>11</v>
      </c>
      <c r="L9" s="26" cm="1">
        <f t="array" ref="L9">IF(D9&gt;0,IF($D9&lt;=0,0,D9*H9),"")</f>
        <v>235763</v>
      </c>
      <c r="M9" s="26" cm="1">
        <f t="array" ref="M9">IF(E9&gt;0,IF($D9&lt;=0,0,ROUND(E9*I9,2)),"")</f>
        <v>235597.78</v>
      </c>
      <c r="N9" s="28" cm="1">
        <f t="array" ref="N9">IF(F9&gt;0,IF($D9&lt;=0,0,ROUND(F9*J9,2)),"")</f>
        <v>235597.78</v>
      </c>
    </row>
    <row r="10" ht="20.5" customHeight="1">
      <c r="A10" s="95">
        <v>4</v>
      </c>
      <c r="B10" t="s" s="19">
        <v>406</v>
      </c>
      <c r="C10" s="20"/>
      <c r="D10" s="78">
        <v>3</v>
      </c>
      <c r="E10" s="21" cm="1">
        <f t="array" ref="E10">D10</f>
        <v>3</v>
      </c>
      <c r="F10" s="21" cm="1">
        <f t="array" ref="F10">D10</f>
        <v>3</v>
      </c>
      <c r="G10" t="s" s="22">
        <v>344</v>
      </c>
      <c r="H10" s="21">
        <v>323540.8</v>
      </c>
      <c r="I10" s="281">
        <v>323490.95</v>
      </c>
      <c r="J10" s="281">
        <v>323490.95</v>
      </c>
      <c r="K10" s="21">
        <v>11</v>
      </c>
      <c r="L10" s="21" cm="1">
        <f t="array" ref="L10">IF(D10&gt;0,IF($D10&lt;=0,0,D10*H10),"")</f>
        <v>970622.4</v>
      </c>
      <c r="M10" s="21" cm="1">
        <f t="array" ref="M10">IF(E10&gt;0,IF($D10&lt;=0,0,ROUND(E10*I10,2)),"")</f>
        <v>970472.85</v>
      </c>
      <c r="N10" s="23" cm="1">
        <f t="array" ref="N10">IF(F10&gt;0,IF($D10&lt;=0,0,ROUND(F10*J10,2)),"")</f>
        <v>970472.85</v>
      </c>
    </row>
    <row r="11" ht="20.5" customHeight="1">
      <c r="A11" s="95">
        <v>5</v>
      </c>
      <c r="B11" t="s" s="19">
        <v>407</v>
      </c>
      <c r="C11" s="24"/>
      <c r="D11" s="25">
        <v>1</v>
      </c>
      <c r="E11" s="26" cm="1">
        <f t="array" ref="E11">D11</f>
        <v>1</v>
      </c>
      <c r="F11" s="26" cm="1">
        <f t="array" ref="F11">D11</f>
        <v>1</v>
      </c>
      <c r="G11" t="s" s="27">
        <v>408</v>
      </c>
      <c r="H11" s="26">
        <v>373153</v>
      </c>
      <c r="I11" s="280">
        <v>372986.68</v>
      </c>
      <c r="J11" s="280">
        <v>372986.68</v>
      </c>
      <c r="K11" s="26">
        <v>11</v>
      </c>
      <c r="L11" s="26" cm="1">
        <f t="array" ref="L11">IF(D11&gt;0,IF($D11&lt;=0,0,D11*H11),"")</f>
        <v>373153</v>
      </c>
      <c r="M11" s="26" cm="1">
        <f t="array" ref="M11">IF(E11&gt;0,IF($D11&lt;=0,0,ROUND(E11*I11,2)),"")</f>
        <v>372986.68</v>
      </c>
      <c r="N11" s="28" cm="1">
        <f t="array" ref="N11">IF(F11&gt;0,IF($D11&lt;=0,0,ROUND(F11*J11,2)),"")</f>
        <v>372986.68</v>
      </c>
    </row>
    <row r="12" ht="20.5" customHeight="1">
      <c r="A12" t="s" s="18">
        <v>409</v>
      </c>
      <c r="B12" t="s" s="19">
        <v>410</v>
      </c>
      <c r="C12" s="20"/>
      <c r="D12" s="79"/>
      <c r="E12" s="21"/>
      <c r="F12" s="21"/>
      <c r="G12" s="21"/>
      <c r="H12" s="21"/>
      <c r="I12" s="79"/>
      <c r="J12" s="79"/>
      <c r="K12" s="21"/>
      <c r="L12" t="str" s="79" cm="1">
        <f t="array" ref="L12">IF(D12&gt;0,IF($D12&lt;=0,0,D12*H12),"")</f>
      </c>
      <c r="M12" t="str" s="79" cm="1">
        <f t="array" ref="M12">IF(E12&gt;0,IF($D12&lt;=0,0,ROUND(E12*I12,2)),"")</f>
      </c>
      <c r="N12" t="str" s="91" cm="1">
        <f t="array" ref="N12">IF(F12&gt;0,IF($D12&lt;=0,0,ROUND(F12*J12,2)),"")</f>
      </c>
    </row>
    <row r="13" ht="44.5" customHeight="1">
      <c r="A13" s="95">
        <v>1</v>
      </c>
      <c r="B13" t="s" s="19">
        <v>411</v>
      </c>
      <c r="C13" s="24"/>
      <c r="D13" s="25">
        <v>9.77</v>
      </c>
      <c r="E13" s="26" cm="1">
        <f t="array" ref="E13">D13</f>
        <v>9.77</v>
      </c>
      <c r="F13" s="26" cm="1">
        <f t="array" ref="F13">D13</f>
        <v>9.77</v>
      </c>
      <c r="G13" t="s" s="27">
        <v>402</v>
      </c>
      <c r="H13" s="26">
        <v>1834479.15</v>
      </c>
      <c r="I13" s="26">
        <v>1833421.15</v>
      </c>
      <c r="J13" s="26">
        <v>1833421.15</v>
      </c>
      <c r="K13" s="26">
        <v>11</v>
      </c>
      <c r="L13" s="26" cm="1">
        <f t="array" ref="L13">IF(D13&gt;0,IF($D13&lt;=0,0,D13*H13),"")</f>
        <v>17922861.2955</v>
      </c>
      <c r="M13" s="26" cm="1">
        <f t="array" ref="M13">IF(E13&gt;0,IF($D13&lt;=0,0,ROUND(E13*I13,2)),"")</f>
        <v>17912524.64</v>
      </c>
      <c r="N13" s="28" cm="1">
        <f t="array" ref="N13">IF(F13&gt;0,IF($D13&lt;=0,0,ROUND(F13*J13,2)),"")</f>
        <v>17912524.64</v>
      </c>
    </row>
    <row r="14" ht="44.5" customHeight="1">
      <c r="A14" s="95">
        <v>2</v>
      </c>
      <c r="B14" t="s" s="19">
        <v>412</v>
      </c>
      <c r="C14" s="20"/>
      <c r="D14" s="78">
        <v>10.52</v>
      </c>
      <c r="E14" s="21" cm="1">
        <f t="array" ref="E14">D14</f>
        <v>10.52</v>
      </c>
      <c r="F14" s="21" cm="1">
        <f t="array" ref="F14">D14</f>
        <v>10.52</v>
      </c>
      <c r="G14" t="s" s="22">
        <v>402</v>
      </c>
      <c r="H14" s="21">
        <v>1919176.24</v>
      </c>
      <c r="I14" s="281">
        <v>1917377.64</v>
      </c>
      <c r="J14" s="281">
        <v>1917377.64</v>
      </c>
      <c r="K14" s="21">
        <v>11</v>
      </c>
      <c r="L14" s="21" cm="1">
        <f t="array" ref="L14">IF(D14&gt;0,IF($D14&lt;=0,0,D14*H14),"")</f>
        <v>20189734.0448</v>
      </c>
      <c r="M14" s="21" cm="1">
        <f t="array" ref="M14">IF(E14&gt;0,IF($D14&lt;=0,0,ROUND(E14*I14,2)),"")</f>
        <v>20170812.77</v>
      </c>
      <c r="N14" s="23" cm="1">
        <f t="array" ref="N14">IF(F14&gt;0,IF($D14&lt;=0,0,ROUND(F14*J14,2)),"")</f>
        <v>20170812.77</v>
      </c>
    </row>
    <row r="15" ht="44.5" customHeight="1">
      <c r="A15" s="95">
        <v>3</v>
      </c>
      <c r="B15" t="s" s="19">
        <v>403</v>
      </c>
      <c r="C15" s="24"/>
      <c r="D15" s="25">
        <v>1.76</v>
      </c>
      <c r="E15" s="26" cm="1">
        <f t="array" ref="E15">D15</f>
        <v>1.76</v>
      </c>
      <c r="F15" s="26" cm="1">
        <f t="array" ref="F15">D15</f>
        <v>1.76</v>
      </c>
      <c r="G15" t="s" s="27">
        <v>402</v>
      </c>
      <c r="H15" s="26">
        <v>1782326.24</v>
      </c>
      <c r="I15" s="26">
        <v>1780527.64</v>
      </c>
      <c r="J15" s="26">
        <v>1780527.64</v>
      </c>
      <c r="K15" s="26">
        <v>11</v>
      </c>
      <c r="L15" s="26" cm="1">
        <f t="array" ref="L15">IF(D15&gt;0,IF($D15&lt;=0,0,D15*H15),"")</f>
        <v>3136894.1824</v>
      </c>
      <c r="M15" s="26" cm="1">
        <f t="array" ref="M15">IF(E15&gt;0,IF($D15&lt;=0,0,ROUND(E15*I15,2)),"")</f>
        <v>3133728.65</v>
      </c>
      <c r="N15" s="28" cm="1">
        <f t="array" ref="N15">IF(F15&gt;0,IF($D15&lt;=0,0,ROUND(F15*J15,2)),"")</f>
        <v>3133728.65</v>
      </c>
    </row>
    <row r="16" ht="44.5" customHeight="1">
      <c r="A16" s="95">
        <v>4</v>
      </c>
      <c r="B16" t="s" s="19">
        <v>413</v>
      </c>
      <c r="C16" s="20"/>
      <c r="D16" s="78">
        <v>2.48</v>
      </c>
      <c r="E16" s="21" cm="1">
        <f t="array" ref="E16">D16</f>
        <v>2.48</v>
      </c>
      <c r="F16" s="21" cm="1">
        <f t="array" ref="F16">D16</f>
        <v>2.48</v>
      </c>
      <c r="G16" t="s" s="22">
        <v>402</v>
      </c>
      <c r="H16" s="21">
        <v>1563701.78</v>
      </c>
      <c r="I16" s="21">
        <v>1562643.78</v>
      </c>
      <c r="J16" s="21">
        <v>1562643.78</v>
      </c>
      <c r="K16" s="21">
        <v>11</v>
      </c>
      <c r="L16" s="21" cm="1">
        <f t="array" ref="L16">IF(D16&gt;0,IF($D16&lt;=0,0,D16*H16),"")</f>
        <v>3877980.4144</v>
      </c>
      <c r="M16" s="21" cm="1">
        <f t="array" ref="M16">IF(E16&gt;0,IF($D16&lt;=0,0,ROUND(E16*I16,2)),"")</f>
        <v>3875356.57</v>
      </c>
      <c r="N16" s="23" cm="1">
        <f t="array" ref="N16">IF(F16&gt;0,IF($D16&lt;=0,0,ROUND(F16*J16,2)),"")</f>
        <v>3875356.57</v>
      </c>
    </row>
    <row r="17" ht="20.5" customHeight="1">
      <c r="A17" s="95">
        <v>5</v>
      </c>
      <c r="B17" t="s" s="19">
        <v>404</v>
      </c>
      <c r="C17" s="24"/>
      <c r="D17" s="26">
        <v>1</v>
      </c>
      <c r="E17" s="26" cm="1">
        <f t="array" ref="E17">D17</f>
        <v>1</v>
      </c>
      <c r="F17" s="26" cm="1">
        <f t="array" ref="F17">D17</f>
        <v>1</v>
      </c>
      <c r="G17" t="s" s="27">
        <v>79</v>
      </c>
      <c r="H17" s="26">
        <v>235763</v>
      </c>
      <c r="I17" s="280">
        <v>235597.78</v>
      </c>
      <c r="J17" s="280">
        <v>235597.78</v>
      </c>
      <c r="K17" s="26">
        <v>11</v>
      </c>
      <c r="L17" s="26" cm="1">
        <f t="array" ref="L17">IF(D17&gt;0,IF($D17&lt;=0,0,D17*H17),"")</f>
        <v>235763</v>
      </c>
      <c r="M17" s="26" cm="1">
        <f t="array" ref="M17">IF(E17&gt;0,IF($D17&lt;=0,0,ROUND(E17*I17,2)),"")</f>
        <v>235597.78</v>
      </c>
      <c r="N17" s="28" cm="1">
        <f t="array" ref="N17">IF(F17&gt;0,IF($D17&lt;=0,0,ROUND(F17*J17,2)),"")</f>
        <v>235597.78</v>
      </c>
    </row>
    <row r="18" ht="20.5" customHeight="1">
      <c r="A18" s="95">
        <v>6</v>
      </c>
      <c r="B18" t="s" s="19">
        <v>406</v>
      </c>
      <c r="C18" s="20"/>
      <c r="D18" s="78">
        <v>3</v>
      </c>
      <c r="E18" s="21" cm="1">
        <f t="array" ref="E18">D18</f>
        <v>3</v>
      </c>
      <c r="F18" s="21" cm="1">
        <f t="array" ref="F18">D18</f>
        <v>3</v>
      </c>
      <c r="G18" t="s" s="22">
        <v>79</v>
      </c>
      <c r="H18" s="21">
        <v>323540.8</v>
      </c>
      <c r="I18" s="281">
        <v>323490.95</v>
      </c>
      <c r="J18" s="281">
        <v>323490.95</v>
      </c>
      <c r="K18" s="21">
        <v>11</v>
      </c>
      <c r="L18" s="21" cm="1">
        <f t="array" ref="L18">IF(D18&gt;0,IF($D18&lt;=0,0,D18*H18),"")</f>
        <v>970622.4</v>
      </c>
      <c r="M18" s="21" cm="1">
        <f t="array" ref="M18">IF(E18&gt;0,IF($D18&lt;=0,0,ROUND(E18*I18,2)),"")</f>
        <v>970472.85</v>
      </c>
      <c r="N18" s="23" cm="1">
        <f t="array" ref="N18">IF(F18&gt;0,IF($D18&lt;=0,0,ROUND(F18*J18,2)),"")</f>
        <v>970472.85</v>
      </c>
    </row>
    <row r="19" ht="20.5" customHeight="1">
      <c r="A19" s="95">
        <v>7</v>
      </c>
      <c r="B19" t="s" s="19">
        <v>407</v>
      </c>
      <c r="C19" s="24"/>
      <c r="D19" s="25">
        <v>1</v>
      </c>
      <c r="E19" s="26" cm="1">
        <f t="array" ref="E19">D19</f>
        <v>1</v>
      </c>
      <c r="F19" s="26" cm="1">
        <f t="array" ref="F19">D19</f>
        <v>1</v>
      </c>
      <c r="G19" t="s" s="27">
        <v>405</v>
      </c>
      <c r="H19" s="26">
        <v>373153</v>
      </c>
      <c r="I19" s="26">
        <v>372986.68</v>
      </c>
      <c r="J19" s="26">
        <v>372986.68</v>
      </c>
      <c r="K19" s="26">
        <v>11</v>
      </c>
      <c r="L19" s="26" cm="1">
        <f t="array" ref="L19">IF(D19&gt;0,IF($D19&lt;=0,0,D19*H19),"")</f>
        <v>373153</v>
      </c>
      <c r="M19" s="26" cm="1">
        <f t="array" ref="M19">IF(E19&gt;0,IF($D19&lt;=0,0,ROUND(E19*I19,2)),"")</f>
        <v>372986.68</v>
      </c>
      <c r="N19" s="28" cm="1">
        <f t="array" ref="N19">IF(F19&gt;0,IF($D19&lt;=0,0,ROUND(F19*J19,2)),"")</f>
        <v>372986.68</v>
      </c>
    </row>
    <row r="20" ht="32.5" customHeight="1">
      <c r="A20" s="95">
        <v>8</v>
      </c>
      <c r="B20" t="s" s="19">
        <v>414</v>
      </c>
      <c r="C20" s="20"/>
      <c r="D20" s="78">
        <v>1</v>
      </c>
      <c r="E20" s="21" cm="1">
        <f t="array" ref="E20">D20</f>
        <v>1</v>
      </c>
      <c r="F20" s="21" cm="1">
        <f t="array" ref="F20">D20</f>
        <v>1</v>
      </c>
      <c r="G20" t="s" s="22">
        <v>135</v>
      </c>
      <c r="H20" s="21">
        <v>56850000</v>
      </c>
      <c r="I20" s="21">
        <v>56850000</v>
      </c>
      <c r="J20" s="21">
        <v>56850000</v>
      </c>
      <c r="K20" s="21">
        <v>11</v>
      </c>
      <c r="L20" s="21" cm="1">
        <f t="array" ref="L20">IF(D20&gt;0,IF($D20&lt;=0,0,D20*H20),"")</f>
        <v>56850000</v>
      </c>
      <c r="M20" s="21" cm="1">
        <f t="array" ref="M20">IF(E20&gt;0,IF($D20&lt;=0,0,ROUND(E20*I20,2)),"")</f>
        <v>56850000</v>
      </c>
      <c r="N20" s="23" cm="1">
        <f t="array" ref="N20">IF(F20&gt;0,IF($D20&lt;=0,0,ROUND(F20*J20,2)),"")</f>
        <v>56850000</v>
      </c>
    </row>
    <row r="21" ht="32.5" customHeight="1">
      <c r="A21" s="95">
        <v>9</v>
      </c>
      <c r="B21" t="s" s="19">
        <v>415</v>
      </c>
      <c r="C21" s="24"/>
      <c r="D21" s="26">
        <v>1</v>
      </c>
      <c r="E21" s="26" cm="1">
        <f t="array" ref="E21">D21</f>
        <v>1</v>
      </c>
      <c r="F21" s="26" cm="1">
        <f t="array" ref="F21">D21</f>
        <v>1</v>
      </c>
      <c r="G21" t="s" s="27">
        <v>135</v>
      </c>
      <c r="H21" s="26">
        <v>8499000</v>
      </c>
      <c r="I21" s="282">
        <v>8499000</v>
      </c>
      <c r="J21" s="282">
        <v>8499000</v>
      </c>
      <c r="K21" s="26">
        <v>11</v>
      </c>
      <c r="L21" s="26" cm="1">
        <f t="array" ref="L21">IF(D21&gt;0,IF($D21&lt;=0,0,D21*H21),"")</f>
        <v>8499000</v>
      </c>
      <c r="M21" s="26" cm="1">
        <f t="array" ref="M21">IF(E21&gt;0,IF($D21&lt;=0,0,ROUND(E21*I21,2)),"")</f>
        <v>8499000</v>
      </c>
      <c r="N21" s="28" cm="1">
        <f t="array" ref="N21">IF(F21&gt;0,IF($D21&lt;=0,0,ROUND(F21*J21,2)),"")</f>
        <v>8499000</v>
      </c>
    </row>
    <row r="22" ht="20.5" customHeight="1">
      <c r="A22" s="95">
        <v>10</v>
      </c>
      <c r="B22" t="s" s="19">
        <v>416</v>
      </c>
      <c r="C22" s="20"/>
      <c r="D22" s="21">
        <v>1</v>
      </c>
      <c r="E22" s="21" cm="1">
        <f t="array" ref="E22">D22</f>
        <v>1</v>
      </c>
      <c r="F22" s="21" cm="1">
        <f t="array" ref="F22">D22</f>
        <v>1</v>
      </c>
      <c r="G22" t="s" s="22">
        <v>135</v>
      </c>
      <c r="H22" s="21">
        <v>3199000</v>
      </c>
      <c r="I22" s="21">
        <v>3199000</v>
      </c>
      <c r="J22" s="21">
        <v>3199000</v>
      </c>
      <c r="K22" s="21">
        <v>11</v>
      </c>
      <c r="L22" s="21" cm="1">
        <f t="array" ref="L22">IF(D22&gt;0,IF($D22&lt;=0,0,D22*H22),"")</f>
        <v>3199000</v>
      </c>
      <c r="M22" s="21" cm="1">
        <f t="array" ref="M22">IF(E22&gt;0,IF($D22&lt;=0,0,ROUND(E22*I22,2)),"")</f>
        <v>3199000</v>
      </c>
      <c r="N22" s="23" cm="1">
        <f t="array" ref="N22">IF(F22&gt;0,IF($D22&lt;=0,0,ROUND(F22*J22,2)),"")</f>
        <v>3199000</v>
      </c>
    </row>
    <row r="23" ht="32.5" customHeight="1">
      <c r="A23" t="s" s="18">
        <v>417</v>
      </c>
      <c r="B23" t="s" s="19">
        <v>418</v>
      </c>
      <c r="C23" s="24"/>
      <c r="D23" s="26"/>
      <c r="E23" s="26" cm="1">
        <f t="array" ref="E23">D23</f>
        <v>0</v>
      </c>
      <c r="F23" s="26" cm="1">
        <f t="array" ref="F23">D23</f>
        <v>0</v>
      </c>
      <c r="G23" s="26"/>
      <c r="H23" s="26"/>
      <c r="I23" s="26"/>
      <c r="J23" s="26"/>
      <c r="K23" s="26"/>
      <c r="L23" t="str" s="30" cm="1">
        <f t="array" ref="L23">IF(D23&gt;0,IF($D23&lt;=0,0,D23*H23),"")</f>
      </c>
      <c r="M23" t="str" s="30" cm="1">
        <f t="array" ref="M23">IF(E23&gt;0,IF($D23&lt;=0,0,ROUND(E23*I23,2)),"")</f>
      </c>
      <c r="N23" t="str" s="31" cm="1">
        <f t="array" ref="N23">IF(F23&gt;0,IF($D23&lt;=0,0,ROUND(F23*J23,2)),"")</f>
      </c>
    </row>
    <row r="24" ht="32.5" customHeight="1">
      <c r="A24" s="95">
        <v>1</v>
      </c>
      <c r="B24" t="s" s="19">
        <v>419</v>
      </c>
      <c r="C24" s="20"/>
      <c r="D24" s="21">
        <v>3</v>
      </c>
      <c r="E24" s="21" cm="1">
        <f t="array" ref="E24">D24</f>
        <v>3</v>
      </c>
      <c r="F24" s="21" cm="1">
        <f t="array" ref="F24">D24</f>
        <v>3</v>
      </c>
      <c r="G24" t="s" s="22">
        <v>420</v>
      </c>
      <c r="H24" s="21">
        <v>3170000</v>
      </c>
      <c r="I24" s="21">
        <v>3170000</v>
      </c>
      <c r="J24" s="21">
        <v>3170000</v>
      </c>
      <c r="K24" s="21">
        <v>11</v>
      </c>
      <c r="L24" s="21" cm="1">
        <f t="array" ref="L24">IF(D24&gt;0,IF($D24&lt;=0,0,D24*H24),"")</f>
        <v>9510000</v>
      </c>
      <c r="M24" s="21" cm="1">
        <f t="array" ref="M24">IF(E24&gt;0,IF($D24&lt;=0,0,ROUND(E24*I24,2)),"")</f>
        <v>9510000</v>
      </c>
      <c r="N24" s="23" cm="1">
        <f t="array" ref="N24">IF(F24&gt;0,IF($D24&lt;=0,0,ROUND(F24*J24,2)),"")</f>
        <v>9510000</v>
      </c>
    </row>
    <row r="25" ht="20.5" customHeight="1">
      <c r="A25" t="s" s="18">
        <v>80</v>
      </c>
      <c r="B25" t="s" s="19">
        <v>421</v>
      </c>
      <c r="C25" s="24"/>
      <c r="D25" s="26"/>
      <c r="E25" s="26" cm="1">
        <f t="array" ref="E25">D25</f>
        <v>0</v>
      </c>
      <c r="F25" s="26" cm="1">
        <f t="array" ref="F25">D25</f>
        <v>0</v>
      </c>
      <c r="G25" s="26"/>
      <c r="H25" s="26"/>
      <c r="I25" s="30"/>
      <c r="J25" s="30"/>
      <c r="K25" s="26">
        <v>11</v>
      </c>
      <c r="L25" t="str" s="30" cm="1">
        <f t="array" ref="L25">IF(D25&gt;0,IF($D25&lt;=0,0,D25*H25),"")</f>
      </c>
      <c r="M25" t="str" s="30" cm="1">
        <f t="array" ref="M25">IF(E25&gt;0,IF($D25&lt;=0,0,ROUND(E25*I25,2)),"")</f>
      </c>
      <c r="N25" t="str" s="31" cm="1">
        <f t="array" ref="N25">IF(F25&gt;0,IF($D25&lt;=0,0,ROUND(F25*J25,2)),"")</f>
      </c>
    </row>
    <row r="26" ht="20.5" customHeight="1">
      <c r="A26" s="95">
        <v>1</v>
      </c>
      <c r="B26" t="s" s="19">
        <v>399</v>
      </c>
      <c r="C26" s="20"/>
      <c r="D26" s="21">
        <v>1</v>
      </c>
      <c r="E26" s="21" cm="1">
        <f t="array" ref="E26">D26</f>
        <v>1</v>
      </c>
      <c r="F26" s="21" cm="1">
        <f t="array" ref="F26">D26</f>
        <v>1</v>
      </c>
      <c r="G26" t="s" s="22">
        <v>135</v>
      </c>
      <c r="H26" s="21">
        <v>500000</v>
      </c>
      <c r="I26" s="283">
        <v>480000</v>
      </c>
      <c r="J26" s="283">
        <v>480000</v>
      </c>
      <c r="K26" s="21">
        <v>11</v>
      </c>
      <c r="L26" s="21" cm="1">
        <f t="array" ref="L26">IF(D26&gt;0,IF($D26&lt;=0,0,D26*H26),"")</f>
        <v>500000</v>
      </c>
      <c r="M26" s="21" cm="1">
        <f t="array" ref="M26">IF(E26&gt;0,IF($D26&lt;=0,0,ROUND(E26*I26,2)),"")</f>
        <v>480000</v>
      </c>
      <c r="N26" s="23" cm="1">
        <f t="array" ref="N26">IF(F26&gt;0,IF($D26&lt;=0,0,ROUND(F26*J26,2)),"")</f>
        <v>480000</v>
      </c>
    </row>
    <row r="27" ht="20.5" customHeight="1">
      <c r="A27" s="95">
        <v>2</v>
      </c>
      <c r="B27" t="s" s="19">
        <v>399</v>
      </c>
      <c r="C27" s="24"/>
      <c r="D27" s="26">
        <v>1</v>
      </c>
      <c r="E27" s="26" cm="1">
        <f t="array" ref="E27">D27</f>
        <v>1</v>
      </c>
      <c r="F27" s="26" cm="1">
        <f t="array" ref="F27">D27</f>
        <v>1</v>
      </c>
      <c r="G27" t="s" s="27">
        <v>135</v>
      </c>
      <c r="H27" s="26">
        <v>500000</v>
      </c>
      <c r="I27" s="284">
        <v>480000</v>
      </c>
      <c r="J27" s="284">
        <v>480000</v>
      </c>
      <c r="K27" s="26">
        <v>11</v>
      </c>
      <c r="L27" s="26" cm="1">
        <f t="array" ref="L27">IF(D27&gt;0,IF($D27&lt;=0,0,D27*H27),"")</f>
        <v>500000</v>
      </c>
      <c r="M27" s="26" cm="1">
        <f t="array" ref="M27">IF(E27&gt;0,IF($D27&lt;=0,0,ROUND(E27*I27,2)),"")</f>
        <v>480000</v>
      </c>
      <c r="N27" s="28" cm="1">
        <f t="array" ref="N27">IF(F27&gt;0,IF($D27&lt;=0,0,ROUND(F27*J27,2)),"")</f>
        <v>480000</v>
      </c>
    </row>
    <row r="28" ht="20.5" customHeight="1">
      <c r="A28" s="29"/>
      <c r="B28" t="s" s="19">
        <v>36</v>
      </c>
      <c r="C28" s="20"/>
      <c r="D28" s="21"/>
      <c r="E28" s="21"/>
      <c r="F28" s="21"/>
      <c r="G28" s="79"/>
      <c r="H28" s="21"/>
      <c r="I28" s="79"/>
      <c r="J28" s="79"/>
      <c r="K28" s="21"/>
      <c r="L28" t="str" s="79" cm="1">
        <f t="array" ref="L28">IF(D28&gt;0,IF($D28&lt;=0,0,D28*H28),"")</f>
      </c>
      <c r="M28" s="21"/>
      <c r="N28" s="23"/>
    </row>
    <row r="29" ht="20.6" customHeight="1">
      <c r="A29" s="33">
        <v>1</v>
      </c>
      <c r="B29" t="s" s="34">
        <v>37</v>
      </c>
      <c r="C29" s="80"/>
      <c r="D29" s="81">
        <v>1</v>
      </c>
      <c r="E29" s="81" cm="1">
        <f t="array" ref="E29">D29</f>
        <v>1</v>
      </c>
      <c r="F29" s="81" cm="1">
        <f t="array" ref="F29">D29</f>
        <v>1</v>
      </c>
      <c r="G29" t="s" s="82">
        <v>19</v>
      </c>
      <c r="H29" s="81">
        <v>391181.02</v>
      </c>
      <c r="I29" s="81">
        <v>390890.5</v>
      </c>
      <c r="J29" s="81">
        <v>357155.09</v>
      </c>
      <c r="K29" s="81">
        <v>0</v>
      </c>
      <c r="L29" s="81" cm="1">
        <f t="array" ref="L29">IF(D29&gt;0,IF($D29&lt;=0,0,D29*H29),"")</f>
        <v>391181.02</v>
      </c>
      <c r="M29" s="81" cm="1">
        <f t="array" ref="M29">IF(E29&gt;0,IF($D29&lt;=0,0,ROUND(E29*I29,2)),"")</f>
        <v>390890.5</v>
      </c>
      <c r="N29" s="83" cm="1">
        <f t="array" ref="N29">IF(F29&gt;0,IF($D29&lt;=0,0,ROUND(F29*J29,2)),"")</f>
        <v>357155.09</v>
      </c>
    </row>
    <row r="30" ht="8.75" customHeight="1" hidden="1">
      <c r="A30" s="51"/>
      <c r="B30" s="40"/>
      <c r="C30" s="45"/>
      <c r="D30" s="46"/>
      <c r="E30" s="46"/>
      <c r="F30" s="46"/>
      <c r="G30" s="47"/>
      <c r="H30" s="46"/>
      <c r="I30" s="46"/>
      <c r="J30" s="46"/>
      <c r="K30" s="46"/>
      <c r="L30" s="46"/>
      <c r="M30" s="46"/>
      <c r="N30" s="48"/>
    </row>
    <row r="31" ht="8.75" customHeight="1" hidden="1">
      <c r="A31" s="51"/>
      <c r="B31" s="40"/>
      <c r="C31" s="41"/>
      <c r="D31" s="42"/>
      <c r="E31" s="42"/>
      <c r="F31" s="42"/>
      <c r="G31" s="43"/>
      <c r="H31" s="42"/>
      <c r="I31" s="42"/>
      <c r="J31" s="42"/>
      <c r="K31" s="42"/>
      <c r="L31" s="42"/>
      <c r="M31" s="42"/>
      <c r="N31" s="44"/>
    </row>
    <row r="32" ht="8.75" customHeight="1" hidden="1">
      <c r="A32" s="39"/>
      <c r="B32" s="40"/>
      <c r="C32" s="45"/>
      <c r="D32" s="46"/>
      <c r="E32" s="46"/>
      <c r="F32" s="46"/>
      <c r="G32" s="47"/>
      <c r="H32" s="46"/>
      <c r="I32" s="46"/>
      <c r="J32" s="46"/>
      <c r="K32" s="46"/>
      <c r="L32" s="47"/>
      <c r="M32" s="47"/>
      <c r="N32" s="52"/>
    </row>
    <row r="33" ht="8.75" customHeight="1" hidden="1">
      <c r="A33" s="39"/>
      <c r="B33" s="40"/>
      <c r="C33" s="41"/>
      <c r="D33" s="42"/>
      <c r="E33" s="42"/>
      <c r="F33" s="42"/>
      <c r="G33" s="43"/>
      <c r="H33" s="42"/>
      <c r="I33" s="42"/>
      <c r="J33" s="42"/>
      <c r="K33" s="42"/>
      <c r="L33" s="42"/>
      <c r="M33" s="42"/>
      <c r="N33" s="44"/>
    </row>
    <row r="34" ht="8.75" customHeight="1" hidden="1">
      <c r="A34" s="39"/>
      <c r="B34" s="40"/>
      <c r="C34" s="45"/>
      <c r="D34" s="46"/>
      <c r="E34" s="46"/>
      <c r="F34" s="46"/>
      <c r="G34" s="47"/>
      <c r="H34" s="46"/>
      <c r="I34" s="46"/>
      <c r="J34" s="46"/>
      <c r="K34" s="46"/>
      <c r="L34" s="47"/>
      <c r="M34" s="47"/>
      <c r="N34" s="52"/>
    </row>
    <row r="35" ht="20.85" customHeight="1">
      <c r="A35" s="53"/>
      <c r="B35" s="54"/>
      <c r="C35" s="54"/>
      <c r="D35" s="55"/>
      <c r="E35" s="55"/>
      <c r="F35" s="55"/>
      <c r="G35" s="56"/>
      <c r="H35" s="56"/>
      <c r="I35" s="54"/>
      <c r="J35" s="57"/>
      <c r="K35" t="s" s="58">
        <v>38</v>
      </c>
      <c r="L35" s="59" cm="1">
        <f t="array" ref="L35">SUM(L1:L34)</f>
        <v>162189527.1555</v>
      </c>
      <c r="M35" s="59" cm="1">
        <f t="array" ref="M35">SUM(M1:M34)</f>
        <v>162051463.87</v>
      </c>
      <c r="N35" s="59" cm="1">
        <f t="array" ref="N35">SUM(N1:N34)</f>
        <v>162017728.46</v>
      </c>
    </row>
    <row r="36" ht="21" customHeight="1">
      <c r="A36" s="60"/>
      <c r="B36" t="s" s="61">
        <v>39</v>
      </c>
      <c r="C36" s="62"/>
      <c r="D36" s="63" cm="1">
        <f t="array" ref="D36">ROUND(IF(L36&lt;=100000000,L36*0.24%,IF(AND(L36&gt;100000000,L36&lt;=500000000),100000000*0.24%+(L36-100000000)*0.19%,IF(AND(L36&gt;500000000,L36&lt;=1000000000),100000000*0.24%+400000000*0.19%+(L36-500000000)*0.15%,IF(AND(L36&gt;1000000000,L36&lt;=5000000000),100000000*0.24%+400000000*0.19%+500000000*0.15%+(L36-1000000000)*0.12%,IF(L36&gt;5000000000,100000000*0.24%+400000000*0.19%+500000000*0.15%+4000000000*0.12%+(L36-5000000000)*0.1%,"Bingung komputer"))))),2)</f>
        <v>357416.86</v>
      </c>
      <c r="E36" s="64" cm="1">
        <f t="array" ref="E36">ROUND(IF(M36&lt;=100000000,M36*0.24%,IF(AND(M36&gt;100000000,M36&lt;=500000000),100000000*0.24%+(M36-100000000)*0.19%,IF(AND(M36&gt;500000000,M36&lt;=1000000000),100000000*0.24%+400000000*0.19%+(M36-500000000)*0.15%,IF(AND(M36&gt;1000000000,M36&lt;=5000000000),100000000*0.24%+400000000*0.19%+500000000*0.15%+(M36-1000000000)*0.12%,IF(M36&gt;5000000000,100000000*0.24%+400000000*0.19%+500000000*0.15%+4000000000*0.12%+(M36-5000000000)*0.1%,"Bingung komputer"))))),2)</f>
        <v>357155.09</v>
      </c>
      <c r="F36" s="64" cm="1">
        <f t="array" ref="F36">ROUND(IF(N36&lt;=100000000,N36*0.24%,IF(AND(N36&gt;100000000,N36&lt;=500000000),100000000*0.24%+(N36-100000000)*0.19%,IF(AND(N36&gt;500000000,N36&lt;=1000000000),100000000*0.24%+400000000*0.19%+(N36-500000000)*0.15%,IF(AND(N36&gt;1000000000,N36&lt;=5000000000),100000000*0.24%+400000000*0.19%+500000000*0.15%+(N36-1000000000)*0.12%,IF(N36&gt;5000000000,100000000*0.24%+400000000*0.19%+500000000*0.15%+4000000000*0.12%+(N36-5000000000)*0.1%,"Bingung komputer"))))),2)</f>
        <v>357155.09</v>
      </c>
      <c r="G36" s="65"/>
      <c r="H36" s="66"/>
      <c r="I36" s="62"/>
      <c r="J36" s="67"/>
      <c r="K36" t="str" s="67" cm="1">
        <f t="array" ref="K36">"Jumlah Terkena Pajak "&amp;MAX(K3:K34)&amp;"% (B)"</f>
        <v>Jumlah Terkena Pajak 11,00% (B)</v>
      </c>
      <c r="L36" s="68" cm="1">
        <f t="array" ref="L36">SUMIF($K3:$K34,"&gt;0",L3:L34)</f>
        <v>161798346.1355</v>
      </c>
      <c r="M36" s="69" cm="1">
        <f t="array" ref="M36">SUMIF($K3:$K34,"&gt;0",M3:M34)</f>
        <v>161660573.37</v>
      </c>
      <c r="N36" s="69" cm="1">
        <f t="array" ref="N36">SUMIF($K3:$K34,"&gt;0",N3:N34)</f>
        <v>161660573.37</v>
      </c>
    </row>
    <row r="37" ht="21" customHeight="1">
      <c r="A37" s="70"/>
      <c r="B37" s="71"/>
      <c r="C37" s="71"/>
      <c r="D37" s="72"/>
      <c r="E37" s="72"/>
      <c r="F37" s="71"/>
      <c r="G37" s="72"/>
      <c r="H37" s="72"/>
      <c r="I37" s="71"/>
      <c r="J37" s="73"/>
      <c r="K37" t="str" s="73" cm="1">
        <f t="array" ref="K37">"PPN (C) = "&amp;MAX(K3:K34)&amp;"% x B"</f>
        <v>PPN (C) = 11,00% x B</v>
      </c>
      <c r="L37" s="74" cm="1">
        <f t="array" ref="L37">L36*MAX($K3:$K34)%</f>
        <v>17797818.074905</v>
      </c>
      <c r="M37" s="69" cm="1">
        <f t="array" ref="M37">M36*MAX($K3:$K34)%</f>
        <v>17782663.0707</v>
      </c>
      <c r="N37" s="69" cm="1">
        <f t="array" ref="N37">N36*MAX($K3:$K34)%</f>
        <v>17782663.0707</v>
      </c>
    </row>
    <row r="38" ht="21" customHeight="1">
      <c r="A38" s="70"/>
      <c r="B38" s="71"/>
      <c r="C38" s="71"/>
      <c r="D38" s="72"/>
      <c r="E38" s="72"/>
      <c r="F38" s="72"/>
      <c r="G38" s="72"/>
      <c r="H38" s="72"/>
      <c r="I38" s="71"/>
      <c r="J38" s="73"/>
      <c r="K38" t="s" s="75">
        <v>42</v>
      </c>
      <c r="L38" s="76" cm="1">
        <f t="array" ref="L38">L35+L37</f>
        <v>179987345.230405</v>
      </c>
      <c r="M38" s="69" cm="1">
        <f t="array" ref="M38">M35+M37</f>
        <v>179834126.9407</v>
      </c>
      <c r="N38" s="69" cm="1">
        <f t="array" ref="N38">N35+N37</f>
        <v>179800391.5307</v>
      </c>
    </row>
    <row r="39" ht="20.5" customHeight="1">
      <c r="A39" s="70"/>
      <c r="B39" s="71"/>
      <c r="C39" s="71"/>
      <c r="D39" s="72"/>
      <c r="E39" s="72"/>
      <c r="F39" s="72"/>
      <c r="G39" s="72"/>
      <c r="H39" s="72"/>
      <c r="I39" s="71"/>
      <c r="J39" s="73"/>
      <c r="K39" t="s" s="75">
        <v>43</v>
      </c>
      <c r="L39" s="68" cm="1">
        <f t="array" ref="L39">ROUNDDOWN(L38,2)</f>
        <v>179987345.23</v>
      </c>
      <c r="M39" s="68" cm="1">
        <f t="array" ref="M39">ROUNDDOWN(M38,2)</f>
        <v>179834126.94</v>
      </c>
      <c r="N39" s="68" cm="1">
        <f t="array" ref="N39">ROUNDDOWN(N38,-3)</f>
        <v>179800000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drawing r:id="rId1"/>
</worksheet>
</file>

<file path=xl/worksheets/sheet95.xml><?xml version="1.0" encoding="utf-8"?>
<worksheet xmlns:r="http://schemas.openxmlformats.org/officeDocument/2006/relationships" xmlns="http://schemas.openxmlformats.org/spreadsheetml/2006/main">
  <sheetPr>
    <pageSetUpPr fitToPage="1"/>
  </sheetPr>
  <dimension ref="A1:N42"/>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285" customWidth="1"/>
    <col min="2" max="2" width="43.0312" style="285" customWidth="1"/>
    <col min="3" max="3" width="2.75" style="285" customWidth="1"/>
    <col min="4" max="6" width="10.3672" style="285" customWidth="1"/>
    <col min="7" max="7" width="11.6875" style="285" customWidth="1"/>
    <col min="8" max="11" width="13.5156" style="285" customWidth="1"/>
    <col min="12" max="14" width="14.2344" style="285" customWidth="1"/>
    <col min="15" max="16384" width="16.3516" style="285"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133</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s="95">
        <v>1</v>
      </c>
      <c r="B4" t="s" s="19">
        <v>134</v>
      </c>
      <c r="C4" s="20"/>
      <c r="D4" s="21">
        <v>1</v>
      </c>
      <c r="E4" s="21" cm="1">
        <f t="array" ref="E4">D4</f>
        <v>1</v>
      </c>
      <c r="F4" s="21" cm="1">
        <f t="array" ref="F4">D4</f>
        <v>1</v>
      </c>
      <c r="G4" t="s" s="22">
        <v>135</v>
      </c>
      <c r="H4" s="21">
        <v>3800000</v>
      </c>
      <c r="I4" s="21">
        <v>3780000</v>
      </c>
      <c r="J4" s="21">
        <v>3780000</v>
      </c>
      <c r="K4" s="21">
        <v>11</v>
      </c>
      <c r="L4" s="21" cm="1">
        <f t="array" ref="L4">IF(D4&gt;0,IF($D4&lt;=0,0,D4*H4),"")</f>
        <v>3800000</v>
      </c>
      <c r="M4" s="21" cm="1">
        <f t="array" ref="M4">IF(E4&gt;0,IF($D4&lt;=0,0,ROUND(E4*I4,2)),"")</f>
        <v>3780000</v>
      </c>
      <c r="N4" s="23" cm="1">
        <f t="array" ref="N4">IF(F4&gt;0,IF($D4&lt;=0,0,ROUND(F4*J4,2)),"")</f>
        <v>3780000</v>
      </c>
    </row>
    <row r="5" ht="20.5" customHeight="1">
      <c r="A5" s="95">
        <v>2</v>
      </c>
      <c r="B5" t="s" s="19">
        <v>423</v>
      </c>
      <c r="C5" s="24"/>
      <c r="D5" s="25">
        <v>1</v>
      </c>
      <c r="E5" s="26" cm="1">
        <f t="array" ref="E5">D5</f>
        <v>1</v>
      </c>
      <c r="F5" s="26" cm="1">
        <f t="array" ref="F5">D5</f>
        <v>1</v>
      </c>
      <c r="G5" t="s" s="27">
        <v>135</v>
      </c>
      <c r="H5" s="26">
        <v>215000</v>
      </c>
      <c r="I5" s="26">
        <v>199000</v>
      </c>
      <c r="J5" s="26">
        <v>199000</v>
      </c>
      <c r="K5" s="26">
        <v>11</v>
      </c>
      <c r="L5" s="26" cm="1">
        <f t="array" ref="L5">IF(D5&gt;0,IF($D5&lt;=0,0,D5*H5),"")</f>
        <v>215000</v>
      </c>
      <c r="M5" s="26" cm="1">
        <f t="array" ref="M5">IF(E5&gt;0,IF($D5&lt;=0,0,ROUND(E5*I5,2)),"")</f>
        <v>199000</v>
      </c>
      <c r="N5" s="28" cm="1">
        <f t="array" ref="N5">IF(F5&gt;0,IF($D5&lt;=0,0,ROUND(F5*J5,2)),"")</f>
        <v>199000</v>
      </c>
    </row>
    <row r="6" ht="20.5" customHeight="1">
      <c r="A6" s="95">
        <v>3</v>
      </c>
      <c r="B6" t="s" s="19">
        <v>371</v>
      </c>
      <c r="C6" s="20"/>
      <c r="D6" s="21">
        <v>1</v>
      </c>
      <c r="E6" s="21" cm="1">
        <f t="array" ref="E6">D6</f>
        <v>1</v>
      </c>
      <c r="F6" s="21" cm="1">
        <f t="array" ref="F6">D6</f>
        <v>1</v>
      </c>
      <c r="G6" t="s" s="22">
        <v>135</v>
      </c>
      <c r="H6" s="21">
        <v>350000</v>
      </c>
      <c r="I6" s="21">
        <v>350000</v>
      </c>
      <c r="J6" s="21">
        <v>350000</v>
      </c>
      <c r="K6" s="21">
        <v>11</v>
      </c>
      <c r="L6" s="21" cm="1">
        <f t="array" ref="L6">IF(D6&gt;0,IF($D6&lt;=0,0,D6*H6),"")</f>
        <v>350000</v>
      </c>
      <c r="M6" s="21" cm="1">
        <f t="array" ref="M6">IF(E6&gt;0,IF($D6&lt;=0,0,ROUND(E6*I6,2)),"")</f>
        <v>350000</v>
      </c>
      <c r="N6" s="23" cm="1">
        <f t="array" ref="N6">IF(F6&gt;0,IF($D6&lt;=0,0,ROUND(F6*J6,2)),"")</f>
        <v>350000</v>
      </c>
    </row>
    <row r="7" ht="20.5" customHeight="1">
      <c r="A7" s="95">
        <v>4</v>
      </c>
      <c r="B7" t="s" s="19">
        <v>424</v>
      </c>
      <c r="C7" s="24"/>
      <c r="D7" s="26">
        <v>7.6</v>
      </c>
      <c r="E7" s="26" cm="1">
        <f t="array" ref="E7">D7</f>
        <v>7.6</v>
      </c>
      <c r="F7" s="26" cm="1">
        <f t="array" ref="F7">D7</f>
        <v>7.6</v>
      </c>
      <c r="G7" t="s" s="27">
        <v>140</v>
      </c>
      <c r="H7" s="26">
        <v>77726</v>
      </c>
      <c r="I7" s="26">
        <v>77579.259999999995</v>
      </c>
      <c r="J7" s="26">
        <v>77579.259999999995</v>
      </c>
      <c r="K7" s="26">
        <v>11</v>
      </c>
      <c r="L7" s="26" cm="1">
        <f t="array" ref="L7">IF(D7&gt;0,IF($D7&lt;=0,0,D7*H7),"")</f>
        <v>590717.6</v>
      </c>
      <c r="M7" s="26" cm="1">
        <f t="array" ref="M7">IF(E7&gt;0,IF($D7&lt;=0,0,ROUND(E7*I7,2)),"")</f>
        <v>589602.38</v>
      </c>
      <c r="N7" s="28" cm="1">
        <f t="array" ref="N7">IF(F7&gt;0,IF($D7&lt;=0,0,ROUND(F7*J7,2)),"")</f>
        <v>589602.38</v>
      </c>
    </row>
    <row r="8" ht="20.5" customHeight="1">
      <c r="A8" s="286"/>
      <c r="B8" t="s" s="19">
        <v>425</v>
      </c>
      <c r="C8" s="20"/>
      <c r="D8" s="21"/>
      <c r="E8" s="21"/>
      <c r="F8" s="21"/>
      <c r="G8" s="263"/>
      <c r="H8" s="21"/>
      <c r="I8" s="263"/>
      <c r="J8" s="263"/>
      <c r="K8" s="21"/>
      <c r="L8" t="str" s="79" cm="1">
        <f t="array" ref="L8">IF(D8&gt;0,IF($D8&lt;=0,0,D8*H8),"")</f>
      </c>
      <c r="M8" t="str" s="79" cm="1">
        <f t="array" ref="M8">IF(E8&gt;0,IF($D8&lt;=0,0,ROUND(E8*I8,2)),"")</f>
      </c>
      <c r="N8" t="str" s="91" cm="1">
        <f t="array" ref="N8">IF(F8&gt;0,IF($D8&lt;=0,0,ROUND(F8*J8,2)),"")</f>
      </c>
    </row>
    <row r="9" ht="20.5" customHeight="1">
      <c r="A9" s="95">
        <v>1</v>
      </c>
      <c r="B9" t="s" s="19">
        <v>426</v>
      </c>
      <c r="C9" s="24"/>
      <c r="D9" s="26">
        <v>155.15</v>
      </c>
      <c r="E9" s="26" cm="1">
        <f t="array" ref="E9">D9</f>
        <v>155.15</v>
      </c>
      <c r="F9" s="26" cm="1">
        <f t="array" ref="F9">D9</f>
        <v>155.15</v>
      </c>
      <c r="G9" t="s" s="27">
        <v>140</v>
      </c>
      <c r="H9" s="26">
        <v>6129.01</v>
      </c>
      <c r="I9" s="26">
        <v>6128.43</v>
      </c>
      <c r="J9" s="26">
        <v>6128.43</v>
      </c>
      <c r="K9" s="26">
        <v>11</v>
      </c>
      <c r="L9" s="26" cm="1">
        <f t="array" ref="L9">IF(D9&gt;0,IF($D9&lt;=0,0,D9*H9),"")</f>
        <v>950915.9015</v>
      </c>
      <c r="M9" s="26" cm="1">
        <f t="array" ref="M9">IF(E9&gt;0,IF($D9&lt;=0,0,ROUND(E9*I9,2)),"")</f>
        <v>950825.91</v>
      </c>
      <c r="N9" s="28" cm="1">
        <f t="array" ref="N9">IF(F9&gt;0,IF($D9&lt;=0,0,ROUND(F9*J9,2)),"")</f>
        <v>950825.91</v>
      </c>
    </row>
    <row r="10" ht="20.5" customHeight="1">
      <c r="A10" s="95">
        <v>2</v>
      </c>
      <c r="B10" t="s" s="19">
        <v>427</v>
      </c>
      <c r="C10" s="20"/>
      <c r="D10" s="78">
        <v>155.15</v>
      </c>
      <c r="E10" s="21" cm="1">
        <f t="array" ref="E10">D10</f>
        <v>155.15</v>
      </c>
      <c r="F10" s="21" cm="1">
        <f t="array" ref="F10">D10</f>
        <v>155.15</v>
      </c>
      <c r="G10" t="s" s="22">
        <v>140</v>
      </c>
      <c r="H10" s="21">
        <v>46366.21</v>
      </c>
      <c r="I10" s="21">
        <v>46366.21</v>
      </c>
      <c r="J10" s="21">
        <v>46366.21</v>
      </c>
      <c r="K10" s="21">
        <v>11</v>
      </c>
      <c r="L10" s="21" cm="1">
        <f t="array" ref="L10">IF(D10&gt;0,IF($D10&lt;=0,0,D10*H10),"")</f>
        <v>7193717.4815</v>
      </c>
      <c r="M10" s="21" cm="1">
        <f t="array" ref="M10">IF(E10&gt;0,IF($D10&lt;=0,0,ROUND(E10*I10,2)),"")</f>
        <v>7193717.48</v>
      </c>
      <c r="N10" s="23" cm="1">
        <f t="array" ref="N10">IF(F10&gt;0,IF($D10&lt;=0,0,ROUND(F10*J10,2)),"")</f>
        <v>7193717.48</v>
      </c>
    </row>
    <row r="11" ht="20.5" customHeight="1">
      <c r="A11" s="95">
        <v>3</v>
      </c>
      <c r="B11" t="s" s="19">
        <v>428</v>
      </c>
      <c r="C11" s="24"/>
      <c r="D11" s="26">
        <v>45.63</v>
      </c>
      <c r="E11" s="26" cm="1">
        <f t="array" ref="E11">D11</f>
        <v>45.63</v>
      </c>
      <c r="F11" s="26" cm="1">
        <f t="array" ref="F11">D11</f>
        <v>45.63</v>
      </c>
      <c r="G11" t="s" s="27">
        <v>140</v>
      </c>
      <c r="H11" s="26">
        <v>263580</v>
      </c>
      <c r="I11" s="26">
        <v>263511</v>
      </c>
      <c r="J11" s="26">
        <v>263511</v>
      </c>
      <c r="K11" s="26">
        <v>11</v>
      </c>
      <c r="L11" s="26" cm="1">
        <f t="array" ref="L11">IF(D11&gt;0,IF($D11&lt;=0,0,D11*H11),"")</f>
        <v>12027155.4</v>
      </c>
      <c r="M11" s="26" cm="1">
        <f t="array" ref="M11">IF(E11&gt;0,IF($D11&lt;=0,0,ROUND(E11*I11,2)),"")</f>
        <v>12024006.93</v>
      </c>
      <c r="N11" s="28" cm="1">
        <f t="array" ref="N11">IF(F11&gt;0,IF($D11&lt;=0,0,ROUND(F11*J11,2)),"")</f>
        <v>12024006.93</v>
      </c>
    </row>
    <row r="12" ht="20.5" customHeight="1">
      <c r="A12" s="286"/>
      <c r="B12" t="s" s="19">
        <v>136</v>
      </c>
      <c r="C12" s="20"/>
      <c r="D12" s="21"/>
      <c r="E12" s="21"/>
      <c r="F12" s="21"/>
      <c r="G12" s="263"/>
      <c r="H12" s="21"/>
      <c r="I12" s="263"/>
      <c r="J12" s="263"/>
      <c r="K12" s="21"/>
      <c r="L12" t="str" s="79" cm="1">
        <f t="array" ref="L12">IF(D12&gt;0,IF($D12&lt;=0,0,D12*H12),"")</f>
      </c>
      <c r="M12" t="str" s="79" cm="1">
        <f t="array" ref="M12">IF(E12&gt;0,IF($D12&lt;=0,0,ROUND(E12*I12,2)),"")</f>
      </c>
      <c r="N12" t="str" s="91" cm="1">
        <f t="array" ref="N12">IF(F12&gt;0,IF($D12&lt;=0,0,ROUND(F12*J12,2)),"")</f>
      </c>
    </row>
    <row r="13" ht="20.5" customHeight="1">
      <c r="A13" s="95">
        <v>1</v>
      </c>
      <c r="B13" t="s" s="19">
        <v>429</v>
      </c>
      <c r="C13" s="24"/>
      <c r="D13" s="26">
        <v>2.66</v>
      </c>
      <c r="E13" s="26" cm="1">
        <f t="array" ref="E13">D13</f>
        <v>2.66</v>
      </c>
      <c r="F13" s="26" cm="1">
        <f t="array" ref="F13">D13</f>
        <v>2.66</v>
      </c>
      <c r="G13" t="s" s="27">
        <v>140</v>
      </c>
      <c r="H13" s="26">
        <v>193567</v>
      </c>
      <c r="I13" s="26">
        <v>193452.6</v>
      </c>
      <c r="J13" s="26">
        <v>193452.6</v>
      </c>
      <c r="K13" s="26">
        <v>11</v>
      </c>
      <c r="L13" s="26" cm="1">
        <f t="array" ref="L13">IF(D13&gt;0,IF($D13&lt;=0,0,D13*H13),"")</f>
        <v>514888.22</v>
      </c>
      <c r="M13" s="26" cm="1">
        <f t="array" ref="M13">IF(E13&gt;0,IF($D13&lt;=0,0,ROUND(E13*I13,2)),"")</f>
        <v>514583.92</v>
      </c>
      <c r="N13" s="28" cm="1">
        <f t="array" ref="N13">IF(F13&gt;0,IF($D13&lt;=0,0,ROUND(F13*J13,2)),"")</f>
        <v>514583.92</v>
      </c>
    </row>
    <row r="14" ht="20.5" customHeight="1">
      <c r="A14" s="95">
        <v>2</v>
      </c>
      <c r="B14" t="s" s="19">
        <v>430</v>
      </c>
      <c r="C14" s="20"/>
      <c r="D14" s="78">
        <v>73.01000000000001</v>
      </c>
      <c r="E14" s="21" cm="1">
        <f t="array" ref="E14">D14</f>
        <v>73.01000000000001</v>
      </c>
      <c r="F14" s="21" cm="1">
        <f t="array" ref="F14">D14</f>
        <v>73.01000000000001</v>
      </c>
      <c r="G14" t="s" s="22">
        <v>140</v>
      </c>
      <c r="H14" s="21">
        <v>1301782.81</v>
      </c>
      <c r="I14" s="21">
        <v>1301403.31</v>
      </c>
      <c r="J14" s="21">
        <v>1301403.31</v>
      </c>
      <c r="K14" s="21">
        <v>11</v>
      </c>
      <c r="L14" s="21" cm="1">
        <f t="array" ref="L14">IF(D14&gt;0,IF($D14&lt;=0,0,D14*H14),"")</f>
        <v>95043162.95810001</v>
      </c>
      <c r="M14" s="21" cm="1">
        <f t="array" ref="M14">IF(E14&gt;0,IF($D14&lt;=0,0,ROUND(E14*I14,2)),"")</f>
        <v>95015455.66</v>
      </c>
      <c r="N14" s="23" cm="1">
        <f t="array" ref="N14">IF(F14&gt;0,IF($D14&lt;=0,0,ROUND(F14*J14,2)),"")</f>
        <v>95015455.66</v>
      </c>
    </row>
    <row r="15" ht="20.5" customHeight="1">
      <c r="A15" s="286"/>
      <c r="B15" t="s" s="19">
        <v>431</v>
      </c>
      <c r="C15" s="24"/>
      <c r="D15" s="26"/>
      <c r="E15" s="26"/>
      <c r="F15" s="26"/>
      <c r="G15" s="264"/>
      <c r="H15" s="26"/>
      <c r="I15" s="264"/>
      <c r="J15" s="264"/>
      <c r="K15" s="26"/>
      <c r="L15" t="str" s="30" cm="1">
        <f t="array" ref="L15">IF(D15&gt;0,IF($D15&lt;=0,0,D15*H15),"")</f>
      </c>
      <c r="M15" t="str" s="30" cm="1">
        <f t="array" ref="M15">IF(E15&gt;0,IF($D15&lt;=0,0,ROUND(E15*I15,2)),"")</f>
      </c>
      <c r="N15" t="str" s="31" cm="1">
        <f t="array" ref="N15">IF(F15&gt;0,IF($D15&lt;=0,0,ROUND(F15*J15,2)),"")</f>
      </c>
    </row>
    <row r="16" ht="20.5" customHeight="1">
      <c r="A16" s="95">
        <v>1</v>
      </c>
      <c r="B16" t="s" s="19">
        <v>432</v>
      </c>
      <c r="C16" s="20"/>
      <c r="D16" s="21">
        <v>6</v>
      </c>
      <c r="E16" s="21" cm="1">
        <f t="array" ref="E16">D16</f>
        <v>6</v>
      </c>
      <c r="F16" s="21" cm="1">
        <f t="array" ref="F16">D16</f>
        <v>6</v>
      </c>
      <c r="G16" t="s" s="22">
        <v>433</v>
      </c>
      <c r="H16" s="21">
        <v>385725.33</v>
      </c>
      <c r="I16" s="21">
        <v>385622.29</v>
      </c>
      <c r="J16" s="21">
        <v>385622.29</v>
      </c>
      <c r="K16" s="21">
        <v>11</v>
      </c>
      <c r="L16" s="21" cm="1">
        <f t="array" ref="L16">IF(D16&gt;0,IF($D16&lt;=0,0,D16*H16),"")</f>
        <v>2314351.98</v>
      </c>
      <c r="M16" s="21" cm="1">
        <f t="array" ref="M16">IF(E16&gt;0,IF($D16&lt;=0,0,ROUND(E16*I16,2)),"")</f>
        <v>2313733.74</v>
      </c>
      <c r="N16" s="23" cm="1">
        <f t="array" ref="N16">IF(F16&gt;0,IF($D16&lt;=0,0,ROUND(F16*J16,2)),"")</f>
        <v>2313733.74</v>
      </c>
    </row>
    <row r="17" ht="20.5" customHeight="1">
      <c r="A17" s="95">
        <v>2</v>
      </c>
      <c r="B17" t="s" s="19">
        <v>434</v>
      </c>
      <c r="C17" s="24"/>
      <c r="D17" s="25">
        <v>6</v>
      </c>
      <c r="E17" s="26" cm="1">
        <f t="array" ref="E17">D17</f>
        <v>6</v>
      </c>
      <c r="F17" s="26" cm="1">
        <f t="array" ref="F17">D17</f>
        <v>6</v>
      </c>
      <c r="G17" t="s" s="27">
        <v>433</v>
      </c>
      <c r="H17" s="26">
        <v>598475.33</v>
      </c>
      <c r="I17" s="26">
        <v>598358.95</v>
      </c>
      <c r="J17" s="26">
        <v>598358.95</v>
      </c>
      <c r="K17" s="26">
        <v>11</v>
      </c>
      <c r="L17" s="26" cm="1">
        <f t="array" ref="L17">IF(D17&gt;0,IF($D17&lt;=0,0,D17*H17),"")</f>
        <v>3590851.98</v>
      </c>
      <c r="M17" s="26" cm="1">
        <f t="array" ref="M17">IF(E17&gt;0,IF($D17&lt;=0,0,ROUND(E17*I17,2)),"")</f>
        <v>3590153.7</v>
      </c>
      <c r="N17" s="28" cm="1">
        <f t="array" ref="N17">IF(F17&gt;0,IF($D17&lt;=0,0,ROUND(F17*J17,2)),"")</f>
        <v>3590153.7</v>
      </c>
    </row>
    <row r="18" ht="20.5" customHeight="1">
      <c r="A18" s="95">
        <v>3</v>
      </c>
      <c r="B18" t="s" s="19">
        <v>435</v>
      </c>
      <c r="C18" s="20"/>
      <c r="D18" s="21">
        <v>6</v>
      </c>
      <c r="E18" s="21" cm="1">
        <f t="array" ref="E18">D18</f>
        <v>6</v>
      </c>
      <c r="F18" s="21" cm="1">
        <f t="array" ref="F18">D18</f>
        <v>6</v>
      </c>
      <c r="G18" t="s" s="22">
        <v>433</v>
      </c>
      <c r="H18" s="21">
        <v>1307504</v>
      </c>
      <c r="I18" s="21">
        <v>1307320.92</v>
      </c>
      <c r="J18" s="21">
        <v>1307320.92</v>
      </c>
      <c r="K18" s="21">
        <v>11</v>
      </c>
      <c r="L18" s="21" cm="1">
        <f t="array" ref="L18">IF(D18&gt;0,IF($D18&lt;=0,0,D18*H18),"")</f>
        <v>7845024</v>
      </c>
      <c r="M18" s="21" cm="1">
        <f t="array" ref="M18">IF(E18&gt;0,IF($D18&lt;=0,0,ROUND(E18*I18,2)),"")</f>
        <v>7843925.52</v>
      </c>
      <c r="N18" s="23" cm="1">
        <f t="array" ref="N18">IF(F18&gt;0,IF($D18&lt;=0,0,ROUND(F18*J18,2)),"")</f>
        <v>7843925.52</v>
      </c>
    </row>
    <row r="19" ht="20.5" customHeight="1">
      <c r="A19" s="95">
        <v>4</v>
      </c>
      <c r="B19" t="s" s="19">
        <v>436</v>
      </c>
      <c r="C19" s="24"/>
      <c r="D19" s="26">
        <v>8</v>
      </c>
      <c r="E19" s="26" cm="1">
        <f t="array" ref="E19">D19</f>
        <v>8</v>
      </c>
      <c r="F19" s="26" cm="1">
        <f t="array" ref="F19">D19</f>
        <v>8</v>
      </c>
      <c r="G19" t="s" s="27">
        <v>344</v>
      </c>
      <c r="H19" s="26">
        <v>50000</v>
      </c>
      <c r="I19" s="26">
        <v>49000</v>
      </c>
      <c r="J19" s="26">
        <v>49000</v>
      </c>
      <c r="K19" s="26">
        <v>11</v>
      </c>
      <c r="L19" s="26" cm="1">
        <f t="array" ref="L19">IF(D19&gt;0,IF($D19&lt;=0,0,D19*H19),"")</f>
        <v>400000</v>
      </c>
      <c r="M19" s="26" cm="1">
        <f t="array" ref="M19">IF(E19&gt;0,IF($D19&lt;=0,0,ROUND(E19*I19,2)),"")</f>
        <v>392000</v>
      </c>
      <c r="N19" s="28" cm="1">
        <f t="array" ref="N19">IF(F19&gt;0,IF($D19&lt;=0,0,ROUND(F19*J19,2)),"")</f>
        <v>392000</v>
      </c>
    </row>
    <row r="20" ht="20.5" customHeight="1">
      <c r="A20" s="29"/>
      <c r="B20" t="s" s="19">
        <v>36</v>
      </c>
      <c r="C20" s="20"/>
      <c r="D20" s="21"/>
      <c r="E20" s="21"/>
      <c r="F20" s="21"/>
      <c r="G20" s="79"/>
      <c r="H20" s="79"/>
      <c r="I20" s="79"/>
      <c r="J20" s="79"/>
      <c r="K20" s="21"/>
      <c r="L20" t="str" s="79" cm="1">
        <f t="array" ref="L20">IF(D20&gt;0,IF($D20&lt;=0,0,D20*H20),"")</f>
      </c>
      <c r="M20" s="21"/>
      <c r="N20" s="23"/>
    </row>
    <row r="21" ht="20.6" customHeight="1">
      <c r="A21" s="33">
        <v>1</v>
      </c>
      <c r="B21" t="s" s="34">
        <v>37</v>
      </c>
      <c r="C21" s="80"/>
      <c r="D21" s="81">
        <v>1</v>
      </c>
      <c r="E21" s="81" cm="1">
        <f t="array" ref="E21">D21</f>
        <v>1</v>
      </c>
      <c r="F21" s="81" cm="1">
        <f t="array" ref="F21">D21</f>
        <v>1</v>
      </c>
      <c r="G21" t="s" s="82">
        <v>19</v>
      </c>
      <c r="H21" s="81">
        <v>306187.99</v>
      </c>
      <c r="I21" s="81">
        <v>334209.46</v>
      </c>
      <c r="J21" s="81">
        <v>306038.31</v>
      </c>
      <c r="K21" s="81">
        <v>0</v>
      </c>
      <c r="L21" s="81" cm="1">
        <f t="array" ref="L21">IF(D21&gt;0,IF($D21&lt;=0,0,D21*H21),"")</f>
        <v>306187.99</v>
      </c>
      <c r="M21" s="81" cm="1">
        <f t="array" ref="M21">IF(E21&gt;0,IF($D21&lt;=0,0,ROUND(E21*I21,2)),"")</f>
        <v>334209.46</v>
      </c>
      <c r="N21" s="83" cm="1">
        <f t="array" ref="N21">IF(F21&gt;0,IF($D21&lt;=0,0,ROUND(F21*J21,2)),"")</f>
        <v>306038.31</v>
      </c>
    </row>
    <row r="22" ht="8.75" customHeight="1" hidden="1">
      <c r="A22" s="39"/>
      <c r="B22" s="40"/>
      <c r="C22" s="45"/>
      <c r="D22" s="46"/>
      <c r="E22" s="46"/>
      <c r="F22" s="46"/>
      <c r="G22" s="47"/>
      <c r="H22" s="46"/>
      <c r="I22" s="46"/>
      <c r="J22" s="46"/>
      <c r="K22" s="46"/>
      <c r="L22" s="46"/>
      <c r="M22" s="46"/>
      <c r="N22" s="48"/>
    </row>
    <row r="23" ht="8.75" customHeight="1" hidden="1">
      <c r="A23" s="39"/>
      <c r="B23" s="40"/>
      <c r="C23" s="41"/>
      <c r="D23" s="42"/>
      <c r="E23" s="42"/>
      <c r="F23" s="42"/>
      <c r="G23" s="43"/>
      <c r="H23" s="42"/>
      <c r="I23" s="42"/>
      <c r="J23" s="42"/>
      <c r="K23" s="42"/>
      <c r="L23" s="42"/>
      <c r="M23" s="42"/>
      <c r="N23" s="44"/>
    </row>
    <row r="24" ht="8.75" customHeight="1" hidden="1">
      <c r="A24" s="39"/>
      <c r="B24" s="40"/>
      <c r="C24" s="45"/>
      <c r="D24" s="46"/>
      <c r="E24" s="46"/>
      <c r="F24" s="46"/>
      <c r="G24" s="47"/>
      <c r="H24" s="46"/>
      <c r="I24" s="46"/>
      <c r="J24" s="46"/>
      <c r="K24" s="46"/>
      <c r="L24" s="46"/>
      <c r="M24" s="46"/>
      <c r="N24" s="48"/>
    </row>
    <row r="25" ht="8.75" customHeight="1" hidden="1">
      <c r="A25" s="39"/>
      <c r="B25" s="40"/>
      <c r="C25" s="41"/>
      <c r="D25" s="42"/>
      <c r="E25" s="42"/>
      <c r="F25" s="42"/>
      <c r="G25" s="43"/>
      <c r="H25" s="42"/>
      <c r="I25" s="42"/>
      <c r="J25" s="42"/>
      <c r="K25" s="42"/>
      <c r="L25" s="42"/>
      <c r="M25" s="42"/>
      <c r="N25" s="44"/>
    </row>
    <row r="26" ht="8.75" customHeight="1" hidden="1">
      <c r="A26" s="39"/>
      <c r="B26" s="40"/>
      <c r="C26" s="45"/>
      <c r="D26" s="46"/>
      <c r="E26" s="46"/>
      <c r="F26" s="46"/>
      <c r="G26" s="47"/>
      <c r="H26" s="46"/>
      <c r="I26" s="46"/>
      <c r="J26" s="46"/>
      <c r="K26" s="46"/>
      <c r="L26" s="46"/>
      <c r="M26" s="46"/>
      <c r="N26" s="48"/>
    </row>
    <row r="27" ht="8.75" customHeight="1" hidden="1">
      <c r="A27" s="39"/>
      <c r="B27" s="40"/>
      <c r="C27" s="41"/>
      <c r="D27" s="42"/>
      <c r="E27" s="42"/>
      <c r="F27" s="42"/>
      <c r="G27" s="43"/>
      <c r="H27" s="42"/>
      <c r="I27" s="42"/>
      <c r="J27" s="42"/>
      <c r="K27" s="42"/>
      <c r="L27" s="42"/>
      <c r="M27" s="42"/>
      <c r="N27" s="44"/>
    </row>
    <row r="28" ht="8.75" customHeight="1" hidden="1">
      <c r="A28" s="39"/>
      <c r="B28" s="40"/>
      <c r="C28" s="45"/>
      <c r="D28" s="46"/>
      <c r="E28" s="46"/>
      <c r="F28" s="46"/>
      <c r="G28" s="47"/>
      <c r="H28" s="47"/>
      <c r="I28" s="47"/>
      <c r="J28" s="47"/>
      <c r="K28" s="46"/>
      <c r="L28" s="47"/>
      <c r="M28" s="47"/>
      <c r="N28" s="52"/>
    </row>
    <row r="29" ht="8.75" customHeight="1" hidden="1">
      <c r="A29" s="39"/>
      <c r="B29" s="40"/>
      <c r="C29" s="41"/>
      <c r="D29" s="42"/>
      <c r="E29" s="42"/>
      <c r="F29" s="42"/>
      <c r="G29" s="43"/>
      <c r="H29" s="84"/>
      <c r="I29" s="84"/>
      <c r="J29" s="84"/>
      <c r="K29" s="42"/>
      <c r="L29" s="42"/>
      <c r="M29" s="42"/>
      <c r="N29" s="44"/>
    </row>
    <row r="30" ht="8.75" customHeight="1" hidden="1">
      <c r="A30" s="39"/>
      <c r="B30" s="40"/>
      <c r="C30" s="45"/>
      <c r="D30" s="46"/>
      <c r="E30" s="46"/>
      <c r="F30" s="46"/>
      <c r="G30" s="47"/>
      <c r="H30" s="47"/>
      <c r="I30" s="47"/>
      <c r="J30" s="47"/>
      <c r="K30" s="46"/>
      <c r="L30" s="47"/>
      <c r="M30" s="47"/>
      <c r="N30" s="52"/>
    </row>
    <row r="31" ht="8.75" customHeight="1" hidden="1">
      <c r="A31" s="39"/>
      <c r="B31" s="40"/>
      <c r="C31" s="41"/>
      <c r="D31" s="42"/>
      <c r="E31" s="42"/>
      <c r="F31" s="42"/>
      <c r="G31" s="43"/>
      <c r="H31" s="42"/>
      <c r="I31" s="42"/>
      <c r="J31" s="42"/>
      <c r="K31" s="42"/>
      <c r="L31" s="42"/>
      <c r="M31" s="42"/>
      <c r="N31" s="44"/>
    </row>
    <row r="32" ht="8.75" customHeight="1" hidden="1">
      <c r="A32" s="39"/>
      <c r="B32" s="40"/>
      <c r="C32" s="45"/>
      <c r="D32" s="46"/>
      <c r="E32" s="46"/>
      <c r="F32" s="46"/>
      <c r="G32" s="47"/>
      <c r="H32" s="46"/>
      <c r="I32" s="46"/>
      <c r="J32" s="46"/>
      <c r="K32" s="46"/>
      <c r="L32" s="46"/>
      <c r="M32" s="46"/>
      <c r="N32" s="48"/>
    </row>
    <row r="33" ht="8.75" customHeight="1" hidden="1">
      <c r="A33" s="51"/>
      <c r="B33" s="40"/>
      <c r="C33" s="41"/>
      <c r="D33" s="42"/>
      <c r="E33" s="42"/>
      <c r="F33" s="42"/>
      <c r="G33" s="43"/>
      <c r="H33" s="42"/>
      <c r="I33" s="42"/>
      <c r="J33" s="42"/>
      <c r="K33" s="42"/>
      <c r="L33" s="42"/>
      <c r="M33" s="42"/>
      <c r="N33" s="44"/>
    </row>
    <row r="34" ht="8.75" customHeight="1" hidden="1">
      <c r="A34" s="51"/>
      <c r="B34" s="40"/>
      <c r="C34" s="45"/>
      <c r="D34" s="46"/>
      <c r="E34" s="46"/>
      <c r="F34" s="46"/>
      <c r="G34" s="47"/>
      <c r="H34" s="46"/>
      <c r="I34" s="46"/>
      <c r="J34" s="46"/>
      <c r="K34" s="46"/>
      <c r="L34" s="46"/>
      <c r="M34" s="46"/>
      <c r="N34" s="48"/>
    </row>
    <row r="35" ht="8.75" customHeight="1" hidden="1">
      <c r="A35" s="39"/>
      <c r="B35" s="40"/>
      <c r="C35" s="41"/>
      <c r="D35" s="42"/>
      <c r="E35" s="42"/>
      <c r="F35" s="42"/>
      <c r="G35" s="43"/>
      <c r="H35" s="42"/>
      <c r="I35" s="42"/>
      <c r="J35" s="42"/>
      <c r="K35" s="42"/>
      <c r="L35" s="43"/>
      <c r="M35" s="43"/>
      <c r="N35" s="49"/>
    </row>
    <row r="36" ht="8.75" customHeight="1" hidden="1">
      <c r="A36" s="39"/>
      <c r="B36" s="40"/>
      <c r="C36" s="45"/>
      <c r="D36" s="46"/>
      <c r="E36" s="46"/>
      <c r="F36" s="46"/>
      <c r="G36" s="47"/>
      <c r="H36" s="46"/>
      <c r="I36" s="46"/>
      <c r="J36" s="46"/>
      <c r="K36" s="46"/>
      <c r="L36" s="46"/>
      <c r="M36" s="46"/>
      <c r="N36" s="48"/>
    </row>
    <row r="37" ht="8.75" customHeight="1" hidden="1">
      <c r="A37" s="39"/>
      <c r="B37" s="40"/>
      <c r="C37" s="41"/>
      <c r="D37" s="42"/>
      <c r="E37" s="42"/>
      <c r="F37" s="42"/>
      <c r="G37" s="43"/>
      <c r="H37" s="42"/>
      <c r="I37" s="42"/>
      <c r="J37" s="42"/>
      <c r="K37" s="42"/>
      <c r="L37" s="43"/>
      <c r="M37" s="43"/>
      <c r="N37" s="49"/>
    </row>
    <row r="38" ht="20.85" customHeight="1">
      <c r="A38" s="53"/>
      <c r="B38" s="54"/>
      <c r="C38" s="54"/>
      <c r="D38" s="55"/>
      <c r="E38" s="55"/>
      <c r="F38" s="55"/>
      <c r="G38" s="56"/>
      <c r="H38" s="56"/>
      <c r="I38" s="54"/>
      <c r="J38" s="57"/>
      <c r="K38" t="s" s="58">
        <v>38</v>
      </c>
      <c r="L38" s="59" cm="1">
        <f t="array" ref="L38">SUM(L1:L37)</f>
        <v>135141973.5111</v>
      </c>
      <c r="M38" s="59" cm="1">
        <f t="array" ref="M38">SUM(M1:M37)</f>
        <v>135091214.7</v>
      </c>
      <c r="N38" s="59" cm="1">
        <f t="array" ref="N38">SUM(N1:N37)</f>
        <v>135063043.55</v>
      </c>
    </row>
    <row r="39" ht="21" customHeight="1">
      <c r="A39" s="60"/>
      <c r="B39" t="s" s="61">
        <v>39</v>
      </c>
      <c r="C39" s="62"/>
      <c r="D39" s="63" cm="1">
        <f t="array" ref="D39">ROUND(IF(L39&lt;=100000000,L39*0.24%,IF(AND(L39&gt;100000000,L39&lt;=500000000),100000000*0.24%+(L39-100000000)*0.19%,IF(AND(L39&gt;500000000,L39&lt;=1000000000),100000000*0.24%+400000000*0.19%+(L39-500000000)*0.15%,IF(AND(L39&gt;1000000000,L39&lt;=5000000000),100000000*0.24%+400000000*0.19%+500000000*0.15%+(L39-1000000000)*0.12%,IF(L39&gt;5000000000,100000000*0.24%+400000000*0.19%+500000000*0.15%+4000000000*0.12%+(L39-5000000000)*0.1%,"Bingung komputer"))))),2)</f>
        <v>306187.99</v>
      </c>
      <c r="E39" s="64" cm="1">
        <f t="array" ref="E39">ROUND(IF(M39&lt;=100000000,M39*0.24%,IF(AND(M39&gt;100000000,M39&lt;=500000000),100000000*0.24%+(M39-100000000)*0.19%,IF(AND(M39&gt;500000000,M39&lt;=1000000000),100000000*0.24%+400000000*0.19%+(M39-500000000)*0.15%,IF(AND(M39&gt;1000000000,M39&lt;=5000000000),100000000*0.24%+400000000*0.19%+500000000*0.15%+(M39-1000000000)*0.12%,IF(M39&gt;5000000000,100000000*0.24%+400000000*0.19%+500000000*0.15%+4000000000*0.12%+(M39-5000000000)*0.1%,"Bingung komputer"))))),2)</f>
        <v>306038.31</v>
      </c>
      <c r="F39" s="64" cm="1">
        <f t="array" ref="F39">ROUND(IF(N39&lt;=100000000,N39*0.24%,IF(AND(N39&gt;100000000,N39&lt;=500000000),100000000*0.24%+(N39-100000000)*0.19%,IF(AND(N39&gt;500000000,N39&lt;=1000000000),100000000*0.24%+400000000*0.19%+(N39-500000000)*0.15%,IF(AND(N39&gt;1000000000,N39&lt;=5000000000),100000000*0.24%+400000000*0.19%+500000000*0.15%+(N39-1000000000)*0.12%,IF(N39&gt;5000000000,100000000*0.24%+400000000*0.19%+500000000*0.15%+4000000000*0.12%+(N39-5000000000)*0.1%,"Bingung komputer"))))),2)</f>
        <v>306038.31</v>
      </c>
      <c r="G39" s="65"/>
      <c r="H39" s="66"/>
      <c r="I39" s="62"/>
      <c r="J39" s="67"/>
      <c r="K39" t="str" s="67" cm="1">
        <f t="array" ref="K39">"Jumlah Terkena Pajak "&amp;MAX(K3:K37)&amp;"% (B)"</f>
        <v>Jumlah Terkena Pajak 11,00% (B)</v>
      </c>
      <c r="L39" s="68" cm="1">
        <f t="array" ref="L39">SUMIF($K3:$K37,"&gt;0",L3:L37)</f>
        <v>134835785.5211</v>
      </c>
      <c r="M39" s="69" cm="1">
        <f t="array" ref="M39">SUMIF($K3:$K37,"&gt;0",M3:M37)</f>
        <v>134757005.24</v>
      </c>
      <c r="N39" s="69" cm="1">
        <f t="array" ref="N39">SUMIF($K3:$K37,"&gt;0",N3:N37)</f>
        <v>134757005.24</v>
      </c>
    </row>
    <row r="40" ht="21" customHeight="1">
      <c r="A40" s="70"/>
      <c r="B40" s="71"/>
      <c r="C40" s="71"/>
      <c r="D40" s="72"/>
      <c r="E40" s="72"/>
      <c r="F40" s="71"/>
      <c r="G40" s="72"/>
      <c r="H40" s="72"/>
      <c r="I40" s="71"/>
      <c r="J40" s="73"/>
      <c r="K40" t="str" s="73" cm="1">
        <f t="array" ref="K40">"PPN (C) = "&amp;MAX(K3:K37)&amp;"% x B"</f>
        <v>PPN (C) = 11,00% x B</v>
      </c>
      <c r="L40" s="74" cm="1">
        <f t="array" ref="L40">L39*MAX($K3:$K37)%</f>
        <v>14831936.407321</v>
      </c>
      <c r="M40" s="69" cm="1">
        <f t="array" ref="M40">M39*MAX($K3:$K37)%</f>
        <v>14823270.5764</v>
      </c>
      <c r="N40" s="69" cm="1">
        <f t="array" ref="N40">N39*MAX($K3:$K37)%</f>
        <v>14823270.5764</v>
      </c>
    </row>
    <row r="41" ht="21" customHeight="1">
      <c r="A41" s="70"/>
      <c r="B41" s="71"/>
      <c r="C41" s="71"/>
      <c r="D41" s="72"/>
      <c r="E41" s="72"/>
      <c r="F41" s="72"/>
      <c r="G41" s="72"/>
      <c r="H41" s="72"/>
      <c r="I41" s="71"/>
      <c r="J41" s="73"/>
      <c r="K41" t="s" s="75">
        <v>42</v>
      </c>
      <c r="L41" s="76" cm="1">
        <f t="array" ref="L41">L38+L40</f>
        <v>149973909.918421</v>
      </c>
      <c r="M41" s="69" cm="1">
        <f t="array" ref="M41">M38+M40</f>
        <v>149914485.2764</v>
      </c>
      <c r="N41" s="69" cm="1">
        <f t="array" ref="N41">N38+N40</f>
        <v>149886314.1264</v>
      </c>
    </row>
    <row r="42" ht="20.5" customHeight="1">
      <c r="A42" s="70"/>
      <c r="B42" s="71"/>
      <c r="C42" s="71"/>
      <c r="D42" s="72"/>
      <c r="E42" s="72"/>
      <c r="F42" s="72"/>
      <c r="G42" s="72"/>
      <c r="H42" s="72" cm="1">
        <f t="array" ref="H42">SUM(#REF!)</f>
      </c>
      <c r="I42" s="71"/>
      <c r="J42" s="73"/>
      <c r="K42" t="s" s="75">
        <v>43</v>
      </c>
      <c r="L42" s="68" cm="1">
        <f t="array" ref="L42">ROUNDDOWN(L41,2)</f>
        <v>149973909.91</v>
      </c>
      <c r="M42" s="68" cm="1">
        <f t="array" ref="M42">ROUNDDOWN(M41,2)</f>
        <v>149914485.27</v>
      </c>
      <c r="N42" s="68" cm="1">
        <f t="array" ref="N42">ROUNDDOWN(N41,-3)</f>
        <v>149886000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96.xml><?xml version="1.0" encoding="utf-8"?>
<worksheet xmlns:r="http://schemas.openxmlformats.org/officeDocument/2006/relationships" xmlns="http://schemas.openxmlformats.org/spreadsheetml/2006/main">
  <sheetPr>
    <pageSetUpPr fitToPage="1"/>
  </sheetPr>
  <dimension ref="A1:N39"/>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287" customWidth="1"/>
    <col min="2" max="2" width="43.0312" style="287" customWidth="1"/>
    <col min="3" max="3" width="2.75" style="287" customWidth="1"/>
    <col min="4" max="6" width="10.3672" style="287" customWidth="1"/>
    <col min="7" max="7" width="11.6875" style="287" customWidth="1"/>
    <col min="8" max="11" width="13.5156" style="287" customWidth="1"/>
    <col min="12" max="14" width="14.2344" style="287" customWidth="1"/>
    <col min="15" max="16384" width="16.3516" style="287"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t="s" s="90">
        <v>51</v>
      </c>
      <c r="B3" t="s" s="12">
        <v>438</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s="95">
        <v>1</v>
      </c>
      <c r="B4" t="s" s="19">
        <v>439</v>
      </c>
      <c r="C4" s="20"/>
      <c r="D4" s="21">
        <v>1</v>
      </c>
      <c r="E4" s="21" cm="1">
        <f t="array" ref="E4">D4</f>
        <v>1</v>
      </c>
      <c r="F4" s="21" cm="1">
        <f t="array" ref="F4">D4</f>
        <v>1</v>
      </c>
      <c r="G4" t="s" s="22">
        <v>135</v>
      </c>
      <c r="H4" s="21">
        <v>2186660</v>
      </c>
      <c r="I4" s="21">
        <v>2186660</v>
      </c>
      <c r="J4" s="21">
        <v>2186660</v>
      </c>
      <c r="K4" s="21">
        <v>11</v>
      </c>
      <c r="L4" s="21" cm="1">
        <f t="array" ref="L4">IF(D4&gt;0,IF($D4&lt;=0,0,D4*H4),"")</f>
        <v>2186660</v>
      </c>
      <c r="M4" s="21" cm="1">
        <f t="array" ref="M4">IF(E4&gt;0,IF($D4&lt;=0,0,ROUND(E4*I4,2)),"")</f>
        <v>2186660</v>
      </c>
      <c r="N4" s="23" cm="1">
        <f t="array" ref="N4">IF(F4&gt;0,IF($D4&lt;=0,0,ROUND(F4*J4,2)),"")</f>
        <v>2186660</v>
      </c>
    </row>
    <row r="5" ht="20.5" customHeight="1">
      <c r="A5" s="95">
        <v>2</v>
      </c>
      <c r="B5" t="s" s="19">
        <v>440</v>
      </c>
      <c r="C5" s="24"/>
      <c r="D5" s="25">
        <v>1</v>
      </c>
      <c r="E5" s="26" cm="1">
        <f t="array" ref="E5">D5</f>
        <v>1</v>
      </c>
      <c r="F5" s="26" cm="1">
        <f t="array" ref="F5">D5</f>
        <v>1</v>
      </c>
      <c r="G5" t="s" s="27">
        <v>135</v>
      </c>
      <c r="H5" s="26">
        <v>680000</v>
      </c>
      <c r="I5" s="26">
        <v>670000</v>
      </c>
      <c r="J5" s="26">
        <v>670000</v>
      </c>
      <c r="K5" s="26">
        <v>11</v>
      </c>
      <c r="L5" s="26" cm="1">
        <f t="array" ref="L5">IF(D5&gt;0,IF($D5&lt;=0,0,D5*H5),"")</f>
        <v>680000</v>
      </c>
      <c r="M5" s="26" cm="1">
        <f t="array" ref="M5">IF(E5&gt;0,IF($D5&lt;=0,0,ROUND(E5*I5,2)),"")</f>
        <v>670000</v>
      </c>
      <c r="N5" s="28" cm="1">
        <f t="array" ref="N5">IF(F5&gt;0,IF($D5&lt;=0,0,ROUND(F5*J5,2)),"")</f>
        <v>670000</v>
      </c>
    </row>
    <row r="6" ht="20.5" customHeight="1">
      <c r="A6" s="95">
        <v>3</v>
      </c>
      <c r="B6" t="s" s="19">
        <v>441</v>
      </c>
      <c r="C6" s="20"/>
      <c r="D6" s="21">
        <v>4</v>
      </c>
      <c r="E6" s="21" cm="1">
        <f t="array" ref="E6">D6</f>
        <v>4</v>
      </c>
      <c r="F6" s="21" cm="1">
        <f t="array" ref="F6">D6</f>
        <v>4</v>
      </c>
      <c r="G6" t="s" s="22">
        <v>79</v>
      </c>
      <c r="H6" s="21">
        <v>1100000</v>
      </c>
      <c r="I6" s="21">
        <v>1100000</v>
      </c>
      <c r="J6" s="21">
        <v>1100000</v>
      </c>
      <c r="K6" s="21">
        <v>11</v>
      </c>
      <c r="L6" s="21" cm="1">
        <f t="array" ref="L6">IF(D6&gt;0,IF($D6&lt;=0,0,D6*H6),"")</f>
        <v>4400000</v>
      </c>
      <c r="M6" s="21" cm="1">
        <f t="array" ref="M6">IF(E6&gt;0,IF($D6&lt;=0,0,ROUND(E6*I6,2)),"")</f>
        <v>4400000</v>
      </c>
      <c r="N6" s="23" cm="1">
        <f t="array" ref="N6">IF(F6&gt;0,IF($D6&lt;=0,0,ROUND(F6*J6,2)),"")</f>
        <v>4400000</v>
      </c>
    </row>
    <row r="7" ht="20.5" customHeight="1">
      <c r="A7" s="95">
        <v>4</v>
      </c>
      <c r="B7" t="s" s="19">
        <v>442</v>
      </c>
      <c r="C7" s="24"/>
      <c r="D7" s="26">
        <v>6</v>
      </c>
      <c r="E7" s="26" cm="1">
        <f t="array" ref="E7">D7</f>
        <v>6</v>
      </c>
      <c r="F7" s="26" cm="1">
        <f t="array" ref="F7">D7</f>
        <v>6</v>
      </c>
      <c r="G7" t="s" s="27">
        <v>79</v>
      </c>
      <c r="H7" s="26">
        <v>750000</v>
      </c>
      <c r="I7" s="26">
        <v>750000</v>
      </c>
      <c r="J7" s="26">
        <v>750000</v>
      </c>
      <c r="K7" s="26">
        <v>11</v>
      </c>
      <c r="L7" s="26" cm="1">
        <f t="array" ref="L7">IF(D7&gt;0,IF($D7&lt;=0,0,D7*H7),"")</f>
        <v>4500000</v>
      </c>
      <c r="M7" s="26" cm="1">
        <f t="array" ref="M7">IF(E7&gt;0,IF($D7&lt;=0,0,ROUND(E7*I7,2)),"")</f>
        <v>4500000</v>
      </c>
      <c r="N7" s="28" cm="1">
        <f t="array" ref="N7">IF(F7&gt;0,IF($D7&lt;=0,0,ROUND(F7*J7,2)),"")</f>
        <v>4500000</v>
      </c>
    </row>
    <row r="8" ht="20.5" customHeight="1">
      <c r="A8" s="95">
        <v>5</v>
      </c>
      <c r="B8" t="s" s="19">
        <v>443</v>
      </c>
      <c r="C8" s="20"/>
      <c r="D8" s="21">
        <v>32</v>
      </c>
      <c r="E8" s="21" cm="1">
        <f t="array" ref="E8">D8</f>
        <v>32</v>
      </c>
      <c r="F8" s="21" cm="1">
        <f t="array" ref="F8">D8</f>
        <v>32</v>
      </c>
      <c r="G8" t="s" s="22">
        <v>79</v>
      </c>
      <c r="H8" s="21">
        <v>1100000</v>
      </c>
      <c r="I8" s="21">
        <v>1100000</v>
      </c>
      <c r="J8" s="21">
        <v>1100000</v>
      </c>
      <c r="K8" s="21">
        <v>11</v>
      </c>
      <c r="L8" s="21" cm="1">
        <f t="array" ref="L8">IF(D8&gt;0,IF($D8&lt;=0,0,D8*H8),"")</f>
        <v>35200000</v>
      </c>
      <c r="M8" s="21" cm="1">
        <f t="array" ref="M8">IF(E8&gt;0,IF($D8&lt;=0,0,ROUND(E8*I8,2)),"")</f>
        <v>35200000</v>
      </c>
      <c r="N8" s="23" cm="1">
        <f t="array" ref="N8">IF(F8&gt;0,IF($D8&lt;=0,0,ROUND(F8*J8,2)),"")</f>
        <v>35200000</v>
      </c>
    </row>
    <row r="9" ht="20.5" customHeight="1">
      <c r="A9" s="95">
        <v>6</v>
      </c>
      <c r="B9" t="s" s="19">
        <v>444</v>
      </c>
      <c r="C9" s="24"/>
      <c r="D9" s="26">
        <v>4</v>
      </c>
      <c r="E9" s="26" cm="1">
        <f t="array" ref="E9">D9</f>
        <v>4</v>
      </c>
      <c r="F9" s="26" cm="1">
        <f t="array" ref="F9">D9</f>
        <v>4</v>
      </c>
      <c r="G9" t="s" s="27">
        <v>79</v>
      </c>
      <c r="H9" s="26">
        <v>1500000</v>
      </c>
      <c r="I9" s="26">
        <v>1500000</v>
      </c>
      <c r="J9" s="26">
        <v>1500000</v>
      </c>
      <c r="K9" s="26">
        <v>11</v>
      </c>
      <c r="L9" s="26" cm="1">
        <f t="array" ref="L9">IF(D9&gt;0,IF($D9&lt;=0,0,D9*H9),"")</f>
        <v>6000000</v>
      </c>
      <c r="M9" s="26" cm="1">
        <f t="array" ref="M9">IF(E9&gt;0,IF($D9&lt;=0,0,ROUND(E9*I9,2)),"")</f>
        <v>6000000</v>
      </c>
      <c r="N9" s="28" cm="1">
        <f t="array" ref="N9">IF(F9&gt;0,IF($D9&lt;=0,0,ROUND(F9*J9,2)),"")</f>
        <v>6000000</v>
      </c>
    </row>
    <row r="10" ht="20.5" customHeight="1">
      <c r="A10" s="95">
        <v>7</v>
      </c>
      <c r="B10" t="s" s="19">
        <v>445</v>
      </c>
      <c r="C10" s="20"/>
      <c r="D10" s="21">
        <v>5</v>
      </c>
      <c r="E10" s="21" cm="1">
        <f t="array" ref="E10">D10</f>
        <v>5</v>
      </c>
      <c r="F10" s="21" cm="1">
        <f t="array" ref="F10">D10</f>
        <v>5</v>
      </c>
      <c r="G10" t="s" s="22">
        <v>79</v>
      </c>
      <c r="H10" s="21">
        <v>500000</v>
      </c>
      <c r="I10" s="21">
        <v>500000</v>
      </c>
      <c r="J10" s="21">
        <v>500000</v>
      </c>
      <c r="K10" s="21">
        <v>11</v>
      </c>
      <c r="L10" s="21" cm="1">
        <f t="array" ref="L10">IF(D10&gt;0,IF($D10&lt;=0,0,D10*H10),"")</f>
        <v>2500000</v>
      </c>
      <c r="M10" s="21" cm="1">
        <f t="array" ref="M10">IF(E10&gt;0,IF($D10&lt;=0,0,ROUND(E10*I10,2)),"")</f>
        <v>2500000</v>
      </c>
      <c r="N10" s="23" cm="1">
        <f t="array" ref="N10">IF(F10&gt;0,IF($D10&lt;=0,0,ROUND(F10*J10,2)),"")</f>
        <v>2500000</v>
      </c>
    </row>
    <row r="11" ht="20.5" customHeight="1">
      <c r="A11" s="95">
        <v>8</v>
      </c>
      <c r="B11" t="s" s="19">
        <v>446</v>
      </c>
      <c r="C11" s="24"/>
      <c r="D11" s="26">
        <v>1</v>
      </c>
      <c r="E11" s="26" cm="1">
        <f t="array" ref="E11">D11</f>
        <v>1</v>
      </c>
      <c r="F11" s="26" cm="1">
        <f t="array" ref="F11">D11</f>
        <v>1</v>
      </c>
      <c r="G11" t="s" s="27">
        <v>135</v>
      </c>
      <c r="H11" s="26">
        <v>5000000</v>
      </c>
      <c r="I11" s="26">
        <v>5000000</v>
      </c>
      <c r="J11" s="26">
        <v>5000000</v>
      </c>
      <c r="K11" s="26">
        <v>11</v>
      </c>
      <c r="L11" s="26" cm="1">
        <f t="array" ref="L11">IF(D11&gt;0,IF($D11&lt;=0,0,D11*H11),"")</f>
        <v>5000000</v>
      </c>
      <c r="M11" s="26" cm="1">
        <f t="array" ref="M11">IF(E11&gt;0,IF($D11&lt;=0,0,ROUND(E11*I11,2)),"")</f>
        <v>5000000</v>
      </c>
      <c r="N11" s="28" cm="1">
        <f t="array" ref="N11">IF(F11&gt;0,IF($D11&lt;=0,0,ROUND(F11*J11,2)),"")</f>
        <v>5000000</v>
      </c>
    </row>
    <row r="12" ht="20.5" customHeight="1">
      <c r="A12" s="95">
        <v>9</v>
      </c>
      <c r="B12" t="s" s="19">
        <v>447</v>
      </c>
      <c r="C12" s="20"/>
      <c r="D12" s="21">
        <v>1</v>
      </c>
      <c r="E12" s="21" cm="1">
        <f t="array" ref="E12">D12</f>
        <v>1</v>
      </c>
      <c r="F12" s="21" cm="1">
        <f t="array" ref="F12">D12</f>
        <v>1</v>
      </c>
      <c r="G12" t="s" s="22">
        <v>135</v>
      </c>
      <c r="H12" s="21">
        <v>2000000</v>
      </c>
      <c r="I12" s="21">
        <v>2000000</v>
      </c>
      <c r="J12" s="21">
        <v>2000000</v>
      </c>
      <c r="K12" s="21">
        <v>11</v>
      </c>
      <c r="L12" s="21" cm="1">
        <f t="array" ref="L12">IF(D12&gt;0,IF($D12&lt;=0,0,D12*H12),"")</f>
        <v>2000000</v>
      </c>
      <c r="M12" s="21" cm="1">
        <f t="array" ref="M12">IF(E12&gt;0,IF($D12&lt;=0,0,ROUND(E12*I12,2)),"")</f>
        <v>2000000</v>
      </c>
      <c r="N12" s="23" cm="1">
        <f t="array" ref="N12">IF(F12&gt;0,IF($D12&lt;=0,0,ROUND(F12*J12,2)),"")</f>
        <v>2000000</v>
      </c>
    </row>
    <row r="13" ht="20.5" customHeight="1">
      <c r="A13" t="s" s="126">
        <v>58</v>
      </c>
      <c r="B13" t="s" s="19">
        <v>448</v>
      </c>
      <c r="C13" s="24"/>
      <c r="D13" s="30"/>
      <c r="E13" s="26"/>
      <c r="F13" s="26"/>
      <c r="G13" s="30"/>
      <c r="H13" s="26"/>
      <c r="I13" s="30"/>
      <c r="J13" s="30"/>
      <c r="K13" s="26"/>
      <c r="L13" t="str" s="30" cm="1">
        <f t="array" ref="L13">IF(D13&gt;0,IF($D13&lt;=0,0,D13*H13),"")</f>
      </c>
      <c r="M13" t="str" s="30" cm="1">
        <f t="array" ref="M13">IF(E13&gt;0,IF($D13&lt;=0,0,ROUND(E13*I13,2)),"")</f>
      </c>
      <c r="N13" t="str" s="31" cm="1">
        <f t="array" ref="N13">IF(F13&gt;0,IF($D13&lt;=0,0,ROUND(F13*J13,2)),"")</f>
      </c>
    </row>
    <row r="14" ht="32.5" customHeight="1">
      <c r="A14" s="95">
        <v>1</v>
      </c>
      <c r="B14" t="s" s="19">
        <v>449</v>
      </c>
      <c r="C14" s="20"/>
      <c r="D14" s="21">
        <v>15</v>
      </c>
      <c r="E14" s="21" cm="1">
        <f t="array" ref="E14">D14</f>
        <v>15</v>
      </c>
      <c r="F14" s="21" cm="1">
        <f t="array" ref="F14">D14</f>
        <v>15</v>
      </c>
      <c r="G14" t="s" s="22">
        <v>79</v>
      </c>
      <c r="H14" s="21">
        <v>1500000</v>
      </c>
      <c r="I14" s="21">
        <v>1500000</v>
      </c>
      <c r="J14" s="21">
        <v>1500000</v>
      </c>
      <c r="K14" s="21">
        <v>11</v>
      </c>
      <c r="L14" s="21" cm="1">
        <f t="array" ref="L14">IF(D14&gt;0,IF($D14&lt;=0,0,D14*H14),"")</f>
        <v>22500000</v>
      </c>
      <c r="M14" s="21" cm="1">
        <f t="array" ref="M14">IF(E14&gt;0,IF($D14&lt;=0,0,ROUND(E14*I14,2)),"")</f>
        <v>22500000</v>
      </c>
      <c r="N14" s="23" cm="1">
        <f t="array" ref="N14">IF(F14&gt;0,IF($D14&lt;=0,0,ROUND(F14*J14,2)),"")</f>
        <v>22500000</v>
      </c>
    </row>
    <row r="15" ht="20.5" customHeight="1">
      <c r="A15" s="95">
        <v>2</v>
      </c>
      <c r="B15" t="s" s="19">
        <v>450</v>
      </c>
      <c r="C15" s="24"/>
      <c r="D15" s="25">
        <v>30</v>
      </c>
      <c r="E15" s="26" cm="1">
        <f t="array" ref="E15">D15</f>
        <v>30</v>
      </c>
      <c r="F15" s="26" cm="1">
        <f t="array" ref="F15">D15</f>
        <v>30</v>
      </c>
      <c r="G15" t="s" s="27">
        <v>79</v>
      </c>
      <c r="H15" s="26">
        <v>750000</v>
      </c>
      <c r="I15" s="26">
        <v>750000</v>
      </c>
      <c r="J15" s="26">
        <v>750000</v>
      </c>
      <c r="K15" s="26">
        <v>11</v>
      </c>
      <c r="L15" s="26" cm="1">
        <f t="array" ref="L15">IF(D15&gt;0,IF($D15&lt;=0,0,D15*H15),"")</f>
        <v>22500000</v>
      </c>
      <c r="M15" s="26" cm="1">
        <f t="array" ref="M15">IF(E15&gt;0,IF($D15&lt;=0,0,ROUND(E15*I15,2)),"")</f>
        <v>22500000</v>
      </c>
      <c r="N15" s="28" cm="1">
        <f t="array" ref="N15">IF(F15&gt;0,IF($D15&lt;=0,0,ROUND(F15*J15,2)),"")</f>
        <v>22500000</v>
      </c>
    </row>
    <row r="16" ht="20.5" customHeight="1">
      <c r="A16" s="95">
        <v>3</v>
      </c>
      <c r="B16" t="s" s="19">
        <v>451</v>
      </c>
      <c r="C16" s="20"/>
      <c r="D16" s="21">
        <v>61</v>
      </c>
      <c r="E16" s="21" cm="1">
        <f t="array" ref="E16">D16</f>
        <v>61</v>
      </c>
      <c r="F16" s="21" cm="1">
        <f t="array" ref="F16">D16</f>
        <v>61</v>
      </c>
      <c r="G16" t="s" s="22">
        <v>79</v>
      </c>
      <c r="H16" s="21">
        <v>200000</v>
      </c>
      <c r="I16" s="21">
        <v>200000</v>
      </c>
      <c r="J16" s="21">
        <v>200000</v>
      </c>
      <c r="K16" s="21">
        <v>11</v>
      </c>
      <c r="L16" s="21" cm="1">
        <f t="array" ref="L16">IF(D16&gt;0,IF($D16&lt;=0,0,D16*H16),"")</f>
        <v>12200000</v>
      </c>
      <c r="M16" s="21" cm="1">
        <f t="array" ref="M16">IF(E16&gt;0,IF($D16&lt;=0,0,ROUND(E16*I16,2)),"")</f>
        <v>12200000</v>
      </c>
      <c r="N16" s="23" cm="1">
        <f t="array" ref="N16">IF(F16&gt;0,IF($D16&lt;=0,0,ROUND(F16*J16,2)),"")</f>
        <v>12200000</v>
      </c>
    </row>
    <row r="17" ht="20.5" customHeight="1">
      <c r="A17" s="95">
        <v>4</v>
      </c>
      <c r="B17" t="s" s="19">
        <v>452</v>
      </c>
      <c r="C17" s="24"/>
      <c r="D17" s="26">
        <v>48</v>
      </c>
      <c r="E17" s="26" cm="1">
        <f t="array" ref="E17">D17</f>
        <v>48</v>
      </c>
      <c r="F17" s="26" cm="1">
        <f t="array" ref="F17">D17</f>
        <v>48</v>
      </c>
      <c r="G17" t="s" s="27">
        <v>79</v>
      </c>
      <c r="H17" s="26">
        <v>750000</v>
      </c>
      <c r="I17" s="26">
        <v>750000</v>
      </c>
      <c r="J17" s="26">
        <v>750000</v>
      </c>
      <c r="K17" s="26">
        <v>11</v>
      </c>
      <c r="L17" s="26" cm="1">
        <f t="array" ref="L17">IF(D17&gt;0,IF($D17&lt;=0,0,D17*H17),"")</f>
        <v>36000000</v>
      </c>
      <c r="M17" s="26" cm="1">
        <f t="array" ref="M17">IF(E17&gt;0,IF($D17&lt;=0,0,ROUND(E17*I17,2)),"")</f>
        <v>36000000</v>
      </c>
      <c r="N17" s="28" cm="1">
        <f t="array" ref="N17">IF(F17&gt;0,IF($D17&lt;=0,0,ROUND(F17*J17,2)),"")</f>
        <v>36000000</v>
      </c>
    </row>
    <row r="18" ht="20.6" customHeight="1">
      <c r="A18" s="33">
        <v>5</v>
      </c>
      <c r="B18" t="s" s="34">
        <v>453</v>
      </c>
      <c r="C18" s="35"/>
      <c r="D18" s="36">
        <v>10</v>
      </c>
      <c r="E18" s="36" cm="1">
        <f t="array" ref="E18">D18</f>
        <v>10</v>
      </c>
      <c r="F18" s="36" cm="1">
        <f t="array" ref="F18">D18</f>
        <v>10</v>
      </c>
      <c r="G18" t="s" s="37">
        <v>79</v>
      </c>
      <c r="H18" s="36">
        <v>1100000</v>
      </c>
      <c r="I18" s="36">
        <v>1100000</v>
      </c>
      <c r="J18" s="36">
        <v>1100000</v>
      </c>
      <c r="K18" s="36">
        <v>11</v>
      </c>
      <c r="L18" s="36" cm="1">
        <f t="array" ref="L18">IF(D18&gt;0,IF($D18&lt;=0,0,D18*H18),"")</f>
        <v>11000000</v>
      </c>
      <c r="M18" s="36" cm="1">
        <f t="array" ref="M18">IF(E18&gt;0,IF($D18&lt;=0,0,ROUND(E18*I18,2)),"")</f>
        <v>11000000</v>
      </c>
      <c r="N18" s="38" cm="1">
        <f t="array" ref="N18">IF(F18&gt;0,IF($D18&lt;=0,0,ROUND(F18*J18,2)),"")</f>
        <v>11000000</v>
      </c>
    </row>
    <row r="19" ht="8.75" customHeight="1" hidden="1">
      <c r="A19" s="39"/>
      <c r="B19" s="40"/>
      <c r="C19" s="41"/>
      <c r="D19" s="42"/>
      <c r="E19" s="42"/>
      <c r="F19" s="42"/>
      <c r="G19" s="43"/>
      <c r="H19" s="42"/>
      <c r="I19" s="42"/>
      <c r="J19" s="42"/>
      <c r="K19" s="42"/>
      <c r="L19" s="42"/>
      <c r="M19" s="42"/>
      <c r="N19" s="44"/>
    </row>
    <row r="20" ht="8.75" customHeight="1" hidden="1">
      <c r="A20" s="39"/>
      <c r="B20" s="40"/>
      <c r="C20" s="45"/>
      <c r="D20" s="46"/>
      <c r="E20" s="46"/>
      <c r="F20" s="46"/>
      <c r="G20" s="47"/>
      <c r="H20" s="46"/>
      <c r="I20" s="46"/>
      <c r="J20" s="46"/>
      <c r="K20" s="46"/>
      <c r="L20" s="46"/>
      <c r="M20" s="46"/>
      <c r="N20" s="48"/>
    </row>
    <row r="21" ht="8.75" customHeight="1" hidden="1">
      <c r="A21" s="39"/>
      <c r="B21" s="40"/>
      <c r="C21" s="41"/>
      <c r="D21" s="42"/>
      <c r="E21" s="42"/>
      <c r="F21" s="42"/>
      <c r="G21" s="43"/>
      <c r="H21" s="42"/>
      <c r="I21" s="42"/>
      <c r="J21" s="42"/>
      <c r="K21" s="42"/>
      <c r="L21" s="42"/>
      <c r="M21" s="42"/>
      <c r="N21" s="44"/>
    </row>
    <row r="22" ht="8.75" customHeight="1" hidden="1">
      <c r="A22" s="39"/>
      <c r="B22" s="40"/>
      <c r="C22" s="45"/>
      <c r="D22" s="46"/>
      <c r="E22" s="46"/>
      <c r="F22" s="46"/>
      <c r="G22" s="47"/>
      <c r="H22" s="46"/>
      <c r="I22" s="46"/>
      <c r="J22" s="46"/>
      <c r="K22" s="46"/>
      <c r="L22" s="46"/>
      <c r="M22" s="46"/>
      <c r="N22" s="48"/>
    </row>
    <row r="23" ht="8.75" customHeight="1" hidden="1">
      <c r="A23" s="39"/>
      <c r="B23" s="40"/>
      <c r="C23" s="41"/>
      <c r="D23" s="42"/>
      <c r="E23" s="42"/>
      <c r="F23" s="42"/>
      <c r="G23" s="43"/>
      <c r="H23" s="42"/>
      <c r="I23" s="42"/>
      <c r="J23" s="42"/>
      <c r="K23" s="42"/>
      <c r="L23" s="42"/>
      <c r="M23" s="42"/>
      <c r="N23" s="44"/>
    </row>
    <row r="24" ht="8.75" customHeight="1" hidden="1">
      <c r="A24" s="39"/>
      <c r="B24" s="40"/>
      <c r="C24" s="45"/>
      <c r="D24" s="46"/>
      <c r="E24" s="46"/>
      <c r="F24" s="46"/>
      <c r="G24" s="47"/>
      <c r="H24" s="46"/>
      <c r="I24" s="46"/>
      <c r="J24" s="46"/>
      <c r="K24" s="46"/>
      <c r="L24" s="46"/>
      <c r="M24" s="46"/>
      <c r="N24" s="48"/>
    </row>
    <row r="25" ht="8.75" customHeight="1" hidden="1">
      <c r="A25" s="39"/>
      <c r="B25" s="40"/>
      <c r="C25" s="41"/>
      <c r="D25" s="42"/>
      <c r="E25" s="42"/>
      <c r="F25" s="42"/>
      <c r="G25" s="43"/>
      <c r="H25" s="43"/>
      <c r="I25" s="43"/>
      <c r="J25" s="43"/>
      <c r="K25" s="42"/>
      <c r="L25" s="43"/>
      <c r="M25" s="43"/>
      <c r="N25" s="49"/>
    </row>
    <row r="26" ht="8.75" customHeight="1" hidden="1">
      <c r="A26" s="39"/>
      <c r="B26" s="40"/>
      <c r="C26" s="45"/>
      <c r="D26" s="46"/>
      <c r="E26" s="46"/>
      <c r="F26" s="46"/>
      <c r="G26" s="47"/>
      <c r="H26" s="50"/>
      <c r="I26" s="50"/>
      <c r="J26" s="50"/>
      <c r="K26" s="46"/>
      <c r="L26" s="46"/>
      <c r="M26" s="46"/>
      <c r="N26" s="48"/>
    </row>
    <row r="27" ht="8.75" customHeight="1" hidden="1">
      <c r="A27" s="39"/>
      <c r="B27" s="40"/>
      <c r="C27" s="41"/>
      <c r="D27" s="42"/>
      <c r="E27" s="42"/>
      <c r="F27" s="42"/>
      <c r="G27" s="43"/>
      <c r="H27" s="43"/>
      <c r="I27" s="43"/>
      <c r="J27" s="43"/>
      <c r="K27" s="42"/>
      <c r="L27" s="43"/>
      <c r="M27" s="43"/>
      <c r="N27" s="49"/>
    </row>
    <row r="28" ht="8.75" customHeight="1" hidden="1">
      <c r="A28" s="39"/>
      <c r="B28" s="40"/>
      <c r="C28" s="45"/>
      <c r="D28" s="46"/>
      <c r="E28" s="46"/>
      <c r="F28" s="46"/>
      <c r="G28" s="47"/>
      <c r="H28" s="46"/>
      <c r="I28" s="46"/>
      <c r="J28" s="46"/>
      <c r="K28" s="46"/>
      <c r="L28" s="46"/>
      <c r="M28" s="46"/>
      <c r="N28" s="48"/>
    </row>
    <row r="29" ht="8.75" customHeight="1" hidden="1">
      <c r="A29" s="39"/>
      <c r="B29" s="40"/>
      <c r="C29" s="41"/>
      <c r="D29" s="42"/>
      <c r="E29" s="42"/>
      <c r="F29" s="42"/>
      <c r="G29" s="43"/>
      <c r="H29" s="42"/>
      <c r="I29" s="42"/>
      <c r="J29" s="42"/>
      <c r="K29" s="42"/>
      <c r="L29" s="42"/>
      <c r="M29" s="42"/>
      <c r="N29" s="44"/>
    </row>
    <row r="30" ht="8.75" customHeight="1" hidden="1">
      <c r="A30" s="51"/>
      <c r="B30" s="40"/>
      <c r="C30" s="45"/>
      <c r="D30" s="46"/>
      <c r="E30" s="46"/>
      <c r="F30" s="46"/>
      <c r="G30" s="47"/>
      <c r="H30" s="46"/>
      <c r="I30" s="46"/>
      <c r="J30" s="46"/>
      <c r="K30" s="46"/>
      <c r="L30" s="46"/>
      <c r="M30" s="46"/>
      <c r="N30" s="48"/>
    </row>
    <row r="31" ht="8.75" customHeight="1" hidden="1">
      <c r="A31" s="51"/>
      <c r="B31" s="40"/>
      <c r="C31" s="41"/>
      <c r="D31" s="42"/>
      <c r="E31" s="42"/>
      <c r="F31" s="42"/>
      <c r="G31" s="43"/>
      <c r="H31" s="42"/>
      <c r="I31" s="42"/>
      <c r="J31" s="42"/>
      <c r="K31" s="42"/>
      <c r="L31" s="42"/>
      <c r="M31" s="42"/>
      <c r="N31" s="44"/>
    </row>
    <row r="32" ht="8.75" customHeight="1" hidden="1">
      <c r="A32" s="39"/>
      <c r="B32" s="40"/>
      <c r="C32" s="45"/>
      <c r="D32" s="46"/>
      <c r="E32" s="46"/>
      <c r="F32" s="46"/>
      <c r="G32" s="47"/>
      <c r="H32" s="46"/>
      <c r="I32" s="46"/>
      <c r="J32" s="46"/>
      <c r="K32" s="46"/>
      <c r="L32" s="47"/>
      <c r="M32" s="47"/>
      <c r="N32" s="52"/>
    </row>
    <row r="33" ht="8.75" customHeight="1" hidden="1">
      <c r="A33" s="39"/>
      <c r="B33" s="40"/>
      <c r="C33" s="41"/>
      <c r="D33" s="42"/>
      <c r="E33" s="42"/>
      <c r="F33" s="42"/>
      <c r="G33" s="43"/>
      <c r="H33" s="42"/>
      <c r="I33" s="42"/>
      <c r="J33" s="42"/>
      <c r="K33" s="42"/>
      <c r="L33" s="42"/>
      <c r="M33" s="42"/>
      <c r="N33" s="44"/>
    </row>
    <row r="34" ht="8.75" customHeight="1" hidden="1">
      <c r="A34" s="39"/>
      <c r="B34" s="40"/>
      <c r="C34" s="45"/>
      <c r="D34" s="46"/>
      <c r="E34" s="46"/>
      <c r="F34" s="46"/>
      <c r="G34" s="47"/>
      <c r="H34" s="46"/>
      <c r="I34" s="46"/>
      <c r="J34" s="46"/>
      <c r="K34" s="46"/>
      <c r="L34" s="47"/>
      <c r="M34" s="47"/>
      <c r="N34" s="52"/>
    </row>
    <row r="35" ht="20.85" customHeight="1">
      <c r="A35" s="53"/>
      <c r="B35" s="54"/>
      <c r="C35" s="54"/>
      <c r="D35" s="55"/>
      <c r="E35" s="55"/>
      <c r="F35" s="55"/>
      <c r="G35" s="56"/>
      <c r="H35" s="56"/>
      <c r="I35" s="54"/>
      <c r="J35" s="57"/>
      <c r="K35" t="s" s="58">
        <v>38</v>
      </c>
      <c r="L35" s="59" cm="1">
        <f t="array" ref="L35">SUM(L1:L34)</f>
        <v>166666660</v>
      </c>
      <c r="M35" s="59" cm="1">
        <f t="array" ref="M35">SUM(M1:M34)</f>
        <v>166656660</v>
      </c>
      <c r="N35" s="59" cm="1">
        <f t="array" ref="N35">SUM(N1:N34)</f>
        <v>166656660</v>
      </c>
    </row>
    <row r="36" ht="21" customHeight="1">
      <c r="A36" s="60"/>
      <c r="B36" t="s" s="61">
        <v>39</v>
      </c>
      <c r="C36" s="62"/>
      <c r="D36" s="63" cm="1">
        <f t="array" ref="D36">ROUND(IF(L36&lt;=100000000,L36*0.24%,IF(AND(L36&gt;100000000,L36&lt;=500000000),100000000*0.24%+(L36-100000000)*0.19%,IF(AND(L36&gt;500000000,L36&lt;=1000000000),100000000*0.24%+400000000*0.19%+(L36-500000000)*0.15%,IF(AND(L36&gt;1000000000,L36&lt;=5000000000),100000000*0.24%+400000000*0.19%+500000000*0.15%+(L36-1000000000)*0.12%,IF(L36&gt;5000000000,100000000*0.24%+400000000*0.19%+500000000*0.15%+4000000000*0.12%+(L36-5000000000)*0.1%,"Bingung komputer"))))),2)</f>
        <v>366666.65</v>
      </c>
      <c r="E36" s="64" cm="1">
        <f t="array" ref="E36">ROUND(IF(M36&lt;=100000000,M36*0.24%,IF(AND(M36&gt;100000000,M36&lt;=500000000),100000000*0.24%+(M36-100000000)*0.19%,IF(AND(M36&gt;500000000,M36&lt;=1000000000),100000000*0.24%+400000000*0.19%+(M36-500000000)*0.15%,IF(AND(M36&gt;1000000000,M36&lt;=5000000000),100000000*0.24%+400000000*0.19%+500000000*0.15%+(M36-1000000000)*0.12%,IF(M36&gt;5000000000,100000000*0.24%+400000000*0.19%+500000000*0.15%+4000000000*0.12%+(M36-5000000000)*0.1%,"Bingung komputer"))))),2)</f>
        <v>366647.65</v>
      </c>
      <c r="F36" s="64" cm="1">
        <f t="array" ref="F36">ROUND(IF(N36&lt;=100000000,N36*0.24%,IF(AND(N36&gt;100000000,N36&lt;=500000000),100000000*0.24%+(N36-100000000)*0.19%,IF(AND(N36&gt;500000000,N36&lt;=1000000000),100000000*0.24%+400000000*0.19%+(N36-500000000)*0.15%,IF(AND(N36&gt;1000000000,N36&lt;=5000000000),100000000*0.24%+400000000*0.19%+500000000*0.15%+(N36-1000000000)*0.12%,IF(N36&gt;5000000000,100000000*0.24%+400000000*0.19%+500000000*0.15%+4000000000*0.12%+(N36-5000000000)*0.1%,"Bingung komputer"))))),2)</f>
        <v>366647.65</v>
      </c>
      <c r="G36" s="65"/>
      <c r="H36" s="66"/>
      <c r="I36" s="62"/>
      <c r="J36" s="67"/>
      <c r="K36" t="str" s="67" cm="1">
        <f t="array" ref="K36">"Jumlah Terkena Pajak "&amp;MAX(K3:K34)&amp;"% (B)"</f>
        <v>Jumlah Terkena Pajak 11,00% (B)</v>
      </c>
      <c r="L36" s="68" cm="1">
        <f t="array" ref="L36">SUMIF($K3:$K34,"&gt;0",L3:L34)</f>
        <v>166666660</v>
      </c>
      <c r="M36" s="69" cm="1">
        <f t="array" ref="M36">SUMIF($K3:$K34,"&gt;0",M3:M34)</f>
        <v>166656660</v>
      </c>
      <c r="N36" s="69" cm="1">
        <f t="array" ref="N36">SUMIF($K3:$K34,"&gt;0",N3:N34)</f>
        <v>166656660</v>
      </c>
    </row>
    <row r="37" ht="21" customHeight="1">
      <c r="A37" s="70"/>
      <c r="B37" s="71"/>
      <c r="C37" s="71"/>
      <c r="D37" s="72"/>
      <c r="E37" s="72"/>
      <c r="F37" s="71"/>
      <c r="G37" s="72"/>
      <c r="H37" s="72"/>
      <c r="I37" s="71"/>
      <c r="J37" s="73"/>
      <c r="K37" t="str" s="73" cm="1">
        <f t="array" ref="K37">"PPN (C) = "&amp;MAX(K3:K34)&amp;"% x B"</f>
        <v>PPN (C) = 11,00% x B</v>
      </c>
      <c r="L37" s="74" cm="1">
        <f t="array" ref="L37">L36*MAX($K3:$K34)%</f>
        <v>18333332.6</v>
      </c>
      <c r="M37" s="69" cm="1">
        <f t="array" ref="M37">M36*MAX($K3:$K34)%</f>
        <v>18332232.6</v>
      </c>
      <c r="N37" s="69" cm="1">
        <f t="array" ref="N37">N36*MAX($K3:$K34)%</f>
        <v>18332232.6</v>
      </c>
    </row>
    <row r="38" ht="21" customHeight="1">
      <c r="A38" s="70"/>
      <c r="B38" s="71"/>
      <c r="C38" s="71"/>
      <c r="D38" s="72"/>
      <c r="E38" s="72"/>
      <c r="F38" s="72"/>
      <c r="G38" s="72"/>
      <c r="H38" s="72"/>
      <c r="I38" s="71"/>
      <c r="J38" s="73"/>
      <c r="K38" t="s" s="75">
        <v>42</v>
      </c>
      <c r="L38" s="76" cm="1">
        <f t="array" ref="L38">L35+L37</f>
        <v>184999992.6</v>
      </c>
      <c r="M38" s="69" cm="1">
        <f t="array" ref="M38">M35+M37</f>
        <v>184988892.6</v>
      </c>
      <c r="N38" s="69" cm="1">
        <f t="array" ref="N38">N35+N37</f>
        <v>184988892.6</v>
      </c>
    </row>
    <row r="39" ht="20.5" customHeight="1">
      <c r="A39" s="70"/>
      <c r="B39" s="71"/>
      <c r="C39" s="71"/>
      <c r="D39" s="72"/>
      <c r="E39" s="72"/>
      <c r="F39" s="72"/>
      <c r="G39" s="72"/>
      <c r="H39" s="72"/>
      <c r="I39" s="71"/>
      <c r="J39" s="73"/>
      <c r="K39" t="s" s="75">
        <v>43</v>
      </c>
      <c r="L39" s="68" cm="1">
        <f t="array" ref="L39">ROUNDDOWN(L38,2)</f>
        <v>184999992.6</v>
      </c>
      <c r="M39" s="68" cm="1">
        <f t="array" ref="M39">ROUNDDOWN(M38,2)</f>
        <v>184988892.6</v>
      </c>
      <c r="N39" s="68" cm="1">
        <f t="array" ref="N39">ROUNDDOWN(N38,-3)</f>
        <v>184988000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drawing r:id="rId1"/>
</worksheet>
</file>

<file path=xl/worksheets/sheet97.xml><?xml version="1.0" encoding="utf-8"?>
<worksheet xmlns:r="http://schemas.openxmlformats.org/officeDocument/2006/relationships" xmlns="http://schemas.openxmlformats.org/spreadsheetml/2006/main">
  <sheetPr>
    <pageSetUpPr fitToPage="1"/>
  </sheetPr>
  <dimension ref="A1:N35"/>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288" customWidth="1"/>
    <col min="2" max="2" width="43.0312" style="288" customWidth="1"/>
    <col min="3" max="3" width="2.75" style="288" customWidth="1"/>
    <col min="4" max="6" width="10.3672" style="288" customWidth="1"/>
    <col min="7" max="7" width="11.6875" style="288" customWidth="1"/>
    <col min="8" max="11" width="13.5156" style="288" customWidth="1"/>
    <col min="12" max="14" width="14.2344" style="288" customWidth="1"/>
    <col min="15" max="16384" width="16.3516" style="288"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133</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s="95">
        <v>1</v>
      </c>
      <c r="B4" t="s" s="19">
        <v>134</v>
      </c>
      <c r="C4" s="20"/>
      <c r="D4" s="21">
        <v>1</v>
      </c>
      <c r="E4" s="21" cm="1">
        <f t="array" ref="E4">D4</f>
        <v>1</v>
      </c>
      <c r="F4" s="21" cm="1">
        <f t="array" ref="F4">D4</f>
        <v>1</v>
      </c>
      <c r="G4" t="s" s="22">
        <v>19</v>
      </c>
      <c r="H4" s="21">
        <v>775000</v>
      </c>
      <c r="I4" s="21">
        <v>760000</v>
      </c>
      <c r="J4" s="21">
        <v>760000</v>
      </c>
      <c r="K4" s="21">
        <v>11</v>
      </c>
      <c r="L4" s="21" cm="1">
        <f t="array" ref="L4">IF(D4&gt;0,IF($D4&lt;=0,0,D4*H4),"")</f>
        <v>775000</v>
      </c>
      <c r="M4" s="21" cm="1">
        <f t="array" ref="M4">IF(E4&gt;0,IF($D4&lt;=0,0,ROUND(E4*I4,2)),"")</f>
        <v>760000</v>
      </c>
      <c r="N4" s="23" cm="1">
        <f t="array" ref="N4">IF(F4&gt;0,IF($D4&lt;=0,0,ROUND(F4*J4,2)),"")</f>
        <v>760000</v>
      </c>
    </row>
    <row r="5" ht="20.5" customHeight="1">
      <c r="A5" s="95">
        <v>2</v>
      </c>
      <c r="B5" t="s" s="19">
        <v>455</v>
      </c>
      <c r="C5" s="24"/>
      <c r="D5" s="26">
        <v>1</v>
      </c>
      <c r="E5" s="26" cm="1">
        <f t="array" ref="E5">D5</f>
        <v>1</v>
      </c>
      <c r="F5" s="26" cm="1">
        <f t="array" ref="F5">D5</f>
        <v>1</v>
      </c>
      <c r="G5" t="s" s="27">
        <v>19</v>
      </c>
      <c r="H5" s="26">
        <v>500000</v>
      </c>
      <c r="I5" s="26">
        <v>490000</v>
      </c>
      <c r="J5" s="26">
        <v>490000</v>
      </c>
      <c r="K5" s="26">
        <v>11</v>
      </c>
      <c r="L5" s="26" cm="1">
        <f t="array" ref="L5">IF(D5&gt;0,IF($D5&lt;=0,0,D5*H5),"")</f>
        <v>500000</v>
      </c>
      <c r="M5" s="26" cm="1">
        <f t="array" ref="M5">IF(E5&gt;0,IF($D5&lt;=0,0,ROUND(E5*I5,2)),"")</f>
        <v>490000</v>
      </c>
      <c r="N5" s="28" cm="1">
        <f t="array" ref="N5">IF(F5&gt;0,IF($D5&lt;=0,0,ROUND(F5*J5,2)),"")</f>
        <v>490000</v>
      </c>
    </row>
    <row r="6" ht="20.5" customHeight="1">
      <c r="A6" s="95">
        <v>2</v>
      </c>
      <c r="B6" t="s" s="19">
        <v>144</v>
      </c>
      <c r="C6" s="20"/>
      <c r="D6" s="78">
        <v>1</v>
      </c>
      <c r="E6" s="21" cm="1">
        <f t="array" ref="E6">D6</f>
        <v>1</v>
      </c>
      <c r="F6" s="21" cm="1">
        <f t="array" ref="F6">D6</f>
        <v>1</v>
      </c>
      <c r="G6" t="s" s="22">
        <v>19</v>
      </c>
      <c r="H6" s="21">
        <v>300000</v>
      </c>
      <c r="I6" s="21">
        <v>28000</v>
      </c>
      <c r="J6" s="21">
        <v>28000</v>
      </c>
      <c r="K6" s="21">
        <v>11</v>
      </c>
      <c r="L6" s="21" cm="1">
        <f t="array" ref="L6">IF(D6&gt;0,IF($D6&lt;=0,0,D6*H6),"")</f>
        <v>300000</v>
      </c>
      <c r="M6" s="21" cm="1">
        <f t="array" ref="M6">IF(E6&gt;0,IF($D6&lt;=0,0,ROUND(E6*I6,2)),"")</f>
        <v>28000</v>
      </c>
      <c r="N6" s="23" cm="1">
        <f t="array" ref="N6">IF(F6&gt;0,IF($D6&lt;=0,0,ROUND(F6*J6,2)),"")</f>
        <v>28000</v>
      </c>
    </row>
    <row r="7" ht="20.5" customHeight="1">
      <c r="A7" s="29"/>
      <c r="B7" t="s" s="19">
        <v>145</v>
      </c>
      <c r="C7" s="24"/>
      <c r="D7" s="30"/>
      <c r="E7" s="26"/>
      <c r="F7" s="26"/>
      <c r="G7" s="30"/>
      <c r="H7" s="26"/>
      <c r="I7" s="30"/>
      <c r="J7" s="30"/>
      <c r="K7" s="26"/>
      <c r="L7" t="str" s="30" cm="1">
        <f t="array" ref="L7">IF(D7&gt;0,IF($D7&lt;=0,0,D7*H7),"")</f>
      </c>
      <c r="M7" t="str" s="30" cm="1">
        <f t="array" ref="M7">IF(E7&gt;0,IF($D7&lt;=0,0,ROUND(E7*I7,2)),"")</f>
      </c>
      <c r="N7" t="str" s="31" cm="1">
        <f t="array" ref="N7">IF(F7&gt;0,IF($D7&lt;=0,0,ROUND(F7*J7,2)),"")</f>
      </c>
    </row>
    <row r="8" ht="20.5" customHeight="1">
      <c r="A8" s="29"/>
      <c r="B8" t="s" s="19">
        <v>374</v>
      </c>
      <c r="C8" s="20"/>
      <c r="D8" s="79"/>
      <c r="E8" s="21"/>
      <c r="F8" s="21"/>
      <c r="G8" s="79"/>
      <c r="H8" s="21"/>
      <c r="I8" s="79"/>
      <c r="J8" s="79"/>
      <c r="K8" s="21"/>
      <c r="L8" t="str" s="79" cm="1">
        <f t="array" ref="L8">IF(D8&gt;0,IF($D8&lt;=0,0,D8*H8),"")</f>
      </c>
      <c r="M8" t="str" s="79" cm="1">
        <f t="array" ref="M8">IF(E8&gt;0,IF($D8&lt;=0,0,ROUND(E8*I8,2)),"")</f>
      </c>
      <c r="N8" t="str" s="91" cm="1">
        <f t="array" ref="N8">IF(F8&gt;0,IF($D8&lt;=0,0,ROUND(F8*J8,2)),"")</f>
      </c>
    </row>
    <row r="9" ht="20.5" customHeight="1">
      <c r="A9" s="95">
        <v>1</v>
      </c>
      <c r="B9" t="s" s="19">
        <v>394</v>
      </c>
      <c r="C9" s="24"/>
      <c r="D9" s="25">
        <v>13.3</v>
      </c>
      <c r="E9" s="26" cm="1">
        <f t="array" ref="E9">D9</f>
        <v>13.3</v>
      </c>
      <c r="F9" s="26" cm="1">
        <f t="array" ref="F9">D9</f>
        <v>13.3</v>
      </c>
      <c r="G9" t="s" s="27">
        <v>140</v>
      </c>
      <c r="H9" s="26">
        <v>273843.75</v>
      </c>
      <c r="I9" s="26">
        <v>273728.75</v>
      </c>
      <c r="J9" s="26">
        <v>273728.75</v>
      </c>
      <c r="K9" s="26">
        <v>11</v>
      </c>
      <c r="L9" s="26" cm="1">
        <f t="array" ref="L9">IF(D9&gt;0,IF($D9&lt;=0,0,D9*H9),"")</f>
        <v>3642121.875</v>
      </c>
      <c r="M9" s="26" cm="1">
        <f t="array" ref="M9">IF(E9&gt;0,IF($D9&lt;=0,0,ROUND(E9*I9,2)),"")</f>
        <v>3640592.38</v>
      </c>
      <c r="N9" s="28" cm="1">
        <f t="array" ref="N9">IF(F9&gt;0,IF($D9&lt;=0,0,ROUND(F9*J9,2)),"")</f>
        <v>3640592.38</v>
      </c>
    </row>
    <row r="10" ht="20.5" customHeight="1">
      <c r="A10" s="95">
        <v>2</v>
      </c>
      <c r="B10" t="s" s="19">
        <v>456</v>
      </c>
      <c r="C10" s="20"/>
      <c r="D10" s="78">
        <v>266</v>
      </c>
      <c r="E10" s="21" cm="1">
        <f t="array" ref="E10">D10</f>
        <v>266</v>
      </c>
      <c r="F10" s="21" cm="1">
        <f t="array" ref="F10">D10</f>
        <v>266</v>
      </c>
      <c r="G10" t="s" s="22">
        <v>142</v>
      </c>
      <c r="H10" s="21">
        <v>13756.88</v>
      </c>
      <c r="I10" s="21">
        <v>13710.88</v>
      </c>
      <c r="J10" s="21">
        <v>13710.88</v>
      </c>
      <c r="K10" s="21">
        <v>11</v>
      </c>
      <c r="L10" s="21" cm="1">
        <f t="array" ref="L10">IF(D10&gt;0,IF($D10&lt;=0,0,D10*H10),"")</f>
        <v>3659330.08</v>
      </c>
      <c r="M10" s="21" cm="1">
        <f t="array" ref="M10">IF(E10&gt;0,IF($D10&lt;=0,0,ROUND(E10*I10,2)),"")</f>
        <v>3647094.08</v>
      </c>
      <c r="N10" s="23" cm="1">
        <f t="array" ref="N10">IF(F10&gt;0,IF($D10&lt;=0,0,ROUND(F10*J10,2)),"")</f>
        <v>3647094.08</v>
      </c>
    </row>
    <row r="11" ht="20.5" customHeight="1">
      <c r="A11" s="95">
        <v>2</v>
      </c>
      <c r="B11" t="s" s="19">
        <v>139</v>
      </c>
      <c r="C11" s="24"/>
      <c r="D11" s="25">
        <v>53.2</v>
      </c>
      <c r="E11" s="26" cm="1">
        <f t="array" ref="E11">D11</f>
        <v>53.2</v>
      </c>
      <c r="F11" s="26" cm="1">
        <f t="array" ref="F11">D11</f>
        <v>53.2</v>
      </c>
      <c r="G11" t="s" s="27">
        <v>140</v>
      </c>
      <c r="H11" s="26">
        <v>1470790.28</v>
      </c>
      <c r="I11" s="26">
        <v>1470031.28</v>
      </c>
      <c r="J11" s="26">
        <v>1470031.28</v>
      </c>
      <c r="K11" s="26">
        <v>11</v>
      </c>
      <c r="L11" s="26" cm="1">
        <f t="array" ref="L11">IF(D11&gt;0,IF($D11&lt;=0,0,D11*H11),"")</f>
        <v>78246042.896</v>
      </c>
      <c r="M11" s="26" cm="1">
        <f t="array" ref="M11">IF(E11&gt;0,IF($D11&lt;=0,0,ROUND(E11*I11,2)),"")</f>
        <v>78205664.09999999</v>
      </c>
      <c r="N11" s="28" cm="1">
        <f t="array" ref="N11">IF(F11&gt;0,IF($D11&lt;=0,0,ROUND(F11*J11,2)),"")</f>
        <v>78205664.09999999</v>
      </c>
    </row>
    <row r="12" ht="20.5" customHeight="1">
      <c r="A12" s="95">
        <v>4</v>
      </c>
      <c r="B12" t="s" s="19">
        <v>141</v>
      </c>
      <c r="C12" s="20"/>
      <c r="D12" s="21">
        <v>8.869999999999999</v>
      </c>
      <c r="E12" s="21" cm="1">
        <f t="array" ref="E12">D12</f>
        <v>8.869999999999999</v>
      </c>
      <c r="F12" s="21" cm="1">
        <f t="array" ref="F12">D12</f>
        <v>8.869999999999999</v>
      </c>
      <c r="G12" t="s" s="22">
        <v>142</v>
      </c>
      <c r="H12" s="21">
        <v>307495.63</v>
      </c>
      <c r="I12" s="32">
        <v>307192.03</v>
      </c>
      <c r="J12" s="32">
        <v>307192.03</v>
      </c>
      <c r="K12" s="21">
        <v>11</v>
      </c>
      <c r="L12" s="21" cm="1">
        <f t="array" ref="L12">IF(D12&gt;0,IF($D12&lt;=0,0,D12*H12),"")</f>
        <v>2727486.2381</v>
      </c>
      <c r="M12" s="21" cm="1">
        <f t="array" ref="M12">IF(E12&gt;0,IF($D12&lt;=0,0,ROUND(E12*I12,2)),"")</f>
        <v>2724793.31</v>
      </c>
      <c r="N12" s="23" cm="1">
        <f t="array" ref="N12">IF(F12&gt;0,IF($D12&lt;=0,0,ROUND(F12*J12,2)),"")</f>
        <v>2724793.31</v>
      </c>
    </row>
    <row r="13" ht="20.5" customHeight="1">
      <c r="A13" s="29"/>
      <c r="B13" t="s" s="19">
        <v>36</v>
      </c>
      <c r="C13" s="24"/>
      <c r="D13" s="26"/>
      <c r="E13" s="26"/>
      <c r="F13" s="26"/>
      <c r="G13" s="30"/>
      <c r="H13" s="30"/>
      <c r="I13" s="30"/>
      <c r="J13" s="30"/>
      <c r="K13" s="26"/>
      <c r="L13" t="str" s="30" cm="1">
        <f t="array" ref="L13">IF(D13&gt;0,IF($D13&lt;=0,0,D13*H13),"")</f>
      </c>
      <c r="M13" s="26"/>
      <c r="N13" s="28"/>
    </row>
    <row r="14" ht="20.6" customHeight="1">
      <c r="A14" s="33">
        <v>1</v>
      </c>
      <c r="B14" t="s" s="34">
        <v>37</v>
      </c>
      <c r="C14" s="35"/>
      <c r="D14" s="36">
        <v>1</v>
      </c>
      <c r="E14" s="36" cm="1">
        <f t="array" ref="E14">D14</f>
        <v>1</v>
      </c>
      <c r="F14" s="36" cm="1">
        <f t="array" ref="F14">D14</f>
        <v>1</v>
      </c>
      <c r="G14" t="s" s="37">
        <v>19</v>
      </c>
      <c r="H14" s="36">
        <v>240000</v>
      </c>
      <c r="I14" s="36">
        <v>220040.73</v>
      </c>
      <c r="J14" s="36">
        <v>214790.75</v>
      </c>
      <c r="K14" s="36">
        <v>0</v>
      </c>
      <c r="L14" s="36" cm="1">
        <f t="array" ref="L14">IF(D14&gt;0,IF($D14&lt;=0,0,D14*H14),"")</f>
        <v>240000</v>
      </c>
      <c r="M14" s="36" cm="1">
        <f t="array" ref="M14">IF(E14&gt;0,IF($D14&lt;=0,0,ROUND(E14*I14,2)),"")</f>
        <v>220040.73</v>
      </c>
      <c r="N14" s="38" cm="1">
        <f t="array" ref="N14">IF(F14&gt;0,IF($D14&lt;=0,0,ROUND(F14*J14,2)),"")</f>
        <v>214790.75</v>
      </c>
    </row>
    <row r="15" ht="8.75" customHeight="1" hidden="1">
      <c r="A15" s="39"/>
      <c r="B15" s="40"/>
      <c r="C15" s="41"/>
      <c r="D15" s="42"/>
      <c r="E15" s="42"/>
      <c r="F15" s="42"/>
      <c r="G15" s="43"/>
      <c r="H15" s="42"/>
      <c r="I15" s="42"/>
      <c r="J15" s="42"/>
      <c r="K15" s="42"/>
      <c r="L15" s="42"/>
      <c r="M15" s="42"/>
      <c r="N15" s="44"/>
    </row>
    <row r="16" ht="8.75" customHeight="1" hidden="1">
      <c r="A16" s="39"/>
      <c r="B16" s="40"/>
      <c r="C16" s="45"/>
      <c r="D16" s="46"/>
      <c r="E16" s="46"/>
      <c r="F16" s="46"/>
      <c r="G16" s="47"/>
      <c r="H16" s="46"/>
      <c r="I16" s="46"/>
      <c r="J16" s="46"/>
      <c r="K16" s="46"/>
      <c r="L16" s="46"/>
      <c r="M16" s="46"/>
      <c r="N16" s="48"/>
    </row>
    <row r="17" ht="8.75" customHeight="1" hidden="1">
      <c r="A17" s="39"/>
      <c r="B17" s="40"/>
      <c r="C17" s="41"/>
      <c r="D17" s="42"/>
      <c r="E17" s="42"/>
      <c r="F17" s="42"/>
      <c r="G17" s="43"/>
      <c r="H17" s="42"/>
      <c r="I17" s="42"/>
      <c r="J17" s="42"/>
      <c r="K17" s="42"/>
      <c r="L17" s="42"/>
      <c r="M17" s="42"/>
      <c r="N17" s="44"/>
    </row>
    <row r="18" ht="8.75" customHeight="1" hidden="1">
      <c r="A18" s="39"/>
      <c r="B18" s="40"/>
      <c r="C18" s="45"/>
      <c r="D18" s="46"/>
      <c r="E18" s="46"/>
      <c r="F18" s="46"/>
      <c r="G18" s="47"/>
      <c r="H18" s="46"/>
      <c r="I18" s="46"/>
      <c r="J18" s="46"/>
      <c r="K18" s="46"/>
      <c r="L18" s="46"/>
      <c r="M18" s="46"/>
      <c r="N18" s="48"/>
    </row>
    <row r="19" ht="8.75" customHeight="1" hidden="1">
      <c r="A19" s="39"/>
      <c r="B19" s="40"/>
      <c r="C19" s="41"/>
      <c r="D19" s="42"/>
      <c r="E19" s="42"/>
      <c r="F19" s="42"/>
      <c r="G19" s="43"/>
      <c r="H19" s="42"/>
      <c r="I19" s="42"/>
      <c r="J19" s="42"/>
      <c r="K19" s="42"/>
      <c r="L19" s="42"/>
      <c r="M19" s="42"/>
      <c r="N19" s="44"/>
    </row>
    <row r="20" ht="8.75" customHeight="1" hidden="1">
      <c r="A20" s="39"/>
      <c r="B20" s="40"/>
      <c r="C20" s="45"/>
      <c r="D20" s="46"/>
      <c r="E20" s="46"/>
      <c r="F20" s="46"/>
      <c r="G20" s="47"/>
      <c r="H20" s="46"/>
      <c r="I20" s="46"/>
      <c r="J20" s="46"/>
      <c r="K20" s="46"/>
      <c r="L20" s="46"/>
      <c r="M20" s="46"/>
      <c r="N20" s="48"/>
    </row>
    <row r="21" ht="8.75" customHeight="1" hidden="1">
      <c r="A21" s="39"/>
      <c r="B21" s="40"/>
      <c r="C21" s="41"/>
      <c r="D21" s="42"/>
      <c r="E21" s="42"/>
      <c r="F21" s="42"/>
      <c r="G21" s="43"/>
      <c r="H21" s="43"/>
      <c r="I21" s="43"/>
      <c r="J21" s="43"/>
      <c r="K21" s="42"/>
      <c r="L21" s="43"/>
      <c r="M21" s="43"/>
      <c r="N21" s="49"/>
    </row>
    <row r="22" ht="8.75" customHeight="1" hidden="1">
      <c r="A22" s="39"/>
      <c r="B22" s="40"/>
      <c r="C22" s="45"/>
      <c r="D22" s="46"/>
      <c r="E22" s="46"/>
      <c r="F22" s="46"/>
      <c r="G22" s="47"/>
      <c r="H22" s="50"/>
      <c r="I22" s="50"/>
      <c r="J22" s="50"/>
      <c r="K22" s="46"/>
      <c r="L22" s="46"/>
      <c r="M22" s="46"/>
      <c r="N22" s="48"/>
    </row>
    <row r="23" ht="8.75" customHeight="1" hidden="1">
      <c r="A23" s="39"/>
      <c r="B23" s="40"/>
      <c r="C23" s="41"/>
      <c r="D23" s="42"/>
      <c r="E23" s="42"/>
      <c r="F23" s="42"/>
      <c r="G23" s="43"/>
      <c r="H23" s="43"/>
      <c r="I23" s="43"/>
      <c r="J23" s="43"/>
      <c r="K23" s="42"/>
      <c r="L23" s="43"/>
      <c r="M23" s="43"/>
      <c r="N23" s="49"/>
    </row>
    <row r="24" ht="8.75" customHeight="1" hidden="1">
      <c r="A24" s="39"/>
      <c r="B24" s="40"/>
      <c r="C24" s="45"/>
      <c r="D24" s="46"/>
      <c r="E24" s="46"/>
      <c r="F24" s="46"/>
      <c r="G24" s="47"/>
      <c r="H24" s="46"/>
      <c r="I24" s="46"/>
      <c r="J24" s="46"/>
      <c r="K24" s="46"/>
      <c r="L24" s="46"/>
      <c r="M24" s="46"/>
      <c r="N24" s="48"/>
    </row>
    <row r="25" ht="8.75" customHeight="1" hidden="1">
      <c r="A25" s="39"/>
      <c r="B25" s="40"/>
      <c r="C25" s="41"/>
      <c r="D25" s="42"/>
      <c r="E25" s="42"/>
      <c r="F25" s="42"/>
      <c r="G25" s="43"/>
      <c r="H25" s="42"/>
      <c r="I25" s="42"/>
      <c r="J25" s="42"/>
      <c r="K25" s="42"/>
      <c r="L25" s="42"/>
      <c r="M25" s="42"/>
      <c r="N25" s="44"/>
    </row>
    <row r="26" ht="8.75" customHeight="1" hidden="1">
      <c r="A26" s="51"/>
      <c r="B26" s="40"/>
      <c r="C26" s="45"/>
      <c r="D26" s="46"/>
      <c r="E26" s="46"/>
      <c r="F26" s="46"/>
      <c r="G26" s="47"/>
      <c r="H26" s="46"/>
      <c r="I26" s="46"/>
      <c r="J26" s="46"/>
      <c r="K26" s="46"/>
      <c r="L26" s="46"/>
      <c r="M26" s="46"/>
      <c r="N26" s="48"/>
    </row>
    <row r="27" ht="8.75" customHeight="1" hidden="1">
      <c r="A27" s="51"/>
      <c r="B27" s="40"/>
      <c r="C27" s="41"/>
      <c r="D27" s="42"/>
      <c r="E27" s="42"/>
      <c r="F27" s="42"/>
      <c r="G27" s="43"/>
      <c r="H27" s="42"/>
      <c r="I27" s="42"/>
      <c r="J27" s="42"/>
      <c r="K27" s="42"/>
      <c r="L27" s="42"/>
      <c r="M27" s="42"/>
      <c r="N27" s="44"/>
    </row>
    <row r="28" ht="8.75" customHeight="1" hidden="1">
      <c r="A28" s="39"/>
      <c r="B28" s="40"/>
      <c r="C28" s="45"/>
      <c r="D28" s="46"/>
      <c r="E28" s="46"/>
      <c r="F28" s="46"/>
      <c r="G28" s="47"/>
      <c r="H28" s="46"/>
      <c r="I28" s="46"/>
      <c r="J28" s="46"/>
      <c r="K28" s="46"/>
      <c r="L28" s="47"/>
      <c r="M28" s="47"/>
      <c r="N28" s="52"/>
    </row>
    <row r="29" ht="8.75" customHeight="1" hidden="1">
      <c r="A29" s="39"/>
      <c r="B29" s="40"/>
      <c r="C29" s="41"/>
      <c r="D29" s="42"/>
      <c r="E29" s="42"/>
      <c r="F29" s="42"/>
      <c r="G29" s="43"/>
      <c r="H29" s="42"/>
      <c r="I29" s="42"/>
      <c r="J29" s="42"/>
      <c r="K29" s="42"/>
      <c r="L29" s="42"/>
      <c r="M29" s="42"/>
      <c r="N29" s="44"/>
    </row>
    <row r="30" ht="8.75" customHeight="1" hidden="1">
      <c r="A30" s="39"/>
      <c r="B30" s="40"/>
      <c r="C30" s="45"/>
      <c r="D30" s="46"/>
      <c r="E30" s="46"/>
      <c r="F30" s="46"/>
      <c r="G30" s="47"/>
      <c r="H30" s="46"/>
      <c r="I30" s="46"/>
      <c r="J30" s="46"/>
      <c r="K30" s="46"/>
      <c r="L30" s="47"/>
      <c r="M30" s="47"/>
      <c r="N30" s="52"/>
    </row>
    <row r="31" ht="20.85" customHeight="1">
      <c r="A31" s="53"/>
      <c r="B31" s="54"/>
      <c r="C31" s="54"/>
      <c r="D31" s="55"/>
      <c r="E31" s="55"/>
      <c r="F31" s="55"/>
      <c r="G31" s="56"/>
      <c r="H31" s="56"/>
      <c r="I31" s="54"/>
      <c r="J31" s="57"/>
      <c r="K31" t="s" s="58">
        <v>38</v>
      </c>
      <c r="L31" s="59" cm="1">
        <f t="array" ref="L31">SUM(L1:L30)</f>
        <v>90089981.0891</v>
      </c>
      <c r="M31" s="59" cm="1">
        <f t="array" ref="M31">SUM(M1:M30)</f>
        <v>89716184.59999999</v>
      </c>
      <c r="N31" s="59" cm="1">
        <f t="array" ref="N31">SUM(N1:N30)</f>
        <v>89710934.62</v>
      </c>
    </row>
    <row r="32" ht="21" customHeight="1">
      <c r="A32" s="60"/>
      <c r="B32" t="s" s="61">
        <v>39</v>
      </c>
      <c r="C32" s="62"/>
      <c r="D32" s="63" cm="1">
        <f t="array" ref="D32">ROUND(IF(L32&lt;=100000000,L32*0.24%,IF(AND(L32&gt;100000000,L32&lt;=500000000),100000000*0.24%+(L32-100000000)*0.19%,IF(AND(L32&gt;500000000,L32&lt;=1000000000),100000000*0.24%+400000000*0.19%+(L32-500000000)*0.15%,IF(AND(L32&gt;1000000000,L32&lt;=5000000000),100000000*0.24%+400000000*0.19%+500000000*0.15%+(L32-1000000000)*0.12%,IF(L32&gt;5000000000,100000000*0.24%+400000000*0.19%+500000000*0.15%+4000000000*0.12%+(L32-5000000000)*0.1%,"Bingung komputer"))))),2)</f>
        <v>215639.95</v>
      </c>
      <c r="E32" s="64" cm="1">
        <f t="array" ref="E32">ROUND(IF(M32&lt;=100000000,M32*0.24%,IF(AND(M32&gt;100000000,M32&lt;=500000000),100000000*0.24%+(M32-100000000)*0.19%,IF(AND(M32&gt;500000000,M32&lt;=1000000000),100000000*0.24%+400000000*0.19%+(M32-500000000)*0.15%,IF(AND(M32&gt;1000000000,M32&lt;=5000000000),100000000*0.24%+400000000*0.19%+500000000*0.15%+(M32-1000000000)*0.12%,IF(M32&gt;5000000000,100000000*0.24%+400000000*0.19%+500000000*0.15%+4000000000*0.12%+(M32-5000000000)*0.1%,"Bingung komputer"))))),2)</f>
        <v>214790.75</v>
      </c>
      <c r="F32" s="64" cm="1">
        <f t="array" ref="F32">ROUND(IF(N32&lt;=100000000,N32*0.24%,IF(AND(N32&gt;100000000,N32&lt;=500000000),100000000*0.24%+(N32-100000000)*0.19%,IF(AND(N32&gt;500000000,N32&lt;=1000000000),100000000*0.24%+400000000*0.19%+(N32-500000000)*0.15%,IF(AND(N32&gt;1000000000,N32&lt;=5000000000),100000000*0.24%+400000000*0.19%+500000000*0.15%+(N32-1000000000)*0.12%,IF(N32&gt;5000000000,100000000*0.24%+400000000*0.19%+500000000*0.15%+4000000000*0.12%+(N32-5000000000)*0.1%,"Bingung komputer"))))),2)</f>
        <v>214790.75</v>
      </c>
      <c r="G32" s="65"/>
      <c r="H32" s="66"/>
      <c r="I32" s="62"/>
      <c r="J32" s="67"/>
      <c r="K32" t="str" s="67" cm="1">
        <f t="array" ref="K32">"Jumlah Terkena Pajak "&amp;MAX(K3:K30)&amp;"% (B)"</f>
        <v>Jumlah Terkena Pajak 11,00% (B)</v>
      </c>
      <c r="L32" s="68" cm="1">
        <f t="array" ref="L32">SUMIF($K3:$K30,"&gt;0",L3:L30)</f>
        <v>89849981.0891</v>
      </c>
      <c r="M32" s="69" cm="1">
        <f t="array" ref="M32">SUMIF($K3:$K30,"&gt;0",M3:M30)</f>
        <v>89496143.87</v>
      </c>
      <c r="N32" s="69" cm="1">
        <f t="array" ref="N32">SUMIF($K3:$K30,"&gt;0",N3:N30)</f>
        <v>89496143.87</v>
      </c>
    </row>
    <row r="33" ht="21" customHeight="1">
      <c r="A33" s="70"/>
      <c r="B33" s="71"/>
      <c r="C33" s="71"/>
      <c r="D33" s="72"/>
      <c r="E33" s="72"/>
      <c r="F33" s="71"/>
      <c r="G33" s="72"/>
      <c r="H33" s="72"/>
      <c r="I33" s="71"/>
      <c r="J33" s="73"/>
      <c r="K33" t="str" s="73" cm="1">
        <f t="array" ref="K33">"PPN (C) = "&amp;MAX(K3:K30)&amp;"% x B"</f>
        <v>PPN (C) = 11,00% x B</v>
      </c>
      <c r="L33" s="74" cm="1">
        <f t="array" ref="L33">L32*MAX($K3:$K30)%</f>
        <v>9883497.919801001</v>
      </c>
      <c r="M33" s="69" cm="1">
        <f t="array" ref="M33">M32*MAX($K3:$K30)%</f>
        <v>9844575.8257</v>
      </c>
      <c r="N33" s="69" cm="1">
        <f t="array" ref="N33">N32*MAX($K3:$K30)%</f>
        <v>9844575.8257</v>
      </c>
    </row>
    <row r="34" ht="21" customHeight="1">
      <c r="A34" s="70"/>
      <c r="B34" s="71"/>
      <c r="C34" s="71"/>
      <c r="D34" s="72"/>
      <c r="E34" s="72"/>
      <c r="F34" s="72"/>
      <c r="G34" s="72"/>
      <c r="H34" s="72"/>
      <c r="I34" s="71"/>
      <c r="J34" s="73"/>
      <c r="K34" t="s" s="75">
        <v>42</v>
      </c>
      <c r="L34" s="76" cm="1">
        <f t="array" ref="L34">L31+L33</f>
        <v>99973479.008901</v>
      </c>
      <c r="M34" s="69" cm="1">
        <f t="array" ref="M34">M31+M33</f>
        <v>99560760.42569999</v>
      </c>
      <c r="N34" s="69" cm="1">
        <f t="array" ref="N34">N31+N33</f>
        <v>99555510.4457</v>
      </c>
    </row>
    <row r="35" ht="20.5" customHeight="1">
      <c r="A35" s="70"/>
      <c r="B35" s="71"/>
      <c r="C35" s="71"/>
      <c r="D35" s="72"/>
      <c r="E35" s="72"/>
      <c r="F35" s="72"/>
      <c r="G35" s="72"/>
      <c r="H35" s="72"/>
      <c r="I35" s="71"/>
      <c r="J35" s="73"/>
      <c r="K35" t="s" s="75">
        <v>43</v>
      </c>
      <c r="L35" s="68" cm="1">
        <f t="array" ref="L35">ROUNDDOWN(L34,2)</f>
        <v>99973479</v>
      </c>
      <c r="M35" s="68" cm="1">
        <f t="array" ref="M35">ROUNDDOWN(M34,2)</f>
        <v>99560760.42</v>
      </c>
      <c r="N35" s="68" cm="1">
        <f t="array" ref="N35">ROUNDDOWN(N34,-3)</f>
        <v>99555000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98.xml><?xml version="1.0" encoding="utf-8"?>
<worksheet xmlns:r="http://schemas.openxmlformats.org/officeDocument/2006/relationships" xmlns="http://schemas.openxmlformats.org/spreadsheetml/2006/main">
  <sheetPr>
    <pageSetUpPr fitToPage="1"/>
  </sheetPr>
  <dimension ref="A1:N32"/>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289" customWidth="1"/>
    <col min="2" max="2" width="43.0312" style="289" customWidth="1"/>
    <col min="3" max="3" width="2.75" style="289" customWidth="1"/>
    <col min="4" max="6" width="10.3672" style="289" customWidth="1"/>
    <col min="7" max="7" width="11.6875" style="289" customWidth="1"/>
    <col min="8" max="11" width="13.5156" style="289" customWidth="1"/>
    <col min="12" max="14" width="14.2344" style="289" customWidth="1"/>
    <col min="15" max="16384" width="16.3516" style="289"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16</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t="s" s="18">
        <v>17</v>
      </c>
      <c r="B4" t="s" s="19">
        <v>18</v>
      </c>
      <c r="C4" s="20"/>
      <c r="D4" s="21">
        <v>1</v>
      </c>
      <c r="E4" s="21" cm="1">
        <f t="array" ref="E4">D4</f>
        <v>1</v>
      </c>
      <c r="F4" s="21" cm="1">
        <f t="array" ref="F4">D4</f>
        <v>1</v>
      </c>
      <c r="G4" t="s" s="22">
        <v>19</v>
      </c>
      <c r="H4" s="21">
        <v>10505250</v>
      </c>
      <c r="I4" s="21">
        <v>10381050</v>
      </c>
      <c r="J4" s="21">
        <v>10381050</v>
      </c>
      <c r="K4" s="21">
        <v>11</v>
      </c>
      <c r="L4" s="21" cm="1">
        <f t="array" ref="L4">IF(D4&gt;0,IF($D4&lt;=0,0,D4*H4),"")</f>
        <v>10505250</v>
      </c>
      <c r="M4" s="21" cm="1">
        <f t="array" ref="M4">IF(E4&gt;0,IF($D4&lt;=0,0,ROUND(E4*I4,2)),"")</f>
        <v>10381050</v>
      </c>
      <c r="N4" s="23" cm="1">
        <f t="array" ref="N4">IF(F4&gt;0,IF($D4&lt;=0,0,ROUND(F4*J4,2)),"")</f>
        <v>10381050</v>
      </c>
    </row>
    <row r="5" ht="20.5" customHeight="1">
      <c r="A5" t="s" s="18">
        <v>20</v>
      </c>
      <c r="B5" t="s" s="19">
        <v>21</v>
      </c>
      <c r="C5" s="24"/>
      <c r="D5" s="25">
        <v>1</v>
      </c>
      <c r="E5" s="26" cm="1">
        <f t="array" ref="E5">D5</f>
        <v>1</v>
      </c>
      <c r="F5" s="26" cm="1">
        <f t="array" ref="F5">D5</f>
        <v>1</v>
      </c>
      <c r="G5" t="s" s="27">
        <v>19</v>
      </c>
      <c r="H5" s="26">
        <v>660000</v>
      </c>
      <c r="I5" s="26">
        <v>610000</v>
      </c>
      <c r="J5" s="26">
        <v>610000</v>
      </c>
      <c r="K5" s="26">
        <v>11</v>
      </c>
      <c r="L5" s="26" cm="1">
        <f t="array" ref="L5">IF(D5&gt;0,IF($D5&lt;=0,0,D5*H5),"")</f>
        <v>660000</v>
      </c>
      <c r="M5" s="26" cm="1">
        <f t="array" ref="M5">IF(E5&gt;0,IF($D5&lt;=0,0,ROUND(E5*I5,2)),"")</f>
        <v>610000</v>
      </c>
      <c r="N5" s="28" cm="1">
        <f t="array" ref="N5">IF(F5&gt;0,IF($D5&lt;=0,0,ROUND(F5*J5,2)),"")</f>
        <v>610000</v>
      </c>
    </row>
    <row r="6" ht="20.5" customHeight="1">
      <c r="A6" t="s" s="18">
        <v>22</v>
      </c>
      <c r="B6" t="s" s="19">
        <v>23</v>
      </c>
      <c r="C6" s="20"/>
      <c r="D6" s="21">
        <v>1</v>
      </c>
      <c r="E6" s="21" cm="1">
        <f t="array" ref="E6">D6</f>
        <v>1</v>
      </c>
      <c r="F6" s="21" cm="1">
        <f t="array" ref="F6">D6</f>
        <v>1</v>
      </c>
      <c r="G6" t="s" s="22">
        <v>19</v>
      </c>
      <c r="H6" s="21">
        <v>3298000</v>
      </c>
      <c r="I6" s="21">
        <v>3272000</v>
      </c>
      <c r="J6" s="21">
        <v>3272000</v>
      </c>
      <c r="K6" s="21">
        <v>11</v>
      </c>
      <c r="L6" s="21" cm="1">
        <f t="array" ref="L6">IF(D6&gt;0,IF($D6&lt;=0,0,D6*H6),"")</f>
        <v>3298000</v>
      </c>
      <c r="M6" s="21" cm="1">
        <f t="array" ref="M6">IF(E6&gt;0,IF($D6&lt;=0,0,ROUND(E6*I6,2)),"")</f>
        <v>3272000</v>
      </c>
      <c r="N6" s="23" cm="1">
        <f t="array" ref="N6">IF(F6&gt;0,IF($D6&lt;=0,0,ROUND(F6*J6,2)),"")</f>
        <v>3272000</v>
      </c>
    </row>
    <row r="7" ht="20.5" customHeight="1">
      <c r="A7" s="29"/>
      <c r="B7" t="s" s="19">
        <v>28</v>
      </c>
      <c r="C7" s="24"/>
      <c r="D7" s="30"/>
      <c r="E7" s="26"/>
      <c r="F7" s="26"/>
      <c r="G7" s="30"/>
      <c r="H7" s="26"/>
      <c r="I7" s="30"/>
      <c r="J7" s="30"/>
      <c r="K7" s="26"/>
      <c r="L7" t="str" s="30" cm="1">
        <f t="array" ref="L7">IF(D7&gt;0,IF($D7&lt;=0,0,D7*H7),"")</f>
      </c>
      <c r="M7" t="str" s="30" cm="1">
        <f t="array" ref="M7">IF(E7&gt;0,IF($D7&lt;=0,0,ROUND(E7*I7,2)),"")</f>
      </c>
      <c r="N7" t="str" s="31" cm="1">
        <f t="array" ref="N7">IF(F7&gt;0,IF($D7&lt;=0,0,ROUND(F7*J7,2)),"")</f>
      </c>
    </row>
    <row r="8" ht="20.5" customHeight="1">
      <c r="A8" t="s" s="18">
        <v>31</v>
      </c>
      <c r="B8" t="s" s="19">
        <v>32</v>
      </c>
      <c r="C8" s="20"/>
      <c r="D8" s="78">
        <v>564</v>
      </c>
      <c r="E8" s="21" cm="1">
        <f t="array" ref="E8">D8</f>
        <v>564</v>
      </c>
      <c r="F8" s="21" cm="1">
        <f t="array" ref="F8">D8</f>
        <v>564</v>
      </c>
      <c r="G8" t="s" s="22">
        <v>27</v>
      </c>
      <c r="H8" s="21">
        <v>274539.81</v>
      </c>
      <c r="I8" s="21">
        <v>274539.2</v>
      </c>
      <c r="J8" s="21">
        <v>274539.2</v>
      </c>
      <c r="K8" s="21">
        <v>11</v>
      </c>
      <c r="L8" s="21" cm="1">
        <f t="array" ref="L8">IF(D8&gt;0,IF($D8&lt;=0,0,D8*H8),"")</f>
        <v>154840452.84</v>
      </c>
      <c r="M8" s="21" cm="1">
        <f t="array" ref="M8">IF(E8&gt;0,IF($D8&lt;=0,0,ROUND(E8*I8,2)),"")</f>
        <v>154840108.8</v>
      </c>
      <c r="N8" s="23" cm="1">
        <f t="array" ref="N8">IF(F8&gt;0,IF($D8&lt;=0,0,ROUND(F8*J8,2)),"")</f>
        <v>154840108.8</v>
      </c>
    </row>
    <row r="9" ht="20.5" customHeight="1">
      <c r="A9" t="s" s="18">
        <v>33</v>
      </c>
      <c r="B9" t="s" s="19">
        <v>34</v>
      </c>
      <c r="C9" s="24"/>
      <c r="D9" s="26">
        <v>3480</v>
      </c>
      <c r="E9" s="26" cm="1">
        <f t="array" ref="E9">D9</f>
        <v>3480</v>
      </c>
      <c r="F9" s="26" cm="1">
        <f t="array" ref="F9">D9</f>
        <v>3480</v>
      </c>
      <c r="G9" t="s" s="27">
        <v>35</v>
      </c>
      <c r="H9" s="26">
        <v>2996.59</v>
      </c>
      <c r="I9" s="122">
        <v>2996.48</v>
      </c>
      <c r="J9" s="122">
        <v>2996.48</v>
      </c>
      <c r="K9" s="26">
        <v>11</v>
      </c>
      <c r="L9" s="26" cm="1">
        <f t="array" ref="L9">IF(D9&gt;0,IF($D9&lt;=0,0,D9*H9),"")</f>
        <v>10428133.2</v>
      </c>
      <c r="M9" s="26" cm="1">
        <f t="array" ref="M9">IF(E9&gt;0,IF($D9&lt;=0,0,ROUND(E9*I9,2)),"")</f>
        <v>10427750.4</v>
      </c>
      <c r="N9" s="28" cm="1">
        <f t="array" ref="N9">IF(F9&gt;0,IF($D9&lt;=0,0,ROUND(F9*J9,2)),"")</f>
        <v>10427750.4</v>
      </c>
    </row>
    <row r="10" ht="20.5" customHeight="1">
      <c r="A10" s="29"/>
      <c r="B10" t="s" s="19">
        <v>36</v>
      </c>
      <c r="C10" s="20"/>
      <c r="D10" s="21"/>
      <c r="E10" s="21"/>
      <c r="F10" s="21"/>
      <c r="G10" s="79"/>
      <c r="H10" s="79"/>
      <c r="I10" s="79"/>
      <c r="J10" s="79"/>
      <c r="K10" s="21"/>
      <c r="L10" t="str" s="79" cm="1">
        <f t="array" ref="L10">IF(D10&gt;0,IF($D10&lt;=0,0,D10*H10),"")</f>
      </c>
      <c r="M10" s="21"/>
      <c r="N10" s="23"/>
    </row>
    <row r="11" ht="20.6" customHeight="1">
      <c r="A11" s="33">
        <v>1</v>
      </c>
      <c r="B11" t="s" s="34">
        <v>37</v>
      </c>
      <c r="C11" s="80"/>
      <c r="D11" s="81">
        <v>1</v>
      </c>
      <c r="E11" s="81" cm="1">
        <f t="array" ref="E11">D11</f>
        <v>1</v>
      </c>
      <c r="F11" s="81" cm="1">
        <f t="array" ref="F11">D11</f>
        <v>1</v>
      </c>
      <c r="G11" t="s" s="82">
        <v>19</v>
      </c>
      <c r="H11" s="81">
        <v>391490.48</v>
      </c>
      <c r="I11" s="81">
        <v>391108.7</v>
      </c>
      <c r="J11" s="81">
        <v>391108.7</v>
      </c>
      <c r="K11" s="81">
        <v>0</v>
      </c>
      <c r="L11" s="81" cm="1">
        <f t="array" ref="L11">IF(D11&gt;0,IF($D11&lt;=0,0,D11*H11),"")</f>
        <v>391490.48</v>
      </c>
      <c r="M11" s="81" cm="1">
        <f t="array" ref="M11">IF(E11&gt;0,IF($D11&lt;=0,0,ROUND(E11*I11,2)),"")</f>
        <v>391108.7</v>
      </c>
      <c r="N11" s="83" cm="1">
        <f t="array" ref="N11">IF(F11&gt;0,IF($D11&lt;=0,0,ROUND(F11*J11,2)),"")</f>
        <v>391108.7</v>
      </c>
    </row>
    <row r="12" ht="8.75" customHeight="1" hidden="1">
      <c r="A12" s="39"/>
      <c r="B12" s="40"/>
      <c r="C12" s="45"/>
      <c r="D12" s="46"/>
      <c r="E12" s="46"/>
      <c r="F12" s="46"/>
      <c r="G12" s="47"/>
      <c r="H12" s="46"/>
      <c r="I12" s="46"/>
      <c r="J12" s="46"/>
      <c r="K12" s="46"/>
      <c r="L12" s="46"/>
      <c r="M12" s="46"/>
      <c r="N12" s="48"/>
    </row>
    <row r="13" ht="8.75" customHeight="1" hidden="1">
      <c r="A13" s="39"/>
      <c r="B13" s="40"/>
      <c r="C13" s="41"/>
      <c r="D13" s="42"/>
      <c r="E13" s="42"/>
      <c r="F13" s="42"/>
      <c r="G13" s="43"/>
      <c r="H13" s="42"/>
      <c r="I13" s="42"/>
      <c r="J13" s="42"/>
      <c r="K13" s="42"/>
      <c r="L13" s="42"/>
      <c r="M13" s="42"/>
      <c r="N13" s="44"/>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2"/>
      <c r="I15" s="42"/>
      <c r="J15" s="42"/>
      <c r="K15" s="42"/>
      <c r="L15" s="42"/>
      <c r="M15" s="42"/>
      <c r="N15" s="44"/>
    </row>
    <row r="16" ht="8.75" customHeight="1" hidden="1">
      <c r="A16" s="39"/>
      <c r="B16" s="40"/>
      <c r="C16" s="45"/>
      <c r="D16" s="46"/>
      <c r="E16" s="46"/>
      <c r="F16" s="46"/>
      <c r="G16" s="47"/>
      <c r="H16" s="46"/>
      <c r="I16" s="46"/>
      <c r="J16" s="46"/>
      <c r="K16" s="46"/>
      <c r="L16" s="46"/>
      <c r="M16" s="46"/>
      <c r="N16" s="48"/>
    </row>
    <row r="17" ht="8.75" customHeight="1" hidden="1">
      <c r="A17" s="39"/>
      <c r="B17" s="40"/>
      <c r="C17" s="41"/>
      <c r="D17" s="42"/>
      <c r="E17" s="42"/>
      <c r="F17" s="42"/>
      <c r="G17" s="43"/>
      <c r="H17" s="42"/>
      <c r="I17" s="42"/>
      <c r="J17" s="42"/>
      <c r="K17" s="42"/>
      <c r="L17" s="42"/>
      <c r="M17" s="42"/>
      <c r="N17" s="44"/>
    </row>
    <row r="18" ht="8.75" customHeight="1" hidden="1">
      <c r="A18" s="39"/>
      <c r="B18" s="40"/>
      <c r="C18" s="45"/>
      <c r="D18" s="46"/>
      <c r="E18" s="46"/>
      <c r="F18" s="46"/>
      <c r="G18" s="47"/>
      <c r="H18" s="47"/>
      <c r="I18" s="47"/>
      <c r="J18" s="47"/>
      <c r="K18" s="46"/>
      <c r="L18" s="47"/>
      <c r="M18" s="47"/>
      <c r="N18" s="52"/>
    </row>
    <row r="19" ht="8.75" customHeight="1" hidden="1">
      <c r="A19" s="39"/>
      <c r="B19" s="40"/>
      <c r="C19" s="41"/>
      <c r="D19" s="42"/>
      <c r="E19" s="42"/>
      <c r="F19" s="42"/>
      <c r="G19" s="43"/>
      <c r="H19" s="84"/>
      <c r="I19" s="84"/>
      <c r="J19" s="84"/>
      <c r="K19" s="42"/>
      <c r="L19" s="42"/>
      <c r="M19" s="42"/>
      <c r="N19" s="44"/>
    </row>
    <row r="20" ht="8.75" customHeight="1" hidden="1">
      <c r="A20" s="39"/>
      <c r="B20" s="40"/>
      <c r="C20" s="45"/>
      <c r="D20" s="46"/>
      <c r="E20" s="46"/>
      <c r="F20" s="46"/>
      <c r="G20" s="47"/>
      <c r="H20" s="47"/>
      <c r="I20" s="47"/>
      <c r="J20" s="47"/>
      <c r="K20" s="46"/>
      <c r="L20" s="47"/>
      <c r="M20" s="47"/>
      <c r="N20" s="52"/>
    </row>
    <row r="21" ht="8.75" customHeight="1" hidden="1">
      <c r="A21" s="39"/>
      <c r="B21" s="40"/>
      <c r="C21" s="41"/>
      <c r="D21" s="42"/>
      <c r="E21" s="42"/>
      <c r="F21" s="42"/>
      <c r="G21" s="43"/>
      <c r="H21" s="42"/>
      <c r="I21" s="42"/>
      <c r="J21" s="42"/>
      <c r="K21" s="42"/>
      <c r="L21" s="42"/>
      <c r="M21" s="42"/>
      <c r="N21" s="44"/>
    </row>
    <row r="22" ht="8.75" customHeight="1" hidden="1">
      <c r="A22" s="39"/>
      <c r="B22" s="40"/>
      <c r="C22" s="45"/>
      <c r="D22" s="46"/>
      <c r="E22" s="46"/>
      <c r="F22" s="46"/>
      <c r="G22" s="47"/>
      <c r="H22" s="46"/>
      <c r="I22" s="46"/>
      <c r="J22" s="46"/>
      <c r="K22" s="46"/>
      <c r="L22" s="46"/>
      <c r="M22" s="46"/>
      <c r="N22" s="48"/>
    </row>
    <row r="23" ht="8.75" customHeight="1" hidden="1">
      <c r="A23" s="51"/>
      <c r="B23" s="40"/>
      <c r="C23" s="41"/>
      <c r="D23" s="42"/>
      <c r="E23" s="42"/>
      <c r="F23" s="42"/>
      <c r="G23" s="43"/>
      <c r="H23" s="42"/>
      <c r="I23" s="42"/>
      <c r="J23" s="42"/>
      <c r="K23" s="42"/>
      <c r="L23" s="42"/>
      <c r="M23" s="42"/>
      <c r="N23" s="44"/>
    </row>
    <row r="24" ht="8.75" customHeight="1" hidden="1">
      <c r="A24" s="51"/>
      <c r="B24" s="40"/>
      <c r="C24" s="45"/>
      <c r="D24" s="46"/>
      <c r="E24" s="46"/>
      <c r="F24" s="46"/>
      <c r="G24" s="47"/>
      <c r="H24" s="46"/>
      <c r="I24" s="46"/>
      <c r="J24" s="46"/>
      <c r="K24" s="46"/>
      <c r="L24" s="46"/>
      <c r="M24" s="46"/>
      <c r="N24" s="48"/>
    </row>
    <row r="25" ht="8.75" customHeight="1" hidden="1">
      <c r="A25" s="39"/>
      <c r="B25" s="40"/>
      <c r="C25" s="41"/>
      <c r="D25" s="42"/>
      <c r="E25" s="42"/>
      <c r="F25" s="42"/>
      <c r="G25" s="43"/>
      <c r="H25" s="42"/>
      <c r="I25" s="42"/>
      <c r="J25" s="42"/>
      <c r="K25" s="42"/>
      <c r="L25" s="43"/>
      <c r="M25" s="43"/>
      <c r="N25" s="49"/>
    </row>
    <row r="26" ht="8.75" customHeight="1" hidden="1">
      <c r="A26" s="39"/>
      <c r="B26" s="40"/>
      <c r="C26" s="45"/>
      <c r="D26" s="46"/>
      <c r="E26" s="46"/>
      <c r="F26" s="46"/>
      <c r="G26" s="47"/>
      <c r="H26" s="46"/>
      <c r="I26" s="46"/>
      <c r="J26" s="46"/>
      <c r="K26" s="46"/>
      <c r="L26" s="46"/>
      <c r="M26" s="46"/>
      <c r="N26" s="48"/>
    </row>
    <row r="27" ht="8.75" customHeight="1" hidden="1">
      <c r="A27" s="39"/>
      <c r="B27" s="40"/>
      <c r="C27" s="41"/>
      <c r="D27" s="42"/>
      <c r="E27" s="42"/>
      <c r="F27" s="42"/>
      <c r="G27" s="43"/>
      <c r="H27" s="42"/>
      <c r="I27" s="42"/>
      <c r="J27" s="42"/>
      <c r="K27" s="42"/>
      <c r="L27" s="43"/>
      <c r="M27" s="43"/>
      <c r="N27" s="49"/>
    </row>
    <row r="28" ht="20.85" customHeight="1">
      <c r="A28" s="53"/>
      <c r="B28" s="54"/>
      <c r="C28" s="54"/>
      <c r="D28" s="55"/>
      <c r="E28" s="55"/>
      <c r="F28" s="55"/>
      <c r="G28" s="56"/>
      <c r="H28" s="56"/>
      <c r="I28" s="54"/>
      <c r="J28" s="57"/>
      <c r="K28" t="s" s="58">
        <v>38</v>
      </c>
      <c r="L28" s="59" cm="1">
        <f t="array" ref="L28">SUM(L1:L27)</f>
        <v>180123326.52</v>
      </c>
      <c r="M28" s="59" cm="1">
        <f t="array" ref="M28">SUM(M1:M27)</f>
        <v>179922017.9</v>
      </c>
      <c r="N28" s="59" cm="1">
        <f t="array" ref="N28">SUM(N1:N27)</f>
        <v>179922017.9</v>
      </c>
    </row>
    <row r="29" ht="21" customHeight="1">
      <c r="A29" s="60"/>
      <c r="B29" t="s" s="61">
        <v>39</v>
      </c>
      <c r="C29" s="62"/>
      <c r="D29" s="63" cm="1">
        <f t="array" ref="D29">ROUND(IF(L29&lt;=100000000,L29*0.24%,IF(AND(L29&gt;100000000,L29&lt;=500000000),100000000*0.24%+(L29-100000000)*0.19%,IF(AND(L29&gt;500000000,L29&lt;=1000000000),100000000*0.24%+400000000*0.19%+(L29-500000000)*0.15%,IF(AND(L29&gt;1000000000,L29&lt;=5000000000),100000000*0.24%+400000000*0.19%+500000000*0.15%+(L29-1000000000)*0.12%,IF(L29&gt;5000000000,100000000*0.24%+400000000*0.19%+500000000*0.15%+4000000000*0.12%+(L29-5000000000)*0.1%,"Bingung komputer"))))),2)</f>
        <v>391490.49</v>
      </c>
      <c r="E29" s="64" cm="1">
        <f t="array" ref="E29">ROUND(IF(M29&lt;=100000000,M29*0.24%,IF(AND(M29&gt;100000000,M29&lt;=500000000),100000000*0.24%+(M29-100000000)*0.19%,IF(AND(M29&gt;500000000,M29&lt;=1000000000),100000000*0.24%+400000000*0.19%+(M29-500000000)*0.15%,IF(AND(M29&gt;1000000000,M29&lt;=5000000000),100000000*0.24%+400000000*0.19%+500000000*0.15%+(M29-1000000000)*0.12%,IF(M29&gt;5000000000,100000000*0.24%+400000000*0.19%+500000000*0.15%+4000000000*0.12%+(M29-5000000000)*0.1%,"Bingung komputer"))))),2)</f>
        <v>391108.73</v>
      </c>
      <c r="F29" s="64" cm="1">
        <f t="array" ref="F29">ROUND(IF(N29&lt;=100000000,N29*0.24%,IF(AND(N29&gt;100000000,N29&lt;=500000000),100000000*0.24%+(N29-100000000)*0.19%,IF(AND(N29&gt;500000000,N29&lt;=1000000000),100000000*0.24%+400000000*0.19%+(N29-500000000)*0.15%,IF(AND(N29&gt;1000000000,N29&lt;=5000000000),100000000*0.24%+400000000*0.19%+500000000*0.15%+(N29-1000000000)*0.12%,IF(N29&gt;5000000000,100000000*0.24%+400000000*0.19%+500000000*0.15%+4000000000*0.12%+(N29-5000000000)*0.1%,"Bingung komputer"))))),2)</f>
        <v>391108.73</v>
      </c>
      <c r="G29" s="65"/>
      <c r="H29" s="66"/>
      <c r="I29" s="62"/>
      <c r="J29" s="67"/>
      <c r="K29" t="str" s="67" cm="1">
        <f t="array" ref="K29">"Jumlah Terkena Pajak "&amp;MAX(K3:K27)&amp;"% (B)"</f>
        <v>Jumlah Terkena Pajak 11,00% (B)</v>
      </c>
      <c r="L29" s="68" cm="1">
        <f t="array" ref="L29">SUMIF($K3:$K27,"&gt;0",L3:L27)</f>
        <v>179731836.04</v>
      </c>
      <c r="M29" s="69" cm="1">
        <f t="array" ref="M29">SUMIF($K3:$K27,"&gt;0",M3:M27)</f>
        <v>179530909.2</v>
      </c>
      <c r="N29" s="69" cm="1">
        <f t="array" ref="N29">SUMIF($K3:$K27,"&gt;0",N3:N27)</f>
        <v>179530909.2</v>
      </c>
    </row>
    <row r="30" ht="21" customHeight="1">
      <c r="A30" s="70"/>
      <c r="B30" s="71"/>
      <c r="C30" s="71"/>
      <c r="D30" s="72"/>
      <c r="E30" s="72"/>
      <c r="F30" s="71"/>
      <c r="G30" s="72"/>
      <c r="H30" s="72"/>
      <c r="I30" s="71"/>
      <c r="J30" s="73"/>
      <c r="K30" t="str" s="73" cm="1">
        <f t="array" ref="K30">"PPN (C) = "&amp;MAX(K3:K27)&amp;"% x B"</f>
        <v>PPN (C) = 11,00% x B</v>
      </c>
      <c r="L30" s="74" cm="1">
        <f t="array" ref="L30">L29*MAX($K3:$K27)%</f>
        <v>19770501.9644</v>
      </c>
      <c r="M30" s="69" cm="1">
        <f t="array" ref="M30">M29*MAX($K3:$K27)%</f>
        <v>19748400.012</v>
      </c>
      <c r="N30" s="69" cm="1">
        <f t="array" ref="N30">N29*MAX($K3:$K27)%</f>
        <v>19748400.012</v>
      </c>
    </row>
    <row r="31" ht="21" customHeight="1">
      <c r="A31" s="70"/>
      <c r="B31" s="71"/>
      <c r="C31" s="71"/>
      <c r="D31" s="72"/>
      <c r="E31" s="72"/>
      <c r="F31" s="72"/>
      <c r="G31" s="72"/>
      <c r="H31" s="72"/>
      <c r="I31" s="71"/>
      <c r="J31" s="73"/>
      <c r="K31" t="s" s="75">
        <v>42</v>
      </c>
      <c r="L31" s="76" cm="1">
        <f t="array" ref="L31">L28+L30</f>
        <v>199893828.4844</v>
      </c>
      <c r="M31" s="69" cm="1">
        <f t="array" ref="M31">M28+M30</f>
        <v>199670417.912</v>
      </c>
      <c r="N31" s="69" cm="1">
        <f t="array" ref="N31">N28+N30</f>
        <v>199670417.912</v>
      </c>
    </row>
    <row r="32" ht="20.5" customHeight="1">
      <c r="A32" s="70"/>
      <c r="B32" s="71"/>
      <c r="C32" s="71"/>
      <c r="D32" s="72"/>
      <c r="E32" s="72"/>
      <c r="F32" s="72"/>
      <c r="G32" s="72"/>
      <c r="H32" s="72"/>
      <c r="I32" s="71"/>
      <c r="J32" s="73"/>
      <c r="K32" t="s" s="75">
        <v>43</v>
      </c>
      <c r="L32" s="68" cm="1">
        <f t="array" ref="L32">ROUNDDOWN(L31,2)</f>
        <v>199893828.48</v>
      </c>
      <c r="M32" s="68" cm="1">
        <f t="array" ref="M32">ROUNDDOWN(M31,2)</f>
        <v>199670417.91</v>
      </c>
      <c r="N32" s="68" cm="1">
        <f t="array" ref="N32">ROUNDDOWN(N31,-3)</f>
        <v>199670000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99.xml><?xml version="1.0" encoding="utf-8"?>
<worksheet xmlns:r="http://schemas.openxmlformats.org/officeDocument/2006/relationships" xmlns="http://schemas.openxmlformats.org/spreadsheetml/2006/main">
  <sheetPr>
    <pageSetUpPr fitToPage="1"/>
  </sheetPr>
  <dimension ref="A1:N32"/>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290" customWidth="1"/>
    <col min="2" max="2" width="43.0312" style="290" customWidth="1"/>
    <col min="3" max="3" width="2.75" style="290" customWidth="1"/>
    <col min="4" max="6" width="10.3672" style="290" customWidth="1"/>
    <col min="7" max="7" width="11.6875" style="290" customWidth="1"/>
    <col min="8" max="11" width="13.5156" style="290" customWidth="1"/>
    <col min="12" max="14" width="14.2344" style="290" customWidth="1"/>
    <col min="15" max="16384" width="16.3516" style="290"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16</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t="s" s="18">
        <v>17</v>
      </c>
      <c r="B4" t="s" s="19">
        <v>18</v>
      </c>
      <c r="C4" s="20"/>
      <c r="D4" s="21">
        <v>1</v>
      </c>
      <c r="E4" s="21" cm="1">
        <f t="array" ref="E4">D4</f>
        <v>1</v>
      </c>
      <c r="F4" s="21" cm="1">
        <f t="array" ref="F4">D4</f>
        <v>1</v>
      </c>
      <c r="G4" t="s" s="22">
        <v>19</v>
      </c>
      <c r="H4" s="21">
        <v>9757750</v>
      </c>
      <c r="I4" s="21">
        <v>9689900</v>
      </c>
      <c r="J4" s="21">
        <v>9689900</v>
      </c>
      <c r="K4" s="21">
        <v>11</v>
      </c>
      <c r="L4" s="21" cm="1">
        <f t="array" ref="L4">IF(D4&gt;0,IF($D4&lt;=0,0,D4*H4),"")</f>
        <v>9757750</v>
      </c>
      <c r="M4" s="21" cm="1">
        <f t="array" ref="M4">IF(E4&gt;0,IF($D4&lt;=0,0,ROUND(E4*I4,2)),"")</f>
        <v>9689900</v>
      </c>
      <c r="N4" s="23" cm="1">
        <f t="array" ref="N4">IF(F4&gt;0,IF($D4&lt;=0,0,ROUND(F4*J4,2)),"")</f>
        <v>9689900</v>
      </c>
    </row>
    <row r="5" ht="20.5" customHeight="1">
      <c r="A5" t="s" s="18">
        <v>20</v>
      </c>
      <c r="B5" t="s" s="19">
        <v>21</v>
      </c>
      <c r="C5" s="24"/>
      <c r="D5" s="25">
        <v>1</v>
      </c>
      <c r="E5" s="26" cm="1">
        <f t="array" ref="E5">D5</f>
        <v>1</v>
      </c>
      <c r="F5" s="26" cm="1">
        <f t="array" ref="F5">D5</f>
        <v>1</v>
      </c>
      <c r="G5" t="s" s="27">
        <v>19</v>
      </c>
      <c r="H5" s="26">
        <v>660000</v>
      </c>
      <c r="I5" s="26">
        <v>620000</v>
      </c>
      <c r="J5" s="26">
        <v>620000</v>
      </c>
      <c r="K5" s="26">
        <v>11</v>
      </c>
      <c r="L5" s="26" cm="1">
        <f t="array" ref="L5">IF(D5&gt;0,IF($D5&lt;=0,0,D5*H5),"")</f>
        <v>660000</v>
      </c>
      <c r="M5" s="26" cm="1">
        <f t="array" ref="M5">IF(E5&gt;0,IF($D5&lt;=0,0,ROUND(E5*I5,2)),"")</f>
        <v>620000</v>
      </c>
      <c r="N5" s="28" cm="1">
        <f t="array" ref="N5">IF(F5&gt;0,IF($D5&lt;=0,0,ROUND(F5*J5,2)),"")</f>
        <v>620000</v>
      </c>
    </row>
    <row r="6" ht="20.5" customHeight="1">
      <c r="A6" t="s" s="18">
        <v>22</v>
      </c>
      <c r="B6" t="s" s="19">
        <v>23</v>
      </c>
      <c r="C6" s="20"/>
      <c r="D6" s="21">
        <v>1</v>
      </c>
      <c r="E6" s="21" cm="1">
        <f t="array" ref="E6">D6</f>
        <v>1</v>
      </c>
      <c r="F6" s="21" cm="1">
        <f t="array" ref="F6">D6</f>
        <v>1</v>
      </c>
      <c r="G6" t="s" s="22">
        <v>19</v>
      </c>
      <c r="H6" s="21">
        <v>3235000</v>
      </c>
      <c r="I6" s="21">
        <v>3205000</v>
      </c>
      <c r="J6" s="21">
        <v>3205000</v>
      </c>
      <c r="K6" s="21">
        <v>11</v>
      </c>
      <c r="L6" s="21" cm="1">
        <f t="array" ref="L6">IF(D6&gt;0,IF($D6&lt;=0,0,D6*H6),"")</f>
        <v>3235000</v>
      </c>
      <c r="M6" s="21" cm="1">
        <f t="array" ref="M6">IF(E6&gt;0,IF($D6&lt;=0,0,ROUND(E6*I6,2)),"")</f>
        <v>3205000</v>
      </c>
      <c r="N6" s="23" cm="1">
        <f t="array" ref="N6">IF(F6&gt;0,IF($D6&lt;=0,0,ROUND(F6*J6,2)),"")</f>
        <v>3205000</v>
      </c>
    </row>
    <row r="7" ht="20.5" customHeight="1">
      <c r="A7" s="29"/>
      <c r="B7" t="s" s="19">
        <v>28</v>
      </c>
      <c r="C7" s="24"/>
      <c r="D7" s="30"/>
      <c r="E7" s="26"/>
      <c r="F7" s="26"/>
      <c r="G7" s="30"/>
      <c r="H7" s="26"/>
      <c r="I7" s="291">
        <v>231802.29</v>
      </c>
      <c r="J7" s="30"/>
      <c r="K7" s="26"/>
      <c r="L7" t="str" s="30" cm="1">
        <f t="array" ref="L7">IF(D7&gt;0,IF($D7&lt;=0,0,D7*H7),"")</f>
      </c>
      <c r="M7" t="str" s="30" cm="1">
        <f t="array" ref="M7">IF(E7&gt;0,IF($D7&lt;=0,0,ROUND(E7*I7,2)),"")</f>
      </c>
      <c r="N7" t="str" s="31" cm="1">
        <f t="array" ref="N7">IF(F7&gt;0,IF($D7&lt;=0,0,ROUND(F7*J7,2)),"")</f>
      </c>
    </row>
    <row r="8" ht="20.5" customHeight="1">
      <c r="A8" t="s" s="18">
        <v>31</v>
      </c>
      <c r="B8" t="s" s="19">
        <v>32</v>
      </c>
      <c r="C8" s="20"/>
      <c r="D8" s="78">
        <v>689.13</v>
      </c>
      <c r="E8" s="21" cm="1">
        <f t="array" ref="E8">D8</f>
        <v>689.13</v>
      </c>
      <c r="F8" s="21" cm="1">
        <f t="array" ref="F8">D8</f>
        <v>689.13</v>
      </c>
      <c r="G8" t="s" s="22">
        <v>27</v>
      </c>
      <c r="H8" s="21">
        <v>231813.44</v>
      </c>
      <c r="I8" s="21">
        <v>231802.29</v>
      </c>
      <c r="J8" s="21">
        <v>231802.29</v>
      </c>
      <c r="K8" s="21">
        <v>11</v>
      </c>
      <c r="L8" s="21" cm="1">
        <f t="array" ref="L8">IF(D8&gt;0,IF($D8&lt;=0,0,D8*H8),"")</f>
        <v>159749595.9072</v>
      </c>
      <c r="M8" s="21" cm="1">
        <f t="array" ref="M8">IF(E8&gt;0,IF($D8&lt;=0,0,ROUND(E8*I8,2)),"")</f>
        <v>159741912.11</v>
      </c>
      <c r="N8" s="23" cm="1">
        <f t="array" ref="N8">IF(F8&gt;0,IF($D8&lt;=0,0,ROUND(F8*J8,2)),"")</f>
        <v>159741912.11</v>
      </c>
    </row>
    <row r="9" ht="20.5" customHeight="1">
      <c r="A9" t="s" s="18">
        <v>33</v>
      </c>
      <c r="B9" t="s" s="19">
        <v>34</v>
      </c>
      <c r="C9" s="24"/>
      <c r="D9" s="26">
        <v>625</v>
      </c>
      <c r="E9" s="26" cm="1">
        <f t="array" ref="E9">D9</f>
        <v>625</v>
      </c>
      <c r="F9" s="26" cm="1">
        <f t="array" ref="F9">D9</f>
        <v>625</v>
      </c>
      <c r="G9" t="s" s="27">
        <v>35</v>
      </c>
      <c r="H9" s="26">
        <v>2996.59</v>
      </c>
      <c r="I9" s="26">
        <v>2996.48</v>
      </c>
      <c r="J9" s="122">
        <v>2996.48</v>
      </c>
      <c r="K9" s="26">
        <v>11</v>
      </c>
      <c r="L9" s="26" cm="1">
        <f t="array" ref="L9">IF(D9&gt;0,IF($D9&lt;=0,0,D9*H9),"")</f>
        <v>1872868.75</v>
      </c>
      <c r="M9" s="26" cm="1">
        <f t="array" ref="M9">IF(E9&gt;0,IF($D9&lt;=0,0,ROUND(E9*I9,2)),"")</f>
        <v>1872800</v>
      </c>
      <c r="N9" s="28" cm="1">
        <f t="array" ref="N9">IF(F9&gt;0,IF($D9&lt;=0,0,ROUND(F9*J9,2)),"")</f>
        <v>1872800</v>
      </c>
    </row>
    <row r="10" ht="20.5" customHeight="1">
      <c r="A10" s="29"/>
      <c r="B10" t="s" s="19">
        <v>36</v>
      </c>
      <c r="C10" s="20"/>
      <c r="D10" s="21"/>
      <c r="E10" s="21"/>
      <c r="F10" s="21"/>
      <c r="G10" s="79"/>
      <c r="H10" s="79"/>
      <c r="I10" s="79"/>
      <c r="J10" s="79"/>
      <c r="K10" s="21"/>
      <c r="L10" t="str" s="79" cm="1">
        <f t="array" ref="L10">IF(D10&gt;0,IF($D10&lt;=0,0,D10*H10),"")</f>
      </c>
      <c r="M10" s="21"/>
      <c r="N10" s="23"/>
    </row>
    <row r="11" ht="20.6" customHeight="1">
      <c r="A11" s="33">
        <v>1</v>
      </c>
      <c r="B11" t="s" s="34">
        <v>37</v>
      </c>
      <c r="C11" s="80"/>
      <c r="D11" s="81">
        <v>1</v>
      </c>
      <c r="E11" s="81" cm="1">
        <f t="array" ref="E11">D11</f>
        <v>1</v>
      </c>
      <c r="F11" s="81" cm="1">
        <f t="array" ref="F11">D11</f>
        <v>1</v>
      </c>
      <c r="G11" t="s" s="82">
        <v>19</v>
      </c>
      <c r="H11" s="81">
        <v>381020.71</v>
      </c>
      <c r="I11" s="81">
        <v>380746.26</v>
      </c>
      <c r="J11" s="81">
        <v>380746.26</v>
      </c>
      <c r="K11" s="81">
        <v>0</v>
      </c>
      <c r="L11" s="81" cm="1">
        <f t="array" ref="L11">IF(D11&gt;0,IF($D11&lt;=0,0,D11*H11),"")</f>
        <v>381020.71</v>
      </c>
      <c r="M11" s="81" cm="1">
        <f t="array" ref="M11">IF(E11&gt;0,IF($D11&lt;=0,0,ROUND(E11*I11,2)),"")</f>
        <v>380746.26</v>
      </c>
      <c r="N11" s="83" cm="1">
        <f t="array" ref="N11">IF(F11&gt;0,IF($D11&lt;=0,0,ROUND(F11*J11,2)),"")</f>
        <v>380746.26</v>
      </c>
    </row>
    <row r="12" ht="8.75" customHeight="1" hidden="1">
      <c r="A12" s="39"/>
      <c r="B12" s="40"/>
      <c r="C12" s="45"/>
      <c r="D12" s="46"/>
      <c r="E12" s="46"/>
      <c r="F12" s="46"/>
      <c r="G12" s="47"/>
      <c r="H12" s="46"/>
      <c r="I12" s="46"/>
      <c r="J12" s="46"/>
      <c r="K12" s="46"/>
      <c r="L12" s="46"/>
      <c r="M12" s="46"/>
      <c r="N12" s="48"/>
    </row>
    <row r="13" ht="8.75" customHeight="1" hidden="1">
      <c r="A13" s="39"/>
      <c r="B13" s="40"/>
      <c r="C13" s="41"/>
      <c r="D13" s="42"/>
      <c r="E13" s="42"/>
      <c r="F13" s="42"/>
      <c r="G13" s="43"/>
      <c r="H13" s="42"/>
      <c r="I13" s="42"/>
      <c r="J13" s="42"/>
      <c r="K13" s="42"/>
      <c r="L13" s="42"/>
      <c r="M13" s="42"/>
      <c r="N13" s="44"/>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2"/>
      <c r="I15" s="42"/>
      <c r="J15" s="42"/>
      <c r="K15" s="42"/>
      <c r="L15" s="42"/>
      <c r="M15" s="42"/>
      <c r="N15" s="44"/>
    </row>
    <row r="16" ht="8.75" customHeight="1" hidden="1">
      <c r="A16" s="39"/>
      <c r="B16" s="40"/>
      <c r="C16" s="45"/>
      <c r="D16" s="46"/>
      <c r="E16" s="46"/>
      <c r="F16" s="46"/>
      <c r="G16" s="47"/>
      <c r="H16" s="46"/>
      <c r="I16" s="46"/>
      <c r="J16" s="46"/>
      <c r="K16" s="46"/>
      <c r="L16" s="46"/>
      <c r="M16" s="46"/>
      <c r="N16" s="48"/>
    </row>
    <row r="17" ht="8.75" customHeight="1" hidden="1">
      <c r="A17" s="39"/>
      <c r="B17" s="40"/>
      <c r="C17" s="41"/>
      <c r="D17" s="42"/>
      <c r="E17" s="42"/>
      <c r="F17" s="42"/>
      <c r="G17" s="43"/>
      <c r="H17" s="42"/>
      <c r="I17" s="42"/>
      <c r="J17" s="42"/>
      <c r="K17" s="42"/>
      <c r="L17" s="42"/>
      <c r="M17" s="42"/>
      <c r="N17" s="44"/>
    </row>
    <row r="18" ht="8.75" customHeight="1" hidden="1">
      <c r="A18" s="39"/>
      <c r="B18" s="40"/>
      <c r="C18" s="45"/>
      <c r="D18" s="46"/>
      <c r="E18" s="46"/>
      <c r="F18" s="46"/>
      <c r="G18" s="47"/>
      <c r="H18" s="47"/>
      <c r="I18" s="47"/>
      <c r="J18" s="47"/>
      <c r="K18" s="46"/>
      <c r="L18" s="47"/>
      <c r="M18" s="47"/>
      <c r="N18" s="52"/>
    </row>
    <row r="19" ht="8.75" customHeight="1" hidden="1">
      <c r="A19" s="39"/>
      <c r="B19" s="40"/>
      <c r="C19" s="41"/>
      <c r="D19" s="42"/>
      <c r="E19" s="42"/>
      <c r="F19" s="42"/>
      <c r="G19" s="43"/>
      <c r="H19" s="84"/>
      <c r="I19" s="84"/>
      <c r="J19" s="84"/>
      <c r="K19" s="42"/>
      <c r="L19" s="42"/>
      <c r="M19" s="42"/>
      <c r="N19" s="44"/>
    </row>
    <row r="20" ht="8.75" customHeight="1" hidden="1">
      <c r="A20" s="39"/>
      <c r="B20" s="40"/>
      <c r="C20" s="45"/>
      <c r="D20" s="46"/>
      <c r="E20" s="46"/>
      <c r="F20" s="46"/>
      <c r="G20" s="47"/>
      <c r="H20" s="47"/>
      <c r="I20" s="47"/>
      <c r="J20" s="47"/>
      <c r="K20" s="46"/>
      <c r="L20" s="47"/>
      <c r="M20" s="47"/>
      <c r="N20" s="52"/>
    </row>
    <row r="21" ht="8.75" customHeight="1" hidden="1">
      <c r="A21" s="39"/>
      <c r="B21" s="40"/>
      <c r="C21" s="41"/>
      <c r="D21" s="42"/>
      <c r="E21" s="42"/>
      <c r="F21" s="42"/>
      <c r="G21" s="43"/>
      <c r="H21" s="42"/>
      <c r="I21" s="42"/>
      <c r="J21" s="42"/>
      <c r="K21" s="42"/>
      <c r="L21" s="42"/>
      <c r="M21" s="42"/>
      <c r="N21" s="44"/>
    </row>
    <row r="22" ht="8.75" customHeight="1" hidden="1">
      <c r="A22" s="39"/>
      <c r="B22" s="40"/>
      <c r="C22" s="45"/>
      <c r="D22" s="46"/>
      <c r="E22" s="46"/>
      <c r="F22" s="46"/>
      <c r="G22" s="47"/>
      <c r="H22" s="46"/>
      <c r="I22" s="46"/>
      <c r="J22" s="46"/>
      <c r="K22" s="46"/>
      <c r="L22" s="46"/>
      <c r="M22" s="46"/>
      <c r="N22" s="48"/>
    </row>
    <row r="23" ht="8.75" customHeight="1" hidden="1">
      <c r="A23" s="51"/>
      <c r="B23" s="40"/>
      <c r="C23" s="41"/>
      <c r="D23" s="42"/>
      <c r="E23" s="42"/>
      <c r="F23" s="42"/>
      <c r="G23" s="43"/>
      <c r="H23" s="42"/>
      <c r="I23" s="42"/>
      <c r="J23" s="42"/>
      <c r="K23" s="42"/>
      <c r="L23" s="42"/>
      <c r="M23" s="42"/>
      <c r="N23" s="44"/>
    </row>
    <row r="24" ht="8.75" customHeight="1" hidden="1">
      <c r="A24" s="51"/>
      <c r="B24" s="40"/>
      <c r="C24" s="45"/>
      <c r="D24" s="46"/>
      <c r="E24" s="46"/>
      <c r="F24" s="46"/>
      <c r="G24" s="47"/>
      <c r="H24" s="46"/>
      <c r="I24" s="46"/>
      <c r="J24" s="46"/>
      <c r="K24" s="46"/>
      <c r="L24" s="46"/>
      <c r="M24" s="46"/>
      <c r="N24" s="48"/>
    </row>
    <row r="25" ht="8.75" customHeight="1" hidden="1">
      <c r="A25" s="39"/>
      <c r="B25" s="40"/>
      <c r="C25" s="41"/>
      <c r="D25" s="42"/>
      <c r="E25" s="42"/>
      <c r="F25" s="42"/>
      <c r="G25" s="43"/>
      <c r="H25" s="42"/>
      <c r="I25" s="42"/>
      <c r="J25" s="42"/>
      <c r="K25" s="42"/>
      <c r="L25" s="43"/>
      <c r="M25" s="43"/>
      <c r="N25" s="49"/>
    </row>
    <row r="26" ht="8.75" customHeight="1" hidden="1">
      <c r="A26" s="39"/>
      <c r="B26" s="40"/>
      <c r="C26" s="45"/>
      <c r="D26" s="46"/>
      <c r="E26" s="46"/>
      <c r="F26" s="46"/>
      <c r="G26" s="47"/>
      <c r="H26" s="46"/>
      <c r="I26" s="46"/>
      <c r="J26" s="46"/>
      <c r="K26" s="46"/>
      <c r="L26" s="46"/>
      <c r="M26" s="46"/>
      <c r="N26" s="48"/>
    </row>
    <row r="27" ht="8.75" customHeight="1" hidden="1">
      <c r="A27" s="39"/>
      <c r="B27" s="40"/>
      <c r="C27" s="41"/>
      <c r="D27" s="42"/>
      <c r="E27" s="42"/>
      <c r="F27" s="42"/>
      <c r="G27" s="43"/>
      <c r="H27" s="42"/>
      <c r="I27" s="42"/>
      <c r="J27" s="42"/>
      <c r="K27" s="42"/>
      <c r="L27" s="43"/>
      <c r="M27" s="43"/>
      <c r="N27" s="49"/>
    </row>
    <row r="28" ht="20.85" customHeight="1">
      <c r="A28" s="53"/>
      <c r="B28" s="54"/>
      <c r="C28" s="54"/>
      <c r="D28" s="55"/>
      <c r="E28" s="55"/>
      <c r="F28" s="55"/>
      <c r="G28" s="56"/>
      <c r="H28" s="56"/>
      <c r="I28" s="54"/>
      <c r="J28" s="57"/>
      <c r="K28" t="s" s="58">
        <v>38</v>
      </c>
      <c r="L28" s="59" cm="1">
        <f t="array" ref="L28">SUM(L1:L27)</f>
        <v>175656235.3672</v>
      </c>
      <c r="M28" s="59" cm="1">
        <f t="array" ref="M28">SUM(M1:M27)</f>
        <v>175510358.37</v>
      </c>
      <c r="N28" s="59" cm="1">
        <f t="array" ref="N28">SUM(N1:N27)</f>
        <v>175510358.37</v>
      </c>
    </row>
    <row r="29" ht="21" customHeight="1">
      <c r="A29" s="60"/>
      <c r="B29" t="s" s="61">
        <v>39</v>
      </c>
      <c r="C29" s="62"/>
      <c r="D29" s="63" cm="1">
        <f t="array" ref="D29">ROUND(IF(L29&lt;=100000000,L29*0.24%,IF(AND(L29&gt;100000000,L29&lt;=500000000),100000000*0.24%+(L29-100000000)*0.19%,IF(AND(L29&gt;500000000,L29&lt;=1000000000),100000000*0.24%+400000000*0.19%+(L29-500000000)*0.15%,IF(AND(L29&gt;1000000000,L29&lt;=5000000000),100000000*0.24%+400000000*0.19%+500000000*0.15%+(L29-1000000000)*0.12%,IF(L29&gt;5000000000,100000000*0.24%+400000000*0.19%+500000000*0.15%+4000000000*0.12%+(L29-5000000000)*0.1%,"Bingung komputer"))))),2)</f>
        <v>383022.91</v>
      </c>
      <c r="E29" s="64" cm="1">
        <f t="array" ref="E29">ROUND(IF(M29&lt;=100000000,M29*0.24%,IF(AND(M29&gt;100000000,M29&lt;=500000000),100000000*0.24%+(M29-100000000)*0.19%,IF(AND(M29&gt;500000000,M29&lt;=1000000000),100000000*0.24%+400000000*0.19%+(M29-500000000)*0.15%,IF(AND(M29&gt;1000000000,M29&lt;=5000000000),100000000*0.24%+400000000*0.19%+500000000*0.15%+(M29-1000000000)*0.12%,IF(M29&gt;5000000000,100000000*0.24%+400000000*0.19%+500000000*0.15%+4000000000*0.12%+(M29-5000000000)*0.1%,"Bingung komputer"))))),2)</f>
        <v>382746.26</v>
      </c>
      <c r="F29" s="64" cm="1">
        <f t="array" ref="F29">ROUND(IF(N29&lt;=100000000,N29*0.24%,IF(AND(N29&gt;100000000,N29&lt;=500000000),100000000*0.24%+(N29-100000000)*0.19%,IF(AND(N29&gt;500000000,N29&lt;=1000000000),100000000*0.24%+400000000*0.19%+(N29-500000000)*0.15%,IF(AND(N29&gt;1000000000,N29&lt;=5000000000),100000000*0.24%+400000000*0.19%+500000000*0.15%+(N29-1000000000)*0.12%,IF(N29&gt;5000000000,100000000*0.24%+400000000*0.19%+500000000*0.15%+4000000000*0.12%+(N29-5000000000)*0.1%,"Bingung komputer"))))),2)</f>
        <v>382746.26</v>
      </c>
      <c r="G29" s="65"/>
      <c r="H29" s="66"/>
      <c r="I29" s="62"/>
      <c r="J29" s="67"/>
      <c r="K29" t="str" s="67" cm="1">
        <f t="array" ref="K29">"Jumlah Terkena Pajak "&amp;MAX(K3:K27)&amp;"% (B)"</f>
        <v>Jumlah Terkena Pajak 11,00% (B)</v>
      </c>
      <c r="L29" s="68" cm="1">
        <f t="array" ref="L29">SUMIF($K3:$K27,"&gt;0",L3:L27)</f>
        <v>175275214.6572</v>
      </c>
      <c r="M29" s="69" cm="1">
        <f t="array" ref="M29">SUMIF($K3:$K27,"&gt;0",M3:M27)</f>
        <v>175129612.11</v>
      </c>
      <c r="N29" s="69" cm="1">
        <f t="array" ref="N29">SUMIF($K3:$K27,"&gt;0",N3:N27)</f>
        <v>175129612.11</v>
      </c>
    </row>
    <row r="30" ht="21" customHeight="1">
      <c r="A30" s="70"/>
      <c r="B30" s="71"/>
      <c r="C30" s="71"/>
      <c r="D30" s="72"/>
      <c r="E30" s="72"/>
      <c r="F30" s="71"/>
      <c r="G30" s="72"/>
      <c r="H30" s="72"/>
      <c r="I30" s="71"/>
      <c r="J30" s="73"/>
      <c r="K30" t="str" s="73" cm="1">
        <f t="array" ref="K30">"PPN (C) = "&amp;MAX(K3:K27)&amp;"% x B"</f>
        <v>PPN (C) = 11,00% x B</v>
      </c>
      <c r="L30" s="74" cm="1">
        <f t="array" ref="L30">L29*MAX($K3:$K27)%</f>
        <v>19280273.612292</v>
      </c>
      <c r="M30" s="69" cm="1">
        <f t="array" ref="M30">M29*MAX($K3:$K27)%</f>
        <v>19264257.3321</v>
      </c>
      <c r="N30" s="69" cm="1">
        <f t="array" ref="N30">N29*MAX($K3:$K27)%</f>
        <v>19264257.3321</v>
      </c>
    </row>
    <row r="31" ht="21" customHeight="1">
      <c r="A31" s="70"/>
      <c r="B31" s="71"/>
      <c r="C31" s="71"/>
      <c r="D31" s="72"/>
      <c r="E31" s="72"/>
      <c r="F31" s="72"/>
      <c r="G31" s="72"/>
      <c r="H31" s="72"/>
      <c r="I31" s="71"/>
      <c r="J31" s="73"/>
      <c r="K31" t="s" s="75">
        <v>42</v>
      </c>
      <c r="L31" s="76" cm="1">
        <f t="array" ref="L31">L28+L30</f>
        <v>194936508.979492</v>
      </c>
      <c r="M31" s="69" cm="1">
        <f t="array" ref="M31">M28+M30</f>
        <v>194774615.7021</v>
      </c>
      <c r="N31" s="69" cm="1">
        <f t="array" ref="N31">N28+N30</f>
        <v>194774615.7021</v>
      </c>
    </row>
    <row r="32" ht="20.5" customHeight="1">
      <c r="A32" s="70"/>
      <c r="B32" s="71"/>
      <c r="C32" s="71"/>
      <c r="D32" s="72"/>
      <c r="E32" s="72"/>
      <c r="F32" s="72"/>
      <c r="G32" s="72"/>
      <c r="H32" s="72"/>
      <c r="I32" s="71"/>
      <c r="J32" s="73"/>
      <c r="K32" t="s" s="75">
        <v>43</v>
      </c>
      <c r="L32" s="68" cm="1">
        <f t="array" ref="L32">ROUNDDOWN(L31,2)</f>
        <v>194936508.97</v>
      </c>
      <c r="M32" s="68" cm="1">
        <f t="array" ref="M32">ROUNDDOWN(M31,2)</f>
        <v>194774615.7</v>
      </c>
      <c r="N32" s="68" cm="1">
        <f t="array" ref="N32">ROUNDDOWN(N31,-3)</f>
        <v>194774000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00.xml><?xml version="1.0" encoding="utf-8"?>
<worksheet xmlns:r="http://schemas.openxmlformats.org/officeDocument/2006/relationships" xmlns="http://schemas.openxmlformats.org/spreadsheetml/2006/main">
  <sheetPr>
    <pageSetUpPr fitToPage="1"/>
  </sheetPr>
  <dimension ref="A1:N32"/>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292" customWidth="1"/>
    <col min="2" max="2" width="43.0312" style="292" customWidth="1"/>
    <col min="3" max="3" width="2.75" style="292" customWidth="1"/>
    <col min="4" max="6" width="10.3672" style="292" customWidth="1"/>
    <col min="7" max="7" width="11.6875" style="292" customWidth="1"/>
    <col min="8" max="11" width="13.5156" style="292" customWidth="1"/>
    <col min="12" max="14" width="14.2344" style="292" customWidth="1"/>
    <col min="15" max="16384" width="16.3516" style="292"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16</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t="s" s="18">
        <v>17</v>
      </c>
      <c r="B4" t="s" s="19">
        <v>18</v>
      </c>
      <c r="C4" s="20"/>
      <c r="D4" s="21">
        <v>1</v>
      </c>
      <c r="E4" s="21" cm="1">
        <f t="array" ref="E4">D4</f>
        <v>1</v>
      </c>
      <c r="F4" s="21" cm="1">
        <f t="array" ref="F4">D4</f>
        <v>1</v>
      </c>
      <c r="G4" t="s" s="22">
        <v>19</v>
      </c>
      <c r="H4" s="21">
        <v>16709500</v>
      </c>
      <c r="I4" s="21">
        <v>16652000</v>
      </c>
      <c r="J4" s="21">
        <v>16652000</v>
      </c>
      <c r="K4" s="21">
        <v>11</v>
      </c>
      <c r="L4" s="21" cm="1">
        <f t="array" ref="L4">IF(D4&gt;0,IF($D4&lt;=0,0,D4*H4),"")</f>
        <v>16709500</v>
      </c>
      <c r="M4" s="21" cm="1">
        <f t="array" ref="M4">IF(E4&gt;0,IF($D4&lt;=0,0,ROUND(E4*I4,2)),"")</f>
        <v>16652000</v>
      </c>
      <c r="N4" s="23" cm="1">
        <f t="array" ref="N4">IF(F4&gt;0,IF($D4&lt;=0,0,ROUND(F4*J4,2)),"")</f>
        <v>16652000</v>
      </c>
    </row>
    <row r="5" ht="20.5" customHeight="1">
      <c r="A5" t="s" s="18">
        <v>20</v>
      </c>
      <c r="B5" t="s" s="19">
        <v>21</v>
      </c>
      <c r="C5" s="24"/>
      <c r="D5" s="25">
        <v>1</v>
      </c>
      <c r="E5" s="26" cm="1">
        <f t="array" ref="E5">D5</f>
        <v>1</v>
      </c>
      <c r="F5" s="26" cm="1">
        <f t="array" ref="F5">D5</f>
        <v>1</v>
      </c>
      <c r="G5" t="s" s="27">
        <v>19</v>
      </c>
      <c r="H5" s="26">
        <v>660000</v>
      </c>
      <c r="I5" s="26">
        <v>640000</v>
      </c>
      <c r="J5" s="26">
        <v>640000</v>
      </c>
      <c r="K5" s="26">
        <v>11</v>
      </c>
      <c r="L5" s="26" cm="1">
        <f t="array" ref="L5">IF(D5&gt;0,IF($D5&lt;=0,0,D5*H5),"")</f>
        <v>660000</v>
      </c>
      <c r="M5" s="26" cm="1">
        <f t="array" ref="M5">IF(E5&gt;0,IF($D5&lt;=0,0,ROUND(E5*I5,2)),"")</f>
        <v>640000</v>
      </c>
      <c r="N5" s="28" cm="1">
        <f t="array" ref="N5">IF(F5&gt;0,IF($D5&lt;=0,0,ROUND(F5*J5,2)),"")</f>
        <v>640000</v>
      </c>
    </row>
    <row r="6" ht="20.5" customHeight="1">
      <c r="A6" t="s" s="18">
        <v>22</v>
      </c>
      <c r="B6" t="s" s="19">
        <v>23</v>
      </c>
      <c r="C6" s="20"/>
      <c r="D6" s="21">
        <v>1</v>
      </c>
      <c r="E6" s="21" cm="1">
        <f t="array" ref="E6">D6</f>
        <v>1</v>
      </c>
      <c r="F6" s="21" cm="1">
        <f t="array" ref="F6">D6</f>
        <v>1</v>
      </c>
      <c r="G6" t="s" s="22">
        <v>19</v>
      </c>
      <c r="H6" s="21">
        <v>3885000</v>
      </c>
      <c r="I6" s="21">
        <v>3835000</v>
      </c>
      <c r="J6" s="21">
        <v>3835000</v>
      </c>
      <c r="K6" s="21">
        <v>11</v>
      </c>
      <c r="L6" s="21" cm="1">
        <f t="array" ref="L6">IF(D6&gt;0,IF($D6&lt;=0,0,D6*H6),"")</f>
        <v>3885000</v>
      </c>
      <c r="M6" s="21" cm="1">
        <f t="array" ref="M6">IF(E6&gt;0,IF($D6&lt;=0,0,ROUND(E6*I6,2)),"")</f>
        <v>3835000</v>
      </c>
      <c r="N6" s="23" cm="1">
        <f t="array" ref="N6">IF(F6&gt;0,IF($D6&lt;=0,0,ROUND(F6*J6,2)),"")</f>
        <v>3835000</v>
      </c>
    </row>
    <row r="7" ht="20.5" customHeight="1">
      <c r="A7" s="29"/>
      <c r="B7" t="s" s="19">
        <v>28</v>
      </c>
      <c r="C7" s="24"/>
      <c r="D7" s="30"/>
      <c r="E7" s="26"/>
      <c r="F7" s="26"/>
      <c r="G7" s="30"/>
      <c r="H7" s="26"/>
      <c r="I7" s="30"/>
      <c r="J7" s="30"/>
      <c r="K7" s="26"/>
      <c r="L7" t="str" s="30" cm="1">
        <f t="array" ref="L7">IF(D7&gt;0,IF($D7&lt;=0,0,D7*H7),"")</f>
      </c>
      <c r="M7" t="str" s="30" cm="1">
        <f t="array" ref="M7">IF(E7&gt;0,IF($D7&lt;=0,0,ROUND(E7*I7,2)),"")</f>
      </c>
      <c r="N7" t="str" s="31" cm="1">
        <f t="array" ref="N7">IF(F7&gt;0,IF($D7&lt;=0,0,ROUND(F7*J7,2)),"")</f>
      </c>
    </row>
    <row r="8" ht="20.5" customHeight="1">
      <c r="A8" t="s" s="18">
        <v>31</v>
      </c>
      <c r="B8" t="s" s="19">
        <v>32</v>
      </c>
      <c r="C8" s="20"/>
      <c r="D8" s="21">
        <v>540</v>
      </c>
      <c r="E8" s="21" cm="1">
        <f t="array" ref="E8">D8</f>
        <v>540</v>
      </c>
      <c r="F8" s="21" cm="1">
        <f t="array" ref="F8">E8</f>
        <v>540</v>
      </c>
      <c r="G8" t="s" s="22">
        <v>27</v>
      </c>
      <c r="H8" s="21">
        <v>274539.81</v>
      </c>
      <c r="I8" s="21">
        <v>274506.1</v>
      </c>
      <c r="J8" s="21">
        <v>274506.1</v>
      </c>
      <c r="K8" s="21">
        <v>11</v>
      </c>
      <c r="L8" s="21" cm="1">
        <f t="array" ref="L8">IF(D8&gt;0,IF($D8&lt;=0,0,D8*H8),"")</f>
        <v>148251497.4</v>
      </c>
      <c r="M8" s="21" cm="1">
        <f t="array" ref="M8">IF(E8&gt;0,IF($D8&lt;=0,0,ROUND(E8*I8,2)),"")</f>
        <v>148233294</v>
      </c>
      <c r="N8" s="23" cm="1">
        <f t="array" ref="N8">IF(F8&gt;0,IF($D8&lt;=0,0,ROUND(F8*J8,2)),"")</f>
        <v>148233294</v>
      </c>
    </row>
    <row r="9" ht="20.5" customHeight="1">
      <c r="A9" t="s" s="18">
        <v>33</v>
      </c>
      <c r="B9" t="s" s="19">
        <v>34</v>
      </c>
      <c r="C9" s="24"/>
      <c r="D9" s="26">
        <v>3375</v>
      </c>
      <c r="E9" s="26" cm="1">
        <f t="array" ref="E9">D9</f>
        <v>3375</v>
      </c>
      <c r="F9" s="26" cm="1">
        <f t="array" ref="F9">E9</f>
        <v>3375</v>
      </c>
      <c r="G9" t="s" s="27">
        <v>35</v>
      </c>
      <c r="H9" s="26">
        <v>2996.59</v>
      </c>
      <c r="I9" s="26">
        <v>2996.31</v>
      </c>
      <c r="J9" s="26">
        <v>2996.31</v>
      </c>
      <c r="K9" s="26">
        <v>11</v>
      </c>
      <c r="L9" s="26" cm="1">
        <f t="array" ref="L9">IF(D9&gt;0,IF($D9&lt;=0,0,D9*H9),"")</f>
        <v>10113491.25</v>
      </c>
      <c r="M9" s="26" cm="1">
        <f t="array" ref="M9">IF(E9&gt;0,IF($D9&lt;=0,0,ROUND(E9*I9,2)),"")</f>
        <v>10112546.25</v>
      </c>
      <c r="N9" s="28" cm="1">
        <f t="array" ref="N9">IF(F9&gt;0,IF($D9&lt;=0,0,ROUND(F9*J9,2)),"")</f>
        <v>10112546.25</v>
      </c>
    </row>
    <row r="10" ht="20.5" customHeight="1">
      <c r="A10" s="29"/>
      <c r="B10" t="s" s="19">
        <v>36</v>
      </c>
      <c r="C10" s="20"/>
      <c r="D10" s="21"/>
      <c r="E10" s="21"/>
      <c r="F10" s="21"/>
      <c r="G10" s="79"/>
      <c r="H10" s="79"/>
      <c r="I10" s="79"/>
      <c r="J10" s="79"/>
      <c r="K10" s="21"/>
      <c r="L10" t="str" s="79" cm="1">
        <f t="array" ref="L10">IF(D10&gt;0,IF($D10&lt;=0,0,D10*H10),"")</f>
      </c>
      <c r="M10" s="21"/>
      <c r="N10" s="23"/>
    </row>
    <row r="11" ht="20.6" customHeight="1">
      <c r="A11" s="33">
        <v>1</v>
      </c>
      <c r="B11" t="s" s="34">
        <v>37</v>
      </c>
      <c r="C11" s="80"/>
      <c r="D11" s="81">
        <v>1</v>
      </c>
      <c r="E11" s="81" cm="1">
        <f t="array" ref="E11">D11</f>
        <v>1</v>
      </c>
      <c r="F11" s="81" cm="1">
        <f t="array" ref="F11">D11</f>
        <v>1</v>
      </c>
      <c r="G11" t="s" s="82">
        <v>19</v>
      </c>
      <c r="H11" s="81">
        <v>391277.02</v>
      </c>
      <c r="I11" s="81">
        <v>390998.39</v>
      </c>
      <c r="J11" s="81" cm="1">
        <f t="array" ref="J11">391000-852.67</f>
        <v>390147.33</v>
      </c>
      <c r="K11" s="81">
        <v>0</v>
      </c>
      <c r="L11" s="81" cm="1">
        <f t="array" ref="L11">IF(D11&gt;0,IF($D11&lt;=0,0,D11*H11),"")</f>
        <v>391277.02</v>
      </c>
      <c r="M11" s="81" cm="1">
        <f t="array" ref="M11">IF(E11&gt;0,IF($D11&lt;=0,0,ROUND(E11*I11,2)),"")</f>
        <v>390998.39</v>
      </c>
      <c r="N11" s="83" cm="1">
        <f t="array" ref="N11">IF(F11&gt;0,IF($D11&lt;=0,0,ROUND(F11*J11,2)),"")</f>
        <v>390147.33</v>
      </c>
    </row>
    <row r="12" ht="8.75" customHeight="1" hidden="1">
      <c r="A12" s="39"/>
      <c r="B12" s="40"/>
      <c r="C12" s="45"/>
      <c r="D12" s="46"/>
      <c r="E12" s="46"/>
      <c r="F12" s="46"/>
      <c r="G12" s="47"/>
      <c r="H12" s="46"/>
      <c r="I12" s="46"/>
      <c r="J12" s="46"/>
      <c r="K12" s="46"/>
      <c r="L12" s="46"/>
      <c r="M12" s="46"/>
      <c r="N12" s="48"/>
    </row>
    <row r="13" ht="8.75" customHeight="1" hidden="1">
      <c r="A13" s="39"/>
      <c r="B13" s="40"/>
      <c r="C13" s="41"/>
      <c r="D13" s="42"/>
      <c r="E13" s="42"/>
      <c r="F13" s="42"/>
      <c r="G13" s="43"/>
      <c r="H13" s="42"/>
      <c r="I13" s="42"/>
      <c r="J13" s="42"/>
      <c r="K13" s="42"/>
      <c r="L13" s="42"/>
      <c r="M13" s="42"/>
      <c r="N13" s="44"/>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2"/>
      <c r="I15" s="42"/>
      <c r="J15" s="42"/>
      <c r="K15" s="42"/>
      <c r="L15" s="42"/>
      <c r="M15" s="42"/>
      <c r="N15" s="44"/>
    </row>
    <row r="16" ht="8.75" customHeight="1" hidden="1">
      <c r="A16" s="39"/>
      <c r="B16" s="40"/>
      <c r="C16" s="45"/>
      <c r="D16" s="46"/>
      <c r="E16" s="46"/>
      <c r="F16" s="46"/>
      <c r="G16" s="47"/>
      <c r="H16" s="46"/>
      <c r="I16" s="46"/>
      <c r="J16" s="46"/>
      <c r="K16" s="46"/>
      <c r="L16" s="46"/>
      <c r="M16" s="46"/>
      <c r="N16" s="48"/>
    </row>
    <row r="17" ht="8.75" customHeight="1" hidden="1">
      <c r="A17" s="39"/>
      <c r="B17" s="40"/>
      <c r="C17" s="41"/>
      <c r="D17" s="42"/>
      <c r="E17" s="42"/>
      <c r="F17" s="42"/>
      <c r="G17" s="43"/>
      <c r="H17" s="42"/>
      <c r="I17" s="42"/>
      <c r="J17" s="42"/>
      <c r="K17" s="42"/>
      <c r="L17" s="42"/>
      <c r="M17" s="42"/>
      <c r="N17" s="44"/>
    </row>
    <row r="18" ht="8.75" customHeight="1" hidden="1">
      <c r="A18" s="39"/>
      <c r="B18" s="40"/>
      <c r="C18" s="45"/>
      <c r="D18" s="46"/>
      <c r="E18" s="46"/>
      <c r="F18" s="46"/>
      <c r="G18" s="47"/>
      <c r="H18" s="47"/>
      <c r="I18" s="47"/>
      <c r="J18" s="47"/>
      <c r="K18" s="46"/>
      <c r="L18" s="47"/>
      <c r="M18" s="47"/>
      <c r="N18" s="52"/>
    </row>
    <row r="19" ht="8.75" customHeight="1" hidden="1">
      <c r="A19" s="39"/>
      <c r="B19" s="40"/>
      <c r="C19" s="41"/>
      <c r="D19" s="42"/>
      <c r="E19" s="42"/>
      <c r="F19" s="42"/>
      <c r="G19" s="43"/>
      <c r="H19" s="84"/>
      <c r="I19" s="84"/>
      <c r="J19" s="84"/>
      <c r="K19" s="42"/>
      <c r="L19" s="42"/>
      <c r="M19" s="42"/>
      <c r="N19" s="44"/>
    </row>
    <row r="20" ht="8.75" customHeight="1" hidden="1">
      <c r="A20" s="39"/>
      <c r="B20" s="40"/>
      <c r="C20" s="45"/>
      <c r="D20" s="46"/>
      <c r="E20" s="46"/>
      <c r="F20" s="46"/>
      <c r="G20" s="47"/>
      <c r="H20" s="47"/>
      <c r="I20" s="47"/>
      <c r="J20" s="47"/>
      <c r="K20" s="46"/>
      <c r="L20" s="47"/>
      <c r="M20" s="47"/>
      <c r="N20" s="52"/>
    </row>
    <row r="21" ht="8.75" customHeight="1" hidden="1">
      <c r="A21" s="39"/>
      <c r="B21" s="40"/>
      <c r="C21" s="41"/>
      <c r="D21" s="42"/>
      <c r="E21" s="42"/>
      <c r="F21" s="42"/>
      <c r="G21" s="43"/>
      <c r="H21" s="42"/>
      <c r="I21" s="42"/>
      <c r="J21" s="42"/>
      <c r="K21" s="42"/>
      <c r="L21" s="42"/>
      <c r="M21" s="42"/>
      <c r="N21" s="44"/>
    </row>
    <row r="22" ht="8.75" customHeight="1" hidden="1">
      <c r="A22" s="39"/>
      <c r="B22" s="40"/>
      <c r="C22" s="45"/>
      <c r="D22" s="46"/>
      <c r="E22" s="46"/>
      <c r="F22" s="46"/>
      <c r="G22" s="47"/>
      <c r="H22" s="46"/>
      <c r="I22" s="46"/>
      <c r="J22" s="46"/>
      <c r="K22" s="46"/>
      <c r="L22" s="46"/>
      <c r="M22" s="46"/>
      <c r="N22" s="48"/>
    </row>
    <row r="23" ht="8.75" customHeight="1" hidden="1">
      <c r="A23" s="51"/>
      <c r="B23" s="40"/>
      <c r="C23" s="41"/>
      <c r="D23" s="42"/>
      <c r="E23" s="42"/>
      <c r="F23" s="42"/>
      <c r="G23" s="43"/>
      <c r="H23" s="42"/>
      <c r="I23" s="42"/>
      <c r="J23" s="42"/>
      <c r="K23" s="42"/>
      <c r="L23" s="42"/>
      <c r="M23" s="42"/>
      <c r="N23" s="44"/>
    </row>
    <row r="24" ht="8.75" customHeight="1" hidden="1">
      <c r="A24" s="51"/>
      <c r="B24" s="40"/>
      <c r="C24" s="45"/>
      <c r="D24" s="46"/>
      <c r="E24" s="46"/>
      <c r="F24" s="46"/>
      <c r="G24" s="47"/>
      <c r="H24" s="46"/>
      <c r="I24" s="46"/>
      <c r="J24" s="46"/>
      <c r="K24" s="46"/>
      <c r="L24" s="46"/>
      <c r="M24" s="46"/>
      <c r="N24" s="48"/>
    </row>
    <row r="25" ht="8.75" customHeight="1" hidden="1">
      <c r="A25" s="39"/>
      <c r="B25" s="40"/>
      <c r="C25" s="41"/>
      <c r="D25" s="42"/>
      <c r="E25" s="42"/>
      <c r="F25" s="42"/>
      <c r="G25" s="43"/>
      <c r="H25" s="42"/>
      <c r="I25" s="42"/>
      <c r="J25" s="42"/>
      <c r="K25" s="42"/>
      <c r="L25" s="43"/>
      <c r="M25" s="43"/>
      <c r="N25" s="49"/>
    </row>
    <row r="26" ht="8.75" customHeight="1" hidden="1">
      <c r="A26" s="39"/>
      <c r="B26" s="40"/>
      <c r="C26" s="45"/>
      <c r="D26" s="46"/>
      <c r="E26" s="46"/>
      <c r="F26" s="46"/>
      <c r="G26" s="47"/>
      <c r="H26" s="46"/>
      <c r="I26" s="46"/>
      <c r="J26" s="46"/>
      <c r="K26" s="46"/>
      <c r="L26" s="46"/>
      <c r="M26" s="46"/>
      <c r="N26" s="48"/>
    </row>
    <row r="27" ht="8.75" customHeight="1" hidden="1">
      <c r="A27" s="39"/>
      <c r="B27" s="40"/>
      <c r="C27" s="41"/>
      <c r="D27" s="42"/>
      <c r="E27" s="42"/>
      <c r="F27" s="42"/>
      <c r="G27" s="43"/>
      <c r="H27" s="42"/>
      <c r="I27" s="42"/>
      <c r="J27" s="42"/>
      <c r="K27" s="42"/>
      <c r="L27" s="43"/>
      <c r="M27" s="43"/>
      <c r="N27" s="49"/>
    </row>
    <row r="28" ht="20.85" customHeight="1">
      <c r="A28" s="53"/>
      <c r="B28" s="54"/>
      <c r="C28" s="54"/>
      <c r="D28" s="55"/>
      <c r="E28" s="55"/>
      <c r="F28" s="55"/>
      <c r="G28" s="56"/>
      <c r="H28" s="56"/>
      <c r="I28" s="54"/>
      <c r="J28" s="57"/>
      <c r="K28" t="s" s="58">
        <v>38</v>
      </c>
      <c r="L28" s="59" cm="1">
        <f t="array" ref="L28">SUM(L1:L27)</f>
        <v>180010765.67</v>
      </c>
      <c r="M28" s="59" cm="1">
        <f t="array" ref="M28">SUM(M1:M27)</f>
        <v>179863838.64</v>
      </c>
      <c r="N28" s="59" cm="1">
        <f t="array" ref="N28">SUM(N1:N27)</f>
        <v>179862987.58</v>
      </c>
    </row>
    <row r="29" ht="21" customHeight="1">
      <c r="A29" s="60"/>
      <c r="B29" t="s" s="61">
        <v>39</v>
      </c>
      <c r="C29" s="62"/>
      <c r="D29" s="63"/>
      <c r="E29" s="64"/>
      <c r="F29" s="64"/>
      <c r="G29" s="65"/>
      <c r="H29" s="66"/>
      <c r="I29" s="62"/>
      <c r="J29" s="67"/>
      <c r="K29" t="str" s="67" cm="1">
        <f t="array" ref="K29">"Jumlah Terkena Pajak "&amp;MAX(K3:K27)&amp;"% (B)"</f>
        <v>Jumlah Terkena Pajak 11,00% (B)</v>
      </c>
      <c r="L29" s="68" cm="1">
        <f t="array" ref="L29">SUMIF($K3:$K27,"&gt;0",L3:L27)</f>
        <v>179619488.65</v>
      </c>
      <c r="M29" s="69" cm="1">
        <f t="array" ref="M29">SUMIF($K3:$K27,"&gt;0",M3:M27)</f>
        <v>179472840.25</v>
      </c>
      <c r="N29" s="69" cm="1">
        <f t="array" ref="N29">SUMIF($K3:$K27,"&gt;0",N3:N27)</f>
        <v>179472840.25</v>
      </c>
    </row>
    <row r="30" ht="21" customHeight="1">
      <c r="A30" s="70"/>
      <c r="B30" s="71"/>
      <c r="C30" s="71"/>
      <c r="D30" s="72"/>
      <c r="E30" s="72"/>
      <c r="F30" s="71"/>
      <c r="G30" s="72"/>
      <c r="H30" s="72"/>
      <c r="I30" s="71"/>
      <c r="J30" s="73"/>
      <c r="K30" t="str" s="73" cm="1">
        <f t="array" ref="K30">"PPN (C) = "&amp;MAX(K3:K27)&amp;"% x B"</f>
        <v>PPN (C) = 11,00% x B</v>
      </c>
      <c r="L30" s="74" cm="1">
        <f t="array" ref="L30">L29*MAX($K3:$K27)%</f>
        <v>19758143.7515</v>
      </c>
      <c r="M30" s="69" cm="1">
        <f t="array" ref="M30">M29*MAX($K3:$K27)%</f>
        <v>19742012.4275</v>
      </c>
      <c r="N30" s="69" cm="1">
        <f t="array" ref="N30">N29*MAX($K3:$K27)%</f>
        <v>19742012.4275</v>
      </c>
    </row>
    <row r="31" ht="21" customHeight="1">
      <c r="A31" s="70"/>
      <c r="B31" s="71"/>
      <c r="C31" s="71"/>
      <c r="D31" s="72"/>
      <c r="E31" s="72"/>
      <c r="F31" s="72"/>
      <c r="G31" s="72"/>
      <c r="H31" s="72"/>
      <c r="I31" s="71"/>
      <c r="J31" s="73"/>
      <c r="K31" t="s" s="75">
        <v>42</v>
      </c>
      <c r="L31" s="76" cm="1">
        <f t="array" ref="L31">L28+L30</f>
        <v>199768909.4215</v>
      </c>
      <c r="M31" s="69" cm="1">
        <f t="array" ref="M31">M28+M30</f>
        <v>199605851.0675</v>
      </c>
      <c r="N31" s="69" cm="1">
        <f t="array" ref="N31">N28+N30</f>
        <v>199605000.0075</v>
      </c>
    </row>
    <row r="32" ht="20.5" customHeight="1">
      <c r="A32" s="70"/>
      <c r="B32" s="71"/>
      <c r="C32" s="71"/>
      <c r="D32" s="72"/>
      <c r="E32" s="72"/>
      <c r="F32" s="72"/>
      <c r="G32" s="72"/>
      <c r="H32" s="72"/>
      <c r="I32" s="71"/>
      <c r="J32" s="73"/>
      <c r="K32" t="s" s="75">
        <v>43</v>
      </c>
      <c r="L32" s="68" cm="1">
        <f t="array" ref="L32">ROUNDDOWN(L31,2)</f>
        <v>199768909.42</v>
      </c>
      <c r="M32" s="68" cm="1">
        <f t="array" ref="M32">ROUNDDOWN(M31,2)</f>
        <v>199605851.06</v>
      </c>
      <c r="N32" s="68" cm="1">
        <f t="array" ref="N32">ROUNDDOWN(N31,-3)</f>
        <v>199605000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01.xml><?xml version="1.0" encoding="utf-8"?>
<worksheet xmlns:r="http://schemas.openxmlformats.org/officeDocument/2006/relationships" xmlns="http://schemas.openxmlformats.org/spreadsheetml/2006/main">
  <sheetPr>
    <pageSetUpPr fitToPage="1"/>
  </sheetPr>
  <dimension ref="A1:N34"/>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293" customWidth="1"/>
    <col min="2" max="2" width="43.0312" style="293" customWidth="1"/>
    <col min="3" max="3" width="2.75" style="293" customWidth="1"/>
    <col min="4" max="6" width="10.3672" style="293" customWidth="1"/>
    <col min="7" max="7" width="11.6875" style="293" customWidth="1"/>
    <col min="8" max="11" width="13.5156" style="293" customWidth="1"/>
    <col min="12" max="14" width="14.2344" style="293" customWidth="1"/>
    <col min="15" max="16384" width="16.3516" style="293"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16</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t="s" s="18">
        <v>17</v>
      </c>
      <c r="B4" t="s" s="19">
        <v>18</v>
      </c>
      <c r="C4" s="20"/>
      <c r="D4" s="21">
        <v>1</v>
      </c>
      <c r="E4" s="21" cm="1">
        <f t="array" ref="E4">D4</f>
        <v>1</v>
      </c>
      <c r="F4" s="21" cm="1">
        <f t="array" ref="F4">D4</f>
        <v>1</v>
      </c>
      <c r="G4" t="s" s="22">
        <v>19</v>
      </c>
      <c r="H4" s="21">
        <v>6842500</v>
      </c>
      <c r="I4" s="21">
        <v>6773500</v>
      </c>
      <c r="J4" s="21">
        <v>6773500</v>
      </c>
      <c r="K4" s="21">
        <v>11</v>
      </c>
      <c r="L4" s="21" cm="1">
        <f t="array" ref="L4">IF(D4&gt;0,IF($D4&lt;=0,0,D4*H4),"")</f>
        <v>6842500</v>
      </c>
      <c r="M4" s="21" cm="1">
        <f t="array" ref="M4">IF(E4&gt;0,IF($D4&lt;=0,0,ROUND(E4*I4,2)),"")</f>
        <v>6773500</v>
      </c>
      <c r="N4" s="23" cm="1">
        <f t="array" ref="N4">IF(F4&gt;0,IF($D4&lt;=0,0,ROUND(F4*J4,2)),"")</f>
        <v>6773500</v>
      </c>
    </row>
    <row r="5" ht="20.5" customHeight="1">
      <c r="A5" t="s" s="18">
        <v>20</v>
      </c>
      <c r="B5" t="s" s="19">
        <v>21</v>
      </c>
      <c r="C5" s="24"/>
      <c r="D5" s="25">
        <v>1</v>
      </c>
      <c r="E5" s="26" cm="1">
        <f t="array" ref="E5">D5</f>
        <v>1</v>
      </c>
      <c r="F5" s="26" cm="1">
        <f t="array" ref="F5">D5</f>
        <v>1</v>
      </c>
      <c r="G5" t="s" s="27">
        <v>19</v>
      </c>
      <c r="H5" s="26">
        <v>660000</v>
      </c>
      <c r="I5" s="26">
        <v>620000</v>
      </c>
      <c r="J5" s="26">
        <v>620000</v>
      </c>
      <c r="K5" s="26">
        <v>11</v>
      </c>
      <c r="L5" s="26" cm="1">
        <f t="array" ref="L5">IF(D5&gt;0,IF($D5&lt;=0,0,D5*H5),"")</f>
        <v>660000</v>
      </c>
      <c r="M5" s="26" cm="1">
        <f t="array" ref="M5">IF(E5&gt;0,IF($D5&lt;=0,0,ROUND(E5*I5,2)),"")</f>
        <v>620000</v>
      </c>
      <c r="N5" s="28" cm="1">
        <f t="array" ref="N5">IF(F5&gt;0,IF($D5&lt;=0,0,ROUND(F5*J5,2)),"")</f>
        <v>620000</v>
      </c>
    </row>
    <row r="6" ht="20.5" customHeight="1">
      <c r="A6" t="s" s="18">
        <v>22</v>
      </c>
      <c r="B6" t="s" s="19">
        <v>23</v>
      </c>
      <c r="C6" s="20"/>
      <c r="D6" s="21">
        <v>1</v>
      </c>
      <c r="E6" s="21" cm="1">
        <f t="array" ref="E6">D6</f>
        <v>1</v>
      </c>
      <c r="F6" s="21" cm="1">
        <f t="array" ref="F6">D6</f>
        <v>1</v>
      </c>
      <c r="G6" t="s" s="22">
        <v>19</v>
      </c>
      <c r="H6" s="21">
        <v>2198000</v>
      </c>
      <c r="I6" s="21">
        <v>2150000</v>
      </c>
      <c r="J6" s="21">
        <v>2150000</v>
      </c>
      <c r="K6" s="21">
        <v>11</v>
      </c>
      <c r="L6" s="21" cm="1">
        <f t="array" ref="L6">IF(D6&gt;0,IF($D6&lt;=0,0,D6*H6),"")</f>
        <v>2198000</v>
      </c>
      <c r="M6" s="21" cm="1">
        <f t="array" ref="M6">IF(E6&gt;0,IF($D6&lt;=0,0,ROUND(E6*I6,2)),"")</f>
        <v>2150000</v>
      </c>
      <c r="N6" s="23" cm="1">
        <f t="array" ref="N6">IF(F6&gt;0,IF($D6&lt;=0,0,ROUND(F6*J6,2)),"")</f>
        <v>2150000</v>
      </c>
    </row>
    <row r="7" ht="20.5" customHeight="1">
      <c r="A7" s="29"/>
      <c r="B7" t="s" s="19">
        <v>24</v>
      </c>
      <c r="C7" s="24"/>
      <c r="D7" s="30"/>
      <c r="E7" s="26"/>
      <c r="F7" s="26"/>
      <c r="G7" s="30"/>
      <c r="H7" s="26"/>
      <c r="I7" s="30"/>
      <c r="J7" s="30"/>
      <c r="K7" s="26"/>
      <c r="L7" t="str" s="30" cm="1">
        <f t="array" ref="L7">IF(D7&gt;0,IF($D7&lt;=0,0,D7*H7),"")</f>
      </c>
      <c r="M7" t="str" s="30" cm="1">
        <f t="array" ref="M7">IF(E7&gt;0,IF($D7&lt;=0,0,ROUND(E7*I7,2)),"")</f>
      </c>
      <c r="N7" t="str" s="31" cm="1">
        <f t="array" ref="N7">IF(F7&gt;0,IF($D7&lt;=0,0,ROUND(F7*J7,2)),"")</f>
      </c>
    </row>
    <row r="8" ht="20.5" customHeight="1">
      <c r="A8" t="s" s="18">
        <v>25</v>
      </c>
      <c r="B8" t="s" s="19">
        <v>26</v>
      </c>
      <c r="C8" s="20"/>
      <c r="D8" s="21">
        <v>222.66</v>
      </c>
      <c r="E8" s="21" cm="1">
        <f t="array" ref="E8">D8</f>
        <v>222.66</v>
      </c>
      <c r="F8" s="21" cm="1">
        <f t="array" ref="F8">D8</f>
        <v>222.66</v>
      </c>
      <c r="G8" t="s" s="22">
        <v>27</v>
      </c>
      <c r="H8" s="21">
        <v>35065.04</v>
      </c>
      <c r="I8" s="21">
        <v>35045.31</v>
      </c>
      <c r="J8" s="21">
        <v>35045.31</v>
      </c>
      <c r="K8" s="21">
        <v>11</v>
      </c>
      <c r="L8" s="21" cm="1">
        <f t="array" ref="L8">IF(D8&gt;0,IF($D8&lt;=0,0,D8*H8),"")</f>
        <v>7807581.8064</v>
      </c>
      <c r="M8" s="21" cm="1">
        <f t="array" ref="M8">IF(E8&gt;0,IF($D8&lt;=0,0,ROUND(E8*I8,2)),"")</f>
        <v>7803188.72</v>
      </c>
      <c r="N8" s="23" cm="1">
        <f t="array" ref="N8">IF(F8&gt;0,IF($D8&lt;=0,0,ROUND(F8*J8,2)),"")</f>
        <v>7803188.72</v>
      </c>
    </row>
    <row r="9" ht="20.5" customHeight="1">
      <c r="A9" s="29"/>
      <c r="B9" t="s" s="19">
        <v>28</v>
      </c>
      <c r="C9" s="24"/>
      <c r="D9" s="30"/>
      <c r="E9" s="26"/>
      <c r="F9" s="26"/>
      <c r="G9" s="30"/>
      <c r="H9" s="26"/>
      <c r="I9" s="30"/>
      <c r="J9" s="30"/>
      <c r="K9" s="26"/>
      <c r="L9" t="str" s="30" cm="1">
        <f t="array" ref="L9">IF(D9&gt;0,IF($D9&lt;=0,0,D9*H9),"")</f>
      </c>
      <c r="M9" t="str" s="30" cm="1">
        <f t="array" ref="M9">IF(E9&gt;0,IF($D9&lt;=0,0,ROUND(E9*I9,2)),"")</f>
      </c>
      <c r="N9" t="str" s="31" cm="1">
        <f t="array" ref="N9">IF(F9&gt;0,IF($D9&lt;=0,0,ROUND(F9*J9,2)),"")</f>
      </c>
    </row>
    <row r="10" ht="20.5" customHeight="1">
      <c r="A10" t="s" s="18">
        <v>29</v>
      </c>
      <c r="B10" t="s" s="19">
        <v>256</v>
      </c>
      <c r="C10" s="20"/>
      <c r="D10" s="78">
        <v>2020</v>
      </c>
      <c r="E10" s="21" cm="1">
        <f t="array" ref="E10">D10</f>
        <v>2020</v>
      </c>
      <c r="F10" s="21" cm="1">
        <f t="array" ref="F10">D10</f>
        <v>2020</v>
      </c>
      <c r="G10" t="s" s="22">
        <v>27</v>
      </c>
      <c r="H10" s="21">
        <v>44543.07</v>
      </c>
      <c r="I10" s="21">
        <v>44531.89</v>
      </c>
      <c r="J10" s="21">
        <v>44531.89</v>
      </c>
      <c r="K10" s="21">
        <v>11</v>
      </c>
      <c r="L10" s="21" cm="1">
        <f t="array" ref="L10">IF(D10&gt;0,IF($D10&lt;=0,0,D10*H10),"")</f>
        <v>89977001.40000001</v>
      </c>
      <c r="M10" s="21" cm="1">
        <f t="array" ref="M10">IF(E10&gt;0,IF($D10&lt;=0,0,ROUND(E10*I10,2)),"")</f>
        <v>89954417.8</v>
      </c>
      <c r="N10" s="23" cm="1">
        <f t="array" ref="N10">IF(F10&gt;0,IF($D10&lt;=0,0,ROUND(F10*J10,2)),"")</f>
        <v>89954417.8</v>
      </c>
    </row>
    <row r="11" ht="20.5" customHeight="1">
      <c r="A11" t="s" s="18">
        <v>31</v>
      </c>
      <c r="B11" t="s" s="19">
        <v>32</v>
      </c>
      <c r="C11" s="24"/>
      <c r="D11" s="25">
        <v>300</v>
      </c>
      <c r="E11" s="26" cm="1">
        <f t="array" ref="E11">D11</f>
        <v>300</v>
      </c>
      <c r="F11" s="26" cm="1">
        <f t="array" ref="F11">D11</f>
        <v>300</v>
      </c>
      <c r="G11" t="s" s="27">
        <v>27</v>
      </c>
      <c r="H11" s="26">
        <v>210450.26</v>
      </c>
      <c r="I11" s="26">
        <v>210430</v>
      </c>
      <c r="J11" s="26">
        <v>210430</v>
      </c>
      <c r="K11" s="26">
        <v>11</v>
      </c>
      <c r="L11" s="26" cm="1">
        <f t="array" ref="L11">IF(D11&gt;0,IF($D11&lt;=0,0,D11*H11),"")</f>
        <v>63135078</v>
      </c>
      <c r="M11" s="26" cm="1">
        <f t="array" ref="M11">IF(E11&gt;0,IF($D11&lt;=0,0,ROUND(E11*I11,2)),"")</f>
        <v>63129000</v>
      </c>
      <c r="N11" s="28" cm="1">
        <f t="array" ref="N11">IF(F11&gt;0,IF($D11&lt;=0,0,ROUND(F11*J11,2)),"")</f>
        <v>63129000</v>
      </c>
    </row>
    <row r="12" ht="20.5" customHeight="1">
      <c r="A12" s="29"/>
      <c r="B12" t="s" s="19">
        <v>36</v>
      </c>
      <c r="C12" s="20"/>
      <c r="D12" s="21"/>
      <c r="E12" s="21"/>
      <c r="F12" s="21"/>
      <c r="G12" s="79"/>
      <c r="H12" s="79"/>
      <c r="I12" s="79"/>
      <c r="J12" s="79"/>
      <c r="K12" s="21"/>
      <c r="L12" t="str" s="79" cm="1">
        <f t="array" ref="L12">IF(D12&gt;0,IF($D12&lt;=0,0,D12*H12),"")</f>
      </c>
      <c r="M12" s="21"/>
      <c r="N12" s="23"/>
    </row>
    <row r="13" ht="20.6" customHeight="1">
      <c r="A13" s="33">
        <v>1</v>
      </c>
      <c r="B13" t="s" s="34">
        <v>37</v>
      </c>
      <c r="C13" s="80"/>
      <c r="D13" s="81">
        <v>1</v>
      </c>
      <c r="E13" s="81" cm="1">
        <f t="array" ref="E13">D13</f>
        <v>1</v>
      </c>
      <c r="F13" s="81" cm="1">
        <f t="array" ref="F13">D13</f>
        <v>1</v>
      </c>
      <c r="G13" t="s" s="82">
        <v>19</v>
      </c>
      <c r="H13" s="81">
        <v>374178.04</v>
      </c>
      <c r="I13" s="81">
        <v>373816.95</v>
      </c>
      <c r="J13" s="81">
        <v>373591.75</v>
      </c>
      <c r="K13" s="81">
        <v>0</v>
      </c>
      <c r="L13" s="81" cm="1">
        <f t="array" ref="L13">IF(D13&gt;0,IF($D13&lt;=0,0,D13*H13),"")</f>
        <v>374178.04</v>
      </c>
      <c r="M13" s="81" cm="1">
        <f t="array" ref="M13">IF(E13&gt;0,IF($D13&lt;=0,0,ROUND(E13*I13,2)),"")</f>
        <v>373816.95</v>
      </c>
      <c r="N13" s="83" cm="1">
        <f t="array" ref="N13">IF(F13&gt;0,IF($D13&lt;=0,0,ROUND(F13*J13,2)),"")</f>
        <v>373591.75</v>
      </c>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2"/>
      <c r="I15" s="42"/>
      <c r="J15" s="42"/>
      <c r="K15" s="42"/>
      <c r="L15" s="42"/>
      <c r="M15" s="42"/>
      <c r="N15" s="44"/>
    </row>
    <row r="16" ht="8.75" customHeight="1" hidden="1">
      <c r="A16" s="39"/>
      <c r="B16" s="40"/>
      <c r="C16" s="45"/>
      <c r="D16" s="46"/>
      <c r="E16" s="46"/>
      <c r="F16" s="46"/>
      <c r="G16" s="47"/>
      <c r="H16" s="46"/>
      <c r="I16" s="46"/>
      <c r="J16" s="46"/>
      <c r="K16" s="46"/>
      <c r="L16" s="46"/>
      <c r="M16" s="46"/>
      <c r="N16" s="48"/>
    </row>
    <row r="17" ht="8.75" customHeight="1" hidden="1">
      <c r="A17" s="39"/>
      <c r="B17" s="40"/>
      <c r="C17" s="41"/>
      <c r="D17" s="42"/>
      <c r="E17" s="42"/>
      <c r="F17" s="42"/>
      <c r="G17" s="43"/>
      <c r="H17" s="42"/>
      <c r="I17" s="42"/>
      <c r="J17" s="42"/>
      <c r="K17" s="42"/>
      <c r="L17" s="42"/>
      <c r="M17" s="42"/>
      <c r="N17" s="44"/>
    </row>
    <row r="18" ht="8.75" customHeight="1" hidden="1">
      <c r="A18" s="39"/>
      <c r="B18" s="40"/>
      <c r="C18" s="45"/>
      <c r="D18" s="46"/>
      <c r="E18" s="46"/>
      <c r="F18" s="46"/>
      <c r="G18" s="47"/>
      <c r="H18" s="46"/>
      <c r="I18" s="46"/>
      <c r="J18" s="46"/>
      <c r="K18" s="46"/>
      <c r="L18" s="46"/>
      <c r="M18" s="46"/>
      <c r="N18" s="48"/>
    </row>
    <row r="19" ht="8.75" customHeight="1" hidden="1">
      <c r="A19" s="39"/>
      <c r="B19" s="40"/>
      <c r="C19" s="41"/>
      <c r="D19" s="42"/>
      <c r="E19" s="42"/>
      <c r="F19" s="42"/>
      <c r="G19" s="43"/>
      <c r="H19" s="42"/>
      <c r="I19" s="42"/>
      <c r="J19" s="42"/>
      <c r="K19" s="42"/>
      <c r="L19" s="42"/>
      <c r="M19" s="42"/>
      <c r="N19" s="44"/>
    </row>
    <row r="20" ht="8.75" customHeight="1" hidden="1">
      <c r="A20" s="39"/>
      <c r="B20" s="40"/>
      <c r="C20" s="45"/>
      <c r="D20" s="46"/>
      <c r="E20" s="46"/>
      <c r="F20" s="46"/>
      <c r="G20" s="47"/>
      <c r="H20" s="47"/>
      <c r="I20" s="47"/>
      <c r="J20" s="47"/>
      <c r="K20" s="46"/>
      <c r="L20" s="47"/>
      <c r="M20" s="47"/>
      <c r="N20" s="52"/>
    </row>
    <row r="21" ht="8.75" customHeight="1" hidden="1">
      <c r="A21" s="39"/>
      <c r="B21" s="40"/>
      <c r="C21" s="41"/>
      <c r="D21" s="42"/>
      <c r="E21" s="42"/>
      <c r="F21" s="42"/>
      <c r="G21" s="43"/>
      <c r="H21" s="84"/>
      <c r="I21" s="84"/>
      <c r="J21" s="84"/>
      <c r="K21" s="42"/>
      <c r="L21" s="42"/>
      <c r="M21" s="42"/>
      <c r="N21" s="44"/>
    </row>
    <row r="22" ht="8.75" customHeight="1" hidden="1">
      <c r="A22" s="39"/>
      <c r="B22" s="40"/>
      <c r="C22" s="45"/>
      <c r="D22" s="46"/>
      <c r="E22" s="46"/>
      <c r="F22" s="46"/>
      <c r="G22" s="47"/>
      <c r="H22" s="47"/>
      <c r="I22" s="47"/>
      <c r="J22" s="47"/>
      <c r="K22" s="46"/>
      <c r="L22" s="47"/>
      <c r="M22" s="47"/>
      <c r="N22" s="52"/>
    </row>
    <row r="23" ht="8.75" customHeight="1" hidden="1">
      <c r="A23" s="39"/>
      <c r="B23" s="40"/>
      <c r="C23" s="41"/>
      <c r="D23" s="42"/>
      <c r="E23" s="42"/>
      <c r="F23" s="42"/>
      <c r="G23" s="43"/>
      <c r="H23" s="42"/>
      <c r="I23" s="42"/>
      <c r="J23" s="42"/>
      <c r="K23" s="42"/>
      <c r="L23" s="42"/>
      <c r="M23" s="42"/>
      <c r="N23" s="44"/>
    </row>
    <row r="24" ht="8.75" customHeight="1" hidden="1">
      <c r="A24" s="39"/>
      <c r="B24" s="40"/>
      <c r="C24" s="45"/>
      <c r="D24" s="46"/>
      <c r="E24" s="46"/>
      <c r="F24" s="46"/>
      <c r="G24" s="47"/>
      <c r="H24" s="46"/>
      <c r="I24" s="46"/>
      <c r="J24" s="46"/>
      <c r="K24" s="46"/>
      <c r="L24" s="46"/>
      <c r="M24" s="46"/>
      <c r="N24" s="48"/>
    </row>
    <row r="25" ht="8.75" customHeight="1" hidden="1">
      <c r="A25" s="51"/>
      <c r="B25" s="40"/>
      <c r="C25" s="41"/>
      <c r="D25" s="42"/>
      <c r="E25" s="42"/>
      <c r="F25" s="42"/>
      <c r="G25" s="43"/>
      <c r="H25" s="42"/>
      <c r="I25" s="42"/>
      <c r="J25" s="42"/>
      <c r="K25" s="42"/>
      <c r="L25" s="42"/>
      <c r="M25" s="42"/>
      <c r="N25" s="44"/>
    </row>
    <row r="26" ht="8.75" customHeight="1" hidden="1">
      <c r="A26" s="51"/>
      <c r="B26" s="40"/>
      <c r="C26" s="45"/>
      <c r="D26" s="46"/>
      <c r="E26" s="46"/>
      <c r="F26" s="46"/>
      <c r="G26" s="47"/>
      <c r="H26" s="46"/>
      <c r="I26" s="46"/>
      <c r="J26" s="46"/>
      <c r="K26" s="46"/>
      <c r="L26" s="46"/>
      <c r="M26" s="46"/>
      <c r="N26" s="48"/>
    </row>
    <row r="27" ht="8.75" customHeight="1" hidden="1">
      <c r="A27" s="39"/>
      <c r="B27" s="40"/>
      <c r="C27" s="41"/>
      <c r="D27" s="42"/>
      <c r="E27" s="42"/>
      <c r="F27" s="42"/>
      <c r="G27" s="43"/>
      <c r="H27" s="42"/>
      <c r="I27" s="42"/>
      <c r="J27" s="42"/>
      <c r="K27" s="42"/>
      <c r="L27" s="43"/>
      <c r="M27" s="43"/>
      <c r="N27" s="49"/>
    </row>
    <row r="28" ht="8.75" customHeight="1" hidden="1">
      <c r="A28" s="39"/>
      <c r="B28" s="40"/>
      <c r="C28" s="45"/>
      <c r="D28" s="46"/>
      <c r="E28" s="46"/>
      <c r="F28" s="46"/>
      <c r="G28" s="47"/>
      <c r="H28" s="46"/>
      <c r="I28" s="46"/>
      <c r="J28" s="46"/>
      <c r="K28" s="46"/>
      <c r="L28" s="46"/>
      <c r="M28" s="46"/>
      <c r="N28" s="48"/>
    </row>
    <row r="29" ht="8.75" customHeight="1" hidden="1">
      <c r="A29" s="39"/>
      <c r="B29" s="40"/>
      <c r="C29" s="41"/>
      <c r="D29" s="42"/>
      <c r="E29" s="42"/>
      <c r="F29" s="42"/>
      <c r="G29" s="43"/>
      <c r="H29" s="42"/>
      <c r="I29" s="42"/>
      <c r="J29" s="42"/>
      <c r="K29" s="42"/>
      <c r="L29" s="43"/>
      <c r="M29" s="43"/>
      <c r="N29" s="49"/>
    </row>
    <row r="30" ht="20.85" customHeight="1">
      <c r="A30" s="53"/>
      <c r="B30" s="54"/>
      <c r="C30" s="54"/>
      <c r="D30" s="55"/>
      <c r="E30" s="55"/>
      <c r="F30" s="55"/>
      <c r="G30" s="56"/>
      <c r="H30" s="56"/>
      <c r="I30" s="54"/>
      <c r="J30" s="57"/>
      <c r="K30" t="s" s="58">
        <v>38</v>
      </c>
      <c r="L30" s="59" cm="1">
        <f t="array" ref="L30">SUM(L1:L29)</f>
        <v>170994339.2464</v>
      </c>
      <c r="M30" s="59" cm="1">
        <f t="array" ref="M30">SUM(M1:M29)</f>
        <v>170803923.47</v>
      </c>
      <c r="N30" s="59" cm="1">
        <f t="array" ref="N30">SUM(N1:N29)</f>
        <v>170803698.27</v>
      </c>
    </row>
    <row r="31" ht="21" customHeight="1">
      <c r="A31" s="60"/>
      <c r="B31" t="s" s="61">
        <v>39</v>
      </c>
      <c r="C31" s="62"/>
      <c r="D31" s="63" cm="1">
        <f t="array" ref="D31">ROUND(IF(L31&lt;=100000000,L31*0.24%,IF(AND(L31&gt;100000000,L31&lt;=500000000),100000000*0.24%+(L31-100000000)*0.19%,IF(AND(L31&gt;500000000,L31&lt;=1000000000),100000000*0.24%+400000000*0.19%+(L31-500000000)*0.15%,IF(AND(L31&gt;1000000000,L31&lt;=5000000000),100000000*0.24%+400000000*0.19%+500000000*0.15%+(L31-1000000000)*0.12%,IF(L31&gt;5000000000,100000000*0.24%+400000000*0.19%+500000000*0.15%+4000000000*0.12%+(L31-5000000000)*0.1%,"Bingung komputer"))))),2)</f>
        <v>374178.31</v>
      </c>
      <c r="E31" s="64" cm="1">
        <f t="array" ref="E31">ROUND(IF(M31&lt;=100000000,M31*0.24%,IF(AND(M31&gt;100000000,M31&lt;=500000000),100000000*0.24%+(M31-100000000)*0.19%,IF(AND(M31&gt;500000000,M31&lt;=1000000000),100000000*0.24%+400000000*0.19%+(M31-500000000)*0.15%,IF(AND(M31&gt;1000000000,M31&lt;=5000000000),100000000*0.24%+400000000*0.19%+500000000*0.15%+(M31-1000000000)*0.12%,IF(M31&gt;5000000000,100000000*0.24%+400000000*0.19%+500000000*0.15%+4000000000*0.12%+(M31-5000000000)*0.1%,"Bingung komputer"))))),2)</f>
        <v>373817.2</v>
      </c>
      <c r="F31" s="64" cm="1">
        <f t="array" ref="F31">ROUND(IF(N31&lt;=100000000,N31*0.24%,IF(AND(N31&gt;100000000,N31&lt;=500000000),100000000*0.24%+(N31-100000000)*0.19%,IF(AND(N31&gt;500000000,N31&lt;=1000000000),100000000*0.24%+400000000*0.19%+(N31-500000000)*0.15%,IF(AND(N31&gt;1000000000,N31&lt;=5000000000),100000000*0.24%+400000000*0.19%+500000000*0.15%+(N31-1000000000)*0.12%,IF(N31&gt;5000000000,100000000*0.24%+400000000*0.19%+500000000*0.15%+4000000000*0.12%+(N31-5000000000)*0.1%,"Bingung komputer"))))),2)</f>
        <v>373817.2</v>
      </c>
      <c r="G31" s="65"/>
      <c r="H31" s="66"/>
      <c r="I31" s="62"/>
      <c r="J31" s="67"/>
      <c r="K31" t="str" s="67" cm="1">
        <f t="array" ref="K31">"Jumlah Terkena Pajak "&amp;MAX(K3:K29)&amp;"% (B)"</f>
        <v>Jumlah Terkena Pajak 11,00% (B)</v>
      </c>
      <c r="L31" s="68" cm="1">
        <f t="array" ref="L31">SUMIF($K3:$K29,"&gt;0",L3:L29)</f>
        <v>170620161.2064</v>
      </c>
      <c r="M31" s="69" cm="1">
        <f t="array" ref="M31">SUMIF($K3:$K29,"&gt;0",M3:M29)</f>
        <v>170430106.52</v>
      </c>
      <c r="N31" s="69" cm="1">
        <f t="array" ref="N31">SUMIF($K3:$K29,"&gt;0",N3:N29)</f>
        <v>170430106.52</v>
      </c>
    </row>
    <row r="32" ht="21" customHeight="1">
      <c r="A32" s="70"/>
      <c r="B32" s="71"/>
      <c r="C32" s="71"/>
      <c r="D32" s="72"/>
      <c r="E32" s="72"/>
      <c r="F32" s="71"/>
      <c r="G32" s="72"/>
      <c r="H32" s="72"/>
      <c r="I32" s="71"/>
      <c r="J32" s="73"/>
      <c r="K32" t="str" s="73" cm="1">
        <f t="array" ref="K32">"PPN (C) = "&amp;MAX(K3:K29)&amp;"% x B"</f>
        <v>PPN (C) = 11,00% x B</v>
      </c>
      <c r="L32" s="74" cm="1">
        <f t="array" ref="L32">L31*MAX($K3:$K29)%</f>
        <v>18768217.732704</v>
      </c>
      <c r="M32" s="69" cm="1">
        <f t="array" ref="M32">M31*MAX($K3:$K29)%</f>
        <v>18747311.7172</v>
      </c>
      <c r="N32" s="69" cm="1">
        <f t="array" ref="N32">N31*MAX($K3:$K29)%</f>
        <v>18747311.7172</v>
      </c>
    </row>
    <row r="33" ht="21" customHeight="1">
      <c r="A33" s="70"/>
      <c r="B33" s="71"/>
      <c r="C33" s="71"/>
      <c r="D33" s="72"/>
      <c r="E33" s="72"/>
      <c r="F33" s="72"/>
      <c r="G33" s="72"/>
      <c r="H33" s="72"/>
      <c r="I33" s="71"/>
      <c r="J33" s="73"/>
      <c r="K33" t="s" s="75">
        <v>42</v>
      </c>
      <c r="L33" s="76" cm="1">
        <f t="array" ref="L33">L30+L32</f>
        <v>189762556.979104</v>
      </c>
      <c r="M33" s="69" cm="1">
        <f t="array" ref="M33">M30+M32</f>
        <v>189551235.1872</v>
      </c>
      <c r="N33" s="69" cm="1">
        <f t="array" ref="N33">N30+N32</f>
        <v>189551009.9872</v>
      </c>
    </row>
    <row r="34" ht="20.5" customHeight="1">
      <c r="A34" s="70"/>
      <c r="B34" s="71"/>
      <c r="C34" s="71"/>
      <c r="D34" s="72"/>
      <c r="E34" s="72"/>
      <c r="F34" s="72"/>
      <c r="G34" s="72"/>
      <c r="H34" s="72"/>
      <c r="I34" s="71"/>
      <c r="J34" s="73"/>
      <c r="K34" t="s" s="75">
        <v>43</v>
      </c>
      <c r="L34" s="68" cm="1">
        <f t="array" ref="L34">ROUNDDOWN(L33,2)</f>
        <v>189762556.97</v>
      </c>
      <c r="M34" s="68" cm="1">
        <f t="array" ref="M34">ROUNDDOWN(M33,2)</f>
        <v>189551235.18</v>
      </c>
      <c r="N34" s="68" cm="1">
        <f t="array" ref="N34">ROUNDDOWN(N33,-3)</f>
        <v>189551000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02.xml><?xml version="1.0" encoding="utf-8"?>
<worksheet xmlns:r="http://schemas.openxmlformats.org/officeDocument/2006/relationships" xmlns="http://schemas.openxmlformats.org/spreadsheetml/2006/main">
  <sheetPr>
    <pageSetUpPr fitToPage="1"/>
  </sheetPr>
  <dimension ref="A1:N31"/>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294" customWidth="1"/>
    <col min="2" max="2" width="43.0312" style="294" customWidth="1"/>
    <col min="3" max="3" width="2.75" style="294" customWidth="1"/>
    <col min="4" max="6" width="10.3672" style="294" customWidth="1"/>
    <col min="7" max="7" width="11.6875" style="294" customWidth="1"/>
    <col min="8" max="11" width="13.5156" style="294" customWidth="1"/>
    <col min="12" max="14" width="14.2344" style="294" customWidth="1"/>
    <col min="15" max="16384" width="16.3516" style="294"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109</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s="95">
        <v>1</v>
      </c>
      <c r="B4" t="s" s="19">
        <v>110</v>
      </c>
      <c r="C4" s="20"/>
      <c r="D4" s="21">
        <v>1</v>
      </c>
      <c r="E4" s="21" cm="1">
        <f t="array" ref="E4">D4</f>
        <v>1</v>
      </c>
      <c r="F4" s="21" cm="1">
        <f t="array" ref="F4">D4</f>
        <v>1</v>
      </c>
      <c r="G4" t="s" s="22">
        <v>19</v>
      </c>
      <c r="H4" s="21" cm="1">
        <f t="array" ref="H4">ROUNDDOWN((F$30*0.1)*100/111,-2)</f>
        <v>8989500</v>
      </c>
      <c r="I4" s="21">
        <v>8990000</v>
      </c>
      <c r="J4" s="21">
        <v>8990000</v>
      </c>
      <c r="K4" s="21">
        <v>11</v>
      </c>
      <c r="L4" s="21" cm="1">
        <f t="array" ref="L4">IF(D4&gt;0,IF($D4&lt;=0,0,D4*H4),"")</f>
        <v>8989500</v>
      </c>
      <c r="M4" s="21" cm="1">
        <f t="array" ref="M4">IF(E4&gt;0,IF($D4&lt;=0,0,ROUND(E4*I4,2)),"")</f>
        <v>8990000</v>
      </c>
      <c r="N4" s="23" cm="1">
        <f t="array" ref="N4">IF(F4&gt;0,IF($D4&lt;=0,0,ROUND(F4*J4,2)),"")</f>
        <v>8990000</v>
      </c>
    </row>
    <row r="5" ht="20.5" customHeight="1">
      <c r="A5" s="95">
        <v>2</v>
      </c>
      <c r="B5" t="s" s="19">
        <v>111</v>
      </c>
      <c r="C5" s="24"/>
      <c r="D5" s="26">
        <v>1</v>
      </c>
      <c r="E5" s="26" cm="1">
        <f t="array" ref="E5">D5</f>
        <v>1</v>
      </c>
      <c r="F5" s="26" cm="1">
        <f t="array" ref="F5">D5</f>
        <v>1</v>
      </c>
      <c r="G5" t="s" s="27">
        <v>19</v>
      </c>
      <c r="H5" s="26" cm="1">
        <f t="array" ref="H5">ROUNDDOWN((F$30*0.2)*100/111,-2)</f>
        <v>17979100</v>
      </c>
      <c r="I5" s="26">
        <v>17950000</v>
      </c>
      <c r="J5" s="26">
        <v>17950000</v>
      </c>
      <c r="K5" s="26">
        <v>11</v>
      </c>
      <c r="L5" s="26" cm="1">
        <f t="array" ref="L5">IF(D5&gt;0,IF($D5&lt;=0,0,D5*H5),"")</f>
        <v>17979100</v>
      </c>
      <c r="M5" s="26" cm="1">
        <f t="array" ref="M5">IF(E5&gt;0,IF($D5&lt;=0,0,ROUND(E5*I5,2)),"")</f>
        <v>17950000</v>
      </c>
      <c r="N5" s="28" cm="1">
        <f t="array" ref="N5">IF(F5&gt;0,IF($D5&lt;=0,0,ROUND(F5*J5,2)),"")</f>
        <v>17950000</v>
      </c>
    </row>
    <row r="6" ht="20.5" customHeight="1">
      <c r="A6" s="95">
        <v>3</v>
      </c>
      <c r="B6" t="s" s="19">
        <v>112</v>
      </c>
      <c r="C6" s="20"/>
      <c r="D6" s="21">
        <v>1</v>
      </c>
      <c r="E6" s="21" cm="1">
        <f t="array" ref="E6">D6</f>
        <v>1</v>
      </c>
      <c r="F6" s="21" cm="1">
        <f t="array" ref="F6">D6</f>
        <v>1</v>
      </c>
      <c r="G6" t="s" s="22">
        <v>19</v>
      </c>
      <c r="H6" s="21" cm="1">
        <f t="array" ref="H6">ROUNDDOWN((F$30*0.25)*100/111,-2)</f>
        <v>22473900</v>
      </c>
      <c r="I6" s="21">
        <v>22480000</v>
      </c>
      <c r="J6" s="21">
        <v>22480000</v>
      </c>
      <c r="K6" s="21">
        <v>11</v>
      </c>
      <c r="L6" s="21" cm="1">
        <f t="array" ref="L6">IF(D6&gt;0,IF($D6&lt;=0,0,D6*H6),"")</f>
        <v>22473900</v>
      </c>
      <c r="M6" s="21" cm="1">
        <f t="array" ref="M6">IF(E6&gt;0,IF($D6&lt;=0,0,ROUND(E6*I6,2)),"")</f>
        <v>22480000</v>
      </c>
      <c r="N6" s="23" cm="1">
        <f t="array" ref="N6">IF(F6&gt;0,IF($D6&lt;=0,0,ROUND(F6*J6,2)),"")</f>
        <v>22480000</v>
      </c>
    </row>
    <row r="7" ht="68.5" customHeight="1">
      <c r="A7" s="95">
        <v>5</v>
      </c>
      <c r="B7" t="s" s="19">
        <v>113</v>
      </c>
      <c r="C7" s="24"/>
      <c r="D7" s="26">
        <v>1</v>
      </c>
      <c r="E7" s="26" cm="1">
        <f t="array" ref="E7">D7</f>
        <v>1</v>
      </c>
      <c r="F7" s="26" cm="1">
        <f t="array" ref="F7">D7</f>
        <v>1</v>
      </c>
      <c r="G7" t="s" s="27">
        <v>19</v>
      </c>
      <c r="H7" s="26" cm="1">
        <f t="array" ref="H7">ROUNDDOWN((F$30*0.25)*100/111,-2)</f>
        <v>22473900</v>
      </c>
      <c r="I7" s="26">
        <v>22450000</v>
      </c>
      <c r="J7" s="26">
        <v>22450000</v>
      </c>
      <c r="K7" s="26">
        <v>11</v>
      </c>
      <c r="L7" s="26" cm="1">
        <f t="array" ref="L7">IF(D7&gt;0,IF($D7&lt;=0,0,D7*H7),"")</f>
        <v>22473900</v>
      </c>
      <c r="M7" s="26" cm="1">
        <f t="array" ref="M7">IF(E7&gt;0,IF($D7&lt;=0,0,ROUND(E7*I7,2)),"")</f>
        <v>22450000</v>
      </c>
      <c r="N7" s="28" cm="1">
        <f t="array" ref="N7">IF(F7&gt;0,IF($D7&lt;=0,0,ROUND(F7*J7,2)),"")</f>
        <v>22450000</v>
      </c>
    </row>
    <row r="8" ht="32.5" customHeight="1">
      <c r="A8" s="95">
        <v>6</v>
      </c>
      <c r="B8" t="s" s="19">
        <v>114</v>
      </c>
      <c r="C8" s="20"/>
      <c r="D8" s="21">
        <v>1</v>
      </c>
      <c r="E8" s="21" cm="1">
        <f t="array" ref="E8">D8</f>
        <v>1</v>
      </c>
      <c r="F8" s="21" cm="1">
        <f t="array" ref="F8">D8</f>
        <v>1</v>
      </c>
      <c r="G8" t="s" s="22">
        <v>19</v>
      </c>
      <c r="H8" s="21" cm="1">
        <f t="array" ref="H8">ROUNDDOWN((F$30*0.05)*100/111,-2)</f>
        <v>4494700</v>
      </c>
      <c r="I8" s="21">
        <v>4490500</v>
      </c>
      <c r="J8" s="21">
        <v>4490500</v>
      </c>
      <c r="K8" s="21">
        <v>11</v>
      </c>
      <c r="L8" s="21" cm="1">
        <f t="array" ref="L8">IF(D8&gt;0,IF($D8&lt;=0,0,D8*H8),"")</f>
        <v>4494700</v>
      </c>
      <c r="M8" s="21" cm="1">
        <f t="array" ref="M8">IF(E8&gt;0,IF($D8&lt;=0,0,ROUND(E8*I8,2)),"")</f>
        <v>4490500</v>
      </c>
      <c r="N8" s="23" cm="1">
        <f t="array" ref="N8">IF(F8&gt;0,IF($D8&lt;=0,0,ROUND(F8*J8,2)),"")</f>
        <v>4490500</v>
      </c>
    </row>
    <row r="9" ht="20.5" customHeight="1">
      <c r="A9" s="95">
        <v>7</v>
      </c>
      <c r="B9" t="s" s="19">
        <v>115</v>
      </c>
      <c r="C9" s="24"/>
      <c r="D9" s="26">
        <v>1</v>
      </c>
      <c r="E9" s="26" cm="1">
        <f t="array" ref="E9">D9</f>
        <v>1</v>
      </c>
      <c r="F9" s="26" cm="1">
        <f t="array" ref="F9">D9</f>
        <v>1</v>
      </c>
      <c r="G9" t="s" s="27">
        <v>19</v>
      </c>
      <c r="H9" s="26" cm="1">
        <f t="array" ref="H9">ROUNDDOWN((F$30*0.15)*100/111,-2)</f>
        <v>13484300</v>
      </c>
      <c r="I9" s="26">
        <v>13480000</v>
      </c>
      <c r="J9" s="26">
        <v>13480000</v>
      </c>
      <c r="K9" s="26">
        <v>11</v>
      </c>
      <c r="L9" s="26" cm="1">
        <f t="array" ref="L9">IF(D9&gt;0,IF($D9&lt;=0,0,D9*H9),"")</f>
        <v>13484300</v>
      </c>
      <c r="M9" s="26" cm="1">
        <f t="array" ref="M9">IF(E9&gt;0,IF($D9&lt;=0,0,ROUND(E9*I9,2)),"")</f>
        <v>13480000</v>
      </c>
      <c r="N9" s="28" cm="1">
        <f t="array" ref="N9">IF(F9&gt;0,IF($D9&lt;=0,0,ROUND(F9*J9,2)),"")</f>
        <v>13480000</v>
      </c>
    </row>
    <row r="10" ht="20.6" customHeight="1">
      <c r="A10" s="33">
        <v>8</v>
      </c>
      <c r="B10" t="s" s="34">
        <v>37</v>
      </c>
      <c r="C10" s="35"/>
      <c r="D10" s="36">
        <v>1</v>
      </c>
      <c r="E10" s="36" cm="1">
        <f t="array" ref="E10">D10</f>
        <v>1</v>
      </c>
      <c r="F10" s="36" cm="1">
        <f t="array" ref="F10">D10</f>
        <v>1</v>
      </c>
      <c r="G10" t="s" s="37">
        <v>19</v>
      </c>
      <c r="H10" s="36">
        <v>215748.96</v>
      </c>
      <c r="I10" s="36">
        <v>215617.2</v>
      </c>
      <c r="J10" s="36">
        <v>215617.2</v>
      </c>
      <c r="K10" s="36">
        <v>0</v>
      </c>
      <c r="L10" s="36" cm="1">
        <f t="array" ref="L10">IF(D10&gt;0,IF($D10&lt;=0,0,D10*H10),"")</f>
        <v>215748.96</v>
      </c>
      <c r="M10" s="36" cm="1">
        <f t="array" ref="M10">IF(E10&gt;0,IF($D10&lt;=0,0,ROUND(E10*I10,2)),"")</f>
        <v>215617.2</v>
      </c>
      <c r="N10" s="38" cm="1">
        <f t="array" ref="N10">IF(F10&gt;0,IF($D10&lt;=0,0,ROUND(F10*J10,2)),"")</f>
        <v>215617.2</v>
      </c>
    </row>
    <row r="11" ht="8.75" customHeight="1" hidden="1">
      <c r="A11" s="39"/>
      <c r="B11" s="40"/>
      <c r="C11" s="41"/>
      <c r="D11" s="42"/>
      <c r="E11" s="42"/>
      <c r="F11" s="42"/>
      <c r="G11" s="43"/>
      <c r="H11" s="42"/>
      <c r="I11" s="42"/>
      <c r="J11" s="42"/>
      <c r="K11" s="42"/>
      <c r="L11" s="42"/>
      <c r="M11" s="42"/>
      <c r="N11" s="44"/>
    </row>
    <row r="12" ht="8.75" customHeight="1" hidden="1">
      <c r="A12" s="39"/>
      <c r="B12" s="40"/>
      <c r="C12" s="45"/>
      <c r="D12" s="46"/>
      <c r="E12" s="46"/>
      <c r="F12" s="46"/>
      <c r="G12" s="47"/>
      <c r="H12" s="46"/>
      <c r="I12" s="46"/>
      <c r="J12" s="46"/>
      <c r="K12" s="46"/>
      <c r="L12" s="46"/>
      <c r="M12" s="46"/>
      <c r="N12" s="48"/>
    </row>
    <row r="13" ht="8.75" customHeight="1" hidden="1">
      <c r="A13" s="39"/>
      <c r="B13" s="40"/>
      <c r="C13" s="41"/>
      <c r="D13" s="42"/>
      <c r="E13" s="42"/>
      <c r="F13" s="42"/>
      <c r="G13" s="43"/>
      <c r="H13" s="42"/>
      <c r="I13" s="42"/>
      <c r="J13" s="42"/>
      <c r="K13" s="42"/>
      <c r="L13" s="42"/>
      <c r="M13" s="42"/>
      <c r="N13" s="44"/>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2"/>
      <c r="I15" s="42"/>
      <c r="J15" s="42"/>
      <c r="K15" s="42"/>
      <c r="L15" s="42"/>
      <c r="M15" s="42"/>
      <c r="N15" s="44"/>
    </row>
    <row r="16" ht="8.75" customHeight="1" hidden="1">
      <c r="A16" s="39"/>
      <c r="B16" s="40"/>
      <c r="C16" s="45"/>
      <c r="D16" s="46"/>
      <c r="E16" s="46"/>
      <c r="F16" s="46"/>
      <c r="G16" s="47"/>
      <c r="H16" s="46"/>
      <c r="I16" s="46"/>
      <c r="J16" s="46"/>
      <c r="K16" s="46"/>
      <c r="L16" s="46"/>
      <c r="M16" s="46"/>
      <c r="N16" s="48"/>
    </row>
    <row r="17" ht="8.75" customHeight="1" hidden="1">
      <c r="A17" s="39"/>
      <c r="B17" s="40"/>
      <c r="C17" s="41"/>
      <c r="D17" s="42"/>
      <c r="E17" s="42"/>
      <c r="F17" s="42"/>
      <c r="G17" s="43"/>
      <c r="H17" s="43"/>
      <c r="I17" s="43"/>
      <c r="J17" s="43"/>
      <c r="K17" s="42"/>
      <c r="L17" s="43"/>
      <c r="M17" s="43"/>
      <c r="N17" s="49"/>
    </row>
    <row r="18" ht="8.75" customHeight="1" hidden="1">
      <c r="A18" s="39"/>
      <c r="B18" s="40"/>
      <c r="C18" s="45"/>
      <c r="D18" s="46"/>
      <c r="E18" s="46"/>
      <c r="F18" s="46"/>
      <c r="G18" s="47"/>
      <c r="H18" s="50"/>
      <c r="I18" s="50"/>
      <c r="J18" s="50"/>
      <c r="K18" s="46"/>
      <c r="L18" s="46"/>
      <c r="M18" s="46"/>
      <c r="N18" s="48"/>
    </row>
    <row r="19" ht="8.75" customHeight="1" hidden="1">
      <c r="A19" s="39"/>
      <c r="B19" s="40"/>
      <c r="C19" s="41"/>
      <c r="D19" s="42"/>
      <c r="E19" s="42"/>
      <c r="F19" s="42"/>
      <c r="G19" s="43"/>
      <c r="H19" s="43"/>
      <c r="I19" s="43"/>
      <c r="J19" s="43"/>
      <c r="K19" s="42"/>
      <c r="L19" s="43"/>
      <c r="M19" s="43"/>
      <c r="N19" s="49"/>
    </row>
    <row r="20" ht="8.75" customHeight="1" hidden="1">
      <c r="A20" s="39"/>
      <c r="B20" s="40"/>
      <c r="C20" s="45"/>
      <c r="D20" s="46"/>
      <c r="E20" s="46"/>
      <c r="F20" s="46"/>
      <c r="G20" s="47"/>
      <c r="H20" s="46"/>
      <c r="I20" s="46"/>
      <c r="J20" s="46"/>
      <c r="K20" s="46"/>
      <c r="L20" s="46"/>
      <c r="M20" s="46"/>
      <c r="N20" s="48"/>
    </row>
    <row r="21" ht="8.75" customHeight="1" hidden="1">
      <c r="A21" s="39"/>
      <c r="B21" s="40"/>
      <c r="C21" s="41"/>
      <c r="D21" s="42"/>
      <c r="E21" s="42"/>
      <c r="F21" s="42"/>
      <c r="G21" s="43"/>
      <c r="H21" s="42"/>
      <c r="I21" s="42"/>
      <c r="J21" s="42"/>
      <c r="K21" s="42"/>
      <c r="L21" s="42"/>
      <c r="M21" s="42"/>
      <c r="N21" s="44"/>
    </row>
    <row r="22" ht="8.75" customHeight="1" hidden="1">
      <c r="A22" s="51"/>
      <c r="B22" s="40"/>
      <c r="C22" s="45"/>
      <c r="D22" s="46"/>
      <c r="E22" s="46"/>
      <c r="F22" s="46"/>
      <c r="G22" s="47"/>
      <c r="H22" s="46"/>
      <c r="I22" s="46"/>
      <c r="J22" s="46"/>
      <c r="K22" s="46"/>
      <c r="L22" s="46"/>
      <c r="M22" s="46"/>
      <c r="N22" s="48"/>
    </row>
    <row r="23" ht="8.75" customHeight="1" hidden="1">
      <c r="A23" s="51"/>
      <c r="B23" s="40"/>
      <c r="C23" s="41"/>
      <c r="D23" s="42"/>
      <c r="E23" s="42"/>
      <c r="F23" s="42"/>
      <c r="G23" s="43"/>
      <c r="H23" s="42"/>
      <c r="I23" s="42"/>
      <c r="J23" s="42"/>
      <c r="K23" s="42"/>
      <c r="L23" s="42"/>
      <c r="M23" s="42"/>
      <c r="N23" s="44"/>
    </row>
    <row r="24" ht="8.75" customHeight="1" hidden="1">
      <c r="A24" s="39"/>
      <c r="B24" s="40"/>
      <c r="C24" s="45"/>
      <c r="D24" s="46"/>
      <c r="E24" s="46"/>
      <c r="F24" s="46"/>
      <c r="G24" s="47"/>
      <c r="H24" s="46"/>
      <c r="I24" s="46"/>
      <c r="J24" s="46"/>
      <c r="K24" s="46"/>
      <c r="L24" s="47"/>
      <c r="M24" s="47"/>
      <c r="N24" s="52"/>
    </row>
    <row r="25" ht="8.75" customHeight="1" hidden="1">
      <c r="A25" s="39"/>
      <c r="B25" s="40"/>
      <c r="C25" s="41"/>
      <c r="D25" s="42"/>
      <c r="E25" s="42"/>
      <c r="F25" s="42"/>
      <c r="G25" s="43"/>
      <c r="H25" s="42"/>
      <c r="I25" s="42"/>
      <c r="J25" s="42"/>
      <c r="K25" s="42"/>
      <c r="L25" s="42"/>
      <c r="M25" s="42"/>
      <c r="N25" s="44"/>
    </row>
    <row r="26" ht="8.75" customHeight="1" hidden="1">
      <c r="A26" s="39"/>
      <c r="B26" s="40"/>
      <c r="C26" s="45"/>
      <c r="D26" s="46"/>
      <c r="E26" s="46"/>
      <c r="F26" s="46"/>
      <c r="G26" s="47"/>
      <c r="H26" s="46"/>
      <c r="I26" s="46"/>
      <c r="J26" s="46"/>
      <c r="K26" s="46"/>
      <c r="L26" s="47"/>
      <c r="M26" s="47"/>
      <c r="N26" s="52"/>
    </row>
    <row r="27" ht="20.85" customHeight="1">
      <c r="A27" s="108"/>
      <c r="B27" s="54"/>
      <c r="C27" s="54"/>
      <c r="D27" s="55"/>
      <c r="E27" s="55"/>
      <c r="F27" s="55"/>
      <c r="G27" s="56"/>
      <c r="H27" s="56"/>
      <c r="I27" s="54"/>
      <c r="J27" s="57"/>
      <c r="K27" t="s" s="58">
        <v>38</v>
      </c>
      <c r="L27" s="59" cm="1">
        <f t="array" ref="L27">SUM(L1:L26)</f>
        <v>90111148.95999999</v>
      </c>
      <c r="M27" s="59" cm="1">
        <f t="array" ref="M27">SUM(M1:M26)</f>
        <v>90056117.2</v>
      </c>
      <c r="N27" s="59" cm="1">
        <f t="array" ref="N27">SUM(N1:N26)</f>
        <v>90056117.2</v>
      </c>
    </row>
    <row r="28" ht="21" customHeight="1">
      <c r="A28" s="63" cm="1">
        <f t="array" ref="A28">ROUND(IF(I28&lt;=100000000,I28*0.24%,IF(AND(I28&gt;100000000,I28&lt;=500000000),100000000*0.24%+(I28-100000000)*0.19%,IF(AND(I28&gt;500000000,I28&lt;=1000000000),100000000*0.24%+400000000*0.19%+(I28-500000000)*0.15%,IF(AND(I28&gt;1000000000,I28&lt;=5000000000),100000000*0.24%+400000000*0.19%+500000000*0.15%+(I28-1000000000)*0.12%,IF(I28&gt;5000000000,100000000*0.24%+400000000*0.19%+500000000*0.15%+4000000000*0.12%+(I28-5000000000)*0.1%,"Bingung komputer"))))),2)</f>
        <v>0</v>
      </c>
      <c r="B28" t="s" s="109">
        <v>39</v>
      </c>
      <c r="C28" s="62"/>
      <c r="D28" s="63" cm="1">
        <f t="array" ref="D28">ROUND(IF(L28&lt;=100000000,L28*0.24%,IF(AND(L28&gt;100000000,L28&lt;=500000000),100000000*0.24%+(L28-100000000)*0.19%,IF(AND(L28&gt;500000000,L28&lt;=1000000000),100000000*0.24%+400000000*0.19%+(L28-500000000)*0.15%,IF(AND(L28&gt;1000000000,L28&lt;=5000000000),100000000*0.24%+400000000*0.19%+500000000*0.15%+(L28-1000000000)*0.12%,IF(L28&gt;5000000000,100000000*0.24%+400000000*0.19%+500000000*0.15%+4000000000*0.12%+(L28-5000000000)*0.1%,"Bingung komputer"))))),2)</f>
        <v>215748.96</v>
      </c>
      <c r="E28" s="64" cm="1">
        <f t="array" ref="E28">ROUND(IF(M28&lt;=100000000,M28*0.24%,IF(AND(M28&gt;100000000,M28&lt;=500000000),100000000*0.24%+(M28-100000000)*0.19%,IF(AND(M28&gt;500000000,M28&lt;=1000000000),100000000*0.24%+400000000*0.19%+(M28-500000000)*0.15%,IF(AND(M28&gt;1000000000,M28&lt;=5000000000),100000000*0.24%+400000000*0.19%+500000000*0.15%+(M28-1000000000)*0.12%,IF(M28&gt;5000000000,100000000*0.24%+400000000*0.19%+500000000*0.15%+4000000000*0.12%+(M28-5000000000)*0.1%,"Bingung komputer"))))),2)</f>
        <v>215617.2</v>
      </c>
      <c r="F28" s="64" cm="1">
        <f t="array" ref="F28">ROUND(IF(N28&lt;=100000000,N28*0.24%,IF(AND(N28&gt;100000000,N28&lt;=500000000),100000000*0.24%+(N28-100000000)*0.19%,IF(AND(N28&gt;500000000,N28&lt;=1000000000),100000000*0.24%+400000000*0.19%+(N28-500000000)*0.15%,IF(AND(N28&gt;1000000000,N28&lt;=5000000000),100000000*0.24%+400000000*0.19%+500000000*0.15%+(N28-1000000000)*0.12%,IF(N28&gt;5000000000,100000000*0.24%+400000000*0.19%+500000000*0.15%+4000000000*0.12%+(N28-5000000000)*0.1%,"Bingung komputer"))))),2)</f>
        <v>215617.2</v>
      </c>
      <c r="G28" s="65"/>
      <c r="H28" s="66"/>
      <c r="I28" s="68"/>
      <c r="J28" s="67"/>
      <c r="K28" t="str" s="67" cm="1">
        <f t="array" ref="K28">"Jumlah Terkena Pajak "&amp;MAX(K3:K26)&amp;"% (B)"</f>
        <v>Jumlah Terkena Pajak 11,00% (B)</v>
      </c>
      <c r="L28" s="68" cm="1">
        <f t="array" ref="L28">SUMIF($K3:$K26,"&gt;0",L3:L26)</f>
        <v>89895400</v>
      </c>
      <c r="M28" s="69" cm="1">
        <f t="array" ref="M28">SUMIF($K3:$K26,"&gt;0",M3:M26)</f>
        <v>89840500</v>
      </c>
      <c r="N28" s="69" cm="1">
        <f t="array" ref="N28">SUMIF($K3:$K26,"&gt;0",N3:N26)</f>
        <v>89840500</v>
      </c>
    </row>
    <row r="29" ht="21" customHeight="1">
      <c r="A29" s="70"/>
      <c r="B29" s="71"/>
      <c r="C29" s="71"/>
      <c r="D29" s="72"/>
      <c r="E29" s="72"/>
      <c r="F29" s="71"/>
      <c r="G29" s="72"/>
      <c r="H29" s="72"/>
      <c r="I29" s="74"/>
      <c r="J29" s="73"/>
      <c r="K29" t="str" s="73" cm="1">
        <f t="array" ref="K29">"PPN (C) = "&amp;MAX(K3:K26)&amp;"% x B"</f>
        <v>PPN (C) = 11,00% x B</v>
      </c>
      <c r="L29" s="74" cm="1">
        <f t="array" ref="L29">L28*MAX($K3:$K26)%</f>
        <v>9888494</v>
      </c>
      <c r="M29" s="69" cm="1">
        <f t="array" ref="M29">M28*MAX($K3:$K26)%</f>
        <v>9882455</v>
      </c>
      <c r="N29" s="69" cm="1">
        <f t="array" ref="N29">N28*MAX($K3:$K26)%</f>
        <v>9882455</v>
      </c>
    </row>
    <row r="30" ht="21" customHeight="1">
      <c r="A30" s="70"/>
      <c r="B30" s="71"/>
      <c r="C30" s="71"/>
      <c r="D30" t="s" s="110">
        <v>116</v>
      </c>
      <c r="E30" s="111">
        <v>100000000</v>
      </c>
      <c r="F30" s="112">
        <v>99784550</v>
      </c>
      <c r="G30" s="72"/>
      <c r="H30" s="72"/>
      <c r="I30" s="71"/>
      <c r="J30" s="73"/>
      <c r="K30" t="s" s="75">
        <v>42</v>
      </c>
      <c r="L30" s="76" cm="1">
        <f t="array" ref="L30">L27+L29</f>
        <v>99999642.95999999</v>
      </c>
      <c r="M30" s="69" cm="1">
        <f t="array" ref="M30">M27+M29</f>
        <v>99938572.2</v>
      </c>
      <c r="N30" s="69" cm="1">
        <f t="array" ref="N30">N27+N29</f>
        <v>99938572.2</v>
      </c>
    </row>
    <row r="31" ht="20.5" customHeight="1">
      <c r="A31" s="70"/>
      <c r="B31" s="71"/>
      <c r="C31" s="71"/>
      <c r="D31" s="72"/>
      <c r="E31" s="72" cm="1">
        <f t="array" ref="E31">E$30-L$31</f>
        <v>357.04</v>
      </c>
      <c r="F31" s="113" cm="1">
        <f t="array" ref="F31">ROUNDDOWN(E$30-D$28,2)</f>
        <v>99784251.04000001</v>
      </c>
      <c r="G31" s="72"/>
      <c r="H31" s="72"/>
      <c r="I31" s="71"/>
      <c r="J31" s="73"/>
      <c r="K31" t="s" s="75">
        <v>43</v>
      </c>
      <c r="L31" s="68" cm="1">
        <f t="array" ref="L31">ROUNDDOWN(L30,2)</f>
        <v>99999642.95999999</v>
      </c>
      <c r="M31" s="68" cm="1">
        <f t="array" ref="M31">ROUNDDOWN(M30,2)</f>
        <v>99938572.2</v>
      </c>
      <c r="N31" s="68" cm="1">
        <f t="array" ref="N31">ROUNDDOWN(N30,-3)</f>
        <v>99938000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03.xml><?xml version="1.0" encoding="utf-8"?>
<worksheet xmlns:r="http://schemas.openxmlformats.org/officeDocument/2006/relationships" xmlns="http://schemas.openxmlformats.org/spreadsheetml/2006/main">
  <sheetPr>
    <pageSetUpPr fitToPage="1"/>
  </sheetPr>
  <dimension ref="A1:N31"/>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295" customWidth="1"/>
    <col min="2" max="2" width="43.0312" style="295" customWidth="1"/>
    <col min="3" max="3" width="2.75" style="295" customWidth="1"/>
    <col min="4" max="6" width="10.3672" style="295" customWidth="1"/>
    <col min="7" max="7" width="11.6875" style="295" customWidth="1"/>
    <col min="8" max="11" width="13.5156" style="295" customWidth="1"/>
    <col min="12" max="14" width="14.2344" style="295" customWidth="1"/>
    <col min="15" max="16384" width="16.3516" style="295"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109</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s="95">
        <v>1</v>
      </c>
      <c r="B4" t="s" s="19">
        <v>110</v>
      </c>
      <c r="C4" s="20"/>
      <c r="D4" s="21">
        <v>1</v>
      </c>
      <c r="E4" s="21" cm="1">
        <f t="array" ref="E4">D4</f>
        <v>1</v>
      </c>
      <c r="F4" s="21" cm="1">
        <f t="array" ref="F4">D4</f>
        <v>1</v>
      </c>
      <c r="G4" t="s" s="22">
        <v>19</v>
      </c>
      <c r="H4" s="21" cm="1">
        <f t="array" ref="H4">ROUNDDOWN((F$30*0.1)*100/111,-2)</f>
        <v>8989500</v>
      </c>
      <c r="I4" s="21">
        <v>8980000</v>
      </c>
      <c r="J4" s="21">
        <v>8980000</v>
      </c>
      <c r="K4" s="21">
        <v>11</v>
      </c>
      <c r="L4" s="21" cm="1">
        <f t="array" ref="L4">IF(D4&gt;0,IF($D4&lt;=0,0,D4*H4),"")</f>
        <v>8989500</v>
      </c>
      <c r="M4" s="21" cm="1">
        <f t="array" ref="M4">IF(E4&gt;0,IF($D4&lt;=0,0,ROUND(E4*I4,2)),"")</f>
        <v>8980000</v>
      </c>
      <c r="N4" s="23" cm="1">
        <f t="array" ref="N4">IF(F4&gt;0,IF($D4&lt;=0,0,ROUND(F4*J4,2)),"")</f>
        <v>8980000</v>
      </c>
    </row>
    <row r="5" ht="20.5" customHeight="1">
      <c r="A5" s="95">
        <v>2</v>
      </c>
      <c r="B5" t="s" s="19">
        <v>111</v>
      </c>
      <c r="C5" s="24"/>
      <c r="D5" s="26">
        <v>1</v>
      </c>
      <c r="E5" s="26" cm="1">
        <f t="array" ref="E5">D5</f>
        <v>1</v>
      </c>
      <c r="F5" s="26" cm="1">
        <f t="array" ref="F5">D5</f>
        <v>1</v>
      </c>
      <c r="G5" t="s" s="27">
        <v>19</v>
      </c>
      <c r="H5" s="26" cm="1">
        <f t="array" ref="H5">ROUNDDOWN((F$30*0.2)*100/111,-2)</f>
        <v>17979100</v>
      </c>
      <c r="I5" s="26">
        <v>17940000</v>
      </c>
      <c r="J5" s="26">
        <v>17940000</v>
      </c>
      <c r="K5" s="26">
        <v>11</v>
      </c>
      <c r="L5" s="26" cm="1">
        <f t="array" ref="L5">IF(D5&gt;0,IF($D5&lt;=0,0,D5*H5),"")</f>
        <v>17979100</v>
      </c>
      <c r="M5" s="26" cm="1">
        <f t="array" ref="M5">IF(E5&gt;0,IF($D5&lt;=0,0,ROUND(E5*I5,2)),"")</f>
        <v>17940000</v>
      </c>
      <c r="N5" s="28" cm="1">
        <f t="array" ref="N5">IF(F5&gt;0,IF($D5&lt;=0,0,ROUND(F5*J5,2)),"")</f>
        <v>17940000</v>
      </c>
    </row>
    <row r="6" ht="20.5" customHeight="1">
      <c r="A6" s="95">
        <v>3</v>
      </c>
      <c r="B6" t="s" s="19">
        <v>112</v>
      </c>
      <c r="C6" s="20"/>
      <c r="D6" s="21">
        <v>1</v>
      </c>
      <c r="E6" s="21" cm="1">
        <f t="array" ref="E6">D6</f>
        <v>1</v>
      </c>
      <c r="F6" s="21" cm="1">
        <f t="array" ref="F6">D6</f>
        <v>1</v>
      </c>
      <c r="G6" t="s" s="22">
        <v>19</v>
      </c>
      <c r="H6" s="21" cm="1">
        <f t="array" ref="H6">ROUNDDOWN((F$30*0.25)*100/111,-2)</f>
        <v>22473900</v>
      </c>
      <c r="I6" s="21">
        <v>22490000</v>
      </c>
      <c r="J6" s="21">
        <v>22490000</v>
      </c>
      <c r="K6" s="21">
        <v>11</v>
      </c>
      <c r="L6" s="21" cm="1">
        <f t="array" ref="L6">IF(D6&gt;0,IF($D6&lt;=0,0,D6*H6),"")</f>
        <v>22473900</v>
      </c>
      <c r="M6" s="21" cm="1">
        <f t="array" ref="M6">IF(E6&gt;0,IF($D6&lt;=0,0,ROUND(E6*I6,2)),"")</f>
        <v>22490000</v>
      </c>
      <c r="N6" s="23" cm="1">
        <f t="array" ref="N6">IF(F6&gt;0,IF($D6&lt;=0,0,ROUND(F6*J6,2)),"")</f>
        <v>22490000</v>
      </c>
    </row>
    <row r="7" ht="68.5" customHeight="1">
      <c r="A7" s="95">
        <v>5</v>
      </c>
      <c r="B7" t="s" s="19">
        <v>113</v>
      </c>
      <c r="C7" s="24"/>
      <c r="D7" s="26">
        <v>1</v>
      </c>
      <c r="E7" s="26" cm="1">
        <f t="array" ref="E7">D7</f>
        <v>1</v>
      </c>
      <c r="F7" s="26" cm="1">
        <f t="array" ref="F7">D7</f>
        <v>1</v>
      </c>
      <c r="G7" t="s" s="27">
        <v>19</v>
      </c>
      <c r="H7" s="26" cm="1">
        <f t="array" ref="H7">ROUNDDOWN((F$30*0.25)*100/111,-2)</f>
        <v>22473900</v>
      </c>
      <c r="I7" s="26">
        <v>22450000</v>
      </c>
      <c r="J7" s="26">
        <v>22450000</v>
      </c>
      <c r="K7" s="26">
        <v>11</v>
      </c>
      <c r="L7" s="26" cm="1">
        <f t="array" ref="L7">IF(D7&gt;0,IF($D7&lt;=0,0,D7*H7),"")</f>
        <v>22473900</v>
      </c>
      <c r="M7" s="26" cm="1">
        <f t="array" ref="M7">IF(E7&gt;0,IF($D7&lt;=0,0,ROUND(E7*I7,2)),"")</f>
        <v>22450000</v>
      </c>
      <c r="N7" s="28" cm="1">
        <f t="array" ref="N7">IF(F7&gt;0,IF($D7&lt;=0,0,ROUND(F7*J7,2)),"")</f>
        <v>22450000</v>
      </c>
    </row>
    <row r="8" ht="32.5" customHeight="1">
      <c r="A8" s="95">
        <v>6</v>
      </c>
      <c r="B8" t="s" s="19">
        <v>114</v>
      </c>
      <c r="C8" s="20"/>
      <c r="D8" s="21">
        <v>1</v>
      </c>
      <c r="E8" s="21" cm="1">
        <f t="array" ref="E8">D8</f>
        <v>1</v>
      </c>
      <c r="F8" s="21" cm="1">
        <f t="array" ref="F8">D8</f>
        <v>1</v>
      </c>
      <c r="G8" t="s" s="22">
        <v>19</v>
      </c>
      <c r="H8" s="21" cm="1">
        <f t="array" ref="H8">ROUNDDOWN((F$30*0.05)*100/111,-2)</f>
        <v>4494700</v>
      </c>
      <c r="I8" s="21">
        <v>4490000</v>
      </c>
      <c r="J8" s="21">
        <v>4490000</v>
      </c>
      <c r="K8" s="21">
        <v>11</v>
      </c>
      <c r="L8" s="21" cm="1">
        <f t="array" ref="L8">IF(D8&gt;0,IF($D8&lt;=0,0,D8*H8),"")</f>
        <v>4494700</v>
      </c>
      <c r="M8" s="21" cm="1">
        <f t="array" ref="M8">IF(E8&gt;0,IF($D8&lt;=0,0,ROUND(E8*I8,2)),"")</f>
        <v>4490000</v>
      </c>
      <c r="N8" s="23" cm="1">
        <f t="array" ref="N8">IF(F8&gt;0,IF($D8&lt;=0,0,ROUND(F8*J8,2)),"")</f>
        <v>4490000</v>
      </c>
    </row>
    <row r="9" ht="20.5" customHeight="1">
      <c r="A9" s="95">
        <v>7</v>
      </c>
      <c r="B9" t="s" s="19">
        <v>115</v>
      </c>
      <c r="C9" s="24"/>
      <c r="D9" s="26">
        <v>1</v>
      </c>
      <c r="E9" s="26" cm="1">
        <f t="array" ref="E9">D9</f>
        <v>1</v>
      </c>
      <c r="F9" s="26" cm="1">
        <f t="array" ref="F9">D9</f>
        <v>1</v>
      </c>
      <c r="G9" t="s" s="27">
        <v>19</v>
      </c>
      <c r="H9" s="26" cm="1">
        <f t="array" ref="H9">ROUNDDOWN((F$30*0.15)*100/111,-2)</f>
        <v>13484300</v>
      </c>
      <c r="I9" s="26">
        <v>13481000</v>
      </c>
      <c r="J9" s="26">
        <v>13481000</v>
      </c>
      <c r="K9" s="26">
        <v>11</v>
      </c>
      <c r="L9" s="26" cm="1">
        <f t="array" ref="L9">IF(D9&gt;0,IF($D9&lt;=0,0,D9*H9),"")</f>
        <v>13484300</v>
      </c>
      <c r="M9" s="26" cm="1">
        <f t="array" ref="M9">IF(E9&gt;0,IF($D9&lt;=0,0,ROUND(E9*I9,2)),"")</f>
        <v>13481000</v>
      </c>
      <c r="N9" s="28" cm="1">
        <f t="array" ref="N9">IF(F9&gt;0,IF($D9&lt;=0,0,ROUND(F9*J9,2)),"")</f>
        <v>13481000</v>
      </c>
    </row>
    <row r="10" ht="20.6" customHeight="1">
      <c r="A10" s="33">
        <v>8</v>
      </c>
      <c r="B10" t="s" s="34">
        <v>37</v>
      </c>
      <c r="C10" s="35"/>
      <c r="D10" s="36">
        <v>1</v>
      </c>
      <c r="E10" s="36" cm="1">
        <f t="array" ref="E10">D10</f>
        <v>1</v>
      </c>
      <c r="F10" s="36" cm="1">
        <f t="array" ref="F10">D10</f>
        <v>1</v>
      </c>
      <c r="G10" t="s" s="37">
        <v>19</v>
      </c>
      <c r="H10" s="36">
        <v>215748.96</v>
      </c>
      <c r="I10" s="36">
        <v>215594.4</v>
      </c>
      <c r="J10" s="36">
        <v>215594.4</v>
      </c>
      <c r="K10" s="36">
        <v>0</v>
      </c>
      <c r="L10" s="36" cm="1">
        <f t="array" ref="L10">IF(D10&gt;0,IF($D10&lt;=0,0,D10*H10),"")</f>
        <v>215748.96</v>
      </c>
      <c r="M10" s="36" cm="1">
        <f t="array" ref="M10">IF(E10&gt;0,IF($D10&lt;=0,0,ROUND(E10*I10,2)),"")</f>
        <v>215594.4</v>
      </c>
      <c r="N10" s="38" cm="1">
        <f t="array" ref="N10">IF(F10&gt;0,IF($D10&lt;=0,0,ROUND(F10*J10,2)),"")</f>
        <v>215594.4</v>
      </c>
    </row>
    <row r="11" ht="8.75" customHeight="1" hidden="1">
      <c r="A11" s="39"/>
      <c r="B11" s="40"/>
      <c r="C11" s="41"/>
      <c r="D11" s="42"/>
      <c r="E11" s="42"/>
      <c r="F11" s="42"/>
      <c r="G11" s="43"/>
      <c r="H11" s="42"/>
      <c r="I11" s="42"/>
      <c r="J11" s="42"/>
      <c r="K11" s="42"/>
      <c r="L11" s="42"/>
      <c r="M11" s="42"/>
      <c r="N11" s="44"/>
    </row>
    <row r="12" ht="8.75" customHeight="1" hidden="1">
      <c r="A12" s="39"/>
      <c r="B12" s="40"/>
      <c r="C12" s="45"/>
      <c r="D12" s="46"/>
      <c r="E12" s="46"/>
      <c r="F12" s="46"/>
      <c r="G12" s="47"/>
      <c r="H12" s="46"/>
      <c r="I12" s="46"/>
      <c r="J12" s="46"/>
      <c r="K12" s="46"/>
      <c r="L12" s="46"/>
      <c r="M12" s="46"/>
      <c r="N12" s="48"/>
    </row>
    <row r="13" ht="8.75" customHeight="1" hidden="1">
      <c r="A13" s="39"/>
      <c r="B13" s="40"/>
      <c r="C13" s="41"/>
      <c r="D13" s="42"/>
      <c r="E13" s="42"/>
      <c r="F13" s="42"/>
      <c r="G13" s="43"/>
      <c r="H13" s="42"/>
      <c r="I13" s="42"/>
      <c r="J13" s="42"/>
      <c r="K13" s="42"/>
      <c r="L13" s="42"/>
      <c r="M13" s="42"/>
      <c r="N13" s="44"/>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2"/>
      <c r="I15" s="42"/>
      <c r="J15" s="42"/>
      <c r="K15" s="42"/>
      <c r="L15" s="42"/>
      <c r="M15" s="42"/>
      <c r="N15" s="44"/>
    </row>
    <row r="16" ht="8.75" customHeight="1" hidden="1">
      <c r="A16" s="39"/>
      <c r="B16" s="40"/>
      <c r="C16" s="45"/>
      <c r="D16" s="46"/>
      <c r="E16" s="46"/>
      <c r="F16" s="46"/>
      <c r="G16" s="47"/>
      <c r="H16" s="46"/>
      <c r="I16" s="46"/>
      <c r="J16" s="46"/>
      <c r="K16" s="46"/>
      <c r="L16" s="46"/>
      <c r="M16" s="46"/>
      <c r="N16" s="48"/>
    </row>
    <row r="17" ht="8.75" customHeight="1" hidden="1">
      <c r="A17" s="39"/>
      <c r="B17" s="40"/>
      <c r="C17" s="41"/>
      <c r="D17" s="42"/>
      <c r="E17" s="42"/>
      <c r="F17" s="42"/>
      <c r="G17" s="43"/>
      <c r="H17" s="43"/>
      <c r="I17" s="43"/>
      <c r="J17" s="43"/>
      <c r="K17" s="42"/>
      <c r="L17" s="43"/>
      <c r="M17" s="43"/>
      <c r="N17" s="49"/>
    </row>
    <row r="18" ht="8.75" customHeight="1" hidden="1">
      <c r="A18" s="39"/>
      <c r="B18" s="40"/>
      <c r="C18" s="45"/>
      <c r="D18" s="46"/>
      <c r="E18" s="46"/>
      <c r="F18" s="46"/>
      <c r="G18" s="47"/>
      <c r="H18" s="50"/>
      <c r="I18" s="50"/>
      <c r="J18" s="50"/>
      <c r="K18" s="46"/>
      <c r="L18" s="46"/>
      <c r="M18" s="46"/>
      <c r="N18" s="48"/>
    </row>
    <row r="19" ht="8.75" customHeight="1" hidden="1">
      <c r="A19" s="39"/>
      <c r="B19" s="40"/>
      <c r="C19" s="41"/>
      <c r="D19" s="42"/>
      <c r="E19" s="42"/>
      <c r="F19" s="42"/>
      <c r="G19" s="43"/>
      <c r="H19" s="43"/>
      <c r="I19" s="43"/>
      <c r="J19" s="43"/>
      <c r="K19" s="42"/>
      <c r="L19" s="43"/>
      <c r="M19" s="43"/>
      <c r="N19" s="49"/>
    </row>
    <row r="20" ht="8.75" customHeight="1" hidden="1">
      <c r="A20" s="39"/>
      <c r="B20" s="40"/>
      <c r="C20" s="45"/>
      <c r="D20" s="46"/>
      <c r="E20" s="46"/>
      <c r="F20" s="46"/>
      <c r="G20" s="47"/>
      <c r="H20" s="46"/>
      <c r="I20" s="46"/>
      <c r="J20" s="46"/>
      <c r="K20" s="46"/>
      <c r="L20" s="46"/>
      <c r="M20" s="46"/>
      <c r="N20" s="48"/>
    </row>
    <row r="21" ht="8.75" customHeight="1" hidden="1">
      <c r="A21" s="39"/>
      <c r="B21" s="40"/>
      <c r="C21" s="41"/>
      <c r="D21" s="42"/>
      <c r="E21" s="42"/>
      <c r="F21" s="42"/>
      <c r="G21" s="43"/>
      <c r="H21" s="42"/>
      <c r="I21" s="42"/>
      <c r="J21" s="42"/>
      <c r="K21" s="42"/>
      <c r="L21" s="42"/>
      <c r="M21" s="42"/>
      <c r="N21" s="44"/>
    </row>
    <row r="22" ht="8.75" customHeight="1" hidden="1">
      <c r="A22" s="51"/>
      <c r="B22" s="40"/>
      <c r="C22" s="45"/>
      <c r="D22" s="46"/>
      <c r="E22" s="46"/>
      <c r="F22" s="46"/>
      <c r="G22" s="47"/>
      <c r="H22" s="46"/>
      <c r="I22" s="46"/>
      <c r="J22" s="46"/>
      <c r="K22" s="46"/>
      <c r="L22" s="46"/>
      <c r="M22" s="46"/>
      <c r="N22" s="48"/>
    </row>
    <row r="23" ht="8.75" customHeight="1" hidden="1">
      <c r="A23" s="51"/>
      <c r="B23" s="40"/>
      <c r="C23" s="41"/>
      <c r="D23" s="42"/>
      <c r="E23" s="42"/>
      <c r="F23" s="42"/>
      <c r="G23" s="43"/>
      <c r="H23" s="42"/>
      <c r="I23" s="42"/>
      <c r="J23" s="42"/>
      <c r="K23" s="42"/>
      <c r="L23" s="42"/>
      <c r="M23" s="42"/>
      <c r="N23" s="44"/>
    </row>
    <row r="24" ht="8.75" customHeight="1" hidden="1">
      <c r="A24" s="39"/>
      <c r="B24" s="40"/>
      <c r="C24" s="45"/>
      <c r="D24" s="46"/>
      <c r="E24" s="46"/>
      <c r="F24" s="46"/>
      <c r="G24" s="47"/>
      <c r="H24" s="46"/>
      <c r="I24" s="46"/>
      <c r="J24" s="46"/>
      <c r="K24" s="46"/>
      <c r="L24" s="47"/>
      <c r="M24" s="47"/>
      <c r="N24" s="52"/>
    </row>
    <row r="25" ht="8.75" customHeight="1" hidden="1">
      <c r="A25" s="39"/>
      <c r="B25" s="40"/>
      <c r="C25" s="41"/>
      <c r="D25" s="42"/>
      <c r="E25" s="42"/>
      <c r="F25" s="42"/>
      <c r="G25" s="43"/>
      <c r="H25" s="42"/>
      <c r="I25" s="42"/>
      <c r="J25" s="42"/>
      <c r="K25" s="42"/>
      <c r="L25" s="42"/>
      <c r="M25" s="42"/>
      <c r="N25" s="44"/>
    </row>
    <row r="26" ht="8.75" customHeight="1" hidden="1">
      <c r="A26" s="39"/>
      <c r="B26" s="40"/>
      <c r="C26" s="45"/>
      <c r="D26" s="46"/>
      <c r="E26" s="46"/>
      <c r="F26" s="46"/>
      <c r="G26" s="47"/>
      <c r="H26" s="46"/>
      <c r="I26" s="46"/>
      <c r="J26" s="46"/>
      <c r="K26" s="46"/>
      <c r="L26" s="47"/>
      <c r="M26" s="47"/>
      <c r="N26" s="52"/>
    </row>
    <row r="27" ht="20.85" customHeight="1">
      <c r="A27" s="108"/>
      <c r="B27" s="54"/>
      <c r="C27" s="54"/>
      <c r="D27" s="55"/>
      <c r="E27" s="55"/>
      <c r="F27" s="55"/>
      <c r="G27" s="56"/>
      <c r="H27" s="56"/>
      <c r="I27" s="54"/>
      <c r="J27" s="57"/>
      <c r="K27" t="s" s="58">
        <v>38</v>
      </c>
      <c r="L27" s="59" cm="1">
        <f t="array" ref="L27">SUM(L1:L26)</f>
        <v>90111148.95999999</v>
      </c>
      <c r="M27" s="59" cm="1">
        <f t="array" ref="M27">SUM(M1:M26)</f>
        <v>90046594.40000001</v>
      </c>
      <c r="N27" s="59" cm="1">
        <f t="array" ref="N27">SUM(N1:N26)</f>
        <v>90046594.40000001</v>
      </c>
    </row>
    <row r="28" ht="21" customHeight="1">
      <c r="A28" s="63" cm="1">
        <f t="array" ref="A28">ROUND(IF(I28&lt;=100000000,I28*0.24%,IF(AND(I28&gt;100000000,I28&lt;=500000000),100000000*0.24%+(I28-100000000)*0.19%,IF(AND(I28&gt;500000000,I28&lt;=1000000000),100000000*0.24%+400000000*0.19%+(I28-500000000)*0.15%,IF(AND(I28&gt;1000000000,I28&lt;=5000000000),100000000*0.24%+400000000*0.19%+500000000*0.15%+(I28-1000000000)*0.12%,IF(I28&gt;5000000000,100000000*0.24%+400000000*0.19%+500000000*0.15%+4000000000*0.12%+(I28-5000000000)*0.1%,"Bingung komputer"))))),2)</f>
        <v>0</v>
      </c>
      <c r="B28" t="s" s="109">
        <v>39</v>
      </c>
      <c r="C28" s="62"/>
      <c r="D28" s="63" cm="1">
        <f t="array" ref="D28">ROUND(IF(L28&lt;=100000000,L28*0.24%,IF(AND(L28&gt;100000000,L28&lt;=500000000),100000000*0.24%+(L28-100000000)*0.19%,IF(AND(L28&gt;500000000,L28&lt;=1000000000),100000000*0.24%+400000000*0.19%+(L28-500000000)*0.15%,IF(AND(L28&gt;1000000000,L28&lt;=5000000000),100000000*0.24%+400000000*0.19%+500000000*0.15%+(L28-1000000000)*0.12%,IF(L28&gt;5000000000,100000000*0.24%+400000000*0.19%+500000000*0.15%+4000000000*0.12%+(L28-5000000000)*0.1%,"Bingung komputer"))))),2)</f>
        <v>215748.96</v>
      </c>
      <c r="E28" s="64" cm="1">
        <f t="array" ref="E28">ROUND(IF(M28&lt;=100000000,M28*0.24%,IF(AND(M28&gt;100000000,M28&lt;=500000000),100000000*0.24%+(M28-100000000)*0.19%,IF(AND(M28&gt;500000000,M28&lt;=1000000000),100000000*0.24%+400000000*0.19%+(M28-500000000)*0.15%,IF(AND(M28&gt;1000000000,M28&lt;=5000000000),100000000*0.24%+400000000*0.19%+500000000*0.15%+(M28-1000000000)*0.12%,IF(M28&gt;5000000000,100000000*0.24%+400000000*0.19%+500000000*0.15%+4000000000*0.12%+(M28-5000000000)*0.1%,"Bingung komputer"))))),2)</f>
        <v>215594.4</v>
      </c>
      <c r="F28" s="64" cm="1">
        <f t="array" ref="F28">ROUND(IF(N28&lt;=100000000,N28*0.24%,IF(AND(N28&gt;100000000,N28&lt;=500000000),100000000*0.24%+(N28-100000000)*0.19%,IF(AND(N28&gt;500000000,N28&lt;=1000000000),100000000*0.24%+400000000*0.19%+(N28-500000000)*0.15%,IF(AND(N28&gt;1000000000,N28&lt;=5000000000),100000000*0.24%+400000000*0.19%+500000000*0.15%+(N28-1000000000)*0.12%,IF(N28&gt;5000000000,100000000*0.24%+400000000*0.19%+500000000*0.15%+4000000000*0.12%+(N28-5000000000)*0.1%,"Bingung komputer"))))),2)</f>
        <v>215594.4</v>
      </c>
      <c r="G28" s="65"/>
      <c r="H28" s="66"/>
      <c r="I28" s="68"/>
      <c r="J28" s="67"/>
      <c r="K28" t="str" s="67" cm="1">
        <f t="array" ref="K28">"Jumlah Terkena Pajak "&amp;MAX(K3:K26)&amp;"% (B)"</f>
        <v>Jumlah Terkena Pajak 11,00% (B)</v>
      </c>
      <c r="L28" s="68" cm="1">
        <f t="array" ref="L28">SUMIF($K3:$K26,"&gt;0",L3:L26)</f>
        <v>89895400</v>
      </c>
      <c r="M28" s="69" cm="1">
        <f t="array" ref="M28">SUMIF($K3:$K26,"&gt;0",M3:M26)</f>
        <v>89831000</v>
      </c>
      <c r="N28" s="69" cm="1">
        <f t="array" ref="N28">SUMIF($K3:$K26,"&gt;0",N3:N26)</f>
        <v>89831000</v>
      </c>
    </row>
    <row r="29" ht="21" customHeight="1">
      <c r="A29" s="70"/>
      <c r="B29" s="71"/>
      <c r="C29" s="71"/>
      <c r="D29" s="72"/>
      <c r="E29" s="72"/>
      <c r="F29" s="71"/>
      <c r="G29" s="72"/>
      <c r="H29" s="72"/>
      <c r="I29" s="74"/>
      <c r="J29" s="73"/>
      <c r="K29" t="str" s="73" cm="1">
        <f t="array" ref="K29">"PPN (C) = "&amp;MAX(K3:K26)&amp;"% x B"</f>
        <v>PPN (C) = 11,00% x B</v>
      </c>
      <c r="L29" s="74" cm="1">
        <f t="array" ref="L29">L28*MAX($K3:$K26)%</f>
        <v>9888494</v>
      </c>
      <c r="M29" s="69" cm="1">
        <f t="array" ref="M29">M28*MAX($K3:$K26)%</f>
        <v>9881410</v>
      </c>
      <c r="N29" s="69" cm="1">
        <f t="array" ref="N29">N28*MAX($K3:$K26)%</f>
        <v>9881410</v>
      </c>
    </row>
    <row r="30" ht="21" customHeight="1">
      <c r="A30" s="70"/>
      <c r="B30" s="71"/>
      <c r="C30" s="71"/>
      <c r="D30" t="s" s="110">
        <v>116</v>
      </c>
      <c r="E30" s="111">
        <v>100000000</v>
      </c>
      <c r="F30" s="112">
        <v>99784550</v>
      </c>
      <c r="G30" s="72"/>
      <c r="H30" s="72"/>
      <c r="I30" s="71"/>
      <c r="J30" s="73"/>
      <c r="K30" t="s" s="75">
        <v>42</v>
      </c>
      <c r="L30" s="76" cm="1">
        <f t="array" ref="L30">L27+L29</f>
        <v>99999642.95999999</v>
      </c>
      <c r="M30" s="69" cm="1">
        <f t="array" ref="M30">M27+M29</f>
        <v>99928004.40000001</v>
      </c>
      <c r="N30" s="69" cm="1">
        <f t="array" ref="N30">N27+N29</f>
        <v>99928004.40000001</v>
      </c>
    </row>
    <row r="31" ht="20.5" customHeight="1">
      <c r="A31" s="70"/>
      <c r="B31" s="71"/>
      <c r="C31" s="71"/>
      <c r="D31" s="72"/>
      <c r="E31" s="72" cm="1">
        <f t="array" ref="E31">E$30-L$31</f>
        <v>357.04</v>
      </c>
      <c r="F31" s="113" cm="1">
        <f t="array" ref="F31">ROUNDDOWN(E$30-D$28,2)</f>
        <v>99784251.04000001</v>
      </c>
      <c r="G31" s="72"/>
      <c r="H31" s="72"/>
      <c r="I31" s="71"/>
      <c r="J31" s="73"/>
      <c r="K31" t="s" s="75">
        <v>43</v>
      </c>
      <c r="L31" s="68" cm="1">
        <f t="array" ref="L31">ROUNDDOWN(L30,2)</f>
        <v>99999642.95999999</v>
      </c>
      <c r="M31" s="68" cm="1">
        <f t="array" ref="M31">ROUNDDOWN(M30,2)</f>
        <v>99928004.40000001</v>
      </c>
      <c r="N31" s="68" cm="1">
        <f t="array" ref="N31">ROUNDDOWN(N30,-3)</f>
        <v>99928000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04.xml><?xml version="1.0" encoding="utf-8"?>
<worksheet xmlns:r="http://schemas.openxmlformats.org/officeDocument/2006/relationships" xmlns="http://schemas.openxmlformats.org/spreadsheetml/2006/main">
  <sheetPr>
    <pageSetUpPr fitToPage="1"/>
  </sheetPr>
  <dimension ref="A1:N31"/>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296" customWidth="1"/>
    <col min="2" max="2" width="43.0312" style="296" customWidth="1"/>
    <col min="3" max="3" width="2.75" style="296" customWidth="1"/>
    <col min="4" max="6" width="10.3672" style="296" customWidth="1"/>
    <col min="7" max="7" width="11.6875" style="296" customWidth="1"/>
    <col min="8" max="11" width="13.5156" style="296" customWidth="1"/>
    <col min="12" max="14" width="14.2344" style="296" customWidth="1"/>
    <col min="15" max="16384" width="16.3516" style="296"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109</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s="95">
        <v>1</v>
      </c>
      <c r="B4" t="s" s="19">
        <v>110</v>
      </c>
      <c r="C4" s="20"/>
      <c r="D4" s="21">
        <v>1</v>
      </c>
      <c r="E4" s="21" cm="1">
        <f t="array" ref="E4">D4</f>
        <v>1</v>
      </c>
      <c r="F4" s="21" cm="1">
        <f t="array" ref="F4">D4</f>
        <v>1</v>
      </c>
      <c r="G4" t="s" s="22">
        <v>19</v>
      </c>
      <c r="H4" s="21" cm="1">
        <f t="array" ref="H4">ROUNDDOWN((F$30*0.1)*100/111,-2)</f>
        <v>8989500</v>
      </c>
      <c r="I4" s="21">
        <v>8975000</v>
      </c>
      <c r="J4" s="21">
        <v>8975000</v>
      </c>
      <c r="K4" s="21">
        <v>11</v>
      </c>
      <c r="L4" s="21" cm="1">
        <f t="array" ref="L4">IF(D4&gt;0,IF($D4&lt;=0,0,D4*H4),"")</f>
        <v>8989500</v>
      </c>
      <c r="M4" s="21" cm="1">
        <f t="array" ref="M4">IF(E4&gt;0,IF($D4&lt;=0,0,ROUND(E4*I4,2)),"")</f>
        <v>8975000</v>
      </c>
      <c r="N4" s="23" cm="1">
        <f t="array" ref="N4">IF(F4&gt;0,IF($D4&lt;=0,0,ROUND(F4*J4,2)),"")</f>
        <v>8975000</v>
      </c>
    </row>
    <row r="5" ht="20.5" customHeight="1">
      <c r="A5" s="95">
        <v>2</v>
      </c>
      <c r="B5" t="s" s="19">
        <v>111</v>
      </c>
      <c r="C5" s="24"/>
      <c r="D5" s="26">
        <v>1</v>
      </c>
      <c r="E5" s="26" cm="1">
        <f t="array" ref="E5">D5</f>
        <v>1</v>
      </c>
      <c r="F5" s="26" cm="1">
        <f t="array" ref="F5">D5</f>
        <v>1</v>
      </c>
      <c r="G5" t="s" s="27">
        <v>19</v>
      </c>
      <c r="H5" s="26" cm="1">
        <f t="array" ref="H5">ROUNDDOWN((F$30*0.2)*100/111,-2)</f>
        <v>17979100</v>
      </c>
      <c r="I5" s="26">
        <v>17940000</v>
      </c>
      <c r="J5" s="26">
        <v>17940000</v>
      </c>
      <c r="K5" s="26">
        <v>11</v>
      </c>
      <c r="L5" s="26" cm="1">
        <f t="array" ref="L5">IF(D5&gt;0,IF($D5&lt;=0,0,D5*H5),"")</f>
        <v>17979100</v>
      </c>
      <c r="M5" s="26" cm="1">
        <f t="array" ref="M5">IF(E5&gt;0,IF($D5&lt;=0,0,ROUND(E5*I5,2)),"")</f>
        <v>17940000</v>
      </c>
      <c r="N5" s="28" cm="1">
        <f t="array" ref="N5">IF(F5&gt;0,IF($D5&lt;=0,0,ROUND(F5*J5,2)),"")</f>
        <v>17940000</v>
      </c>
    </row>
    <row r="6" ht="20.5" customHeight="1">
      <c r="A6" s="95">
        <v>3</v>
      </c>
      <c r="B6" t="s" s="19">
        <v>112</v>
      </c>
      <c r="C6" s="20"/>
      <c r="D6" s="21">
        <v>1</v>
      </c>
      <c r="E6" s="21" cm="1">
        <f t="array" ref="E6">D6</f>
        <v>1</v>
      </c>
      <c r="F6" s="21" cm="1">
        <f t="array" ref="F6">D6</f>
        <v>1</v>
      </c>
      <c r="G6" t="s" s="22">
        <v>19</v>
      </c>
      <c r="H6" s="21" cm="1">
        <f t="array" ref="H6">ROUNDDOWN((F$30*0.25)*100/111,-2)</f>
        <v>22473900</v>
      </c>
      <c r="I6" s="21">
        <v>22500000</v>
      </c>
      <c r="J6" s="21">
        <v>22500000</v>
      </c>
      <c r="K6" s="21">
        <v>11</v>
      </c>
      <c r="L6" s="21" cm="1">
        <f t="array" ref="L6">IF(D6&gt;0,IF($D6&lt;=0,0,D6*H6),"")</f>
        <v>22473900</v>
      </c>
      <c r="M6" s="21" cm="1">
        <f t="array" ref="M6">IF(E6&gt;0,IF($D6&lt;=0,0,ROUND(E6*I6,2)),"")</f>
        <v>22500000</v>
      </c>
      <c r="N6" s="23" cm="1">
        <f t="array" ref="N6">IF(F6&gt;0,IF($D6&lt;=0,0,ROUND(F6*J6,2)),"")</f>
        <v>22500000</v>
      </c>
    </row>
    <row r="7" ht="68.5" customHeight="1">
      <c r="A7" s="95">
        <v>5</v>
      </c>
      <c r="B7" t="s" s="19">
        <v>113</v>
      </c>
      <c r="C7" s="24"/>
      <c r="D7" s="26">
        <v>1</v>
      </c>
      <c r="E7" s="26" cm="1">
        <f t="array" ref="E7">D7</f>
        <v>1</v>
      </c>
      <c r="F7" s="26" cm="1">
        <f t="array" ref="F7">D7</f>
        <v>1</v>
      </c>
      <c r="G7" t="s" s="27">
        <v>19</v>
      </c>
      <c r="H7" s="26" cm="1">
        <f t="array" ref="H7">ROUNDDOWN((F$30*0.25)*100/111,-2)</f>
        <v>22473900</v>
      </c>
      <c r="I7" s="26">
        <v>22450000</v>
      </c>
      <c r="J7" s="26">
        <v>22450000</v>
      </c>
      <c r="K7" s="26">
        <v>11</v>
      </c>
      <c r="L7" s="26" cm="1">
        <f t="array" ref="L7">IF(D7&gt;0,IF($D7&lt;=0,0,D7*H7),"")</f>
        <v>22473900</v>
      </c>
      <c r="M7" s="26" cm="1">
        <f t="array" ref="M7">IF(E7&gt;0,IF($D7&lt;=0,0,ROUND(E7*I7,2)),"")</f>
        <v>22450000</v>
      </c>
      <c r="N7" s="28" cm="1">
        <f t="array" ref="N7">IF(F7&gt;0,IF($D7&lt;=0,0,ROUND(F7*J7,2)),"")</f>
        <v>22450000</v>
      </c>
    </row>
    <row r="8" ht="32.5" customHeight="1">
      <c r="A8" s="95">
        <v>6</v>
      </c>
      <c r="B8" t="s" s="19">
        <v>114</v>
      </c>
      <c r="C8" s="20"/>
      <c r="D8" s="21">
        <v>1</v>
      </c>
      <c r="E8" s="21" cm="1">
        <f t="array" ref="E8">D8</f>
        <v>1</v>
      </c>
      <c r="F8" s="21" cm="1">
        <f t="array" ref="F8">D8</f>
        <v>1</v>
      </c>
      <c r="G8" t="s" s="22">
        <v>19</v>
      </c>
      <c r="H8" s="21" cm="1">
        <f t="array" ref="H8">ROUNDDOWN((F$30*0.05)*100/111,-2)</f>
        <v>4494700</v>
      </c>
      <c r="I8" s="21">
        <v>4490000</v>
      </c>
      <c r="J8" s="21">
        <v>4490000</v>
      </c>
      <c r="K8" s="21">
        <v>11</v>
      </c>
      <c r="L8" s="21" cm="1">
        <f t="array" ref="L8">IF(D8&gt;0,IF($D8&lt;=0,0,D8*H8),"")</f>
        <v>4494700</v>
      </c>
      <c r="M8" s="21" cm="1">
        <f t="array" ref="M8">IF(E8&gt;0,IF($D8&lt;=0,0,ROUND(E8*I8,2)),"")</f>
        <v>4490000</v>
      </c>
      <c r="N8" s="23" cm="1">
        <f t="array" ref="N8">IF(F8&gt;0,IF($D8&lt;=0,0,ROUND(F8*J8,2)),"")</f>
        <v>4490000</v>
      </c>
    </row>
    <row r="9" ht="20.5" customHeight="1">
      <c r="A9" s="95">
        <v>7</v>
      </c>
      <c r="B9" t="s" s="19">
        <v>115</v>
      </c>
      <c r="C9" s="24"/>
      <c r="D9" s="26">
        <v>1</v>
      </c>
      <c r="E9" s="26" cm="1">
        <f t="array" ref="E9">D9</f>
        <v>1</v>
      </c>
      <c r="F9" s="26" cm="1">
        <f t="array" ref="F9">D9</f>
        <v>1</v>
      </c>
      <c r="G9" t="s" s="27">
        <v>19</v>
      </c>
      <c r="H9" s="26" cm="1">
        <f t="array" ref="H9">ROUNDDOWN((F$30*0.15)*100/111,-2)</f>
        <v>13484300</v>
      </c>
      <c r="I9" s="26">
        <v>13450000</v>
      </c>
      <c r="J9" s="26">
        <v>13450000</v>
      </c>
      <c r="K9" s="26">
        <v>11</v>
      </c>
      <c r="L9" s="26" cm="1">
        <f t="array" ref="L9">IF(D9&gt;0,IF($D9&lt;=0,0,D9*H9),"")</f>
        <v>13484300</v>
      </c>
      <c r="M9" s="26" cm="1">
        <f t="array" ref="M9">IF(E9&gt;0,IF($D9&lt;=0,0,ROUND(E9*I9,2)),"")</f>
        <v>13450000</v>
      </c>
      <c r="N9" s="28" cm="1">
        <f t="array" ref="N9">IF(F9&gt;0,IF($D9&lt;=0,0,ROUND(F9*J9,2)),"")</f>
        <v>13450000</v>
      </c>
    </row>
    <row r="10" ht="20.6" customHeight="1">
      <c r="A10" s="33">
        <v>8</v>
      </c>
      <c r="B10" t="s" s="34">
        <v>37</v>
      </c>
      <c r="C10" s="35"/>
      <c r="D10" s="36">
        <v>1</v>
      </c>
      <c r="E10" s="36" cm="1">
        <f t="array" ref="E10">D10</f>
        <v>1</v>
      </c>
      <c r="F10" s="36" cm="1">
        <f t="array" ref="F10">D10</f>
        <v>1</v>
      </c>
      <c r="G10" t="s" s="37">
        <v>19</v>
      </c>
      <c r="H10" s="36">
        <v>215748.96</v>
      </c>
      <c r="I10" s="36">
        <v>215532</v>
      </c>
      <c r="J10" s="36">
        <v>215532</v>
      </c>
      <c r="K10" s="36">
        <v>0</v>
      </c>
      <c r="L10" s="36" cm="1">
        <f t="array" ref="L10">IF(D10&gt;0,IF($D10&lt;=0,0,D10*H10),"")</f>
        <v>215748.96</v>
      </c>
      <c r="M10" s="36" cm="1">
        <f t="array" ref="M10">IF(E10&gt;0,IF($D10&lt;=0,0,ROUND(E10*I10,2)),"")</f>
        <v>215532</v>
      </c>
      <c r="N10" s="38" cm="1">
        <f t="array" ref="N10">IF(F10&gt;0,IF($D10&lt;=0,0,ROUND(F10*J10,2)),"")</f>
        <v>215532</v>
      </c>
    </row>
    <row r="11" ht="8.75" customHeight="1" hidden="1">
      <c r="A11" s="39"/>
      <c r="B11" s="40"/>
      <c r="C11" s="41"/>
      <c r="D11" s="42"/>
      <c r="E11" s="42"/>
      <c r="F11" s="42"/>
      <c r="G11" s="43"/>
      <c r="H11" s="42"/>
      <c r="I11" s="42"/>
      <c r="J11" s="42"/>
      <c r="K11" s="42"/>
      <c r="L11" s="42"/>
      <c r="M11" s="42"/>
      <c r="N11" s="44"/>
    </row>
    <row r="12" ht="8.75" customHeight="1" hidden="1">
      <c r="A12" s="39"/>
      <c r="B12" s="40"/>
      <c r="C12" s="45"/>
      <c r="D12" s="46"/>
      <c r="E12" s="46"/>
      <c r="F12" s="46"/>
      <c r="G12" s="47"/>
      <c r="H12" s="46"/>
      <c r="I12" s="46"/>
      <c r="J12" s="46"/>
      <c r="K12" s="46"/>
      <c r="L12" s="46"/>
      <c r="M12" s="46"/>
      <c r="N12" s="48"/>
    </row>
    <row r="13" ht="8.75" customHeight="1" hidden="1">
      <c r="A13" s="39"/>
      <c r="B13" s="40"/>
      <c r="C13" s="41"/>
      <c r="D13" s="42"/>
      <c r="E13" s="42"/>
      <c r="F13" s="42"/>
      <c r="G13" s="43"/>
      <c r="H13" s="42"/>
      <c r="I13" s="42"/>
      <c r="J13" s="42"/>
      <c r="K13" s="42"/>
      <c r="L13" s="42"/>
      <c r="M13" s="42"/>
      <c r="N13" s="44"/>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2"/>
      <c r="I15" s="42"/>
      <c r="J15" s="42"/>
      <c r="K15" s="42"/>
      <c r="L15" s="42"/>
      <c r="M15" s="42"/>
      <c r="N15" s="44"/>
    </row>
    <row r="16" ht="8.75" customHeight="1" hidden="1">
      <c r="A16" s="39"/>
      <c r="B16" s="40"/>
      <c r="C16" s="45"/>
      <c r="D16" s="46"/>
      <c r="E16" s="46"/>
      <c r="F16" s="46"/>
      <c r="G16" s="47"/>
      <c r="H16" s="46"/>
      <c r="I16" s="46"/>
      <c r="J16" s="46"/>
      <c r="K16" s="46"/>
      <c r="L16" s="46"/>
      <c r="M16" s="46"/>
      <c r="N16" s="48"/>
    </row>
    <row r="17" ht="8.75" customHeight="1" hidden="1">
      <c r="A17" s="39"/>
      <c r="B17" s="40"/>
      <c r="C17" s="41"/>
      <c r="D17" s="42"/>
      <c r="E17" s="42"/>
      <c r="F17" s="42"/>
      <c r="G17" s="43"/>
      <c r="H17" s="43"/>
      <c r="I17" s="43"/>
      <c r="J17" s="43"/>
      <c r="K17" s="42"/>
      <c r="L17" s="43"/>
      <c r="M17" s="43"/>
      <c r="N17" s="49"/>
    </row>
    <row r="18" ht="8.75" customHeight="1" hidden="1">
      <c r="A18" s="39"/>
      <c r="B18" s="40"/>
      <c r="C18" s="45"/>
      <c r="D18" s="46"/>
      <c r="E18" s="46"/>
      <c r="F18" s="46"/>
      <c r="G18" s="47"/>
      <c r="H18" s="50"/>
      <c r="I18" s="50"/>
      <c r="J18" s="50"/>
      <c r="K18" s="46"/>
      <c r="L18" s="46"/>
      <c r="M18" s="46"/>
      <c r="N18" s="48"/>
    </row>
    <row r="19" ht="8.75" customHeight="1" hidden="1">
      <c r="A19" s="39"/>
      <c r="B19" s="40"/>
      <c r="C19" s="41"/>
      <c r="D19" s="42"/>
      <c r="E19" s="42"/>
      <c r="F19" s="42"/>
      <c r="G19" s="43"/>
      <c r="H19" s="43"/>
      <c r="I19" s="43"/>
      <c r="J19" s="43"/>
      <c r="K19" s="42"/>
      <c r="L19" s="43"/>
      <c r="M19" s="43"/>
      <c r="N19" s="49"/>
    </row>
    <row r="20" ht="8.75" customHeight="1" hidden="1">
      <c r="A20" s="39"/>
      <c r="B20" s="40"/>
      <c r="C20" s="45"/>
      <c r="D20" s="46"/>
      <c r="E20" s="46"/>
      <c r="F20" s="46"/>
      <c r="G20" s="47"/>
      <c r="H20" s="46"/>
      <c r="I20" s="46"/>
      <c r="J20" s="46"/>
      <c r="K20" s="46"/>
      <c r="L20" s="46"/>
      <c r="M20" s="46"/>
      <c r="N20" s="48"/>
    </row>
    <row r="21" ht="8.75" customHeight="1" hidden="1">
      <c r="A21" s="39"/>
      <c r="B21" s="40"/>
      <c r="C21" s="41"/>
      <c r="D21" s="42"/>
      <c r="E21" s="42"/>
      <c r="F21" s="42"/>
      <c r="G21" s="43"/>
      <c r="H21" s="42"/>
      <c r="I21" s="42"/>
      <c r="J21" s="42"/>
      <c r="K21" s="42"/>
      <c r="L21" s="42"/>
      <c r="M21" s="42"/>
      <c r="N21" s="44"/>
    </row>
    <row r="22" ht="8.75" customHeight="1" hidden="1">
      <c r="A22" s="51"/>
      <c r="B22" s="40"/>
      <c r="C22" s="45"/>
      <c r="D22" s="46"/>
      <c r="E22" s="46"/>
      <c r="F22" s="46"/>
      <c r="G22" s="47"/>
      <c r="H22" s="46"/>
      <c r="I22" s="46"/>
      <c r="J22" s="46"/>
      <c r="K22" s="46"/>
      <c r="L22" s="46"/>
      <c r="M22" s="46"/>
      <c r="N22" s="48"/>
    </row>
    <row r="23" ht="8.75" customHeight="1" hidden="1">
      <c r="A23" s="51"/>
      <c r="B23" s="40"/>
      <c r="C23" s="41"/>
      <c r="D23" s="42"/>
      <c r="E23" s="42"/>
      <c r="F23" s="42"/>
      <c r="G23" s="43"/>
      <c r="H23" s="42"/>
      <c r="I23" s="42"/>
      <c r="J23" s="42"/>
      <c r="K23" s="42"/>
      <c r="L23" s="42"/>
      <c r="M23" s="42"/>
      <c r="N23" s="44"/>
    </row>
    <row r="24" ht="8.75" customHeight="1" hidden="1">
      <c r="A24" s="39"/>
      <c r="B24" s="40"/>
      <c r="C24" s="45"/>
      <c r="D24" s="46"/>
      <c r="E24" s="46"/>
      <c r="F24" s="46"/>
      <c r="G24" s="47"/>
      <c r="H24" s="46"/>
      <c r="I24" s="46"/>
      <c r="J24" s="46"/>
      <c r="K24" s="46"/>
      <c r="L24" s="47"/>
      <c r="M24" s="47"/>
      <c r="N24" s="52"/>
    </row>
    <row r="25" ht="8.75" customHeight="1" hidden="1">
      <c r="A25" s="39"/>
      <c r="B25" s="40"/>
      <c r="C25" s="41"/>
      <c r="D25" s="42"/>
      <c r="E25" s="42"/>
      <c r="F25" s="42"/>
      <c r="G25" s="43"/>
      <c r="H25" s="42"/>
      <c r="I25" s="42"/>
      <c r="J25" s="42"/>
      <c r="K25" s="42"/>
      <c r="L25" s="42"/>
      <c r="M25" s="42"/>
      <c r="N25" s="44"/>
    </row>
    <row r="26" ht="8.75" customHeight="1" hidden="1">
      <c r="A26" s="39"/>
      <c r="B26" s="40"/>
      <c r="C26" s="45"/>
      <c r="D26" s="46"/>
      <c r="E26" s="46"/>
      <c r="F26" s="46"/>
      <c r="G26" s="47"/>
      <c r="H26" s="46"/>
      <c r="I26" s="46"/>
      <c r="J26" s="46"/>
      <c r="K26" s="46"/>
      <c r="L26" s="47"/>
      <c r="M26" s="47"/>
      <c r="N26" s="52"/>
    </row>
    <row r="27" ht="20.85" customHeight="1">
      <c r="A27" s="108"/>
      <c r="B27" s="54"/>
      <c r="C27" s="54"/>
      <c r="D27" s="55"/>
      <c r="E27" s="55"/>
      <c r="F27" s="55"/>
      <c r="G27" s="56"/>
      <c r="H27" s="56"/>
      <c r="I27" s="54"/>
      <c r="J27" s="57"/>
      <c r="K27" t="s" s="58">
        <v>38</v>
      </c>
      <c r="L27" s="59" cm="1">
        <f t="array" ref="L27">SUM(L1:L26)</f>
        <v>90111148.95999999</v>
      </c>
      <c r="M27" s="59" cm="1">
        <f t="array" ref="M27">SUM(M1:M26)</f>
        <v>90020532</v>
      </c>
      <c r="N27" s="59" cm="1">
        <f t="array" ref="N27">SUM(N1:N26)</f>
        <v>90020532</v>
      </c>
    </row>
    <row r="28" ht="21" customHeight="1">
      <c r="A28" s="63" cm="1">
        <f t="array" ref="A28">ROUND(IF(I28&lt;=100000000,I28*0.24%,IF(AND(I28&gt;100000000,I28&lt;=500000000),100000000*0.24%+(I28-100000000)*0.19%,IF(AND(I28&gt;500000000,I28&lt;=1000000000),100000000*0.24%+400000000*0.19%+(I28-500000000)*0.15%,IF(AND(I28&gt;1000000000,I28&lt;=5000000000),100000000*0.24%+400000000*0.19%+500000000*0.15%+(I28-1000000000)*0.12%,IF(I28&gt;5000000000,100000000*0.24%+400000000*0.19%+500000000*0.15%+4000000000*0.12%+(I28-5000000000)*0.1%,"Bingung komputer"))))),2)</f>
        <v>0</v>
      </c>
      <c r="B28" t="s" s="109">
        <v>39</v>
      </c>
      <c r="C28" s="62"/>
      <c r="D28" s="63" cm="1">
        <f t="array" ref="D28">ROUND(IF(L28&lt;=100000000,L28*0.24%,IF(AND(L28&gt;100000000,L28&lt;=500000000),100000000*0.24%+(L28-100000000)*0.19%,IF(AND(L28&gt;500000000,L28&lt;=1000000000),100000000*0.24%+400000000*0.19%+(L28-500000000)*0.15%,IF(AND(L28&gt;1000000000,L28&lt;=5000000000),100000000*0.24%+400000000*0.19%+500000000*0.15%+(L28-1000000000)*0.12%,IF(L28&gt;5000000000,100000000*0.24%+400000000*0.19%+500000000*0.15%+4000000000*0.12%+(L28-5000000000)*0.1%,"Bingung komputer"))))),2)</f>
        <v>215748.96</v>
      </c>
      <c r="E28" s="64" cm="1">
        <f t="array" ref="E28">ROUND(IF(M28&lt;=100000000,M28*0.24%,IF(AND(M28&gt;100000000,M28&lt;=500000000),100000000*0.24%+(M28-100000000)*0.19%,IF(AND(M28&gt;500000000,M28&lt;=1000000000),100000000*0.24%+400000000*0.19%+(M28-500000000)*0.15%,IF(AND(M28&gt;1000000000,M28&lt;=5000000000),100000000*0.24%+400000000*0.19%+500000000*0.15%+(M28-1000000000)*0.12%,IF(M28&gt;5000000000,100000000*0.24%+400000000*0.19%+500000000*0.15%+4000000000*0.12%+(M28-5000000000)*0.1%,"Bingung komputer"))))),2)</f>
        <v>215532</v>
      </c>
      <c r="F28" s="64" cm="1">
        <f t="array" ref="F28">ROUND(IF(N28&lt;=100000000,N28*0.24%,IF(AND(N28&gt;100000000,N28&lt;=500000000),100000000*0.24%+(N28-100000000)*0.19%,IF(AND(N28&gt;500000000,N28&lt;=1000000000),100000000*0.24%+400000000*0.19%+(N28-500000000)*0.15%,IF(AND(N28&gt;1000000000,N28&lt;=5000000000),100000000*0.24%+400000000*0.19%+500000000*0.15%+(N28-1000000000)*0.12%,IF(N28&gt;5000000000,100000000*0.24%+400000000*0.19%+500000000*0.15%+4000000000*0.12%+(N28-5000000000)*0.1%,"Bingung komputer"))))),2)</f>
        <v>215532</v>
      </c>
      <c r="G28" s="65"/>
      <c r="H28" s="66"/>
      <c r="I28" s="68"/>
      <c r="J28" s="67"/>
      <c r="K28" t="str" s="67" cm="1">
        <f t="array" ref="K28">"Jumlah Terkena Pajak "&amp;MAX(K3:K26)&amp;"% (B)"</f>
        <v>Jumlah Terkena Pajak 11,00% (B)</v>
      </c>
      <c r="L28" s="68" cm="1">
        <f t="array" ref="L28">SUMIF($K3:$K26,"&gt;0",L3:L26)</f>
        <v>89895400</v>
      </c>
      <c r="M28" s="69" cm="1">
        <f t="array" ref="M28">SUMIF($K3:$K26,"&gt;0",M3:M26)</f>
        <v>89805000</v>
      </c>
      <c r="N28" s="69" cm="1">
        <f t="array" ref="N28">SUMIF($K3:$K26,"&gt;0",N3:N26)</f>
        <v>89805000</v>
      </c>
    </row>
    <row r="29" ht="21" customHeight="1">
      <c r="A29" s="70"/>
      <c r="B29" s="71"/>
      <c r="C29" s="71"/>
      <c r="D29" s="72"/>
      <c r="E29" s="72"/>
      <c r="F29" s="71"/>
      <c r="G29" s="72"/>
      <c r="H29" s="72"/>
      <c r="I29" s="74"/>
      <c r="J29" s="73"/>
      <c r="K29" t="str" s="73" cm="1">
        <f t="array" ref="K29">"PPN (C) = "&amp;MAX(K3:K26)&amp;"% x B"</f>
        <v>PPN (C) = 11,00% x B</v>
      </c>
      <c r="L29" s="74" cm="1">
        <f t="array" ref="L29">L28*MAX($K3:$K26)%</f>
        <v>9888494</v>
      </c>
      <c r="M29" s="69" cm="1">
        <f t="array" ref="M29">M28*MAX($K3:$K26)%</f>
        <v>9878550</v>
      </c>
      <c r="N29" s="69" cm="1">
        <f t="array" ref="N29">N28*MAX($K3:$K26)%</f>
        <v>9878550</v>
      </c>
    </row>
    <row r="30" ht="21" customHeight="1">
      <c r="A30" s="70"/>
      <c r="B30" s="71"/>
      <c r="C30" s="71"/>
      <c r="D30" t="s" s="110">
        <v>116</v>
      </c>
      <c r="E30" s="111">
        <v>100000000</v>
      </c>
      <c r="F30" s="112">
        <v>99784550</v>
      </c>
      <c r="G30" s="72"/>
      <c r="H30" s="72"/>
      <c r="I30" s="71"/>
      <c r="J30" s="73"/>
      <c r="K30" t="s" s="75">
        <v>42</v>
      </c>
      <c r="L30" s="76" cm="1">
        <f t="array" ref="L30">L27+L29</f>
        <v>99999642.95999999</v>
      </c>
      <c r="M30" s="69" cm="1">
        <f t="array" ref="M30">M27+M29</f>
        <v>99899082</v>
      </c>
      <c r="N30" s="69" cm="1">
        <f t="array" ref="N30">N27+N29</f>
        <v>99899082</v>
      </c>
    </row>
    <row r="31" ht="20.5" customHeight="1">
      <c r="A31" s="70"/>
      <c r="B31" s="71"/>
      <c r="C31" s="71"/>
      <c r="D31" s="72"/>
      <c r="E31" s="72" cm="1">
        <f t="array" ref="E31">E$30-L$31</f>
        <v>357.04</v>
      </c>
      <c r="F31" s="113" cm="1">
        <f t="array" ref="F31">ROUNDDOWN(E$30-D$28,2)</f>
        <v>99784251.04000001</v>
      </c>
      <c r="G31" s="72"/>
      <c r="H31" s="72"/>
      <c r="I31" s="71"/>
      <c r="J31" s="73"/>
      <c r="K31" t="s" s="75">
        <v>43</v>
      </c>
      <c r="L31" s="68" cm="1">
        <f t="array" ref="L31">ROUNDDOWN(L30,2)</f>
        <v>99999642.95999999</v>
      </c>
      <c r="M31" s="68" cm="1">
        <f t="array" ref="M31">ROUNDDOWN(M30,2)</f>
        <v>99899082</v>
      </c>
      <c r="N31" s="68" cm="1">
        <f t="array" ref="N31">ROUNDDOWN(N30,-3)</f>
        <v>99899000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05.xml><?xml version="1.0" encoding="utf-8"?>
<worksheet xmlns:r="http://schemas.openxmlformats.org/officeDocument/2006/relationships" xmlns="http://schemas.openxmlformats.org/spreadsheetml/2006/main">
  <sheetPr>
    <pageSetUpPr fitToPage="1"/>
  </sheetPr>
  <dimension ref="A1:N31"/>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297" customWidth="1"/>
    <col min="2" max="2" width="43.0312" style="297" customWidth="1"/>
    <col min="3" max="3" width="2.75" style="297" customWidth="1"/>
    <col min="4" max="6" width="10.3672" style="297" customWidth="1"/>
    <col min="7" max="7" width="11.6875" style="297" customWidth="1"/>
    <col min="8" max="11" width="13.5156" style="297" customWidth="1"/>
    <col min="12" max="14" width="14.2344" style="297" customWidth="1"/>
    <col min="15" max="16384" width="16.3516" style="297"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109</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s="95">
        <v>1</v>
      </c>
      <c r="B4" t="s" s="19">
        <v>110</v>
      </c>
      <c r="C4" s="20"/>
      <c r="D4" s="21">
        <v>1</v>
      </c>
      <c r="E4" s="21" cm="1">
        <f t="array" ref="E4">D4</f>
        <v>1</v>
      </c>
      <c r="F4" s="21" cm="1">
        <f t="array" ref="F4">D4</f>
        <v>1</v>
      </c>
      <c r="G4" t="s" s="22">
        <v>19</v>
      </c>
      <c r="H4" s="21" cm="1">
        <f t="array" ref="H4">ROUNDDOWN((F$30*0.1)*100/111,-2)</f>
        <v>8989500</v>
      </c>
      <c r="I4" s="21">
        <v>8980000</v>
      </c>
      <c r="J4" s="21">
        <v>8980000</v>
      </c>
      <c r="K4" s="21">
        <v>11</v>
      </c>
      <c r="L4" s="21" cm="1">
        <f t="array" ref="L4">IF(D4&gt;0,IF($D4&lt;=0,0,D4*H4),"")</f>
        <v>8989500</v>
      </c>
      <c r="M4" s="21" cm="1">
        <f t="array" ref="M4">IF(E4&gt;0,IF($D4&lt;=0,0,ROUND(E4*I4,2)),"")</f>
        <v>8980000</v>
      </c>
      <c r="N4" s="23" cm="1">
        <f t="array" ref="N4">IF(F4&gt;0,IF($D4&lt;=0,0,ROUND(F4*J4,2)),"")</f>
        <v>8980000</v>
      </c>
    </row>
    <row r="5" ht="20.5" customHeight="1">
      <c r="A5" s="95">
        <v>2</v>
      </c>
      <c r="B5" t="s" s="19">
        <v>111</v>
      </c>
      <c r="C5" s="24"/>
      <c r="D5" s="26">
        <v>1</v>
      </c>
      <c r="E5" s="26" cm="1">
        <f t="array" ref="E5">D5</f>
        <v>1</v>
      </c>
      <c r="F5" s="26" cm="1">
        <f t="array" ref="F5">D5</f>
        <v>1</v>
      </c>
      <c r="G5" t="s" s="27">
        <v>19</v>
      </c>
      <c r="H5" s="26" cm="1">
        <f t="array" ref="H5">ROUNDDOWN((F$30*0.2)*100/111,-2)</f>
        <v>17979100</v>
      </c>
      <c r="I5" s="26">
        <v>17940000</v>
      </c>
      <c r="J5" s="26">
        <v>17940000</v>
      </c>
      <c r="K5" s="26">
        <v>11</v>
      </c>
      <c r="L5" s="26" cm="1">
        <f t="array" ref="L5">IF(D5&gt;0,IF($D5&lt;=0,0,D5*H5),"")</f>
        <v>17979100</v>
      </c>
      <c r="M5" s="26" cm="1">
        <f t="array" ref="M5">IF(E5&gt;0,IF($D5&lt;=0,0,ROUND(E5*I5,2)),"")</f>
        <v>17940000</v>
      </c>
      <c r="N5" s="28" cm="1">
        <f t="array" ref="N5">IF(F5&gt;0,IF($D5&lt;=0,0,ROUND(F5*J5,2)),"")</f>
        <v>17940000</v>
      </c>
    </row>
    <row r="6" ht="20.5" customHeight="1">
      <c r="A6" s="95">
        <v>3</v>
      </c>
      <c r="B6" t="s" s="19">
        <v>112</v>
      </c>
      <c r="C6" s="20"/>
      <c r="D6" s="21">
        <v>1</v>
      </c>
      <c r="E6" s="21" cm="1">
        <f t="array" ref="E6">D6</f>
        <v>1</v>
      </c>
      <c r="F6" s="21" cm="1">
        <f t="array" ref="F6">D6</f>
        <v>1</v>
      </c>
      <c r="G6" t="s" s="22">
        <v>19</v>
      </c>
      <c r="H6" s="21" cm="1">
        <f t="array" ref="H6">ROUNDDOWN((F$30*0.25)*100/111,-2)</f>
        <v>22473900</v>
      </c>
      <c r="I6" s="21">
        <v>23000000</v>
      </c>
      <c r="J6" s="21">
        <v>23000000</v>
      </c>
      <c r="K6" s="21">
        <v>11</v>
      </c>
      <c r="L6" s="21" cm="1">
        <f t="array" ref="L6">IF(D6&gt;0,IF($D6&lt;=0,0,D6*H6),"")</f>
        <v>22473900</v>
      </c>
      <c r="M6" s="21" cm="1">
        <f t="array" ref="M6">IF(E6&gt;0,IF($D6&lt;=0,0,ROUND(E6*I6,2)),"")</f>
        <v>23000000</v>
      </c>
      <c r="N6" s="23" cm="1">
        <f t="array" ref="N6">IF(F6&gt;0,IF($D6&lt;=0,0,ROUND(F6*J6,2)),"")</f>
        <v>23000000</v>
      </c>
    </row>
    <row r="7" ht="68.5" customHeight="1">
      <c r="A7" s="95">
        <v>5</v>
      </c>
      <c r="B7" t="s" s="19">
        <v>113</v>
      </c>
      <c r="C7" s="24"/>
      <c r="D7" s="26">
        <v>1</v>
      </c>
      <c r="E7" s="26" cm="1">
        <f t="array" ref="E7">D7</f>
        <v>1</v>
      </c>
      <c r="F7" s="26" cm="1">
        <f t="array" ref="F7">D7</f>
        <v>1</v>
      </c>
      <c r="G7" t="s" s="27">
        <v>19</v>
      </c>
      <c r="H7" s="26" cm="1">
        <f t="array" ref="H7">ROUNDDOWN((F$30*0.25)*100/111,-2)</f>
        <v>22473900</v>
      </c>
      <c r="I7" s="26">
        <v>21400000</v>
      </c>
      <c r="J7" s="26">
        <v>21400000</v>
      </c>
      <c r="K7" s="26">
        <v>11</v>
      </c>
      <c r="L7" s="26" cm="1">
        <f t="array" ref="L7">IF(D7&gt;0,IF($D7&lt;=0,0,D7*H7),"")</f>
        <v>22473900</v>
      </c>
      <c r="M7" s="26" cm="1">
        <f t="array" ref="M7">IF(E7&gt;0,IF($D7&lt;=0,0,ROUND(E7*I7,2)),"")</f>
        <v>21400000</v>
      </c>
      <c r="N7" s="28" cm="1">
        <f t="array" ref="N7">IF(F7&gt;0,IF($D7&lt;=0,0,ROUND(F7*J7,2)),"")</f>
        <v>21400000</v>
      </c>
    </row>
    <row r="8" ht="32.5" customHeight="1">
      <c r="A8" s="95">
        <v>6</v>
      </c>
      <c r="B8" t="s" s="19">
        <v>114</v>
      </c>
      <c r="C8" s="20"/>
      <c r="D8" s="21">
        <v>1</v>
      </c>
      <c r="E8" s="21" cm="1">
        <f t="array" ref="E8">D8</f>
        <v>1</v>
      </c>
      <c r="F8" s="21" cm="1">
        <f t="array" ref="F8">D8</f>
        <v>1</v>
      </c>
      <c r="G8" t="s" s="22">
        <v>19</v>
      </c>
      <c r="H8" s="21" cm="1">
        <f t="array" ref="H8">ROUNDDOWN((F$30*0.05)*100/111,-2)</f>
        <v>4494700</v>
      </c>
      <c r="I8" s="21">
        <v>4600500</v>
      </c>
      <c r="J8" s="21">
        <v>4600500</v>
      </c>
      <c r="K8" s="21">
        <v>11</v>
      </c>
      <c r="L8" s="21" cm="1">
        <f t="array" ref="L8">IF(D8&gt;0,IF($D8&lt;=0,0,D8*H8),"")</f>
        <v>4494700</v>
      </c>
      <c r="M8" s="21" cm="1">
        <f t="array" ref="M8">IF(E8&gt;0,IF($D8&lt;=0,0,ROUND(E8*I8,2)),"")</f>
        <v>4600500</v>
      </c>
      <c r="N8" s="23" cm="1">
        <f t="array" ref="N8">IF(F8&gt;0,IF($D8&lt;=0,0,ROUND(F8*J8,2)),"")</f>
        <v>4600500</v>
      </c>
    </row>
    <row r="9" ht="20.5" customHeight="1">
      <c r="A9" s="95">
        <v>7</v>
      </c>
      <c r="B9" t="s" s="19">
        <v>115</v>
      </c>
      <c r="C9" s="24"/>
      <c r="D9" s="26">
        <v>1</v>
      </c>
      <c r="E9" s="26" cm="1">
        <f t="array" ref="E9">D9</f>
        <v>1</v>
      </c>
      <c r="F9" s="26" cm="1">
        <f t="array" ref="F9">D9</f>
        <v>1</v>
      </c>
      <c r="G9" t="s" s="27">
        <v>19</v>
      </c>
      <c r="H9" s="26" cm="1">
        <f t="array" ref="H9">ROUNDDOWN((F$30*0.15)*100/111,-2)</f>
        <v>13484300</v>
      </c>
      <c r="I9" s="26">
        <v>13900000</v>
      </c>
      <c r="J9" s="26">
        <v>13900000</v>
      </c>
      <c r="K9" s="26">
        <v>11</v>
      </c>
      <c r="L9" s="26" cm="1">
        <f t="array" ref="L9">IF(D9&gt;0,IF($D9&lt;=0,0,D9*H9),"")</f>
        <v>13484300</v>
      </c>
      <c r="M9" s="26" cm="1">
        <f t="array" ref="M9">IF(E9&gt;0,IF($D9&lt;=0,0,ROUND(E9*I9,2)),"")</f>
        <v>13900000</v>
      </c>
      <c r="N9" s="28" cm="1">
        <f t="array" ref="N9">IF(F9&gt;0,IF($D9&lt;=0,0,ROUND(F9*J9,2)),"")</f>
        <v>13900000</v>
      </c>
    </row>
    <row r="10" ht="20.6" customHeight="1">
      <c r="A10" s="33">
        <v>8</v>
      </c>
      <c r="B10" t="s" s="34">
        <v>37</v>
      </c>
      <c r="C10" s="35"/>
      <c r="D10" s="36">
        <v>1</v>
      </c>
      <c r="E10" s="36" cm="1">
        <f t="array" ref="E10">D10</f>
        <v>1</v>
      </c>
      <c r="F10" s="36" cm="1">
        <f t="array" ref="F10">D10</f>
        <v>1</v>
      </c>
      <c r="G10" t="s" s="37">
        <v>19</v>
      </c>
      <c r="H10" s="36">
        <v>215748.96</v>
      </c>
      <c r="I10" s="36">
        <v>215569.2</v>
      </c>
      <c r="J10" s="36">
        <v>215569.2</v>
      </c>
      <c r="K10" s="36">
        <v>0</v>
      </c>
      <c r="L10" s="36" cm="1">
        <f t="array" ref="L10">IF(D10&gt;0,IF($D10&lt;=0,0,D10*H10),"")</f>
        <v>215748.96</v>
      </c>
      <c r="M10" s="36" cm="1">
        <f t="array" ref="M10">IF(E10&gt;0,IF($D10&lt;=0,0,ROUND(E10*I10,2)),"")</f>
        <v>215569.2</v>
      </c>
      <c r="N10" s="38" cm="1">
        <f t="array" ref="N10">IF(F10&gt;0,IF($D10&lt;=0,0,ROUND(F10*J10,2)),"")</f>
        <v>215569.2</v>
      </c>
    </row>
    <row r="11" ht="8.75" customHeight="1" hidden="1">
      <c r="A11" s="39"/>
      <c r="B11" s="40"/>
      <c r="C11" s="41"/>
      <c r="D11" s="42"/>
      <c r="E11" s="42"/>
      <c r="F11" s="42"/>
      <c r="G11" s="43"/>
      <c r="H11" s="42"/>
      <c r="I11" s="42"/>
      <c r="J11" s="42"/>
      <c r="K11" s="42"/>
      <c r="L11" s="42"/>
      <c r="M11" s="42"/>
      <c r="N11" s="44"/>
    </row>
    <row r="12" ht="8.75" customHeight="1" hidden="1">
      <c r="A12" s="39"/>
      <c r="B12" s="40"/>
      <c r="C12" s="45"/>
      <c r="D12" s="46"/>
      <c r="E12" s="46"/>
      <c r="F12" s="46"/>
      <c r="G12" s="47"/>
      <c r="H12" s="46"/>
      <c r="I12" s="46"/>
      <c r="J12" s="46"/>
      <c r="K12" s="46"/>
      <c r="L12" s="46"/>
      <c r="M12" s="46"/>
      <c r="N12" s="48"/>
    </row>
    <row r="13" ht="8.75" customHeight="1" hidden="1">
      <c r="A13" s="39"/>
      <c r="B13" s="40"/>
      <c r="C13" s="41"/>
      <c r="D13" s="42"/>
      <c r="E13" s="42"/>
      <c r="F13" s="42"/>
      <c r="G13" s="43"/>
      <c r="H13" s="42"/>
      <c r="I13" s="42"/>
      <c r="J13" s="42"/>
      <c r="K13" s="42"/>
      <c r="L13" s="42"/>
      <c r="M13" s="42"/>
      <c r="N13" s="44"/>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2"/>
      <c r="I15" s="42"/>
      <c r="J15" s="42"/>
      <c r="K15" s="42"/>
      <c r="L15" s="42"/>
      <c r="M15" s="42"/>
      <c r="N15" s="44"/>
    </row>
    <row r="16" ht="8.75" customHeight="1" hidden="1">
      <c r="A16" s="39"/>
      <c r="B16" s="40"/>
      <c r="C16" s="45"/>
      <c r="D16" s="46"/>
      <c r="E16" s="46"/>
      <c r="F16" s="46"/>
      <c r="G16" s="47"/>
      <c r="H16" s="46"/>
      <c r="I16" s="46"/>
      <c r="J16" s="46"/>
      <c r="K16" s="46"/>
      <c r="L16" s="46"/>
      <c r="M16" s="46"/>
      <c r="N16" s="48"/>
    </row>
    <row r="17" ht="8.75" customHeight="1" hidden="1">
      <c r="A17" s="39"/>
      <c r="B17" s="40"/>
      <c r="C17" s="41"/>
      <c r="D17" s="42"/>
      <c r="E17" s="42"/>
      <c r="F17" s="42"/>
      <c r="G17" s="43"/>
      <c r="H17" s="43"/>
      <c r="I17" s="43"/>
      <c r="J17" s="43"/>
      <c r="K17" s="42"/>
      <c r="L17" s="43"/>
      <c r="M17" s="43"/>
      <c r="N17" s="49"/>
    </row>
    <row r="18" ht="8.75" customHeight="1" hidden="1">
      <c r="A18" s="39"/>
      <c r="B18" s="40"/>
      <c r="C18" s="45"/>
      <c r="D18" s="46"/>
      <c r="E18" s="46"/>
      <c r="F18" s="46"/>
      <c r="G18" s="47"/>
      <c r="H18" s="50"/>
      <c r="I18" s="50"/>
      <c r="J18" s="50"/>
      <c r="K18" s="46"/>
      <c r="L18" s="46"/>
      <c r="M18" s="46"/>
      <c r="N18" s="48"/>
    </row>
    <row r="19" ht="8.75" customHeight="1" hidden="1">
      <c r="A19" s="39"/>
      <c r="B19" s="40"/>
      <c r="C19" s="41"/>
      <c r="D19" s="42"/>
      <c r="E19" s="42"/>
      <c r="F19" s="42"/>
      <c r="G19" s="43"/>
      <c r="H19" s="43"/>
      <c r="I19" s="43"/>
      <c r="J19" s="43"/>
      <c r="K19" s="42"/>
      <c r="L19" s="43"/>
      <c r="M19" s="43"/>
      <c r="N19" s="49"/>
    </row>
    <row r="20" ht="8.75" customHeight="1" hidden="1">
      <c r="A20" s="39"/>
      <c r="B20" s="40"/>
      <c r="C20" s="45"/>
      <c r="D20" s="46"/>
      <c r="E20" s="46"/>
      <c r="F20" s="46"/>
      <c r="G20" s="47"/>
      <c r="H20" s="46"/>
      <c r="I20" s="46"/>
      <c r="J20" s="46"/>
      <c r="K20" s="46"/>
      <c r="L20" s="46"/>
      <c r="M20" s="46"/>
      <c r="N20" s="48"/>
    </row>
    <row r="21" ht="8.75" customHeight="1" hidden="1">
      <c r="A21" s="39"/>
      <c r="B21" s="40"/>
      <c r="C21" s="41"/>
      <c r="D21" s="42"/>
      <c r="E21" s="42"/>
      <c r="F21" s="42"/>
      <c r="G21" s="43"/>
      <c r="H21" s="42"/>
      <c r="I21" s="42"/>
      <c r="J21" s="42"/>
      <c r="K21" s="42"/>
      <c r="L21" s="42"/>
      <c r="M21" s="42"/>
      <c r="N21" s="44"/>
    </row>
    <row r="22" ht="8.75" customHeight="1" hidden="1">
      <c r="A22" s="51"/>
      <c r="B22" s="40"/>
      <c r="C22" s="45"/>
      <c r="D22" s="46"/>
      <c r="E22" s="46"/>
      <c r="F22" s="46"/>
      <c r="G22" s="47"/>
      <c r="H22" s="46"/>
      <c r="I22" s="46"/>
      <c r="J22" s="46"/>
      <c r="K22" s="46"/>
      <c r="L22" s="46"/>
      <c r="M22" s="46"/>
      <c r="N22" s="48"/>
    </row>
    <row r="23" ht="8.75" customHeight="1" hidden="1">
      <c r="A23" s="51"/>
      <c r="B23" s="40"/>
      <c r="C23" s="41"/>
      <c r="D23" s="42"/>
      <c r="E23" s="42"/>
      <c r="F23" s="42"/>
      <c r="G23" s="43"/>
      <c r="H23" s="42"/>
      <c r="I23" s="42"/>
      <c r="J23" s="42"/>
      <c r="K23" s="42"/>
      <c r="L23" s="42"/>
      <c r="M23" s="42"/>
      <c r="N23" s="44"/>
    </row>
    <row r="24" ht="8.75" customHeight="1" hidden="1">
      <c r="A24" s="39"/>
      <c r="B24" s="40"/>
      <c r="C24" s="45"/>
      <c r="D24" s="46"/>
      <c r="E24" s="46"/>
      <c r="F24" s="46"/>
      <c r="G24" s="47"/>
      <c r="H24" s="46"/>
      <c r="I24" s="46"/>
      <c r="J24" s="46"/>
      <c r="K24" s="46"/>
      <c r="L24" s="47"/>
      <c r="M24" s="47"/>
      <c r="N24" s="52"/>
    </row>
    <row r="25" ht="8.75" customHeight="1" hidden="1">
      <c r="A25" s="39"/>
      <c r="B25" s="40"/>
      <c r="C25" s="41"/>
      <c r="D25" s="42"/>
      <c r="E25" s="42"/>
      <c r="F25" s="42"/>
      <c r="G25" s="43"/>
      <c r="H25" s="42"/>
      <c r="I25" s="42"/>
      <c r="J25" s="42"/>
      <c r="K25" s="42"/>
      <c r="L25" s="42"/>
      <c r="M25" s="42"/>
      <c r="N25" s="44"/>
    </row>
    <row r="26" ht="8.75" customHeight="1" hidden="1">
      <c r="A26" s="39"/>
      <c r="B26" s="40"/>
      <c r="C26" s="45"/>
      <c r="D26" s="46"/>
      <c r="E26" s="46"/>
      <c r="F26" s="46"/>
      <c r="G26" s="47"/>
      <c r="H26" s="46"/>
      <c r="I26" s="46"/>
      <c r="J26" s="46"/>
      <c r="K26" s="46"/>
      <c r="L26" s="47"/>
      <c r="M26" s="47"/>
      <c r="N26" s="52"/>
    </row>
    <row r="27" ht="20.85" customHeight="1">
      <c r="A27" s="108"/>
      <c r="B27" s="54"/>
      <c r="C27" s="54"/>
      <c r="D27" s="55"/>
      <c r="E27" s="55"/>
      <c r="F27" s="55"/>
      <c r="G27" s="56"/>
      <c r="H27" s="56"/>
      <c r="I27" s="54"/>
      <c r="J27" s="57"/>
      <c r="K27" t="s" s="58">
        <v>38</v>
      </c>
      <c r="L27" s="59" cm="1">
        <f t="array" ref="L27">SUM(L1:L26)</f>
        <v>90111148.95999999</v>
      </c>
      <c r="M27" s="59" cm="1">
        <f t="array" ref="M27">SUM(M1:M26)</f>
        <v>90036069.2</v>
      </c>
      <c r="N27" s="59" cm="1">
        <f t="array" ref="N27">SUM(N1:N26)</f>
        <v>90036069.2</v>
      </c>
    </row>
    <row r="28" ht="21" customHeight="1">
      <c r="A28" s="63" cm="1">
        <f t="array" ref="A28">ROUND(IF(I28&lt;=100000000,I28*0.24%,IF(AND(I28&gt;100000000,I28&lt;=500000000),100000000*0.24%+(I28-100000000)*0.19%,IF(AND(I28&gt;500000000,I28&lt;=1000000000),100000000*0.24%+400000000*0.19%+(I28-500000000)*0.15%,IF(AND(I28&gt;1000000000,I28&lt;=5000000000),100000000*0.24%+400000000*0.19%+500000000*0.15%+(I28-1000000000)*0.12%,IF(I28&gt;5000000000,100000000*0.24%+400000000*0.19%+500000000*0.15%+4000000000*0.12%+(I28-5000000000)*0.1%,"Bingung komputer"))))),2)</f>
        <v>0</v>
      </c>
      <c r="B28" t="s" s="109">
        <v>39</v>
      </c>
      <c r="C28" s="62"/>
      <c r="D28" s="63" cm="1">
        <f t="array" ref="D28">ROUND(IF(L28&lt;=100000000,L28*0.24%,IF(AND(L28&gt;100000000,L28&lt;=500000000),100000000*0.24%+(L28-100000000)*0.19%,IF(AND(L28&gt;500000000,L28&lt;=1000000000),100000000*0.24%+400000000*0.19%+(L28-500000000)*0.15%,IF(AND(L28&gt;1000000000,L28&lt;=5000000000),100000000*0.24%+400000000*0.19%+500000000*0.15%+(L28-1000000000)*0.12%,IF(L28&gt;5000000000,100000000*0.24%+400000000*0.19%+500000000*0.15%+4000000000*0.12%+(L28-5000000000)*0.1%,"Bingung komputer"))))),2)</f>
        <v>215748.96</v>
      </c>
      <c r="E28" s="64" cm="1">
        <f t="array" ref="E28">ROUND(IF(M28&lt;=100000000,M28*0.24%,IF(AND(M28&gt;100000000,M28&lt;=500000000),100000000*0.24%+(M28-100000000)*0.19%,IF(AND(M28&gt;500000000,M28&lt;=1000000000),100000000*0.24%+400000000*0.19%+(M28-500000000)*0.15%,IF(AND(M28&gt;1000000000,M28&lt;=5000000000),100000000*0.24%+400000000*0.19%+500000000*0.15%+(M28-1000000000)*0.12%,IF(M28&gt;5000000000,100000000*0.24%+400000000*0.19%+500000000*0.15%+4000000000*0.12%+(M28-5000000000)*0.1%,"Bingung komputer"))))),2)</f>
        <v>215569.2</v>
      </c>
      <c r="F28" s="64" cm="1">
        <f t="array" ref="F28">ROUND(IF(N28&lt;=100000000,N28*0.24%,IF(AND(N28&gt;100000000,N28&lt;=500000000),100000000*0.24%+(N28-100000000)*0.19%,IF(AND(N28&gt;500000000,N28&lt;=1000000000),100000000*0.24%+400000000*0.19%+(N28-500000000)*0.15%,IF(AND(N28&gt;1000000000,N28&lt;=5000000000),100000000*0.24%+400000000*0.19%+500000000*0.15%+(N28-1000000000)*0.12%,IF(N28&gt;5000000000,100000000*0.24%+400000000*0.19%+500000000*0.15%+4000000000*0.12%+(N28-5000000000)*0.1%,"Bingung komputer"))))),2)</f>
        <v>215569.2</v>
      </c>
      <c r="G28" s="65"/>
      <c r="H28" s="66"/>
      <c r="I28" s="68"/>
      <c r="J28" s="67"/>
      <c r="K28" t="str" s="67" cm="1">
        <f t="array" ref="K28">"Jumlah Terkena Pajak "&amp;MAX(K3:K26)&amp;"% (B)"</f>
        <v>Jumlah Terkena Pajak 11,00% (B)</v>
      </c>
      <c r="L28" s="68" cm="1">
        <f t="array" ref="L28">SUMIF($K3:$K26,"&gt;0",L3:L26)</f>
        <v>89895400</v>
      </c>
      <c r="M28" s="69" cm="1">
        <f t="array" ref="M28">SUMIF($K3:$K26,"&gt;0",M3:M26)</f>
        <v>89820500</v>
      </c>
      <c r="N28" s="69" cm="1">
        <f t="array" ref="N28">SUMIF($K3:$K26,"&gt;0",N3:N26)</f>
        <v>89820500</v>
      </c>
    </row>
    <row r="29" ht="21" customHeight="1">
      <c r="A29" s="70"/>
      <c r="B29" s="71"/>
      <c r="C29" s="71"/>
      <c r="D29" s="72"/>
      <c r="E29" s="72"/>
      <c r="F29" s="71"/>
      <c r="G29" s="72"/>
      <c r="H29" s="72"/>
      <c r="I29" s="74"/>
      <c r="J29" s="73"/>
      <c r="K29" t="str" s="73" cm="1">
        <f t="array" ref="K29">"PPN (C) = "&amp;MAX(K3:K26)&amp;"% x B"</f>
        <v>PPN (C) = 11,00% x B</v>
      </c>
      <c r="L29" s="74" cm="1">
        <f t="array" ref="L29">L28*MAX($K3:$K26)%</f>
        <v>9888494</v>
      </c>
      <c r="M29" s="69" cm="1">
        <f t="array" ref="M29">M28*MAX($K3:$K26)%</f>
        <v>9880255</v>
      </c>
      <c r="N29" s="69" cm="1">
        <f t="array" ref="N29">N28*MAX($K3:$K26)%</f>
        <v>9880255</v>
      </c>
    </row>
    <row r="30" ht="21" customHeight="1">
      <c r="A30" s="70"/>
      <c r="B30" s="71"/>
      <c r="C30" s="71"/>
      <c r="D30" t="s" s="110">
        <v>116</v>
      </c>
      <c r="E30" s="111">
        <v>100000000</v>
      </c>
      <c r="F30" s="112">
        <v>99784550</v>
      </c>
      <c r="G30" s="72"/>
      <c r="H30" s="72"/>
      <c r="I30" s="71"/>
      <c r="J30" s="73"/>
      <c r="K30" t="s" s="75">
        <v>42</v>
      </c>
      <c r="L30" s="76" cm="1">
        <f t="array" ref="L30">L27+L29</f>
        <v>99999642.95999999</v>
      </c>
      <c r="M30" s="69" cm="1">
        <f t="array" ref="M30">M27+M29</f>
        <v>99916324.2</v>
      </c>
      <c r="N30" s="69" cm="1">
        <f t="array" ref="N30">N27+N29</f>
        <v>99916324.2</v>
      </c>
    </row>
    <row r="31" ht="20.5" customHeight="1">
      <c r="A31" s="70"/>
      <c r="B31" s="71"/>
      <c r="C31" s="71"/>
      <c r="D31" s="72"/>
      <c r="E31" s="72" cm="1">
        <f t="array" ref="E31">E$30-L$31</f>
        <v>357.04</v>
      </c>
      <c r="F31" s="113" cm="1">
        <f t="array" ref="F31">ROUNDDOWN(E$30-D$28,2)</f>
        <v>99784251.04000001</v>
      </c>
      <c r="G31" s="72"/>
      <c r="H31" s="72"/>
      <c r="I31" s="71"/>
      <c r="J31" s="73"/>
      <c r="K31" t="s" s="75">
        <v>43</v>
      </c>
      <c r="L31" s="68" cm="1">
        <f t="array" ref="L31">ROUNDDOWN(L30,2)</f>
        <v>99999642.95999999</v>
      </c>
      <c r="M31" s="68" cm="1">
        <f t="array" ref="M31">ROUNDDOWN(M30,2)</f>
        <v>99916324.2</v>
      </c>
      <c r="N31" s="68" cm="1">
        <f t="array" ref="N31">ROUNDDOWN(N30,-3)</f>
        <v>99916000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06.xml><?xml version="1.0" encoding="utf-8"?>
<worksheet xmlns:r="http://schemas.openxmlformats.org/officeDocument/2006/relationships" xmlns="http://schemas.openxmlformats.org/spreadsheetml/2006/main">
  <sheetPr>
    <pageSetUpPr fitToPage="1"/>
  </sheetPr>
  <dimension ref="A1:N31"/>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298" customWidth="1"/>
    <col min="2" max="2" width="43.0312" style="298" customWidth="1"/>
    <col min="3" max="3" width="2.75" style="298" customWidth="1"/>
    <col min="4" max="6" width="10.3672" style="298" customWidth="1"/>
    <col min="7" max="7" width="11.6875" style="298" customWidth="1"/>
    <col min="8" max="11" width="13.5156" style="298" customWidth="1"/>
    <col min="12" max="14" width="14.2344" style="298" customWidth="1"/>
    <col min="15" max="16384" width="16.3516" style="298"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109</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s="95">
        <v>1</v>
      </c>
      <c r="B4" t="s" s="19">
        <v>110</v>
      </c>
      <c r="C4" s="20"/>
      <c r="D4" s="21">
        <v>1</v>
      </c>
      <c r="E4" s="21" cm="1">
        <f t="array" ref="E4">D4</f>
        <v>1</v>
      </c>
      <c r="F4" s="21" cm="1">
        <f t="array" ref="F4">D4</f>
        <v>1</v>
      </c>
      <c r="G4" t="s" s="22">
        <v>19</v>
      </c>
      <c r="H4" s="21" cm="1">
        <f t="array" ref="H4">ROUNDDOWN((F$30*0.1)*100/111,-2)</f>
        <v>8989500</v>
      </c>
      <c r="I4" s="21">
        <v>8870000</v>
      </c>
      <c r="J4" s="21">
        <v>8870000</v>
      </c>
      <c r="K4" s="21">
        <v>11</v>
      </c>
      <c r="L4" s="21" cm="1">
        <f t="array" ref="L4">IF(D4&gt;0,IF($D4&lt;=0,0,D4*H4),"")</f>
        <v>8989500</v>
      </c>
      <c r="M4" s="21" cm="1">
        <f t="array" ref="M4">IF(E4&gt;0,IF($D4&lt;=0,0,ROUND(E4*I4,2)),"")</f>
        <v>8870000</v>
      </c>
      <c r="N4" s="23" cm="1">
        <f t="array" ref="N4">IF(F4&gt;0,IF($D4&lt;=0,0,ROUND(F4*J4,2)),"")</f>
        <v>8870000</v>
      </c>
    </row>
    <row r="5" ht="20.5" customHeight="1">
      <c r="A5" s="95">
        <v>2</v>
      </c>
      <c r="B5" t="s" s="19">
        <v>111</v>
      </c>
      <c r="C5" s="24"/>
      <c r="D5" s="26">
        <v>1</v>
      </c>
      <c r="E5" s="26" cm="1">
        <f t="array" ref="E5">D5</f>
        <v>1</v>
      </c>
      <c r="F5" s="26" cm="1">
        <f t="array" ref="F5">D5</f>
        <v>1</v>
      </c>
      <c r="G5" t="s" s="27">
        <v>19</v>
      </c>
      <c r="H5" s="26" cm="1">
        <f t="array" ref="H5">ROUNDDOWN((F$30*0.2)*100/111,-2)</f>
        <v>17979100</v>
      </c>
      <c r="I5" s="26">
        <v>17960000</v>
      </c>
      <c r="J5" s="26">
        <v>17960000</v>
      </c>
      <c r="K5" s="26">
        <v>11</v>
      </c>
      <c r="L5" s="26" cm="1">
        <f t="array" ref="L5">IF(D5&gt;0,IF($D5&lt;=0,0,D5*H5),"")</f>
        <v>17979100</v>
      </c>
      <c r="M5" s="26" cm="1">
        <f t="array" ref="M5">IF(E5&gt;0,IF($D5&lt;=0,0,ROUND(E5*I5,2)),"")</f>
        <v>17960000</v>
      </c>
      <c r="N5" s="28" cm="1">
        <f t="array" ref="N5">IF(F5&gt;0,IF($D5&lt;=0,0,ROUND(F5*J5,2)),"")</f>
        <v>17960000</v>
      </c>
    </row>
    <row r="6" ht="20.5" customHeight="1">
      <c r="A6" s="95">
        <v>3</v>
      </c>
      <c r="B6" t="s" s="19">
        <v>112</v>
      </c>
      <c r="C6" s="20"/>
      <c r="D6" s="21">
        <v>1</v>
      </c>
      <c r="E6" s="21" cm="1">
        <f t="array" ref="E6">D6</f>
        <v>1</v>
      </c>
      <c r="F6" s="21" cm="1">
        <f t="array" ref="F6">D6</f>
        <v>1</v>
      </c>
      <c r="G6" t="s" s="22">
        <v>19</v>
      </c>
      <c r="H6" s="21" cm="1">
        <f t="array" ref="H6">ROUNDDOWN((F$30*0.25)*100/111,-2)</f>
        <v>22473900</v>
      </c>
      <c r="I6" s="21">
        <v>22600000</v>
      </c>
      <c r="J6" s="21">
        <v>22600000</v>
      </c>
      <c r="K6" s="21">
        <v>11</v>
      </c>
      <c r="L6" s="21" cm="1">
        <f t="array" ref="L6">IF(D6&gt;0,IF($D6&lt;=0,0,D6*H6),"")</f>
        <v>22473900</v>
      </c>
      <c r="M6" s="21" cm="1">
        <f t="array" ref="M6">IF(E6&gt;0,IF($D6&lt;=0,0,ROUND(E6*I6,2)),"")</f>
        <v>22600000</v>
      </c>
      <c r="N6" s="23" cm="1">
        <f t="array" ref="N6">IF(F6&gt;0,IF($D6&lt;=0,0,ROUND(F6*J6,2)),"")</f>
        <v>22600000</v>
      </c>
    </row>
    <row r="7" ht="68.5" customHeight="1">
      <c r="A7" s="95">
        <v>5</v>
      </c>
      <c r="B7" t="s" s="19">
        <v>113</v>
      </c>
      <c r="C7" s="24"/>
      <c r="D7" s="26">
        <v>1</v>
      </c>
      <c r="E7" s="26" cm="1">
        <f t="array" ref="E7">D7</f>
        <v>1</v>
      </c>
      <c r="F7" s="26" cm="1">
        <f t="array" ref="F7">D7</f>
        <v>1</v>
      </c>
      <c r="G7" t="s" s="27">
        <v>19</v>
      </c>
      <c r="H7" s="26" cm="1">
        <f t="array" ref="H7">ROUNDDOWN((F$30*0.25)*100/111,-2)</f>
        <v>22473900</v>
      </c>
      <c r="I7" s="26">
        <v>22450000</v>
      </c>
      <c r="J7" s="26">
        <v>22450000</v>
      </c>
      <c r="K7" s="26">
        <v>11</v>
      </c>
      <c r="L7" s="26" cm="1">
        <f t="array" ref="L7">IF(D7&gt;0,IF($D7&lt;=0,0,D7*H7),"")</f>
        <v>22473900</v>
      </c>
      <c r="M7" s="26" cm="1">
        <f t="array" ref="M7">IF(E7&gt;0,IF($D7&lt;=0,0,ROUND(E7*I7,2)),"")</f>
        <v>22450000</v>
      </c>
      <c r="N7" s="28" cm="1">
        <f t="array" ref="N7">IF(F7&gt;0,IF($D7&lt;=0,0,ROUND(F7*J7,2)),"")</f>
        <v>22450000</v>
      </c>
    </row>
    <row r="8" ht="32.5" customHeight="1">
      <c r="A8" s="95">
        <v>6</v>
      </c>
      <c r="B8" t="s" s="19">
        <v>114</v>
      </c>
      <c r="C8" s="20"/>
      <c r="D8" s="21">
        <v>1</v>
      </c>
      <c r="E8" s="21" cm="1">
        <f t="array" ref="E8">D8</f>
        <v>1</v>
      </c>
      <c r="F8" s="21" cm="1">
        <f t="array" ref="F8">D8</f>
        <v>1</v>
      </c>
      <c r="G8" t="s" s="22">
        <v>19</v>
      </c>
      <c r="H8" s="21" cm="1">
        <f t="array" ref="H8">ROUNDDOWN((F$30*0.05)*100/111,-2)</f>
        <v>4494700</v>
      </c>
      <c r="I8" s="21">
        <v>4450000</v>
      </c>
      <c r="J8" s="21">
        <v>4450000</v>
      </c>
      <c r="K8" s="21">
        <v>11</v>
      </c>
      <c r="L8" s="21" cm="1">
        <f t="array" ref="L8">IF(D8&gt;0,IF($D8&lt;=0,0,D8*H8),"")</f>
        <v>4494700</v>
      </c>
      <c r="M8" s="21" cm="1">
        <f t="array" ref="M8">IF(E8&gt;0,IF($D8&lt;=0,0,ROUND(E8*I8,2)),"")</f>
        <v>4450000</v>
      </c>
      <c r="N8" s="23" cm="1">
        <f t="array" ref="N8">IF(F8&gt;0,IF($D8&lt;=0,0,ROUND(F8*J8,2)),"")</f>
        <v>4450000</v>
      </c>
    </row>
    <row r="9" ht="20.5" customHeight="1">
      <c r="A9" s="95">
        <v>7</v>
      </c>
      <c r="B9" t="s" s="19">
        <v>115</v>
      </c>
      <c r="C9" s="24"/>
      <c r="D9" s="26">
        <v>1</v>
      </c>
      <c r="E9" s="26" cm="1">
        <f t="array" ref="E9">D9</f>
        <v>1</v>
      </c>
      <c r="F9" s="26" cm="1">
        <f t="array" ref="F9">D9</f>
        <v>1</v>
      </c>
      <c r="G9" t="s" s="27">
        <v>19</v>
      </c>
      <c r="H9" s="26" cm="1">
        <f t="array" ref="H9">ROUNDDOWN((F$30*0.15)*100/111,-2)</f>
        <v>13484300</v>
      </c>
      <c r="I9" s="26">
        <v>13481000</v>
      </c>
      <c r="J9" s="26">
        <v>13481000</v>
      </c>
      <c r="K9" s="26">
        <v>11</v>
      </c>
      <c r="L9" s="26" cm="1">
        <f t="array" ref="L9">IF(D9&gt;0,IF($D9&lt;=0,0,D9*H9),"")</f>
        <v>13484300</v>
      </c>
      <c r="M9" s="26" cm="1">
        <f t="array" ref="M9">IF(E9&gt;0,IF($D9&lt;=0,0,ROUND(E9*I9,2)),"")</f>
        <v>13481000</v>
      </c>
      <c r="N9" s="28" cm="1">
        <f t="array" ref="N9">IF(F9&gt;0,IF($D9&lt;=0,0,ROUND(F9*J9,2)),"")</f>
        <v>13481000</v>
      </c>
    </row>
    <row r="10" ht="20.6" customHeight="1">
      <c r="A10" s="33">
        <v>8</v>
      </c>
      <c r="B10" t="s" s="34">
        <v>37</v>
      </c>
      <c r="C10" s="35"/>
      <c r="D10" s="36">
        <v>1</v>
      </c>
      <c r="E10" s="36" cm="1">
        <f t="array" ref="E10">D10</f>
        <v>1</v>
      </c>
      <c r="F10" s="36" cm="1">
        <f t="array" ref="F10">D10</f>
        <v>1</v>
      </c>
      <c r="G10" t="s" s="37">
        <v>19</v>
      </c>
      <c r="H10" s="36">
        <v>215748.96</v>
      </c>
      <c r="I10" s="36">
        <v>215546.4</v>
      </c>
      <c r="J10" s="36">
        <v>215546.4</v>
      </c>
      <c r="K10" s="36">
        <v>0</v>
      </c>
      <c r="L10" s="36" cm="1">
        <f t="array" ref="L10">IF(D10&gt;0,IF($D10&lt;=0,0,D10*H10),"")</f>
        <v>215748.96</v>
      </c>
      <c r="M10" s="36" cm="1">
        <f t="array" ref="M10">IF(E10&gt;0,IF($D10&lt;=0,0,ROUND(E10*I10,2)),"")</f>
        <v>215546.4</v>
      </c>
      <c r="N10" s="38" cm="1">
        <f t="array" ref="N10">IF(F10&gt;0,IF($D10&lt;=0,0,ROUND(F10*J10,2)),"")</f>
        <v>215546.4</v>
      </c>
    </row>
    <row r="11" ht="8.75" customHeight="1" hidden="1">
      <c r="A11" s="39"/>
      <c r="B11" s="40"/>
      <c r="C11" s="41"/>
      <c r="D11" s="42"/>
      <c r="E11" s="42"/>
      <c r="F11" s="42"/>
      <c r="G11" s="43"/>
      <c r="H11" s="42"/>
      <c r="I11" s="42"/>
      <c r="J11" s="42"/>
      <c r="K11" s="42"/>
      <c r="L11" s="42"/>
      <c r="M11" s="42"/>
      <c r="N11" s="44"/>
    </row>
    <row r="12" ht="8.75" customHeight="1" hidden="1">
      <c r="A12" s="39"/>
      <c r="B12" s="40"/>
      <c r="C12" s="45"/>
      <c r="D12" s="46"/>
      <c r="E12" s="46"/>
      <c r="F12" s="46"/>
      <c r="G12" s="47"/>
      <c r="H12" s="46"/>
      <c r="I12" s="46"/>
      <c r="J12" s="46"/>
      <c r="K12" s="46"/>
      <c r="L12" s="46"/>
      <c r="M12" s="46"/>
      <c r="N12" s="48"/>
    </row>
    <row r="13" ht="8.75" customHeight="1" hidden="1">
      <c r="A13" s="39"/>
      <c r="B13" s="40"/>
      <c r="C13" s="41"/>
      <c r="D13" s="42"/>
      <c r="E13" s="42"/>
      <c r="F13" s="42"/>
      <c r="G13" s="43"/>
      <c r="H13" s="42"/>
      <c r="I13" s="42"/>
      <c r="J13" s="42"/>
      <c r="K13" s="42"/>
      <c r="L13" s="42"/>
      <c r="M13" s="42"/>
      <c r="N13" s="44"/>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2"/>
      <c r="I15" s="42"/>
      <c r="J15" s="42"/>
      <c r="K15" s="42"/>
      <c r="L15" s="42"/>
      <c r="M15" s="42"/>
      <c r="N15" s="44"/>
    </row>
    <row r="16" ht="8.75" customHeight="1" hidden="1">
      <c r="A16" s="39"/>
      <c r="B16" s="40"/>
      <c r="C16" s="45"/>
      <c r="D16" s="46"/>
      <c r="E16" s="46"/>
      <c r="F16" s="46"/>
      <c r="G16" s="47"/>
      <c r="H16" s="46"/>
      <c r="I16" s="46"/>
      <c r="J16" s="46"/>
      <c r="K16" s="46"/>
      <c r="L16" s="46"/>
      <c r="M16" s="46"/>
      <c r="N16" s="48"/>
    </row>
    <row r="17" ht="8.75" customHeight="1" hidden="1">
      <c r="A17" s="39"/>
      <c r="B17" s="40"/>
      <c r="C17" s="41"/>
      <c r="D17" s="42"/>
      <c r="E17" s="42"/>
      <c r="F17" s="42"/>
      <c r="G17" s="43"/>
      <c r="H17" s="43"/>
      <c r="I17" s="43"/>
      <c r="J17" s="43"/>
      <c r="K17" s="42"/>
      <c r="L17" s="43"/>
      <c r="M17" s="43"/>
      <c r="N17" s="49"/>
    </row>
    <row r="18" ht="8.75" customHeight="1" hidden="1">
      <c r="A18" s="39"/>
      <c r="B18" s="40"/>
      <c r="C18" s="45"/>
      <c r="D18" s="46"/>
      <c r="E18" s="46"/>
      <c r="F18" s="46"/>
      <c r="G18" s="47"/>
      <c r="H18" s="50"/>
      <c r="I18" s="50"/>
      <c r="J18" s="50"/>
      <c r="K18" s="46"/>
      <c r="L18" s="46"/>
      <c r="M18" s="46"/>
      <c r="N18" s="48"/>
    </row>
    <row r="19" ht="8.75" customHeight="1" hidden="1">
      <c r="A19" s="39"/>
      <c r="B19" s="40"/>
      <c r="C19" s="41"/>
      <c r="D19" s="42"/>
      <c r="E19" s="42"/>
      <c r="F19" s="42"/>
      <c r="G19" s="43"/>
      <c r="H19" s="43"/>
      <c r="I19" s="43"/>
      <c r="J19" s="43"/>
      <c r="K19" s="42"/>
      <c r="L19" s="43"/>
      <c r="M19" s="43"/>
      <c r="N19" s="49"/>
    </row>
    <row r="20" ht="8.75" customHeight="1" hidden="1">
      <c r="A20" s="39"/>
      <c r="B20" s="40"/>
      <c r="C20" s="45"/>
      <c r="D20" s="46"/>
      <c r="E20" s="46"/>
      <c r="F20" s="46"/>
      <c r="G20" s="47"/>
      <c r="H20" s="46"/>
      <c r="I20" s="46"/>
      <c r="J20" s="46"/>
      <c r="K20" s="46"/>
      <c r="L20" s="46"/>
      <c r="M20" s="46"/>
      <c r="N20" s="48"/>
    </row>
    <row r="21" ht="8.75" customHeight="1" hidden="1">
      <c r="A21" s="39"/>
      <c r="B21" s="40"/>
      <c r="C21" s="41"/>
      <c r="D21" s="42"/>
      <c r="E21" s="42"/>
      <c r="F21" s="42"/>
      <c r="G21" s="43"/>
      <c r="H21" s="42"/>
      <c r="I21" s="42"/>
      <c r="J21" s="42"/>
      <c r="K21" s="42"/>
      <c r="L21" s="42"/>
      <c r="M21" s="42"/>
      <c r="N21" s="44"/>
    </row>
    <row r="22" ht="8.75" customHeight="1" hidden="1">
      <c r="A22" s="51"/>
      <c r="B22" s="40"/>
      <c r="C22" s="45"/>
      <c r="D22" s="46"/>
      <c r="E22" s="46"/>
      <c r="F22" s="46"/>
      <c r="G22" s="47"/>
      <c r="H22" s="46"/>
      <c r="I22" s="46"/>
      <c r="J22" s="46"/>
      <c r="K22" s="46"/>
      <c r="L22" s="46"/>
      <c r="M22" s="46"/>
      <c r="N22" s="48"/>
    </row>
    <row r="23" ht="8.75" customHeight="1" hidden="1">
      <c r="A23" s="51"/>
      <c r="B23" s="40"/>
      <c r="C23" s="41"/>
      <c r="D23" s="42"/>
      <c r="E23" s="42"/>
      <c r="F23" s="42"/>
      <c r="G23" s="43"/>
      <c r="H23" s="42"/>
      <c r="I23" s="42"/>
      <c r="J23" s="42"/>
      <c r="K23" s="42"/>
      <c r="L23" s="42"/>
      <c r="M23" s="42"/>
      <c r="N23" s="44"/>
    </row>
    <row r="24" ht="8.75" customHeight="1" hidden="1">
      <c r="A24" s="39"/>
      <c r="B24" s="40"/>
      <c r="C24" s="45"/>
      <c r="D24" s="46"/>
      <c r="E24" s="46"/>
      <c r="F24" s="46"/>
      <c r="G24" s="47"/>
      <c r="H24" s="46"/>
      <c r="I24" s="46"/>
      <c r="J24" s="46"/>
      <c r="K24" s="46"/>
      <c r="L24" s="47"/>
      <c r="M24" s="47"/>
      <c r="N24" s="52"/>
    </row>
    <row r="25" ht="8.75" customHeight="1" hidden="1">
      <c r="A25" s="39"/>
      <c r="B25" s="40"/>
      <c r="C25" s="41"/>
      <c r="D25" s="42"/>
      <c r="E25" s="42"/>
      <c r="F25" s="42"/>
      <c r="G25" s="43"/>
      <c r="H25" s="42"/>
      <c r="I25" s="42"/>
      <c r="J25" s="42"/>
      <c r="K25" s="42"/>
      <c r="L25" s="42"/>
      <c r="M25" s="42"/>
      <c r="N25" s="44"/>
    </row>
    <row r="26" ht="8.75" customHeight="1" hidden="1">
      <c r="A26" s="39"/>
      <c r="B26" s="40"/>
      <c r="C26" s="45"/>
      <c r="D26" s="46"/>
      <c r="E26" s="46"/>
      <c r="F26" s="46"/>
      <c r="G26" s="47"/>
      <c r="H26" s="46"/>
      <c r="I26" s="46"/>
      <c r="J26" s="46"/>
      <c r="K26" s="46"/>
      <c r="L26" s="47"/>
      <c r="M26" s="47"/>
      <c r="N26" s="52"/>
    </row>
    <row r="27" ht="20.85" customHeight="1">
      <c r="A27" s="108"/>
      <c r="B27" s="54"/>
      <c r="C27" s="54"/>
      <c r="D27" s="55"/>
      <c r="E27" s="55"/>
      <c r="F27" s="55"/>
      <c r="G27" s="56"/>
      <c r="H27" s="56"/>
      <c r="I27" s="54"/>
      <c r="J27" s="57"/>
      <c r="K27" t="s" s="58">
        <v>38</v>
      </c>
      <c r="L27" s="59" cm="1">
        <f t="array" ref="L27">SUM(L1:L26)</f>
        <v>90111148.95999999</v>
      </c>
      <c r="M27" s="59" cm="1">
        <f t="array" ref="M27">SUM(M1:M26)</f>
        <v>90026546.40000001</v>
      </c>
      <c r="N27" s="59" cm="1">
        <f t="array" ref="N27">SUM(N1:N26)</f>
        <v>90026546.40000001</v>
      </c>
    </row>
    <row r="28" ht="21" customHeight="1">
      <c r="A28" s="63" cm="1">
        <f t="array" ref="A28">ROUND(IF(I28&lt;=100000000,I28*0.24%,IF(AND(I28&gt;100000000,I28&lt;=500000000),100000000*0.24%+(I28-100000000)*0.19%,IF(AND(I28&gt;500000000,I28&lt;=1000000000),100000000*0.24%+400000000*0.19%+(I28-500000000)*0.15%,IF(AND(I28&gt;1000000000,I28&lt;=5000000000),100000000*0.24%+400000000*0.19%+500000000*0.15%+(I28-1000000000)*0.12%,IF(I28&gt;5000000000,100000000*0.24%+400000000*0.19%+500000000*0.15%+4000000000*0.12%+(I28-5000000000)*0.1%,"Bingung komputer"))))),2)</f>
        <v>0</v>
      </c>
      <c r="B28" t="s" s="109">
        <v>39</v>
      </c>
      <c r="C28" s="62"/>
      <c r="D28" s="63" cm="1">
        <f t="array" ref="D28">ROUND(IF(L28&lt;=100000000,L28*0.24%,IF(AND(L28&gt;100000000,L28&lt;=500000000),100000000*0.24%+(L28-100000000)*0.19%,IF(AND(L28&gt;500000000,L28&lt;=1000000000),100000000*0.24%+400000000*0.19%+(L28-500000000)*0.15%,IF(AND(L28&gt;1000000000,L28&lt;=5000000000),100000000*0.24%+400000000*0.19%+500000000*0.15%+(L28-1000000000)*0.12%,IF(L28&gt;5000000000,100000000*0.24%+400000000*0.19%+500000000*0.15%+4000000000*0.12%+(L28-5000000000)*0.1%,"Bingung komputer"))))),2)</f>
        <v>215748.96</v>
      </c>
      <c r="E28" s="64" cm="1">
        <f t="array" ref="E28">ROUND(IF(M28&lt;=100000000,M28*0.24%,IF(AND(M28&gt;100000000,M28&lt;=500000000),100000000*0.24%+(M28-100000000)*0.19%,IF(AND(M28&gt;500000000,M28&lt;=1000000000),100000000*0.24%+400000000*0.19%+(M28-500000000)*0.15%,IF(AND(M28&gt;1000000000,M28&lt;=5000000000),100000000*0.24%+400000000*0.19%+500000000*0.15%+(M28-1000000000)*0.12%,IF(M28&gt;5000000000,100000000*0.24%+400000000*0.19%+500000000*0.15%+4000000000*0.12%+(M28-5000000000)*0.1%,"Bingung komputer"))))),2)</f>
        <v>215546.4</v>
      </c>
      <c r="F28" s="64" cm="1">
        <f t="array" ref="F28">ROUND(IF(N28&lt;=100000000,N28*0.24%,IF(AND(N28&gt;100000000,N28&lt;=500000000),100000000*0.24%+(N28-100000000)*0.19%,IF(AND(N28&gt;500000000,N28&lt;=1000000000),100000000*0.24%+400000000*0.19%+(N28-500000000)*0.15%,IF(AND(N28&gt;1000000000,N28&lt;=5000000000),100000000*0.24%+400000000*0.19%+500000000*0.15%+(N28-1000000000)*0.12%,IF(N28&gt;5000000000,100000000*0.24%+400000000*0.19%+500000000*0.15%+4000000000*0.12%+(N28-5000000000)*0.1%,"Bingung komputer"))))),2)</f>
        <v>215546.4</v>
      </c>
      <c r="G28" s="65"/>
      <c r="H28" s="66"/>
      <c r="I28" s="68"/>
      <c r="J28" s="67"/>
      <c r="K28" t="str" s="67" cm="1">
        <f t="array" ref="K28">"Jumlah Terkena Pajak "&amp;MAX(K3:K26)&amp;"% (B)"</f>
        <v>Jumlah Terkena Pajak 11,00% (B)</v>
      </c>
      <c r="L28" s="68" cm="1">
        <f t="array" ref="L28">SUMIF($K3:$K26,"&gt;0",L3:L26)</f>
        <v>89895400</v>
      </c>
      <c r="M28" s="69" cm="1">
        <f t="array" ref="M28">SUMIF($K3:$K26,"&gt;0",M3:M26)</f>
        <v>89811000</v>
      </c>
      <c r="N28" s="69" cm="1">
        <f t="array" ref="N28">SUMIF($K3:$K26,"&gt;0",N3:N26)</f>
        <v>89811000</v>
      </c>
    </row>
    <row r="29" ht="21" customHeight="1">
      <c r="A29" s="70"/>
      <c r="B29" s="71"/>
      <c r="C29" s="71"/>
      <c r="D29" s="72"/>
      <c r="E29" s="72"/>
      <c r="F29" s="71"/>
      <c r="G29" s="72"/>
      <c r="H29" s="72"/>
      <c r="I29" s="74"/>
      <c r="J29" s="73"/>
      <c r="K29" t="str" s="73" cm="1">
        <f t="array" ref="K29">"PPN (C) = "&amp;MAX(K3:K26)&amp;"% x B"</f>
        <v>PPN (C) = 11,00% x B</v>
      </c>
      <c r="L29" s="74" cm="1">
        <f t="array" ref="L29">L28*MAX($K3:$K26)%</f>
        <v>9888494</v>
      </c>
      <c r="M29" s="69" cm="1">
        <f t="array" ref="M29">M28*MAX($K3:$K26)%</f>
        <v>9879210</v>
      </c>
      <c r="N29" s="69" cm="1">
        <f t="array" ref="N29">N28*MAX($K3:$K26)%</f>
        <v>9879210</v>
      </c>
    </row>
    <row r="30" ht="21" customHeight="1">
      <c r="A30" s="70"/>
      <c r="B30" s="71"/>
      <c r="C30" s="71"/>
      <c r="D30" t="s" s="110">
        <v>116</v>
      </c>
      <c r="E30" s="111">
        <v>100000000</v>
      </c>
      <c r="F30" s="112">
        <v>99784550</v>
      </c>
      <c r="G30" s="72"/>
      <c r="H30" s="72"/>
      <c r="I30" s="71"/>
      <c r="J30" s="73"/>
      <c r="K30" t="s" s="75">
        <v>42</v>
      </c>
      <c r="L30" s="76" cm="1">
        <f t="array" ref="L30">L27+L29</f>
        <v>99999642.95999999</v>
      </c>
      <c r="M30" s="69" cm="1">
        <f t="array" ref="M30">M27+M29</f>
        <v>99905756.40000001</v>
      </c>
      <c r="N30" s="69" cm="1">
        <f t="array" ref="N30">N27+N29</f>
        <v>99905756.40000001</v>
      </c>
    </row>
    <row r="31" ht="20.5" customHeight="1">
      <c r="A31" s="70"/>
      <c r="B31" s="71"/>
      <c r="C31" s="71"/>
      <c r="D31" s="72"/>
      <c r="E31" s="72" cm="1">
        <f t="array" ref="E31">E$30-L$31</f>
        <v>357.04</v>
      </c>
      <c r="F31" s="113" cm="1">
        <f t="array" ref="F31">ROUNDDOWN(E$30-D$28,2)</f>
        <v>99784251.04000001</v>
      </c>
      <c r="G31" s="72"/>
      <c r="H31" s="72"/>
      <c r="I31" s="71"/>
      <c r="J31" s="73"/>
      <c r="K31" t="s" s="75">
        <v>43</v>
      </c>
      <c r="L31" s="68" cm="1">
        <f t="array" ref="L31">ROUNDDOWN(L30,2)</f>
        <v>99999642.95999999</v>
      </c>
      <c r="M31" s="68" cm="1">
        <f t="array" ref="M31">ROUNDDOWN(M30,2)</f>
        <v>99905756.40000001</v>
      </c>
      <c r="N31" s="68" cm="1">
        <f t="array" ref="N31">ROUNDDOWN(N30,-3)</f>
        <v>99905000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07.xml><?xml version="1.0" encoding="utf-8"?>
<worksheet xmlns:r="http://schemas.openxmlformats.org/officeDocument/2006/relationships" xmlns="http://schemas.openxmlformats.org/spreadsheetml/2006/main">
  <sheetPr>
    <pageSetUpPr fitToPage="1"/>
  </sheetPr>
  <dimension ref="A1:N32"/>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299" customWidth="1"/>
    <col min="2" max="2" width="43.0312" style="299" customWidth="1"/>
    <col min="3" max="3" width="2.75" style="299" customWidth="1"/>
    <col min="4" max="6" width="10.3672" style="299" customWidth="1"/>
    <col min="7" max="7" width="11.6875" style="299" customWidth="1"/>
    <col min="8" max="11" width="13.5156" style="299" customWidth="1"/>
    <col min="12" max="14" width="14.2344" style="299" customWidth="1"/>
    <col min="15" max="16384" width="16.3516" style="299"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32.6" customHeight="1">
      <c r="A3" s="11"/>
      <c r="B3" t="s" s="12">
        <v>467</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s="95">
        <v>1</v>
      </c>
      <c r="B4" t="s" s="19">
        <v>468</v>
      </c>
      <c r="C4" s="20"/>
      <c r="D4" s="21">
        <v>1</v>
      </c>
      <c r="E4" s="21" cm="1">
        <f t="array" ref="E4">D4</f>
        <v>1</v>
      </c>
      <c r="F4" s="21" cm="1">
        <f t="array" ref="F4">D4</f>
        <v>1</v>
      </c>
      <c r="G4" t="s" s="22">
        <v>19</v>
      </c>
      <c r="H4" s="21" cm="1">
        <f t="array" ref="H4">ROUNDDOWN((F$31*0.05)*100/111,-2)</f>
        <v>4494700</v>
      </c>
      <c r="I4" s="21">
        <v>4450000</v>
      </c>
      <c r="J4" s="21">
        <v>4450000</v>
      </c>
      <c r="K4" s="21">
        <v>11</v>
      </c>
      <c r="L4" s="21" cm="1">
        <f t="array" ref="L4">IF(D4&gt;0,IF($D4&lt;=0,0,D4*H4),"")</f>
        <v>4494700</v>
      </c>
      <c r="M4" s="21" cm="1">
        <f t="array" ref="M4">IF(E4&gt;0,IF($D4&lt;=0,0,ROUND(E4*I4,2)),"")</f>
        <v>4450000</v>
      </c>
      <c r="N4" s="23" cm="1">
        <f t="array" ref="N4">IF(F4&gt;0,IF($D4&lt;=0,0,ROUND(F4*J4,2)),"")</f>
        <v>4450000</v>
      </c>
    </row>
    <row r="5" ht="20.5" customHeight="1">
      <c r="A5" s="95">
        <v>2</v>
      </c>
      <c r="B5" t="s" s="19">
        <v>469</v>
      </c>
      <c r="C5" s="24"/>
      <c r="D5" s="26">
        <v>1</v>
      </c>
      <c r="E5" s="26" cm="1">
        <f t="array" ref="E5">D5</f>
        <v>1</v>
      </c>
      <c r="F5" s="26" cm="1">
        <f t="array" ref="F5">D5</f>
        <v>1</v>
      </c>
      <c r="G5" t="s" s="27">
        <v>19</v>
      </c>
      <c r="H5" s="26" cm="1">
        <f t="array" ref="H5">ROUNDDOWN((F$31*0.1)*100/111,-2)</f>
        <v>8989500</v>
      </c>
      <c r="I5" s="26">
        <v>9000000</v>
      </c>
      <c r="J5" s="26">
        <v>9000000</v>
      </c>
      <c r="K5" s="26">
        <v>11</v>
      </c>
      <c r="L5" s="26" cm="1">
        <f t="array" ref="L5">IF(D5&gt;0,IF($D5&lt;=0,0,D5*H5),"")</f>
        <v>8989500</v>
      </c>
      <c r="M5" s="26" cm="1">
        <f t="array" ref="M5">IF(E5&gt;0,IF($D5&lt;=0,0,ROUND(E5*I5,2)),"")</f>
        <v>9000000</v>
      </c>
      <c r="N5" s="28" cm="1">
        <f t="array" ref="N5">IF(F5&gt;0,IF($D5&lt;=0,0,ROUND(F5*J5,2)),"")</f>
        <v>9000000</v>
      </c>
    </row>
    <row r="6" ht="20.5" customHeight="1">
      <c r="A6" s="95">
        <v>3</v>
      </c>
      <c r="B6" t="s" s="19">
        <v>470</v>
      </c>
      <c r="C6" s="20"/>
      <c r="D6" s="21">
        <v>1</v>
      </c>
      <c r="E6" s="21" cm="1">
        <f t="array" ref="E6">D6</f>
        <v>1</v>
      </c>
      <c r="F6" s="21" cm="1">
        <f t="array" ref="F6">D6</f>
        <v>1</v>
      </c>
      <c r="G6" t="s" s="22">
        <v>19</v>
      </c>
      <c r="H6" s="21" cm="1">
        <f t="array" ref="H6">ROUNDDOWN((F$31*0.1)*100/111,-2)</f>
        <v>8989500</v>
      </c>
      <c r="I6" s="21">
        <v>9000000</v>
      </c>
      <c r="J6" s="21">
        <v>9000000</v>
      </c>
      <c r="K6" s="21">
        <v>11</v>
      </c>
      <c r="L6" s="21" cm="1">
        <f t="array" ref="L6">IF(D6&gt;0,IF($D6&lt;=0,0,D6*H6),"")</f>
        <v>8989500</v>
      </c>
      <c r="M6" s="21" cm="1">
        <f t="array" ref="M6">IF(E6&gt;0,IF($D6&lt;=0,0,ROUND(E6*I6,2)),"")</f>
        <v>9000000</v>
      </c>
      <c r="N6" s="23" cm="1">
        <f t="array" ref="N6">IF(F6&gt;0,IF($D6&lt;=0,0,ROUND(F6*J6,2)),"")</f>
        <v>9000000</v>
      </c>
    </row>
    <row r="7" ht="20.5" customHeight="1">
      <c r="A7" s="95">
        <v>5</v>
      </c>
      <c r="B7" t="s" s="19">
        <v>471</v>
      </c>
      <c r="C7" s="24"/>
      <c r="D7" s="26">
        <v>1</v>
      </c>
      <c r="E7" s="26" cm="1">
        <f t="array" ref="E7">D7</f>
        <v>1</v>
      </c>
      <c r="F7" s="26" cm="1">
        <f t="array" ref="F7">D7</f>
        <v>1</v>
      </c>
      <c r="G7" t="s" s="27">
        <v>19</v>
      </c>
      <c r="H7" s="26" cm="1">
        <f t="array" ref="H7">ROUNDDOWN((F$31*0.2)*100/111,-2)</f>
        <v>17979100</v>
      </c>
      <c r="I7" s="26">
        <v>17930000</v>
      </c>
      <c r="J7" s="26">
        <v>17930000</v>
      </c>
      <c r="K7" s="26">
        <v>11</v>
      </c>
      <c r="L7" s="26" cm="1">
        <f t="array" ref="L7">IF(D7&gt;0,IF($D7&lt;=0,0,D7*H7),"")</f>
        <v>17979100</v>
      </c>
      <c r="M7" s="26" cm="1">
        <f t="array" ref="M7">IF(E7&gt;0,IF($D7&lt;=0,0,ROUND(E7*I7,2)),"")</f>
        <v>17930000</v>
      </c>
      <c r="N7" s="28" cm="1">
        <f t="array" ref="N7">IF(F7&gt;0,IF($D7&lt;=0,0,ROUND(F7*J7,2)),"")</f>
        <v>17930000</v>
      </c>
    </row>
    <row r="8" ht="20.5" customHeight="1">
      <c r="A8" s="95">
        <v>6</v>
      </c>
      <c r="B8" t="s" s="19">
        <v>472</v>
      </c>
      <c r="C8" s="20"/>
      <c r="D8" s="21">
        <v>1</v>
      </c>
      <c r="E8" s="21" cm="1">
        <f t="array" ref="E8">D8</f>
        <v>1</v>
      </c>
      <c r="F8" s="21" cm="1">
        <f t="array" ref="F8">D8</f>
        <v>1</v>
      </c>
      <c r="G8" t="s" s="22">
        <v>19</v>
      </c>
      <c r="H8" s="21" cm="1">
        <f t="array" ref="H8">ROUNDDOWN((F$31*0.15)*100/111,-2)</f>
        <v>13484300</v>
      </c>
      <c r="I8" s="21">
        <v>13500000</v>
      </c>
      <c r="J8" s="21">
        <v>13500000</v>
      </c>
      <c r="K8" s="21">
        <v>11</v>
      </c>
      <c r="L8" s="21" cm="1">
        <f t="array" ref="L8">IF(D8&gt;0,IF($D8&lt;=0,0,D8*H8),"")</f>
        <v>13484300</v>
      </c>
      <c r="M8" s="21" cm="1">
        <f t="array" ref="M8">IF(E8&gt;0,IF($D8&lt;=0,0,ROUND(E8*I8,2)),"")</f>
        <v>13500000</v>
      </c>
      <c r="N8" s="23" cm="1">
        <f t="array" ref="N8">IF(F8&gt;0,IF($D8&lt;=0,0,ROUND(F8*J8,2)),"")</f>
        <v>13500000</v>
      </c>
    </row>
    <row r="9" ht="20.5" customHeight="1">
      <c r="A9" s="95">
        <v>7</v>
      </c>
      <c r="B9" t="s" s="19">
        <v>473</v>
      </c>
      <c r="C9" s="24"/>
      <c r="D9" s="26">
        <v>1</v>
      </c>
      <c r="E9" s="26" cm="1">
        <f t="array" ref="E9">D9</f>
        <v>1</v>
      </c>
      <c r="F9" s="26" cm="1">
        <f t="array" ref="F9">D9</f>
        <v>1</v>
      </c>
      <c r="G9" t="s" s="27">
        <v>19</v>
      </c>
      <c r="H9" s="26" cm="1">
        <f t="array" ref="H9">ROUNDDOWN((F$31*0.15)*100/111,-2)</f>
        <v>13484300</v>
      </c>
      <c r="I9" s="26">
        <v>13500000</v>
      </c>
      <c r="J9" s="26">
        <v>13500000</v>
      </c>
      <c r="K9" s="26">
        <v>11</v>
      </c>
      <c r="L9" s="26" cm="1">
        <f t="array" ref="L9">IF(D9&gt;0,IF($D9&lt;=0,0,D9*H9),"")</f>
        <v>13484300</v>
      </c>
      <c r="M9" s="26" cm="1">
        <f t="array" ref="M9">IF(E9&gt;0,IF($D9&lt;=0,0,ROUND(E9*I9,2)),"")</f>
        <v>13500000</v>
      </c>
      <c r="N9" s="28" cm="1">
        <f t="array" ref="N9">IF(F9&gt;0,IF($D9&lt;=0,0,ROUND(F9*J9,2)),"")</f>
        <v>13500000</v>
      </c>
    </row>
    <row r="10" ht="20.5" customHeight="1">
      <c r="A10" s="95">
        <v>8</v>
      </c>
      <c r="B10" t="s" s="19">
        <v>474</v>
      </c>
      <c r="C10" s="20"/>
      <c r="D10" s="21">
        <v>1</v>
      </c>
      <c r="E10" s="21" cm="1">
        <f t="array" ref="E10">D10</f>
        <v>1</v>
      </c>
      <c r="F10" s="21" cm="1">
        <f t="array" ref="F10">D10</f>
        <v>1</v>
      </c>
      <c r="G10" t="s" s="22">
        <v>19</v>
      </c>
      <c r="H10" s="21" cm="1">
        <f t="array" ref="H10">ROUNDDOWN((F$31*0.25)*100/111,-2)</f>
        <v>22473900</v>
      </c>
      <c r="I10" s="21">
        <v>22450000</v>
      </c>
      <c r="J10" s="21">
        <v>22450000</v>
      </c>
      <c r="K10" s="21">
        <v>11</v>
      </c>
      <c r="L10" s="21" cm="1">
        <f t="array" ref="L10">IF(D10&gt;0,IF($D10&lt;=0,0,D10*H10),"")</f>
        <v>22473900</v>
      </c>
      <c r="M10" s="21" cm="1">
        <f t="array" ref="M10">IF(E10&gt;0,IF($D10&lt;=0,0,ROUND(E10*I10,2)),"")</f>
        <v>22450000</v>
      </c>
      <c r="N10" s="23" cm="1">
        <f t="array" ref="N10">IF(F10&gt;0,IF($D10&lt;=0,0,ROUND(F10*J10,2)),"")</f>
        <v>22450000</v>
      </c>
    </row>
    <row r="11" ht="20.6" customHeight="1">
      <c r="A11" s="33">
        <v>9</v>
      </c>
      <c r="B11" t="s" s="34">
        <v>37</v>
      </c>
      <c r="C11" s="80"/>
      <c r="D11" s="81">
        <v>1</v>
      </c>
      <c r="E11" s="81" cm="1">
        <f t="array" ref="E11">D11</f>
        <v>1</v>
      </c>
      <c r="F11" s="81" cm="1">
        <f t="array" ref="F11">D11</f>
        <v>1</v>
      </c>
      <c r="G11" t="s" s="82">
        <v>19</v>
      </c>
      <c r="H11" s="81">
        <v>215748.72</v>
      </c>
      <c r="I11" s="81">
        <v>215592</v>
      </c>
      <c r="J11" s="81">
        <v>215592</v>
      </c>
      <c r="K11" s="81">
        <v>0</v>
      </c>
      <c r="L11" s="81" cm="1">
        <f t="array" ref="L11">IF(D11&gt;0,IF($D11&lt;=0,0,D11*H11),"")</f>
        <v>215748.72</v>
      </c>
      <c r="M11" s="81" cm="1">
        <f t="array" ref="M11">IF(E11&gt;0,IF($D11&lt;=0,0,ROUND(E11*I11,2)),"")</f>
        <v>215592</v>
      </c>
      <c r="N11" s="83" cm="1">
        <f t="array" ref="N11">IF(F11&gt;0,IF($D11&lt;=0,0,ROUND(F11*J11,2)),"")</f>
        <v>215592</v>
      </c>
    </row>
    <row r="12" ht="8.75" customHeight="1" hidden="1">
      <c r="A12" s="39"/>
      <c r="B12" s="40"/>
      <c r="C12" s="45"/>
      <c r="D12" s="46"/>
      <c r="E12" s="46"/>
      <c r="F12" s="46"/>
      <c r="G12" s="47"/>
      <c r="H12" s="46"/>
      <c r="I12" s="46"/>
      <c r="J12" s="46"/>
      <c r="K12" s="46"/>
      <c r="L12" s="46"/>
      <c r="M12" s="46"/>
      <c r="N12" s="48"/>
    </row>
    <row r="13" ht="8.75" customHeight="1" hidden="1">
      <c r="A13" s="39"/>
      <c r="B13" s="40"/>
      <c r="C13" s="41"/>
      <c r="D13" s="42"/>
      <c r="E13" s="42"/>
      <c r="F13" s="42"/>
      <c r="G13" s="43"/>
      <c r="H13" s="42"/>
      <c r="I13" s="42"/>
      <c r="J13" s="42"/>
      <c r="K13" s="42"/>
      <c r="L13" s="42"/>
      <c r="M13" s="42"/>
      <c r="N13" s="44"/>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2"/>
      <c r="I15" s="42"/>
      <c r="J15" s="42"/>
      <c r="K15" s="42"/>
      <c r="L15" s="42"/>
      <c r="M15" s="42"/>
      <c r="N15" s="44"/>
    </row>
    <row r="16" ht="8.75" customHeight="1" hidden="1">
      <c r="A16" s="39"/>
      <c r="B16" s="40"/>
      <c r="C16" s="45"/>
      <c r="D16" s="46"/>
      <c r="E16" s="46"/>
      <c r="F16" s="46"/>
      <c r="G16" s="47"/>
      <c r="H16" s="46"/>
      <c r="I16" s="46"/>
      <c r="J16" s="46"/>
      <c r="K16" s="46"/>
      <c r="L16" s="46"/>
      <c r="M16" s="46"/>
      <c r="N16" s="48"/>
    </row>
    <row r="17" ht="8.75" customHeight="1" hidden="1">
      <c r="A17" s="39"/>
      <c r="B17" s="40"/>
      <c r="C17" s="41"/>
      <c r="D17" s="42"/>
      <c r="E17" s="42"/>
      <c r="F17" s="42"/>
      <c r="G17" s="43"/>
      <c r="H17" s="42"/>
      <c r="I17" s="42"/>
      <c r="J17" s="42"/>
      <c r="K17" s="42"/>
      <c r="L17" s="42"/>
      <c r="M17" s="42"/>
      <c r="N17" s="44"/>
    </row>
    <row r="18" ht="8.75" customHeight="1" hidden="1">
      <c r="A18" s="39"/>
      <c r="B18" s="40"/>
      <c r="C18" s="45"/>
      <c r="D18" s="46"/>
      <c r="E18" s="46"/>
      <c r="F18" s="46"/>
      <c r="G18" s="47"/>
      <c r="H18" s="47"/>
      <c r="I18" s="47"/>
      <c r="J18" s="47"/>
      <c r="K18" s="46"/>
      <c r="L18" s="47"/>
      <c r="M18" s="47"/>
      <c r="N18" s="52"/>
    </row>
    <row r="19" ht="8.75" customHeight="1" hidden="1">
      <c r="A19" s="39"/>
      <c r="B19" s="40"/>
      <c r="C19" s="41"/>
      <c r="D19" s="42"/>
      <c r="E19" s="42"/>
      <c r="F19" s="42"/>
      <c r="G19" s="43"/>
      <c r="H19" s="84"/>
      <c r="I19" s="84"/>
      <c r="J19" s="84"/>
      <c r="K19" s="42"/>
      <c r="L19" s="42"/>
      <c r="M19" s="42"/>
      <c r="N19" s="44"/>
    </row>
    <row r="20" ht="8.75" customHeight="1" hidden="1">
      <c r="A20" s="39"/>
      <c r="B20" s="40"/>
      <c r="C20" s="45"/>
      <c r="D20" s="46"/>
      <c r="E20" s="46"/>
      <c r="F20" s="46"/>
      <c r="G20" s="47"/>
      <c r="H20" s="47"/>
      <c r="I20" s="47"/>
      <c r="J20" s="47"/>
      <c r="K20" s="46"/>
      <c r="L20" s="47"/>
      <c r="M20" s="47"/>
      <c r="N20" s="52"/>
    </row>
    <row r="21" ht="8.75" customHeight="1" hidden="1">
      <c r="A21" s="39"/>
      <c r="B21" s="40"/>
      <c r="C21" s="41"/>
      <c r="D21" s="42"/>
      <c r="E21" s="42"/>
      <c r="F21" s="42"/>
      <c r="G21" s="43"/>
      <c r="H21" s="42"/>
      <c r="I21" s="42"/>
      <c r="J21" s="42"/>
      <c r="K21" s="42"/>
      <c r="L21" s="42"/>
      <c r="M21" s="42"/>
      <c r="N21" s="44"/>
    </row>
    <row r="22" ht="8.75" customHeight="1" hidden="1">
      <c r="A22" s="39"/>
      <c r="B22" s="40"/>
      <c r="C22" s="45"/>
      <c r="D22" s="46"/>
      <c r="E22" s="46"/>
      <c r="F22" s="46"/>
      <c r="G22" s="47"/>
      <c r="H22" s="46"/>
      <c r="I22" s="46"/>
      <c r="J22" s="46"/>
      <c r="K22" s="46"/>
      <c r="L22" s="46"/>
      <c r="M22" s="46"/>
      <c r="N22" s="48"/>
    </row>
    <row r="23" ht="8.75" customHeight="1" hidden="1">
      <c r="A23" s="51"/>
      <c r="B23" s="40"/>
      <c r="C23" s="41"/>
      <c r="D23" s="42"/>
      <c r="E23" s="42"/>
      <c r="F23" s="42"/>
      <c r="G23" s="43"/>
      <c r="H23" s="42"/>
      <c r="I23" s="42"/>
      <c r="J23" s="42"/>
      <c r="K23" s="42"/>
      <c r="L23" s="42"/>
      <c r="M23" s="42"/>
      <c r="N23" s="44"/>
    </row>
    <row r="24" ht="8.75" customHeight="1" hidden="1">
      <c r="A24" s="51"/>
      <c r="B24" s="40"/>
      <c r="C24" s="45"/>
      <c r="D24" s="46"/>
      <c r="E24" s="46"/>
      <c r="F24" s="46"/>
      <c r="G24" s="47"/>
      <c r="H24" s="46"/>
      <c r="I24" s="46"/>
      <c r="J24" s="46"/>
      <c r="K24" s="46"/>
      <c r="L24" s="46"/>
      <c r="M24" s="46"/>
      <c r="N24" s="48"/>
    </row>
    <row r="25" ht="8.75" customHeight="1" hidden="1">
      <c r="A25" s="39"/>
      <c r="B25" s="40"/>
      <c r="C25" s="41"/>
      <c r="D25" s="42"/>
      <c r="E25" s="42"/>
      <c r="F25" s="42"/>
      <c r="G25" s="43"/>
      <c r="H25" s="42"/>
      <c r="I25" s="42"/>
      <c r="J25" s="42"/>
      <c r="K25" s="42"/>
      <c r="L25" s="43"/>
      <c r="M25" s="43"/>
      <c r="N25" s="49"/>
    </row>
    <row r="26" ht="8.75" customHeight="1" hidden="1">
      <c r="A26" s="39"/>
      <c r="B26" s="40"/>
      <c r="C26" s="45"/>
      <c r="D26" s="46"/>
      <c r="E26" s="46"/>
      <c r="F26" s="46"/>
      <c r="G26" s="47"/>
      <c r="H26" s="46"/>
      <c r="I26" s="46"/>
      <c r="J26" s="46"/>
      <c r="K26" s="46"/>
      <c r="L26" s="46"/>
      <c r="M26" s="46"/>
      <c r="N26" s="48"/>
    </row>
    <row r="27" ht="8.75" customHeight="1" hidden="1">
      <c r="A27" s="39"/>
      <c r="B27" s="40"/>
      <c r="C27" s="41"/>
      <c r="D27" s="42"/>
      <c r="E27" s="42"/>
      <c r="F27" s="42"/>
      <c r="G27" s="43"/>
      <c r="H27" s="42"/>
      <c r="I27" s="42"/>
      <c r="J27" s="42"/>
      <c r="K27" s="42"/>
      <c r="L27" s="43"/>
      <c r="M27" s="43"/>
      <c r="N27" s="49"/>
    </row>
    <row r="28" ht="20.85" customHeight="1">
      <c r="A28" s="108"/>
      <c r="B28" s="54"/>
      <c r="C28" s="54"/>
      <c r="D28" s="55"/>
      <c r="E28" s="55"/>
      <c r="F28" s="55"/>
      <c r="G28" s="56"/>
      <c r="H28" s="56"/>
      <c r="I28" s="54"/>
      <c r="J28" s="57"/>
      <c r="K28" t="s" s="58">
        <v>38</v>
      </c>
      <c r="L28" s="59" cm="1">
        <f t="array" ref="L28">SUM(L1:L27)</f>
        <v>90111048.72</v>
      </c>
      <c r="M28" s="59" cm="1">
        <f t="array" ref="M28">SUM(M1:M27)</f>
        <v>90045592</v>
      </c>
      <c r="N28" s="59" cm="1">
        <f t="array" ref="N28">SUM(N1:N27)</f>
        <v>90045592</v>
      </c>
    </row>
    <row r="29" ht="21" customHeight="1">
      <c r="A29" s="63" cm="1">
        <f t="array" ref="A29">ROUND(IF(I29&lt;=100000000,I29*0.24%,IF(AND(I29&gt;100000000,I29&lt;=500000000),100000000*0.24%+(I29-100000000)*0.19%,IF(AND(I29&gt;500000000,I29&lt;=1000000000),100000000*0.24%+400000000*0.19%+(I29-500000000)*0.15%,IF(AND(I29&gt;1000000000,I29&lt;=5000000000),100000000*0.24%+400000000*0.19%+500000000*0.15%+(I29-1000000000)*0.12%,IF(I29&gt;5000000000,100000000*0.24%+400000000*0.19%+500000000*0.15%+4000000000*0.12%+(I29-5000000000)*0.1%,"Bingung komputer"))))),2)</f>
        <v>0</v>
      </c>
      <c r="B29" t="s" s="109">
        <v>39</v>
      </c>
      <c r="C29" s="62"/>
      <c r="D29" s="63" cm="1">
        <f t="array" ref="D29">ROUND(IF(L29&lt;=100000000,L29*0.24%,IF(AND(L29&gt;100000000,L29&lt;=500000000),100000000*0.24%+(L29-100000000)*0.19%,IF(AND(L29&gt;500000000,L29&lt;=1000000000),100000000*0.24%+400000000*0.19%+(L29-500000000)*0.15%,IF(AND(L29&gt;1000000000,L29&lt;=5000000000),100000000*0.24%+400000000*0.19%+500000000*0.15%+(L29-1000000000)*0.12%,IF(L29&gt;5000000000,100000000*0.24%+400000000*0.19%+500000000*0.15%+4000000000*0.12%+(L29-5000000000)*0.1%,"Bingung komputer"))))),2)</f>
        <v>215748.72</v>
      </c>
      <c r="E29" s="64" cm="1">
        <f t="array" ref="E29">ROUND(IF(M29&lt;=100000000,M29*0.24%,IF(AND(M29&gt;100000000,M29&lt;=500000000),100000000*0.24%+(M29-100000000)*0.19%,IF(AND(M29&gt;500000000,M29&lt;=1000000000),100000000*0.24%+400000000*0.19%+(M29-500000000)*0.15%,IF(AND(M29&gt;1000000000,M29&lt;=5000000000),100000000*0.24%+400000000*0.19%+500000000*0.15%+(M29-1000000000)*0.12%,IF(M29&gt;5000000000,100000000*0.24%+400000000*0.19%+500000000*0.15%+4000000000*0.12%+(M29-5000000000)*0.1%,"Bingung komputer"))))),2)</f>
        <v>215592</v>
      </c>
      <c r="F29" s="64" cm="1">
        <f t="array" ref="F29">ROUND(IF(N29&lt;=100000000,N29*0.24%,IF(AND(N29&gt;100000000,N29&lt;=500000000),100000000*0.24%+(N29-100000000)*0.19%,IF(AND(N29&gt;500000000,N29&lt;=1000000000),100000000*0.24%+400000000*0.19%+(N29-500000000)*0.15%,IF(AND(N29&gt;1000000000,N29&lt;=5000000000),100000000*0.24%+400000000*0.19%+500000000*0.15%+(N29-1000000000)*0.12%,IF(N29&gt;5000000000,100000000*0.24%+400000000*0.19%+500000000*0.15%+4000000000*0.12%+(N29-5000000000)*0.1%,"Bingung komputer"))))),2)</f>
        <v>215592</v>
      </c>
      <c r="G29" s="65"/>
      <c r="H29" s="66"/>
      <c r="I29" s="68"/>
      <c r="J29" s="67"/>
      <c r="K29" t="str" s="67" cm="1">
        <f t="array" ref="K29">"Jumlah Terkena Pajak "&amp;MAX(K3:K27)&amp;"% (B)"</f>
        <v>Jumlah Terkena Pajak 11,00% (B)</v>
      </c>
      <c r="L29" s="68" cm="1">
        <f t="array" ref="L29">SUMIF($K3:$K27,"&gt;0",L3:L27)</f>
        <v>89895300</v>
      </c>
      <c r="M29" s="69" cm="1">
        <f t="array" ref="M29">SUMIF($K3:$K27,"&gt;0",M3:M27)</f>
        <v>89830000</v>
      </c>
      <c r="N29" s="69" cm="1">
        <f t="array" ref="N29">SUMIF($K3:$K27,"&gt;0",N3:N27)</f>
        <v>89830000</v>
      </c>
    </row>
    <row r="30" ht="21" customHeight="1">
      <c r="A30" s="70"/>
      <c r="B30" s="71"/>
      <c r="C30" s="71"/>
      <c r="D30" s="72"/>
      <c r="E30" s="72"/>
      <c r="F30" s="71"/>
      <c r="G30" s="72"/>
      <c r="H30" s="72"/>
      <c r="I30" s="74"/>
      <c r="J30" s="73"/>
      <c r="K30" t="str" s="73" cm="1">
        <f t="array" ref="K30">"PPN (C) = "&amp;MAX(K3:K27)&amp;"% x B"</f>
        <v>PPN (C) = 11,00% x B</v>
      </c>
      <c r="L30" s="74" cm="1">
        <f t="array" ref="L30">L29*MAX($K3:$K27)%</f>
        <v>9888483</v>
      </c>
      <c r="M30" s="69" cm="1">
        <f t="array" ref="M30">M29*MAX($K3:$K27)%</f>
        <v>9881300</v>
      </c>
      <c r="N30" s="69" cm="1">
        <f t="array" ref="N30">N29*MAX($K3:$K27)%</f>
        <v>9881300</v>
      </c>
    </row>
    <row r="31" ht="21" customHeight="1">
      <c r="A31" s="70"/>
      <c r="B31" s="111" cm="1">
        <f t="array" ref="B31">5+10+10+20+15+15+25</f>
        <v>100</v>
      </c>
      <c r="C31" s="71"/>
      <c r="D31" t="s" s="110">
        <v>116</v>
      </c>
      <c r="E31" s="111">
        <v>100000000</v>
      </c>
      <c r="F31" s="112">
        <v>99784550</v>
      </c>
      <c r="G31" s="72"/>
      <c r="H31" s="72"/>
      <c r="I31" s="71"/>
      <c r="J31" s="73"/>
      <c r="K31" t="s" s="75">
        <v>42</v>
      </c>
      <c r="L31" s="76" cm="1">
        <f t="array" ref="L31">L28+L30</f>
        <v>99999531.72</v>
      </c>
      <c r="M31" s="69" cm="1">
        <f t="array" ref="M31">M28+M30</f>
        <v>99926892</v>
      </c>
      <c r="N31" s="69" cm="1">
        <f t="array" ref="N31">N28+N30</f>
        <v>99926892</v>
      </c>
    </row>
    <row r="32" ht="20.5" customHeight="1">
      <c r="A32" s="70"/>
      <c r="B32" s="71"/>
      <c r="C32" s="71"/>
      <c r="D32" s="72"/>
      <c r="E32" s="72" cm="1">
        <f t="array" ref="E32">E$31-L$32</f>
        <v>468.28</v>
      </c>
      <c r="F32" s="113" cm="1">
        <f t="array" ref="F32">ROUNDDOWN(E$31-D$29,2)</f>
        <v>99784251.28</v>
      </c>
      <c r="G32" s="72"/>
      <c r="H32" s="72"/>
      <c r="I32" s="71"/>
      <c r="J32" s="73"/>
      <c r="K32" t="s" s="75">
        <v>43</v>
      </c>
      <c r="L32" s="68" cm="1">
        <f t="array" ref="L32">ROUNDDOWN(L31,2)</f>
        <v>99999531.72</v>
      </c>
      <c r="M32" s="68" cm="1">
        <f t="array" ref="M32">ROUNDDOWN(M31,2)</f>
        <v>99926892</v>
      </c>
      <c r="N32" s="68" cm="1">
        <f t="array" ref="N32">ROUNDDOWN(N31,-3)</f>
        <v>99926000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08.xml><?xml version="1.0" encoding="utf-8"?>
<worksheet xmlns:r="http://schemas.openxmlformats.org/officeDocument/2006/relationships" xmlns="http://schemas.openxmlformats.org/spreadsheetml/2006/main">
  <sheetPr>
    <pageSetUpPr fitToPage="1"/>
  </sheetPr>
  <dimension ref="A1:N31"/>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300" customWidth="1"/>
    <col min="2" max="2" width="43.0312" style="300" customWidth="1"/>
    <col min="3" max="3" width="2.75" style="300" customWidth="1"/>
    <col min="4" max="6" width="10.3672" style="300" customWidth="1"/>
    <col min="7" max="7" width="11.6875" style="300" customWidth="1"/>
    <col min="8" max="11" width="13.5156" style="300" customWidth="1"/>
    <col min="12" max="14" width="14.2344" style="300" customWidth="1"/>
    <col min="15" max="16384" width="16.3516" style="300"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109</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s="95">
        <v>1</v>
      </c>
      <c r="B4" t="s" s="19">
        <v>110</v>
      </c>
      <c r="C4" s="20"/>
      <c r="D4" s="21">
        <v>1</v>
      </c>
      <c r="E4" s="21" cm="1">
        <f t="array" ref="E4">D4</f>
        <v>1</v>
      </c>
      <c r="F4" s="21" cm="1">
        <f t="array" ref="F4">D4</f>
        <v>1</v>
      </c>
      <c r="G4" t="s" s="22">
        <v>19</v>
      </c>
      <c r="H4" s="21" cm="1">
        <f t="array" ref="H4">ROUNDDOWN((F$30*0.1)*100/111,-2)</f>
        <v>5809400</v>
      </c>
      <c r="I4" s="21">
        <v>5760000</v>
      </c>
      <c r="J4" s="21">
        <v>5760000</v>
      </c>
      <c r="K4" s="21">
        <v>11</v>
      </c>
      <c r="L4" s="21" cm="1">
        <f t="array" ref="L4">IF(D4&gt;0,IF($D4&lt;=0,0,D4*H4),"")</f>
        <v>5809400</v>
      </c>
      <c r="M4" s="21" cm="1">
        <f t="array" ref="M4">IF(E4&gt;0,IF($D4&lt;=0,0,ROUND(E4*I4,2)),"")</f>
        <v>5760000</v>
      </c>
      <c r="N4" s="23" cm="1">
        <f t="array" ref="N4">IF(F4&gt;0,IF($D4&lt;=0,0,ROUND(F4*J4,2)),"")</f>
        <v>5760000</v>
      </c>
    </row>
    <row r="5" ht="20.5" customHeight="1">
      <c r="A5" s="95">
        <v>2</v>
      </c>
      <c r="B5" t="s" s="19">
        <v>111</v>
      </c>
      <c r="C5" s="24"/>
      <c r="D5" s="26">
        <v>1</v>
      </c>
      <c r="E5" s="26" cm="1">
        <f t="array" ref="E5">D5</f>
        <v>1</v>
      </c>
      <c r="F5" s="26" cm="1">
        <f t="array" ref="F5">D5</f>
        <v>1</v>
      </c>
      <c r="G5" t="s" s="27">
        <v>19</v>
      </c>
      <c r="H5" s="26" cm="1">
        <f t="array" ref="H5">ROUNDDOWN((F$30*0.2)*100/111,-2)</f>
        <v>11618900</v>
      </c>
      <c r="I5" s="26">
        <v>11700000</v>
      </c>
      <c r="J5" s="26">
        <v>11700000</v>
      </c>
      <c r="K5" s="26">
        <v>11</v>
      </c>
      <c r="L5" s="26" cm="1">
        <f t="array" ref="L5">IF(D5&gt;0,IF($D5&lt;=0,0,D5*H5),"")</f>
        <v>11618900</v>
      </c>
      <c r="M5" s="26" cm="1">
        <f t="array" ref="M5">IF(E5&gt;0,IF($D5&lt;=0,0,ROUND(E5*I5,2)),"")</f>
        <v>11700000</v>
      </c>
      <c r="N5" s="28" cm="1">
        <f t="array" ref="N5">IF(F5&gt;0,IF($D5&lt;=0,0,ROUND(F5*J5,2)),"")</f>
        <v>11700000</v>
      </c>
    </row>
    <row r="6" ht="20.5" customHeight="1">
      <c r="A6" s="95">
        <v>3</v>
      </c>
      <c r="B6" t="s" s="19">
        <v>112</v>
      </c>
      <c r="C6" s="20"/>
      <c r="D6" s="21">
        <v>1</v>
      </c>
      <c r="E6" s="21" cm="1">
        <f t="array" ref="E6">D6</f>
        <v>1</v>
      </c>
      <c r="F6" s="21" cm="1">
        <f t="array" ref="F6">D6</f>
        <v>1</v>
      </c>
      <c r="G6" t="s" s="22">
        <v>19</v>
      </c>
      <c r="H6" s="21" cm="1">
        <f t="array" ref="H6">ROUNDDOWN((F$30*0.25)*100/111,-2)</f>
        <v>14523600</v>
      </c>
      <c r="I6" s="21">
        <v>14450000</v>
      </c>
      <c r="J6" s="21">
        <v>14450000</v>
      </c>
      <c r="K6" s="21">
        <v>11</v>
      </c>
      <c r="L6" s="21" cm="1">
        <f t="array" ref="L6">IF(D6&gt;0,IF($D6&lt;=0,0,D6*H6),"")</f>
        <v>14523600</v>
      </c>
      <c r="M6" s="21" cm="1">
        <f t="array" ref="M6">IF(E6&gt;0,IF($D6&lt;=0,0,ROUND(E6*I6,2)),"")</f>
        <v>14450000</v>
      </c>
      <c r="N6" s="23" cm="1">
        <f t="array" ref="N6">IF(F6&gt;0,IF($D6&lt;=0,0,ROUND(F6*J6,2)),"")</f>
        <v>14450000</v>
      </c>
    </row>
    <row r="7" ht="68.5" customHeight="1">
      <c r="A7" s="95">
        <v>5</v>
      </c>
      <c r="B7" t="s" s="19">
        <v>113</v>
      </c>
      <c r="C7" s="24"/>
      <c r="D7" s="26">
        <v>1</v>
      </c>
      <c r="E7" s="26" cm="1">
        <f t="array" ref="E7">D7</f>
        <v>1</v>
      </c>
      <c r="F7" s="26" cm="1">
        <f t="array" ref="F7">D7</f>
        <v>1</v>
      </c>
      <c r="G7" t="s" s="27">
        <v>19</v>
      </c>
      <c r="H7" s="26" cm="1">
        <f t="array" ref="H7">ROUNDDOWN((F$30*0.25)*100/111,-2)</f>
        <v>14523600</v>
      </c>
      <c r="I7" s="26">
        <v>14400000</v>
      </c>
      <c r="J7" s="26">
        <v>14400000</v>
      </c>
      <c r="K7" s="26">
        <v>11</v>
      </c>
      <c r="L7" s="26" cm="1">
        <f t="array" ref="L7">IF(D7&gt;0,IF($D7&lt;=0,0,D7*H7),"")</f>
        <v>14523600</v>
      </c>
      <c r="M7" s="26" cm="1">
        <f t="array" ref="M7">IF(E7&gt;0,IF($D7&lt;=0,0,ROUND(E7*I7,2)),"")</f>
        <v>14400000</v>
      </c>
      <c r="N7" s="28" cm="1">
        <f t="array" ref="N7">IF(F7&gt;0,IF($D7&lt;=0,0,ROUND(F7*J7,2)),"")</f>
        <v>14400000</v>
      </c>
    </row>
    <row r="8" ht="32.5" customHeight="1">
      <c r="A8" s="95">
        <v>6</v>
      </c>
      <c r="B8" t="s" s="19">
        <v>114</v>
      </c>
      <c r="C8" s="20"/>
      <c r="D8" s="21">
        <v>1</v>
      </c>
      <c r="E8" s="21" cm="1">
        <f t="array" ref="E8">D8</f>
        <v>1</v>
      </c>
      <c r="F8" s="21" cm="1">
        <f t="array" ref="F8">D8</f>
        <v>1</v>
      </c>
      <c r="G8" t="s" s="22">
        <v>19</v>
      </c>
      <c r="H8" s="21" cm="1">
        <f t="array" ref="H8">ROUNDDOWN((F$30*0.05)*100/111,-2)</f>
        <v>2904700</v>
      </c>
      <c r="I8" s="21">
        <v>3000000</v>
      </c>
      <c r="J8" s="21">
        <v>3000000</v>
      </c>
      <c r="K8" s="21">
        <v>11</v>
      </c>
      <c r="L8" s="21" cm="1">
        <f t="array" ref="L8">IF(D8&gt;0,IF($D8&lt;=0,0,D8*H8),"")</f>
        <v>2904700</v>
      </c>
      <c r="M8" s="21" cm="1">
        <f t="array" ref="M8">IF(E8&gt;0,IF($D8&lt;=0,0,ROUND(E8*I8,2)),"")</f>
        <v>3000000</v>
      </c>
      <c r="N8" s="23" cm="1">
        <f t="array" ref="N8">IF(F8&gt;0,IF($D8&lt;=0,0,ROUND(F8*J8,2)),"")</f>
        <v>3000000</v>
      </c>
    </row>
    <row r="9" ht="20.5" customHeight="1">
      <c r="A9" s="95">
        <v>7</v>
      </c>
      <c r="B9" t="s" s="19">
        <v>115</v>
      </c>
      <c r="C9" s="24"/>
      <c r="D9" s="26">
        <v>1</v>
      </c>
      <c r="E9" s="26" cm="1">
        <f t="array" ref="E9">D9</f>
        <v>1</v>
      </c>
      <c r="F9" s="26" cm="1">
        <f t="array" ref="F9">D9</f>
        <v>1</v>
      </c>
      <c r="G9" t="s" s="27">
        <v>19</v>
      </c>
      <c r="H9" s="26" cm="1">
        <f t="array" ref="H9">ROUNDDOWN((F$30*0.15)*100/111,-2)</f>
        <v>8714100</v>
      </c>
      <c r="I9" s="26">
        <v>8750000</v>
      </c>
      <c r="J9" s="26">
        <v>8750000</v>
      </c>
      <c r="K9" s="26">
        <v>11</v>
      </c>
      <c r="L9" s="26" cm="1">
        <f t="array" ref="L9">IF(D9&gt;0,IF($D9&lt;=0,0,D9*H9),"")</f>
        <v>8714100</v>
      </c>
      <c r="M9" s="26" cm="1">
        <f t="array" ref="M9">IF(E9&gt;0,IF($D9&lt;=0,0,ROUND(E9*I9,2)),"")</f>
        <v>8750000</v>
      </c>
      <c r="N9" s="28" cm="1">
        <f t="array" ref="N9">IF(F9&gt;0,IF($D9&lt;=0,0,ROUND(F9*J9,2)),"")</f>
        <v>8750000</v>
      </c>
    </row>
    <row r="10" ht="20.6" customHeight="1">
      <c r="A10" s="33">
        <v>8</v>
      </c>
      <c r="B10" t="s" s="34">
        <v>37</v>
      </c>
      <c r="C10" s="35"/>
      <c r="D10" s="36">
        <v>1</v>
      </c>
      <c r="E10" s="36" cm="1">
        <f t="array" ref="E10">D10</f>
        <v>1</v>
      </c>
      <c r="F10" s="36" cm="1">
        <f t="array" ref="F10">D10</f>
        <v>1</v>
      </c>
      <c r="G10" t="s" s="37">
        <v>19</v>
      </c>
      <c r="H10" s="36">
        <v>139426.32</v>
      </c>
      <c r="I10" s="36">
        <v>139344</v>
      </c>
      <c r="J10" s="36">
        <v>139344</v>
      </c>
      <c r="K10" s="36">
        <v>0</v>
      </c>
      <c r="L10" s="36" cm="1">
        <f t="array" ref="L10">IF(D10&gt;0,IF($D10&lt;=0,0,D10*H10),"")</f>
        <v>139426.32</v>
      </c>
      <c r="M10" s="36" cm="1">
        <f t="array" ref="M10">IF(E10&gt;0,IF($D10&lt;=0,0,ROUND(E10*I10,2)),"")</f>
        <v>139344</v>
      </c>
      <c r="N10" s="38" cm="1">
        <f t="array" ref="N10">IF(F10&gt;0,IF($D10&lt;=0,0,ROUND(F10*J10,2)),"")</f>
        <v>139344</v>
      </c>
    </row>
    <row r="11" ht="8.75" customHeight="1" hidden="1">
      <c r="A11" s="39"/>
      <c r="B11" s="40"/>
      <c r="C11" s="41"/>
      <c r="D11" s="42"/>
      <c r="E11" s="42"/>
      <c r="F11" s="42"/>
      <c r="G11" s="43"/>
      <c r="H11" s="42"/>
      <c r="I11" s="42"/>
      <c r="J11" s="42"/>
      <c r="K11" s="42"/>
      <c r="L11" s="42"/>
      <c r="M11" s="42"/>
      <c r="N11" s="44"/>
    </row>
    <row r="12" ht="8.75" customHeight="1" hidden="1">
      <c r="A12" s="39"/>
      <c r="B12" s="40"/>
      <c r="C12" s="45"/>
      <c r="D12" s="46"/>
      <c r="E12" s="46"/>
      <c r="F12" s="46"/>
      <c r="G12" s="47"/>
      <c r="H12" s="46"/>
      <c r="I12" s="46"/>
      <c r="J12" s="46"/>
      <c r="K12" s="46"/>
      <c r="L12" s="46"/>
      <c r="M12" s="46"/>
      <c r="N12" s="48"/>
    </row>
    <row r="13" ht="8.75" customHeight="1" hidden="1">
      <c r="A13" s="39"/>
      <c r="B13" s="40"/>
      <c r="C13" s="41"/>
      <c r="D13" s="42"/>
      <c r="E13" s="42"/>
      <c r="F13" s="42"/>
      <c r="G13" s="43"/>
      <c r="H13" s="42"/>
      <c r="I13" s="42"/>
      <c r="J13" s="42"/>
      <c r="K13" s="42"/>
      <c r="L13" s="42"/>
      <c r="M13" s="42"/>
      <c r="N13" s="44"/>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2"/>
      <c r="I15" s="42"/>
      <c r="J15" s="42"/>
      <c r="K15" s="42"/>
      <c r="L15" s="42"/>
      <c r="M15" s="42"/>
      <c r="N15" s="44"/>
    </row>
    <row r="16" ht="8.75" customHeight="1" hidden="1">
      <c r="A16" s="39"/>
      <c r="B16" s="40"/>
      <c r="C16" s="45"/>
      <c r="D16" s="46"/>
      <c r="E16" s="46"/>
      <c r="F16" s="46"/>
      <c r="G16" s="47"/>
      <c r="H16" s="46"/>
      <c r="I16" s="46"/>
      <c r="J16" s="46"/>
      <c r="K16" s="46"/>
      <c r="L16" s="46"/>
      <c r="M16" s="46"/>
      <c r="N16" s="48"/>
    </row>
    <row r="17" ht="8.75" customHeight="1" hidden="1">
      <c r="A17" s="39"/>
      <c r="B17" s="40"/>
      <c r="C17" s="41"/>
      <c r="D17" s="42"/>
      <c r="E17" s="42"/>
      <c r="F17" s="42"/>
      <c r="G17" s="43"/>
      <c r="H17" s="43"/>
      <c r="I17" s="43"/>
      <c r="J17" s="43"/>
      <c r="K17" s="42"/>
      <c r="L17" s="43"/>
      <c r="M17" s="43"/>
      <c r="N17" s="49"/>
    </row>
    <row r="18" ht="8.75" customHeight="1" hidden="1">
      <c r="A18" s="39"/>
      <c r="B18" s="40"/>
      <c r="C18" s="45"/>
      <c r="D18" s="46"/>
      <c r="E18" s="46"/>
      <c r="F18" s="46"/>
      <c r="G18" s="47"/>
      <c r="H18" s="50"/>
      <c r="I18" s="50"/>
      <c r="J18" s="50"/>
      <c r="K18" s="46"/>
      <c r="L18" s="46"/>
      <c r="M18" s="46"/>
      <c r="N18" s="48"/>
    </row>
    <row r="19" ht="8.75" customHeight="1" hidden="1">
      <c r="A19" s="39"/>
      <c r="B19" s="40"/>
      <c r="C19" s="41"/>
      <c r="D19" s="42"/>
      <c r="E19" s="42"/>
      <c r="F19" s="42"/>
      <c r="G19" s="43"/>
      <c r="H19" s="43"/>
      <c r="I19" s="43"/>
      <c r="J19" s="43"/>
      <c r="K19" s="42"/>
      <c r="L19" s="43"/>
      <c r="M19" s="43"/>
      <c r="N19" s="49"/>
    </row>
    <row r="20" ht="8.75" customHeight="1" hidden="1">
      <c r="A20" s="39"/>
      <c r="B20" s="40"/>
      <c r="C20" s="45"/>
      <c r="D20" s="46"/>
      <c r="E20" s="46"/>
      <c r="F20" s="46"/>
      <c r="G20" s="47"/>
      <c r="H20" s="46"/>
      <c r="I20" s="46"/>
      <c r="J20" s="46"/>
      <c r="K20" s="46"/>
      <c r="L20" s="46"/>
      <c r="M20" s="46"/>
      <c r="N20" s="48"/>
    </row>
    <row r="21" ht="8.75" customHeight="1" hidden="1">
      <c r="A21" s="39"/>
      <c r="B21" s="40"/>
      <c r="C21" s="41"/>
      <c r="D21" s="42"/>
      <c r="E21" s="42"/>
      <c r="F21" s="42"/>
      <c r="G21" s="43"/>
      <c r="H21" s="42"/>
      <c r="I21" s="42"/>
      <c r="J21" s="42"/>
      <c r="K21" s="42"/>
      <c r="L21" s="42"/>
      <c r="M21" s="42"/>
      <c r="N21" s="44"/>
    </row>
    <row r="22" ht="8.75" customHeight="1" hidden="1">
      <c r="A22" s="51"/>
      <c r="B22" s="40"/>
      <c r="C22" s="45"/>
      <c r="D22" s="46"/>
      <c r="E22" s="46"/>
      <c r="F22" s="46"/>
      <c r="G22" s="47"/>
      <c r="H22" s="46"/>
      <c r="I22" s="46"/>
      <c r="J22" s="46"/>
      <c r="K22" s="46"/>
      <c r="L22" s="46"/>
      <c r="M22" s="46"/>
      <c r="N22" s="48"/>
    </row>
    <row r="23" ht="8.75" customHeight="1" hidden="1">
      <c r="A23" s="51"/>
      <c r="B23" s="40"/>
      <c r="C23" s="41"/>
      <c r="D23" s="42"/>
      <c r="E23" s="42"/>
      <c r="F23" s="42"/>
      <c r="G23" s="43"/>
      <c r="H23" s="42"/>
      <c r="I23" s="42"/>
      <c r="J23" s="42"/>
      <c r="K23" s="42"/>
      <c r="L23" s="42"/>
      <c r="M23" s="42"/>
      <c r="N23" s="44"/>
    </row>
    <row r="24" ht="8.75" customHeight="1" hidden="1">
      <c r="A24" s="39"/>
      <c r="B24" s="40"/>
      <c r="C24" s="45"/>
      <c r="D24" s="46"/>
      <c r="E24" s="46"/>
      <c r="F24" s="46"/>
      <c r="G24" s="47"/>
      <c r="H24" s="46"/>
      <c r="I24" s="46"/>
      <c r="J24" s="46"/>
      <c r="K24" s="46"/>
      <c r="L24" s="47"/>
      <c r="M24" s="47"/>
      <c r="N24" s="52"/>
    </row>
    <row r="25" ht="8.75" customHeight="1" hidden="1">
      <c r="A25" s="39"/>
      <c r="B25" s="40"/>
      <c r="C25" s="41"/>
      <c r="D25" s="42"/>
      <c r="E25" s="42"/>
      <c r="F25" s="42"/>
      <c r="G25" s="43"/>
      <c r="H25" s="42"/>
      <c r="I25" s="42"/>
      <c r="J25" s="42"/>
      <c r="K25" s="42"/>
      <c r="L25" s="42"/>
      <c r="M25" s="42"/>
      <c r="N25" s="44"/>
    </row>
    <row r="26" ht="8.75" customHeight="1" hidden="1">
      <c r="A26" s="39"/>
      <c r="B26" s="40"/>
      <c r="C26" s="45"/>
      <c r="D26" s="46"/>
      <c r="E26" s="46"/>
      <c r="F26" s="46"/>
      <c r="G26" s="47"/>
      <c r="H26" s="46"/>
      <c r="I26" s="46"/>
      <c r="J26" s="46"/>
      <c r="K26" s="46"/>
      <c r="L26" s="47"/>
      <c r="M26" s="47"/>
      <c r="N26" s="52"/>
    </row>
    <row r="27" ht="20.85" customHeight="1">
      <c r="A27" s="108"/>
      <c r="B27" s="54"/>
      <c r="C27" s="54"/>
      <c r="D27" s="55"/>
      <c r="E27" s="55"/>
      <c r="F27" s="55"/>
      <c r="G27" s="56"/>
      <c r="H27" s="56"/>
      <c r="I27" s="54"/>
      <c r="J27" s="57"/>
      <c r="K27" t="s" s="58">
        <v>38</v>
      </c>
      <c r="L27" s="59" cm="1">
        <f t="array" ref="L27">SUM(L1:L26)</f>
        <v>58233726.32</v>
      </c>
      <c r="M27" s="59" cm="1">
        <f t="array" ref="M27">SUM(M1:M26)</f>
        <v>58199344</v>
      </c>
      <c r="N27" s="59" cm="1">
        <f t="array" ref="N27">SUM(N1:N26)</f>
        <v>58199344</v>
      </c>
    </row>
    <row r="28" ht="21" customHeight="1">
      <c r="A28" s="63" cm="1">
        <f t="array" ref="A28">ROUND(IF(I28&lt;=100000000,I28*0.24%,IF(AND(I28&gt;100000000,I28&lt;=500000000),100000000*0.24%+(I28-100000000)*0.19%,IF(AND(I28&gt;500000000,I28&lt;=1000000000),100000000*0.24%+400000000*0.19%+(I28-500000000)*0.15%,IF(AND(I28&gt;1000000000,I28&lt;=5000000000),100000000*0.24%+400000000*0.19%+500000000*0.15%+(I28-1000000000)*0.12%,IF(I28&gt;5000000000,100000000*0.24%+400000000*0.19%+500000000*0.15%+4000000000*0.12%+(I28-5000000000)*0.1%,"Bingung komputer"))))),2)</f>
        <v>0</v>
      </c>
      <c r="B28" t="s" s="109">
        <v>39</v>
      </c>
      <c r="C28" s="62"/>
      <c r="D28" s="63" cm="1">
        <f t="array" ref="D28">ROUND(IF(L28&lt;=100000000,L28*0.24%,IF(AND(L28&gt;100000000,L28&lt;=500000000),100000000*0.24%+(L28-100000000)*0.19%,IF(AND(L28&gt;500000000,L28&lt;=1000000000),100000000*0.24%+400000000*0.19%+(L28-500000000)*0.15%,IF(AND(L28&gt;1000000000,L28&lt;=5000000000),100000000*0.24%+400000000*0.19%+500000000*0.15%+(L28-1000000000)*0.12%,IF(L28&gt;5000000000,100000000*0.24%+400000000*0.19%+500000000*0.15%+4000000000*0.12%+(L28-5000000000)*0.1%,"Bingung komputer"))))),2)</f>
        <v>139426.32</v>
      </c>
      <c r="E28" s="64" cm="1">
        <f t="array" ref="E28">ROUND(IF(M28&lt;=100000000,M28*0.24%,IF(AND(M28&gt;100000000,M28&lt;=500000000),100000000*0.24%+(M28-100000000)*0.19%,IF(AND(M28&gt;500000000,M28&lt;=1000000000),100000000*0.24%+400000000*0.19%+(M28-500000000)*0.15%,IF(AND(M28&gt;1000000000,M28&lt;=5000000000),100000000*0.24%+400000000*0.19%+500000000*0.15%+(M28-1000000000)*0.12%,IF(M28&gt;5000000000,100000000*0.24%+400000000*0.19%+500000000*0.15%+4000000000*0.12%+(M28-5000000000)*0.1%,"Bingung komputer"))))),2)</f>
        <v>139344</v>
      </c>
      <c r="F28" s="64" cm="1">
        <f t="array" ref="F28">ROUND(IF(N28&lt;=100000000,N28*0.24%,IF(AND(N28&gt;100000000,N28&lt;=500000000),100000000*0.24%+(N28-100000000)*0.19%,IF(AND(N28&gt;500000000,N28&lt;=1000000000),100000000*0.24%+400000000*0.19%+(N28-500000000)*0.15%,IF(AND(N28&gt;1000000000,N28&lt;=5000000000),100000000*0.24%+400000000*0.19%+500000000*0.15%+(N28-1000000000)*0.12%,IF(N28&gt;5000000000,100000000*0.24%+400000000*0.19%+500000000*0.15%+4000000000*0.12%+(N28-5000000000)*0.1%,"Bingung komputer"))))),2)</f>
        <v>139344</v>
      </c>
      <c r="G28" s="65"/>
      <c r="H28" s="66"/>
      <c r="I28" s="68"/>
      <c r="J28" s="67"/>
      <c r="K28" t="str" s="67" cm="1">
        <f t="array" ref="K28">"Jumlah Terkena Pajak "&amp;MAX(K3:K26)&amp;"% (B)"</f>
        <v>Jumlah Terkena Pajak 11,00% (B)</v>
      </c>
      <c r="L28" s="68" cm="1">
        <f t="array" ref="L28">SUMIF($K3:$K26,"&gt;0",L3:L26)</f>
        <v>58094300</v>
      </c>
      <c r="M28" s="69" cm="1">
        <f t="array" ref="M28">SUMIF($K3:$K26,"&gt;0",M3:M26)</f>
        <v>58060000</v>
      </c>
      <c r="N28" s="69" cm="1">
        <f t="array" ref="N28">SUMIF($K3:$K26,"&gt;0",N3:N26)</f>
        <v>58060000</v>
      </c>
    </row>
    <row r="29" ht="21" customHeight="1">
      <c r="A29" s="70"/>
      <c r="B29" s="71"/>
      <c r="C29" s="71"/>
      <c r="D29" s="72"/>
      <c r="E29" s="72"/>
      <c r="F29" s="71"/>
      <c r="G29" s="72"/>
      <c r="H29" s="72"/>
      <c r="I29" s="74"/>
      <c r="J29" s="73"/>
      <c r="K29" t="str" s="73" cm="1">
        <f t="array" ref="K29">"PPN (C) = "&amp;MAX(K3:K26)&amp;"% x B"</f>
        <v>PPN (C) = 11,00% x B</v>
      </c>
      <c r="L29" s="74" cm="1">
        <f t="array" ref="L29">L28*MAX($K3:$K26)%</f>
        <v>6390373</v>
      </c>
      <c r="M29" s="69" cm="1">
        <f t="array" ref="M29">M28*MAX($K3:$K26)%</f>
        <v>6386600</v>
      </c>
      <c r="N29" s="69" cm="1">
        <f t="array" ref="N29">N28*MAX($K3:$K26)%</f>
        <v>6386600</v>
      </c>
    </row>
    <row r="30" ht="21" customHeight="1">
      <c r="A30" s="70"/>
      <c r="B30" s="71"/>
      <c r="C30" s="71"/>
      <c r="D30" t="s" s="110">
        <v>116</v>
      </c>
      <c r="E30" s="112">
        <v>64625508</v>
      </c>
      <c r="F30" s="112">
        <v>64485000</v>
      </c>
      <c r="G30" s="72"/>
      <c r="H30" s="72"/>
      <c r="I30" s="71"/>
      <c r="J30" s="73"/>
      <c r="K30" t="s" s="75">
        <v>42</v>
      </c>
      <c r="L30" s="76" cm="1">
        <f t="array" ref="L30">L27+L29</f>
        <v>64624099.32</v>
      </c>
      <c r="M30" s="69" cm="1">
        <f t="array" ref="M30">M27+M29</f>
        <v>64585944</v>
      </c>
      <c r="N30" s="69" cm="1">
        <f t="array" ref="N30">N27+N29</f>
        <v>64585944</v>
      </c>
    </row>
    <row r="31" ht="20.5" customHeight="1">
      <c r="A31" s="70"/>
      <c r="B31" s="71"/>
      <c r="C31" s="71"/>
      <c r="D31" s="72"/>
      <c r="E31" s="72" cm="1">
        <f t="array" ref="E31">E$30-L$31</f>
        <v>1408.68</v>
      </c>
      <c r="F31" s="113" cm="1">
        <f t="array" ref="F31">ROUNDDOWN(E$30-D$28,2)</f>
        <v>64486081.68</v>
      </c>
      <c r="G31" s="72"/>
      <c r="H31" s="72"/>
      <c r="I31" s="71"/>
      <c r="J31" s="73"/>
      <c r="K31" t="s" s="75">
        <v>43</v>
      </c>
      <c r="L31" s="68" cm="1">
        <f t="array" ref="L31">ROUNDDOWN(L30,2)</f>
        <v>64624099.32</v>
      </c>
      <c r="M31" s="68" cm="1">
        <f t="array" ref="M31">ROUNDDOWN(M30,2)</f>
        <v>64585944</v>
      </c>
      <c r="N31" s="68" cm="1">
        <f t="array" ref="N31">ROUNDDOWN(N30,-3)</f>
        <v>64585000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09.xml><?xml version="1.0" encoding="utf-8"?>
<worksheet xmlns:r="http://schemas.openxmlformats.org/officeDocument/2006/relationships" xmlns="http://schemas.openxmlformats.org/spreadsheetml/2006/main">
  <sheetPr>
    <pageSetUpPr fitToPage="1"/>
  </sheetPr>
  <dimension ref="A1:N31"/>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301" customWidth="1"/>
    <col min="2" max="2" width="43.0312" style="301" customWidth="1"/>
    <col min="3" max="3" width="2.75" style="301" customWidth="1"/>
    <col min="4" max="6" width="10.3672" style="301" customWidth="1"/>
    <col min="7" max="7" width="11.6875" style="301" customWidth="1"/>
    <col min="8" max="11" width="13.5156" style="301" customWidth="1"/>
    <col min="12" max="14" width="14.2344" style="301" customWidth="1"/>
    <col min="15" max="16384" width="16.3516" style="301"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109</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s="95">
        <v>1</v>
      </c>
      <c r="B4" t="s" s="19">
        <v>110</v>
      </c>
      <c r="C4" s="20"/>
      <c r="D4" s="21">
        <v>1</v>
      </c>
      <c r="E4" s="21" cm="1">
        <f t="array" ref="E4">D4</f>
        <v>1</v>
      </c>
      <c r="F4" s="21" cm="1">
        <f t="array" ref="F4">D4</f>
        <v>1</v>
      </c>
      <c r="G4" t="s" s="22">
        <v>19</v>
      </c>
      <c r="H4" s="21" cm="1">
        <f t="array" ref="H4">ROUNDDOWN((F$30*0.1)*100/111,-2)</f>
        <v>2022600</v>
      </c>
      <c r="I4" s="21">
        <v>2000000</v>
      </c>
      <c r="J4" s="21">
        <v>2000000</v>
      </c>
      <c r="K4" s="21">
        <v>11</v>
      </c>
      <c r="L4" s="21" cm="1">
        <f t="array" ref="L4">IF(D4&gt;0,IF($D4&lt;=0,0,D4*H4),"")</f>
        <v>2022600</v>
      </c>
      <c r="M4" s="21" cm="1">
        <f t="array" ref="M4">IF(E4&gt;0,IF($D4&lt;=0,0,ROUND(E4*I4,2)),"")</f>
        <v>2000000</v>
      </c>
      <c r="N4" s="23" cm="1">
        <f t="array" ref="N4">IF(F4&gt;0,IF($D4&lt;=0,0,ROUND(F4*J4,2)),"")</f>
        <v>2000000</v>
      </c>
    </row>
    <row r="5" ht="20.5" customHeight="1">
      <c r="A5" s="95">
        <v>2</v>
      </c>
      <c r="B5" t="s" s="19">
        <v>111</v>
      </c>
      <c r="C5" s="24"/>
      <c r="D5" s="26">
        <v>1</v>
      </c>
      <c r="E5" s="26" cm="1">
        <f t="array" ref="E5">D5</f>
        <v>1</v>
      </c>
      <c r="F5" s="26" cm="1">
        <f t="array" ref="F5">D5</f>
        <v>1</v>
      </c>
      <c r="G5" t="s" s="27">
        <v>19</v>
      </c>
      <c r="H5" s="26" cm="1">
        <f t="array" ref="H5">ROUNDDOWN((F$30*0.2)*100/111,-2)</f>
        <v>4045200</v>
      </c>
      <c r="I5" s="26">
        <v>4280000</v>
      </c>
      <c r="J5" s="26">
        <v>4280000</v>
      </c>
      <c r="K5" s="26">
        <v>11</v>
      </c>
      <c r="L5" s="26" cm="1">
        <f t="array" ref="L5">IF(D5&gt;0,IF($D5&lt;=0,0,D5*H5),"")</f>
        <v>4045200</v>
      </c>
      <c r="M5" s="26" cm="1">
        <f t="array" ref="M5">IF(E5&gt;0,IF($D5&lt;=0,0,ROUND(E5*I5,2)),"")</f>
        <v>4280000</v>
      </c>
      <c r="N5" s="28" cm="1">
        <f t="array" ref="N5">IF(F5&gt;0,IF($D5&lt;=0,0,ROUND(F5*J5,2)),"")</f>
        <v>4280000</v>
      </c>
    </row>
    <row r="6" ht="20.5" customHeight="1">
      <c r="A6" s="95">
        <v>3</v>
      </c>
      <c r="B6" t="s" s="19">
        <v>112</v>
      </c>
      <c r="C6" s="20"/>
      <c r="D6" s="21">
        <v>1</v>
      </c>
      <c r="E6" s="21" cm="1">
        <f t="array" ref="E6">D6</f>
        <v>1</v>
      </c>
      <c r="F6" s="21" cm="1">
        <f t="array" ref="F6">D6</f>
        <v>1</v>
      </c>
      <c r="G6" t="s" s="22">
        <v>19</v>
      </c>
      <c r="H6" s="21" cm="1">
        <f t="array" ref="H6">ROUNDDOWN((F$30*0.25)*100/111,-2)</f>
        <v>5056500</v>
      </c>
      <c r="I6" s="21">
        <v>4900000</v>
      </c>
      <c r="J6" s="21">
        <v>4900000</v>
      </c>
      <c r="K6" s="21">
        <v>11</v>
      </c>
      <c r="L6" s="21" cm="1">
        <f t="array" ref="L6">IF(D6&gt;0,IF($D6&lt;=0,0,D6*H6),"")</f>
        <v>5056500</v>
      </c>
      <c r="M6" s="21" cm="1">
        <f t="array" ref="M6">IF(E6&gt;0,IF($D6&lt;=0,0,ROUND(E6*I6,2)),"")</f>
        <v>4900000</v>
      </c>
      <c r="N6" s="23" cm="1">
        <f t="array" ref="N6">IF(F6&gt;0,IF($D6&lt;=0,0,ROUND(F6*J6,2)),"")</f>
        <v>4900000</v>
      </c>
    </row>
    <row r="7" ht="68.5" customHeight="1">
      <c r="A7" s="95">
        <v>5</v>
      </c>
      <c r="B7" t="s" s="19">
        <v>113</v>
      </c>
      <c r="C7" s="24"/>
      <c r="D7" s="26">
        <v>1</v>
      </c>
      <c r="E7" s="26" cm="1">
        <f t="array" ref="E7">D7</f>
        <v>1</v>
      </c>
      <c r="F7" s="26" cm="1">
        <f t="array" ref="F7">D7</f>
        <v>1</v>
      </c>
      <c r="G7" t="s" s="27">
        <v>19</v>
      </c>
      <c r="H7" s="26" cm="1">
        <f t="array" ref="H7">ROUNDDOWN((F$30*0.25)*100/111,-2)</f>
        <v>5056500</v>
      </c>
      <c r="I7" s="26">
        <v>5000000</v>
      </c>
      <c r="J7" s="26">
        <v>5000000</v>
      </c>
      <c r="K7" s="26">
        <v>11</v>
      </c>
      <c r="L7" s="26" cm="1">
        <f t="array" ref="L7">IF(D7&gt;0,IF($D7&lt;=0,0,D7*H7),"")</f>
        <v>5056500</v>
      </c>
      <c r="M7" s="26" cm="1">
        <f t="array" ref="M7">IF(E7&gt;0,IF($D7&lt;=0,0,ROUND(E7*I7,2)),"")</f>
        <v>5000000</v>
      </c>
      <c r="N7" s="28" cm="1">
        <f t="array" ref="N7">IF(F7&gt;0,IF($D7&lt;=0,0,ROUND(F7*J7,2)),"")</f>
        <v>5000000</v>
      </c>
    </row>
    <row r="8" ht="32.5" customHeight="1">
      <c r="A8" s="95">
        <v>6</v>
      </c>
      <c r="B8" t="s" s="19">
        <v>114</v>
      </c>
      <c r="C8" s="20"/>
      <c r="D8" s="21">
        <v>1</v>
      </c>
      <c r="E8" s="21" cm="1">
        <f t="array" ref="E8">D8</f>
        <v>1</v>
      </c>
      <c r="F8" s="21" cm="1">
        <f t="array" ref="F8">D8</f>
        <v>1</v>
      </c>
      <c r="G8" t="s" s="22">
        <v>19</v>
      </c>
      <c r="H8" s="21" cm="1">
        <f t="array" ref="H8">ROUNDDOWN((F$30*0.05)*100/111,-2)</f>
        <v>1011300</v>
      </c>
      <c r="I8" s="21">
        <v>1000000</v>
      </c>
      <c r="J8" s="21">
        <v>1000000</v>
      </c>
      <c r="K8" s="21">
        <v>11</v>
      </c>
      <c r="L8" s="21" cm="1">
        <f t="array" ref="L8">IF(D8&gt;0,IF($D8&lt;=0,0,D8*H8),"")</f>
        <v>1011300</v>
      </c>
      <c r="M8" s="21" cm="1">
        <f t="array" ref="M8">IF(E8&gt;0,IF($D8&lt;=0,0,ROUND(E8*I8,2)),"")</f>
        <v>1000000</v>
      </c>
      <c r="N8" s="23" cm="1">
        <f t="array" ref="N8">IF(F8&gt;0,IF($D8&lt;=0,0,ROUND(F8*J8,2)),"")</f>
        <v>1000000</v>
      </c>
    </row>
    <row r="9" ht="20.5" customHeight="1">
      <c r="A9" s="95">
        <v>7</v>
      </c>
      <c r="B9" t="s" s="19">
        <v>115</v>
      </c>
      <c r="C9" s="24"/>
      <c r="D9" s="26">
        <v>1</v>
      </c>
      <c r="E9" s="26" cm="1">
        <f t="array" ref="E9">D9</f>
        <v>1</v>
      </c>
      <c r="F9" s="26" cm="1">
        <f t="array" ref="F9">D9</f>
        <v>1</v>
      </c>
      <c r="G9" t="s" s="27">
        <v>19</v>
      </c>
      <c r="H9" s="26" cm="1">
        <f t="array" ref="H9">ROUNDDOWN((F$30*0.15)*100/111,-2)</f>
        <v>3033900</v>
      </c>
      <c r="I9" s="26">
        <v>3000000</v>
      </c>
      <c r="J9" s="26">
        <v>3000000</v>
      </c>
      <c r="K9" s="26">
        <v>11</v>
      </c>
      <c r="L9" s="26" cm="1">
        <f t="array" ref="L9">IF(D9&gt;0,IF($D9&lt;=0,0,D9*H9),"")</f>
        <v>3033900</v>
      </c>
      <c r="M9" s="26" cm="1">
        <f t="array" ref="M9">IF(E9&gt;0,IF($D9&lt;=0,0,ROUND(E9*I9,2)),"")</f>
        <v>3000000</v>
      </c>
      <c r="N9" s="28" cm="1">
        <f t="array" ref="N9">IF(F9&gt;0,IF($D9&lt;=0,0,ROUND(F9*J9,2)),"")</f>
        <v>3000000</v>
      </c>
    </row>
    <row r="10" ht="20.6" customHeight="1">
      <c r="A10" s="33">
        <v>8</v>
      </c>
      <c r="B10" t="s" s="34">
        <v>37</v>
      </c>
      <c r="C10" s="35"/>
      <c r="D10" s="36">
        <v>1</v>
      </c>
      <c r="E10" s="36" cm="1">
        <f t="array" ref="E10">D10</f>
        <v>1</v>
      </c>
      <c r="F10" s="36" cm="1">
        <f t="array" ref="F10">D10</f>
        <v>1</v>
      </c>
      <c r="G10" t="s" s="37">
        <v>19</v>
      </c>
      <c r="H10" s="36">
        <v>48542.4</v>
      </c>
      <c r="I10" s="36">
        <v>48432</v>
      </c>
      <c r="J10" s="36">
        <v>48432</v>
      </c>
      <c r="K10" s="36">
        <v>0</v>
      </c>
      <c r="L10" s="36" cm="1">
        <f t="array" ref="L10">IF(D10&gt;0,IF($D10&lt;=0,0,D10*H10),"")</f>
        <v>48542.4</v>
      </c>
      <c r="M10" s="36" cm="1">
        <f t="array" ref="M10">IF(E10&gt;0,IF($D10&lt;=0,0,ROUND(E10*I10,2)),"")</f>
        <v>48432</v>
      </c>
      <c r="N10" s="38" cm="1">
        <f t="array" ref="N10">IF(F10&gt;0,IF($D10&lt;=0,0,ROUND(F10*J10,2)),"")</f>
        <v>48432</v>
      </c>
    </row>
    <row r="11" ht="8.75" customHeight="1" hidden="1">
      <c r="A11" s="39"/>
      <c r="B11" s="40"/>
      <c r="C11" s="41"/>
      <c r="D11" s="42"/>
      <c r="E11" s="42"/>
      <c r="F11" s="42"/>
      <c r="G11" s="43"/>
      <c r="H11" s="42"/>
      <c r="I11" s="42"/>
      <c r="J11" s="42"/>
      <c r="K11" s="42"/>
      <c r="L11" s="42"/>
      <c r="M11" s="42"/>
      <c r="N11" s="44"/>
    </row>
    <row r="12" ht="8.75" customHeight="1" hidden="1">
      <c r="A12" s="39"/>
      <c r="B12" s="40"/>
      <c r="C12" s="45"/>
      <c r="D12" s="46"/>
      <c r="E12" s="46"/>
      <c r="F12" s="46"/>
      <c r="G12" s="47"/>
      <c r="H12" s="46"/>
      <c r="I12" s="46"/>
      <c r="J12" s="46"/>
      <c r="K12" s="46"/>
      <c r="L12" s="46"/>
      <c r="M12" s="46"/>
      <c r="N12" s="48"/>
    </row>
    <row r="13" ht="8.75" customHeight="1" hidden="1">
      <c r="A13" s="39"/>
      <c r="B13" s="40"/>
      <c r="C13" s="41"/>
      <c r="D13" s="42"/>
      <c r="E13" s="42"/>
      <c r="F13" s="42"/>
      <c r="G13" s="43"/>
      <c r="H13" s="42"/>
      <c r="I13" s="42"/>
      <c r="J13" s="42"/>
      <c r="K13" s="42"/>
      <c r="L13" s="42"/>
      <c r="M13" s="42"/>
      <c r="N13" s="44"/>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2"/>
      <c r="I15" s="42"/>
      <c r="J15" s="42"/>
      <c r="K15" s="42"/>
      <c r="L15" s="42"/>
      <c r="M15" s="42"/>
      <c r="N15" s="44"/>
    </row>
    <row r="16" ht="8.75" customHeight="1" hidden="1">
      <c r="A16" s="39"/>
      <c r="B16" s="40"/>
      <c r="C16" s="45"/>
      <c r="D16" s="46"/>
      <c r="E16" s="46"/>
      <c r="F16" s="46"/>
      <c r="G16" s="47"/>
      <c r="H16" s="46"/>
      <c r="I16" s="46"/>
      <c r="J16" s="46"/>
      <c r="K16" s="46"/>
      <c r="L16" s="46"/>
      <c r="M16" s="46"/>
      <c r="N16" s="48"/>
    </row>
    <row r="17" ht="8.75" customHeight="1" hidden="1">
      <c r="A17" s="39"/>
      <c r="B17" s="40"/>
      <c r="C17" s="41"/>
      <c r="D17" s="42"/>
      <c r="E17" s="42"/>
      <c r="F17" s="42"/>
      <c r="G17" s="43"/>
      <c r="H17" s="43"/>
      <c r="I17" s="43"/>
      <c r="J17" s="43"/>
      <c r="K17" s="42"/>
      <c r="L17" s="43"/>
      <c r="M17" s="43"/>
      <c r="N17" s="49"/>
    </row>
    <row r="18" ht="8.75" customHeight="1" hidden="1">
      <c r="A18" s="39"/>
      <c r="B18" s="40"/>
      <c r="C18" s="45"/>
      <c r="D18" s="46"/>
      <c r="E18" s="46"/>
      <c r="F18" s="46"/>
      <c r="G18" s="47"/>
      <c r="H18" s="50"/>
      <c r="I18" s="50"/>
      <c r="J18" s="50"/>
      <c r="K18" s="46"/>
      <c r="L18" s="46"/>
      <c r="M18" s="46"/>
      <c r="N18" s="48"/>
    </row>
    <row r="19" ht="8.75" customHeight="1" hidden="1">
      <c r="A19" s="39"/>
      <c r="B19" s="40"/>
      <c r="C19" s="41"/>
      <c r="D19" s="42"/>
      <c r="E19" s="42"/>
      <c r="F19" s="42"/>
      <c r="G19" s="43"/>
      <c r="H19" s="43"/>
      <c r="I19" s="43"/>
      <c r="J19" s="43"/>
      <c r="K19" s="42"/>
      <c r="L19" s="43"/>
      <c r="M19" s="43"/>
      <c r="N19" s="49"/>
    </row>
    <row r="20" ht="8.75" customHeight="1" hidden="1">
      <c r="A20" s="39"/>
      <c r="B20" s="40"/>
      <c r="C20" s="45"/>
      <c r="D20" s="46"/>
      <c r="E20" s="46"/>
      <c r="F20" s="46"/>
      <c r="G20" s="47"/>
      <c r="H20" s="46"/>
      <c r="I20" s="46"/>
      <c r="J20" s="46"/>
      <c r="K20" s="46"/>
      <c r="L20" s="46"/>
      <c r="M20" s="46"/>
      <c r="N20" s="48"/>
    </row>
    <row r="21" ht="8.75" customHeight="1" hidden="1">
      <c r="A21" s="39"/>
      <c r="B21" s="40"/>
      <c r="C21" s="41"/>
      <c r="D21" s="42"/>
      <c r="E21" s="42"/>
      <c r="F21" s="42"/>
      <c r="G21" s="43"/>
      <c r="H21" s="42"/>
      <c r="I21" s="42"/>
      <c r="J21" s="42"/>
      <c r="K21" s="42"/>
      <c r="L21" s="42"/>
      <c r="M21" s="42"/>
      <c r="N21" s="44"/>
    </row>
    <row r="22" ht="8.75" customHeight="1" hidden="1">
      <c r="A22" s="51"/>
      <c r="B22" s="40"/>
      <c r="C22" s="45"/>
      <c r="D22" s="46"/>
      <c r="E22" s="46"/>
      <c r="F22" s="46"/>
      <c r="G22" s="47"/>
      <c r="H22" s="46"/>
      <c r="I22" s="46"/>
      <c r="J22" s="46"/>
      <c r="K22" s="46"/>
      <c r="L22" s="46"/>
      <c r="M22" s="46"/>
      <c r="N22" s="48"/>
    </row>
    <row r="23" ht="8.75" customHeight="1" hidden="1">
      <c r="A23" s="51"/>
      <c r="B23" s="40"/>
      <c r="C23" s="41"/>
      <c r="D23" s="42"/>
      <c r="E23" s="42"/>
      <c r="F23" s="42"/>
      <c r="G23" s="43"/>
      <c r="H23" s="42"/>
      <c r="I23" s="42"/>
      <c r="J23" s="42"/>
      <c r="K23" s="42"/>
      <c r="L23" s="42"/>
      <c r="M23" s="42"/>
      <c r="N23" s="44"/>
    </row>
    <row r="24" ht="8.75" customHeight="1" hidden="1">
      <c r="A24" s="39"/>
      <c r="B24" s="40"/>
      <c r="C24" s="45"/>
      <c r="D24" s="46"/>
      <c r="E24" s="46"/>
      <c r="F24" s="46"/>
      <c r="G24" s="47"/>
      <c r="H24" s="46"/>
      <c r="I24" s="46"/>
      <c r="J24" s="46"/>
      <c r="K24" s="46"/>
      <c r="L24" s="47"/>
      <c r="M24" s="47"/>
      <c r="N24" s="52"/>
    </row>
    <row r="25" ht="8.75" customHeight="1" hidden="1">
      <c r="A25" s="39"/>
      <c r="B25" s="40"/>
      <c r="C25" s="41"/>
      <c r="D25" s="42"/>
      <c r="E25" s="42"/>
      <c r="F25" s="42"/>
      <c r="G25" s="43"/>
      <c r="H25" s="42"/>
      <c r="I25" s="42"/>
      <c r="J25" s="42"/>
      <c r="K25" s="42"/>
      <c r="L25" s="42"/>
      <c r="M25" s="42"/>
      <c r="N25" s="44"/>
    </row>
    <row r="26" ht="8.75" customHeight="1" hidden="1">
      <c r="A26" s="39"/>
      <c r="B26" s="40"/>
      <c r="C26" s="45"/>
      <c r="D26" s="46"/>
      <c r="E26" s="46"/>
      <c r="F26" s="46"/>
      <c r="G26" s="47"/>
      <c r="H26" s="46"/>
      <c r="I26" s="46"/>
      <c r="J26" s="46"/>
      <c r="K26" s="46"/>
      <c r="L26" s="47"/>
      <c r="M26" s="47"/>
      <c r="N26" s="52"/>
    </row>
    <row r="27" ht="20.85" customHeight="1">
      <c r="A27" s="108"/>
      <c r="B27" s="54"/>
      <c r="C27" s="54"/>
      <c r="D27" s="55"/>
      <c r="E27" s="55"/>
      <c r="F27" s="55"/>
      <c r="G27" s="56"/>
      <c r="H27" s="56"/>
      <c r="I27" s="54"/>
      <c r="J27" s="57"/>
      <c r="K27" t="s" s="58">
        <v>38</v>
      </c>
      <c r="L27" s="59" cm="1">
        <f t="array" ref="L27">SUM(L1:L26)</f>
        <v>20274542.4</v>
      </c>
      <c r="M27" s="59" cm="1">
        <f t="array" ref="M27">SUM(M1:M26)</f>
        <v>20228432</v>
      </c>
      <c r="N27" s="59" cm="1">
        <f t="array" ref="N27">SUM(N1:N26)</f>
        <v>20228432</v>
      </c>
    </row>
    <row r="28" ht="21" customHeight="1">
      <c r="A28" s="63" cm="1">
        <f t="array" ref="A28">ROUND(IF(I28&lt;=100000000,I28*0.24%,IF(AND(I28&gt;100000000,I28&lt;=500000000),100000000*0.24%+(I28-100000000)*0.19%,IF(AND(I28&gt;500000000,I28&lt;=1000000000),100000000*0.24%+400000000*0.19%+(I28-500000000)*0.15%,IF(AND(I28&gt;1000000000,I28&lt;=5000000000),100000000*0.24%+400000000*0.19%+500000000*0.15%+(I28-1000000000)*0.12%,IF(I28&gt;5000000000,100000000*0.24%+400000000*0.19%+500000000*0.15%+4000000000*0.12%+(I28-5000000000)*0.1%,"Bingung komputer"))))),2)</f>
        <v>0</v>
      </c>
      <c r="B28" t="s" s="109">
        <v>39</v>
      </c>
      <c r="C28" s="62"/>
      <c r="D28" s="63" cm="1">
        <f t="array" ref="D28">ROUND(IF(L28&lt;=100000000,L28*0.24%,IF(AND(L28&gt;100000000,L28&lt;=500000000),100000000*0.24%+(L28-100000000)*0.19%,IF(AND(L28&gt;500000000,L28&lt;=1000000000),100000000*0.24%+400000000*0.19%+(L28-500000000)*0.15%,IF(AND(L28&gt;1000000000,L28&lt;=5000000000),100000000*0.24%+400000000*0.19%+500000000*0.15%+(L28-1000000000)*0.12%,IF(L28&gt;5000000000,100000000*0.24%+400000000*0.19%+500000000*0.15%+4000000000*0.12%+(L28-5000000000)*0.1%,"Bingung komputer"))))),2)</f>
        <v>48542.4</v>
      </c>
      <c r="E28" s="64" cm="1">
        <f t="array" ref="E28">ROUND(IF(M28&lt;=100000000,M28*0.24%,IF(AND(M28&gt;100000000,M28&lt;=500000000),100000000*0.24%+(M28-100000000)*0.19%,IF(AND(M28&gt;500000000,M28&lt;=1000000000),100000000*0.24%+400000000*0.19%+(M28-500000000)*0.15%,IF(AND(M28&gt;1000000000,M28&lt;=5000000000),100000000*0.24%+400000000*0.19%+500000000*0.15%+(M28-1000000000)*0.12%,IF(M28&gt;5000000000,100000000*0.24%+400000000*0.19%+500000000*0.15%+4000000000*0.12%+(M28-5000000000)*0.1%,"Bingung komputer"))))),2)</f>
        <v>48432</v>
      </c>
      <c r="F28" s="64" cm="1">
        <f t="array" ref="F28">ROUND(IF(N28&lt;=100000000,N28*0.24%,IF(AND(N28&gt;100000000,N28&lt;=500000000),100000000*0.24%+(N28-100000000)*0.19%,IF(AND(N28&gt;500000000,N28&lt;=1000000000),100000000*0.24%+400000000*0.19%+(N28-500000000)*0.15%,IF(AND(N28&gt;1000000000,N28&lt;=5000000000),100000000*0.24%+400000000*0.19%+500000000*0.15%+(N28-1000000000)*0.12%,IF(N28&gt;5000000000,100000000*0.24%+400000000*0.19%+500000000*0.15%+4000000000*0.12%+(N28-5000000000)*0.1%,"Bingung komputer"))))),2)</f>
        <v>48432</v>
      </c>
      <c r="G28" s="65"/>
      <c r="H28" s="66"/>
      <c r="I28" s="68"/>
      <c r="J28" s="67"/>
      <c r="K28" t="str" s="67" cm="1">
        <f t="array" ref="K28">"Jumlah Terkena Pajak "&amp;MAX(K3:K26)&amp;"% (B)"</f>
        <v>Jumlah Terkena Pajak 11,00% (B)</v>
      </c>
      <c r="L28" s="68" cm="1">
        <f t="array" ref="L28">SUMIF($K3:$K26,"&gt;0",L3:L26)</f>
        <v>20226000</v>
      </c>
      <c r="M28" s="69" cm="1">
        <f t="array" ref="M28">SUMIF($K3:$K26,"&gt;0",M3:M26)</f>
        <v>20180000</v>
      </c>
      <c r="N28" s="69" cm="1">
        <f t="array" ref="N28">SUMIF($K3:$K26,"&gt;0",N3:N26)</f>
        <v>20180000</v>
      </c>
    </row>
    <row r="29" ht="21" customHeight="1">
      <c r="A29" s="70"/>
      <c r="B29" s="71"/>
      <c r="C29" s="71"/>
      <c r="D29" s="72"/>
      <c r="E29" s="72"/>
      <c r="F29" s="71"/>
      <c r="G29" s="72"/>
      <c r="H29" s="72"/>
      <c r="I29" s="74"/>
      <c r="J29" s="73"/>
      <c r="K29" t="str" s="73" cm="1">
        <f t="array" ref="K29">"PPN (C) = "&amp;MAX(K3:K26)&amp;"% x B"</f>
        <v>PPN (C) = 11,00% x B</v>
      </c>
      <c r="L29" s="74" cm="1">
        <f t="array" ref="L29">L28*MAX($K3:$K26)%</f>
        <v>2224860</v>
      </c>
      <c r="M29" s="69" cm="1">
        <f t="array" ref="M29">M28*MAX($K3:$K26)%</f>
        <v>2219800</v>
      </c>
      <c r="N29" s="69" cm="1">
        <f t="array" ref="N29">N28*MAX($K3:$K26)%</f>
        <v>2219800</v>
      </c>
    </row>
    <row r="30" ht="21" customHeight="1">
      <c r="A30" s="70"/>
      <c r="B30" s="71"/>
      <c r="C30" s="71"/>
      <c r="D30" t="s" s="110">
        <v>116</v>
      </c>
      <c r="E30" s="112">
        <v>22500000</v>
      </c>
      <c r="F30" s="112">
        <v>22451000</v>
      </c>
      <c r="G30" s="72"/>
      <c r="H30" s="72"/>
      <c r="I30" s="71"/>
      <c r="J30" s="73"/>
      <c r="K30" t="s" s="75">
        <v>42</v>
      </c>
      <c r="L30" s="76" cm="1">
        <f t="array" ref="L30">L27+L29</f>
        <v>22499402.4</v>
      </c>
      <c r="M30" s="69" cm="1">
        <f t="array" ref="M30">M27+M29</f>
        <v>22448232</v>
      </c>
      <c r="N30" s="69" cm="1">
        <f t="array" ref="N30">N27+N29</f>
        <v>22448232</v>
      </c>
    </row>
    <row r="31" ht="20.5" customHeight="1">
      <c r="A31" s="70"/>
      <c r="B31" s="71"/>
      <c r="C31" s="71"/>
      <c r="D31" s="72"/>
      <c r="E31" s="72" cm="1">
        <f t="array" ref="E31">E$30-L$31</f>
        <v>597.6</v>
      </c>
      <c r="F31" s="180" cm="1">
        <f t="array" ref="F31">ROUNDDOWN(E$30-D$28,2)</f>
        <v>22451457.6</v>
      </c>
      <c r="G31" s="72"/>
      <c r="H31" s="72"/>
      <c r="I31" s="71"/>
      <c r="J31" s="73"/>
      <c r="K31" t="s" s="75">
        <v>43</v>
      </c>
      <c r="L31" s="68" cm="1">
        <f t="array" ref="L31">ROUNDDOWN(L30,2)</f>
        <v>22499402.4</v>
      </c>
      <c r="M31" s="68" cm="1">
        <f t="array" ref="M31">ROUNDDOWN(M30,2)</f>
        <v>22448232</v>
      </c>
      <c r="N31" s="68" cm="1">
        <f t="array" ref="N31">ROUNDDOWN(N30,-3)</f>
        <v>22448000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10.xml><?xml version="1.0" encoding="utf-8"?>
<worksheet xmlns:r="http://schemas.openxmlformats.org/officeDocument/2006/relationships" xmlns="http://schemas.openxmlformats.org/spreadsheetml/2006/main">
  <sheetPr>
    <pageSetUpPr fitToPage="1"/>
  </sheetPr>
  <dimension ref="A1:N38"/>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302" customWidth="1"/>
    <col min="2" max="2" width="43.0312" style="302" customWidth="1"/>
    <col min="3" max="3" width="2.75" style="302" customWidth="1"/>
    <col min="4" max="6" width="10.3672" style="302" customWidth="1"/>
    <col min="7" max="7" width="11.6875" style="302" customWidth="1"/>
    <col min="8" max="11" width="13.5156" style="302" customWidth="1"/>
    <col min="12" max="14" width="14.2344" style="302" customWidth="1"/>
    <col min="15" max="16384" width="16.3516" style="302"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16</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t="s" s="18">
        <v>17</v>
      </c>
      <c r="B4" t="s" s="19">
        <v>18</v>
      </c>
      <c r="C4" s="20"/>
      <c r="D4" s="21">
        <v>1</v>
      </c>
      <c r="E4" s="21" cm="1">
        <f t="array" ref="E4">D4</f>
        <v>1</v>
      </c>
      <c r="F4" s="21" cm="1">
        <f t="array" ref="F4">D4</f>
        <v>1</v>
      </c>
      <c r="G4" t="s" s="22">
        <v>19</v>
      </c>
      <c r="H4" s="21">
        <v>3749000</v>
      </c>
      <c r="I4" s="21">
        <v>3691500</v>
      </c>
      <c r="J4" s="21">
        <v>3691500</v>
      </c>
      <c r="K4" s="21">
        <v>11</v>
      </c>
      <c r="L4" s="21" cm="1">
        <f t="array" ref="L4">IF(D4&gt;0,IF($D4&lt;=0,0,D4*H4),"")</f>
        <v>3749000</v>
      </c>
      <c r="M4" s="21" cm="1">
        <f t="array" ref="M4">IF(E4&gt;0,IF($D4&lt;=0,0,ROUND(E4*I4,2)),"")</f>
        <v>3691500</v>
      </c>
      <c r="N4" s="23" cm="1">
        <f t="array" ref="N4">IF(F4&gt;0,IF($D4&lt;=0,0,ROUND(F4*J4,2)),"")</f>
        <v>3691500</v>
      </c>
    </row>
    <row r="5" ht="20.5" customHeight="1">
      <c r="A5" t="s" s="18">
        <v>20</v>
      </c>
      <c r="B5" t="s" s="19">
        <v>21</v>
      </c>
      <c r="C5" s="24"/>
      <c r="D5" s="25">
        <v>1</v>
      </c>
      <c r="E5" s="26" cm="1">
        <f t="array" ref="E5">D5</f>
        <v>1</v>
      </c>
      <c r="F5" s="26" cm="1">
        <f t="array" ref="F5">D5</f>
        <v>1</v>
      </c>
      <c r="G5" t="s" s="27">
        <v>19</v>
      </c>
      <c r="H5" s="26">
        <v>660000</v>
      </c>
      <c r="I5" s="26">
        <v>590000</v>
      </c>
      <c r="J5" s="26">
        <v>590000</v>
      </c>
      <c r="K5" s="26">
        <v>11</v>
      </c>
      <c r="L5" s="26" cm="1">
        <f t="array" ref="L5">IF(D5&gt;0,IF($D5&lt;=0,0,D5*H5),"")</f>
        <v>660000</v>
      </c>
      <c r="M5" s="26" cm="1">
        <f t="array" ref="M5">IF(E5&gt;0,IF($D5&lt;=0,0,ROUND(E5*I5,2)),"")</f>
        <v>590000</v>
      </c>
      <c r="N5" s="28" cm="1">
        <f t="array" ref="N5">IF(F5&gt;0,IF($D5&lt;=0,0,ROUND(F5*J5,2)),"")</f>
        <v>590000</v>
      </c>
    </row>
    <row r="6" ht="20.5" customHeight="1">
      <c r="A6" t="s" s="18">
        <v>22</v>
      </c>
      <c r="B6" t="s" s="19">
        <v>23</v>
      </c>
      <c r="C6" s="20"/>
      <c r="D6" s="21">
        <v>1</v>
      </c>
      <c r="E6" s="21" cm="1">
        <f t="array" ref="E6">D6</f>
        <v>1</v>
      </c>
      <c r="F6" s="21" cm="1">
        <f t="array" ref="F6">D6</f>
        <v>1</v>
      </c>
      <c r="G6" t="s" s="22">
        <v>19</v>
      </c>
      <c r="H6" s="21">
        <v>300000</v>
      </c>
      <c r="I6" s="21">
        <v>280000</v>
      </c>
      <c r="J6" s="21">
        <v>280000</v>
      </c>
      <c r="K6" s="21">
        <v>11</v>
      </c>
      <c r="L6" s="21" cm="1">
        <f t="array" ref="L6">IF(D6&gt;0,IF($D6&lt;=0,0,D6*H6),"")</f>
        <v>300000</v>
      </c>
      <c r="M6" s="21" cm="1">
        <f t="array" ref="M6">IF(E6&gt;0,IF($D6&lt;=0,0,ROUND(E6*I6,2)),"")</f>
        <v>280000</v>
      </c>
      <c r="N6" s="23" cm="1">
        <f t="array" ref="N6">IF(F6&gt;0,IF($D6&lt;=0,0,ROUND(F6*J6,2)),"")</f>
        <v>280000</v>
      </c>
    </row>
    <row r="7" ht="20.5" customHeight="1">
      <c r="A7" s="29"/>
      <c r="B7" t="s" s="19">
        <v>28</v>
      </c>
      <c r="C7" s="24"/>
      <c r="D7" s="30"/>
      <c r="E7" s="26"/>
      <c r="F7" s="26"/>
      <c r="G7" s="30"/>
      <c r="H7" s="26"/>
      <c r="I7" s="30"/>
      <c r="J7" s="30"/>
      <c r="K7" s="26"/>
      <c r="L7" t="str" s="30" cm="1">
        <f t="array" ref="L7">IF(D7&gt;0,IF($D7&lt;=0,0,D7*H7),"")</f>
      </c>
      <c r="M7" t="str" s="30" cm="1">
        <f t="array" ref="M7">IF(E7&gt;0,IF($D7&lt;=0,0,ROUND(E7*I7,2)),"")</f>
      </c>
      <c r="N7" t="str" s="31" cm="1">
        <f t="array" ref="N7">IF(F7&gt;0,IF($D7&lt;=0,0,ROUND(F7*J7,2)),"")</f>
      </c>
    </row>
    <row r="8" ht="20.5" customHeight="1">
      <c r="A8" t="s" s="18">
        <v>31</v>
      </c>
      <c r="B8" t="s" s="19">
        <v>32</v>
      </c>
      <c r="C8" s="20"/>
      <c r="D8" s="78">
        <v>3</v>
      </c>
      <c r="E8" s="21" cm="1">
        <f t="array" ref="E8">D8</f>
        <v>3</v>
      </c>
      <c r="F8" s="21" cm="1">
        <f t="array" ref="F8">D8</f>
        <v>3</v>
      </c>
      <c r="G8" t="s" s="22">
        <v>27</v>
      </c>
      <c r="H8" s="21">
        <v>173466.37</v>
      </c>
      <c r="I8" s="21">
        <v>173450.12</v>
      </c>
      <c r="J8" s="21">
        <v>173450.12</v>
      </c>
      <c r="K8" s="21">
        <v>11</v>
      </c>
      <c r="L8" s="21" cm="1">
        <f t="array" ref="L8">IF(D8&gt;0,IF($D8&lt;=0,0,D8*H8),"")</f>
        <v>520399.11</v>
      </c>
      <c r="M8" s="21" cm="1">
        <f t="array" ref="M8">IF(E8&gt;0,IF($D8&lt;=0,0,ROUND(E8*I8,2)),"")</f>
        <v>520350.36</v>
      </c>
      <c r="N8" s="23" cm="1">
        <f t="array" ref="N8">IF(F8&gt;0,IF($D8&lt;=0,0,ROUND(F8*J8,2)),"")</f>
        <v>520350.36</v>
      </c>
    </row>
    <row r="9" ht="20.5" customHeight="1">
      <c r="A9" s="29"/>
      <c r="B9" t="s" s="19">
        <v>92</v>
      </c>
      <c r="C9" s="24"/>
      <c r="D9" s="30"/>
      <c r="E9" s="26"/>
      <c r="F9" s="26"/>
      <c r="G9" s="30"/>
      <c r="H9" s="26"/>
      <c r="I9" s="30"/>
      <c r="J9" s="30"/>
      <c r="K9" s="26"/>
      <c r="L9" t="str" s="30" cm="1">
        <f t="array" ref="L9">IF(D9&gt;0,IF($D9&lt;=0,0,D9*H9),"")</f>
      </c>
      <c r="M9" t="str" s="30" cm="1">
        <f t="array" ref="M9">IF(E9&gt;0,IF($D9&lt;=0,0,ROUND(E9*I9,2)),"")</f>
      </c>
      <c r="N9" t="str" s="31" cm="1">
        <f t="array" ref="N9">IF(F9&gt;0,IF($D9&lt;=0,0,ROUND(F9*J9,2)),"")</f>
      </c>
    </row>
    <row r="10" ht="20.5" customHeight="1">
      <c r="A10" t="s" s="18">
        <v>157</v>
      </c>
      <c r="B10" t="s" s="19">
        <v>158</v>
      </c>
      <c r="C10" s="20"/>
      <c r="D10" s="78">
        <v>18.96</v>
      </c>
      <c r="E10" s="21" cm="1">
        <f t="array" ref="E10">D10</f>
        <v>18.96</v>
      </c>
      <c r="F10" s="21" cm="1">
        <f t="array" ref="F10">D10</f>
        <v>18.96</v>
      </c>
      <c r="G10" t="s" s="22">
        <v>27</v>
      </c>
      <c r="H10" s="21">
        <v>1759504</v>
      </c>
      <c r="I10" s="21">
        <v>1759129.22</v>
      </c>
      <c r="J10" s="21">
        <v>1759129.22</v>
      </c>
      <c r="K10" s="21">
        <v>11</v>
      </c>
      <c r="L10" s="21" cm="1">
        <f t="array" ref="L10">IF(D10&gt;0,IF($D10&lt;=0,0,D10*H10),"")</f>
        <v>33360195.84</v>
      </c>
      <c r="M10" s="21" cm="1">
        <f t="array" ref="M10">IF(E10&gt;0,IF($D10&lt;=0,0,ROUND(E10*I10,2)),"")</f>
        <v>33353090.01</v>
      </c>
      <c r="N10" s="23" cm="1">
        <f t="array" ref="N10">IF(F10&gt;0,IF($D10&lt;=0,0,ROUND(F10*J10,2)),"")</f>
        <v>33353090.01</v>
      </c>
    </row>
    <row r="11" ht="20.5" customHeight="1">
      <c r="A11" t="s" s="18">
        <v>95</v>
      </c>
      <c r="B11" t="s" s="19">
        <v>96</v>
      </c>
      <c r="C11" s="24"/>
      <c r="D11" s="25">
        <v>1.2</v>
      </c>
      <c r="E11" s="26" cm="1">
        <f t="array" ref="E11">D11</f>
        <v>1.2</v>
      </c>
      <c r="F11" s="26" cm="1">
        <f t="array" ref="F11">D11</f>
        <v>1.2</v>
      </c>
      <c r="G11" t="s" s="27">
        <v>27</v>
      </c>
      <c r="H11" s="26">
        <v>574369.9300000001</v>
      </c>
      <c r="I11" s="26">
        <v>574344.13</v>
      </c>
      <c r="J11" s="26">
        <v>574344.13</v>
      </c>
      <c r="K11" s="26">
        <v>11</v>
      </c>
      <c r="L11" s="26" cm="1">
        <f t="array" ref="L11">IF(D11&gt;0,IF($D11&lt;=0,0,D11*H11),"")</f>
        <v>689243.916</v>
      </c>
      <c r="M11" s="26" cm="1">
        <f t="array" ref="M11">IF(E11&gt;0,IF($D11&lt;=0,0,ROUND(E11*I11,2)),"")</f>
        <v>689212.96</v>
      </c>
      <c r="N11" s="28" cm="1">
        <f t="array" ref="N11">IF(F11&gt;0,IF($D11&lt;=0,0,ROUND(F11*J11,2)),"")</f>
        <v>689212.96</v>
      </c>
    </row>
    <row r="12" ht="20.5" customHeight="1">
      <c r="A12" t="s" s="18">
        <v>99</v>
      </c>
      <c r="B12" t="s" s="19">
        <v>159</v>
      </c>
      <c r="C12" s="20"/>
      <c r="D12" s="21">
        <v>1783.42</v>
      </c>
      <c r="E12" s="21" cm="1">
        <f t="array" ref="E12">D12</f>
        <v>1783.42</v>
      </c>
      <c r="F12" s="21" cm="1">
        <f t="array" ref="F12">D12</f>
        <v>1783.42</v>
      </c>
      <c r="G12" t="s" s="22">
        <v>154</v>
      </c>
      <c r="H12" s="21">
        <v>14388.09</v>
      </c>
      <c r="I12" s="32">
        <v>14379.46</v>
      </c>
      <c r="J12" s="32">
        <v>14379.46</v>
      </c>
      <c r="K12" s="21">
        <v>11</v>
      </c>
      <c r="L12" s="21" cm="1">
        <f t="array" ref="L12">IF(D12&gt;0,IF($D12&lt;=0,0,D12*H12),"")</f>
        <v>25660007.4678</v>
      </c>
      <c r="M12" s="21" cm="1">
        <f t="array" ref="M12">IF(E12&gt;0,IF($D12&lt;=0,0,ROUND(E12*I12,2)),"")</f>
        <v>25644616.55</v>
      </c>
      <c r="N12" s="23" cm="1">
        <f t="array" ref="N12">IF(F12&gt;0,IF($D12&lt;=0,0,ROUND(F12*J12,2)),"")</f>
        <v>25644616.55</v>
      </c>
    </row>
    <row r="13" ht="32.5" customHeight="1">
      <c r="A13" s="29"/>
      <c r="B13" t="s" s="19">
        <v>104</v>
      </c>
      <c r="C13" s="24"/>
      <c r="D13" s="30"/>
      <c r="E13" s="26"/>
      <c r="F13" s="26"/>
      <c r="G13" s="30"/>
      <c r="H13" s="26"/>
      <c r="I13" s="30"/>
      <c r="J13" s="30"/>
      <c r="K13" s="26"/>
      <c r="L13" t="str" s="30" cm="1">
        <f t="array" ref="L13">IF(D13&gt;0,IF($D13&lt;=0,0,D13*H13),"")</f>
      </c>
      <c r="M13" t="str" s="30" cm="1">
        <f t="array" ref="M13">IF(E13&gt;0,IF($D13&lt;=0,0,ROUND(E13*I13,2)),"")</f>
      </c>
      <c r="N13" t="str" s="31" cm="1">
        <f t="array" ref="N13">IF(F13&gt;0,IF($D13&lt;=0,0,ROUND(F13*J13,2)),"")</f>
      </c>
    </row>
    <row r="14" ht="20.5" customHeight="1">
      <c r="A14" t="s" s="18">
        <v>332</v>
      </c>
      <c r="B14" t="s" s="19">
        <v>256</v>
      </c>
      <c r="C14" s="20"/>
      <c r="D14" s="78">
        <v>4.8</v>
      </c>
      <c r="E14" s="21" cm="1">
        <f t="array" ref="E14">D14</f>
        <v>4.8</v>
      </c>
      <c r="F14" s="21" cm="1">
        <f t="array" ref="F14">D14</f>
        <v>4.8</v>
      </c>
      <c r="G14" t="s" s="22">
        <v>135</v>
      </c>
      <c r="H14" s="21">
        <v>104937.5</v>
      </c>
      <c r="I14" s="21">
        <v>104506.25</v>
      </c>
      <c r="J14" s="21">
        <v>104506.25</v>
      </c>
      <c r="K14" s="21">
        <v>11</v>
      </c>
      <c r="L14" s="21" cm="1">
        <f t="array" ref="L14">IF(D14&gt;0,IF($D14&lt;=0,0,D14*H14),"")</f>
        <v>503700</v>
      </c>
      <c r="M14" s="21" cm="1">
        <f t="array" ref="M14">IF(E14&gt;0,IF($D14&lt;=0,0,ROUND(E14*I14,2)),"")</f>
        <v>501630</v>
      </c>
      <c r="N14" s="23" cm="1">
        <f t="array" ref="N14">IF(F14&gt;0,IF($D14&lt;=0,0,ROUND(F14*J14,2)),"")</f>
        <v>501630</v>
      </c>
    </row>
    <row r="15" ht="20.5" customHeight="1">
      <c r="A15" t="s" s="18">
        <v>105</v>
      </c>
      <c r="B15" t="s" s="19">
        <v>106</v>
      </c>
      <c r="C15" s="24"/>
      <c r="D15" s="25">
        <v>28</v>
      </c>
      <c r="E15" s="26" cm="1">
        <f t="array" ref="E15">D15</f>
        <v>28</v>
      </c>
      <c r="F15" s="26" cm="1">
        <f t="array" ref="F15">D15</f>
        <v>28</v>
      </c>
      <c r="G15" t="s" s="27">
        <v>107</v>
      </c>
      <c r="H15" s="26">
        <v>69712.899999999994</v>
      </c>
      <c r="I15" s="26">
        <v>69647.19</v>
      </c>
      <c r="J15" s="26">
        <v>69647.19</v>
      </c>
      <c r="K15" s="26">
        <v>11</v>
      </c>
      <c r="L15" s="26" cm="1">
        <f t="array" ref="L15">IF(D15&gt;0,IF($D15&lt;=0,0,D15*H15),"")</f>
        <v>1951961.2</v>
      </c>
      <c r="M15" s="26" cm="1">
        <f t="array" ref="M15">IF(E15&gt;0,IF($D15&lt;=0,0,ROUND(E15*I15,2)),"")</f>
        <v>1950121.32</v>
      </c>
      <c r="N15" s="28" cm="1">
        <f t="array" ref="N15">IF(F15&gt;0,IF($D15&lt;=0,0,ROUND(F15*J15,2)),"")</f>
        <v>1950121.32</v>
      </c>
    </row>
    <row r="16" ht="20.5" customHeight="1">
      <c r="A16" s="29"/>
      <c r="B16" t="s" s="19">
        <v>36</v>
      </c>
      <c r="C16" s="20"/>
      <c r="D16" s="21"/>
      <c r="E16" s="21"/>
      <c r="F16" s="21"/>
      <c r="G16" s="79"/>
      <c r="H16" s="79"/>
      <c r="I16" s="79"/>
      <c r="J16" s="79"/>
      <c r="K16" s="21"/>
      <c r="L16" t="str" s="79" cm="1">
        <f t="array" ref="L16">IF(D16&gt;0,IF($D16&lt;=0,0,D16*H16),"")</f>
      </c>
      <c r="M16" s="21"/>
      <c r="N16" s="23"/>
    </row>
    <row r="17" ht="20.6" customHeight="1">
      <c r="A17" s="33">
        <v>1</v>
      </c>
      <c r="B17" t="s" s="34">
        <v>37</v>
      </c>
      <c r="C17" s="80"/>
      <c r="D17" s="81">
        <v>1</v>
      </c>
      <c r="E17" s="81" cm="1">
        <f t="array" ref="E17">D17</f>
        <v>1</v>
      </c>
      <c r="F17" s="81" cm="1">
        <f t="array" ref="F17">D17</f>
        <v>1</v>
      </c>
      <c r="G17" t="s" s="82">
        <v>19</v>
      </c>
      <c r="H17" s="81">
        <v>178049.58</v>
      </c>
      <c r="I17" s="81">
        <v>177719.03</v>
      </c>
      <c r="J17" s="81">
        <v>177719.03</v>
      </c>
      <c r="K17" s="81">
        <v>0</v>
      </c>
      <c r="L17" s="81" cm="1">
        <f t="array" ref="L17">IF(D17&gt;0,IF($D17&lt;=0,0,D17*H17),"")</f>
        <v>178049.58</v>
      </c>
      <c r="M17" s="81" cm="1">
        <f t="array" ref="M17">IF(E17&gt;0,IF($D17&lt;=0,0,ROUND(E17*I17,2)),"")</f>
        <v>177719.03</v>
      </c>
      <c r="N17" s="83" cm="1">
        <f t="array" ref="N17">IF(F17&gt;0,IF($D17&lt;=0,0,ROUND(F17*J17,2)),"")</f>
        <v>177719.03</v>
      </c>
    </row>
    <row r="18" ht="8.75" customHeight="1" hidden="1">
      <c r="A18" s="39"/>
      <c r="B18" s="40"/>
      <c r="C18" s="45"/>
      <c r="D18" s="46"/>
      <c r="E18" s="46"/>
      <c r="F18" s="46"/>
      <c r="G18" s="47"/>
      <c r="H18" s="46"/>
      <c r="I18" s="46"/>
      <c r="J18" s="46"/>
      <c r="K18" s="46"/>
      <c r="L18" s="46"/>
      <c r="M18" s="46"/>
      <c r="N18" s="48"/>
    </row>
    <row r="19" ht="8.75" customHeight="1" hidden="1">
      <c r="A19" s="39"/>
      <c r="B19" s="40"/>
      <c r="C19" s="41"/>
      <c r="D19" s="42"/>
      <c r="E19" s="42"/>
      <c r="F19" s="42"/>
      <c r="G19" s="43"/>
      <c r="H19" s="42"/>
      <c r="I19" s="42"/>
      <c r="J19" s="42"/>
      <c r="K19" s="42"/>
      <c r="L19" s="42"/>
      <c r="M19" s="42"/>
      <c r="N19" s="44"/>
    </row>
    <row r="20" ht="8.75" customHeight="1" hidden="1">
      <c r="A20" s="39"/>
      <c r="B20" s="40"/>
      <c r="C20" s="45"/>
      <c r="D20" s="46"/>
      <c r="E20" s="46"/>
      <c r="F20" s="46"/>
      <c r="G20" s="47"/>
      <c r="H20" s="46"/>
      <c r="I20" s="46"/>
      <c r="J20" s="46"/>
      <c r="K20" s="46"/>
      <c r="L20" s="46"/>
      <c r="M20" s="46"/>
      <c r="N20" s="48"/>
    </row>
    <row r="21" ht="8.75" customHeight="1" hidden="1">
      <c r="A21" s="39"/>
      <c r="B21" s="40"/>
      <c r="C21" s="41"/>
      <c r="D21" s="42"/>
      <c r="E21" s="42"/>
      <c r="F21" s="42"/>
      <c r="G21" s="43"/>
      <c r="H21" s="42"/>
      <c r="I21" s="42"/>
      <c r="J21" s="42"/>
      <c r="K21" s="42"/>
      <c r="L21" s="42"/>
      <c r="M21" s="42"/>
      <c r="N21" s="44"/>
    </row>
    <row r="22" ht="8.75" customHeight="1" hidden="1">
      <c r="A22" s="39"/>
      <c r="B22" s="40"/>
      <c r="C22" s="45"/>
      <c r="D22" s="46"/>
      <c r="E22" s="46"/>
      <c r="F22" s="46"/>
      <c r="G22" s="47"/>
      <c r="H22" s="46"/>
      <c r="I22" s="46"/>
      <c r="J22" s="46"/>
      <c r="K22" s="46"/>
      <c r="L22" s="46"/>
      <c r="M22" s="46"/>
      <c r="N22" s="48"/>
    </row>
    <row r="23" ht="8.75" customHeight="1" hidden="1">
      <c r="A23" s="39"/>
      <c r="B23" s="40"/>
      <c r="C23" s="41"/>
      <c r="D23" s="42"/>
      <c r="E23" s="42"/>
      <c r="F23" s="42"/>
      <c r="G23" s="43"/>
      <c r="H23" s="42"/>
      <c r="I23" s="42"/>
      <c r="J23" s="42"/>
      <c r="K23" s="42"/>
      <c r="L23" s="42"/>
      <c r="M23" s="42"/>
      <c r="N23" s="44"/>
    </row>
    <row r="24" ht="8.75" customHeight="1" hidden="1">
      <c r="A24" s="39"/>
      <c r="B24" s="40"/>
      <c r="C24" s="45"/>
      <c r="D24" s="46"/>
      <c r="E24" s="46"/>
      <c r="F24" s="46"/>
      <c r="G24" s="47"/>
      <c r="H24" s="47"/>
      <c r="I24" s="47"/>
      <c r="J24" s="47"/>
      <c r="K24" s="46"/>
      <c r="L24" s="47"/>
      <c r="M24" s="47"/>
      <c r="N24" s="52"/>
    </row>
    <row r="25" ht="8.75" customHeight="1" hidden="1">
      <c r="A25" s="39"/>
      <c r="B25" s="40"/>
      <c r="C25" s="41"/>
      <c r="D25" s="42"/>
      <c r="E25" s="42"/>
      <c r="F25" s="42"/>
      <c r="G25" s="43"/>
      <c r="H25" s="84"/>
      <c r="I25" s="84"/>
      <c r="J25" s="84"/>
      <c r="K25" s="42"/>
      <c r="L25" s="42"/>
      <c r="M25" s="42"/>
      <c r="N25" s="44"/>
    </row>
    <row r="26" ht="8.75" customHeight="1" hidden="1">
      <c r="A26" s="39"/>
      <c r="B26" s="40"/>
      <c r="C26" s="45"/>
      <c r="D26" s="46"/>
      <c r="E26" s="46"/>
      <c r="F26" s="46"/>
      <c r="G26" s="47"/>
      <c r="H26" s="47"/>
      <c r="I26" s="47"/>
      <c r="J26" s="47"/>
      <c r="K26" s="46"/>
      <c r="L26" s="47"/>
      <c r="M26" s="47"/>
      <c r="N26" s="52"/>
    </row>
    <row r="27" ht="8.75" customHeight="1" hidden="1">
      <c r="A27" s="39"/>
      <c r="B27" s="40"/>
      <c r="C27" s="41"/>
      <c r="D27" s="42"/>
      <c r="E27" s="42"/>
      <c r="F27" s="42"/>
      <c r="G27" s="43"/>
      <c r="H27" s="42"/>
      <c r="I27" s="42"/>
      <c r="J27" s="42"/>
      <c r="K27" s="42"/>
      <c r="L27" s="42"/>
      <c r="M27" s="42"/>
      <c r="N27" s="44"/>
    </row>
    <row r="28" ht="8.75" customHeight="1" hidden="1">
      <c r="A28" s="39"/>
      <c r="B28" s="40"/>
      <c r="C28" s="45"/>
      <c r="D28" s="46"/>
      <c r="E28" s="46"/>
      <c r="F28" s="46"/>
      <c r="G28" s="47"/>
      <c r="H28" s="46"/>
      <c r="I28" s="46"/>
      <c r="J28" s="46"/>
      <c r="K28" s="46"/>
      <c r="L28" s="46"/>
      <c r="M28" s="46"/>
      <c r="N28" s="48"/>
    </row>
    <row r="29" ht="8.75" customHeight="1" hidden="1">
      <c r="A29" s="51"/>
      <c r="B29" s="40"/>
      <c r="C29" s="41"/>
      <c r="D29" s="42"/>
      <c r="E29" s="42"/>
      <c r="F29" s="42"/>
      <c r="G29" s="43"/>
      <c r="H29" s="42"/>
      <c r="I29" s="42"/>
      <c r="J29" s="42"/>
      <c r="K29" s="42"/>
      <c r="L29" s="42"/>
      <c r="M29" s="42"/>
      <c r="N29" s="44"/>
    </row>
    <row r="30" ht="8.75" customHeight="1" hidden="1">
      <c r="A30" s="51"/>
      <c r="B30" s="40"/>
      <c r="C30" s="45"/>
      <c r="D30" s="46"/>
      <c r="E30" s="46"/>
      <c r="F30" s="46"/>
      <c r="G30" s="47"/>
      <c r="H30" s="46"/>
      <c r="I30" s="46"/>
      <c r="J30" s="46"/>
      <c r="K30" s="46"/>
      <c r="L30" s="46"/>
      <c r="M30" s="46"/>
      <c r="N30" s="48"/>
    </row>
    <row r="31" ht="8.75" customHeight="1" hidden="1">
      <c r="A31" s="39"/>
      <c r="B31" s="40"/>
      <c r="C31" s="41"/>
      <c r="D31" s="42"/>
      <c r="E31" s="42"/>
      <c r="F31" s="42"/>
      <c r="G31" s="43"/>
      <c r="H31" s="42"/>
      <c r="I31" s="42"/>
      <c r="J31" s="42"/>
      <c r="K31" s="42"/>
      <c r="L31" s="43"/>
      <c r="M31" s="43"/>
      <c r="N31" s="49"/>
    </row>
    <row r="32" ht="8.75" customHeight="1" hidden="1">
      <c r="A32" s="39"/>
      <c r="B32" s="40"/>
      <c r="C32" s="45"/>
      <c r="D32" s="46"/>
      <c r="E32" s="46"/>
      <c r="F32" s="46"/>
      <c r="G32" s="47"/>
      <c r="H32" s="46"/>
      <c r="I32" s="46"/>
      <c r="J32" s="46"/>
      <c r="K32" s="46"/>
      <c r="L32" s="46"/>
      <c r="M32" s="46"/>
      <c r="N32" s="48"/>
    </row>
    <row r="33" ht="8.75" customHeight="1" hidden="1">
      <c r="A33" s="39"/>
      <c r="B33" s="40"/>
      <c r="C33" s="41"/>
      <c r="D33" s="42"/>
      <c r="E33" s="42"/>
      <c r="F33" s="42"/>
      <c r="G33" s="43"/>
      <c r="H33" s="42"/>
      <c r="I33" s="42"/>
      <c r="J33" s="42"/>
      <c r="K33" s="42"/>
      <c r="L33" s="43"/>
      <c r="M33" s="43"/>
      <c r="N33" s="49"/>
    </row>
    <row r="34" ht="20.85" customHeight="1">
      <c r="A34" s="53"/>
      <c r="B34" s="54"/>
      <c r="C34" s="54"/>
      <c r="D34" s="55"/>
      <c r="E34" s="55"/>
      <c r="F34" s="55"/>
      <c r="G34" s="56"/>
      <c r="H34" s="56"/>
      <c r="I34" s="54"/>
      <c r="J34" s="57"/>
      <c r="K34" t="s" s="58">
        <v>38</v>
      </c>
      <c r="L34" s="59" cm="1">
        <f t="array" ref="L34">SUM(L1:L33)</f>
        <v>67572557.1138</v>
      </c>
      <c r="M34" s="59" cm="1">
        <f t="array" ref="M34">SUM(M1:M33)</f>
        <v>67398240.23</v>
      </c>
      <c r="N34" s="59" cm="1">
        <f t="array" ref="N34">SUM(N1:N33)</f>
        <v>67398240.23</v>
      </c>
    </row>
    <row r="35" ht="21" customHeight="1">
      <c r="A35" s="60"/>
      <c r="B35" t="s" s="61">
        <v>39</v>
      </c>
      <c r="C35" s="62"/>
      <c r="D35" s="63" cm="1">
        <f t="array" ref="D35">ROUND(IF(L35&lt;=100000000,L35*0.24%,IF(AND(L35&gt;100000000,L35&lt;=500000000),100000000*0.24%+(L35-100000000)*0.19%,IF(AND(L35&gt;500000000,L35&lt;=1000000000),100000000*0.24%+400000000*0.19%+(L35-500000000)*0.15%,IF(AND(L35&gt;1000000000,L35&lt;=5000000000),100000000*0.24%+400000000*0.19%+500000000*0.15%+(L35-1000000000)*0.12%,IF(L35&gt;5000000000,100000000*0.24%+400000000*0.19%+500000000*0.15%+4000000000*0.12%+(L35-5000000000)*0.1%,"Bingung komputer"))))),2)</f>
        <v>161746.82</v>
      </c>
      <c r="E35" s="64" cm="1">
        <f t="array" ref="E35">ROUND(IF(M35&lt;=100000000,M35*0.24%,IF(AND(M35&gt;100000000,M35&lt;=500000000),100000000*0.24%+(M35-100000000)*0.19%,IF(AND(M35&gt;500000000,M35&lt;=1000000000),100000000*0.24%+400000000*0.19%+(M35-500000000)*0.15%,IF(AND(M35&gt;1000000000,M35&lt;=5000000000),100000000*0.24%+400000000*0.19%+500000000*0.15%+(M35-1000000000)*0.12%,IF(M35&gt;5000000000,100000000*0.24%+400000000*0.19%+500000000*0.15%+4000000000*0.12%+(M35-5000000000)*0.1%,"Bingung komputer"))))),2)</f>
        <v>161329.25</v>
      </c>
      <c r="F35" s="64" cm="1">
        <f t="array" ref="F35">ROUND(IF(N35&lt;=100000000,N35*0.24%,IF(AND(N35&gt;100000000,N35&lt;=500000000),100000000*0.24%+(N35-100000000)*0.19%,IF(AND(N35&gt;500000000,N35&lt;=1000000000),100000000*0.24%+400000000*0.19%+(N35-500000000)*0.15%,IF(AND(N35&gt;1000000000,N35&lt;=5000000000),100000000*0.24%+400000000*0.19%+500000000*0.15%+(N35-1000000000)*0.12%,IF(N35&gt;5000000000,100000000*0.24%+400000000*0.19%+500000000*0.15%+4000000000*0.12%+(N35-5000000000)*0.1%,"Bingung komputer"))))),2)</f>
        <v>161329.25</v>
      </c>
      <c r="G35" s="65"/>
      <c r="H35" s="66"/>
      <c r="I35" s="62"/>
      <c r="J35" s="67"/>
      <c r="K35" t="str" s="67" cm="1">
        <f t="array" ref="K35">"Jumlah Terkena Pajak "&amp;MAX(K3:K33)&amp;"% (B)"</f>
        <v>Jumlah Terkena Pajak 11,00% (B)</v>
      </c>
      <c r="L35" s="68" cm="1">
        <f t="array" ref="L35">SUMIF($K3:$K33,"&gt;0",L3:L33)</f>
        <v>67394507.53380001</v>
      </c>
      <c r="M35" s="69" cm="1">
        <f t="array" ref="M35">SUMIF($K3:$K33,"&gt;0",M3:M33)</f>
        <v>67220521.2</v>
      </c>
      <c r="N35" s="69" cm="1">
        <f t="array" ref="N35">SUMIF($K3:$K33,"&gt;0",N3:N33)</f>
        <v>67220521.2</v>
      </c>
    </row>
    <row r="36" ht="21" customHeight="1">
      <c r="A36" s="70"/>
      <c r="B36" s="71"/>
      <c r="C36" s="71"/>
      <c r="D36" s="72"/>
      <c r="E36" s="72"/>
      <c r="F36" s="71"/>
      <c r="G36" s="72"/>
      <c r="H36" s="72"/>
      <c r="I36" s="71"/>
      <c r="J36" s="73"/>
      <c r="K36" t="str" s="73" cm="1">
        <f t="array" ref="K36">"PPN (C) = "&amp;MAX(K3:K33)&amp;"% x B"</f>
        <v>PPN (C) = 11,00% x B</v>
      </c>
      <c r="L36" s="74" cm="1">
        <f t="array" ref="L36">L35*MAX($K3:$K33)%</f>
        <v>7413395.828718</v>
      </c>
      <c r="M36" s="69" cm="1">
        <f t="array" ref="M36">M35*MAX($K3:$K33)%</f>
        <v>7394257.332</v>
      </c>
      <c r="N36" s="69" cm="1">
        <f t="array" ref="N36">N35*MAX($K3:$K33)%</f>
        <v>7394257.332</v>
      </c>
    </row>
    <row r="37" ht="21" customHeight="1">
      <c r="A37" s="70"/>
      <c r="B37" s="71"/>
      <c r="C37" s="71"/>
      <c r="D37" s="72"/>
      <c r="E37" s="72"/>
      <c r="F37" s="72"/>
      <c r="G37" s="72"/>
      <c r="H37" s="72"/>
      <c r="I37" s="71"/>
      <c r="J37" s="73"/>
      <c r="K37" t="s" s="75">
        <v>42</v>
      </c>
      <c r="L37" s="76" cm="1">
        <f t="array" ref="L37">L34+L36</f>
        <v>74985952.942518</v>
      </c>
      <c r="M37" s="69" cm="1">
        <f t="array" ref="M37">M34+M36</f>
        <v>74792497.56200001</v>
      </c>
      <c r="N37" s="69" cm="1">
        <f t="array" ref="N37">N34+N36</f>
        <v>74792497.56200001</v>
      </c>
    </row>
    <row r="38" ht="20.5" customHeight="1">
      <c r="A38" s="70"/>
      <c r="B38" s="71"/>
      <c r="C38" s="71"/>
      <c r="D38" s="72"/>
      <c r="E38" s="72"/>
      <c r="F38" s="72"/>
      <c r="G38" s="72"/>
      <c r="H38" s="72"/>
      <c r="I38" s="71"/>
      <c r="J38" s="73"/>
      <c r="K38" t="s" s="75">
        <v>43</v>
      </c>
      <c r="L38" s="68" cm="1">
        <f t="array" ref="L38">ROUNDDOWN(L37,2)</f>
        <v>74985952.94</v>
      </c>
      <c r="M38" s="68" cm="1">
        <f t="array" ref="M38">ROUNDDOWN(M37,2)</f>
        <v>74792497.56</v>
      </c>
      <c r="N38" s="68" cm="1">
        <f t="array" ref="N38">ROUNDDOWN(N37,-3)</f>
        <v>74792000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drawing r:id="rId1"/>
</worksheet>
</file>

<file path=xl/worksheets/sheet111.xml><?xml version="1.0" encoding="utf-8"?>
<worksheet xmlns:r="http://schemas.openxmlformats.org/officeDocument/2006/relationships" xmlns="http://schemas.openxmlformats.org/spreadsheetml/2006/main">
  <sheetPr>
    <pageSetUpPr fitToPage="1"/>
  </sheetPr>
  <dimension ref="A1:N34"/>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303" customWidth="1"/>
    <col min="2" max="2" width="43.0312" style="303" customWidth="1"/>
    <col min="3" max="3" width="2.75" style="303" customWidth="1"/>
    <col min="4" max="6" width="10.3672" style="303" customWidth="1"/>
    <col min="7" max="7" width="11.6875" style="303" customWidth="1"/>
    <col min="8" max="11" width="13.5156" style="303" customWidth="1"/>
    <col min="12" max="14" width="14.2344" style="303" customWidth="1"/>
    <col min="15" max="16384" width="16.3516" style="303"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t="s" s="90">
        <v>479</v>
      </c>
      <c r="B3" t="s" s="12">
        <v>133</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t="s" s="18">
        <v>480</v>
      </c>
      <c r="B4" t="s" s="19">
        <v>481</v>
      </c>
      <c r="C4" s="20"/>
      <c r="D4" s="21"/>
      <c r="E4" s="21"/>
      <c r="F4" s="21"/>
      <c r="G4" s="79"/>
      <c r="H4" s="21"/>
      <c r="I4" s="21"/>
      <c r="J4" s="21"/>
      <c r="K4" s="21"/>
      <c r="L4" s="21"/>
      <c r="M4" s="21"/>
      <c r="N4" s="23"/>
    </row>
    <row r="5" ht="20.5" customHeight="1">
      <c r="A5" t="s" s="18">
        <v>482</v>
      </c>
      <c r="B5" t="s" s="19">
        <v>483</v>
      </c>
      <c r="C5" s="24"/>
      <c r="D5" s="25">
        <v>53</v>
      </c>
      <c r="E5" s="26" cm="1">
        <f t="array" ref="E5">D5</f>
        <v>53</v>
      </c>
      <c r="F5" s="26" cm="1">
        <f t="array" ref="F5">D5</f>
        <v>53</v>
      </c>
      <c r="G5" t="s" s="27">
        <v>484</v>
      </c>
      <c r="H5" s="26">
        <v>104477.5</v>
      </c>
      <c r="I5" s="26">
        <v>104472.9</v>
      </c>
      <c r="J5" s="26">
        <v>104472.9</v>
      </c>
      <c r="K5" s="26">
        <v>11</v>
      </c>
      <c r="L5" s="26" cm="1">
        <f t="array" ref="L5">IF(D5&gt;0,IF($D5&lt;=0,0,D5*H5),"")</f>
        <v>5537307.5</v>
      </c>
      <c r="M5" s="26" cm="1">
        <f t="array" ref="M5">IF(E5&gt;0,IF($D5&lt;=0,0,ROUND(E5*I5,2)),"")</f>
        <v>5537063.7</v>
      </c>
      <c r="N5" s="28" cm="1">
        <f t="array" ref="N5">IF(F5&gt;0,IF($D5&lt;=0,0,ROUND(F5*J5,2)),"")</f>
        <v>5537063.7</v>
      </c>
    </row>
    <row r="6" ht="20.5" customHeight="1">
      <c r="A6" t="s" s="18">
        <v>485</v>
      </c>
      <c r="B6" t="s" s="19">
        <v>486</v>
      </c>
      <c r="C6" s="20"/>
      <c r="D6" s="21"/>
      <c r="E6" s="21"/>
      <c r="F6" s="21"/>
      <c r="G6" s="79"/>
      <c r="H6" s="21"/>
      <c r="I6" s="21"/>
      <c r="J6" s="21"/>
      <c r="K6" s="21"/>
      <c r="L6" s="21"/>
      <c r="M6" s="21"/>
      <c r="N6" s="23"/>
    </row>
    <row r="7" ht="32.5" customHeight="1">
      <c r="A7" t="s" s="18">
        <v>487</v>
      </c>
      <c r="B7" t="s" s="19">
        <v>488</v>
      </c>
      <c r="C7" s="24"/>
      <c r="D7" s="122">
        <v>5382.05</v>
      </c>
      <c r="E7" s="26" cm="1">
        <f t="array" ref="E7">D7</f>
        <v>5382.05</v>
      </c>
      <c r="F7" s="26" cm="1">
        <f t="array" ref="F7">D7</f>
        <v>5382.05</v>
      </c>
      <c r="G7" t="s" s="27">
        <v>27</v>
      </c>
      <c r="H7" s="26">
        <v>22031.8</v>
      </c>
      <c r="I7" s="26">
        <v>22029.5</v>
      </c>
      <c r="J7" s="26">
        <v>22029.5</v>
      </c>
      <c r="K7" s="26">
        <v>11</v>
      </c>
      <c r="L7" s="26" cm="1">
        <f t="array" ref="L7">IF(D7&gt;0,IF($D7&lt;=0,0,D7*H7),"")</f>
        <v>118576249.19</v>
      </c>
      <c r="M7" s="26" cm="1">
        <f t="array" ref="M7">IF(E7&gt;0,IF($D7&lt;=0,0,ROUND(E7*I7,2)),"")</f>
        <v>118563870.48</v>
      </c>
      <c r="N7" s="28" cm="1">
        <f t="array" ref="N7">IF(F7&gt;0,IF($D7&lt;=0,0,ROUND(F7*J7,2)),"")</f>
        <v>118563870.48</v>
      </c>
    </row>
    <row r="8" ht="20.5" customHeight="1">
      <c r="A8" t="s" s="18">
        <v>365</v>
      </c>
      <c r="B8" t="s" s="19">
        <v>489</v>
      </c>
      <c r="C8" s="20"/>
      <c r="D8" s="79"/>
      <c r="E8" s="21"/>
      <c r="F8" s="21"/>
      <c r="G8" s="79"/>
      <c r="H8" s="21"/>
      <c r="I8" s="21"/>
      <c r="J8" s="21"/>
      <c r="K8" s="21"/>
      <c r="L8" s="21"/>
      <c r="M8" s="21"/>
      <c r="N8" s="23"/>
    </row>
    <row r="9" ht="20.5" customHeight="1">
      <c r="A9" t="s" s="18">
        <v>490</v>
      </c>
      <c r="B9" t="s" s="19">
        <v>491</v>
      </c>
      <c r="C9" s="24"/>
      <c r="D9" s="30"/>
      <c r="E9" s="26"/>
      <c r="F9" s="26"/>
      <c r="G9" s="30"/>
      <c r="H9" s="26"/>
      <c r="I9" s="26"/>
      <c r="J9" s="26"/>
      <c r="K9" s="26"/>
      <c r="L9" s="26"/>
      <c r="M9" s="26"/>
      <c r="N9" s="28"/>
    </row>
    <row r="10" ht="20.5" customHeight="1">
      <c r="A10" t="s" s="18">
        <v>492</v>
      </c>
      <c r="B10" t="s" s="19">
        <v>493</v>
      </c>
      <c r="C10" s="20"/>
      <c r="D10" s="78">
        <v>1</v>
      </c>
      <c r="E10" s="21" cm="1">
        <f t="array" ref="E10">D10</f>
        <v>1</v>
      </c>
      <c r="F10" s="21" cm="1">
        <f t="array" ref="F10">D10</f>
        <v>1</v>
      </c>
      <c r="G10" t="s" s="22">
        <v>19</v>
      </c>
      <c r="H10" s="21">
        <v>9750000</v>
      </c>
      <c r="I10" s="21">
        <v>9700000</v>
      </c>
      <c r="J10" s="21">
        <v>9700000</v>
      </c>
      <c r="K10" s="21">
        <v>11</v>
      </c>
      <c r="L10" s="21" cm="1">
        <f t="array" ref="L10">IF(D10&gt;0,IF($D10&lt;=0,0,D10*H10),"")</f>
        <v>9750000</v>
      </c>
      <c r="M10" s="21" cm="1">
        <f t="array" ref="M10">IF(E10&gt;0,IF($D10&lt;=0,0,ROUND(E10*I10,2)),"")</f>
        <v>9700000</v>
      </c>
      <c r="N10" s="23" cm="1">
        <f t="array" ref="N10">IF(F10&gt;0,IF($D10&lt;=0,0,ROUND(F10*J10,2)),"")</f>
        <v>9700000</v>
      </c>
    </row>
    <row r="11" ht="32.5" customHeight="1">
      <c r="A11" t="s" s="18">
        <v>494</v>
      </c>
      <c r="B11" t="s" s="19">
        <v>495</v>
      </c>
      <c r="C11" s="24"/>
      <c r="D11" s="26">
        <v>1</v>
      </c>
      <c r="E11" s="26" cm="1">
        <f t="array" ref="E11">D11</f>
        <v>1</v>
      </c>
      <c r="F11" s="26" cm="1">
        <f t="array" ref="F11">D11</f>
        <v>1</v>
      </c>
      <c r="G11" t="s" s="27">
        <v>19</v>
      </c>
      <c r="H11" s="26">
        <v>995000</v>
      </c>
      <c r="I11" s="26">
        <v>970000</v>
      </c>
      <c r="J11" s="26">
        <v>970000</v>
      </c>
      <c r="K11" s="26">
        <v>11</v>
      </c>
      <c r="L11" s="26" cm="1">
        <f t="array" ref="L11">IF(D11&gt;0,IF($D11&lt;=0,0,D11*H11),"")</f>
        <v>995000</v>
      </c>
      <c r="M11" s="26" cm="1">
        <f t="array" ref="M11">IF(E11&gt;0,IF($D11&lt;=0,0,ROUND(E11*I11,2)),"")</f>
        <v>970000</v>
      </c>
      <c r="N11" s="28" cm="1">
        <f t="array" ref="N11">IF(F11&gt;0,IF($D11&lt;=0,0,ROUND(F11*J11,2)),"")</f>
        <v>970000</v>
      </c>
    </row>
    <row r="12" ht="20.5" customHeight="1">
      <c r="A12" s="29"/>
      <c r="B12" t="s" s="19">
        <v>36</v>
      </c>
      <c r="C12" s="20"/>
      <c r="D12" s="21"/>
      <c r="E12" s="21"/>
      <c r="F12" s="21"/>
      <c r="G12" s="79"/>
      <c r="H12" s="79"/>
      <c r="I12" s="79"/>
      <c r="J12" s="79"/>
      <c r="K12" s="21"/>
      <c r="L12" t="str" s="79" cm="1">
        <f t="array" ref="L12">IF(D12&gt;0,IF($D12&lt;=0,0,D12*H12),"")</f>
      </c>
      <c r="M12" s="21"/>
      <c r="N12" s="23"/>
    </row>
    <row r="13" ht="20.6" customHeight="1">
      <c r="A13" s="33">
        <v>1</v>
      </c>
      <c r="B13" t="s" s="34">
        <v>37</v>
      </c>
      <c r="C13" s="80"/>
      <c r="D13" s="81">
        <v>1</v>
      </c>
      <c r="E13" s="81" cm="1">
        <f t="array" ref="E13">D13</f>
        <v>1</v>
      </c>
      <c r="F13" s="81" cm="1">
        <f t="array" ref="F13">D13</f>
        <v>1</v>
      </c>
      <c r="G13" t="s" s="82">
        <v>19</v>
      </c>
      <c r="H13" s="81">
        <v>306231.05</v>
      </c>
      <c r="I13" s="81">
        <v>306064.78</v>
      </c>
      <c r="J13" s="81">
        <v>306064.78</v>
      </c>
      <c r="K13" s="81">
        <v>0</v>
      </c>
      <c r="L13" s="81" cm="1">
        <f t="array" ref="L13">IF(D13&gt;0,IF($D13&lt;=0,0,D13*H13),"")</f>
        <v>306231.05</v>
      </c>
      <c r="M13" s="81" cm="1">
        <f t="array" ref="M13">IF(E13&gt;0,IF($D13&lt;=0,0,ROUND(E13*I13,2)),"")</f>
        <v>306064.78</v>
      </c>
      <c r="N13" s="83" cm="1">
        <f t="array" ref="N13">IF(F13&gt;0,IF($D13&lt;=0,0,ROUND(F13*J13,2)),"")</f>
        <v>306064.78</v>
      </c>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2"/>
      <c r="I15" s="42"/>
      <c r="J15" s="42"/>
      <c r="K15" s="42"/>
      <c r="L15" s="42"/>
      <c r="M15" s="42"/>
      <c r="N15" s="44"/>
    </row>
    <row r="16" ht="8.75" customHeight="1" hidden="1">
      <c r="A16" s="39"/>
      <c r="B16" s="40"/>
      <c r="C16" s="45"/>
      <c r="D16" s="46"/>
      <c r="E16" s="46"/>
      <c r="F16" s="46"/>
      <c r="G16" s="47"/>
      <c r="H16" s="46"/>
      <c r="I16" s="46"/>
      <c r="J16" s="46"/>
      <c r="K16" s="46"/>
      <c r="L16" s="46"/>
      <c r="M16" s="46"/>
      <c r="N16" s="48"/>
    </row>
    <row r="17" ht="8.75" customHeight="1" hidden="1">
      <c r="A17" s="39"/>
      <c r="B17" s="40"/>
      <c r="C17" s="41"/>
      <c r="D17" s="42"/>
      <c r="E17" s="42"/>
      <c r="F17" s="42"/>
      <c r="G17" s="43"/>
      <c r="H17" s="42"/>
      <c r="I17" s="42"/>
      <c r="J17" s="42"/>
      <c r="K17" s="42"/>
      <c r="L17" s="42"/>
      <c r="M17" s="42"/>
      <c r="N17" s="44"/>
    </row>
    <row r="18" ht="8.75" customHeight="1" hidden="1">
      <c r="A18" s="39"/>
      <c r="B18" s="40"/>
      <c r="C18" s="45"/>
      <c r="D18" s="46"/>
      <c r="E18" s="46"/>
      <c r="F18" s="46"/>
      <c r="G18" s="47"/>
      <c r="H18" s="46"/>
      <c r="I18" s="46"/>
      <c r="J18" s="46"/>
      <c r="K18" s="46"/>
      <c r="L18" s="46"/>
      <c r="M18" s="46"/>
      <c r="N18" s="48"/>
    </row>
    <row r="19" ht="8.75" customHeight="1" hidden="1">
      <c r="A19" s="39"/>
      <c r="B19" s="40"/>
      <c r="C19" s="41"/>
      <c r="D19" s="42"/>
      <c r="E19" s="42"/>
      <c r="F19" s="42"/>
      <c r="G19" s="43"/>
      <c r="H19" s="42"/>
      <c r="I19" s="42"/>
      <c r="J19" s="42"/>
      <c r="K19" s="42"/>
      <c r="L19" s="42"/>
      <c r="M19" s="42"/>
      <c r="N19" s="44"/>
    </row>
    <row r="20" ht="8.75" customHeight="1" hidden="1">
      <c r="A20" s="39"/>
      <c r="B20" s="40"/>
      <c r="C20" s="45"/>
      <c r="D20" s="46"/>
      <c r="E20" s="46"/>
      <c r="F20" s="46"/>
      <c r="G20" s="47"/>
      <c r="H20" s="47"/>
      <c r="I20" s="47"/>
      <c r="J20" s="47"/>
      <c r="K20" s="46"/>
      <c r="L20" s="47"/>
      <c r="M20" s="47"/>
      <c r="N20" s="52"/>
    </row>
    <row r="21" ht="8.75" customHeight="1" hidden="1">
      <c r="A21" s="39"/>
      <c r="B21" s="40"/>
      <c r="C21" s="41"/>
      <c r="D21" s="42"/>
      <c r="E21" s="42"/>
      <c r="F21" s="42"/>
      <c r="G21" s="43"/>
      <c r="H21" s="84"/>
      <c r="I21" s="84"/>
      <c r="J21" s="84"/>
      <c r="K21" s="42"/>
      <c r="L21" s="42"/>
      <c r="M21" s="42"/>
      <c r="N21" s="44"/>
    </row>
    <row r="22" ht="8.75" customHeight="1" hidden="1">
      <c r="A22" s="39"/>
      <c r="B22" s="40"/>
      <c r="C22" s="45"/>
      <c r="D22" s="46"/>
      <c r="E22" s="46"/>
      <c r="F22" s="46"/>
      <c r="G22" s="47"/>
      <c r="H22" s="47"/>
      <c r="I22" s="47"/>
      <c r="J22" s="47"/>
      <c r="K22" s="46"/>
      <c r="L22" s="47"/>
      <c r="M22" s="47"/>
      <c r="N22" s="52"/>
    </row>
    <row r="23" ht="8.75" customHeight="1" hidden="1">
      <c r="A23" s="39"/>
      <c r="B23" s="40"/>
      <c r="C23" s="41"/>
      <c r="D23" s="42"/>
      <c r="E23" s="42"/>
      <c r="F23" s="42"/>
      <c r="G23" s="43"/>
      <c r="H23" s="42"/>
      <c r="I23" s="42"/>
      <c r="J23" s="42"/>
      <c r="K23" s="42"/>
      <c r="L23" s="42"/>
      <c r="M23" s="42"/>
      <c r="N23" s="44"/>
    </row>
    <row r="24" ht="8.75" customHeight="1" hidden="1">
      <c r="A24" s="39"/>
      <c r="B24" s="40"/>
      <c r="C24" s="45"/>
      <c r="D24" s="46"/>
      <c r="E24" s="46"/>
      <c r="F24" s="46"/>
      <c r="G24" s="47"/>
      <c r="H24" s="46"/>
      <c r="I24" s="46"/>
      <c r="J24" s="46"/>
      <c r="K24" s="46"/>
      <c r="L24" s="46"/>
      <c r="M24" s="46"/>
      <c r="N24" s="48"/>
    </row>
    <row r="25" ht="8.75" customHeight="1" hidden="1">
      <c r="A25" s="51"/>
      <c r="B25" s="40"/>
      <c r="C25" s="41"/>
      <c r="D25" s="42"/>
      <c r="E25" s="42"/>
      <c r="F25" s="42"/>
      <c r="G25" s="43"/>
      <c r="H25" s="42"/>
      <c r="I25" s="42"/>
      <c r="J25" s="42"/>
      <c r="K25" s="42"/>
      <c r="L25" s="42"/>
      <c r="M25" s="42"/>
      <c r="N25" s="44"/>
    </row>
    <row r="26" ht="8.75" customHeight="1" hidden="1">
      <c r="A26" s="51"/>
      <c r="B26" s="40"/>
      <c r="C26" s="45"/>
      <c r="D26" s="46"/>
      <c r="E26" s="46"/>
      <c r="F26" s="46"/>
      <c r="G26" s="47"/>
      <c r="H26" s="46"/>
      <c r="I26" s="46"/>
      <c r="J26" s="46"/>
      <c r="K26" s="46"/>
      <c r="L26" s="46"/>
      <c r="M26" s="46"/>
      <c r="N26" s="48"/>
    </row>
    <row r="27" ht="8.75" customHeight="1" hidden="1">
      <c r="A27" s="39"/>
      <c r="B27" s="40"/>
      <c r="C27" s="41"/>
      <c r="D27" s="42"/>
      <c r="E27" s="42"/>
      <c r="F27" s="42"/>
      <c r="G27" s="43"/>
      <c r="H27" s="42"/>
      <c r="I27" s="42"/>
      <c r="J27" s="42"/>
      <c r="K27" s="42"/>
      <c r="L27" s="43"/>
      <c r="M27" s="43"/>
      <c r="N27" s="49"/>
    </row>
    <row r="28" ht="8.75" customHeight="1" hidden="1">
      <c r="A28" s="39"/>
      <c r="B28" s="40"/>
      <c r="C28" s="45"/>
      <c r="D28" s="46"/>
      <c r="E28" s="46"/>
      <c r="F28" s="46"/>
      <c r="G28" s="47"/>
      <c r="H28" s="46"/>
      <c r="I28" s="46"/>
      <c r="J28" s="46"/>
      <c r="K28" s="46"/>
      <c r="L28" s="46"/>
      <c r="M28" s="46"/>
      <c r="N28" s="48"/>
    </row>
    <row r="29" ht="8.75" customHeight="1" hidden="1">
      <c r="A29" s="39"/>
      <c r="B29" s="40"/>
      <c r="C29" s="41"/>
      <c r="D29" s="42"/>
      <c r="E29" s="42"/>
      <c r="F29" s="42"/>
      <c r="G29" s="43"/>
      <c r="H29" s="42"/>
      <c r="I29" s="42"/>
      <c r="J29" s="42"/>
      <c r="K29" s="42"/>
      <c r="L29" s="43"/>
      <c r="M29" s="43"/>
      <c r="N29" s="49"/>
    </row>
    <row r="30" ht="20.85" customHeight="1">
      <c r="A30" s="53"/>
      <c r="B30" s="54"/>
      <c r="C30" s="54"/>
      <c r="D30" s="55"/>
      <c r="E30" s="55"/>
      <c r="F30" s="55"/>
      <c r="G30" s="56"/>
      <c r="H30" s="56"/>
      <c r="I30" s="54"/>
      <c r="J30" s="57"/>
      <c r="K30" t="s" s="58">
        <v>38</v>
      </c>
      <c r="L30" s="59" cm="1">
        <f t="array" ref="L30">SUM(L1:L29)</f>
        <v>135164787.74</v>
      </c>
      <c r="M30" s="59" cm="1">
        <f t="array" ref="M30">SUM(M1:M29)</f>
        <v>135076998.96</v>
      </c>
      <c r="N30" s="59" cm="1">
        <f t="array" ref="N30">SUM(N1:N29)</f>
        <v>135076998.96</v>
      </c>
    </row>
    <row r="31" ht="21" customHeight="1">
      <c r="A31" s="60"/>
      <c r="B31" t="s" s="61">
        <v>39</v>
      </c>
      <c r="C31" s="62"/>
      <c r="D31" s="63" cm="1">
        <f t="array" ref="D31">ROUND(IF(L31&lt;=100000000,L31*0.24%,IF(AND(L31&gt;100000000,L31&lt;=500000000),100000000*0.24%+(L31-100000000)*0.19%,IF(AND(L31&gt;500000000,L31&lt;=1000000000),100000000*0.24%+400000000*0.19%+(L31-500000000)*0.15%,IF(AND(L31&gt;1000000000,L31&lt;=5000000000),100000000*0.24%+400000000*0.19%+500000000*0.15%+(L31-1000000000)*0.12%,IF(L31&gt;5000000000,100000000*0.24%+400000000*0.19%+500000000*0.15%+4000000000*0.12%+(L31-5000000000)*0.1%,"Bingung komputer"))))),2)</f>
        <v>306231.26</v>
      </c>
      <c r="E31" s="64" cm="1">
        <f t="array" ref="E31">ROUND(IF(M31&lt;=100000000,M31*0.24%,IF(AND(M31&gt;100000000,M31&lt;=500000000),100000000*0.24%+(M31-100000000)*0.19%,IF(AND(M31&gt;500000000,M31&lt;=1000000000),100000000*0.24%+400000000*0.19%+(M31-500000000)*0.15%,IF(AND(M31&gt;1000000000,M31&lt;=5000000000),100000000*0.24%+400000000*0.19%+500000000*0.15%+(M31-1000000000)*0.12%,IF(M31&gt;5000000000,100000000*0.24%+400000000*0.19%+500000000*0.15%+4000000000*0.12%+(M31-5000000000)*0.1%,"Bingung komputer"))))),2)</f>
        <v>306064.77</v>
      </c>
      <c r="F31" s="64" cm="1">
        <f t="array" ref="F31">ROUND(IF(N31&lt;=100000000,N31*0.24%,IF(AND(N31&gt;100000000,N31&lt;=500000000),100000000*0.24%+(N31-100000000)*0.19%,IF(AND(N31&gt;500000000,N31&lt;=1000000000),100000000*0.24%+400000000*0.19%+(N31-500000000)*0.15%,IF(AND(N31&gt;1000000000,N31&lt;=5000000000),100000000*0.24%+400000000*0.19%+500000000*0.15%+(N31-1000000000)*0.12%,IF(N31&gt;5000000000,100000000*0.24%+400000000*0.19%+500000000*0.15%+4000000000*0.12%+(N31-5000000000)*0.1%,"Bingung komputer"))))),2)</f>
        <v>306064.77</v>
      </c>
      <c r="G31" s="65"/>
      <c r="H31" s="66"/>
      <c r="I31" s="62"/>
      <c r="J31" s="67"/>
      <c r="K31" t="str" s="67" cm="1">
        <f t="array" ref="K31">"Jumlah Terkena Pajak "&amp;MAX(K3:K29)&amp;"% (B)"</f>
        <v>Jumlah Terkena Pajak 11,00% (B)</v>
      </c>
      <c r="L31" s="68" cm="1">
        <f t="array" ref="L31">SUMIF($K3:$K29,"&gt;0",L3:L29)</f>
        <v>134858556.69</v>
      </c>
      <c r="M31" s="69" cm="1">
        <f t="array" ref="M31">SUMIF($K3:$K29,"&gt;0",M3:M29)</f>
        <v>134770934.18</v>
      </c>
      <c r="N31" s="69" cm="1">
        <f t="array" ref="N31">SUMIF($K3:$K29,"&gt;0",N3:N29)</f>
        <v>134770934.18</v>
      </c>
    </row>
    <row r="32" ht="21" customHeight="1">
      <c r="A32" s="70"/>
      <c r="B32" s="71"/>
      <c r="C32" s="71"/>
      <c r="D32" s="72"/>
      <c r="E32" s="72"/>
      <c r="F32" s="71"/>
      <c r="G32" s="72"/>
      <c r="H32" s="72"/>
      <c r="I32" s="71"/>
      <c r="J32" s="73"/>
      <c r="K32" t="str" s="73" cm="1">
        <f t="array" ref="K32">"PPN (C) = "&amp;MAX(K3:K29)&amp;"% x B"</f>
        <v>PPN (C) = 11,00% x B</v>
      </c>
      <c r="L32" s="74" cm="1">
        <f t="array" ref="L32">L31*MAX($K3:$K29)%</f>
        <v>14834441.2359</v>
      </c>
      <c r="M32" s="69" cm="1">
        <f t="array" ref="M32">M31*MAX($K3:$K29)%</f>
        <v>14824802.7598</v>
      </c>
      <c r="N32" s="69" cm="1">
        <f t="array" ref="N32">N31*MAX($K3:$K29)%</f>
        <v>14824802.7598</v>
      </c>
    </row>
    <row r="33" ht="21" customHeight="1">
      <c r="A33" s="70"/>
      <c r="B33" s="71"/>
      <c r="C33" s="71"/>
      <c r="D33" s="72"/>
      <c r="E33" s="72"/>
      <c r="F33" s="72"/>
      <c r="G33" s="72"/>
      <c r="H33" s="72"/>
      <c r="I33" s="71"/>
      <c r="J33" s="73"/>
      <c r="K33" t="s" s="75">
        <v>42</v>
      </c>
      <c r="L33" s="76" cm="1">
        <f t="array" ref="L33">L30+L32</f>
        <v>149999228.9759</v>
      </c>
      <c r="M33" s="69" cm="1">
        <f t="array" ref="M33">M30+M32</f>
        <v>149901801.7198</v>
      </c>
      <c r="N33" s="69" cm="1">
        <f t="array" ref="N33">N30+N32</f>
        <v>149901801.7198</v>
      </c>
    </row>
    <row r="34" ht="20.5" customHeight="1">
      <c r="A34" s="70"/>
      <c r="B34" s="71"/>
      <c r="C34" s="71"/>
      <c r="D34" s="72"/>
      <c r="E34" s="72"/>
      <c r="F34" s="72"/>
      <c r="G34" s="72"/>
      <c r="H34" s="72"/>
      <c r="I34" s="71"/>
      <c r="J34" s="73"/>
      <c r="K34" t="s" s="75">
        <v>43</v>
      </c>
      <c r="L34" s="68" cm="1">
        <f t="array" ref="L34">ROUNDDOWN(L33,2)</f>
        <v>149999228.97</v>
      </c>
      <c r="M34" s="68" cm="1">
        <f t="array" ref="M34">ROUNDDOWN(M33,2)</f>
        <v>149901801.71</v>
      </c>
      <c r="N34" s="68" cm="1">
        <f t="array" ref="N34">ROUNDDOWN(N33,-3)</f>
        <v>149901000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drawing r:id="rId1"/>
</worksheet>
</file>

<file path=xl/worksheets/sheet112.xml><?xml version="1.0" encoding="utf-8"?>
<worksheet xmlns:r="http://schemas.openxmlformats.org/officeDocument/2006/relationships" xmlns="http://schemas.openxmlformats.org/spreadsheetml/2006/main">
  <sheetPr>
    <pageSetUpPr fitToPage="1"/>
  </sheetPr>
  <dimension ref="A1:N38"/>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304" customWidth="1"/>
    <col min="2" max="2" width="43.0312" style="304" customWidth="1"/>
    <col min="3" max="3" width="2.75" style="304" customWidth="1"/>
    <col min="4" max="6" width="10.3672" style="304" customWidth="1"/>
    <col min="7" max="7" width="11.6875" style="304" customWidth="1"/>
    <col min="8" max="11" width="13.5156" style="304" customWidth="1"/>
    <col min="12" max="14" width="14.2344" style="304" customWidth="1"/>
    <col min="15" max="16384" width="16.3516" style="304"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133</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s="95">
        <v>1</v>
      </c>
      <c r="B4" t="s" s="19">
        <v>134</v>
      </c>
      <c r="C4" s="20"/>
      <c r="D4" s="21">
        <v>1</v>
      </c>
      <c r="E4" s="21" cm="1">
        <f t="array" ref="E4">D4</f>
        <v>1</v>
      </c>
      <c r="F4" s="21" cm="1">
        <f t="array" ref="F4">D4</f>
        <v>1</v>
      </c>
      <c r="G4" t="s" s="22">
        <v>19</v>
      </c>
      <c r="H4" s="21">
        <v>1100000</v>
      </c>
      <c r="I4" s="21">
        <v>1095000</v>
      </c>
      <c r="J4" s="21">
        <v>1095000</v>
      </c>
      <c r="K4" s="21">
        <v>11</v>
      </c>
      <c r="L4" s="21" cm="1">
        <f t="array" ref="L4">IF(D4&gt;0,IF($D4&lt;=0,0,D4*H4),"")</f>
        <v>1100000</v>
      </c>
      <c r="M4" s="21" cm="1">
        <f t="array" ref="M4">IF(E4&gt;0,IF($D4&lt;=0,0,ROUND(E4*I4,2)),"")</f>
        <v>1095000</v>
      </c>
      <c r="N4" s="23" cm="1">
        <f t="array" ref="N4">IF(F4&gt;0,IF($D4&lt;=0,0,ROUND(F4*J4,2)),"")</f>
        <v>1095000</v>
      </c>
    </row>
    <row r="5" ht="20.5" customHeight="1">
      <c r="A5" s="29"/>
      <c r="B5" t="s" s="19">
        <v>144</v>
      </c>
      <c r="C5" s="24"/>
      <c r="D5" s="26">
        <v>1</v>
      </c>
      <c r="E5" s="26" cm="1">
        <f t="array" ref="E5">D5</f>
        <v>1</v>
      </c>
      <c r="F5" s="26" cm="1">
        <f t="array" ref="F5">D5</f>
        <v>1</v>
      </c>
      <c r="G5" t="s" s="27">
        <v>19</v>
      </c>
      <c r="H5" s="26">
        <v>650000</v>
      </c>
      <c r="I5" s="26">
        <v>630000</v>
      </c>
      <c r="J5" s="26">
        <v>630000</v>
      </c>
      <c r="K5" s="26">
        <v>11</v>
      </c>
      <c r="L5" s="26" cm="1">
        <f t="array" ref="L5">IF(D5&gt;0,IF($D5&lt;=0,0,D5*H5),"")</f>
        <v>650000</v>
      </c>
      <c r="M5" s="26" cm="1">
        <f t="array" ref="M5">IF(E5&gt;0,IF($D5&lt;=0,0,ROUND(E5*I5,2)),"")</f>
        <v>630000</v>
      </c>
      <c r="N5" s="28" cm="1">
        <f t="array" ref="N5">IF(F5&gt;0,IF($D5&lt;=0,0,ROUND(F5*J5,2)),"")</f>
        <v>630000</v>
      </c>
    </row>
    <row r="6" ht="20.5" customHeight="1">
      <c r="A6" s="95">
        <v>2</v>
      </c>
      <c r="B6" t="s" s="19">
        <v>371</v>
      </c>
      <c r="C6" s="20"/>
      <c r="D6" s="78">
        <v>1</v>
      </c>
      <c r="E6" s="21" cm="1">
        <f t="array" ref="E6">D6</f>
        <v>1</v>
      </c>
      <c r="F6" s="21" cm="1">
        <f t="array" ref="F6">D6</f>
        <v>1</v>
      </c>
      <c r="G6" t="s" s="22">
        <v>19</v>
      </c>
      <c r="H6" s="21">
        <v>300000</v>
      </c>
      <c r="I6" s="21">
        <v>280000</v>
      </c>
      <c r="J6" s="21">
        <v>280000</v>
      </c>
      <c r="K6" s="21">
        <v>11</v>
      </c>
      <c r="L6" s="21" cm="1">
        <f t="array" ref="L6">IF(D6&gt;0,IF($D6&lt;=0,0,D6*H6),"")</f>
        <v>300000</v>
      </c>
      <c r="M6" s="21" cm="1">
        <f t="array" ref="M6">IF(E6&gt;0,IF($D6&lt;=0,0,ROUND(E6*I6,2)),"")</f>
        <v>280000</v>
      </c>
      <c r="N6" s="23" cm="1">
        <f t="array" ref="N6">IF(F6&gt;0,IF($D6&lt;=0,0,ROUND(F6*J6,2)),"")</f>
        <v>280000</v>
      </c>
    </row>
    <row r="7" ht="20.5" customHeight="1">
      <c r="A7" s="29"/>
      <c r="B7" t="s" s="19">
        <v>145</v>
      </c>
      <c r="C7" s="24"/>
      <c r="D7" s="30"/>
      <c r="E7" s="26"/>
      <c r="F7" s="26"/>
      <c r="G7" s="30"/>
      <c r="H7" s="26"/>
      <c r="I7" s="30"/>
      <c r="J7" s="30"/>
      <c r="K7" s="26"/>
      <c r="L7" t="str" s="30" cm="1">
        <f t="array" ref="L7">IF(D7&gt;0,IF($D7&lt;=0,0,D7*H7),"")</f>
      </c>
      <c r="M7" t="str" s="30" cm="1">
        <f t="array" ref="M7">IF(E7&gt;0,IF($D7&lt;=0,0,ROUND(E7*I7,2)),"")</f>
      </c>
      <c r="N7" t="str" s="31" cm="1">
        <f t="array" ref="N7">IF(F7&gt;0,IF($D7&lt;=0,0,ROUND(F7*J7,2)),"")</f>
      </c>
    </row>
    <row r="8" ht="20.5" customHeight="1">
      <c r="A8" s="29"/>
      <c r="B8" t="s" s="19">
        <v>374</v>
      </c>
      <c r="C8" s="20"/>
      <c r="D8" s="79"/>
      <c r="E8" s="21"/>
      <c r="F8" s="21"/>
      <c r="G8" s="79"/>
      <c r="H8" s="21"/>
      <c r="I8" s="79"/>
      <c r="J8" s="79"/>
      <c r="K8" s="21"/>
      <c r="L8" t="str" s="79" cm="1">
        <f t="array" ref="L8">IF(D8&gt;0,IF($D8&lt;=0,0,D8*H8),"")</f>
      </c>
      <c r="M8" t="str" s="79" cm="1">
        <f t="array" ref="M8">IF(E8&gt;0,IF($D8&lt;=0,0,ROUND(E8*I8,2)),"")</f>
      </c>
      <c r="N8" t="str" s="91" cm="1">
        <f t="array" ref="N8">IF(F8&gt;0,IF($D8&lt;=0,0,ROUND(F8*J8,2)),"")</f>
      </c>
    </row>
    <row r="9" ht="20.5" customHeight="1">
      <c r="A9" s="95">
        <v>1</v>
      </c>
      <c r="B9" t="s" s="19">
        <v>147</v>
      </c>
      <c r="C9" s="24"/>
      <c r="D9" s="25">
        <v>110</v>
      </c>
      <c r="E9" s="26" cm="1">
        <f t="array" ref="E9">D9</f>
        <v>110</v>
      </c>
      <c r="F9" s="26" cm="1">
        <f t="array" ref="F9">D9</f>
        <v>110</v>
      </c>
      <c r="G9" t="s" s="27">
        <v>140</v>
      </c>
      <c r="H9" s="26">
        <v>90562.5</v>
      </c>
      <c r="I9" s="26">
        <v>90203.13</v>
      </c>
      <c r="J9" s="26">
        <v>90203.13</v>
      </c>
      <c r="K9" s="26">
        <v>11</v>
      </c>
      <c r="L9" s="26" cm="1">
        <f t="array" ref="L9">IF(D9&gt;0,IF($D9&lt;=0,0,D9*H9),"")</f>
        <v>9961875</v>
      </c>
      <c r="M9" s="26" cm="1">
        <f t="array" ref="M9">IF(E9&gt;0,IF($D9&lt;=0,0,ROUND(E9*I9,2)),"")</f>
        <v>9922344.300000001</v>
      </c>
      <c r="N9" s="28" cm="1">
        <f t="array" ref="N9">IF(F9&gt;0,IF($D9&lt;=0,0,ROUND(F9*J9,2)),"")</f>
        <v>9922344.300000001</v>
      </c>
    </row>
    <row r="10" ht="20.5" customHeight="1">
      <c r="A10" s="95">
        <v>2</v>
      </c>
      <c r="B10" t="s" s="19">
        <v>148</v>
      </c>
      <c r="C10" s="20"/>
      <c r="D10" s="78">
        <v>26.4</v>
      </c>
      <c r="E10" s="21" cm="1">
        <f t="array" ref="E10">D10</f>
        <v>26.4</v>
      </c>
      <c r="F10" s="21" cm="1">
        <f t="array" ref="F10">D10</f>
        <v>26.4</v>
      </c>
      <c r="G10" t="s" s="22">
        <v>140</v>
      </c>
      <c r="H10" s="21">
        <v>66125</v>
      </c>
      <c r="I10" s="21">
        <v>65866.25</v>
      </c>
      <c r="J10" s="21">
        <v>65866.25</v>
      </c>
      <c r="K10" s="21">
        <v>11</v>
      </c>
      <c r="L10" s="21" cm="1">
        <f t="array" ref="L10">IF(D10&gt;0,IF($D10&lt;=0,0,D10*H10),"")</f>
        <v>1745700</v>
      </c>
      <c r="M10" s="21" cm="1">
        <f t="array" ref="M10">IF(E10&gt;0,IF($D10&lt;=0,0,ROUND(E10*I10,2)),"")</f>
        <v>1738869</v>
      </c>
      <c r="N10" s="23" cm="1">
        <f t="array" ref="N10">IF(F10&gt;0,IF($D10&lt;=0,0,ROUND(F10*J10,2)),"")</f>
        <v>1738869</v>
      </c>
    </row>
    <row r="11" ht="20.5" customHeight="1">
      <c r="A11" s="95">
        <v>3</v>
      </c>
      <c r="B11" t="s" s="19">
        <v>497</v>
      </c>
      <c r="C11" s="24"/>
      <c r="D11" s="26">
        <v>6.88</v>
      </c>
      <c r="E11" s="26" cm="1">
        <f t="array" ref="E11">D11</f>
        <v>6.88</v>
      </c>
      <c r="F11" s="26" cm="1">
        <f t="array" ref="F11">D11</f>
        <v>6.88</v>
      </c>
      <c r="G11" t="s" s="27">
        <v>140</v>
      </c>
      <c r="H11" s="26">
        <v>298425</v>
      </c>
      <c r="I11" s="122">
        <v>298281.25</v>
      </c>
      <c r="J11" s="122">
        <v>298281.25</v>
      </c>
      <c r="K11" s="26">
        <v>11</v>
      </c>
      <c r="L11" s="26" cm="1">
        <f t="array" ref="L11">IF(D11&gt;0,IF($D11&lt;=0,0,D11*H11),"")</f>
        <v>2053164</v>
      </c>
      <c r="M11" s="26" cm="1">
        <f t="array" ref="M11">IF(E11&gt;0,IF($D11&lt;=0,0,ROUND(E11*I11,2)),"")</f>
        <v>2052175</v>
      </c>
      <c r="N11" s="28" cm="1">
        <f t="array" ref="N11">IF(F11&gt;0,IF($D11&lt;=0,0,ROUND(F11*J11,2)),"")</f>
        <v>2052175</v>
      </c>
    </row>
    <row r="12" ht="20.5" customHeight="1">
      <c r="A12" s="95">
        <v>4</v>
      </c>
      <c r="B12" t="s" s="19">
        <v>375</v>
      </c>
      <c r="C12" s="20"/>
      <c r="D12" s="78">
        <v>6.05</v>
      </c>
      <c r="E12" s="21" cm="1">
        <f t="array" ref="E12">D12</f>
        <v>6.05</v>
      </c>
      <c r="F12" s="21" cm="1">
        <f t="array" ref="F12">D12</f>
        <v>6.05</v>
      </c>
      <c r="G12" t="s" s="22">
        <v>140</v>
      </c>
      <c r="H12" s="21">
        <v>1278929.76</v>
      </c>
      <c r="I12" s="21">
        <v>1278106.93</v>
      </c>
      <c r="J12" s="21">
        <v>1278106.93</v>
      </c>
      <c r="K12" s="21">
        <v>11</v>
      </c>
      <c r="L12" s="21" cm="1">
        <f t="array" ref="L12">IF(D12&gt;0,IF($D12&lt;=0,0,D12*H12),"")</f>
        <v>7737525.048</v>
      </c>
      <c r="M12" s="21" cm="1">
        <f t="array" ref="M12">IF(E12&gt;0,IF($D12&lt;=0,0,ROUND(E12*I12,2)),"")</f>
        <v>7732546.93</v>
      </c>
      <c r="N12" s="23" cm="1">
        <f t="array" ref="N12">IF(F12&gt;0,IF($D12&lt;=0,0,ROUND(F12*J12,2)),"")</f>
        <v>7732546.93</v>
      </c>
    </row>
    <row r="13" ht="32.5" customHeight="1">
      <c r="A13" s="95">
        <v>5</v>
      </c>
      <c r="B13" t="s" s="19">
        <v>150</v>
      </c>
      <c r="C13" s="24"/>
      <c r="D13" s="25">
        <v>80.3</v>
      </c>
      <c r="E13" s="26" cm="1">
        <f t="array" ref="E13">D13</f>
        <v>80.3</v>
      </c>
      <c r="F13" s="26" cm="1">
        <f t="array" ref="F13">D13</f>
        <v>80.3</v>
      </c>
      <c r="G13" t="s" s="27">
        <v>140</v>
      </c>
      <c r="H13" s="26">
        <v>1036150</v>
      </c>
      <c r="I13" s="26">
        <v>1035281.75</v>
      </c>
      <c r="J13" s="26">
        <v>1035281.75</v>
      </c>
      <c r="K13" s="26">
        <v>11</v>
      </c>
      <c r="L13" s="26" cm="1">
        <f t="array" ref="L13">IF(D13&gt;0,IF($D13&lt;=0,0,D13*H13),"")</f>
        <v>83202845</v>
      </c>
      <c r="M13" s="26" cm="1">
        <f t="array" ref="M13">IF(E13&gt;0,IF($D13&lt;=0,0,ROUND(E13*I13,2)),"")</f>
        <v>83133124.53</v>
      </c>
      <c r="N13" s="28" cm="1">
        <f t="array" ref="N13">IF(F13&gt;0,IF($D13&lt;=0,0,ROUND(F13*J13,2)),"")</f>
        <v>83133124.53</v>
      </c>
    </row>
    <row r="14" ht="20.5" customHeight="1">
      <c r="A14" s="95">
        <v>6</v>
      </c>
      <c r="B14" t="s" s="19">
        <v>376</v>
      </c>
      <c r="C14" s="20"/>
      <c r="D14" s="21">
        <v>209</v>
      </c>
      <c r="E14" s="21" cm="1">
        <f t="array" ref="E14">D14</f>
        <v>209</v>
      </c>
      <c r="F14" s="21" cm="1">
        <f t="array" ref="F14">D14</f>
        <v>209</v>
      </c>
      <c r="G14" t="s" s="22">
        <v>142</v>
      </c>
      <c r="H14" s="21">
        <v>75297.399999999994</v>
      </c>
      <c r="I14" s="32">
        <v>75142.149999999994</v>
      </c>
      <c r="J14" s="32">
        <v>75142.149999999994</v>
      </c>
      <c r="K14" s="21">
        <v>11</v>
      </c>
      <c r="L14" s="21" cm="1">
        <f t="array" ref="L14">IF(D14&gt;0,IF($D14&lt;=0,0,D14*H14),"")</f>
        <v>15737156.6</v>
      </c>
      <c r="M14" s="21" cm="1">
        <f t="array" ref="M14">IF(E14&gt;0,IF($D14&lt;=0,0,ROUND(E14*I14,2)),"")</f>
        <v>15704709.35</v>
      </c>
      <c r="N14" s="23" cm="1">
        <f t="array" ref="N14">IF(F14&gt;0,IF($D14&lt;=0,0,ROUND(F14*J14,2)),"")</f>
        <v>15704709.35</v>
      </c>
    </row>
    <row r="15" ht="20.5" customHeight="1">
      <c r="A15" s="95">
        <v>6</v>
      </c>
      <c r="B15" t="s" s="19">
        <v>377</v>
      </c>
      <c r="C15" s="24"/>
      <c r="D15" s="26">
        <v>269.5</v>
      </c>
      <c r="E15" s="26" cm="1">
        <f t="array" ref="E15">D15</f>
        <v>269.5</v>
      </c>
      <c r="F15" s="26" cm="1">
        <f t="array" ref="F15">D15</f>
        <v>269.5</v>
      </c>
      <c r="G15" t="s" s="27">
        <v>142</v>
      </c>
      <c r="H15" s="26">
        <v>45856.25</v>
      </c>
      <c r="I15" s="122">
        <v>45752.75</v>
      </c>
      <c r="J15" s="122">
        <v>45752.75</v>
      </c>
      <c r="K15" s="26">
        <v>11</v>
      </c>
      <c r="L15" s="26" cm="1">
        <f t="array" ref="L15">IF(D15&gt;0,IF($D15&lt;=0,0,D15*H15),"")</f>
        <v>12358259.375</v>
      </c>
      <c r="M15" s="26" cm="1">
        <f t="array" ref="M15">IF(E15&gt;0,IF($D15&lt;=0,0,ROUND(E15*I15,2)),"")</f>
        <v>12330366.13</v>
      </c>
      <c r="N15" s="28" cm="1">
        <f t="array" ref="N15">IF(F15&gt;0,IF($D15&lt;=0,0,ROUND(F15*J15,2)),"")</f>
        <v>12330366.13</v>
      </c>
    </row>
    <row r="16" ht="20.5" customHeight="1">
      <c r="A16" s="29"/>
      <c r="B16" t="s" s="19">
        <v>36</v>
      </c>
      <c r="C16" s="20"/>
      <c r="D16" s="21"/>
      <c r="E16" s="21"/>
      <c r="F16" s="21"/>
      <c r="G16" s="79"/>
      <c r="H16" s="79"/>
      <c r="I16" s="79"/>
      <c r="J16" s="79"/>
      <c r="K16" s="21"/>
      <c r="L16" t="str" s="79" cm="1">
        <f t="array" ref="L16">IF(D16&gt;0,IF($D16&lt;=0,0,D16*H16),"")</f>
      </c>
      <c r="M16" s="21"/>
      <c r="N16" s="23"/>
    </row>
    <row r="17" ht="20.6" customHeight="1">
      <c r="A17" s="33">
        <v>1</v>
      </c>
      <c r="B17" t="s" s="34">
        <v>37</v>
      </c>
      <c r="C17" s="80"/>
      <c r="D17" s="81">
        <v>1</v>
      </c>
      <c r="E17" s="81" cm="1">
        <f t="array" ref="E17">D17</f>
        <v>1</v>
      </c>
      <c r="F17" s="81" cm="1">
        <f t="array" ref="F17">D17</f>
        <v>1</v>
      </c>
      <c r="G17" t="s" s="82">
        <v>19</v>
      </c>
      <c r="H17" s="81">
        <v>240000</v>
      </c>
      <c r="I17" s="81">
        <v>305776.36</v>
      </c>
      <c r="J17" s="81">
        <v>305776.36</v>
      </c>
      <c r="K17" s="81">
        <v>0</v>
      </c>
      <c r="L17" s="81" cm="1">
        <f t="array" ref="L17">IF(D17&gt;0,IF($D17&lt;=0,0,D17*H17),"")</f>
        <v>240000</v>
      </c>
      <c r="M17" s="81" cm="1">
        <f t="array" ref="M17">IF(E17&gt;0,IF($D17&lt;=0,0,ROUND(E17*I17,2)),"")</f>
        <v>305776.36</v>
      </c>
      <c r="N17" s="83" cm="1">
        <f t="array" ref="N17">IF(F17&gt;0,IF($D17&lt;=0,0,ROUND(F17*J17,2)),"")</f>
        <v>305776.36</v>
      </c>
    </row>
    <row r="18" ht="8.75" customHeight="1" hidden="1">
      <c r="A18" s="39"/>
      <c r="B18" s="40"/>
      <c r="C18" s="45"/>
      <c r="D18" s="46"/>
      <c r="E18" s="46"/>
      <c r="F18" s="46"/>
      <c r="G18" s="47"/>
      <c r="H18" s="46"/>
      <c r="I18" s="46"/>
      <c r="J18" s="46"/>
      <c r="K18" s="46"/>
      <c r="L18" s="46"/>
      <c r="M18" s="46"/>
      <c r="N18" s="48"/>
    </row>
    <row r="19" ht="8.75" customHeight="1" hidden="1">
      <c r="A19" s="39"/>
      <c r="B19" s="40"/>
      <c r="C19" s="41"/>
      <c r="D19" s="42"/>
      <c r="E19" s="42"/>
      <c r="F19" s="42"/>
      <c r="G19" s="43"/>
      <c r="H19" s="42"/>
      <c r="I19" s="42"/>
      <c r="J19" s="42"/>
      <c r="K19" s="42"/>
      <c r="L19" s="42"/>
      <c r="M19" s="42"/>
      <c r="N19" s="44"/>
    </row>
    <row r="20" ht="8.75" customHeight="1" hidden="1">
      <c r="A20" s="39"/>
      <c r="B20" s="40"/>
      <c r="C20" s="45"/>
      <c r="D20" s="46"/>
      <c r="E20" s="46"/>
      <c r="F20" s="46"/>
      <c r="G20" s="47"/>
      <c r="H20" s="46"/>
      <c r="I20" s="46"/>
      <c r="J20" s="46"/>
      <c r="K20" s="46"/>
      <c r="L20" s="46"/>
      <c r="M20" s="46"/>
      <c r="N20" s="48"/>
    </row>
    <row r="21" ht="8.75" customHeight="1" hidden="1">
      <c r="A21" s="39"/>
      <c r="B21" s="40"/>
      <c r="C21" s="41"/>
      <c r="D21" s="42"/>
      <c r="E21" s="42"/>
      <c r="F21" s="42"/>
      <c r="G21" s="43"/>
      <c r="H21" s="42"/>
      <c r="I21" s="42"/>
      <c r="J21" s="42"/>
      <c r="K21" s="42"/>
      <c r="L21" s="42"/>
      <c r="M21" s="42"/>
      <c r="N21" s="44"/>
    </row>
    <row r="22" ht="8.75" customHeight="1" hidden="1">
      <c r="A22" s="39"/>
      <c r="B22" s="40"/>
      <c r="C22" s="45"/>
      <c r="D22" s="46"/>
      <c r="E22" s="46"/>
      <c r="F22" s="46"/>
      <c r="G22" s="47"/>
      <c r="H22" s="46"/>
      <c r="I22" s="46"/>
      <c r="J22" s="46"/>
      <c r="K22" s="46"/>
      <c r="L22" s="46"/>
      <c r="M22" s="46"/>
      <c r="N22" s="48"/>
    </row>
    <row r="23" ht="8.75" customHeight="1" hidden="1">
      <c r="A23" s="39"/>
      <c r="B23" s="40"/>
      <c r="C23" s="41"/>
      <c r="D23" s="42"/>
      <c r="E23" s="42"/>
      <c r="F23" s="42"/>
      <c r="G23" s="43"/>
      <c r="H23" s="42"/>
      <c r="I23" s="42"/>
      <c r="J23" s="42"/>
      <c r="K23" s="42"/>
      <c r="L23" s="42"/>
      <c r="M23" s="42"/>
      <c r="N23" s="44"/>
    </row>
    <row r="24" ht="8.75" customHeight="1" hidden="1">
      <c r="A24" s="39"/>
      <c r="B24" s="40"/>
      <c r="C24" s="45"/>
      <c r="D24" s="46"/>
      <c r="E24" s="46"/>
      <c r="F24" s="46"/>
      <c r="G24" s="47"/>
      <c r="H24" s="47"/>
      <c r="I24" s="47"/>
      <c r="J24" s="47"/>
      <c r="K24" s="46"/>
      <c r="L24" s="47"/>
      <c r="M24" s="47"/>
      <c r="N24" s="52"/>
    </row>
    <row r="25" ht="8.75" customHeight="1" hidden="1">
      <c r="A25" s="39"/>
      <c r="B25" s="40"/>
      <c r="C25" s="41"/>
      <c r="D25" s="42"/>
      <c r="E25" s="42"/>
      <c r="F25" s="42"/>
      <c r="G25" s="43"/>
      <c r="H25" s="84"/>
      <c r="I25" s="84"/>
      <c r="J25" s="84"/>
      <c r="K25" s="42"/>
      <c r="L25" s="42"/>
      <c r="M25" s="42"/>
      <c r="N25" s="44"/>
    </row>
    <row r="26" ht="8.75" customHeight="1" hidden="1">
      <c r="A26" s="39"/>
      <c r="B26" s="40"/>
      <c r="C26" s="45"/>
      <c r="D26" s="46"/>
      <c r="E26" s="46"/>
      <c r="F26" s="46"/>
      <c r="G26" s="47"/>
      <c r="H26" s="47"/>
      <c r="I26" s="47"/>
      <c r="J26" s="47"/>
      <c r="K26" s="46"/>
      <c r="L26" s="47"/>
      <c r="M26" s="47"/>
      <c r="N26" s="52"/>
    </row>
    <row r="27" ht="8.75" customHeight="1" hidden="1">
      <c r="A27" s="39"/>
      <c r="B27" s="40"/>
      <c r="C27" s="41"/>
      <c r="D27" s="42"/>
      <c r="E27" s="42"/>
      <c r="F27" s="42"/>
      <c r="G27" s="43"/>
      <c r="H27" s="42"/>
      <c r="I27" s="42"/>
      <c r="J27" s="42"/>
      <c r="K27" s="42"/>
      <c r="L27" s="42"/>
      <c r="M27" s="42"/>
      <c r="N27" s="44"/>
    </row>
    <row r="28" ht="8.75" customHeight="1" hidden="1">
      <c r="A28" s="39"/>
      <c r="B28" s="40"/>
      <c r="C28" s="45"/>
      <c r="D28" s="46"/>
      <c r="E28" s="46"/>
      <c r="F28" s="46"/>
      <c r="G28" s="47"/>
      <c r="H28" s="46"/>
      <c r="I28" s="46"/>
      <c r="J28" s="46"/>
      <c r="K28" s="46"/>
      <c r="L28" s="46"/>
      <c r="M28" s="46"/>
      <c r="N28" s="48"/>
    </row>
    <row r="29" ht="8.75" customHeight="1" hidden="1">
      <c r="A29" s="51"/>
      <c r="B29" s="40"/>
      <c r="C29" s="41"/>
      <c r="D29" s="42"/>
      <c r="E29" s="42"/>
      <c r="F29" s="42"/>
      <c r="G29" s="43"/>
      <c r="H29" s="42"/>
      <c r="I29" s="42"/>
      <c r="J29" s="42"/>
      <c r="K29" s="42"/>
      <c r="L29" s="42"/>
      <c r="M29" s="42"/>
      <c r="N29" s="44"/>
    </row>
    <row r="30" ht="8.75" customHeight="1" hidden="1">
      <c r="A30" s="51"/>
      <c r="B30" s="40"/>
      <c r="C30" s="45"/>
      <c r="D30" s="46"/>
      <c r="E30" s="46"/>
      <c r="F30" s="46"/>
      <c r="G30" s="47"/>
      <c r="H30" s="46"/>
      <c r="I30" s="46"/>
      <c r="J30" s="46"/>
      <c r="K30" s="46"/>
      <c r="L30" s="46"/>
      <c r="M30" s="46"/>
      <c r="N30" s="48"/>
    </row>
    <row r="31" ht="8.75" customHeight="1" hidden="1">
      <c r="A31" s="39"/>
      <c r="B31" s="40"/>
      <c r="C31" s="41"/>
      <c r="D31" s="42"/>
      <c r="E31" s="42"/>
      <c r="F31" s="42"/>
      <c r="G31" s="43"/>
      <c r="H31" s="42"/>
      <c r="I31" s="42"/>
      <c r="J31" s="42"/>
      <c r="K31" s="42"/>
      <c r="L31" s="43"/>
      <c r="M31" s="43"/>
      <c r="N31" s="49"/>
    </row>
    <row r="32" ht="8.75" customHeight="1" hidden="1">
      <c r="A32" s="39"/>
      <c r="B32" s="40"/>
      <c r="C32" s="45"/>
      <c r="D32" s="46"/>
      <c r="E32" s="46"/>
      <c r="F32" s="46"/>
      <c r="G32" s="47"/>
      <c r="H32" s="46"/>
      <c r="I32" s="46"/>
      <c r="J32" s="46"/>
      <c r="K32" s="46"/>
      <c r="L32" s="46"/>
      <c r="M32" s="46"/>
      <c r="N32" s="48"/>
    </row>
    <row r="33" ht="8.75" customHeight="1" hidden="1">
      <c r="A33" s="39"/>
      <c r="B33" s="40"/>
      <c r="C33" s="41"/>
      <c r="D33" s="42"/>
      <c r="E33" s="42"/>
      <c r="F33" s="42"/>
      <c r="G33" s="43"/>
      <c r="H33" s="42"/>
      <c r="I33" s="42"/>
      <c r="J33" s="42"/>
      <c r="K33" s="42"/>
      <c r="L33" s="43"/>
      <c r="M33" s="43"/>
      <c r="N33" s="49"/>
    </row>
    <row r="34" ht="20.85" customHeight="1">
      <c r="A34" s="53"/>
      <c r="B34" s="54"/>
      <c r="C34" s="54"/>
      <c r="D34" s="55"/>
      <c r="E34" s="55"/>
      <c r="F34" s="55"/>
      <c r="G34" s="56"/>
      <c r="H34" s="56"/>
      <c r="I34" s="54"/>
      <c r="J34" s="57"/>
      <c r="K34" t="s" s="58">
        <v>38</v>
      </c>
      <c r="L34" s="59" cm="1">
        <f t="array" ref="L34">SUM(L1:L33)</f>
        <v>135086525.023</v>
      </c>
      <c r="M34" s="59" cm="1">
        <f t="array" ref="M34">SUM(M1:M33)</f>
        <v>134924911.6</v>
      </c>
      <c r="N34" s="59" cm="1">
        <f t="array" ref="N34">SUM(N1:N33)</f>
        <v>134924911.6</v>
      </c>
    </row>
    <row r="35" ht="21" customHeight="1">
      <c r="A35" s="60"/>
      <c r="B35" t="s" s="61">
        <v>39</v>
      </c>
      <c r="C35" s="62"/>
      <c r="D35" s="63" cm="1">
        <f t="array" ref="D35">ROUND(IF(L35&lt;=100000000,L35*0.24%,IF(AND(L35&gt;100000000,L35&lt;=500000000),100000000*0.24%+(L35-100000000)*0.19%,IF(AND(L35&gt;500000000,L35&lt;=1000000000),100000000*0.24%+400000000*0.19%+(L35-500000000)*0.15%,IF(AND(L35&gt;1000000000,L35&lt;=5000000000),100000000*0.24%+400000000*0.19%+500000000*0.15%+(L35-1000000000)*0.12%,IF(L35&gt;5000000000,100000000*0.24%+400000000*0.19%+500000000*0.15%+4000000000*0.12%+(L35-5000000000)*0.1%,"Bingung komputer"))))),2)</f>
        <v>306208.4</v>
      </c>
      <c r="E35" s="64" cm="1">
        <f t="array" ref="E35">ROUND(IF(M35&lt;=100000000,M35*0.24%,IF(AND(M35&gt;100000000,M35&lt;=500000000),100000000*0.24%+(M35-100000000)*0.19%,IF(AND(M35&gt;500000000,M35&lt;=1000000000),100000000*0.24%+400000000*0.19%+(M35-500000000)*0.15%,IF(AND(M35&gt;1000000000,M35&lt;=5000000000),100000000*0.24%+400000000*0.19%+500000000*0.15%+(M35-1000000000)*0.12%,IF(M35&gt;5000000000,100000000*0.24%+400000000*0.19%+500000000*0.15%+4000000000*0.12%+(M35-5000000000)*0.1%,"Bingung komputer"))))),2)</f>
        <v>305776.36</v>
      </c>
      <c r="F35" s="64" cm="1">
        <f t="array" ref="F35">ROUND(IF(N35&lt;=100000000,N35*0.24%,IF(AND(N35&gt;100000000,N35&lt;=500000000),100000000*0.24%+(N35-100000000)*0.19%,IF(AND(N35&gt;500000000,N35&lt;=1000000000),100000000*0.24%+400000000*0.19%+(N35-500000000)*0.15%,IF(AND(N35&gt;1000000000,N35&lt;=5000000000),100000000*0.24%+400000000*0.19%+500000000*0.15%+(N35-1000000000)*0.12%,IF(N35&gt;5000000000,100000000*0.24%+400000000*0.19%+500000000*0.15%+4000000000*0.12%+(N35-5000000000)*0.1%,"Bingung komputer"))))),2)</f>
        <v>305776.36</v>
      </c>
      <c r="G35" s="65"/>
      <c r="H35" s="66"/>
      <c r="I35" s="62"/>
      <c r="J35" s="67"/>
      <c r="K35" t="str" s="67" cm="1">
        <f t="array" ref="K35">"Jumlah Terkena Pajak "&amp;MAX(K3:K33)&amp;"% (B)"</f>
        <v>Jumlah Terkena Pajak 11,00% (B)</v>
      </c>
      <c r="L35" s="68" cm="1">
        <f t="array" ref="L35">SUMIF($K3:$K33,"&gt;0",L3:L33)</f>
        <v>134846525.023</v>
      </c>
      <c r="M35" s="69" cm="1">
        <f t="array" ref="M35">SUMIF($K3:$K33,"&gt;0",M3:M33)</f>
        <v>134619135.24</v>
      </c>
      <c r="N35" s="69" cm="1">
        <f t="array" ref="N35">SUMIF($K3:$K33,"&gt;0",N3:N33)</f>
        <v>134619135.24</v>
      </c>
    </row>
    <row r="36" ht="21" customHeight="1">
      <c r="A36" s="70"/>
      <c r="B36" s="71"/>
      <c r="C36" s="71"/>
      <c r="D36" s="72"/>
      <c r="E36" s="72"/>
      <c r="F36" s="71"/>
      <c r="G36" s="72"/>
      <c r="H36" s="72"/>
      <c r="I36" s="71"/>
      <c r="J36" s="73"/>
      <c r="K36" t="str" s="73" cm="1">
        <f t="array" ref="K36">"PPN (C) = "&amp;MAX(K3:K33)&amp;"% x B"</f>
        <v>PPN (C) = 11,00% x B</v>
      </c>
      <c r="L36" s="74" cm="1">
        <f t="array" ref="L36">L35*MAX($K3:$K33)%</f>
        <v>14833117.75253</v>
      </c>
      <c r="M36" s="69" cm="1">
        <f t="array" ref="M36">M35*MAX($K3:$K33)%</f>
        <v>14808104.8764</v>
      </c>
      <c r="N36" s="69" cm="1">
        <f t="array" ref="N36">N35*MAX($K3:$K33)%</f>
        <v>14808104.8764</v>
      </c>
    </row>
    <row r="37" ht="21" customHeight="1">
      <c r="A37" s="70"/>
      <c r="B37" s="71"/>
      <c r="C37" s="71"/>
      <c r="D37" s="72"/>
      <c r="E37" s="72"/>
      <c r="F37" s="72"/>
      <c r="G37" s="72"/>
      <c r="H37" s="72"/>
      <c r="I37" s="71"/>
      <c r="J37" s="73"/>
      <c r="K37" t="s" s="75">
        <v>42</v>
      </c>
      <c r="L37" s="76" cm="1">
        <f t="array" ref="L37">L34+L36</f>
        <v>149919642.77553</v>
      </c>
      <c r="M37" s="69" cm="1">
        <f t="array" ref="M37">M34+M36</f>
        <v>149733016.4764</v>
      </c>
      <c r="N37" s="69" cm="1">
        <f t="array" ref="N37">N34+N36</f>
        <v>149733016.4764</v>
      </c>
    </row>
    <row r="38" ht="20.5" customHeight="1">
      <c r="A38" s="70"/>
      <c r="B38" s="71"/>
      <c r="C38" s="71"/>
      <c r="D38" s="72"/>
      <c r="E38" s="72"/>
      <c r="F38" s="72"/>
      <c r="G38" s="72"/>
      <c r="H38" s="72"/>
      <c r="I38" s="71"/>
      <c r="J38" s="73"/>
      <c r="K38" t="s" s="75">
        <v>43</v>
      </c>
      <c r="L38" s="68" cm="1">
        <f t="array" ref="L38">ROUNDDOWN(L37,2)</f>
        <v>149919642.77</v>
      </c>
      <c r="M38" s="68" cm="1">
        <f t="array" ref="M38">ROUNDDOWN(M37,2)</f>
        <v>149733016.47</v>
      </c>
      <c r="N38" s="68" cm="1">
        <f t="array" ref="N38">ROUNDDOWN(N37,-3)</f>
        <v>149733000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13.xml><?xml version="1.0" encoding="utf-8"?>
<worksheet xmlns:r="http://schemas.openxmlformats.org/officeDocument/2006/relationships" xmlns="http://schemas.openxmlformats.org/spreadsheetml/2006/main">
  <sheetPr>
    <pageSetUpPr fitToPage="1"/>
  </sheetPr>
  <dimension ref="A1:N35"/>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305" customWidth="1"/>
    <col min="2" max="2" width="43.0312" style="305" customWidth="1"/>
    <col min="3" max="3" width="2.75" style="305" customWidth="1"/>
    <col min="4" max="6" width="10.3672" style="305" customWidth="1"/>
    <col min="7" max="7" width="11.6875" style="305" customWidth="1"/>
    <col min="8" max="11" width="13.5156" style="305" customWidth="1"/>
    <col min="12" max="14" width="14.2344" style="305" customWidth="1"/>
    <col min="15" max="16384" width="16.3516" style="305"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16</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t="s" s="18">
        <v>17</v>
      </c>
      <c r="B4" t="s" s="19">
        <v>18</v>
      </c>
      <c r="C4" s="20"/>
      <c r="D4" s="21">
        <v>1</v>
      </c>
      <c r="E4" s="21" cm="1">
        <f t="array" ref="E4">D4</f>
        <v>1</v>
      </c>
      <c r="F4" s="21" cm="1">
        <f t="array" ref="F4">D4</f>
        <v>1</v>
      </c>
      <c r="G4" t="s" s="22">
        <v>19</v>
      </c>
      <c r="H4" s="21">
        <v>9832500</v>
      </c>
      <c r="I4" s="21">
        <v>9757750</v>
      </c>
      <c r="J4" s="21">
        <v>9757750</v>
      </c>
      <c r="K4" s="21">
        <v>11</v>
      </c>
      <c r="L4" s="21" cm="1">
        <f t="array" ref="L4">IF(D4&gt;0,IF($D4&lt;=0,0,D4*H4),"")</f>
        <v>9832500</v>
      </c>
      <c r="M4" s="21" cm="1">
        <f t="array" ref="M4">IF(E4&gt;0,IF($D4&lt;=0,0,ROUND(E4*I4,2)),"")</f>
        <v>9757750</v>
      </c>
      <c r="N4" s="23" cm="1">
        <f t="array" ref="N4">IF(F4&gt;0,IF($D4&lt;=0,0,ROUND(F4*J4,2)),"")</f>
        <v>9757750</v>
      </c>
    </row>
    <row r="5" ht="20.5" customHeight="1">
      <c r="A5" t="s" s="18">
        <v>20</v>
      </c>
      <c r="B5" t="s" s="19">
        <v>21</v>
      </c>
      <c r="C5" s="24"/>
      <c r="D5" s="25">
        <v>1</v>
      </c>
      <c r="E5" s="26" cm="1">
        <f t="array" ref="E5">D5</f>
        <v>1</v>
      </c>
      <c r="F5" s="26" cm="1">
        <f t="array" ref="F5">D5</f>
        <v>1</v>
      </c>
      <c r="G5" t="s" s="27">
        <v>19</v>
      </c>
      <c r="H5" s="26">
        <v>660000</v>
      </c>
      <c r="I5" s="26">
        <v>620000</v>
      </c>
      <c r="J5" s="26">
        <v>620000</v>
      </c>
      <c r="K5" s="26">
        <v>11</v>
      </c>
      <c r="L5" s="26" cm="1">
        <f t="array" ref="L5">IF(D5&gt;0,IF($D5&lt;=0,0,D5*H5),"")</f>
        <v>660000</v>
      </c>
      <c r="M5" s="26" cm="1">
        <f t="array" ref="M5">IF(E5&gt;0,IF($D5&lt;=0,0,ROUND(E5*I5,2)),"")</f>
        <v>620000</v>
      </c>
      <c r="N5" s="28" cm="1">
        <f t="array" ref="N5">IF(F5&gt;0,IF($D5&lt;=0,0,ROUND(F5*J5,2)),"")</f>
        <v>620000</v>
      </c>
    </row>
    <row r="6" ht="20.5" customHeight="1">
      <c r="A6" t="s" s="18">
        <v>22</v>
      </c>
      <c r="B6" t="s" s="19">
        <v>23</v>
      </c>
      <c r="C6" s="20"/>
      <c r="D6" s="21">
        <v>1</v>
      </c>
      <c r="E6" s="21" cm="1">
        <f t="array" ref="E6">D6</f>
        <v>1</v>
      </c>
      <c r="F6" s="21" cm="1">
        <f t="array" ref="F6">D6</f>
        <v>1</v>
      </c>
      <c r="G6" t="s" s="22">
        <v>19</v>
      </c>
      <c r="H6" s="21">
        <v>3185000</v>
      </c>
      <c r="I6" s="21">
        <v>3150000</v>
      </c>
      <c r="J6" s="21">
        <v>3150000</v>
      </c>
      <c r="K6" s="21">
        <v>11</v>
      </c>
      <c r="L6" s="21" cm="1">
        <f t="array" ref="L6">IF(D6&gt;0,IF($D6&lt;=0,0,D6*H6),"")</f>
        <v>3185000</v>
      </c>
      <c r="M6" s="21" cm="1">
        <f t="array" ref="M6">IF(E6&gt;0,IF($D6&lt;=0,0,ROUND(E6*I6,2)),"")</f>
        <v>3150000</v>
      </c>
      <c r="N6" s="23" cm="1">
        <f t="array" ref="N6">IF(F6&gt;0,IF($D6&lt;=0,0,ROUND(F6*J6,2)),"")</f>
        <v>3150000</v>
      </c>
    </row>
    <row r="7" ht="20.5" customHeight="1">
      <c r="A7" s="29"/>
      <c r="B7" t="s" s="19">
        <v>28</v>
      </c>
      <c r="C7" s="24"/>
      <c r="D7" s="30"/>
      <c r="E7" s="26"/>
      <c r="F7" s="26"/>
      <c r="G7" s="30"/>
      <c r="H7" s="26"/>
      <c r="I7" s="30"/>
      <c r="J7" s="30"/>
      <c r="K7" s="26"/>
      <c r="L7" t="str" s="30" cm="1">
        <f t="array" ref="L7">IF(D7&gt;0,IF($D7&lt;=0,0,D7*H7),"")</f>
      </c>
      <c r="M7" t="str" s="30" cm="1">
        <f t="array" ref="M7">IF(E7&gt;0,IF($D7&lt;=0,0,ROUND(E7*I7,2)),"")</f>
      </c>
      <c r="N7" t="str" s="31" cm="1">
        <f t="array" ref="N7">IF(F7&gt;0,IF($D7&lt;=0,0,ROUND(F7*J7,2)),"")</f>
      </c>
    </row>
    <row r="8" ht="20.5" customHeight="1">
      <c r="A8" t="s" s="18">
        <v>31</v>
      </c>
      <c r="B8" t="s" s="19">
        <v>47</v>
      </c>
      <c r="C8" s="20"/>
      <c r="D8" s="78">
        <v>352.8</v>
      </c>
      <c r="E8" s="21" cm="1">
        <f t="array" ref="E8">D8</f>
        <v>352.8</v>
      </c>
      <c r="F8" s="21" cm="1">
        <f t="array" ref="F8">D8</f>
        <v>352.8</v>
      </c>
      <c r="G8" t="s" s="22">
        <v>27</v>
      </c>
      <c r="H8" s="21">
        <v>159989.36</v>
      </c>
      <c r="I8" s="21">
        <v>159979.69</v>
      </c>
      <c r="J8" s="21">
        <v>159979.69</v>
      </c>
      <c r="K8" s="21">
        <v>11</v>
      </c>
      <c r="L8" s="21" cm="1">
        <f t="array" ref="L8">IF(D8&gt;0,IF($D8&lt;=0,0,D8*H8),"")</f>
        <v>56444246.208</v>
      </c>
      <c r="M8" s="21" cm="1">
        <f t="array" ref="M8">IF(E8&gt;0,IF($D8&lt;=0,0,ROUND(E8*I8,2)),"")</f>
        <v>56440834.63</v>
      </c>
      <c r="N8" s="23" cm="1">
        <f t="array" ref="N8">IF(F8&gt;0,IF($D8&lt;=0,0,ROUND(F8*J8,2)),"")</f>
        <v>56440834.63</v>
      </c>
    </row>
    <row r="9" ht="20.5" customHeight="1">
      <c r="A9" t="s" s="18">
        <v>31</v>
      </c>
      <c r="B9" t="s" s="19">
        <v>32</v>
      </c>
      <c r="C9" s="24"/>
      <c r="D9" s="25">
        <v>33.6</v>
      </c>
      <c r="E9" s="26" cm="1">
        <f t="array" ref="E9">D9</f>
        <v>33.6</v>
      </c>
      <c r="F9" s="26" cm="1">
        <f t="array" ref="F9">D9</f>
        <v>33.6</v>
      </c>
      <c r="G9" t="s" s="27">
        <v>27</v>
      </c>
      <c r="H9" s="26">
        <v>176710.76</v>
      </c>
      <c r="I9" s="26">
        <v>176710</v>
      </c>
      <c r="J9" s="26">
        <v>176710</v>
      </c>
      <c r="K9" s="26">
        <v>11</v>
      </c>
      <c r="L9" s="26" cm="1">
        <f t="array" ref="L9">IF(D9&gt;0,IF($D9&lt;=0,0,D9*H9),"")</f>
        <v>5937481.536</v>
      </c>
      <c r="M9" s="26" cm="1">
        <f t="array" ref="M9">IF(E9&gt;0,IF($D9&lt;=0,0,ROUND(E9*I9,2)),"")</f>
        <v>5937456</v>
      </c>
      <c r="N9" s="28" cm="1">
        <f t="array" ref="N9">IF(F9&gt;0,IF($D9&lt;=0,0,ROUND(F9*J9,2)),"")</f>
        <v>5937456</v>
      </c>
    </row>
    <row r="10" ht="20.5" customHeight="1">
      <c r="A10" s="29"/>
      <c r="B10" t="s" s="19">
        <v>92</v>
      </c>
      <c r="C10" s="20"/>
      <c r="D10" s="79"/>
      <c r="E10" s="21"/>
      <c r="F10" s="21"/>
      <c r="G10" s="79"/>
      <c r="H10" s="21"/>
      <c r="I10" s="79"/>
      <c r="J10" s="79"/>
      <c r="K10" s="21"/>
      <c r="L10" t="str" s="79" cm="1">
        <f t="array" ref="L10">IF(D10&gt;0,IF($D10&lt;=0,0,D10*H10),"")</f>
      </c>
      <c r="M10" t="str" s="79" cm="1">
        <f t="array" ref="M10">IF(E10&gt;0,IF($D10&lt;=0,0,ROUND(E10*I10,2)),"")</f>
      </c>
      <c r="N10" t="str" s="91" cm="1">
        <f t="array" ref="N10">IF(F10&gt;0,IF($D10&lt;=0,0,ROUND(F10*J10,2)),"")</f>
      </c>
    </row>
    <row r="11" ht="20.5" customHeight="1">
      <c r="A11" t="s" s="18">
        <v>157</v>
      </c>
      <c r="B11" t="s" s="19">
        <v>158</v>
      </c>
      <c r="C11" s="24"/>
      <c r="D11" s="25">
        <v>57.8</v>
      </c>
      <c r="E11" s="26" cm="1">
        <f t="array" ref="E11">D11</f>
        <v>57.8</v>
      </c>
      <c r="F11" s="26" cm="1">
        <f t="array" ref="F11">D11</f>
        <v>57.8</v>
      </c>
      <c r="G11" t="s" s="27">
        <v>27</v>
      </c>
      <c r="H11" s="26">
        <v>1759504</v>
      </c>
      <c r="I11" s="26">
        <v>1758638.03</v>
      </c>
      <c r="J11" s="26">
        <v>1758638.03</v>
      </c>
      <c r="K11" s="26">
        <v>11</v>
      </c>
      <c r="L11" s="26" cm="1">
        <f t="array" ref="L11">IF(D11&gt;0,IF($D11&lt;=0,0,D11*H11),"")</f>
        <v>101699331.2</v>
      </c>
      <c r="M11" s="26" cm="1">
        <f t="array" ref="M11">IF(E11&gt;0,IF($D11&lt;=0,0,ROUND(E11*I11,2)),"")</f>
        <v>101649278.13</v>
      </c>
      <c r="N11" s="28" cm="1">
        <f t="array" ref="N11">IF(F11&gt;0,IF($D11&lt;=0,0,ROUND(F11*J11,2)),"")</f>
        <v>101649278.13</v>
      </c>
    </row>
    <row r="12" ht="20.5" customHeight="1">
      <c r="A12" t="s" s="18">
        <v>99</v>
      </c>
      <c r="B12" t="s" s="19">
        <v>159</v>
      </c>
      <c r="C12" s="20"/>
      <c r="D12" s="21">
        <v>142.04</v>
      </c>
      <c r="E12" s="21" cm="1">
        <f t="array" ref="E12">D12</f>
        <v>142.04</v>
      </c>
      <c r="F12" s="21" cm="1">
        <f t="array" ref="F12">D12</f>
        <v>142.04</v>
      </c>
      <c r="G12" t="s" s="22">
        <v>154</v>
      </c>
      <c r="H12" s="21">
        <v>14388.09</v>
      </c>
      <c r="I12" s="32">
        <v>14381.47</v>
      </c>
      <c r="J12" s="32">
        <v>14381.47</v>
      </c>
      <c r="K12" s="21">
        <v>11</v>
      </c>
      <c r="L12" s="21" cm="1">
        <f t="array" ref="L12">IF(D12&gt;0,IF($D12&lt;=0,0,D12*H12),"")</f>
        <v>2043684.3036</v>
      </c>
      <c r="M12" s="21" cm="1">
        <f t="array" ref="M12">IF(E12&gt;0,IF($D12&lt;=0,0,ROUND(E12*I12,2)),"")</f>
        <v>2042744</v>
      </c>
      <c r="N12" s="23" cm="1">
        <f t="array" ref="N12">IF(F12&gt;0,IF($D12&lt;=0,0,ROUND(F12*J12,2)),"")</f>
        <v>2042744</v>
      </c>
    </row>
    <row r="13" ht="20.5" customHeight="1">
      <c r="A13" s="29"/>
      <c r="B13" t="s" s="19">
        <v>36</v>
      </c>
      <c r="C13" s="24"/>
      <c r="D13" s="26"/>
      <c r="E13" s="26"/>
      <c r="F13" s="26"/>
      <c r="G13" s="30"/>
      <c r="H13" s="30"/>
      <c r="I13" s="30"/>
      <c r="J13" s="30"/>
      <c r="K13" s="26"/>
      <c r="L13" t="str" s="30" cm="1">
        <f t="array" ref="L13">IF(D13&gt;0,IF($D13&lt;=0,0,D13*H13),"")</f>
      </c>
      <c r="M13" s="26"/>
      <c r="N13" s="28"/>
    </row>
    <row r="14" ht="20.6" customHeight="1">
      <c r="A14" s="33">
        <v>1</v>
      </c>
      <c r="B14" t="s" s="34">
        <v>37</v>
      </c>
      <c r="C14" s="35"/>
      <c r="D14" s="36">
        <v>1</v>
      </c>
      <c r="E14" s="36" cm="1">
        <f t="array" ref="E14">D14</f>
        <v>1</v>
      </c>
      <c r="F14" s="36" cm="1">
        <f t="array" ref="F14">D14</f>
        <v>1</v>
      </c>
      <c r="G14" t="s" s="37">
        <v>19</v>
      </c>
      <c r="H14" s="36">
        <v>391624.3</v>
      </c>
      <c r="I14" s="36">
        <v>391236.32</v>
      </c>
      <c r="J14" s="36">
        <v>391236.32</v>
      </c>
      <c r="K14" s="36">
        <v>0</v>
      </c>
      <c r="L14" s="36" cm="1">
        <f t="array" ref="L14">IF(D14&gt;0,IF($D14&lt;=0,0,D14*H14),"")</f>
        <v>391624.3</v>
      </c>
      <c r="M14" s="36" cm="1">
        <f t="array" ref="M14">IF(E14&gt;0,IF($D14&lt;=0,0,ROUND(E14*I14,2)),"")</f>
        <v>391236.32</v>
      </c>
      <c r="N14" s="38" cm="1">
        <f t="array" ref="N14">IF(F14&gt;0,IF($D14&lt;=0,0,ROUND(F14*J14,2)),"")</f>
        <v>391236.32</v>
      </c>
    </row>
    <row r="15" ht="8.75" customHeight="1" hidden="1">
      <c r="A15" s="39"/>
      <c r="B15" s="40"/>
      <c r="C15" s="41"/>
      <c r="D15" s="42"/>
      <c r="E15" s="42"/>
      <c r="F15" s="42"/>
      <c r="G15" s="43"/>
      <c r="H15" s="42"/>
      <c r="I15" s="42"/>
      <c r="J15" s="42"/>
      <c r="K15" s="42"/>
      <c r="L15" s="42"/>
      <c r="M15" s="42"/>
      <c r="N15" s="44"/>
    </row>
    <row r="16" ht="8.75" customHeight="1" hidden="1">
      <c r="A16" s="39"/>
      <c r="B16" s="40"/>
      <c r="C16" s="45"/>
      <c r="D16" s="46"/>
      <c r="E16" s="46"/>
      <c r="F16" s="46"/>
      <c r="G16" s="47"/>
      <c r="H16" s="46"/>
      <c r="I16" s="46"/>
      <c r="J16" s="46"/>
      <c r="K16" s="46"/>
      <c r="L16" s="46"/>
      <c r="M16" s="46"/>
      <c r="N16" s="48"/>
    </row>
    <row r="17" ht="8.75" customHeight="1" hidden="1">
      <c r="A17" s="39"/>
      <c r="B17" s="40"/>
      <c r="C17" s="41"/>
      <c r="D17" s="42"/>
      <c r="E17" s="42"/>
      <c r="F17" s="42"/>
      <c r="G17" s="43"/>
      <c r="H17" s="42"/>
      <c r="I17" s="42"/>
      <c r="J17" s="42"/>
      <c r="K17" s="42"/>
      <c r="L17" s="42"/>
      <c r="M17" s="42"/>
      <c r="N17" s="44"/>
    </row>
    <row r="18" ht="8.75" customHeight="1" hidden="1">
      <c r="A18" s="39"/>
      <c r="B18" s="40"/>
      <c r="C18" s="45"/>
      <c r="D18" s="46"/>
      <c r="E18" s="46"/>
      <c r="F18" s="46"/>
      <c r="G18" s="47"/>
      <c r="H18" s="46"/>
      <c r="I18" s="46"/>
      <c r="J18" s="46"/>
      <c r="K18" s="46"/>
      <c r="L18" s="46"/>
      <c r="M18" s="46"/>
      <c r="N18" s="48"/>
    </row>
    <row r="19" ht="8.75" customHeight="1" hidden="1">
      <c r="A19" s="39"/>
      <c r="B19" s="40"/>
      <c r="C19" s="41"/>
      <c r="D19" s="42"/>
      <c r="E19" s="42"/>
      <c r="F19" s="42"/>
      <c r="G19" s="43"/>
      <c r="H19" s="42"/>
      <c r="I19" s="42"/>
      <c r="J19" s="42"/>
      <c r="K19" s="42"/>
      <c r="L19" s="42"/>
      <c r="M19" s="42"/>
      <c r="N19" s="44"/>
    </row>
    <row r="20" ht="8.75" customHeight="1" hidden="1">
      <c r="A20" s="39"/>
      <c r="B20" s="40"/>
      <c r="C20" s="45"/>
      <c r="D20" s="46"/>
      <c r="E20" s="46"/>
      <c r="F20" s="46"/>
      <c r="G20" s="47"/>
      <c r="H20" s="46"/>
      <c r="I20" s="46"/>
      <c r="J20" s="46"/>
      <c r="K20" s="46"/>
      <c r="L20" s="46"/>
      <c r="M20" s="46"/>
      <c r="N20" s="48"/>
    </row>
    <row r="21" ht="8.75" customHeight="1" hidden="1">
      <c r="A21" s="39"/>
      <c r="B21" s="40"/>
      <c r="C21" s="41"/>
      <c r="D21" s="42"/>
      <c r="E21" s="42"/>
      <c r="F21" s="42"/>
      <c r="G21" s="43"/>
      <c r="H21" s="43"/>
      <c r="I21" s="43"/>
      <c r="J21" s="43"/>
      <c r="K21" s="42"/>
      <c r="L21" s="43"/>
      <c r="M21" s="43"/>
      <c r="N21" s="49"/>
    </row>
    <row r="22" ht="8.75" customHeight="1" hidden="1">
      <c r="A22" s="39"/>
      <c r="B22" s="40"/>
      <c r="C22" s="45"/>
      <c r="D22" s="46"/>
      <c r="E22" s="46"/>
      <c r="F22" s="46"/>
      <c r="G22" s="47"/>
      <c r="H22" s="50"/>
      <c r="I22" s="50"/>
      <c r="J22" s="50"/>
      <c r="K22" s="46"/>
      <c r="L22" s="46"/>
      <c r="M22" s="46"/>
      <c r="N22" s="48"/>
    </row>
    <row r="23" ht="8.75" customHeight="1" hidden="1">
      <c r="A23" s="39"/>
      <c r="B23" s="40"/>
      <c r="C23" s="41"/>
      <c r="D23" s="42"/>
      <c r="E23" s="42"/>
      <c r="F23" s="42"/>
      <c r="G23" s="43"/>
      <c r="H23" s="43"/>
      <c r="I23" s="43"/>
      <c r="J23" s="43"/>
      <c r="K23" s="42"/>
      <c r="L23" s="43"/>
      <c r="M23" s="43"/>
      <c r="N23" s="49"/>
    </row>
    <row r="24" ht="8.75" customHeight="1" hidden="1">
      <c r="A24" s="39"/>
      <c r="B24" s="40"/>
      <c r="C24" s="45"/>
      <c r="D24" s="46"/>
      <c r="E24" s="46"/>
      <c r="F24" s="46"/>
      <c r="G24" s="47"/>
      <c r="H24" s="46"/>
      <c r="I24" s="46"/>
      <c r="J24" s="46"/>
      <c r="K24" s="46"/>
      <c r="L24" s="46"/>
      <c r="M24" s="46"/>
      <c r="N24" s="48"/>
    </row>
    <row r="25" ht="8.75" customHeight="1" hidden="1">
      <c r="A25" s="39"/>
      <c r="B25" s="40"/>
      <c r="C25" s="41"/>
      <c r="D25" s="42"/>
      <c r="E25" s="42"/>
      <c r="F25" s="42"/>
      <c r="G25" s="43"/>
      <c r="H25" s="42"/>
      <c r="I25" s="42"/>
      <c r="J25" s="42"/>
      <c r="K25" s="42"/>
      <c r="L25" s="42"/>
      <c r="M25" s="42"/>
      <c r="N25" s="44"/>
    </row>
    <row r="26" ht="8.75" customHeight="1" hidden="1">
      <c r="A26" s="51"/>
      <c r="B26" s="40"/>
      <c r="C26" s="45"/>
      <c r="D26" s="46"/>
      <c r="E26" s="46"/>
      <c r="F26" s="46"/>
      <c r="G26" s="47"/>
      <c r="H26" s="46"/>
      <c r="I26" s="46"/>
      <c r="J26" s="46"/>
      <c r="K26" s="46"/>
      <c r="L26" s="46"/>
      <c r="M26" s="46"/>
      <c r="N26" s="48"/>
    </row>
    <row r="27" ht="8.75" customHeight="1" hidden="1">
      <c r="A27" s="51"/>
      <c r="B27" s="40"/>
      <c r="C27" s="41"/>
      <c r="D27" s="42"/>
      <c r="E27" s="42"/>
      <c r="F27" s="42"/>
      <c r="G27" s="43"/>
      <c r="H27" s="42"/>
      <c r="I27" s="42"/>
      <c r="J27" s="42"/>
      <c r="K27" s="42"/>
      <c r="L27" s="42"/>
      <c r="M27" s="42"/>
      <c r="N27" s="44"/>
    </row>
    <row r="28" ht="8.75" customHeight="1" hidden="1">
      <c r="A28" s="39"/>
      <c r="B28" s="40"/>
      <c r="C28" s="45"/>
      <c r="D28" s="46"/>
      <c r="E28" s="46"/>
      <c r="F28" s="46"/>
      <c r="G28" s="47"/>
      <c r="H28" s="46"/>
      <c r="I28" s="46"/>
      <c r="J28" s="46"/>
      <c r="K28" s="46"/>
      <c r="L28" s="47"/>
      <c r="M28" s="47"/>
      <c r="N28" s="52"/>
    </row>
    <row r="29" ht="8.75" customHeight="1" hidden="1">
      <c r="A29" s="39"/>
      <c r="B29" s="40"/>
      <c r="C29" s="41"/>
      <c r="D29" s="42"/>
      <c r="E29" s="42"/>
      <c r="F29" s="42"/>
      <c r="G29" s="43"/>
      <c r="H29" s="42"/>
      <c r="I29" s="42"/>
      <c r="J29" s="42"/>
      <c r="K29" s="42"/>
      <c r="L29" s="42"/>
      <c r="M29" s="42"/>
      <c r="N29" s="44"/>
    </row>
    <row r="30" ht="8.75" customHeight="1" hidden="1">
      <c r="A30" s="39"/>
      <c r="B30" s="40"/>
      <c r="C30" s="45"/>
      <c r="D30" s="46"/>
      <c r="E30" s="46"/>
      <c r="F30" s="46"/>
      <c r="G30" s="47"/>
      <c r="H30" s="46"/>
      <c r="I30" s="46"/>
      <c r="J30" s="46"/>
      <c r="K30" s="46"/>
      <c r="L30" s="47"/>
      <c r="M30" s="47"/>
      <c r="N30" s="52"/>
    </row>
    <row r="31" ht="20.85" customHeight="1">
      <c r="A31" s="53"/>
      <c r="B31" s="54"/>
      <c r="C31" s="54"/>
      <c r="D31" s="55"/>
      <c r="E31" s="55"/>
      <c r="F31" s="55"/>
      <c r="G31" s="56"/>
      <c r="H31" s="56"/>
      <c r="I31" s="54"/>
      <c r="J31" s="57"/>
      <c r="K31" t="s" s="58">
        <v>38</v>
      </c>
      <c r="L31" s="59" cm="1">
        <f t="array" ref="L31">SUM(L1:L30)</f>
        <v>180193867.5476</v>
      </c>
      <c r="M31" s="59" cm="1">
        <f t="array" ref="M31">SUM(M1:M30)</f>
        <v>179989299.08</v>
      </c>
      <c r="N31" s="59" cm="1">
        <f t="array" ref="N31">SUM(N1:N30)</f>
        <v>179989299.08</v>
      </c>
    </row>
    <row r="32" ht="21" customHeight="1">
      <c r="A32" s="60"/>
      <c r="B32" t="s" s="61">
        <v>39</v>
      </c>
      <c r="C32" s="62"/>
      <c r="D32" s="63" cm="1">
        <f t="array" ref="D32">ROUND(IF(L32&lt;=100000000,L32*0.24%,IF(AND(L32&gt;100000000,L32&lt;=500000000),100000000*0.24%+(L32-100000000)*0.19%,IF(AND(L32&gt;500000000,L32&lt;=1000000000),100000000*0.24%+400000000*0.19%+(L32-500000000)*0.15%,IF(AND(L32&gt;1000000000,L32&lt;=5000000000),100000000*0.24%+400000000*0.19%+500000000*0.15%+(L32-1000000000)*0.12%,IF(L32&gt;5000000000,100000000*0.24%+400000000*0.19%+500000000*0.15%+4000000000*0.12%+(L32-5000000000)*0.1%,"Bingung komputer"))))),2)</f>
        <v>391624.26</v>
      </c>
      <c r="E32" s="64" cm="1">
        <f t="array" ref="E32">ROUND(IF(M32&lt;=100000000,M32*0.24%,IF(AND(M32&gt;100000000,M32&lt;=500000000),100000000*0.24%+(M32-100000000)*0.19%,IF(AND(M32&gt;500000000,M32&lt;=1000000000),100000000*0.24%+400000000*0.19%+(M32-500000000)*0.15%,IF(AND(M32&gt;1000000000,M32&lt;=5000000000),100000000*0.24%+400000000*0.19%+500000000*0.15%+(M32-1000000000)*0.12%,IF(M32&gt;5000000000,100000000*0.24%+400000000*0.19%+500000000*0.15%+4000000000*0.12%+(M32-5000000000)*0.1%,"Bingung komputer"))))),2)</f>
        <v>391236.32</v>
      </c>
      <c r="F32" s="64" cm="1">
        <f t="array" ref="F32">ROUND(IF(N32&lt;=100000000,N32*0.24%,IF(AND(N32&gt;100000000,N32&lt;=500000000),100000000*0.24%+(N32-100000000)*0.19%,IF(AND(N32&gt;500000000,N32&lt;=1000000000),100000000*0.24%+400000000*0.19%+(N32-500000000)*0.15%,IF(AND(N32&gt;1000000000,N32&lt;=5000000000),100000000*0.24%+400000000*0.19%+500000000*0.15%+(N32-1000000000)*0.12%,IF(N32&gt;5000000000,100000000*0.24%+400000000*0.19%+500000000*0.15%+4000000000*0.12%+(N32-5000000000)*0.1%,"Bingung komputer"))))),2)</f>
        <v>391236.32</v>
      </c>
      <c r="G32" s="65"/>
      <c r="H32" s="66"/>
      <c r="I32" s="62"/>
      <c r="J32" s="67"/>
      <c r="K32" t="str" s="67" cm="1">
        <f t="array" ref="K32">"Jumlah Terkena Pajak "&amp;MAX(K3:K30)&amp;"% (B)"</f>
        <v>Jumlah Terkena Pajak 11,00% (B)</v>
      </c>
      <c r="L32" s="68" cm="1">
        <f t="array" ref="L32">SUMIF($K3:$K30,"&gt;0",L3:L30)</f>
        <v>179802243.2476</v>
      </c>
      <c r="M32" s="69" cm="1">
        <f t="array" ref="M32">SUMIF($K3:$K30,"&gt;0",M3:M30)</f>
        <v>179598062.76</v>
      </c>
      <c r="N32" s="69" cm="1">
        <f t="array" ref="N32">SUMIF($K3:$K30,"&gt;0",N3:N30)</f>
        <v>179598062.76</v>
      </c>
    </row>
    <row r="33" ht="21" customHeight="1">
      <c r="A33" s="70"/>
      <c r="B33" s="71"/>
      <c r="C33" s="71"/>
      <c r="D33" s="72"/>
      <c r="E33" s="72"/>
      <c r="F33" s="71"/>
      <c r="G33" s="72"/>
      <c r="H33" s="72"/>
      <c r="I33" s="71"/>
      <c r="J33" s="73"/>
      <c r="K33" t="str" s="73" cm="1">
        <f t="array" ref="K33">"PPN (C) = "&amp;MAX(K3:K30)&amp;"% x B"</f>
        <v>PPN (C) = 11,00% x B</v>
      </c>
      <c r="L33" s="74" cm="1">
        <f t="array" ref="L33">L32*MAX($K3:$K30)%</f>
        <v>19778246.757236</v>
      </c>
      <c r="M33" s="69" cm="1">
        <f t="array" ref="M33">M32*MAX($K3:$K30)%</f>
        <v>19755786.9036</v>
      </c>
      <c r="N33" s="69" cm="1">
        <f t="array" ref="N33">N32*MAX($K3:$K30)%</f>
        <v>19755786.9036</v>
      </c>
    </row>
    <row r="34" ht="21" customHeight="1">
      <c r="A34" s="70"/>
      <c r="B34" s="71"/>
      <c r="C34" s="71"/>
      <c r="D34" s="72"/>
      <c r="E34" s="72"/>
      <c r="F34" s="72"/>
      <c r="G34" s="72"/>
      <c r="H34" s="72"/>
      <c r="I34" s="71"/>
      <c r="J34" s="73"/>
      <c r="K34" t="s" s="75">
        <v>42</v>
      </c>
      <c r="L34" s="76" cm="1">
        <f t="array" ref="L34">L31+L33</f>
        <v>199972114.304836</v>
      </c>
      <c r="M34" s="69" cm="1">
        <f t="array" ref="M34">M31+M33</f>
        <v>199745085.9836</v>
      </c>
      <c r="N34" s="69" cm="1">
        <f t="array" ref="N34">N31+N33</f>
        <v>199745085.9836</v>
      </c>
    </row>
    <row r="35" ht="20.5" customHeight="1">
      <c r="A35" s="70"/>
      <c r="B35" s="71"/>
      <c r="C35" s="71"/>
      <c r="D35" s="72"/>
      <c r="E35" s="72"/>
      <c r="F35" s="72"/>
      <c r="G35" s="72"/>
      <c r="H35" s="72"/>
      <c r="I35" s="71"/>
      <c r="J35" s="73"/>
      <c r="K35" t="s" s="75">
        <v>43</v>
      </c>
      <c r="L35" s="68" cm="1">
        <f t="array" ref="L35">ROUNDDOWN(L34,2)</f>
        <v>199972114.3</v>
      </c>
      <c r="M35" s="68" cm="1">
        <f t="array" ref="M35">ROUNDDOWN(M34,2)</f>
        <v>199745085.98</v>
      </c>
      <c r="N35" s="68" cm="1">
        <f t="array" ref="N35">ROUNDDOWN(N34,-3)</f>
        <v>199745000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drawing r:id="rId1"/>
</worksheet>
</file>

<file path=xl/worksheets/sheet114.xml><?xml version="1.0" encoding="utf-8"?>
<worksheet xmlns:r="http://schemas.openxmlformats.org/officeDocument/2006/relationships" xmlns="http://schemas.openxmlformats.org/spreadsheetml/2006/main">
  <sheetPr>
    <pageSetUpPr fitToPage="1"/>
  </sheetPr>
  <dimension ref="A1:N38"/>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306" customWidth="1"/>
    <col min="2" max="2" width="43.0312" style="306" customWidth="1"/>
    <col min="3" max="3" width="2.75" style="306" customWidth="1"/>
    <col min="4" max="6" width="10.3672" style="306" customWidth="1"/>
    <col min="7" max="7" width="11.6875" style="306" customWidth="1"/>
    <col min="8" max="11" width="13.5156" style="306" customWidth="1"/>
    <col min="12" max="14" width="14.2344" style="306" customWidth="1"/>
    <col min="15" max="16384" width="16.3516" style="306"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133</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s="95">
        <v>1</v>
      </c>
      <c r="B4" t="s" s="19">
        <v>134</v>
      </c>
      <c r="C4" s="20"/>
      <c r="D4" s="21">
        <v>1</v>
      </c>
      <c r="E4" s="21" cm="1">
        <f t="array" ref="E4">D4</f>
        <v>1</v>
      </c>
      <c r="F4" s="21" cm="1">
        <f t="array" ref="F4">D4</f>
        <v>1</v>
      </c>
      <c r="G4" t="s" s="22">
        <v>135</v>
      </c>
      <c r="H4" s="21">
        <v>1300000</v>
      </c>
      <c r="I4" s="21">
        <v>1295000</v>
      </c>
      <c r="J4" s="21">
        <v>1295000</v>
      </c>
      <c r="K4" s="21">
        <v>11</v>
      </c>
      <c r="L4" s="21" cm="1">
        <f t="array" ref="L4">IF(D4&gt;0,IF($D4&lt;=0,0,D4*H4),"")</f>
        <v>1300000</v>
      </c>
      <c r="M4" s="21" cm="1">
        <f t="array" ref="M4">IF(E4&gt;0,IF($D4&lt;=0,0,ROUND(E4*I4,2)),"")</f>
        <v>1295000</v>
      </c>
      <c r="N4" s="23" cm="1">
        <f t="array" ref="N4">IF(F4&gt;0,IF($D4&lt;=0,0,ROUND(F4*J4,2)),"")</f>
        <v>1295000</v>
      </c>
    </row>
    <row r="5" ht="20.5" customHeight="1">
      <c r="A5" s="95">
        <v>2</v>
      </c>
      <c r="B5" t="s" s="19">
        <v>423</v>
      </c>
      <c r="C5" s="24"/>
      <c r="D5" s="26">
        <v>1</v>
      </c>
      <c r="E5" s="26" cm="1">
        <f t="array" ref="E5">D5</f>
        <v>1</v>
      </c>
      <c r="F5" s="26" cm="1">
        <f t="array" ref="F5">D5</f>
        <v>1</v>
      </c>
      <c r="G5" t="s" s="27">
        <v>135</v>
      </c>
      <c r="H5" s="26">
        <v>200000</v>
      </c>
      <c r="I5" s="26">
        <v>195000</v>
      </c>
      <c r="J5" s="26">
        <v>195000</v>
      </c>
      <c r="K5" s="26">
        <v>11</v>
      </c>
      <c r="L5" s="26" cm="1">
        <f t="array" ref="L5">IF(D5&gt;0,IF($D5&lt;=0,0,D5*H5),"")</f>
        <v>200000</v>
      </c>
      <c r="M5" s="26" cm="1">
        <f t="array" ref="M5">IF(E5&gt;0,IF($D5&lt;=0,0,ROUND(E5*I5,2)),"")</f>
        <v>195000</v>
      </c>
      <c r="N5" s="28" cm="1">
        <f t="array" ref="N5">IF(F5&gt;0,IF($D5&lt;=0,0,ROUND(F5*J5,2)),"")</f>
        <v>195000</v>
      </c>
    </row>
    <row r="6" ht="20.5" customHeight="1">
      <c r="A6" s="95">
        <v>3</v>
      </c>
      <c r="B6" t="s" s="19">
        <v>371</v>
      </c>
      <c r="C6" s="20"/>
      <c r="D6" s="78">
        <v>1</v>
      </c>
      <c r="E6" s="21" cm="1">
        <f t="array" ref="E6">D6</f>
        <v>1</v>
      </c>
      <c r="F6" s="21" cm="1">
        <f t="array" ref="F6">D6</f>
        <v>1</v>
      </c>
      <c r="G6" t="s" s="22">
        <v>135</v>
      </c>
      <c r="H6" s="21">
        <v>350000</v>
      </c>
      <c r="I6" s="21">
        <v>340000</v>
      </c>
      <c r="J6" s="21">
        <v>340000</v>
      </c>
      <c r="K6" s="21">
        <v>11</v>
      </c>
      <c r="L6" s="21" cm="1">
        <f t="array" ref="L6">IF(D6&gt;0,IF($D6&lt;=0,0,D6*H6),"")</f>
        <v>350000</v>
      </c>
      <c r="M6" s="21" cm="1">
        <f t="array" ref="M6">IF(E6&gt;0,IF($D6&lt;=0,0,ROUND(E6*I6,2)),"")</f>
        <v>340000</v>
      </c>
      <c r="N6" s="23" cm="1">
        <f t="array" ref="N6">IF(F6&gt;0,IF($D6&lt;=0,0,ROUND(F6*J6,2)),"")</f>
        <v>340000</v>
      </c>
    </row>
    <row r="7" ht="20.5" customHeight="1">
      <c r="A7" s="95">
        <v>4</v>
      </c>
      <c r="B7" t="s" s="19">
        <v>500</v>
      </c>
      <c r="C7" s="24"/>
      <c r="D7" s="30"/>
      <c r="E7" s="26"/>
      <c r="F7" s="26"/>
      <c r="G7" s="30"/>
      <c r="H7" s="26"/>
      <c r="I7" s="30"/>
      <c r="J7" s="30"/>
      <c r="K7" s="26"/>
      <c r="L7" t="str" s="30" cm="1">
        <f t="array" ref="L7">IF(D7&gt;0,IF($D7&lt;=0,0,D7*H7),"")</f>
      </c>
      <c r="M7" t="str" s="30" cm="1">
        <f t="array" ref="M7">IF(E7&gt;0,IF($D7&lt;=0,0,ROUND(E7*I7,2)),"")</f>
      </c>
      <c r="N7" t="str" s="31" cm="1">
        <f t="array" ref="N7">IF(F7&gt;0,IF($D7&lt;=0,0,ROUND(F7*J7,2)),"")</f>
      </c>
    </row>
    <row r="8" ht="20.5" customHeight="1">
      <c r="A8" s="29"/>
      <c r="B8" t="s" s="19">
        <v>501</v>
      </c>
      <c r="C8" s="20"/>
      <c r="D8" s="78">
        <v>4</v>
      </c>
      <c r="E8" s="21" cm="1">
        <f t="array" ref="E8">D8</f>
        <v>4</v>
      </c>
      <c r="F8" s="21" cm="1">
        <f t="array" ref="F8">D8</f>
        <v>4</v>
      </c>
      <c r="G8" t="s" s="22">
        <v>344</v>
      </c>
      <c r="H8" s="21">
        <v>80000</v>
      </c>
      <c r="I8" s="21">
        <v>75000</v>
      </c>
      <c r="J8" s="21">
        <v>75000</v>
      </c>
      <c r="K8" s="21">
        <v>11</v>
      </c>
      <c r="L8" s="21" cm="1">
        <f t="array" ref="L8">IF(D8&gt;0,IF($D8&lt;=0,0,D8*H8),"")</f>
        <v>320000</v>
      </c>
      <c r="M8" s="21" cm="1">
        <f t="array" ref="M8">IF(E8&gt;0,IF($D8&lt;=0,0,ROUND(E8*I8,2)),"")</f>
        <v>300000</v>
      </c>
      <c r="N8" s="23" cm="1">
        <f t="array" ref="N8">IF(F8&gt;0,IF($D8&lt;=0,0,ROUND(F8*J8,2)),"")</f>
        <v>300000</v>
      </c>
    </row>
    <row r="9" ht="20.5" customHeight="1">
      <c r="A9" s="29"/>
      <c r="B9" t="s" s="19">
        <v>502</v>
      </c>
      <c r="C9" s="24"/>
      <c r="D9" s="25">
        <v>4</v>
      </c>
      <c r="E9" s="26" cm="1">
        <f t="array" ref="E9">D9</f>
        <v>4</v>
      </c>
      <c r="F9" s="26" cm="1">
        <f t="array" ref="F9">D9</f>
        <v>4</v>
      </c>
      <c r="G9" t="s" s="27">
        <v>503</v>
      </c>
      <c r="H9" s="26">
        <v>10000</v>
      </c>
      <c r="I9" s="26">
        <v>10000</v>
      </c>
      <c r="J9" s="26">
        <v>10000</v>
      </c>
      <c r="K9" s="26">
        <v>11</v>
      </c>
      <c r="L9" s="26" cm="1">
        <f t="array" ref="L9">IF(D9&gt;0,IF($D9&lt;=0,0,D9*H9),"")</f>
        <v>40000</v>
      </c>
      <c r="M9" s="26" cm="1">
        <f t="array" ref="M9">IF(E9&gt;0,IF($D9&lt;=0,0,ROUND(E9*I9,2)),"")</f>
        <v>40000</v>
      </c>
      <c r="N9" s="28" cm="1">
        <f t="array" ref="N9">IF(F9&gt;0,IF($D9&lt;=0,0,ROUND(F9*J9,2)),"")</f>
        <v>40000</v>
      </c>
    </row>
    <row r="10" ht="20.5" customHeight="1">
      <c r="A10" s="29"/>
      <c r="B10" t="s" s="19">
        <v>504</v>
      </c>
      <c r="C10" s="20"/>
      <c r="D10" s="78">
        <v>4</v>
      </c>
      <c r="E10" s="21" cm="1">
        <f t="array" ref="E10">D10</f>
        <v>4</v>
      </c>
      <c r="F10" s="21" cm="1">
        <f t="array" ref="F10">D10</f>
        <v>4</v>
      </c>
      <c r="G10" t="s" s="22">
        <v>503</v>
      </c>
      <c r="H10" s="21">
        <v>125000</v>
      </c>
      <c r="I10" s="21">
        <v>120000</v>
      </c>
      <c r="J10" s="21">
        <v>120000</v>
      </c>
      <c r="K10" s="21">
        <v>11</v>
      </c>
      <c r="L10" s="21" cm="1">
        <f t="array" ref="L10">IF(D10&gt;0,IF($D10&lt;=0,0,D10*H10),"")</f>
        <v>500000</v>
      </c>
      <c r="M10" s="21" cm="1">
        <f t="array" ref="M10">IF(E10&gt;0,IF($D10&lt;=0,0,ROUND(E10*I10,2)),"")</f>
        <v>480000</v>
      </c>
      <c r="N10" s="23" cm="1">
        <f t="array" ref="N10">IF(F10&gt;0,IF($D10&lt;=0,0,ROUND(F10*J10,2)),"")</f>
        <v>480000</v>
      </c>
    </row>
    <row r="11" ht="20.5" customHeight="1">
      <c r="A11" s="29"/>
      <c r="B11" t="s" s="19">
        <v>505</v>
      </c>
      <c r="C11" s="24"/>
      <c r="D11" s="25">
        <v>4</v>
      </c>
      <c r="E11" s="26" cm="1">
        <f t="array" ref="E11">D11</f>
        <v>4</v>
      </c>
      <c r="F11" s="26" cm="1">
        <f t="array" ref="F11">D11</f>
        <v>4</v>
      </c>
      <c r="G11" t="s" s="27">
        <v>503</v>
      </c>
      <c r="H11" s="26">
        <v>30000</v>
      </c>
      <c r="I11" s="26">
        <v>28000</v>
      </c>
      <c r="J11" s="26">
        <v>28000</v>
      </c>
      <c r="K11" s="26">
        <v>11</v>
      </c>
      <c r="L11" s="26" cm="1">
        <f t="array" ref="L11">IF(D11&gt;0,IF($D11&lt;=0,0,D11*H11),"")</f>
        <v>120000</v>
      </c>
      <c r="M11" s="26" cm="1">
        <f t="array" ref="M11">IF(E11&gt;0,IF($D11&lt;=0,0,ROUND(E11*I11,2)),"")</f>
        <v>112000</v>
      </c>
      <c r="N11" s="28" cm="1">
        <f t="array" ref="N11">IF(F11&gt;0,IF($D11&lt;=0,0,ROUND(F11*J11,2)),"")</f>
        <v>112000</v>
      </c>
    </row>
    <row r="12" ht="20.5" customHeight="1">
      <c r="A12" s="29"/>
      <c r="B12" t="s" s="19">
        <v>425</v>
      </c>
      <c r="C12" s="20"/>
      <c r="D12" s="79"/>
      <c r="E12" s="21"/>
      <c r="F12" s="21"/>
      <c r="G12" s="79"/>
      <c r="H12" s="21"/>
      <c r="I12" s="79"/>
      <c r="J12" s="79"/>
      <c r="K12" s="21"/>
      <c r="L12" t="str" s="79" cm="1">
        <f t="array" ref="L12">IF(D12&gt;0,IF($D12&lt;=0,0,D12*H12),"")</f>
      </c>
      <c r="M12" t="str" s="79" cm="1">
        <f t="array" ref="M12">IF(E12&gt;0,IF($D12&lt;=0,0,ROUND(E12*I12,2)),"")</f>
      </c>
      <c r="N12" t="str" s="91" cm="1">
        <f t="array" ref="N12">IF(F12&gt;0,IF($D12&lt;=0,0,ROUND(F12*J12,2)),"")</f>
      </c>
    </row>
    <row r="13" ht="20.5" customHeight="1">
      <c r="A13" s="95">
        <v>1</v>
      </c>
      <c r="B13" t="s" s="19">
        <v>506</v>
      </c>
      <c r="C13" s="24"/>
      <c r="D13" s="26">
        <v>2125</v>
      </c>
      <c r="E13" s="26" cm="1">
        <f t="array" ref="E13">D13</f>
        <v>2125</v>
      </c>
      <c r="F13" s="26" cm="1">
        <f t="array" ref="F13">D13</f>
        <v>2125</v>
      </c>
      <c r="G13" t="s" s="27">
        <v>142</v>
      </c>
      <c r="H13" s="26">
        <v>6160</v>
      </c>
      <c r="I13" s="26">
        <v>6160</v>
      </c>
      <c r="J13" s="26">
        <v>6160</v>
      </c>
      <c r="K13" s="26">
        <v>11</v>
      </c>
      <c r="L13" s="26" cm="1">
        <f t="array" ref="L13">IF(D13&gt;0,IF($D13&lt;=0,0,D13*H13),"")</f>
        <v>13090000</v>
      </c>
      <c r="M13" s="26" cm="1">
        <f t="array" ref="M13">IF(E13&gt;0,IF($D13&lt;=0,0,ROUND(E13*I13,2)),"")</f>
        <v>13090000</v>
      </c>
      <c r="N13" s="28" cm="1">
        <f t="array" ref="N13">IF(F13&gt;0,IF($D13&lt;=0,0,ROUND(F13*J13,2)),"")</f>
        <v>13090000</v>
      </c>
    </row>
    <row r="14" ht="20.5" customHeight="1">
      <c r="A14" s="95">
        <v>2</v>
      </c>
      <c r="B14" t="s" s="19">
        <v>426</v>
      </c>
      <c r="C14" s="20"/>
      <c r="D14" s="32">
        <v>1005.89</v>
      </c>
      <c r="E14" s="21" cm="1">
        <f t="array" ref="E14">D14</f>
        <v>1005.89</v>
      </c>
      <c r="F14" s="21" cm="1">
        <f t="array" ref="F14">D14</f>
        <v>1005.89</v>
      </c>
      <c r="G14" t="s" s="22">
        <v>140</v>
      </c>
      <c r="H14" s="21">
        <v>89700</v>
      </c>
      <c r="I14" s="21">
        <v>89700</v>
      </c>
      <c r="J14" s="21">
        <v>89700</v>
      </c>
      <c r="K14" s="21">
        <v>11</v>
      </c>
      <c r="L14" s="21" cm="1">
        <f t="array" ref="L14">IF(D14&gt;0,IF($D14&lt;=0,0,D14*H14),"")</f>
        <v>90228333</v>
      </c>
      <c r="M14" s="21" cm="1">
        <f t="array" ref="M14">IF(E14&gt;0,IF($D14&lt;=0,0,ROUND(E14*I14,2)),"")</f>
        <v>90228333</v>
      </c>
      <c r="N14" s="23" cm="1">
        <f t="array" ref="N14">IF(F14&gt;0,IF($D14&lt;=0,0,ROUND(F14*J14,2)),"")</f>
        <v>90228333</v>
      </c>
    </row>
    <row r="15" ht="20.5" customHeight="1">
      <c r="A15" s="95">
        <v>3</v>
      </c>
      <c r="B15" t="s" s="19">
        <v>427</v>
      </c>
      <c r="C15" s="24"/>
      <c r="D15" s="26">
        <v>1005.89</v>
      </c>
      <c r="E15" s="26" cm="1">
        <f t="array" ref="E15">D15</f>
        <v>1005.89</v>
      </c>
      <c r="F15" s="26" cm="1">
        <f t="array" ref="F15">D15</f>
        <v>1005.89</v>
      </c>
      <c r="G15" t="s" s="27">
        <v>140</v>
      </c>
      <c r="H15" s="26">
        <v>46366.21</v>
      </c>
      <c r="I15" s="122">
        <v>46366.21</v>
      </c>
      <c r="J15" s="122">
        <v>46366.21</v>
      </c>
      <c r="K15" s="26">
        <v>11</v>
      </c>
      <c r="L15" s="26" cm="1">
        <f t="array" ref="L15">IF(D15&gt;0,IF($D15&lt;=0,0,D15*H15),"")</f>
        <v>46639306.9769</v>
      </c>
      <c r="M15" s="26" cm="1">
        <f t="array" ref="M15">IF(E15&gt;0,IF($D15&lt;=0,0,ROUND(E15*I15,2)),"")</f>
        <v>46639306.98</v>
      </c>
      <c r="N15" s="28" cm="1">
        <f t="array" ref="N15">IF(F15&gt;0,IF($D15&lt;=0,0,ROUND(F15*J15,2)),"")</f>
        <v>46639306.98</v>
      </c>
    </row>
    <row r="16" ht="20.5" customHeight="1">
      <c r="A16" s="29"/>
      <c r="B16" t="s" s="19">
        <v>36</v>
      </c>
      <c r="C16" s="20"/>
      <c r="D16" s="21"/>
      <c r="E16" s="21"/>
      <c r="F16" s="21"/>
      <c r="G16" s="79"/>
      <c r="H16" s="79"/>
      <c r="I16" s="79"/>
      <c r="J16" s="79"/>
      <c r="K16" s="21"/>
      <c r="L16" t="str" s="79" cm="1">
        <f t="array" ref="L16">IF(D16&gt;0,IF($D16&lt;=0,0,D16*H16),"")</f>
      </c>
      <c r="M16" s="21"/>
      <c r="N16" s="23"/>
    </row>
    <row r="17" ht="20.6" customHeight="1">
      <c r="A17" s="33">
        <v>1</v>
      </c>
      <c r="B17" t="s" s="34">
        <v>37</v>
      </c>
      <c r="C17" s="80"/>
      <c r="D17" s="81">
        <v>1</v>
      </c>
      <c r="E17" s="81" cm="1">
        <f t="array" ref="E17">D17</f>
        <v>1</v>
      </c>
      <c r="F17" s="81" cm="1">
        <f t="array" ref="F17">D17</f>
        <v>1</v>
      </c>
      <c r="G17" t="s" s="82">
        <v>19</v>
      </c>
      <c r="H17" s="81">
        <v>372228.41</v>
      </c>
      <c r="I17" s="81">
        <v>340195.82</v>
      </c>
      <c r="J17" s="81">
        <v>340195.82</v>
      </c>
      <c r="K17" s="81">
        <v>0</v>
      </c>
      <c r="L17" s="81" cm="1">
        <f t="array" ref="L17">IF(D17&gt;0,IF($D17&lt;=0,0,D17*H17),"")</f>
        <v>372228.41</v>
      </c>
      <c r="M17" s="81" cm="1">
        <f t="array" ref="M17">IF(E17&gt;0,IF($D17&lt;=0,0,ROUND(E17*I17,2)),"")</f>
        <v>340195.82</v>
      </c>
      <c r="N17" s="83" cm="1">
        <f t="array" ref="N17">IF(F17&gt;0,IF($D17&lt;=0,0,ROUND(F17*J17,2)),"")</f>
        <v>340195.82</v>
      </c>
    </row>
    <row r="18" ht="8.75" customHeight="1" hidden="1">
      <c r="A18" s="39"/>
      <c r="B18" s="40"/>
      <c r="C18" s="45"/>
      <c r="D18" s="46"/>
      <c r="E18" s="46"/>
      <c r="F18" s="46"/>
      <c r="G18" s="47"/>
      <c r="H18" s="46"/>
      <c r="I18" s="46"/>
      <c r="J18" s="46"/>
      <c r="K18" s="46"/>
      <c r="L18" s="46"/>
      <c r="M18" s="46"/>
      <c r="N18" s="48"/>
    </row>
    <row r="19" ht="8.75" customHeight="1" hidden="1">
      <c r="A19" s="39"/>
      <c r="B19" s="40"/>
      <c r="C19" s="41"/>
      <c r="D19" s="42"/>
      <c r="E19" s="42"/>
      <c r="F19" s="42"/>
      <c r="G19" s="43"/>
      <c r="H19" s="42"/>
      <c r="I19" s="42"/>
      <c r="J19" s="42"/>
      <c r="K19" s="42"/>
      <c r="L19" s="42"/>
      <c r="M19" s="42"/>
      <c r="N19" s="44"/>
    </row>
    <row r="20" ht="8.75" customHeight="1" hidden="1">
      <c r="A20" s="39"/>
      <c r="B20" s="40"/>
      <c r="C20" s="45"/>
      <c r="D20" s="46"/>
      <c r="E20" s="46"/>
      <c r="F20" s="46"/>
      <c r="G20" s="47"/>
      <c r="H20" s="46"/>
      <c r="I20" s="46"/>
      <c r="J20" s="46"/>
      <c r="K20" s="46"/>
      <c r="L20" s="46"/>
      <c r="M20" s="46"/>
      <c r="N20" s="48"/>
    </row>
    <row r="21" ht="8.75" customHeight="1" hidden="1">
      <c r="A21" s="39"/>
      <c r="B21" s="40"/>
      <c r="C21" s="41"/>
      <c r="D21" s="42"/>
      <c r="E21" s="42"/>
      <c r="F21" s="42"/>
      <c r="G21" s="43"/>
      <c r="H21" s="42"/>
      <c r="I21" s="42"/>
      <c r="J21" s="42"/>
      <c r="K21" s="42"/>
      <c r="L21" s="42"/>
      <c r="M21" s="42"/>
      <c r="N21" s="44"/>
    </row>
    <row r="22" ht="8.75" customHeight="1" hidden="1">
      <c r="A22" s="39"/>
      <c r="B22" s="40"/>
      <c r="C22" s="45"/>
      <c r="D22" s="46"/>
      <c r="E22" s="46"/>
      <c r="F22" s="46"/>
      <c r="G22" s="47"/>
      <c r="H22" s="46"/>
      <c r="I22" s="46"/>
      <c r="J22" s="46"/>
      <c r="K22" s="46"/>
      <c r="L22" s="46"/>
      <c r="M22" s="46"/>
      <c r="N22" s="48"/>
    </row>
    <row r="23" ht="8.75" customHeight="1" hidden="1">
      <c r="A23" s="39"/>
      <c r="B23" s="40"/>
      <c r="C23" s="41"/>
      <c r="D23" s="42"/>
      <c r="E23" s="42"/>
      <c r="F23" s="42"/>
      <c r="G23" s="43"/>
      <c r="H23" s="42"/>
      <c r="I23" s="42"/>
      <c r="J23" s="42"/>
      <c r="K23" s="42"/>
      <c r="L23" s="42"/>
      <c r="M23" s="42"/>
      <c r="N23" s="44"/>
    </row>
    <row r="24" ht="8.75" customHeight="1" hidden="1">
      <c r="A24" s="39"/>
      <c r="B24" s="40"/>
      <c r="C24" s="45"/>
      <c r="D24" s="46"/>
      <c r="E24" s="46"/>
      <c r="F24" s="46"/>
      <c r="G24" s="47"/>
      <c r="H24" s="47"/>
      <c r="I24" s="47"/>
      <c r="J24" s="47"/>
      <c r="K24" s="46"/>
      <c r="L24" s="47"/>
      <c r="M24" s="47"/>
      <c r="N24" s="52"/>
    </row>
    <row r="25" ht="8.75" customHeight="1" hidden="1">
      <c r="A25" s="39"/>
      <c r="B25" s="40"/>
      <c r="C25" s="41"/>
      <c r="D25" s="42"/>
      <c r="E25" s="42"/>
      <c r="F25" s="42"/>
      <c r="G25" s="43"/>
      <c r="H25" s="84"/>
      <c r="I25" s="84"/>
      <c r="J25" s="84"/>
      <c r="K25" s="42"/>
      <c r="L25" s="42"/>
      <c r="M25" s="42"/>
      <c r="N25" s="44"/>
    </row>
    <row r="26" ht="8.75" customHeight="1" hidden="1">
      <c r="A26" s="39"/>
      <c r="B26" s="40"/>
      <c r="C26" s="45"/>
      <c r="D26" s="46"/>
      <c r="E26" s="46"/>
      <c r="F26" s="46"/>
      <c r="G26" s="47"/>
      <c r="H26" s="47"/>
      <c r="I26" s="47"/>
      <c r="J26" s="47"/>
      <c r="K26" s="46"/>
      <c r="L26" s="47"/>
      <c r="M26" s="47"/>
      <c r="N26" s="52"/>
    </row>
    <row r="27" ht="8.75" customHeight="1" hidden="1">
      <c r="A27" s="39"/>
      <c r="B27" s="40"/>
      <c r="C27" s="41"/>
      <c r="D27" s="42"/>
      <c r="E27" s="42"/>
      <c r="F27" s="42"/>
      <c r="G27" s="43"/>
      <c r="H27" s="42"/>
      <c r="I27" s="42"/>
      <c r="J27" s="42"/>
      <c r="K27" s="42"/>
      <c r="L27" s="42"/>
      <c r="M27" s="42"/>
      <c r="N27" s="44"/>
    </row>
    <row r="28" ht="8.75" customHeight="1" hidden="1">
      <c r="A28" s="39"/>
      <c r="B28" s="40"/>
      <c r="C28" s="45"/>
      <c r="D28" s="46"/>
      <c r="E28" s="46"/>
      <c r="F28" s="46"/>
      <c r="G28" s="47"/>
      <c r="H28" s="46"/>
      <c r="I28" s="46"/>
      <c r="J28" s="46"/>
      <c r="K28" s="46"/>
      <c r="L28" s="46"/>
      <c r="M28" s="46"/>
      <c r="N28" s="48"/>
    </row>
    <row r="29" ht="8.75" customHeight="1" hidden="1">
      <c r="A29" s="51"/>
      <c r="B29" s="40"/>
      <c r="C29" s="41"/>
      <c r="D29" s="42"/>
      <c r="E29" s="42"/>
      <c r="F29" s="42"/>
      <c r="G29" s="43"/>
      <c r="H29" s="42"/>
      <c r="I29" s="42"/>
      <c r="J29" s="42"/>
      <c r="K29" s="42"/>
      <c r="L29" s="42"/>
      <c r="M29" s="42"/>
      <c r="N29" s="44"/>
    </row>
    <row r="30" ht="8.75" customHeight="1" hidden="1">
      <c r="A30" s="51"/>
      <c r="B30" s="40"/>
      <c r="C30" s="45"/>
      <c r="D30" s="46"/>
      <c r="E30" s="46"/>
      <c r="F30" s="46"/>
      <c r="G30" s="47"/>
      <c r="H30" s="46"/>
      <c r="I30" s="46"/>
      <c r="J30" s="46"/>
      <c r="K30" s="46"/>
      <c r="L30" s="46"/>
      <c r="M30" s="46"/>
      <c r="N30" s="48"/>
    </row>
    <row r="31" ht="8.75" customHeight="1" hidden="1">
      <c r="A31" s="39"/>
      <c r="B31" s="40"/>
      <c r="C31" s="41"/>
      <c r="D31" s="42"/>
      <c r="E31" s="42"/>
      <c r="F31" s="42"/>
      <c r="G31" s="43"/>
      <c r="H31" s="42"/>
      <c r="I31" s="42"/>
      <c r="J31" s="42"/>
      <c r="K31" s="42"/>
      <c r="L31" s="43"/>
      <c r="M31" s="43"/>
      <c r="N31" s="49"/>
    </row>
    <row r="32" ht="8.75" customHeight="1" hidden="1">
      <c r="A32" s="39"/>
      <c r="B32" s="40"/>
      <c r="C32" s="45"/>
      <c r="D32" s="46"/>
      <c r="E32" s="46"/>
      <c r="F32" s="46"/>
      <c r="G32" s="47"/>
      <c r="H32" s="46"/>
      <c r="I32" s="46"/>
      <c r="J32" s="46"/>
      <c r="K32" s="46"/>
      <c r="L32" s="46"/>
      <c r="M32" s="46"/>
      <c r="N32" s="48"/>
    </row>
    <row r="33" ht="8.75" customHeight="1" hidden="1">
      <c r="A33" s="39"/>
      <c r="B33" s="40"/>
      <c r="C33" s="41"/>
      <c r="D33" s="42"/>
      <c r="E33" s="42"/>
      <c r="F33" s="42"/>
      <c r="G33" s="43"/>
      <c r="H33" s="42"/>
      <c r="I33" s="42"/>
      <c r="J33" s="42"/>
      <c r="K33" s="42"/>
      <c r="L33" s="43"/>
      <c r="M33" s="43"/>
      <c r="N33" s="49"/>
    </row>
    <row r="34" ht="20.85" customHeight="1">
      <c r="A34" s="53"/>
      <c r="B34" s="54"/>
      <c r="C34" s="54"/>
      <c r="D34" s="55"/>
      <c r="E34" s="55"/>
      <c r="F34" s="55"/>
      <c r="G34" s="56"/>
      <c r="H34" s="56"/>
      <c r="I34" s="54"/>
      <c r="J34" s="57"/>
      <c r="K34" t="s" s="58">
        <v>38</v>
      </c>
      <c r="L34" s="59" cm="1">
        <f t="array" ref="L34">SUM(L1:L33)</f>
        <v>153159868.3869</v>
      </c>
      <c r="M34" s="59" cm="1">
        <f t="array" ref="M34">SUM(M1:M33)</f>
        <v>153059835.8</v>
      </c>
      <c r="N34" s="59" cm="1">
        <f t="array" ref="N34">SUM(N1:N33)</f>
        <v>153059835.8</v>
      </c>
    </row>
    <row r="35" ht="21" customHeight="1">
      <c r="A35" s="60"/>
      <c r="B35" t="s" s="61">
        <v>39</v>
      </c>
      <c r="C35" s="62"/>
      <c r="D35" s="63" cm="1">
        <f t="array" ref="D35">ROUND(IF(L35&lt;=100000000,L35*0.24%,IF(AND(L35&gt;100000000,L35&lt;=500000000),100000000*0.24%+(L35-100000000)*0.19%,IF(AND(L35&gt;500000000,L35&lt;=1000000000),100000000*0.24%+400000000*0.19%+(L35-500000000)*0.15%,IF(AND(L35&gt;1000000000,L35&lt;=5000000000),100000000*0.24%+400000000*0.19%+500000000*0.15%+(L35-1000000000)*0.12%,IF(L35&gt;5000000000,100000000*0.24%+400000000*0.19%+500000000*0.15%+4000000000*0.12%+(L35-5000000000)*0.1%,"Bingung komputer"))))),2)</f>
        <v>340296.52</v>
      </c>
      <c r="E35" s="64" cm="1">
        <f t="array" ref="E35">ROUND(IF(M35&lt;=100000000,M35*0.24%,IF(AND(M35&gt;100000000,M35&lt;=500000000),100000000*0.24%+(M35-100000000)*0.19%,IF(AND(M35&gt;500000000,M35&lt;=1000000000),100000000*0.24%+400000000*0.19%+(M35-500000000)*0.15%,IF(AND(M35&gt;1000000000,M35&lt;=5000000000),100000000*0.24%+400000000*0.19%+500000000*0.15%+(M35-1000000000)*0.12%,IF(M35&gt;5000000000,100000000*0.24%+400000000*0.19%+500000000*0.15%+4000000000*0.12%+(M35-5000000000)*0.1%,"Bingung komputer"))))),2)</f>
        <v>340167.32</v>
      </c>
      <c r="F35" s="64" cm="1">
        <f t="array" ref="F35">ROUND(IF(N35&lt;=100000000,N35*0.24%,IF(AND(N35&gt;100000000,N35&lt;=500000000),100000000*0.24%+(N35-100000000)*0.19%,IF(AND(N35&gt;500000000,N35&lt;=1000000000),100000000*0.24%+400000000*0.19%+(N35-500000000)*0.15%,IF(AND(N35&gt;1000000000,N35&lt;=5000000000),100000000*0.24%+400000000*0.19%+500000000*0.15%+(N35-1000000000)*0.12%,IF(N35&gt;5000000000,100000000*0.24%+400000000*0.19%+500000000*0.15%+4000000000*0.12%+(N35-5000000000)*0.1%,"Bingung komputer"))))),2)</f>
        <v>340167.32</v>
      </c>
      <c r="G35" s="65"/>
      <c r="H35" s="66"/>
      <c r="I35" s="62"/>
      <c r="J35" s="67"/>
      <c r="K35" t="str" s="67" cm="1">
        <f t="array" ref="K35">"Jumlah Terkena Pajak "&amp;MAX(K3:K33)&amp;"% (B)"</f>
        <v>Jumlah Terkena Pajak 11,00% (B)</v>
      </c>
      <c r="L35" s="68" cm="1">
        <f t="array" ref="L35">SUMIF($K3:$K33,"&gt;0",L3:L33)</f>
        <v>152787639.9769</v>
      </c>
      <c r="M35" s="69" cm="1">
        <f t="array" ref="M35">SUMIF($K3:$K33,"&gt;0",M3:M33)</f>
        <v>152719639.98</v>
      </c>
      <c r="N35" s="69" cm="1">
        <f t="array" ref="N35">SUMIF($K3:$K33,"&gt;0",N3:N33)</f>
        <v>152719639.98</v>
      </c>
    </row>
    <row r="36" ht="21" customHeight="1">
      <c r="A36" s="70"/>
      <c r="B36" s="71"/>
      <c r="C36" s="71"/>
      <c r="D36" s="72"/>
      <c r="E36" s="72"/>
      <c r="F36" s="71"/>
      <c r="G36" s="72"/>
      <c r="H36" s="72"/>
      <c r="I36" s="71"/>
      <c r="J36" s="73"/>
      <c r="K36" t="str" s="73" cm="1">
        <f t="array" ref="K36">"PPN (C) = "&amp;MAX(K3:K33)&amp;"% x B"</f>
        <v>PPN (C) = 11,00% x B</v>
      </c>
      <c r="L36" s="74" cm="1">
        <f t="array" ref="L36">L35*MAX($K3:$K33)%</f>
        <v>16806640.397459</v>
      </c>
      <c r="M36" s="69" cm="1">
        <f t="array" ref="M36">M35*MAX($K3:$K33)%</f>
        <v>16799160.3978</v>
      </c>
      <c r="N36" s="69" cm="1">
        <f t="array" ref="N36">N35*MAX($K3:$K33)%</f>
        <v>16799160.3978</v>
      </c>
    </row>
    <row r="37" ht="21" customHeight="1">
      <c r="A37" s="70"/>
      <c r="B37" s="71"/>
      <c r="C37" s="71"/>
      <c r="D37" s="72"/>
      <c r="E37" s="72"/>
      <c r="F37" s="72"/>
      <c r="G37" s="72"/>
      <c r="H37" s="72"/>
      <c r="I37" s="71"/>
      <c r="J37" s="73"/>
      <c r="K37" t="s" s="75">
        <v>42</v>
      </c>
      <c r="L37" s="76" cm="1">
        <f t="array" ref="L37">L34+L36</f>
        <v>169966508.784359</v>
      </c>
      <c r="M37" s="69" cm="1">
        <f t="array" ref="M37">M34+M36</f>
        <v>169858996.1978</v>
      </c>
      <c r="N37" s="69" cm="1">
        <f t="array" ref="N37">N34+N36</f>
        <v>169858996.1978</v>
      </c>
    </row>
    <row r="38" ht="20.5" customHeight="1">
      <c r="A38" s="70"/>
      <c r="B38" s="71"/>
      <c r="C38" s="71"/>
      <c r="D38" s="72"/>
      <c r="E38" s="72"/>
      <c r="F38" s="72"/>
      <c r="G38" s="72"/>
      <c r="H38" s="72"/>
      <c r="I38" s="71"/>
      <c r="J38" s="73"/>
      <c r="K38" t="s" s="75">
        <v>43</v>
      </c>
      <c r="L38" s="68" cm="1">
        <f t="array" ref="L38">ROUNDDOWN(L37,2)</f>
        <v>169966508.78</v>
      </c>
      <c r="M38" s="68" cm="1">
        <f t="array" ref="M38">ROUNDDOWN(M37,2)</f>
        <v>169858996.19</v>
      </c>
      <c r="N38" s="68" cm="1">
        <f t="array" ref="N38">ROUNDDOWN(N37,-3)</f>
        <v>169858000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15.xml><?xml version="1.0" encoding="utf-8"?>
<worksheet xmlns:r="http://schemas.openxmlformats.org/officeDocument/2006/relationships" xmlns="http://schemas.openxmlformats.org/spreadsheetml/2006/main">
  <sheetPr>
    <pageSetUpPr fitToPage="1"/>
  </sheetPr>
  <dimension ref="A1:N32"/>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307" customWidth="1"/>
    <col min="2" max="2" width="43.0312" style="307" customWidth="1"/>
    <col min="3" max="3" width="2.75" style="307" customWidth="1"/>
    <col min="4" max="6" width="10.3672" style="307" customWidth="1"/>
    <col min="7" max="7" width="11.6875" style="307" customWidth="1"/>
    <col min="8" max="11" width="13.5156" style="307" customWidth="1"/>
    <col min="12" max="14" width="14.2344" style="307" customWidth="1"/>
    <col min="15" max="16384" width="16.3516" style="307"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16</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t="s" s="18">
        <v>17</v>
      </c>
      <c r="B4" t="s" s="19">
        <v>18</v>
      </c>
      <c r="C4" s="20"/>
      <c r="D4" s="21">
        <v>1</v>
      </c>
      <c r="E4" s="21" cm="1">
        <f t="array" ref="E4">D4</f>
        <v>1</v>
      </c>
      <c r="F4" s="21" cm="1">
        <f t="array" ref="F4">D4</f>
        <v>1</v>
      </c>
      <c r="G4" t="s" s="22">
        <v>19</v>
      </c>
      <c r="H4" s="21">
        <v>16709500</v>
      </c>
      <c r="I4" s="21">
        <v>16652000</v>
      </c>
      <c r="J4" s="21">
        <v>16652000</v>
      </c>
      <c r="K4" s="21">
        <v>11</v>
      </c>
      <c r="L4" s="21" cm="1">
        <f t="array" ref="L4">IF(D4&gt;0,IF($D4&lt;=0,0,D4*H4),"")</f>
        <v>16709500</v>
      </c>
      <c r="M4" s="21" cm="1">
        <f t="array" ref="M4">IF(E4&gt;0,IF($D4&lt;=0,0,ROUND(E4*I4,2)),"")</f>
        <v>16652000</v>
      </c>
      <c r="N4" s="23" cm="1">
        <f t="array" ref="N4">IF(F4&gt;0,IF($D4&lt;=0,0,ROUND(F4*J4,2)),"")</f>
        <v>16652000</v>
      </c>
    </row>
    <row r="5" ht="20.5" customHeight="1">
      <c r="A5" t="s" s="18">
        <v>20</v>
      </c>
      <c r="B5" t="s" s="19">
        <v>21</v>
      </c>
      <c r="C5" s="24"/>
      <c r="D5" s="25">
        <v>1</v>
      </c>
      <c r="E5" s="26" cm="1">
        <f t="array" ref="E5">D5</f>
        <v>1</v>
      </c>
      <c r="F5" s="26" cm="1">
        <f t="array" ref="F5">D5</f>
        <v>1</v>
      </c>
      <c r="G5" t="s" s="27">
        <v>19</v>
      </c>
      <c r="H5" s="26">
        <v>660000</v>
      </c>
      <c r="I5" s="26">
        <v>650000</v>
      </c>
      <c r="J5" s="26">
        <v>650000</v>
      </c>
      <c r="K5" s="26">
        <v>11</v>
      </c>
      <c r="L5" s="26" cm="1">
        <f t="array" ref="L5">IF(D5&gt;0,IF($D5&lt;=0,0,D5*H5),"")</f>
        <v>660000</v>
      </c>
      <c r="M5" s="26" cm="1">
        <f t="array" ref="M5">IF(E5&gt;0,IF($D5&lt;=0,0,ROUND(E5*I5,2)),"")</f>
        <v>650000</v>
      </c>
      <c r="N5" s="28" cm="1">
        <f t="array" ref="N5">IF(F5&gt;0,IF($D5&lt;=0,0,ROUND(F5*J5,2)),"")</f>
        <v>650000</v>
      </c>
    </row>
    <row r="6" ht="20.5" customHeight="1">
      <c r="A6" t="s" s="18">
        <v>22</v>
      </c>
      <c r="B6" t="s" s="19">
        <v>23</v>
      </c>
      <c r="C6" s="20"/>
      <c r="D6" s="21">
        <v>1</v>
      </c>
      <c r="E6" s="21" cm="1">
        <f t="array" ref="E6">D6</f>
        <v>1</v>
      </c>
      <c r="F6" s="21" cm="1">
        <f t="array" ref="F6">D6</f>
        <v>1</v>
      </c>
      <c r="G6" t="s" s="22">
        <v>19</v>
      </c>
      <c r="H6" s="21">
        <v>3885000</v>
      </c>
      <c r="I6" s="21">
        <v>3825000</v>
      </c>
      <c r="J6" s="21">
        <v>3825000</v>
      </c>
      <c r="K6" s="21">
        <v>11</v>
      </c>
      <c r="L6" s="21" cm="1">
        <f t="array" ref="L6">IF(D6&gt;0,IF($D6&lt;=0,0,D6*H6),"")</f>
        <v>3885000</v>
      </c>
      <c r="M6" s="21" cm="1">
        <f t="array" ref="M6">IF(E6&gt;0,IF($D6&lt;=0,0,ROUND(E6*I6,2)),"")</f>
        <v>3825000</v>
      </c>
      <c r="N6" s="23" cm="1">
        <f t="array" ref="N6">IF(F6&gt;0,IF($D6&lt;=0,0,ROUND(F6*J6,2)),"")</f>
        <v>3825000</v>
      </c>
    </row>
    <row r="7" ht="20.5" customHeight="1">
      <c r="A7" s="29"/>
      <c r="B7" t="s" s="19">
        <v>28</v>
      </c>
      <c r="C7" s="24"/>
      <c r="D7" s="30"/>
      <c r="E7" s="26"/>
      <c r="F7" s="26"/>
      <c r="G7" s="30"/>
      <c r="H7" s="26"/>
      <c r="I7" s="26"/>
      <c r="J7" s="26"/>
      <c r="K7" s="26"/>
      <c r="L7" t="str" s="30" cm="1">
        <f t="array" ref="L7">IF(D7&gt;0,IF($D7&lt;=0,0,D7*H7),"")</f>
      </c>
      <c r="M7" t="str" s="30" cm="1">
        <f t="array" ref="M7">IF(E7&gt;0,IF($D7&lt;=0,0,ROUND(E7*I7,2)),"")</f>
      </c>
      <c r="N7" t="str" s="31" cm="1">
        <f t="array" ref="N7">IF(F7&gt;0,IF($D7&lt;=0,0,ROUND(F7*J7,2)),"")</f>
      </c>
    </row>
    <row r="8" ht="20.5" customHeight="1">
      <c r="A8" t="s" s="18">
        <v>31</v>
      </c>
      <c r="B8" t="s" s="19">
        <v>32</v>
      </c>
      <c r="C8" s="20"/>
      <c r="D8" s="78">
        <v>500</v>
      </c>
      <c r="E8" s="21" cm="1">
        <f t="array" ref="E8">D8</f>
        <v>500</v>
      </c>
      <c r="F8" s="21" cm="1">
        <f t="array" ref="F8">E8</f>
        <v>500</v>
      </c>
      <c r="G8" t="s" s="22">
        <v>27</v>
      </c>
      <c r="H8" s="21">
        <v>274500</v>
      </c>
      <c r="I8" s="21">
        <v>274475.06</v>
      </c>
      <c r="J8" s="21">
        <v>274475.06</v>
      </c>
      <c r="K8" s="21">
        <v>11</v>
      </c>
      <c r="L8" s="21" cm="1">
        <f t="array" ref="L8">IF(D8&gt;0,IF($D8&lt;=0,0,D8*H8),"")</f>
        <v>137250000</v>
      </c>
      <c r="M8" s="21" cm="1">
        <f t="array" ref="M8">IF(E8&gt;0,IF($D8&lt;=0,0,ROUND(E8*I8,2)),"")</f>
        <v>137237530</v>
      </c>
      <c r="N8" s="23" cm="1">
        <f t="array" ref="N8">IF(F8&gt;0,IF($D8&lt;=0,0,ROUND(F8*J8,2)),"")</f>
        <v>137237530</v>
      </c>
    </row>
    <row r="9" ht="20.5" customHeight="1">
      <c r="A9" t="s" s="18">
        <v>33</v>
      </c>
      <c r="B9" t="s" s="19">
        <v>34</v>
      </c>
      <c r="C9" s="24"/>
      <c r="D9" s="25">
        <v>4200</v>
      </c>
      <c r="E9" s="26" cm="1">
        <f t="array" ref="E9">D9</f>
        <v>4200</v>
      </c>
      <c r="F9" s="26" cm="1">
        <f t="array" ref="F9">E9</f>
        <v>4200</v>
      </c>
      <c r="G9" t="s" s="27">
        <v>35</v>
      </c>
      <c r="H9" s="26">
        <v>2900</v>
      </c>
      <c r="I9" s="26">
        <v>2873.1</v>
      </c>
      <c r="J9" s="26">
        <v>2873.1</v>
      </c>
      <c r="K9" s="26">
        <v>11</v>
      </c>
      <c r="L9" s="26" cm="1">
        <f t="array" ref="L9">IF(D9&gt;0,IF($D9&lt;=0,0,D9*H9),"")</f>
        <v>12180000</v>
      </c>
      <c r="M9" s="26" cm="1">
        <f t="array" ref="M9">IF(E9&gt;0,IF($D9&lt;=0,0,ROUND(E9*I9,2)),"")</f>
        <v>12067020</v>
      </c>
      <c r="N9" s="28" cm="1">
        <f t="array" ref="N9">IF(F9&gt;0,IF($D9&lt;=0,0,ROUND(F9*J9,2)),"")</f>
        <v>12067020</v>
      </c>
    </row>
    <row r="10" ht="20.5" customHeight="1">
      <c r="A10" s="29"/>
      <c r="B10" t="s" s="19">
        <v>36</v>
      </c>
      <c r="C10" s="20"/>
      <c r="D10" s="21"/>
      <c r="E10" s="21"/>
      <c r="F10" s="21"/>
      <c r="G10" s="79"/>
      <c r="H10" s="21"/>
      <c r="I10" s="21"/>
      <c r="J10" s="21"/>
      <c r="K10" s="21"/>
      <c r="L10" t="str" s="79" cm="1">
        <f t="array" ref="L10">IF(D10&gt;0,IF($D10&lt;=0,0,D10*H10),"")</f>
      </c>
      <c r="M10" s="21"/>
      <c r="N10" s="23"/>
    </row>
    <row r="11" ht="20.6" customHeight="1">
      <c r="A11" s="33">
        <v>1</v>
      </c>
      <c r="B11" t="s" s="34">
        <v>37</v>
      </c>
      <c r="C11" s="80"/>
      <c r="D11" s="81">
        <v>1</v>
      </c>
      <c r="E11" s="81" cm="1">
        <f t="array" ref="E11">D11</f>
        <v>1</v>
      </c>
      <c r="F11" s="81" cm="1">
        <f t="array" ref="F11">D11</f>
        <v>1</v>
      </c>
      <c r="G11" t="s" s="82">
        <v>19</v>
      </c>
      <c r="H11" s="308">
        <v>374300.55</v>
      </c>
      <c r="I11" s="81">
        <v>373819.95</v>
      </c>
      <c r="J11" s="81">
        <v>373819.95</v>
      </c>
      <c r="K11" s="81">
        <v>0</v>
      </c>
      <c r="L11" s="81" cm="1">
        <f t="array" ref="L11">IF(D11&gt;0,IF($D11&lt;=0,0,D11*H11),"")</f>
        <v>374300.55</v>
      </c>
      <c r="M11" s="81" cm="1">
        <f t="array" ref="M11">IF(E11&gt;0,IF($D11&lt;=0,0,ROUND(E11*I11,2)),"")</f>
        <v>373819.95</v>
      </c>
      <c r="N11" s="83" cm="1">
        <f t="array" ref="N11">IF(F11&gt;0,IF($D11&lt;=0,0,ROUND(F11*J11,2)),"")</f>
        <v>373819.95</v>
      </c>
    </row>
    <row r="12" ht="8.75" customHeight="1" hidden="1">
      <c r="A12" s="39"/>
      <c r="B12" s="40"/>
      <c r="C12" s="45"/>
      <c r="D12" s="46"/>
      <c r="E12" s="46"/>
      <c r="F12" s="46"/>
      <c r="G12" s="47"/>
      <c r="H12" s="46"/>
      <c r="I12" s="46"/>
      <c r="J12" s="46"/>
      <c r="K12" s="46"/>
      <c r="L12" s="46"/>
      <c r="M12" s="46"/>
      <c r="N12" s="48"/>
    </row>
    <row r="13" ht="8.75" customHeight="1" hidden="1">
      <c r="A13" s="39"/>
      <c r="B13" s="40"/>
      <c r="C13" s="41"/>
      <c r="D13" s="42"/>
      <c r="E13" s="42"/>
      <c r="F13" s="42"/>
      <c r="G13" s="43"/>
      <c r="H13" s="42"/>
      <c r="I13" s="42"/>
      <c r="J13" s="42"/>
      <c r="K13" s="42"/>
      <c r="L13" s="42"/>
      <c r="M13" s="42"/>
      <c r="N13" s="44"/>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2"/>
      <c r="I15" s="42"/>
      <c r="J15" s="42"/>
      <c r="K15" s="42"/>
      <c r="L15" s="42"/>
      <c r="M15" s="42"/>
      <c r="N15" s="44"/>
    </row>
    <row r="16" ht="8.75" customHeight="1" hidden="1">
      <c r="A16" s="39"/>
      <c r="B16" s="40"/>
      <c r="C16" s="45"/>
      <c r="D16" s="46"/>
      <c r="E16" s="46"/>
      <c r="F16" s="46"/>
      <c r="G16" s="47"/>
      <c r="H16" s="46"/>
      <c r="I16" s="46"/>
      <c r="J16" s="46"/>
      <c r="K16" s="46"/>
      <c r="L16" s="46"/>
      <c r="M16" s="46"/>
      <c r="N16" s="48"/>
    </row>
    <row r="17" ht="8.75" customHeight="1" hidden="1">
      <c r="A17" s="39"/>
      <c r="B17" s="40"/>
      <c r="C17" s="41"/>
      <c r="D17" s="42"/>
      <c r="E17" s="42"/>
      <c r="F17" s="42"/>
      <c r="G17" s="43"/>
      <c r="H17" s="42"/>
      <c r="I17" s="42"/>
      <c r="J17" s="42"/>
      <c r="K17" s="42"/>
      <c r="L17" s="42"/>
      <c r="M17" s="42"/>
      <c r="N17" s="44"/>
    </row>
    <row r="18" ht="8.75" customHeight="1" hidden="1">
      <c r="A18" s="39"/>
      <c r="B18" s="40"/>
      <c r="C18" s="45"/>
      <c r="D18" s="46"/>
      <c r="E18" s="46"/>
      <c r="F18" s="46"/>
      <c r="G18" s="47"/>
      <c r="H18" s="47"/>
      <c r="I18" s="47"/>
      <c r="J18" s="47"/>
      <c r="K18" s="46"/>
      <c r="L18" s="47"/>
      <c r="M18" s="47"/>
      <c r="N18" s="52"/>
    </row>
    <row r="19" ht="8.75" customHeight="1" hidden="1">
      <c r="A19" s="39"/>
      <c r="B19" s="40"/>
      <c r="C19" s="41"/>
      <c r="D19" s="42"/>
      <c r="E19" s="42"/>
      <c r="F19" s="42"/>
      <c r="G19" s="43"/>
      <c r="H19" s="84"/>
      <c r="I19" s="84"/>
      <c r="J19" s="84"/>
      <c r="K19" s="42"/>
      <c r="L19" s="42"/>
      <c r="M19" s="42"/>
      <c r="N19" s="44"/>
    </row>
    <row r="20" ht="8.75" customHeight="1" hidden="1">
      <c r="A20" s="39"/>
      <c r="B20" s="40"/>
      <c r="C20" s="45"/>
      <c r="D20" s="46"/>
      <c r="E20" s="46"/>
      <c r="F20" s="46"/>
      <c r="G20" s="47"/>
      <c r="H20" s="47"/>
      <c r="I20" s="47"/>
      <c r="J20" s="47"/>
      <c r="K20" s="46"/>
      <c r="L20" s="47"/>
      <c r="M20" s="47"/>
      <c r="N20" s="52"/>
    </row>
    <row r="21" ht="8.75" customHeight="1" hidden="1">
      <c r="A21" s="39"/>
      <c r="B21" s="40"/>
      <c r="C21" s="41"/>
      <c r="D21" s="42"/>
      <c r="E21" s="42"/>
      <c r="F21" s="42"/>
      <c r="G21" s="43"/>
      <c r="H21" s="42"/>
      <c r="I21" s="42"/>
      <c r="J21" s="42"/>
      <c r="K21" s="42"/>
      <c r="L21" s="42"/>
      <c r="M21" s="42"/>
      <c r="N21" s="44"/>
    </row>
    <row r="22" ht="8.75" customHeight="1" hidden="1">
      <c r="A22" s="39"/>
      <c r="B22" s="40"/>
      <c r="C22" s="45"/>
      <c r="D22" s="46"/>
      <c r="E22" s="46"/>
      <c r="F22" s="46"/>
      <c r="G22" s="47"/>
      <c r="H22" s="46"/>
      <c r="I22" s="46"/>
      <c r="J22" s="46"/>
      <c r="K22" s="46"/>
      <c r="L22" s="46"/>
      <c r="M22" s="46"/>
      <c r="N22" s="48"/>
    </row>
    <row r="23" ht="8.75" customHeight="1" hidden="1">
      <c r="A23" s="51"/>
      <c r="B23" s="40"/>
      <c r="C23" s="41"/>
      <c r="D23" s="42"/>
      <c r="E23" s="42"/>
      <c r="F23" s="42"/>
      <c r="G23" s="43"/>
      <c r="H23" s="42"/>
      <c r="I23" s="42"/>
      <c r="J23" s="42"/>
      <c r="K23" s="42"/>
      <c r="L23" s="42"/>
      <c r="M23" s="42"/>
      <c r="N23" s="44"/>
    </row>
    <row r="24" ht="8.75" customHeight="1" hidden="1">
      <c r="A24" s="51"/>
      <c r="B24" s="40"/>
      <c r="C24" s="45"/>
      <c r="D24" s="46"/>
      <c r="E24" s="46"/>
      <c r="F24" s="46"/>
      <c r="G24" s="47"/>
      <c r="H24" s="46"/>
      <c r="I24" s="46"/>
      <c r="J24" s="46"/>
      <c r="K24" s="46"/>
      <c r="L24" s="46"/>
      <c r="M24" s="46"/>
      <c r="N24" s="48"/>
    </row>
    <row r="25" ht="8.75" customHeight="1" hidden="1">
      <c r="A25" s="39"/>
      <c r="B25" s="40"/>
      <c r="C25" s="41"/>
      <c r="D25" s="42"/>
      <c r="E25" s="42"/>
      <c r="F25" s="42"/>
      <c r="G25" s="43"/>
      <c r="H25" s="42"/>
      <c r="I25" s="42"/>
      <c r="J25" s="42"/>
      <c r="K25" s="42"/>
      <c r="L25" s="43"/>
      <c r="M25" s="43"/>
      <c r="N25" s="49"/>
    </row>
    <row r="26" ht="8.75" customHeight="1" hidden="1">
      <c r="A26" s="39"/>
      <c r="B26" s="40"/>
      <c r="C26" s="45"/>
      <c r="D26" s="46"/>
      <c r="E26" s="46"/>
      <c r="F26" s="46"/>
      <c r="G26" s="47"/>
      <c r="H26" s="46"/>
      <c r="I26" s="46"/>
      <c r="J26" s="46"/>
      <c r="K26" s="46"/>
      <c r="L26" s="46"/>
      <c r="M26" s="46"/>
      <c r="N26" s="48"/>
    </row>
    <row r="27" ht="8.75" customHeight="1" hidden="1">
      <c r="A27" s="39"/>
      <c r="B27" s="40"/>
      <c r="C27" s="41"/>
      <c r="D27" s="42"/>
      <c r="E27" s="42"/>
      <c r="F27" s="42"/>
      <c r="G27" s="43"/>
      <c r="H27" s="42"/>
      <c r="I27" s="42"/>
      <c r="J27" s="42"/>
      <c r="K27" s="42"/>
      <c r="L27" s="43"/>
      <c r="M27" s="43"/>
      <c r="N27" s="49"/>
    </row>
    <row r="28" ht="20.85" customHeight="1">
      <c r="A28" s="53"/>
      <c r="B28" s="54"/>
      <c r="C28" s="54"/>
      <c r="D28" s="55"/>
      <c r="E28" s="55"/>
      <c r="F28" s="55"/>
      <c r="G28" s="56"/>
      <c r="H28" s="56"/>
      <c r="I28" s="59"/>
      <c r="J28" s="57"/>
      <c r="K28" t="s" s="58">
        <v>38</v>
      </c>
      <c r="L28" s="59" cm="1">
        <f t="array" ref="L28">SUM(L1:L27)</f>
        <v>171058800.55</v>
      </c>
      <c r="M28" s="59" cm="1">
        <f t="array" ref="M28">SUM(M1:M27)</f>
        <v>170805369.95</v>
      </c>
      <c r="N28" s="59" cm="1">
        <f t="array" ref="N28">SUM(N1:N27)</f>
        <v>170805369.95</v>
      </c>
    </row>
    <row r="29" ht="21" customHeight="1">
      <c r="A29" s="60"/>
      <c r="B29" t="s" s="61">
        <v>39</v>
      </c>
      <c r="C29" s="62"/>
      <c r="D29" s="63"/>
      <c r="E29" s="64"/>
      <c r="F29" s="64"/>
      <c r="G29" s="65"/>
      <c r="H29" s="66"/>
      <c r="I29" s="62"/>
      <c r="J29" s="67"/>
      <c r="K29" t="str" s="67" cm="1">
        <f t="array" ref="K29">"Jumlah Terkena Pajak "&amp;MAX(K3:K27)&amp;"% (B)"</f>
        <v>Jumlah Terkena Pajak 11,00% (B)</v>
      </c>
      <c r="L29" s="68" cm="1">
        <f t="array" ref="L29">SUMIF($K3:$K27,"&gt;0",L3:L27)</f>
        <v>170684500</v>
      </c>
      <c r="M29" s="69" cm="1">
        <f t="array" ref="M29">SUMIF($K3:$K27,"&gt;0",M3:M27)</f>
        <v>170431550</v>
      </c>
      <c r="N29" s="69" cm="1">
        <f t="array" ref="N29">SUMIF($K3:$K27,"&gt;0",N3:N27)</f>
        <v>170431550</v>
      </c>
    </row>
    <row r="30" ht="21" customHeight="1">
      <c r="A30" s="70"/>
      <c r="B30" s="71"/>
      <c r="C30" s="71"/>
      <c r="D30" s="72"/>
      <c r="E30" s="72"/>
      <c r="F30" s="71"/>
      <c r="G30" s="72"/>
      <c r="H30" s="72"/>
      <c r="I30" s="71"/>
      <c r="J30" s="73"/>
      <c r="K30" t="str" s="73" cm="1">
        <f t="array" ref="K30">"PPN (C) = "&amp;MAX(K3:K27)&amp;"% x B"</f>
        <v>PPN (C) = 11,00% x B</v>
      </c>
      <c r="L30" s="74" cm="1">
        <f t="array" ref="L30">L29*MAX($K3:$K27)%</f>
        <v>18775295</v>
      </c>
      <c r="M30" s="69" cm="1">
        <f t="array" ref="M30">M29*MAX($K3:$K27)%</f>
        <v>18747470.5</v>
      </c>
      <c r="N30" s="69" cm="1">
        <f t="array" ref="N30">N29*MAX($K3:$K27)%</f>
        <v>18747470.5</v>
      </c>
    </row>
    <row r="31" ht="21" customHeight="1">
      <c r="A31" s="70"/>
      <c r="B31" s="71"/>
      <c r="C31" s="71"/>
      <c r="D31" s="72"/>
      <c r="E31" s="72"/>
      <c r="F31" s="72"/>
      <c r="G31" s="72"/>
      <c r="H31" s="72"/>
      <c r="I31" s="71"/>
      <c r="J31" s="73"/>
      <c r="K31" t="s" s="75">
        <v>42</v>
      </c>
      <c r="L31" s="76" cm="1">
        <f t="array" ref="L31">L28+L30</f>
        <v>189834095.55</v>
      </c>
      <c r="M31" s="69" cm="1">
        <f t="array" ref="M31">M28+M30</f>
        <v>189552840.45</v>
      </c>
      <c r="N31" s="69" cm="1">
        <f t="array" ref="N31">N28+N30</f>
        <v>189552840.45</v>
      </c>
    </row>
    <row r="32" ht="20.5" customHeight="1">
      <c r="A32" s="70"/>
      <c r="B32" s="71"/>
      <c r="C32" s="71"/>
      <c r="D32" s="72"/>
      <c r="E32" s="72"/>
      <c r="F32" s="72"/>
      <c r="G32" s="72"/>
      <c r="H32" s="72"/>
      <c r="I32" s="71"/>
      <c r="J32" s="73"/>
      <c r="K32" t="s" s="75">
        <v>43</v>
      </c>
      <c r="L32" s="68" cm="1">
        <f t="array" ref="L32">ROUNDDOWN(L31,2)</f>
        <v>189834095.55</v>
      </c>
      <c r="M32" s="68" cm="1">
        <f t="array" ref="M32">ROUNDDOWN(M31,2)</f>
        <v>189552840.45</v>
      </c>
      <c r="N32" s="68" cm="1">
        <f t="array" ref="N32">ROUNDDOWN(N31,-3)</f>
        <v>189552000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16.xml><?xml version="1.0" encoding="utf-8"?>
<worksheet xmlns:r="http://schemas.openxmlformats.org/officeDocument/2006/relationships" xmlns="http://schemas.openxmlformats.org/spreadsheetml/2006/main">
  <sheetPr>
    <pageSetUpPr fitToPage="1"/>
  </sheetPr>
  <dimension ref="A1:N32"/>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309" customWidth="1"/>
    <col min="2" max="2" width="43.0312" style="309" customWidth="1"/>
    <col min="3" max="3" width="2.75" style="309" customWidth="1"/>
    <col min="4" max="6" width="10.3672" style="309" customWidth="1"/>
    <col min="7" max="7" width="11.6875" style="309" customWidth="1"/>
    <col min="8" max="11" width="13.5156" style="309" customWidth="1"/>
    <col min="12" max="14" width="14.2344" style="309" customWidth="1"/>
    <col min="15" max="16384" width="16.3516" style="309"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16</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t="s" s="18">
        <v>17</v>
      </c>
      <c r="B4" t="s" s="19">
        <v>18</v>
      </c>
      <c r="C4" s="20"/>
      <c r="D4" s="21">
        <v>1</v>
      </c>
      <c r="E4" s="21" cm="1">
        <f t="array" ref="E4">D4</f>
        <v>1</v>
      </c>
      <c r="F4" s="21" cm="1">
        <f t="array" ref="F4">D4</f>
        <v>1</v>
      </c>
      <c r="G4" t="s" s="22">
        <v>19</v>
      </c>
      <c r="H4" s="21">
        <v>16709500</v>
      </c>
      <c r="I4" s="21">
        <v>16652000</v>
      </c>
      <c r="J4" s="21">
        <v>16652000</v>
      </c>
      <c r="K4" s="21">
        <v>11</v>
      </c>
      <c r="L4" s="21" cm="1">
        <f t="array" ref="L4">IF(D4&gt;0,IF($D4&lt;=0,0,D4*H4),"")</f>
        <v>16709500</v>
      </c>
      <c r="M4" s="21" cm="1">
        <f t="array" ref="M4">IF(E4&gt;0,IF($D4&lt;=0,0,ROUND(E4*I4,2)),"")</f>
        <v>16652000</v>
      </c>
      <c r="N4" s="23" cm="1">
        <f t="array" ref="N4">IF(F4&gt;0,IF($D4&lt;=0,0,ROUND(F4*J4,2)),"")</f>
        <v>16652000</v>
      </c>
    </row>
    <row r="5" ht="20.5" customHeight="1">
      <c r="A5" t="s" s="18">
        <v>20</v>
      </c>
      <c r="B5" t="s" s="19">
        <v>21</v>
      </c>
      <c r="C5" s="24"/>
      <c r="D5" s="25">
        <v>1</v>
      </c>
      <c r="E5" s="26" cm="1">
        <f t="array" ref="E5">D5</f>
        <v>1</v>
      </c>
      <c r="F5" s="26" cm="1">
        <f t="array" ref="F5">D5</f>
        <v>1</v>
      </c>
      <c r="G5" t="s" s="27">
        <v>19</v>
      </c>
      <c r="H5" s="26">
        <v>660000</v>
      </c>
      <c r="I5" s="26">
        <v>660000</v>
      </c>
      <c r="J5" s="26">
        <v>660000</v>
      </c>
      <c r="K5" s="26">
        <v>11</v>
      </c>
      <c r="L5" s="26" cm="1">
        <f t="array" ref="L5">IF(D5&gt;0,IF($D5&lt;=0,0,D5*H5),"")</f>
        <v>660000</v>
      </c>
      <c r="M5" s="26" cm="1">
        <f t="array" ref="M5">IF(E5&gt;0,IF($D5&lt;=0,0,ROUND(E5*I5,2)),"")</f>
        <v>660000</v>
      </c>
      <c r="N5" s="28" cm="1">
        <f t="array" ref="N5">IF(F5&gt;0,IF($D5&lt;=0,0,ROUND(F5*J5,2)),"")</f>
        <v>660000</v>
      </c>
    </row>
    <row r="6" ht="20.5" customHeight="1">
      <c r="A6" t="s" s="18">
        <v>22</v>
      </c>
      <c r="B6" t="s" s="19">
        <v>23</v>
      </c>
      <c r="C6" s="20"/>
      <c r="D6" s="21">
        <v>1</v>
      </c>
      <c r="E6" s="21" cm="1">
        <f t="array" ref="E6">D6</f>
        <v>1</v>
      </c>
      <c r="F6" s="21" cm="1">
        <f t="array" ref="F6">D6</f>
        <v>1</v>
      </c>
      <c r="G6" t="s" s="22">
        <v>19</v>
      </c>
      <c r="H6" s="21">
        <v>3885000</v>
      </c>
      <c r="I6" s="21">
        <v>3885000</v>
      </c>
      <c r="J6" s="21">
        <v>3885000</v>
      </c>
      <c r="K6" s="21">
        <v>11</v>
      </c>
      <c r="L6" s="21" cm="1">
        <f t="array" ref="L6">IF(D6&gt;0,IF($D6&lt;=0,0,D6*H6),"")</f>
        <v>3885000</v>
      </c>
      <c r="M6" s="21" cm="1">
        <f t="array" ref="M6">IF(E6&gt;0,IF($D6&lt;=0,0,ROUND(E6*I6,2)),"")</f>
        <v>3885000</v>
      </c>
      <c r="N6" s="23" cm="1">
        <f t="array" ref="N6">IF(F6&gt;0,IF($D6&lt;=0,0,ROUND(F6*J6,2)),"")</f>
        <v>3885000</v>
      </c>
    </row>
    <row r="7" ht="20.5" customHeight="1">
      <c r="A7" s="29"/>
      <c r="B7" t="s" s="19">
        <v>28</v>
      </c>
      <c r="C7" s="24"/>
      <c r="D7" s="30"/>
      <c r="E7" s="26"/>
      <c r="F7" s="26"/>
      <c r="G7" s="30"/>
      <c r="H7" s="26"/>
      <c r="I7" s="26"/>
      <c r="J7" s="26"/>
      <c r="K7" s="26"/>
      <c r="L7" t="str" s="30" cm="1">
        <f t="array" ref="L7">IF(D7&gt;0,IF($D7&lt;=0,0,D7*H7),"")</f>
      </c>
      <c r="M7" t="str" s="30" cm="1">
        <f t="array" ref="M7">IF(E7&gt;0,IF($D7&lt;=0,0,ROUND(E7*I7,2)),"")</f>
      </c>
      <c r="N7" t="str" s="31" cm="1">
        <f t="array" ref="N7">IF(F7&gt;0,IF($D7&lt;=0,0,ROUND(F7*J7,2)),"")</f>
      </c>
    </row>
    <row r="8" ht="20.5" customHeight="1">
      <c r="A8" t="s" s="18">
        <v>31</v>
      </c>
      <c r="B8" t="s" s="19">
        <v>32</v>
      </c>
      <c r="C8" s="20"/>
      <c r="D8" s="78">
        <v>500</v>
      </c>
      <c r="E8" s="21" cm="1">
        <f t="array" ref="E8">D8</f>
        <v>500</v>
      </c>
      <c r="F8" s="21" cm="1">
        <f t="array" ref="F8">E8</f>
        <v>500</v>
      </c>
      <c r="G8" t="s" s="22">
        <v>27</v>
      </c>
      <c r="H8" s="21">
        <v>274500</v>
      </c>
      <c r="I8" s="21">
        <v>274500</v>
      </c>
      <c r="J8" s="21">
        <v>274500</v>
      </c>
      <c r="K8" s="21">
        <v>11</v>
      </c>
      <c r="L8" s="21" cm="1">
        <f t="array" ref="L8">IF(D8&gt;0,IF($D8&lt;=0,0,D8*H8),"")</f>
        <v>137250000</v>
      </c>
      <c r="M8" s="21" cm="1">
        <f t="array" ref="M8">IF(E8&gt;0,IF($D8&lt;=0,0,ROUND(E8*I8,2)),"")</f>
        <v>137250000</v>
      </c>
      <c r="N8" s="23" cm="1">
        <f t="array" ref="N8">IF(F8&gt;0,IF($D8&lt;=0,0,ROUND(F8*J8,2)),"")</f>
        <v>137250000</v>
      </c>
    </row>
    <row r="9" ht="20.5" customHeight="1">
      <c r="A9" t="s" s="18">
        <v>33</v>
      </c>
      <c r="B9" t="s" s="19">
        <v>34</v>
      </c>
      <c r="C9" s="24"/>
      <c r="D9" s="26">
        <v>3700</v>
      </c>
      <c r="E9" s="26" cm="1">
        <f t="array" ref="E9">D9</f>
        <v>3700</v>
      </c>
      <c r="F9" s="26" cm="1">
        <f t="array" ref="F9">E9</f>
        <v>3700</v>
      </c>
      <c r="G9" t="s" s="27">
        <v>35</v>
      </c>
      <c r="H9" s="26">
        <v>2900</v>
      </c>
      <c r="I9" s="26">
        <v>2900</v>
      </c>
      <c r="J9" s="26">
        <v>2900</v>
      </c>
      <c r="K9" s="26">
        <v>11</v>
      </c>
      <c r="L9" s="26" cm="1">
        <f t="array" ref="L9">IF(D9&gt;0,IF($D9&lt;=0,0,D9*H9),"")</f>
        <v>10730000</v>
      </c>
      <c r="M9" s="26" cm="1">
        <f t="array" ref="M9">IF(E9&gt;0,IF($D9&lt;=0,0,ROUND(E9*I9,2)),"")</f>
        <v>10730000</v>
      </c>
      <c r="N9" s="28" cm="1">
        <f t="array" ref="N9">IF(F9&gt;0,IF($D9&lt;=0,0,ROUND(F9*J9,2)),"")</f>
        <v>10730000</v>
      </c>
    </row>
    <row r="10" ht="20.5" customHeight="1">
      <c r="A10" s="29"/>
      <c r="B10" t="s" s="19">
        <v>36</v>
      </c>
      <c r="C10" s="20"/>
      <c r="D10" s="21"/>
      <c r="E10" s="21"/>
      <c r="F10" s="21"/>
      <c r="G10" s="79"/>
      <c r="H10" s="21"/>
      <c r="I10" s="21"/>
      <c r="J10" s="21"/>
      <c r="K10" s="21"/>
      <c r="L10" t="str" s="79" cm="1">
        <f t="array" ref="L10">IF(D10&gt;0,IF($D10&lt;=0,0,D10*H10),"")</f>
      </c>
      <c r="M10" s="21"/>
      <c r="N10" s="23"/>
    </row>
    <row r="11" ht="20.6" customHeight="1">
      <c r="A11" s="33">
        <v>1</v>
      </c>
      <c r="B11" t="s" s="34">
        <v>37</v>
      </c>
      <c r="C11" s="80"/>
      <c r="D11" s="81">
        <v>1</v>
      </c>
      <c r="E11" s="81" cm="1">
        <f t="array" ref="E11">D11</f>
        <v>1</v>
      </c>
      <c r="F11" s="81" cm="1">
        <f t="array" ref="F11">D11</f>
        <v>1</v>
      </c>
      <c r="G11" t="s" s="82">
        <v>19</v>
      </c>
      <c r="H11" s="308">
        <v>371545.55</v>
      </c>
      <c r="I11" s="81">
        <v>371436.3</v>
      </c>
      <c r="J11" s="81">
        <v>371436.3</v>
      </c>
      <c r="K11" s="81">
        <v>0</v>
      </c>
      <c r="L11" s="81" cm="1">
        <f t="array" ref="L11">IF(D11&gt;0,IF($D11&lt;=0,0,D11*H11),"")</f>
        <v>371545.55</v>
      </c>
      <c r="M11" s="81" cm="1">
        <f t="array" ref="M11">IF(E11&gt;0,IF($D11&lt;=0,0,ROUND(E11*I11,2)),"")</f>
        <v>371436.3</v>
      </c>
      <c r="N11" s="83" cm="1">
        <f t="array" ref="N11">IF(F11&gt;0,IF($D11&lt;=0,0,ROUND(F11*J11,2)),"")</f>
        <v>371436.3</v>
      </c>
    </row>
    <row r="12" ht="8.75" customHeight="1" hidden="1">
      <c r="A12" s="39"/>
      <c r="B12" s="40"/>
      <c r="C12" s="45"/>
      <c r="D12" s="46"/>
      <c r="E12" s="46"/>
      <c r="F12" s="46"/>
      <c r="G12" s="47"/>
      <c r="H12" s="46"/>
      <c r="I12" s="46"/>
      <c r="J12" s="46"/>
      <c r="K12" s="46"/>
      <c r="L12" s="46"/>
      <c r="M12" s="46"/>
      <c r="N12" s="48"/>
    </row>
    <row r="13" ht="8.75" customHeight="1" hidden="1">
      <c r="A13" s="39"/>
      <c r="B13" s="40"/>
      <c r="C13" s="41"/>
      <c r="D13" s="42"/>
      <c r="E13" s="42"/>
      <c r="F13" s="42"/>
      <c r="G13" s="43"/>
      <c r="H13" s="42"/>
      <c r="I13" s="42"/>
      <c r="J13" s="42"/>
      <c r="K13" s="42"/>
      <c r="L13" s="42"/>
      <c r="M13" s="42"/>
      <c r="N13" s="44"/>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2"/>
      <c r="I15" s="42"/>
      <c r="J15" s="42"/>
      <c r="K15" s="42"/>
      <c r="L15" s="42"/>
      <c r="M15" s="42"/>
      <c r="N15" s="44"/>
    </row>
    <row r="16" ht="8.75" customHeight="1" hidden="1">
      <c r="A16" s="39"/>
      <c r="B16" s="40"/>
      <c r="C16" s="45"/>
      <c r="D16" s="46"/>
      <c r="E16" s="46"/>
      <c r="F16" s="46"/>
      <c r="G16" s="47"/>
      <c r="H16" s="46"/>
      <c r="I16" s="46"/>
      <c r="J16" s="46"/>
      <c r="K16" s="46"/>
      <c r="L16" s="46"/>
      <c r="M16" s="46"/>
      <c r="N16" s="48"/>
    </row>
    <row r="17" ht="8.75" customHeight="1" hidden="1">
      <c r="A17" s="39"/>
      <c r="B17" s="40"/>
      <c r="C17" s="41"/>
      <c r="D17" s="42"/>
      <c r="E17" s="42"/>
      <c r="F17" s="42"/>
      <c r="G17" s="43"/>
      <c r="H17" s="42"/>
      <c r="I17" s="42"/>
      <c r="J17" s="42"/>
      <c r="K17" s="42"/>
      <c r="L17" s="42"/>
      <c r="M17" s="42"/>
      <c r="N17" s="44"/>
    </row>
    <row r="18" ht="8.75" customHeight="1" hidden="1">
      <c r="A18" s="39"/>
      <c r="B18" s="40"/>
      <c r="C18" s="45"/>
      <c r="D18" s="46"/>
      <c r="E18" s="46"/>
      <c r="F18" s="46"/>
      <c r="G18" s="47"/>
      <c r="H18" s="47"/>
      <c r="I18" s="47"/>
      <c r="J18" s="47"/>
      <c r="K18" s="46"/>
      <c r="L18" s="47"/>
      <c r="M18" s="47"/>
      <c r="N18" s="52"/>
    </row>
    <row r="19" ht="8.75" customHeight="1" hidden="1">
      <c r="A19" s="39"/>
      <c r="B19" s="40"/>
      <c r="C19" s="41"/>
      <c r="D19" s="42"/>
      <c r="E19" s="42"/>
      <c r="F19" s="42"/>
      <c r="G19" s="43"/>
      <c r="H19" s="84"/>
      <c r="I19" s="84"/>
      <c r="J19" s="84"/>
      <c r="K19" s="42"/>
      <c r="L19" s="42"/>
      <c r="M19" s="42"/>
      <c r="N19" s="44"/>
    </row>
    <row r="20" ht="8.75" customHeight="1" hidden="1">
      <c r="A20" s="39"/>
      <c r="B20" s="40"/>
      <c r="C20" s="45"/>
      <c r="D20" s="46"/>
      <c r="E20" s="46"/>
      <c r="F20" s="46"/>
      <c r="G20" s="47"/>
      <c r="H20" s="47"/>
      <c r="I20" s="47"/>
      <c r="J20" s="47"/>
      <c r="K20" s="46"/>
      <c r="L20" s="47"/>
      <c r="M20" s="47"/>
      <c r="N20" s="52"/>
    </row>
    <row r="21" ht="8.75" customHeight="1" hidden="1">
      <c r="A21" s="39"/>
      <c r="B21" s="40"/>
      <c r="C21" s="41"/>
      <c r="D21" s="42"/>
      <c r="E21" s="42"/>
      <c r="F21" s="42"/>
      <c r="G21" s="43"/>
      <c r="H21" s="42"/>
      <c r="I21" s="42"/>
      <c r="J21" s="42"/>
      <c r="K21" s="42"/>
      <c r="L21" s="42"/>
      <c r="M21" s="42"/>
      <c r="N21" s="44"/>
    </row>
    <row r="22" ht="8.75" customHeight="1" hidden="1">
      <c r="A22" s="39"/>
      <c r="B22" s="40"/>
      <c r="C22" s="45"/>
      <c r="D22" s="46"/>
      <c r="E22" s="46"/>
      <c r="F22" s="46"/>
      <c r="G22" s="47"/>
      <c r="H22" s="46"/>
      <c r="I22" s="46"/>
      <c r="J22" s="46"/>
      <c r="K22" s="46"/>
      <c r="L22" s="46"/>
      <c r="M22" s="46"/>
      <c r="N22" s="48"/>
    </row>
    <row r="23" ht="8.75" customHeight="1" hidden="1">
      <c r="A23" s="51"/>
      <c r="B23" s="40"/>
      <c r="C23" s="41"/>
      <c r="D23" s="42"/>
      <c r="E23" s="42"/>
      <c r="F23" s="42"/>
      <c r="G23" s="43"/>
      <c r="H23" s="42"/>
      <c r="I23" s="42"/>
      <c r="J23" s="42"/>
      <c r="K23" s="42"/>
      <c r="L23" s="42"/>
      <c r="M23" s="42"/>
      <c r="N23" s="44"/>
    </row>
    <row r="24" ht="8.75" customHeight="1" hidden="1">
      <c r="A24" s="51"/>
      <c r="B24" s="40"/>
      <c r="C24" s="45"/>
      <c r="D24" s="46"/>
      <c r="E24" s="46"/>
      <c r="F24" s="46"/>
      <c r="G24" s="47"/>
      <c r="H24" s="46"/>
      <c r="I24" s="46"/>
      <c r="J24" s="46"/>
      <c r="K24" s="46"/>
      <c r="L24" s="46"/>
      <c r="M24" s="46"/>
      <c r="N24" s="48"/>
    </row>
    <row r="25" ht="8.75" customHeight="1" hidden="1">
      <c r="A25" s="39"/>
      <c r="B25" s="40"/>
      <c r="C25" s="41"/>
      <c r="D25" s="42"/>
      <c r="E25" s="42"/>
      <c r="F25" s="42"/>
      <c r="G25" s="43"/>
      <c r="H25" s="42"/>
      <c r="I25" s="42"/>
      <c r="J25" s="42"/>
      <c r="K25" s="42"/>
      <c r="L25" s="43"/>
      <c r="M25" s="43"/>
      <c r="N25" s="49"/>
    </row>
    <row r="26" ht="8.75" customHeight="1" hidden="1">
      <c r="A26" s="39"/>
      <c r="B26" s="40"/>
      <c r="C26" s="45"/>
      <c r="D26" s="46"/>
      <c r="E26" s="46"/>
      <c r="F26" s="46"/>
      <c r="G26" s="47"/>
      <c r="H26" s="46"/>
      <c r="I26" s="46"/>
      <c r="J26" s="46"/>
      <c r="K26" s="46"/>
      <c r="L26" s="46"/>
      <c r="M26" s="46"/>
      <c r="N26" s="48"/>
    </row>
    <row r="27" ht="8.75" customHeight="1" hidden="1">
      <c r="A27" s="39"/>
      <c r="B27" s="40"/>
      <c r="C27" s="41"/>
      <c r="D27" s="42"/>
      <c r="E27" s="42"/>
      <c r="F27" s="42"/>
      <c r="G27" s="43"/>
      <c r="H27" s="42"/>
      <c r="I27" s="42"/>
      <c r="J27" s="42"/>
      <c r="K27" s="42"/>
      <c r="L27" s="43"/>
      <c r="M27" s="43"/>
      <c r="N27" s="49"/>
    </row>
    <row r="28" ht="20.85" customHeight="1">
      <c r="A28" s="53"/>
      <c r="B28" s="54"/>
      <c r="C28" s="54"/>
      <c r="D28" s="55"/>
      <c r="E28" s="55"/>
      <c r="F28" s="55"/>
      <c r="G28" s="56"/>
      <c r="H28" s="56"/>
      <c r="I28" s="59"/>
      <c r="J28" s="57"/>
      <c r="K28" t="s" s="58">
        <v>38</v>
      </c>
      <c r="L28" s="59" cm="1">
        <f t="array" ref="L28">SUM(L1:L27)</f>
        <v>169606045.55</v>
      </c>
      <c r="M28" s="59" cm="1">
        <f t="array" ref="M28">SUM(M1:M27)</f>
        <v>169548436.3</v>
      </c>
      <c r="N28" s="59" cm="1">
        <f t="array" ref="N28">SUM(N1:N27)</f>
        <v>169548436.3</v>
      </c>
    </row>
    <row r="29" ht="21" customHeight="1">
      <c r="A29" s="60"/>
      <c r="B29" t="s" s="61">
        <v>39</v>
      </c>
      <c r="C29" s="62"/>
      <c r="D29" s="63"/>
      <c r="E29" s="64"/>
      <c r="F29" s="64"/>
      <c r="G29" s="65"/>
      <c r="H29" s="66"/>
      <c r="I29" s="62"/>
      <c r="J29" s="67"/>
      <c r="K29" t="str" s="67" cm="1">
        <f t="array" ref="K29">"Jumlah Terkena Pajak "&amp;MAX(K3:K27)&amp;"% (B)"</f>
        <v>Jumlah Terkena Pajak 11,00% (B)</v>
      </c>
      <c r="L29" s="68" cm="1">
        <f t="array" ref="L29">SUMIF($K3:$K27,"&gt;0",L3:L27)</f>
        <v>169234500</v>
      </c>
      <c r="M29" s="69" cm="1">
        <f t="array" ref="M29">SUMIF($K3:$K27,"&gt;0",M3:M27)</f>
        <v>169177000</v>
      </c>
      <c r="N29" s="69" cm="1">
        <f t="array" ref="N29">SUMIF($K3:$K27,"&gt;0",N3:N27)</f>
        <v>169177000</v>
      </c>
    </row>
    <row r="30" ht="21" customHeight="1">
      <c r="A30" s="70"/>
      <c r="B30" s="71"/>
      <c r="C30" s="71"/>
      <c r="D30" s="72"/>
      <c r="E30" s="72"/>
      <c r="F30" s="71"/>
      <c r="G30" s="72"/>
      <c r="H30" s="72"/>
      <c r="I30" s="71"/>
      <c r="J30" s="73"/>
      <c r="K30" t="str" s="73" cm="1">
        <f t="array" ref="K30">"PPN (C) = "&amp;MAX(K3:K27)&amp;"% x B"</f>
        <v>PPN (C) = 11,00% x B</v>
      </c>
      <c r="L30" s="74" cm="1">
        <f t="array" ref="L30">L29*MAX($K3:$K27)%</f>
        <v>18615795</v>
      </c>
      <c r="M30" s="69" cm="1">
        <f t="array" ref="M30">M29*MAX($K3:$K27)%</f>
        <v>18609470</v>
      </c>
      <c r="N30" s="69" cm="1">
        <f t="array" ref="N30">N29*MAX($K3:$K27)%</f>
        <v>18609470</v>
      </c>
    </row>
    <row r="31" ht="21" customHeight="1">
      <c r="A31" s="70"/>
      <c r="B31" s="71"/>
      <c r="C31" s="71"/>
      <c r="D31" s="72"/>
      <c r="E31" s="72"/>
      <c r="F31" s="72"/>
      <c r="G31" s="72"/>
      <c r="H31" s="72"/>
      <c r="I31" s="71"/>
      <c r="J31" s="73"/>
      <c r="K31" t="s" s="75">
        <v>42</v>
      </c>
      <c r="L31" s="76" cm="1">
        <f t="array" ref="L31">L28+L30</f>
        <v>188221840.55</v>
      </c>
      <c r="M31" s="69" cm="1">
        <f t="array" ref="M31">M28+M30</f>
        <v>188157906.3</v>
      </c>
      <c r="N31" s="69" cm="1">
        <f t="array" ref="N31">N28+N30</f>
        <v>188157906.3</v>
      </c>
    </row>
    <row r="32" ht="20.5" customHeight="1">
      <c r="A32" s="70"/>
      <c r="B32" s="71"/>
      <c r="C32" s="71"/>
      <c r="D32" s="72"/>
      <c r="E32" s="72"/>
      <c r="F32" s="72"/>
      <c r="G32" s="72"/>
      <c r="H32" s="72"/>
      <c r="I32" s="71"/>
      <c r="J32" s="73"/>
      <c r="K32" t="s" s="75">
        <v>43</v>
      </c>
      <c r="L32" s="68" cm="1">
        <f t="array" ref="L32">ROUNDDOWN(L31,2)</f>
        <v>188221840.55</v>
      </c>
      <c r="M32" s="68" cm="1">
        <f t="array" ref="M32">ROUNDDOWN(M31,2)</f>
        <v>188157906.3</v>
      </c>
      <c r="N32" s="68" cm="1">
        <f t="array" ref="N32">ROUNDDOWN(N31,-3)</f>
        <v>188157000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17.xml><?xml version="1.0" encoding="utf-8"?>
<worksheet xmlns:r="http://schemas.openxmlformats.org/officeDocument/2006/relationships" xmlns="http://schemas.openxmlformats.org/spreadsheetml/2006/main">
  <sheetPr>
    <pageSetUpPr fitToPage="1"/>
  </sheetPr>
  <dimension ref="A1:N39"/>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310" customWidth="1"/>
    <col min="2" max="2" width="43.0312" style="310" customWidth="1"/>
    <col min="3" max="3" width="2.75" style="310" customWidth="1"/>
    <col min="4" max="6" width="10.3672" style="310" customWidth="1"/>
    <col min="7" max="7" width="11.6875" style="310" customWidth="1"/>
    <col min="8" max="11" width="13.5156" style="310" customWidth="1"/>
    <col min="12" max="14" width="14.2344" style="310" customWidth="1"/>
    <col min="15" max="16384" width="16.3516" style="310"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16</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t="s" s="18">
        <v>17</v>
      </c>
      <c r="B4" t="s" s="19">
        <v>18</v>
      </c>
      <c r="C4" s="20"/>
      <c r="D4" s="21">
        <v>1</v>
      </c>
      <c r="E4" s="21" cm="1">
        <f t="array" ref="E4">D4</f>
        <v>1</v>
      </c>
      <c r="F4" s="21" cm="1">
        <f t="array" ref="F4">D4</f>
        <v>1</v>
      </c>
      <c r="G4" t="s" s="22">
        <v>19</v>
      </c>
      <c r="H4" s="21">
        <v>3749000</v>
      </c>
      <c r="I4" s="21">
        <v>3691500</v>
      </c>
      <c r="J4" s="21">
        <v>3691500</v>
      </c>
      <c r="K4" s="21">
        <v>11</v>
      </c>
      <c r="L4" s="21" cm="1">
        <f t="array" ref="L4">IF(D4&gt;0,IF($D4&lt;=0,0,D4*H4),"")</f>
        <v>3749000</v>
      </c>
      <c r="M4" s="21" cm="1">
        <f t="array" ref="M4">IF(E4&gt;0,IF($D4&lt;=0,0,ROUND(E4*I4,2)),"")</f>
        <v>3691500</v>
      </c>
      <c r="N4" s="23" cm="1">
        <f t="array" ref="N4">IF(F4&gt;0,IF($D4&lt;=0,0,ROUND(F4*J4,2)),"")</f>
        <v>3691500</v>
      </c>
    </row>
    <row r="5" ht="20.5" customHeight="1">
      <c r="A5" t="s" s="18">
        <v>20</v>
      </c>
      <c r="B5" t="s" s="19">
        <v>21</v>
      </c>
      <c r="C5" s="24"/>
      <c r="D5" s="25">
        <v>1</v>
      </c>
      <c r="E5" s="26" cm="1">
        <f t="array" ref="E5">D5</f>
        <v>1</v>
      </c>
      <c r="F5" s="26" cm="1">
        <f t="array" ref="F5">D5</f>
        <v>1</v>
      </c>
      <c r="G5" t="s" s="27">
        <v>19</v>
      </c>
      <c r="H5" s="26">
        <v>660000</v>
      </c>
      <c r="I5" s="26">
        <v>660000</v>
      </c>
      <c r="J5" s="26">
        <v>660000</v>
      </c>
      <c r="K5" s="26">
        <v>11</v>
      </c>
      <c r="L5" s="26" cm="1">
        <f t="array" ref="L5">IF(D5&gt;0,IF($D5&lt;=0,0,D5*H5),"")</f>
        <v>660000</v>
      </c>
      <c r="M5" s="26" cm="1">
        <f t="array" ref="M5">IF(E5&gt;0,IF($D5&lt;=0,0,ROUND(E5*I5,2)),"")</f>
        <v>660000</v>
      </c>
      <c r="N5" s="28" cm="1">
        <f t="array" ref="N5">IF(F5&gt;0,IF($D5&lt;=0,0,ROUND(F5*J5,2)),"")</f>
        <v>660000</v>
      </c>
    </row>
    <row r="6" ht="20.5" customHeight="1">
      <c r="A6" t="s" s="18">
        <v>22</v>
      </c>
      <c r="B6" t="s" s="19">
        <v>23</v>
      </c>
      <c r="C6" s="20"/>
      <c r="D6" s="21">
        <v>1</v>
      </c>
      <c r="E6" s="21" cm="1">
        <f t="array" ref="E6">D6</f>
        <v>1</v>
      </c>
      <c r="F6" s="21" cm="1">
        <f t="array" ref="F6">D6</f>
        <v>1</v>
      </c>
      <c r="G6" t="s" s="22">
        <v>19</v>
      </c>
      <c r="H6" s="21">
        <v>300000</v>
      </c>
      <c r="I6" s="21">
        <v>260000</v>
      </c>
      <c r="J6" s="21">
        <v>260000</v>
      </c>
      <c r="K6" s="21">
        <v>11</v>
      </c>
      <c r="L6" s="21" cm="1">
        <f t="array" ref="L6">IF(D6&gt;0,IF($D6&lt;=0,0,D6*H6),"")</f>
        <v>300000</v>
      </c>
      <c r="M6" s="21" cm="1">
        <f t="array" ref="M6">IF(E6&gt;0,IF($D6&lt;=0,0,ROUND(E6*I6,2)),"")</f>
        <v>260000</v>
      </c>
      <c r="N6" s="23" cm="1">
        <f t="array" ref="N6">IF(F6&gt;0,IF($D6&lt;=0,0,ROUND(F6*J6,2)),"")</f>
        <v>260000</v>
      </c>
    </row>
    <row r="7" ht="20.5" customHeight="1">
      <c r="A7" s="29"/>
      <c r="B7" t="s" s="19">
        <v>28</v>
      </c>
      <c r="C7" s="24"/>
      <c r="D7" s="30"/>
      <c r="E7" s="26"/>
      <c r="F7" s="26"/>
      <c r="G7" s="30"/>
      <c r="H7" s="26"/>
      <c r="I7" s="30"/>
      <c r="J7" s="30"/>
      <c r="K7" s="26"/>
      <c r="L7" t="str" s="30" cm="1">
        <f t="array" ref="L7">IF(D7&gt;0,IF($D7&lt;=0,0,D7*H7),"")</f>
      </c>
      <c r="M7" t="str" s="30" cm="1">
        <f t="array" ref="M7">IF(E7&gt;0,IF($D7&lt;=0,0,ROUND(E7*I7,2)),"")</f>
      </c>
      <c r="N7" t="str" s="31" cm="1">
        <f t="array" ref="N7">IF(F7&gt;0,IF($D7&lt;=0,0,ROUND(F7*J7,2)),"")</f>
      </c>
    </row>
    <row r="8" ht="20.5" customHeight="1">
      <c r="A8" t="s" s="18">
        <v>31</v>
      </c>
      <c r="B8" t="s" s="19">
        <v>32</v>
      </c>
      <c r="C8" s="20"/>
      <c r="D8" s="78">
        <v>15</v>
      </c>
      <c r="E8" s="21" cm="1">
        <f t="array" ref="E8">D8</f>
        <v>15</v>
      </c>
      <c r="F8" s="21" cm="1">
        <f t="array" ref="F8">D8</f>
        <v>15</v>
      </c>
      <c r="G8" t="s" s="22">
        <v>27</v>
      </c>
      <c r="H8" s="21">
        <v>173400</v>
      </c>
      <c r="I8" s="21">
        <v>173400</v>
      </c>
      <c r="J8" s="21">
        <v>173400</v>
      </c>
      <c r="K8" s="21">
        <v>11</v>
      </c>
      <c r="L8" s="21" cm="1">
        <f t="array" ref="L8">IF(D8&gt;0,IF($D8&lt;=0,0,D8*H8),"")</f>
        <v>2601000</v>
      </c>
      <c r="M8" s="21" cm="1">
        <f t="array" ref="M8">IF(E8&gt;0,IF($D8&lt;=0,0,ROUND(E8*I8,2)),"")</f>
        <v>2601000</v>
      </c>
      <c r="N8" s="23" cm="1">
        <f t="array" ref="N8">IF(F8&gt;0,IF($D8&lt;=0,0,ROUND(F8*J8,2)),"")</f>
        <v>2601000</v>
      </c>
    </row>
    <row r="9" ht="20.5" customHeight="1">
      <c r="A9" s="29"/>
      <c r="B9" t="s" s="19">
        <v>92</v>
      </c>
      <c r="C9" s="24"/>
      <c r="D9" s="30"/>
      <c r="E9" s="26"/>
      <c r="F9" s="26"/>
      <c r="G9" s="30"/>
      <c r="H9" s="26"/>
      <c r="I9" s="30"/>
      <c r="J9" s="30"/>
      <c r="K9" s="26"/>
      <c r="L9" t="str" s="30" cm="1">
        <f t="array" ref="L9">IF(D9&gt;0,IF($D9&lt;=0,0,D9*H9),"")</f>
      </c>
      <c r="M9" t="str" s="30" cm="1">
        <f t="array" ref="M9">IF(E9&gt;0,IF($D9&lt;=0,0,ROUND(E9*I9,2)),"")</f>
      </c>
      <c r="N9" t="str" s="31" cm="1">
        <f t="array" ref="N9">IF(F9&gt;0,IF($D9&lt;=0,0,ROUND(F9*J9,2)),"")</f>
      </c>
    </row>
    <row r="10" ht="20.5" customHeight="1">
      <c r="A10" t="s" s="18">
        <v>157</v>
      </c>
      <c r="B10" t="s" s="19">
        <v>158</v>
      </c>
      <c r="C10" s="20"/>
      <c r="D10" s="78">
        <v>17.52</v>
      </c>
      <c r="E10" s="21" cm="1">
        <f t="array" ref="E10">D10</f>
        <v>17.52</v>
      </c>
      <c r="F10" s="21" cm="1">
        <f t="array" ref="F10">D10</f>
        <v>17.52</v>
      </c>
      <c r="G10" t="s" s="22">
        <v>27</v>
      </c>
      <c r="H10" s="21">
        <v>1759500</v>
      </c>
      <c r="I10" s="21">
        <v>1757909.77</v>
      </c>
      <c r="J10" s="21">
        <v>1757909.77</v>
      </c>
      <c r="K10" s="21">
        <v>11</v>
      </c>
      <c r="L10" s="21" cm="1">
        <f t="array" ref="L10">IF(D10&gt;0,IF($D10&lt;=0,0,D10*H10),"")</f>
        <v>30826440</v>
      </c>
      <c r="M10" s="21" cm="1">
        <f t="array" ref="M10">IF(E10&gt;0,IF($D10&lt;=0,0,ROUND(E10*I10,2)),"")</f>
        <v>30798579.17</v>
      </c>
      <c r="N10" s="23" cm="1">
        <f t="array" ref="N10">IF(F10&gt;0,IF($D10&lt;=0,0,ROUND(F10*J10,2)),"")</f>
        <v>30798579.17</v>
      </c>
    </row>
    <row r="11" ht="20.5" customHeight="1">
      <c r="A11" t="s" s="18">
        <v>95</v>
      </c>
      <c r="B11" t="s" s="19">
        <v>96</v>
      </c>
      <c r="C11" s="24"/>
      <c r="D11" s="25">
        <v>1</v>
      </c>
      <c r="E11" s="26" cm="1">
        <f t="array" ref="E11">D11</f>
        <v>1</v>
      </c>
      <c r="F11" s="26" cm="1">
        <f t="array" ref="F11">D11</f>
        <v>1</v>
      </c>
      <c r="G11" t="s" s="27">
        <v>27</v>
      </c>
      <c r="H11" s="26">
        <v>574300</v>
      </c>
      <c r="I11" s="26">
        <v>574300</v>
      </c>
      <c r="J11" s="26">
        <v>574300</v>
      </c>
      <c r="K11" s="26">
        <v>11</v>
      </c>
      <c r="L11" s="26" cm="1">
        <f t="array" ref="L11">IF(D11&gt;0,IF($D11&lt;=0,0,D11*H11),"")</f>
        <v>574300</v>
      </c>
      <c r="M11" s="26" cm="1">
        <f t="array" ref="M11">IF(E11&gt;0,IF($D11&lt;=0,0,ROUND(E11*I11,2)),"")</f>
        <v>574300</v>
      </c>
      <c r="N11" s="28" cm="1">
        <f t="array" ref="N11">IF(F11&gt;0,IF($D11&lt;=0,0,ROUND(F11*J11,2)),"")</f>
        <v>574300</v>
      </c>
    </row>
    <row r="12" ht="20.5" customHeight="1">
      <c r="A12" t="s" s="18">
        <v>99</v>
      </c>
      <c r="B12" t="s" s="19">
        <v>159</v>
      </c>
      <c r="C12" s="20"/>
      <c r="D12" s="21">
        <v>1701</v>
      </c>
      <c r="E12" s="21" cm="1">
        <f t="array" ref="E12">D12</f>
        <v>1701</v>
      </c>
      <c r="F12" s="21" cm="1">
        <f t="array" ref="F12">D12</f>
        <v>1701</v>
      </c>
      <c r="G12" t="s" s="22">
        <v>154</v>
      </c>
      <c r="H12" s="21">
        <v>14300</v>
      </c>
      <c r="I12" s="21">
        <v>14300</v>
      </c>
      <c r="J12" s="21">
        <v>14300</v>
      </c>
      <c r="K12" s="21">
        <v>11</v>
      </c>
      <c r="L12" s="21" cm="1">
        <f t="array" ref="L12">IF(D12&gt;0,IF($D12&lt;=0,0,D12*H12),"")</f>
        <v>24324300</v>
      </c>
      <c r="M12" s="21" cm="1">
        <f t="array" ref="M12">IF(E12&gt;0,IF($D12&lt;=0,0,ROUND(E12*I12,2)),"")</f>
        <v>24324300</v>
      </c>
      <c r="N12" s="23" cm="1">
        <f t="array" ref="N12">IF(F12&gt;0,IF($D12&lt;=0,0,ROUND(F12*J12,2)),"")</f>
        <v>24324300</v>
      </c>
    </row>
    <row r="13" ht="32.5" customHeight="1">
      <c r="A13" s="29"/>
      <c r="B13" t="s" s="19">
        <v>104</v>
      </c>
      <c r="C13" s="24"/>
      <c r="D13" s="30"/>
      <c r="E13" s="26"/>
      <c r="F13" s="26"/>
      <c r="G13" s="30"/>
      <c r="H13" s="26"/>
      <c r="I13" s="30"/>
      <c r="J13" s="30"/>
      <c r="K13" s="26"/>
      <c r="L13" t="str" s="30" cm="1">
        <f t="array" ref="L13">IF(D13&gt;0,IF($D13&lt;=0,0,D13*H13),"")</f>
      </c>
      <c r="M13" t="str" s="30" cm="1">
        <f t="array" ref="M13">IF(E13&gt;0,IF($D13&lt;=0,0,ROUND(E13*I13,2)),"")</f>
      </c>
      <c r="N13" t="str" s="31" cm="1">
        <f t="array" ref="N13">IF(F13&gt;0,IF($D13&lt;=0,0,ROUND(F13*J13,2)),"")</f>
      </c>
    </row>
    <row r="14" ht="20.5" customHeight="1">
      <c r="A14" s="29"/>
      <c r="B14" t="s" s="19">
        <v>510</v>
      </c>
      <c r="C14" s="20"/>
      <c r="D14" s="78">
        <v>1</v>
      </c>
      <c r="E14" s="21" cm="1">
        <f t="array" ref="E14">D14</f>
        <v>1</v>
      </c>
      <c r="F14" s="21" cm="1">
        <f t="array" ref="F14">D14</f>
        <v>1</v>
      </c>
      <c r="G14" t="s" s="22">
        <v>135</v>
      </c>
      <c r="H14" s="21">
        <v>1800000</v>
      </c>
      <c r="I14" s="21">
        <v>1800000</v>
      </c>
      <c r="J14" s="21">
        <v>1800000</v>
      </c>
      <c r="K14" s="21">
        <v>11</v>
      </c>
      <c r="L14" s="21" cm="1">
        <f t="array" ref="L14">IF(D14&gt;0,IF($D14&lt;=0,0,D14*H14),"")</f>
        <v>1800000</v>
      </c>
      <c r="M14" s="21" cm="1">
        <f t="array" ref="M14">IF(E14&gt;0,IF($D14&lt;=0,0,ROUND(E14*I14,2)),"")</f>
        <v>1800000</v>
      </c>
      <c r="N14" s="23" cm="1">
        <f t="array" ref="N14">IF(F14&gt;0,IF($D14&lt;=0,0,ROUND(F14*J14,2)),"")</f>
        <v>1800000</v>
      </c>
    </row>
    <row r="15" ht="20.5" customHeight="1">
      <c r="A15" t="s" s="18">
        <v>332</v>
      </c>
      <c r="B15" t="s" s="19">
        <v>256</v>
      </c>
      <c r="C15" s="24"/>
      <c r="D15" s="25">
        <v>3.5</v>
      </c>
      <c r="E15" s="26" cm="1">
        <f t="array" ref="E15">D15</f>
        <v>3.5</v>
      </c>
      <c r="F15" s="26" cm="1">
        <f t="array" ref="F15">D15</f>
        <v>3.5</v>
      </c>
      <c r="G15" t="s" s="27">
        <v>135</v>
      </c>
      <c r="H15" s="26">
        <v>104900</v>
      </c>
      <c r="I15" s="26">
        <v>104075</v>
      </c>
      <c r="J15" s="26">
        <v>104075</v>
      </c>
      <c r="K15" s="26">
        <v>11</v>
      </c>
      <c r="L15" s="26" cm="1">
        <f t="array" ref="L15">IF(D15&gt;0,IF($D15&lt;=0,0,D15*H15),"")</f>
        <v>367150</v>
      </c>
      <c r="M15" s="26" cm="1">
        <f t="array" ref="M15">IF(E15&gt;0,IF($D15&lt;=0,0,ROUND(E15*I15,2)),"")</f>
        <v>364262.5</v>
      </c>
      <c r="N15" s="28" cm="1">
        <f t="array" ref="N15">IF(F15&gt;0,IF($D15&lt;=0,0,ROUND(F15*J15,2)),"")</f>
        <v>364262.5</v>
      </c>
    </row>
    <row r="16" ht="20.6" customHeight="1">
      <c r="A16" t="s" s="311">
        <v>105</v>
      </c>
      <c r="B16" t="s" s="34">
        <v>106</v>
      </c>
      <c r="C16" s="35"/>
      <c r="D16" s="131">
        <v>28</v>
      </c>
      <c r="E16" s="36" cm="1">
        <f t="array" ref="E16">D16</f>
        <v>28</v>
      </c>
      <c r="F16" s="36" cm="1">
        <f t="array" ref="F16">D16</f>
        <v>28</v>
      </c>
      <c r="G16" t="s" s="37">
        <v>107</v>
      </c>
      <c r="H16" s="36">
        <v>69700</v>
      </c>
      <c r="I16" s="36">
        <v>69630.759999999995</v>
      </c>
      <c r="J16" s="36">
        <v>69630.759999999995</v>
      </c>
      <c r="K16" s="36">
        <v>11</v>
      </c>
      <c r="L16" s="36" cm="1">
        <f t="array" ref="L16">IF(D16&gt;0,IF($D16&lt;=0,0,D16*H16),"")</f>
        <v>1951600</v>
      </c>
      <c r="M16" s="36" cm="1">
        <f t="array" ref="M16">IF(E16&gt;0,IF($D16&lt;=0,0,ROUND(E16*I16,2)),"")</f>
        <v>1949661.28</v>
      </c>
      <c r="N16" s="38" cm="1">
        <f t="array" ref="N16">IF(F16&gt;0,IF($D16&lt;=0,0,ROUND(F16*J16,2)),"")</f>
        <v>1949661.28</v>
      </c>
    </row>
    <row r="17" ht="8.75" customHeight="1" hidden="1">
      <c r="A17" s="39"/>
      <c r="B17" s="40"/>
      <c r="C17" s="41"/>
      <c r="D17" s="42"/>
      <c r="E17" s="42"/>
      <c r="F17" s="42"/>
      <c r="G17" s="43"/>
      <c r="H17" s="43"/>
      <c r="I17" s="43"/>
      <c r="J17" s="43"/>
      <c r="K17" s="42"/>
      <c r="L17" s="43"/>
      <c r="M17" s="42"/>
      <c r="N17" s="44"/>
    </row>
    <row r="18" ht="8.75" customHeight="1" hidden="1">
      <c r="A18" s="39"/>
      <c r="B18" s="40"/>
      <c r="C18" s="45"/>
      <c r="D18" s="46"/>
      <c r="E18" s="46"/>
      <c r="F18" s="46"/>
      <c r="G18" s="47"/>
      <c r="H18" s="46"/>
      <c r="I18" s="46"/>
      <c r="J18" s="46"/>
      <c r="K18" s="46"/>
      <c r="L18" s="46"/>
      <c r="M18" s="46"/>
      <c r="N18" s="48"/>
    </row>
    <row r="19" ht="8.75" customHeight="1" hidden="1">
      <c r="A19" s="39"/>
      <c r="B19" s="40"/>
      <c r="C19" s="41"/>
      <c r="D19" s="42"/>
      <c r="E19" s="42"/>
      <c r="F19" s="42"/>
      <c r="G19" s="43"/>
      <c r="H19" s="42"/>
      <c r="I19" s="42"/>
      <c r="J19" s="42"/>
      <c r="K19" s="42"/>
      <c r="L19" s="42"/>
      <c r="M19" s="42"/>
      <c r="N19" s="44"/>
    </row>
    <row r="20" ht="8.75" customHeight="1" hidden="1">
      <c r="A20" s="39"/>
      <c r="B20" s="40"/>
      <c r="C20" s="45"/>
      <c r="D20" s="46"/>
      <c r="E20" s="46"/>
      <c r="F20" s="46"/>
      <c r="G20" s="47"/>
      <c r="H20" s="46"/>
      <c r="I20" s="46"/>
      <c r="J20" s="46"/>
      <c r="K20" s="46"/>
      <c r="L20" s="46"/>
      <c r="M20" s="46"/>
      <c r="N20" s="48"/>
    </row>
    <row r="21" ht="8.75" customHeight="1" hidden="1">
      <c r="A21" s="39"/>
      <c r="B21" s="40"/>
      <c r="C21" s="41"/>
      <c r="D21" s="42"/>
      <c r="E21" s="42"/>
      <c r="F21" s="42"/>
      <c r="G21" s="43"/>
      <c r="H21" s="42"/>
      <c r="I21" s="42"/>
      <c r="J21" s="42"/>
      <c r="K21" s="42"/>
      <c r="L21" s="42"/>
      <c r="M21" s="42"/>
      <c r="N21" s="44"/>
    </row>
    <row r="22" ht="8.75" customHeight="1" hidden="1">
      <c r="A22" s="39"/>
      <c r="B22" s="40"/>
      <c r="C22" s="45"/>
      <c r="D22" s="46"/>
      <c r="E22" s="46"/>
      <c r="F22" s="46"/>
      <c r="G22" s="47"/>
      <c r="H22" s="46"/>
      <c r="I22" s="46"/>
      <c r="J22" s="46"/>
      <c r="K22" s="46"/>
      <c r="L22" s="46"/>
      <c r="M22" s="46"/>
      <c r="N22" s="48"/>
    </row>
    <row r="23" ht="8.75" customHeight="1" hidden="1">
      <c r="A23" s="39"/>
      <c r="B23" s="40"/>
      <c r="C23" s="41"/>
      <c r="D23" s="42"/>
      <c r="E23" s="42"/>
      <c r="F23" s="42"/>
      <c r="G23" s="43"/>
      <c r="H23" s="42"/>
      <c r="I23" s="42"/>
      <c r="J23" s="42"/>
      <c r="K23" s="42"/>
      <c r="L23" s="42"/>
      <c r="M23" s="42"/>
      <c r="N23" s="44"/>
    </row>
    <row r="24" ht="8.75" customHeight="1" hidden="1">
      <c r="A24" s="39"/>
      <c r="B24" s="40"/>
      <c r="C24" s="45"/>
      <c r="D24" s="46"/>
      <c r="E24" s="46"/>
      <c r="F24" s="46"/>
      <c r="G24" s="47"/>
      <c r="H24" s="46"/>
      <c r="I24" s="46"/>
      <c r="J24" s="46"/>
      <c r="K24" s="46"/>
      <c r="L24" s="46"/>
      <c r="M24" s="46"/>
      <c r="N24" s="48"/>
    </row>
    <row r="25" ht="8.75" customHeight="1" hidden="1">
      <c r="A25" s="39"/>
      <c r="B25" s="40"/>
      <c r="C25" s="41"/>
      <c r="D25" s="42"/>
      <c r="E25" s="42"/>
      <c r="F25" s="42"/>
      <c r="G25" s="43"/>
      <c r="H25" s="43"/>
      <c r="I25" s="43"/>
      <c r="J25" s="43"/>
      <c r="K25" s="42"/>
      <c r="L25" s="43"/>
      <c r="M25" s="43"/>
      <c r="N25" s="49"/>
    </row>
    <row r="26" ht="8.75" customHeight="1" hidden="1">
      <c r="A26" s="39"/>
      <c r="B26" s="40"/>
      <c r="C26" s="45"/>
      <c r="D26" s="46"/>
      <c r="E26" s="46"/>
      <c r="F26" s="46"/>
      <c r="G26" s="47"/>
      <c r="H26" s="50"/>
      <c r="I26" s="50"/>
      <c r="J26" s="50"/>
      <c r="K26" s="46"/>
      <c r="L26" s="46"/>
      <c r="M26" s="46"/>
      <c r="N26" s="48"/>
    </row>
    <row r="27" ht="8.75" customHeight="1" hidden="1">
      <c r="A27" s="39"/>
      <c r="B27" s="40"/>
      <c r="C27" s="41"/>
      <c r="D27" s="42"/>
      <c r="E27" s="42"/>
      <c r="F27" s="42"/>
      <c r="G27" s="43"/>
      <c r="H27" s="43"/>
      <c r="I27" s="43"/>
      <c r="J27" s="43"/>
      <c r="K27" s="42"/>
      <c r="L27" s="43"/>
      <c r="M27" s="43"/>
      <c r="N27" s="49"/>
    </row>
    <row r="28" ht="8.75" customHeight="1" hidden="1">
      <c r="A28" s="39"/>
      <c r="B28" s="40"/>
      <c r="C28" s="45"/>
      <c r="D28" s="46"/>
      <c r="E28" s="46"/>
      <c r="F28" s="46"/>
      <c r="G28" s="47"/>
      <c r="H28" s="46"/>
      <c r="I28" s="46"/>
      <c r="J28" s="46"/>
      <c r="K28" s="46"/>
      <c r="L28" s="46"/>
      <c r="M28" s="46"/>
      <c r="N28" s="48"/>
    </row>
    <row r="29" ht="8.75" customHeight="1" hidden="1">
      <c r="A29" s="39"/>
      <c r="B29" s="40"/>
      <c r="C29" s="41"/>
      <c r="D29" s="42"/>
      <c r="E29" s="42"/>
      <c r="F29" s="42"/>
      <c r="G29" s="43"/>
      <c r="H29" s="42"/>
      <c r="I29" s="42"/>
      <c r="J29" s="42"/>
      <c r="K29" s="42"/>
      <c r="L29" s="42"/>
      <c r="M29" s="42"/>
      <c r="N29" s="44"/>
    </row>
    <row r="30" ht="8.75" customHeight="1" hidden="1">
      <c r="A30" s="51"/>
      <c r="B30" s="40"/>
      <c r="C30" s="45"/>
      <c r="D30" s="46"/>
      <c r="E30" s="46"/>
      <c r="F30" s="46"/>
      <c r="G30" s="47"/>
      <c r="H30" s="46"/>
      <c r="I30" s="46"/>
      <c r="J30" s="46"/>
      <c r="K30" s="46"/>
      <c r="L30" s="46"/>
      <c r="M30" s="46"/>
      <c r="N30" s="48"/>
    </row>
    <row r="31" ht="8.75" customHeight="1" hidden="1">
      <c r="A31" s="51"/>
      <c r="B31" s="40"/>
      <c r="C31" s="41"/>
      <c r="D31" s="42"/>
      <c r="E31" s="42"/>
      <c r="F31" s="42"/>
      <c r="G31" s="43"/>
      <c r="H31" s="42"/>
      <c r="I31" s="42"/>
      <c r="J31" s="42"/>
      <c r="K31" s="42"/>
      <c r="L31" s="42"/>
      <c r="M31" s="42"/>
      <c r="N31" s="44"/>
    </row>
    <row r="32" ht="8.75" customHeight="1" hidden="1">
      <c r="A32" s="39"/>
      <c r="B32" s="40"/>
      <c r="C32" s="45"/>
      <c r="D32" s="46"/>
      <c r="E32" s="46"/>
      <c r="F32" s="46"/>
      <c r="G32" s="47"/>
      <c r="H32" s="46"/>
      <c r="I32" s="46"/>
      <c r="J32" s="46"/>
      <c r="K32" s="46"/>
      <c r="L32" s="47"/>
      <c r="M32" s="47"/>
      <c r="N32" s="52"/>
    </row>
    <row r="33" ht="8.75" customHeight="1" hidden="1">
      <c r="A33" s="39"/>
      <c r="B33" s="40"/>
      <c r="C33" s="41"/>
      <c r="D33" s="42"/>
      <c r="E33" s="42"/>
      <c r="F33" s="42"/>
      <c r="G33" s="43"/>
      <c r="H33" s="42"/>
      <c r="I33" s="42"/>
      <c r="J33" s="42"/>
      <c r="K33" s="42"/>
      <c r="L33" s="42"/>
      <c r="M33" s="42"/>
      <c r="N33" s="44"/>
    </row>
    <row r="34" ht="8.75" customHeight="1" hidden="1">
      <c r="A34" s="39"/>
      <c r="B34" s="40"/>
      <c r="C34" s="45"/>
      <c r="D34" s="46"/>
      <c r="E34" s="46"/>
      <c r="F34" s="46"/>
      <c r="G34" s="47"/>
      <c r="H34" s="46"/>
      <c r="I34" s="46"/>
      <c r="J34" s="46"/>
      <c r="K34" s="46"/>
      <c r="L34" s="47"/>
      <c r="M34" s="47"/>
      <c r="N34" s="52"/>
    </row>
    <row r="35" ht="20.85" customHeight="1">
      <c r="A35" s="53"/>
      <c r="B35" s="54"/>
      <c r="C35" s="54"/>
      <c r="D35" s="55"/>
      <c r="E35" s="55"/>
      <c r="F35" s="55"/>
      <c r="G35" s="56"/>
      <c r="H35" s="56"/>
      <c r="I35" s="54"/>
      <c r="J35" s="57"/>
      <c r="K35" t="s" s="58">
        <v>38</v>
      </c>
      <c r="L35" s="59" cm="1">
        <f t="array" ref="L35">SUM(L1:L34)</f>
        <v>67153790</v>
      </c>
      <c r="M35" s="59" cm="1">
        <f t="array" ref="M35">SUM(M1:M34)</f>
        <v>67023602.95</v>
      </c>
      <c r="N35" s="59" cm="1">
        <f t="array" ref="N35">SUM(N1:N34)</f>
        <v>67023602.95</v>
      </c>
    </row>
    <row r="36" ht="21" customHeight="1">
      <c r="A36" s="60"/>
      <c r="B36" t="s" s="61">
        <v>39</v>
      </c>
      <c r="C36" s="62"/>
      <c r="D36" s="63" cm="1">
        <f t="array" ref="D36">ROUND(IF(L36&lt;=100000000,L36*0.24%,IF(AND(L36&gt;100000000,L36&lt;=500000000),100000000*0.24%+(L36-100000000)*0.19%,IF(AND(L36&gt;500000000,L36&lt;=1000000000),100000000*0.24%+400000000*0.19%+(L36-500000000)*0.15%,IF(AND(L36&gt;1000000000,L36&lt;=5000000000),100000000*0.24%+400000000*0.19%+500000000*0.15%+(L36-1000000000)*0.12%,IF(L36&gt;5000000000,100000000*0.24%+400000000*0.19%+500000000*0.15%+4000000000*0.12%+(L36-5000000000)*0.1%,"Bingung komputer"))))),2)</f>
        <v>161169.1</v>
      </c>
      <c r="E36" s="64" cm="1">
        <f t="array" ref="E36">ROUND(IF(M36&lt;=100000000,M36*0.24%,IF(AND(M36&gt;100000000,M36&lt;=500000000),100000000*0.24%+(M36-100000000)*0.19%,IF(AND(M36&gt;500000000,M36&lt;=1000000000),100000000*0.24%+400000000*0.19%+(M36-500000000)*0.15%,IF(AND(M36&gt;1000000000,M36&lt;=5000000000),100000000*0.24%+400000000*0.19%+500000000*0.15%+(M36-1000000000)*0.12%,IF(M36&gt;5000000000,100000000*0.24%+400000000*0.19%+500000000*0.15%+4000000000*0.12%+(M36-5000000000)*0.1%,"Bingung komputer"))))),2)</f>
        <v>160856.65</v>
      </c>
      <c r="F36" s="64" cm="1">
        <f t="array" ref="F36">ROUND(IF(N36&lt;=100000000,N36*0.24%,IF(AND(N36&gt;100000000,N36&lt;=500000000),100000000*0.24%+(N36-100000000)*0.19%,IF(AND(N36&gt;500000000,N36&lt;=1000000000),100000000*0.24%+400000000*0.19%+(N36-500000000)*0.15%,IF(AND(N36&gt;1000000000,N36&lt;=5000000000),100000000*0.24%+400000000*0.19%+500000000*0.15%+(N36-1000000000)*0.12%,IF(N36&gt;5000000000,100000000*0.24%+400000000*0.19%+500000000*0.15%+4000000000*0.12%+(N36-5000000000)*0.1%,"Bingung komputer"))))),2)</f>
        <v>160856.65</v>
      </c>
      <c r="G36" s="65"/>
      <c r="H36" s="66"/>
      <c r="I36" s="62"/>
      <c r="J36" s="67"/>
      <c r="K36" t="str" s="67" cm="1">
        <f t="array" ref="K36">"Jumlah Terkena Pajak "&amp;MAX(K3:K34)&amp;"% (B)"</f>
        <v>Jumlah Terkena Pajak 11,00% (B)</v>
      </c>
      <c r="L36" s="68" cm="1">
        <f t="array" ref="L36">SUMIF($K3:$K34,"&gt;0",L3:L34)</f>
        <v>67153790</v>
      </c>
      <c r="M36" s="69" cm="1">
        <f t="array" ref="M36">SUMIF($K3:$K34,"&gt;0",M3:M34)</f>
        <v>67023602.95</v>
      </c>
      <c r="N36" s="69" cm="1">
        <f t="array" ref="N36">SUMIF($K3:$K34,"&gt;0",N3:N34)</f>
        <v>67023602.95</v>
      </c>
    </row>
    <row r="37" ht="21" customHeight="1">
      <c r="A37" s="70"/>
      <c r="B37" s="71"/>
      <c r="C37" s="71"/>
      <c r="D37" s="72"/>
      <c r="E37" s="72"/>
      <c r="F37" s="71"/>
      <c r="G37" s="72"/>
      <c r="H37" s="72"/>
      <c r="I37" s="71"/>
      <c r="J37" s="73"/>
      <c r="K37" t="str" s="73" cm="1">
        <f t="array" ref="K37">"PPN (C) = "&amp;MAX(K3:K34)&amp;"% x B"</f>
        <v>PPN (C) = 11,00% x B</v>
      </c>
      <c r="L37" s="74" cm="1">
        <f t="array" ref="L37">L36*MAX($K3:$K34)%</f>
        <v>7386916.9</v>
      </c>
      <c r="M37" s="69" cm="1">
        <f t="array" ref="M37">M36*MAX($K3:$K34)%</f>
        <v>7372596.3245</v>
      </c>
      <c r="N37" s="69" cm="1">
        <f t="array" ref="N37">N36*MAX($K3:$K34)%</f>
        <v>7372596.3245</v>
      </c>
    </row>
    <row r="38" ht="21" customHeight="1">
      <c r="A38" s="70"/>
      <c r="B38" s="71"/>
      <c r="C38" s="71"/>
      <c r="D38" s="72"/>
      <c r="E38" s="72"/>
      <c r="F38" s="72"/>
      <c r="G38" s="72"/>
      <c r="H38" s="72"/>
      <c r="I38" s="71"/>
      <c r="J38" s="73"/>
      <c r="K38" t="s" s="75">
        <v>42</v>
      </c>
      <c r="L38" s="76" cm="1">
        <f t="array" ref="L38">L35+L37</f>
        <v>74540706.90000001</v>
      </c>
      <c r="M38" s="69" cm="1">
        <f t="array" ref="M38">M35+M37</f>
        <v>74396199.2745</v>
      </c>
      <c r="N38" s="69" cm="1">
        <f t="array" ref="N38">N35+N37</f>
        <v>74396199.2745</v>
      </c>
    </row>
    <row r="39" ht="20.5" customHeight="1">
      <c r="A39" s="70"/>
      <c r="B39" s="71"/>
      <c r="C39" s="71"/>
      <c r="D39" s="72"/>
      <c r="E39" s="72"/>
      <c r="F39" s="72"/>
      <c r="G39" s="72"/>
      <c r="H39" s="72"/>
      <c r="I39" s="71"/>
      <c r="J39" s="73"/>
      <c r="K39" t="s" s="75">
        <v>43</v>
      </c>
      <c r="L39" s="68" cm="1">
        <f t="array" ref="L39">ROUNDDOWN(L38,2)</f>
        <v>74540706.90000001</v>
      </c>
      <c r="M39" s="68" cm="1">
        <f t="array" ref="M39">ROUNDDOWN(M38,2)</f>
        <v>74396199.27</v>
      </c>
      <c r="N39" s="68" cm="1">
        <f t="array" ref="N39">ROUNDDOWN(N38,-3)</f>
        <v>74396000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drawing r:id="rId1"/>
</worksheet>
</file>

<file path=xl/worksheets/sheet118.xml><?xml version="1.0" encoding="utf-8"?>
<worksheet xmlns:r="http://schemas.openxmlformats.org/officeDocument/2006/relationships" xmlns="http://schemas.openxmlformats.org/spreadsheetml/2006/main">
  <sheetPr>
    <pageSetUpPr fitToPage="1"/>
  </sheetPr>
  <dimension ref="A1:O26"/>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7.17188" style="312" customWidth="1"/>
    <col min="2" max="2" width="43.0312" style="312" customWidth="1"/>
    <col min="3" max="3" width="2.75" style="312" customWidth="1"/>
    <col min="4" max="6" width="10.3672" style="312" customWidth="1"/>
    <col min="7" max="7" width="11.6875" style="312" customWidth="1"/>
    <col min="8" max="11" width="13.5156" style="312" customWidth="1"/>
    <col min="12" max="15" width="14.2344" style="312" customWidth="1"/>
    <col min="16" max="16384" width="16.3516" style="312" customWidth="1"/>
  </cols>
  <sheetData>
    <row r="1" ht="20.5" customHeight="1">
      <c r="A1" t="s" s="7">
        <v>6</v>
      </c>
      <c r="B1" t="s" s="7">
        <v>7</v>
      </c>
      <c r="C1" s="8"/>
      <c r="D1" t="s" s="7">
        <v>8</v>
      </c>
      <c r="E1" s="8"/>
      <c r="F1" s="8"/>
      <c r="G1" t="s" s="7">
        <v>9</v>
      </c>
      <c r="H1" t="s" s="7">
        <v>10</v>
      </c>
      <c r="I1" s="8"/>
      <c r="J1" s="8"/>
      <c r="K1" t="s" s="7">
        <v>11</v>
      </c>
      <c r="L1" t="s" s="7">
        <v>12</v>
      </c>
      <c r="M1" s="8"/>
      <c r="N1" s="8"/>
      <c r="O1" s="88"/>
    </row>
    <row r="2" ht="20.85" customHeight="1">
      <c r="A2" s="9"/>
      <c r="B2" s="9"/>
      <c r="C2" s="9"/>
      <c r="D2" t="s" s="10">
        <v>13</v>
      </c>
      <c r="E2" t="s" s="10">
        <v>14</v>
      </c>
      <c r="F2" t="s" s="10">
        <v>15</v>
      </c>
      <c r="G2" s="9"/>
      <c r="H2" t="s" s="10">
        <v>13</v>
      </c>
      <c r="I2" t="s" s="10">
        <v>14</v>
      </c>
      <c r="J2" t="s" s="10">
        <v>15</v>
      </c>
      <c r="K2" s="9"/>
      <c r="L2" t="s" s="10">
        <v>13</v>
      </c>
      <c r="M2" t="s" s="10">
        <v>14</v>
      </c>
      <c r="N2" t="s" s="10">
        <v>15</v>
      </c>
      <c r="O2" s="89"/>
    </row>
    <row r="3" ht="20.6" customHeight="1">
      <c r="A3" t="s" s="90">
        <v>51</v>
      </c>
      <c r="B3" t="s" s="12">
        <v>52</v>
      </c>
      <c r="C3" s="13"/>
      <c r="D3" s="14"/>
      <c r="E3" s="14"/>
      <c r="F3" s="14"/>
      <c r="G3" s="15"/>
      <c r="H3" s="15"/>
      <c r="I3" s="15"/>
      <c r="J3" s="15"/>
      <c r="K3" s="15"/>
      <c r="L3" t="str" s="16" cm="1">
        <f t="array" ref="L3">IF(D3&gt;0,IF($D3&lt;=0,0,D3*H3),"")</f>
      </c>
      <c r="M3" t="str" s="16" cm="1">
        <f t="array" ref="M3">IF(E3&gt;0,IF($D3&lt;=0,0,ROUND(E3*I3,2)),"")</f>
      </c>
      <c r="N3" t="str" s="16" cm="1">
        <f t="array" ref="N3">IF(F3&gt;0,IF($D3&lt;=0,0,ROUND(F3*J3,2)),"")</f>
      </c>
      <c r="O3" s="17"/>
    </row>
    <row r="4" ht="20.5" customHeight="1">
      <c r="A4" t="s" s="18">
        <v>53</v>
      </c>
      <c r="B4" t="s" s="19">
        <v>54</v>
      </c>
      <c r="C4" s="20"/>
      <c r="D4" s="21"/>
      <c r="E4" s="21"/>
      <c r="F4" s="21"/>
      <c r="G4" s="79"/>
      <c r="H4" s="21"/>
      <c r="I4" s="79"/>
      <c r="J4" s="21"/>
      <c r="K4" s="21"/>
      <c r="L4" t="str" s="79" cm="1">
        <f t="array" ref="L4">IF(D4&gt;0,IF($D4&lt;=0,0,D4*H4),"")</f>
      </c>
      <c r="M4" t="str" s="79" cm="1">
        <f t="array" ref="M4">IF(E4&gt;0,IF($D4&lt;=0,0,ROUND(E4*I4,2)),"")</f>
      </c>
      <c r="N4" t="str" s="79" cm="1">
        <f t="array" ref="N4">IF(F4&gt;0,IF($D4&lt;=0,0,ROUND(F4*J4,2)),"")</f>
      </c>
      <c r="O4" s="91"/>
    </row>
    <row r="5" ht="20.5" customHeight="1">
      <c r="A5" s="92">
        <v>1</v>
      </c>
      <c r="B5" t="s" s="19">
        <v>512</v>
      </c>
      <c r="C5" s="24"/>
      <c r="D5" s="26">
        <v>6</v>
      </c>
      <c r="E5" s="26" cm="1">
        <f t="array" ref="E5">D5</f>
        <v>6</v>
      </c>
      <c r="F5" s="26" cm="1">
        <f t="array" ref="F5">D5</f>
        <v>6</v>
      </c>
      <c r="G5" t="s" s="27">
        <v>56</v>
      </c>
      <c r="H5" s="26">
        <v>3175000</v>
      </c>
      <c r="I5" s="26">
        <v>3175000</v>
      </c>
      <c r="J5" s="26">
        <v>3175000</v>
      </c>
      <c r="K5" s="26">
        <v>11</v>
      </c>
      <c r="L5" s="26" cm="1">
        <f t="array" ref="L5">IF(D5&gt;0,IF($D5&lt;=0,0,D5*H5),"")</f>
        <v>19050000</v>
      </c>
      <c r="M5" s="26" cm="1">
        <f t="array" ref="M5">IF(E5&gt;0,IF($D5&lt;=0,0,ROUND(E5*I5,2)),"")</f>
        <v>19050000</v>
      </c>
      <c r="N5" s="26" cm="1">
        <f t="array" ref="N5">IF(F5&gt;0,IF($D5&lt;=0,0,ROUND(F5*J5,2)),"")</f>
        <v>19050000</v>
      </c>
      <c r="O5" s="28"/>
    </row>
    <row r="6" ht="20.5" customHeight="1">
      <c r="A6" t="s" s="93">
        <v>58</v>
      </c>
      <c r="B6" t="s" s="19">
        <v>59</v>
      </c>
      <c r="C6" s="20"/>
      <c r="D6" s="21"/>
      <c r="E6" s="21"/>
      <c r="F6" s="21"/>
      <c r="G6" s="79"/>
      <c r="H6" s="21"/>
      <c r="I6" s="21"/>
      <c r="J6" s="21"/>
      <c r="K6" s="21"/>
      <c r="L6" t="str" s="79" cm="1">
        <f t="array" ref="L6">IF(D6&gt;0,IF($D6&lt;=0,0,D6*H6),"")</f>
      </c>
      <c r="M6" t="str" s="79" cm="1">
        <f t="array" ref="M6">IF(E6&gt;0,IF($D6&lt;=0,0,ROUND(E6*I6,2)),"")</f>
      </c>
      <c r="N6" t="str" s="79" cm="1">
        <f t="array" ref="N6">IF(F6&gt;0,IF($D6&lt;=0,0,ROUND(F6*J6,2)),"")</f>
      </c>
      <c r="O6" s="91"/>
    </row>
    <row r="7" ht="20.5" customHeight="1">
      <c r="A7" t="s" s="18">
        <v>53</v>
      </c>
      <c r="B7" t="s" s="19">
        <v>60</v>
      </c>
      <c r="C7" s="24"/>
      <c r="D7" s="26"/>
      <c r="E7" s="26"/>
      <c r="F7" s="26"/>
      <c r="G7" s="30"/>
      <c r="H7" s="26"/>
      <c r="I7" s="26"/>
      <c r="J7" s="26"/>
      <c r="K7" s="26"/>
      <c r="L7" t="str" s="30" cm="1">
        <f t="array" ref="L7">IF(D7&gt;0,IF($D7&lt;=0,0,D7*H7),"")</f>
      </c>
      <c r="M7" t="str" s="30" cm="1">
        <f t="array" ref="M7">IF(E7&gt;0,IF($D7&lt;=0,0,ROUND(E7*I7,2)),"")</f>
      </c>
      <c r="N7" t="str" s="30" cm="1">
        <f t="array" ref="N7">IF(F7&gt;0,IF($D7&lt;=0,0,ROUND(F7*J7,2)),"")</f>
      </c>
      <c r="O7" s="31"/>
    </row>
    <row r="8" ht="20.5" customHeight="1">
      <c r="A8" s="94">
        <v>1</v>
      </c>
      <c r="B8" t="s" s="19">
        <v>513</v>
      </c>
      <c r="C8" s="20"/>
      <c r="D8" s="21">
        <v>1</v>
      </c>
      <c r="E8" s="21" cm="1">
        <f t="array" ref="E8">D8</f>
        <v>1</v>
      </c>
      <c r="F8" s="21" cm="1">
        <f t="array" ref="F8">D8</f>
        <v>1</v>
      </c>
      <c r="G8" t="s" s="22">
        <v>62</v>
      </c>
      <c r="H8" s="21">
        <v>584000</v>
      </c>
      <c r="I8" s="21">
        <v>550000</v>
      </c>
      <c r="J8" s="21">
        <v>550000</v>
      </c>
      <c r="K8" s="21">
        <v>11</v>
      </c>
      <c r="L8" s="21" cm="1">
        <f t="array" ref="L8">IF(D8&gt;0,IF($D8&lt;=0,0,D8*H8),"")</f>
        <v>584000</v>
      </c>
      <c r="M8" s="21" cm="1">
        <f t="array" ref="M8">IF(E8&gt;0,IF($D8&lt;=0,0,ROUND(E8*I8,2)),"")</f>
        <v>550000</v>
      </c>
      <c r="N8" s="21" cm="1">
        <f t="array" ref="N8">IF(F8&gt;0,IF($D8&lt;=0,0,ROUND(F8*J8,2)),"")</f>
        <v>550000</v>
      </c>
      <c r="O8" s="23"/>
    </row>
    <row r="9" ht="20.5" customHeight="1">
      <c r="A9" s="95">
        <v>2</v>
      </c>
      <c r="B9" t="s" s="19">
        <v>514</v>
      </c>
      <c r="C9" s="24"/>
      <c r="D9" s="26">
        <v>1</v>
      </c>
      <c r="E9" s="26" cm="1">
        <f t="array" ref="E9">D9</f>
        <v>1</v>
      </c>
      <c r="F9" s="26" cm="1">
        <f t="array" ref="F9">D9</f>
        <v>1</v>
      </c>
      <c r="G9" t="s" s="27">
        <v>68</v>
      </c>
      <c r="H9" s="26">
        <v>100000</v>
      </c>
      <c r="I9" s="26">
        <v>100000</v>
      </c>
      <c r="J9" s="26">
        <v>100000</v>
      </c>
      <c r="K9" s="26">
        <v>11</v>
      </c>
      <c r="L9" s="26" cm="1">
        <f t="array" ref="L9">IF(D9&gt;0,IF($D9&lt;=0,0,D9*H9),"")</f>
        <v>100000</v>
      </c>
      <c r="M9" s="26" cm="1">
        <f t="array" ref="M9">IF(E9&gt;0,IF($D9&lt;=0,0,ROUND(E9*I9,2)),"")</f>
        <v>100000</v>
      </c>
      <c r="N9" s="26" cm="1">
        <f t="array" ref="N9">IF(F9&gt;0,IF($D9&lt;=0,0,ROUND(F9*J9,2)),"")</f>
        <v>100000</v>
      </c>
      <c r="O9" s="28"/>
    </row>
    <row r="10" ht="32.5" customHeight="1">
      <c r="A10" s="95">
        <v>2</v>
      </c>
      <c r="B10" t="s" s="19">
        <v>63</v>
      </c>
      <c r="C10" s="20"/>
      <c r="D10" s="21">
        <v>1</v>
      </c>
      <c r="E10" s="21" cm="1">
        <f t="array" ref="E10">D10</f>
        <v>1</v>
      </c>
      <c r="F10" s="21" cm="1">
        <f t="array" ref="F10">D10</f>
        <v>1</v>
      </c>
      <c r="G10" t="s" s="22">
        <v>515</v>
      </c>
      <c r="H10" s="21">
        <v>500000</v>
      </c>
      <c r="I10" s="21">
        <v>500000</v>
      </c>
      <c r="J10" s="21">
        <v>500000</v>
      </c>
      <c r="K10" s="21">
        <v>11</v>
      </c>
      <c r="L10" s="21" cm="1">
        <f t="array" ref="L10">IF(D10&gt;0,IF($D10&lt;=0,0,D10*H10),"")</f>
        <v>500000</v>
      </c>
      <c r="M10" s="21" cm="1">
        <f t="array" ref="M10">IF(E10&gt;0,IF($D10&lt;=0,0,ROUND(E10*I10,2)),"")</f>
        <v>500000</v>
      </c>
      <c r="N10" s="21" cm="1">
        <f t="array" ref="N10">IF(F10&gt;0,IF($D10&lt;=0,0,ROUND(F10*J10,2)),"")</f>
        <v>500000</v>
      </c>
      <c r="O10" s="23"/>
    </row>
    <row r="11" ht="20.5" customHeight="1">
      <c r="A11" s="94"/>
      <c r="B11" t="s" s="19">
        <v>66</v>
      </c>
      <c r="C11" s="24"/>
      <c r="D11" s="26"/>
      <c r="E11" s="26"/>
      <c r="F11" s="26"/>
      <c r="G11" s="30"/>
      <c r="H11" s="26"/>
      <c r="I11" s="26"/>
      <c r="J11" s="26"/>
      <c r="K11" s="26"/>
      <c r="L11" t="str" s="30" cm="1">
        <f t="array" ref="L11">IF(D11&gt;0,IF($D11&lt;=0,0,D11*H11),"")</f>
      </c>
      <c r="M11" t="str" s="30" cm="1">
        <f t="array" ref="M11">IF(E11&gt;0,IF($D11&lt;=0,0,ROUND(E11*I11,2)),"")</f>
      </c>
      <c r="N11" t="str" s="30" cm="1">
        <f t="array" ref="N11">IF(F11&gt;0,IF($D11&lt;=0,0,ROUND(F11*J11,2)),"")</f>
      </c>
      <c r="O11" s="28"/>
    </row>
    <row r="12" ht="20.5" customHeight="1">
      <c r="A12" s="94">
        <v>3</v>
      </c>
      <c r="B12" t="s" s="19">
        <v>67</v>
      </c>
      <c r="C12" s="20"/>
      <c r="D12" s="21">
        <v>1</v>
      </c>
      <c r="E12" s="21" cm="1">
        <f t="array" ref="E12">D12</f>
        <v>1</v>
      </c>
      <c r="F12" s="21" cm="1">
        <f t="array" ref="F12">D12</f>
        <v>1</v>
      </c>
      <c r="G12" t="s" s="22">
        <v>68</v>
      </c>
      <c r="H12" s="21">
        <v>55000</v>
      </c>
      <c r="I12" s="21">
        <v>50000</v>
      </c>
      <c r="J12" s="21">
        <v>50000</v>
      </c>
      <c r="K12" s="21">
        <v>11</v>
      </c>
      <c r="L12" s="21" cm="1">
        <f t="array" ref="L12">IF(D12&gt;0,IF($D12&lt;=0,0,D12*H12),"")</f>
        <v>55000</v>
      </c>
      <c r="M12" s="21" cm="1">
        <f t="array" ref="M12">IF(E12&gt;0,IF($D12&lt;=0,0,ROUND(E12*I12,2)),"")</f>
        <v>50000</v>
      </c>
      <c r="N12" s="21" cm="1">
        <f t="array" ref="N12">IF(F12&gt;0,IF($D12&lt;=0,0,ROUND(F12*J12,2)),"")</f>
        <v>50000</v>
      </c>
      <c r="O12" s="23"/>
    </row>
    <row r="13" ht="20.5" customHeight="1">
      <c r="A13" s="94">
        <v>4</v>
      </c>
      <c r="B13" t="s" s="19">
        <v>69</v>
      </c>
      <c r="C13" s="24"/>
      <c r="D13" s="26">
        <v>1</v>
      </c>
      <c r="E13" s="26" cm="1">
        <f t="array" ref="E13">D13</f>
        <v>1</v>
      </c>
      <c r="F13" s="26" cm="1">
        <f t="array" ref="F13">D13</f>
        <v>1</v>
      </c>
      <c r="G13" t="s" s="27">
        <v>68</v>
      </c>
      <c r="H13" s="26">
        <v>250000</v>
      </c>
      <c r="I13" s="26">
        <v>250000</v>
      </c>
      <c r="J13" s="26">
        <v>250000</v>
      </c>
      <c r="K13" s="26">
        <v>11</v>
      </c>
      <c r="L13" s="26" cm="1">
        <f t="array" ref="L13">IF(D13&gt;0,IF($D13&lt;=0,0,D13*H13),"")</f>
        <v>250000</v>
      </c>
      <c r="M13" s="26" cm="1">
        <f t="array" ref="M13">IF(E13&gt;0,IF($D13&lt;=0,0,ROUND(E13*I13,2)),"")</f>
        <v>250000</v>
      </c>
      <c r="N13" s="26" cm="1">
        <f t="array" ref="N13">IF(F13&gt;0,IF($D13&lt;=0,0,ROUND(F13*J13,2)),"")</f>
        <v>250000</v>
      </c>
      <c r="O13" s="28"/>
    </row>
    <row r="14" ht="20.5" customHeight="1">
      <c r="A14" s="29"/>
      <c r="B14" t="s" s="19">
        <v>70</v>
      </c>
      <c r="C14" s="20"/>
      <c r="D14" s="21"/>
      <c r="E14" s="21"/>
      <c r="F14" s="21"/>
      <c r="G14" s="79"/>
      <c r="H14" s="21"/>
      <c r="I14" s="21"/>
      <c r="J14" s="21"/>
      <c r="K14" s="21"/>
      <c r="L14" t="str" s="79" cm="1">
        <f t="array" ref="L14">IF(D14&gt;0,IF($D14&lt;=0,0,D14*H14),"")</f>
      </c>
      <c r="M14" t="str" s="79" cm="1">
        <f t="array" ref="M14">IF(E14&gt;0,IF($D14&lt;=0,0,ROUND(E14*I14,2)),"")</f>
      </c>
      <c r="N14" t="str" s="79" cm="1">
        <f t="array" ref="N14">IF(F14&gt;0,IF($D14&lt;=0,0,ROUND(F14*J14,2)),"")</f>
      </c>
      <c r="O14" s="91"/>
    </row>
    <row r="15" ht="20.5" customHeight="1">
      <c r="A15" s="95">
        <v>5</v>
      </c>
      <c r="B15" t="s" s="19">
        <v>74</v>
      </c>
      <c r="C15" s="24"/>
      <c r="D15" s="26">
        <v>3</v>
      </c>
      <c r="E15" s="26" cm="1">
        <f t="array" ref="E15">D15</f>
        <v>3</v>
      </c>
      <c r="F15" s="26" cm="1">
        <f t="array" ref="F15">D15</f>
        <v>3</v>
      </c>
      <c r="G15" t="s" s="27">
        <v>75</v>
      </c>
      <c r="H15" s="26">
        <v>160000</v>
      </c>
      <c r="I15" s="26">
        <v>160000</v>
      </c>
      <c r="J15" s="26">
        <v>160000</v>
      </c>
      <c r="K15" s="26">
        <v>11</v>
      </c>
      <c r="L15" s="26" cm="1">
        <f t="array" ref="L15">IF(D15&gt;0,IF($D15&lt;=0,0,D15*H15),"")</f>
        <v>480000</v>
      </c>
      <c r="M15" s="26" cm="1">
        <f t="array" ref="M15">IF(E15&gt;0,IF($D15&lt;=0,0,ROUND(E15*I15,2)),"")</f>
        <v>480000</v>
      </c>
      <c r="N15" s="26" cm="1">
        <f t="array" ref="N15">IF(F15&gt;0,IF($D15&lt;=0,0,ROUND(F15*J15,2)),"")</f>
        <v>480000</v>
      </c>
      <c r="O15" s="28"/>
    </row>
    <row r="16" ht="20.5" customHeight="1">
      <c r="A16" s="95">
        <v>6</v>
      </c>
      <c r="B16" t="s" s="19">
        <v>76</v>
      </c>
      <c r="C16" s="20"/>
      <c r="D16" s="21">
        <v>6</v>
      </c>
      <c r="E16" s="21" cm="1">
        <f t="array" ref="E16">D16</f>
        <v>6</v>
      </c>
      <c r="F16" s="21" cm="1">
        <f t="array" ref="F16">D16</f>
        <v>6</v>
      </c>
      <c r="G16" t="s" s="22">
        <v>75</v>
      </c>
      <c r="H16" s="21">
        <v>150000</v>
      </c>
      <c r="I16" s="21">
        <v>150000</v>
      </c>
      <c r="J16" s="21">
        <v>150000</v>
      </c>
      <c r="K16" s="21">
        <v>11</v>
      </c>
      <c r="L16" s="21" cm="1">
        <f t="array" ref="L16">IF(D16&gt;0,IF($D16&lt;=0,0,D16*H16),"")</f>
        <v>900000</v>
      </c>
      <c r="M16" s="21" cm="1">
        <f t="array" ref="M16">IF(E16&gt;0,IF($D16&lt;=0,0,ROUND(E16*I16,2)),"")</f>
        <v>900000</v>
      </c>
      <c r="N16" s="21" cm="1">
        <f t="array" ref="N16">IF(F16&gt;0,IF($D16&lt;=0,0,ROUND(F16*J16,2)),"")</f>
        <v>900000</v>
      </c>
      <c r="O16" s="23"/>
    </row>
    <row r="17" ht="20.5" customHeight="1">
      <c r="A17" s="95">
        <v>7</v>
      </c>
      <c r="B17" t="s" s="19">
        <v>77</v>
      </c>
      <c r="C17" s="24"/>
      <c r="D17" s="26">
        <v>3</v>
      </c>
      <c r="E17" s="26" cm="1">
        <f t="array" ref="E17">D17</f>
        <v>3</v>
      </c>
      <c r="F17" s="26" cm="1">
        <f t="array" ref="F17">D17</f>
        <v>3</v>
      </c>
      <c r="G17" t="s" s="27">
        <v>75</v>
      </c>
      <c r="H17" s="26">
        <v>150000</v>
      </c>
      <c r="I17" s="26">
        <v>150000</v>
      </c>
      <c r="J17" s="26">
        <v>150000</v>
      </c>
      <c r="K17" s="26">
        <v>11</v>
      </c>
      <c r="L17" s="26" cm="1">
        <f t="array" ref="L17">IF(D17&gt;0,IF($D17&lt;=0,0,D17*H17),"")</f>
        <v>450000</v>
      </c>
      <c r="M17" s="26" cm="1">
        <f t="array" ref="M17">IF(E17&gt;0,IF($D17&lt;=0,0,ROUND(E17*I17,2)),"")</f>
        <v>450000</v>
      </c>
      <c r="N17" s="26" cm="1">
        <f t="array" ref="N17">IF(F17&gt;0,IF($D17&lt;=0,0,ROUND(F17*J17,2)),"")</f>
        <v>450000</v>
      </c>
      <c r="O17" s="28"/>
    </row>
    <row r="18" ht="20.5" customHeight="1">
      <c r="A18" s="95">
        <v>8</v>
      </c>
      <c r="B18" t="s" s="19">
        <v>121</v>
      </c>
      <c r="C18" s="20"/>
      <c r="D18" s="21">
        <v>1</v>
      </c>
      <c r="E18" s="21" cm="1">
        <f t="array" ref="E18">D18</f>
        <v>1</v>
      </c>
      <c r="F18" s="21" cm="1">
        <f t="array" ref="F18">D18</f>
        <v>1</v>
      </c>
      <c r="G18" t="s" s="22">
        <v>79</v>
      </c>
      <c r="H18" s="21">
        <v>100000</v>
      </c>
      <c r="I18" s="21">
        <v>100000</v>
      </c>
      <c r="J18" s="21">
        <v>100000</v>
      </c>
      <c r="K18" s="21">
        <v>11</v>
      </c>
      <c r="L18" s="21" cm="1">
        <f t="array" ref="L18">IF(D18&gt;0,IF($D18&lt;=0,0,D18*H18),"")</f>
        <v>100000</v>
      </c>
      <c r="M18" s="21" cm="1">
        <f t="array" ref="M18">IF(E18&gt;0,IF($D18&lt;=0,0,ROUND(E18*I18,2)),"")</f>
        <v>100000</v>
      </c>
      <c r="N18" s="21" cm="1">
        <f t="array" ref="N18">IF(F18&gt;0,IF($D18&lt;=0,0,ROUND(F18*J18,2)),"")</f>
        <v>100000</v>
      </c>
      <c r="O18" s="91"/>
    </row>
    <row r="19" ht="20.5" customHeight="1">
      <c r="A19" t="s" s="18">
        <v>80</v>
      </c>
      <c r="B19" t="s" s="19">
        <v>81</v>
      </c>
      <c r="C19" s="24"/>
      <c r="D19" s="26"/>
      <c r="E19" s="26"/>
      <c r="F19" s="26"/>
      <c r="G19" s="30"/>
      <c r="H19" s="26"/>
      <c r="I19" s="26"/>
      <c r="J19" s="26"/>
      <c r="K19" s="26"/>
      <c r="L19" t="str" s="30" cm="1">
        <f t="array" ref="L19">IF(D19&gt;0,IF($D19&lt;=0,0,D19*H19),"")</f>
      </c>
      <c r="M19" t="str" s="30" cm="1">
        <f t="array" ref="M19">IF(E19&gt;0,IF($D19&lt;=0,0,ROUND(E19*I19,2)),"")</f>
      </c>
      <c r="N19" t="str" s="30" cm="1">
        <f t="array" ref="N19">IF(F19&gt;0,IF($D19&lt;=0,0,ROUND(F19*J19,2)),"")</f>
      </c>
      <c r="O19" s="31"/>
    </row>
    <row r="20" ht="20.5" customHeight="1">
      <c r="A20" s="29"/>
      <c r="B20" t="s" s="19">
        <v>82</v>
      </c>
      <c r="C20" s="20"/>
      <c r="D20" s="21">
        <v>1</v>
      </c>
      <c r="E20" s="21" cm="1">
        <f t="array" ref="E20">D20</f>
        <v>1</v>
      </c>
      <c r="F20" s="21" cm="1">
        <f t="array" ref="F20">D20</f>
        <v>1</v>
      </c>
      <c r="G20" t="s" s="22">
        <v>19</v>
      </c>
      <c r="H20" s="21">
        <v>59857.42</v>
      </c>
      <c r="I20" s="21">
        <v>55500</v>
      </c>
      <c r="J20" s="21">
        <v>55500</v>
      </c>
      <c r="K20" s="21">
        <v>0</v>
      </c>
      <c r="L20" s="21" cm="1">
        <f t="array" ref="L20">IF(D20&gt;0,IF($D20&lt;=0,0,D20*H20),"")</f>
        <v>59857.42</v>
      </c>
      <c r="M20" s="21" cm="1">
        <f t="array" ref="M20">IF(E20&gt;0,IF($D20&lt;=0,0,ROUND(E20*I20,2)),"")</f>
        <v>55500</v>
      </c>
      <c r="N20" s="21" cm="1">
        <f t="array" ref="N20">IF(F20&gt;0,IF($D20&lt;=0,0,ROUND(F20*J20,2)),"")</f>
        <v>55500</v>
      </c>
      <c r="O20" s="23"/>
    </row>
    <row r="21" ht="20.6" customHeight="1">
      <c r="A21" s="96"/>
      <c r="B21" s="97"/>
      <c r="C21" s="80"/>
      <c r="D21" s="81"/>
      <c r="E21" s="81"/>
      <c r="F21" s="81"/>
      <c r="G21" s="98"/>
      <c r="H21" s="81"/>
      <c r="I21" s="81"/>
      <c r="J21" s="81"/>
      <c r="K21" s="81"/>
      <c r="L21" t="str" s="98" cm="1">
        <f t="array" ref="L21">IF(D21&gt;0,IF($D21&lt;=0,0,D21*H21),"")</f>
      </c>
      <c r="M21" t="str" s="98" cm="1">
        <f t="array" ref="M21">IF(E21&gt;0,IF($D21&lt;=0,0,ROUND(E21*I21,2)),"")</f>
      </c>
      <c r="N21" t="str" s="98" cm="1">
        <f t="array" ref="N21">IF(F21&gt;0,IF($D21&lt;=0,0,ROUND(F21*J21,2)),"")</f>
      </c>
      <c r="O21" s="99"/>
    </row>
    <row r="22" ht="20.85" customHeight="1">
      <c r="A22" s="54"/>
      <c r="B22" s="54"/>
      <c r="C22" s="54"/>
      <c r="D22" s="55"/>
      <c r="E22" s="55"/>
      <c r="F22" s="55"/>
      <c r="G22" s="56"/>
      <c r="H22" s="56"/>
      <c r="I22" s="54"/>
      <c r="J22" s="57"/>
      <c r="K22" t="s" s="58">
        <v>38</v>
      </c>
      <c r="L22" s="59" cm="1">
        <f t="array" ref="L22">SUM(L1:L21)</f>
        <v>22528857.42</v>
      </c>
      <c r="M22" s="59" cm="1">
        <f t="array" ref="M22">SUM(M1:M21)</f>
        <v>22485500</v>
      </c>
      <c r="N22" s="59" cm="1">
        <f t="array" ref="N22">SUM(N1:N21)</f>
        <v>22485500</v>
      </c>
      <c r="O22" s="59"/>
    </row>
    <row r="23" ht="21" customHeight="1">
      <c r="A23" s="62"/>
      <c r="B23" t="s" s="61">
        <v>39</v>
      </c>
      <c r="C23" s="62"/>
      <c r="D23" s="63" cm="1">
        <f t="array" ref="D23">ROUND(IF(L23&lt;=100000000,L23*0.24%,IF(AND(L23&gt;100000000,L23&lt;=500000000),100000000*0.24%+(L23-100000000)*0.19%,IF(AND(L23&gt;500000000,L23&lt;=1000000000),100000000*0.24%+400000000*0.19%+(L23-500000000)*0.15%,IF(AND(L23&gt;1000000000,L23&lt;=5000000000),100000000*0.24%+400000000*0.19%+500000000*0.15%+(L23-1000000000)*0.12%,IF(L23&gt;5000000000,100000000*0.24%+400000000*0.19%+500000000*0.15%+4000000000*0.12%+(L23-5000000000)*0.1%,"Bingung komputer"))))),2)</f>
        <v>53925.6</v>
      </c>
      <c r="E23" s="64" cm="1">
        <f t="array" ref="E23">ROUND(IF(M23&lt;=100000000,M23*0.24%,IF(AND(M23&gt;100000000,M23&lt;=500000000),100000000*0.24%+(M23-100000000)*0.19%,IF(AND(M23&gt;500000000,M23&lt;=1000000000),100000000*0.24%+400000000*0.19%+(M23-500000000)*0.15%,IF(AND(M23&gt;1000000000,M23&lt;=5000000000),100000000*0.24%+400000000*0.19%+500000000*0.15%+(M23-1000000000)*0.12%,IF(M23&gt;5000000000,100000000*0.24%+400000000*0.19%+500000000*0.15%+4000000000*0.12%+(M23-5000000000)*0.1%,"Bingung komputer"))))),2)</f>
        <v>53832</v>
      </c>
      <c r="F23" s="64" cm="1">
        <f t="array" ref="F23">ROUND(IF(N23&lt;=100000000,N23*0.24%,IF(AND(N23&gt;100000000,N23&lt;=500000000),100000000*0.24%+(N23-100000000)*0.19%,IF(AND(N23&gt;500000000,N23&lt;=1000000000),100000000*0.24%+400000000*0.19%+(N23-500000000)*0.15%,IF(AND(N23&gt;1000000000,N23&lt;=5000000000),100000000*0.24%+400000000*0.19%+500000000*0.15%+(N23-1000000000)*0.12%,IF(N23&gt;5000000000,100000000*0.24%+400000000*0.19%+500000000*0.15%+4000000000*0.12%+(N23-5000000000)*0.1%,"Bingung komputer"))))),2)</f>
        <v>53832</v>
      </c>
      <c r="G23" s="65"/>
      <c r="H23" s="66"/>
      <c r="I23" s="62"/>
      <c r="J23" s="67"/>
      <c r="K23" t="str" s="67" cm="1">
        <f t="array" ref="K23">"Jumlah Terkena Pajak "&amp;MAX(K3:K21)&amp;"% (B)"</f>
        <v>Jumlah Terkena Pajak 11,00% (B)</v>
      </c>
      <c r="L23" s="68" cm="1">
        <f t="array" ref="L23">SUMIF($K3:$K21,"&gt;0",L3:L21)</f>
        <v>22469000</v>
      </c>
      <c r="M23" s="68" cm="1">
        <f t="array" ref="M23">SUMIF($K3:$K21,"&gt;0",M3:M21)</f>
        <v>22430000</v>
      </c>
      <c r="N23" s="68" cm="1">
        <f t="array" ref="N23">SUMIF($K3:$K21,"&gt;0",N3:N21)</f>
        <v>22430000</v>
      </c>
      <c r="O23" s="69"/>
    </row>
    <row r="24" ht="21" customHeight="1">
      <c r="A24" s="71"/>
      <c r="B24" s="71"/>
      <c r="C24" s="71"/>
      <c r="D24" s="72"/>
      <c r="E24" s="72"/>
      <c r="F24" s="112">
        <v>28000000</v>
      </c>
      <c r="G24" s="72"/>
      <c r="H24" s="72"/>
      <c r="I24" s="71"/>
      <c r="J24" s="73"/>
      <c r="K24" t="str" s="73" cm="1">
        <f t="array" ref="K24">"PPN (C) = "&amp;MAX(K3:K21)&amp;"% x B"</f>
        <v>PPN (C) = 11,00% x B</v>
      </c>
      <c r="L24" s="74" cm="1">
        <f t="array" ref="L24">L23*MAX($K3:$K21)%</f>
        <v>2471590</v>
      </c>
      <c r="M24" s="74" cm="1">
        <f t="array" ref="M24">M23*MAX($K3:$K21)%</f>
        <v>2467300</v>
      </c>
      <c r="N24" s="74" cm="1">
        <f t="array" ref="N24">N23*MAX($K3:$K21)%</f>
        <v>2467300</v>
      </c>
      <c r="O24" s="69"/>
    </row>
    <row r="25" ht="21" customHeight="1">
      <c r="A25" s="71"/>
      <c r="B25" s="71"/>
      <c r="C25" s="71"/>
      <c r="D25" s="72"/>
      <c r="E25" s="72"/>
      <c r="F25" s="72"/>
      <c r="G25" s="72"/>
      <c r="H25" s="72"/>
      <c r="I25" s="71"/>
      <c r="J25" s="73"/>
      <c r="K25" t="s" s="75">
        <v>42</v>
      </c>
      <c r="L25" s="74" cm="1">
        <f t="array" ref="L25">L22+L24</f>
        <v>25000447.42</v>
      </c>
      <c r="M25" s="74" cm="1">
        <f t="array" ref="M25">M22+M24</f>
        <v>24952800</v>
      </c>
      <c r="N25" s="74" cm="1">
        <f t="array" ref="N25">N22+N24</f>
        <v>24952800</v>
      </c>
      <c r="O25" s="69"/>
    </row>
    <row r="26" ht="20.5" customHeight="1">
      <c r="A26" s="71"/>
      <c r="B26" s="71"/>
      <c r="C26" s="71"/>
      <c r="D26" s="72"/>
      <c r="E26" s="72"/>
      <c r="F26" s="72"/>
      <c r="G26" s="72"/>
      <c r="H26" s="72"/>
      <c r="I26" s="71"/>
      <c r="J26" s="73"/>
      <c r="K26" t="s" s="75">
        <v>43</v>
      </c>
      <c r="L26" s="74" cm="1">
        <f t="array" ref="L26">ROUNDDOWN(L25,2)</f>
        <v>25000447.42</v>
      </c>
      <c r="M26" s="74" cm="1">
        <f t="array" ref="M26">ROUNDDOWN(M25,2)</f>
        <v>24952800</v>
      </c>
      <c r="N26" s="74" cm="1">
        <f t="array" ref="N26">ROUNDDOWN(N25,-3)</f>
        <v>24952000</v>
      </c>
      <c r="O26" s="68"/>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19.xml><?xml version="1.0" encoding="utf-8"?>
<worksheet xmlns:r="http://schemas.openxmlformats.org/officeDocument/2006/relationships" xmlns="http://schemas.openxmlformats.org/spreadsheetml/2006/main">
  <sheetPr>
    <pageSetUpPr fitToPage="1"/>
  </sheetPr>
  <dimension ref="A1:O26"/>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7.17188" style="313" customWidth="1"/>
    <col min="2" max="2" width="43.0312" style="313" customWidth="1"/>
    <col min="3" max="3" width="2.75" style="313" customWidth="1"/>
    <col min="4" max="6" width="10.3672" style="313" customWidth="1"/>
    <col min="7" max="7" width="11.6875" style="313" customWidth="1"/>
    <col min="8" max="11" width="13.5156" style="313" customWidth="1"/>
    <col min="12" max="15" width="14.2344" style="313" customWidth="1"/>
    <col min="16" max="16384" width="16.3516" style="313" customWidth="1"/>
  </cols>
  <sheetData>
    <row r="1" ht="20.5" customHeight="1">
      <c r="A1" t="s" s="7">
        <v>6</v>
      </c>
      <c r="B1" t="s" s="7">
        <v>7</v>
      </c>
      <c r="C1" s="8"/>
      <c r="D1" t="s" s="7">
        <v>8</v>
      </c>
      <c r="E1" s="8"/>
      <c r="F1" s="8"/>
      <c r="G1" t="s" s="7">
        <v>9</v>
      </c>
      <c r="H1" t="s" s="7">
        <v>10</v>
      </c>
      <c r="I1" s="8"/>
      <c r="J1" s="8"/>
      <c r="K1" t="s" s="7">
        <v>11</v>
      </c>
      <c r="L1" t="s" s="7">
        <v>12</v>
      </c>
      <c r="M1" s="8"/>
      <c r="N1" s="8"/>
      <c r="O1" s="88"/>
    </row>
    <row r="2" ht="20.85" customHeight="1">
      <c r="A2" s="9"/>
      <c r="B2" s="9"/>
      <c r="C2" s="9"/>
      <c r="D2" t="s" s="10">
        <v>13</v>
      </c>
      <c r="E2" t="s" s="10">
        <v>14</v>
      </c>
      <c r="F2" t="s" s="10">
        <v>15</v>
      </c>
      <c r="G2" s="9"/>
      <c r="H2" t="s" s="10">
        <v>13</v>
      </c>
      <c r="I2" t="s" s="10">
        <v>14</v>
      </c>
      <c r="J2" t="s" s="10">
        <v>15</v>
      </c>
      <c r="K2" s="9"/>
      <c r="L2" t="s" s="10">
        <v>13</v>
      </c>
      <c r="M2" t="s" s="10">
        <v>14</v>
      </c>
      <c r="N2" t="s" s="10">
        <v>15</v>
      </c>
      <c r="O2" s="89"/>
    </row>
    <row r="3" ht="20.6" customHeight="1">
      <c r="A3" t="s" s="90">
        <v>51</v>
      </c>
      <c r="B3" t="s" s="12">
        <v>52</v>
      </c>
      <c r="C3" s="13"/>
      <c r="D3" s="14"/>
      <c r="E3" s="14"/>
      <c r="F3" s="14"/>
      <c r="G3" s="15"/>
      <c r="H3" s="15"/>
      <c r="I3" s="15"/>
      <c r="J3" s="15"/>
      <c r="K3" s="15"/>
      <c r="L3" t="str" s="16" cm="1">
        <f t="array" ref="L3">IF(D3&gt;0,IF($D3&lt;=0,0,D3*H3),"")</f>
      </c>
      <c r="M3" t="str" s="16" cm="1">
        <f t="array" ref="M3">IF(E3&gt;0,IF($D3&lt;=0,0,ROUND(E3*I3,2)),"")</f>
      </c>
      <c r="N3" t="str" s="16" cm="1">
        <f t="array" ref="N3">IF(F3&gt;0,IF($D3&lt;=0,0,ROUND(F3*J3,2)),"")</f>
      </c>
      <c r="O3" s="17"/>
    </row>
    <row r="4" ht="20.5" customHeight="1">
      <c r="A4" t="s" s="18">
        <v>53</v>
      </c>
      <c r="B4" t="s" s="19">
        <v>54</v>
      </c>
      <c r="C4" s="20"/>
      <c r="D4" s="21"/>
      <c r="E4" s="21"/>
      <c r="F4" s="21"/>
      <c r="G4" s="79"/>
      <c r="H4" s="21"/>
      <c r="I4" s="79"/>
      <c r="J4" s="21"/>
      <c r="K4" s="21"/>
      <c r="L4" t="str" s="79" cm="1">
        <f t="array" ref="L4">IF(D4&gt;0,IF($D4&lt;=0,0,D4*H4),"")</f>
      </c>
      <c r="M4" t="str" s="79" cm="1">
        <f t="array" ref="M4">IF(E4&gt;0,IF($D4&lt;=0,0,ROUND(E4*I4,2)),"")</f>
      </c>
      <c r="N4" t="str" s="79" cm="1">
        <f t="array" ref="N4">IF(F4&gt;0,IF($D4&lt;=0,0,ROUND(F4*J4,2)),"")</f>
      </c>
      <c r="O4" s="91"/>
    </row>
    <row r="5" ht="20.5" customHeight="1">
      <c r="A5" s="92">
        <v>1</v>
      </c>
      <c r="B5" t="s" s="19">
        <v>512</v>
      </c>
      <c r="C5" s="24"/>
      <c r="D5" s="26">
        <v>6</v>
      </c>
      <c r="E5" s="26" cm="1">
        <f t="array" ref="E5">D5</f>
        <v>6</v>
      </c>
      <c r="F5" s="26" cm="1">
        <f t="array" ref="F5">D5</f>
        <v>6</v>
      </c>
      <c r="G5" t="s" s="27">
        <v>56</v>
      </c>
      <c r="H5" s="26">
        <v>3175000</v>
      </c>
      <c r="I5" s="26">
        <v>3175000</v>
      </c>
      <c r="J5" s="26">
        <v>3175000</v>
      </c>
      <c r="K5" s="26">
        <v>11</v>
      </c>
      <c r="L5" s="26" cm="1">
        <f t="array" ref="L5">IF(D5&gt;0,IF($D5&lt;=0,0,D5*H5),"")</f>
        <v>19050000</v>
      </c>
      <c r="M5" s="26" cm="1">
        <f t="array" ref="M5">IF(E5&gt;0,IF($D5&lt;=0,0,ROUND(E5*I5,2)),"")</f>
        <v>19050000</v>
      </c>
      <c r="N5" s="26" cm="1">
        <f t="array" ref="N5">IF(F5&gt;0,IF($D5&lt;=0,0,ROUND(F5*J5,2)),"")</f>
        <v>19050000</v>
      </c>
      <c r="O5" s="28"/>
    </row>
    <row r="6" ht="20.5" customHeight="1">
      <c r="A6" t="s" s="93">
        <v>58</v>
      </c>
      <c r="B6" t="s" s="19">
        <v>59</v>
      </c>
      <c r="C6" s="20"/>
      <c r="D6" s="21"/>
      <c r="E6" s="21"/>
      <c r="F6" s="21"/>
      <c r="G6" s="79"/>
      <c r="H6" s="21"/>
      <c r="I6" s="21"/>
      <c r="J6" s="21"/>
      <c r="K6" s="21"/>
      <c r="L6" t="str" s="79" cm="1">
        <f t="array" ref="L6">IF(D6&gt;0,IF($D6&lt;=0,0,D6*H6),"")</f>
      </c>
      <c r="M6" t="str" s="79" cm="1">
        <f t="array" ref="M6">IF(E6&gt;0,IF($D6&lt;=0,0,ROUND(E6*I6,2)),"")</f>
      </c>
      <c r="N6" t="str" s="79" cm="1">
        <f t="array" ref="N6">IF(F6&gt;0,IF($D6&lt;=0,0,ROUND(F6*J6,2)),"")</f>
      </c>
      <c r="O6" s="91"/>
    </row>
    <row r="7" ht="20.5" customHeight="1">
      <c r="A7" t="s" s="18">
        <v>53</v>
      </c>
      <c r="B7" t="s" s="19">
        <v>60</v>
      </c>
      <c r="C7" s="24"/>
      <c r="D7" s="26"/>
      <c r="E7" s="26"/>
      <c r="F7" s="26"/>
      <c r="G7" s="30"/>
      <c r="H7" s="26"/>
      <c r="I7" s="26"/>
      <c r="J7" s="26"/>
      <c r="K7" s="26"/>
      <c r="L7" t="str" s="30" cm="1">
        <f t="array" ref="L7">IF(D7&gt;0,IF($D7&lt;=0,0,D7*H7),"")</f>
      </c>
      <c r="M7" t="str" s="30" cm="1">
        <f t="array" ref="M7">IF(E7&gt;0,IF($D7&lt;=0,0,ROUND(E7*I7,2)),"")</f>
      </c>
      <c r="N7" t="str" s="30" cm="1">
        <f t="array" ref="N7">IF(F7&gt;0,IF($D7&lt;=0,0,ROUND(F7*J7,2)),"")</f>
      </c>
      <c r="O7" s="31"/>
    </row>
    <row r="8" ht="20.5" customHeight="1">
      <c r="A8" s="94">
        <v>1</v>
      </c>
      <c r="B8" t="s" s="19">
        <v>513</v>
      </c>
      <c r="C8" s="20"/>
      <c r="D8" s="21">
        <v>1</v>
      </c>
      <c r="E8" s="21" cm="1">
        <f t="array" ref="E8">D8</f>
        <v>1</v>
      </c>
      <c r="F8" s="21" cm="1">
        <f t="array" ref="F8">D8</f>
        <v>1</v>
      </c>
      <c r="G8" t="s" s="22">
        <v>62</v>
      </c>
      <c r="H8" s="21">
        <v>584000</v>
      </c>
      <c r="I8" s="21">
        <v>580000</v>
      </c>
      <c r="J8" s="21">
        <v>580000</v>
      </c>
      <c r="K8" s="21">
        <v>11</v>
      </c>
      <c r="L8" s="21" cm="1">
        <f t="array" ref="L8">IF(D8&gt;0,IF($D8&lt;=0,0,D8*H8),"")</f>
        <v>584000</v>
      </c>
      <c r="M8" s="21" cm="1">
        <f t="array" ref="M8">IF(E8&gt;0,IF($D8&lt;=0,0,ROUND(E8*I8,2)),"")</f>
        <v>580000</v>
      </c>
      <c r="N8" s="21" cm="1">
        <f t="array" ref="N8">IF(F8&gt;0,IF($D8&lt;=0,0,ROUND(F8*J8,2)),"")</f>
        <v>580000</v>
      </c>
      <c r="O8" s="23"/>
    </row>
    <row r="9" ht="20.5" customHeight="1">
      <c r="A9" s="95">
        <v>2</v>
      </c>
      <c r="B9" t="s" s="19">
        <v>514</v>
      </c>
      <c r="C9" s="24"/>
      <c r="D9" s="26">
        <v>1</v>
      </c>
      <c r="E9" s="26" cm="1">
        <f t="array" ref="E9">D9</f>
        <v>1</v>
      </c>
      <c r="F9" s="26" cm="1">
        <f t="array" ref="F9">D9</f>
        <v>1</v>
      </c>
      <c r="G9" t="s" s="27">
        <v>68</v>
      </c>
      <c r="H9" s="26">
        <v>100000</v>
      </c>
      <c r="I9" s="26">
        <v>100000</v>
      </c>
      <c r="J9" s="26">
        <v>100000</v>
      </c>
      <c r="K9" s="26">
        <v>11</v>
      </c>
      <c r="L9" s="26" cm="1">
        <f t="array" ref="L9">IF(D9&gt;0,IF($D9&lt;=0,0,D9*H9),"")</f>
        <v>100000</v>
      </c>
      <c r="M9" s="26" cm="1">
        <f t="array" ref="M9">IF(E9&gt;0,IF($D9&lt;=0,0,ROUND(E9*I9,2)),"")</f>
        <v>100000</v>
      </c>
      <c r="N9" s="26" cm="1">
        <f t="array" ref="N9">IF(F9&gt;0,IF($D9&lt;=0,0,ROUND(F9*J9,2)),"")</f>
        <v>100000</v>
      </c>
      <c r="O9" s="28"/>
    </row>
    <row r="10" ht="32.5" customHeight="1">
      <c r="A10" s="95">
        <v>2</v>
      </c>
      <c r="B10" t="s" s="19">
        <v>63</v>
      </c>
      <c r="C10" s="20"/>
      <c r="D10" s="21">
        <v>1</v>
      </c>
      <c r="E10" s="21" cm="1">
        <f t="array" ref="E10">D10</f>
        <v>1</v>
      </c>
      <c r="F10" s="21" cm="1">
        <f t="array" ref="F10">D10</f>
        <v>1</v>
      </c>
      <c r="G10" t="s" s="22">
        <v>515</v>
      </c>
      <c r="H10" s="21">
        <v>500000</v>
      </c>
      <c r="I10" s="21">
        <v>500000</v>
      </c>
      <c r="J10" s="21">
        <v>500000</v>
      </c>
      <c r="K10" s="21">
        <v>11</v>
      </c>
      <c r="L10" s="21" cm="1">
        <f t="array" ref="L10">IF(D10&gt;0,IF($D10&lt;=0,0,D10*H10),"")</f>
        <v>500000</v>
      </c>
      <c r="M10" s="21" cm="1">
        <f t="array" ref="M10">IF(E10&gt;0,IF($D10&lt;=0,0,ROUND(E10*I10,2)),"")</f>
        <v>500000</v>
      </c>
      <c r="N10" s="21" cm="1">
        <f t="array" ref="N10">IF(F10&gt;0,IF($D10&lt;=0,0,ROUND(F10*J10,2)),"")</f>
        <v>500000</v>
      </c>
      <c r="O10" s="23"/>
    </row>
    <row r="11" ht="20.5" customHeight="1">
      <c r="A11" s="94"/>
      <c r="B11" t="s" s="19">
        <v>66</v>
      </c>
      <c r="C11" s="24"/>
      <c r="D11" s="26"/>
      <c r="E11" s="26"/>
      <c r="F11" s="26"/>
      <c r="G11" s="30"/>
      <c r="H11" s="26"/>
      <c r="I11" s="26"/>
      <c r="J11" s="26"/>
      <c r="K11" s="26"/>
      <c r="L11" t="str" s="30" cm="1">
        <f t="array" ref="L11">IF(D11&gt;0,IF($D11&lt;=0,0,D11*H11),"")</f>
      </c>
      <c r="M11" t="str" s="30" cm="1">
        <f t="array" ref="M11">IF(E11&gt;0,IF($D11&lt;=0,0,ROUND(E11*I11,2)),"")</f>
      </c>
      <c r="N11" t="str" s="30" cm="1">
        <f t="array" ref="N11">IF(F11&gt;0,IF($D11&lt;=0,0,ROUND(F11*J11,2)),"")</f>
      </c>
      <c r="O11" s="28"/>
    </row>
    <row r="12" ht="20.5" customHeight="1">
      <c r="A12" s="94">
        <v>3</v>
      </c>
      <c r="B12" t="s" s="19">
        <v>67</v>
      </c>
      <c r="C12" s="20"/>
      <c r="D12" s="21">
        <v>1</v>
      </c>
      <c r="E12" s="21" cm="1">
        <f t="array" ref="E12">D12</f>
        <v>1</v>
      </c>
      <c r="F12" s="21" cm="1">
        <f t="array" ref="F12">D12</f>
        <v>1</v>
      </c>
      <c r="G12" t="s" s="22">
        <v>68</v>
      </c>
      <c r="H12" s="21">
        <v>55000</v>
      </c>
      <c r="I12" s="21">
        <v>50000</v>
      </c>
      <c r="J12" s="21">
        <v>50000</v>
      </c>
      <c r="K12" s="21">
        <v>11</v>
      </c>
      <c r="L12" s="21" cm="1">
        <f t="array" ref="L12">IF(D12&gt;0,IF($D12&lt;=0,0,D12*H12),"")</f>
        <v>55000</v>
      </c>
      <c r="M12" s="21" cm="1">
        <f t="array" ref="M12">IF(E12&gt;0,IF($D12&lt;=0,0,ROUND(E12*I12,2)),"")</f>
        <v>50000</v>
      </c>
      <c r="N12" s="21" cm="1">
        <f t="array" ref="N12">IF(F12&gt;0,IF($D12&lt;=0,0,ROUND(F12*J12,2)),"")</f>
        <v>50000</v>
      </c>
      <c r="O12" s="23"/>
    </row>
    <row r="13" ht="20.5" customHeight="1">
      <c r="A13" s="94">
        <v>4</v>
      </c>
      <c r="B13" t="s" s="19">
        <v>69</v>
      </c>
      <c r="C13" s="24"/>
      <c r="D13" s="26">
        <v>1</v>
      </c>
      <c r="E13" s="26" cm="1">
        <f t="array" ref="E13">D13</f>
        <v>1</v>
      </c>
      <c r="F13" s="26" cm="1">
        <f t="array" ref="F13">D13</f>
        <v>1</v>
      </c>
      <c r="G13" t="s" s="27">
        <v>68</v>
      </c>
      <c r="H13" s="26">
        <v>250000</v>
      </c>
      <c r="I13" s="26">
        <v>250000</v>
      </c>
      <c r="J13" s="26">
        <v>250000</v>
      </c>
      <c r="K13" s="26">
        <v>11</v>
      </c>
      <c r="L13" s="26" cm="1">
        <f t="array" ref="L13">IF(D13&gt;0,IF($D13&lt;=0,0,D13*H13),"")</f>
        <v>250000</v>
      </c>
      <c r="M13" s="26" cm="1">
        <f t="array" ref="M13">IF(E13&gt;0,IF($D13&lt;=0,0,ROUND(E13*I13,2)),"")</f>
        <v>250000</v>
      </c>
      <c r="N13" s="26" cm="1">
        <f t="array" ref="N13">IF(F13&gt;0,IF($D13&lt;=0,0,ROUND(F13*J13,2)),"")</f>
        <v>250000</v>
      </c>
      <c r="O13" s="28"/>
    </row>
    <row r="14" ht="20.5" customHeight="1">
      <c r="A14" s="29"/>
      <c r="B14" t="s" s="19">
        <v>70</v>
      </c>
      <c r="C14" s="20"/>
      <c r="D14" s="21"/>
      <c r="E14" s="21"/>
      <c r="F14" s="21"/>
      <c r="G14" s="79"/>
      <c r="H14" s="21"/>
      <c r="I14" s="21"/>
      <c r="J14" s="21"/>
      <c r="K14" s="21"/>
      <c r="L14" t="str" s="79" cm="1">
        <f t="array" ref="L14">IF(D14&gt;0,IF($D14&lt;=0,0,D14*H14),"")</f>
      </c>
      <c r="M14" t="str" s="79" cm="1">
        <f t="array" ref="M14">IF(E14&gt;0,IF($D14&lt;=0,0,ROUND(E14*I14,2)),"")</f>
      </c>
      <c r="N14" t="str" s="79" cm="1">
        <f t="array" ref="N14">IF(F14&gt;0,IF($D14&lt;=0,0,ROUND(F14*J14,2)),"")</f>
      </c>
      <c r="O14" s="91"/>
    </row>
    <row r="15" ht="20.5" customHeight="1">
      <c r="A15" s="95">
        <v>5</v>
      </c>
      <c r="B15" t="s" s="19">
        <v>74</v>
      </c>
      <c r="C15" s="24"/>
      <c r="D15" s="26">
        <v>3</v>
      </c>
      <c r="E15" s="26" cm="1">
        <f t="array" ref="E15">D15</f>
        <v>3</v>
      </c>
      <c r="F15" s="26" cm="1">
        <f t="array" ref="F15">D15</f>
        <v>3</v>
      </c>
      <c r="G15" t="s" s="27">
        <v>75</v>
      </c>
      <c r="H15" s="26">
        <v>160000</v>
      </c>
      <c r="I15" s="26">
        <v>160000</v>
      </c>
      <c r="J15" s="26">
        <v>160000</v>
      </c>
      <c r="K15" s="26">
        <v>11</v>
      </c>
      <c r="L15" s="26" cm="1">
        <f t="array" ref="L15">IF(D15&gt;0,IF($D15&lt;=0,0,D15*H15),"")</f>
        <v>480000</v>
      </c>
      <c r="M15" s="26" cm="1">
        <f t="array" ref="M15">IF(E15&gt;0,IF($D15&lt;=0,0,ROUND(E15*I15,2)),"")</f>
        <v>480000</v>
      </c>
      <c r="N15" s="26" cm="1">
        <f t="array" ref="N15">IF(F15&gt;0,IF($D15&lt;=0,0,ROUND(F15*J15,2)),"")</f>
        <v>480000</v>
      </c>
      <c r="O15" s="28"/>
    </row>
    <row r="16" ht="20.5" customHeight="1">
      <c r="A16" s="95">
        <v>6</v>
      </c>
      <c r="B16" t="s" s="19">
        <v>76</v>
      </c>
      <c r="C16" s="20"/>
      <c r="D16" s="21">
        <v>6</v>
      </c>
      <c r="E16" s="21" cm="1">
        <f t="array" ref="E16">D16</f>
        <v>6</v>
      </c>
      <c r="F16" s="21" cm="1">
        <f t="array" ref="F16">D16</f>
        <v>6</v>
      </c>
      <c r="G16" t="s" s="22">
        <v>75</v>
      </c>
      <c r="H16" s="21">
        <v>150000</v>
      </c>
      <c r="I16" s="21">
        <v>150000</v>
      </c>
      <c r="J16" s="21">
        <v>150000</v>
      </c>
      <c r="K16" s="21">
        <v>11</v>
      </c>
      <c r="L16" s="21" cm="1">
        <f t="array" ref="L16">IF(D16&gt;0,IF($D16&lt;=0,0,D16*H16),"")</f>
        <v>900000</v>
      </c>
      <c r="M16" s="21" cm="1">
        <f t="array" ref="M16">IF(E16&gt;0,IF($D16&lt;=0,0,ROUND(E16*I16,2)),"")</f>
        <v>900000</v>
      </c>
      <c r="N16" s="21" cm="1">
        <f t="array" ref="N16">IF(F16&gt;0,IF($D16&lt;=0,0,ROUND(F16*J16,2)),"")</f>
        <v>900000</v>
      </c>
      <c r="O16" s="23"/>
    </row>
    <row r="17" ht="20.5" customHeight="1">
      <c r="A17" s="95">
        <v>7</v>
      </c>
      <c r="B17" t="s" s="19">
        <v>77</v>
      </c>
      <c r="C17" s="24"/>
      <c r="D17" s="26">
        <v>3</v>
      </c>
      <c r="E17" s="26" cm="1">
        <f t="array" ref="E17">D17</f>
        <v>3</v>
      </c>
      <c r="F17" s="26" cm="1">
        <f t="array" ref="F17">D17</f>
        <v>3</v>
      </c>
      <c r="G17" t="s" s="27">
        <v>75</v>
      </c>
      <c r="H17" s="26">
        <v>150000</v>
      </c>
      <c r="I17" s="26">
        <v>150000</v>
      </c>
      <c r="J17" s="26">
        <v>150000</v>
      </c>
      <c r="K17" s="26">
        <v>11</v>
      </c>
      <c r="L17" s="26" cm="1">
        <f t="array" ref="L17">IF(D17&gt;0,IF($D17&lt;=0,0,D17*H17),"")</f>
        <v>450000</v>
      </c>
      <c r="M17" s="26" cm="1">
        <f t="array" ref="M17">IF(E17&gt;0,IF($D17&lt;=0,0,ROUND(E17*I17,2)),"")</f>
        <v>450000</v>
      </c>
      <c r="N17" s="26" cm="1">
        <f t="array" ref="N17">IF(F17&gt;0,IF($D17&lt;=0,0,ROUND(F17*J17,2)),"")</f>
        <v>450000</v>
      </c>
      <c r="O17" s="28"/>
    </row>
    <row r="18" ht="20.5" customHeight="1">
      <c r="A18" s="95">
        <v>8</v>
      </c>
      <c r="B18" t="s" s="19">
        <v>121</v>
      </c>
      <c r="C18" s="20"/>
      <c r="D18" s="21">
        <v>1</v>
      </c>
      <c r="E18" s="21" cm="1">
        <f t="array" ref="E18">D18</f>
        <v>1</v>
      </c>
      <c r="F18" s="21" cm="1">
        <f t="array" ref="F18">D18</f>
        <v>1</v>
      </c>
      <c r="G18" t="s" s="22">
        <v>79</v>
      </c>
      <c r="H18" s="21">
        <v>100000</v>
      </c>
      <c r="I18" s="21">
        <v>100000</v>
      </c>
      <c r="J18" s="21">
        <v>100000</v>
      </c>
      <c r="K18" s="21">
        <v>11</v>
      </c>
      <c r="L18" s="21" cm="1">
        <f t="array" ref="L18">IF(D18&gt;0,IF($D18&lt;=0,0,D18*H18),"")</f>
        <v>100000</v>
      </c>
      <c r="M18" s="21" cm="1">
        <f t="array" ref="M18">IF(E18&gt;0,IF($D18&lt;=0,0,ROUND(E18*I18,2)),"")</f>
        <v>100000</v>
      </c>
      <c r="N18" s="21" cm="1">
        <f t="array" ref="N18">IF(F18&gt;0,IF($D18&lt;=0,0,ROUND(F18*J18,2)),"")</f>
        <v>100000</v>
      </c>
      <c r="O18" s="91"/>
    </row>
    <row r="19" ht="20.5" customHeight="1">
      <c r="A19" t="s" s="18">
        <v>80</v>
      </c>
      <c r="B19" t="s" s="19">
        <v>81</v>
      </c>
      <c r="C19" s="24"/>
      <c r="D19" s="26"/>
      <c r="E19" s="26"/>
      <c r="F19" s="26"/>
      <c r="G19" s="30"/>
      <c r="H19" s="26"/>
      <c r="I19" s="26"/>
      <c r="J19" s="26"/>
      <c r="K19" s="26"/>
      <c r="L19" t="str" s="30" cm="1">
        <f t="array" ref="L19">IF(D19&gt;0,IF($D19&lt;=0,0,D19*H19),"")</f>
      </c>
      <c r="M19" t="str" s="30" cm="1">
        <f t="array" ref="M19">IF(E19&gt;0,IF($D19&lt;=0,0,ROUND(E19*I19,2)),"")</f>
      </c>
      <c r="N19" t="str" s="30" cm="1">
        <f t="array" ref="N19">IF(F19&gt;0,IF($D19&lt;=0,0,ROUND(F19*J19,2)),"")</f>
      </c>
      <c r="O19" s="31"/>
    </row>
    <row r="20" ht="20.5" customHeight="1">
      <c r="A20" s="29"/>
      <c r="B20" t="s" s="19">
        <v>82</v>
      </c>
      <c r="C20" s="20"/>
      <c r="D20" s="21">
        <v>1</v>
      </c>
      <c r="E20" s="21" cm="1">
        <f t="array" ref="E20">D20</f>
        <v>1</v>
      </c>
      <c r="F20" s="21" cm="1">
        <f t="array" ref="F20">D20</f>
        <v>1</v>
      </c>
      <c r="G20" t="s" s="22">
        <v>19</v>
      </c>
      <c r="H20" s="21">
        <v>59857.42</v>
      </c>
      <c r="I20" s="21">
        <v>55500</v>
      </c>
      <c r="J20" s="21">
        <v>55500</v>
      </c>
      <c r="K20" s="21">
        <v>0</v>
      </c>
      <c r="L20" s="21" cm="1">
        <f t="array" ref="L20">IF(D20&gt;0,IF($D20&lt;=0,0,D20*H20),"")</f>
        <v>59857.42</v>
      </c>
      <c r="M20" s="21" cm="1">
        <f t="array" ref="M20">IF(E20&gt;0,IF($D20&lt;=0,0,ROUND(E20*I20,2)),"")</f>
        <v>55500</v>
      </c>
      <c r="N20" s="21" cm="1">
        <f t="array" ref="N20">IF(F20&gt;0,IF($D20&lt;=0,0,ROUND(F20*J20,2)),"")</f>
        <v>55500</v>
      </c>
      <c r="O20" s="23"/>
    </row>
    <row r="21" ht="20.6" customHeight="1">
      <c r="A21" s="96"/>
      <c r="B21" s="97"/>
      <c r="C21" s="80"/>
      <c r="D21" s="81"/>
      <c r="E21" s="81"/>
      <c r="F21" s="81"/>
      <c r="G21" s="98"/>
      <c r="H21" s="81"/>
      <c r="I21" s="81"/>
      <c r="J21" s="81"/>
      <c r="K21" s="81"/>
      <c r="L21" t="str" s="98" cm="1">
        <f t="array" ref="L21">IF(D21&gt;0,IF($D21&lt;=0,0,D21*H21),"")</f>
      </c>
      <c r="M21" t="str" s="98" cm="1">
        <f t="array" ref="M21">IF(E21&gt;0,IF($D21&lt;=0,0,ROUND(E21*I21,2)),"")</f>
      </c>
      <c r="N21" t="str" s="98" cm="1">
        <f t="array" ref="N21">IF(F21&gt;0,IF($D21&lt;=0,0,ROUND(F21*J21,2)),"")</f>
      </c>
      <c r="O21" s="99"/>
    </row>
    <row r="22" ht="20.85" customHeight="1">
      <c r="A22" s="54"/>
      <c r="B22" s="54"/>
      <c r="C22" s="54"/>
      <c r="D22" s="55"/>
      <c r="E22" s="55"/>
      <c r="F22" s="55"/>
      <c r="G22" s="56"/>
      <c r="H22" s="56"/>
      <c r="I22" s="54"/>
      <c r="J22" s="57"/>
      <c r="K22" t="s" s="58">
        <v>38</v>
      </c>
      <c r="L22" s="59" cm="1">
        <f t="array" ref="L22">SUM(L1:L21)</f>
        <v>22528857.42</v>
      </c>
      <c r="M22" s="59" cm="1">
        <f t="array" ref="M22">SUM(M1:M21)</f>
        <v>22515500</v>
      </c>
      <c r="N22" s="59" cm="1">
        <f t="array" ref="N22">SUM(N1:N21)</f>
        <v>22515500</v>
      </c>
      <c r="O22" s="59"/>
    </row>
    <row r="23" ht="21" customHeight="1">
      <c r="A23" s="62"/>
      <c r="B23" t="s" s="61">
        <v>39</v>
      </c>
      <c r="C23" s="62"/>
      <c r="D23" s="63" cm="1">
        <f t="array" ref="D23">ROUND(IF(L23&lt;=100000000,L23*0.24%,IF(AND(L23&gt;100000000,L23&lt;=500000000),100000000*0.24%+(L23-100000000)*0.19%,IF(AND(L23&gt;500000000,L23&lt;=1000000000),100000000*0.24%+400000000*0.19%+(L23-500000000)*0.15%,IF(AND(L23&gt;1000000000,L23&lt;=5000000000),100000000*0.24%+400000000*0.19%+500000000*0.15%+(L23-1000000000)*0.12%,IF(L23&gt;5000000000,100000000*0.24%+400000000*0.19%+500000000*0.15%+4000000000*0.12%+(L23-5000000000)*0.1%,"Bingung komputer"))))),2)</f>
        <v>53925.6</v>
      </c>
      <c r="E23" s="64" cm="1">
        <f t="array" ref="E23">ROUND(IF(M23&lt;=100000000,M23*0.24%,IF(AND(M23&gt;100000000,M23&lt;=500000000),100000000*0.24%+(M23-100000000)*0.19%,IF(AND(M23&gt;500000000,M23&lt;=1000000000),100000000*0.24%+400000000*0.19%+(M23-500000000)*0.15%,IF(AND(M23&gt;1000000000,M23&lt;=5000000000),100000000*0.24%+400000000*0.19%+500000000*0.15%+(M23-1000000000)*0.12%,IF(M23&gt;5000000000,100000000*0.24%+400000000*0.19%+500000000*0.15%+4000000000*0.12%+(M23-5000000000)*0.1%,"Bingung komputer"))))),2)</f>
        <v>53904</v>
      </c>
      <c r="F23" s="64" cm="1">
        <f t="array" ref="F23">ROUND(IF(N23&lt;=100000000,N23*0.24%,IF(AND(N23&gt;100000000,N23&lt;=500000000),100000000*0.24%+(N23-100000000)*0.19%,IF(AND(N23&gt;500000000,N23&lt;=1000000000),100000000*0.24%+400000000*0.19%+(N23-500000000)*0.15%,IF(AND(N23&gt;1000000000,N23&lt;=5000000000),100000000*0.24%+400000000*0.19%+500000000*0.15%+(N23-1000000000)*0.12%,IF(N23&gt;5000000000,100000000*0.24%+400000000*0.19%+500000000*0.15%+4000000000*0.12%+(N23-5000000000)*0.1%,"Bingung komputer"))))),2)</f>
        <v>53904</v>
      </c>
      <c r="G23" s="65"/>
      <c r="H23" s="66"/>
      <c r="I23" s="62"/>
      <c r="J23" s="67"/>
      <c r="K23" t="str" s="67" cm="1">
        <f t="array" ref="K23">"Jumlah Terkena Pajak "&amp;MAX(K3:K21)&amp;"% (B)"</f>
        <v>Jumlah Terkena Pajak 11,00% (B)</v>
      </c>
      <c r="L23" s="68" cm="1">
        <f t="array" ref="L23">SUMIF($K3:$K21,"&gt;0",L3:L21)</f>
        <v>22469000</v>
      </c>
      <c r="M23" s="68" cm="1">
        <f t="array" ref="M23">SUMIF($K3:$K21,"&gt;0",M3:M21)</f>
        <v>22460000</v>
      </c>
      <c r="N23" s="68" cm="1">
        <f t="array" ref="N23">SUMIF($K3:$K21,"&gt;0",N3:N21)</f>
        <v>22460000</v>
      </c>
      <c r="O23" s="69"/>
    </row>
    <row r="24" ht="21" customHeight="1">
      <c r="A24" s="71"/>
      <c r="B24" s="71"/>
      <c r="C24" s="71"/>
      <c r="D24" s="72"/>
      <c r="E24" s="72"/>
      <c r="F24" s="112">
        <v>28000000</v>
      </c>
      <c r="G24" s="72"/>
      <c r="H24" s="72"/>
      <c r="I24" s="71"/>
      <c r="J24" s="73"/>
      <c r="K24" t="str" s="73" cm="1">
        <f t="array" ref="K24">"PPN (C) = "&amp;MAX(K3:K21)&amp;"% x B"</f>
        <v>PPN (C) = 11,00% x B</v>
      </c>
      <c r="L24" s="74" cm="1">
        <f t="array" ref="L24">L23*MAX($K3:$K21)%</f>
        <v>2471590</v>
      </c>
      <c r="M24" s="74" cm="1">
        <f t="array" ref="M24">M23*MAX($K3:$K21)%</f>
        <v>2470600</v>
      </c>
      <c r="N24" s="74" cm="1">
        <f t="array" ref="N24">N23*MAX($K3:$K21)%</f>
        <v>2470600</v>
      </c>
      <c r="O24" s="69"/>
    </row>
    <row r="25" ht="21" customHeight="1">
      <c r="A25" s="71"/>
      <c r="B25" s="71"/>
      <c r="C25" s="71"/>
      <c r="D25" s="72"/>
      <c r="E25" s="72"/>
      <c r="F25" s="72"/>
      <c r="G25" s="72"/>
      <c r="H25" s="72"/>
      <c r="I25" s="71"/>
      <c r="J25" s="73"/>
      <c r="K25" t="s" s="75">
        <v>42</v>
      </c>
      <c r="L25" s="74" cm="1">
        <f t="array" ref="L25">L22+L24</f>
        <v>25000447.42</v>
      </c>
      <c r="M25" s="74" cm="1">
        <f t="array" ref="M25">M22+M24</f>
        <v>24986100</v>
      </c>
      <c r="N25" s="74" cm="1">
        <f t="array" ref="N25">N22+N24</f>
        <v>24986100</v>
      </c>
      <c r="O25" s="69"/>
    </row>
    <row r="26" ht="20.5" customHeight="1">
      <c r="A26" s="71"/>
      <c r="B26" s="71"/>
      <c r="C26" s="71"/>
      <c r="D26" s="72"/>
      <c r="E26" s="72"/>
      <c r="F26" s="72"/>
      <c r="G26" s="72"/>
      <c r="H26" s="72"/>
      <c r="I26" s="71"/>
      <c r="J26" s="73"/>
      <c r="K26" t="s" s="75">
        <v>43</v>
      </c>
      <c r="L26" s="74" cm="1">
        <f t="array" ref="L26">ROUNDDOWN(L25,2)</f>
        <v>25000447.42</v>
      </c>
      <c r="M26" s="74" cm="1">
        <f t="array" ref="M26">ROUNDDOWN(M25,2)</f>
        <v>24986100</v>
      </c>
      <c r="N26" s="74" cm="1">
        <f t="array" ref="N26">ROUNDDOWN(N25,-3)</f>
        <v>24986000</v>
      </c>
      <c r="O26" s="68"/>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20.xml><?xml version="1.0" encoding="utf-8"?>
<worksheet xmlns:r="http://schemas.openxmlformats.org/officeDocument/2006/relationships" xmlns="http://schemas.openxmlformats.org/spreadsheetml/2006/main">
  <sheetPr>
    <pageSetUpPr fitToPage="1"/>
  </sheetPr>
  <dimension ref="A1:O23"/>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7.17188" style="314" customWidth="1"/>
    <col min="2" max="2" width="43.0312" style="314" customWidth="1"/>
    <col min="3" max="3" width="2.75" style="314" customWidth="1"/>
    <col min="4" max="6" width="10.3672" style="314" customWidth="1"/>
    <col min="7" max="7" width="11.6875" style="314" customWidth="1"/>
    <col min="8" max="11" width="13.5156" style="314" customWidth="1"/>
    <col min="12" max="15" width="14.2344" style="314" customWidth="1"/>
    <col min="16" max="16384" width="16.3516" style="314" customWidth="1"/>
  </cols>
  <sheetData>
    <row r="1" ht="20.5" customHeight="1">
      <c r="A1" t="s" s="7">
        <v>6</v>
      </c>
      <c r="B1" t="s" s="7">
        <v>7</v>
      </c>
      <c r="C1" s="8"/>
      <c r="D1" t="s" s="7">
        <v>8</v>
      </c>
      <c r="E1" s="8"/>
      <c r="F1" s="8"/>
      <c r="G1" t="s" s="7">
        <v>9</v>
      </c>
      <c r="H1" t="s" s="7">
        <v>10</v>
      </c>
      <c r="I1" s="8"/>
      <c r="J1" s="8"/>
      <c r="K1" t="s" s="7">
        <v>11</v>
      </c>
      <c r="L1" t="s" s="7">
        <v>12</v>
      </c>
      <c r="M1" s="8"/>
      <c r="N1" s="8"/>
      <c r="O1" s="88"/>
    </row>
    <row r="2" ht="20.85" customHeight="1">
      <c r="A2" s="9"/>
      <c r="B2" s="9"/>
      <c r="C2" s="9"/>
      <c r="D2" t="s" s="10">
        <v>13</v>
      </c>
      <c r="E2" t="s" s="10">
        <v>14</v>
      </c>
      <c r="F2" t="s" s="10">
        <v>15</v>
      </c>
      <c r="G2" s="9"/>
      <c r="H2" t="s" s="10">
        <v>13</v>
      </c>
      <c r="I2" t="s" s="10">
        <v>14</v>
      </c>
      <c r="J2" t="s" s="10">
        <v>15</v>
      </c>
      <c r="K2" s="9"/>
      <c r="L2" t="s" s="10">
        <v>13</v>
      </c>
      <c r="M2" t="s" s="10">
        <v>14</v>
      </c>
      <c r="N2" t="s" s="10">
        <v>15</v>
      </c>
      <c r="O2" s="89"/>
    </row>
    <row r="3" ht="20.6" customHeight="1">
      <c r="A3" t="s" s="90">
        <v>51</v>
      </c>
      <c r="B3" t="s" s="12">
        <v>52</v>
      </c>
      <c r="C3" s="13"/>
      <c r="D3" s="14"/>
      <c r="E3" s="14"/>
      <c r="F3" s="14"/>
      <c r="G3" s="15"/>
      <c r="H3" s="15"/>
      <c r="I3" s="15"/>
      <c r="J3" s="15"/>
      <c r="K3" s="15"/>
      <c r="L3" t="str" s="16" cm="1">
        <f t="array" ref="L3">IF(D3&gt;0,IF($D3&lt;=0,0,D3*H3),"")</f>
      </c>
      <c r="M3" t="str" s="16" cm="1">
        <f t="array" ref="M3">IF(E3&gt;0,IF($D3&lt;=0,0,ROUND(E3*I3,2)),"")</f>
      </c>
      <c r="N3" t="str" s="16" cm="1">
        <f t="array" ref="N3">IF(F3&gt;0,IF($D3&lt;=0,0,ROUND(F3*J3,2)),"")</f>
      </c>
      <c r="O3" s="17"/>
    </row>
    <row r="4" ht="20.5" customHeight="1">
      <c r="A4" t="s" s="18">
        <v>53</v>
      </c>
      <c r="B4" t="s" s="19">
        <v>54</v>
      </c>
      <c r="C4" s="20"/>
      <c r="D4" s="21"/>
      <c r="E4" s="21"/>
      <c r="F4" s="21"/>
      <c r="G4" s="79"/>
      <c r="H4" s="21"/>
      <c r="I4" s="79"/>
      <c r="J4" s="21"/>
      <c r="K4" s="21"/>
      <c r="L4" t="str" s="79" cm="1">
        <f t="array" ref="L4">IF(D4&gt;0,IF($D4&lt;=0,0,D4*H4),"")</f>
      </c>
      <c r="M4" t="str" s="79" cm="1">
        <f t="array" ref="M4">IF(E4&gt;0,IF($D4&lt;=0,0,ROUND(E4*I4,2)),"")</f>
      </c>
      <c r="N4" t="str" s="79" cm="1">
        <f t="array" ref="N4">IF(F4&gt;0,IF($D4&lt;=0,0,ROUND(F4*J4,2)),"")</f>
      </c>
      <c r="O4" s="91"/>
    </row>
    <row r="5" ht="20.5" customHeight="1">
      <c r="A5" s="92">
        <v>1</v>
      </c>
      <c r="B5" t="s" s="19">
        <v>518</v>
      </c>
      <c r="C5" s="24"/>
      <c r="D5" s="26">
        <v>6</v>
      </c>
      <c r="E5" s="26" cm="1">
        <f t="array" ref="E5">D5</f>
        <v>6</v>
      </c>
      <c r="F5" s="26" cm="1">
        <f t="array" ref="F5">D5</f>
        <v>6</v>
      </c>
      <c r="G5" t="s" s="27">
        <v>56</v>
      </c>
      <c r="H5" s="26">
        <v>13390000</v>
      </c>
      <c r="I5" s="26">
        <v>13390000</v>
      </c>
      <c r="J5" s="26">
        <v>13390000</v>
      </c>
      <c r="K5" s="26">
        <v>11</v>
      </c>
      <c r="L5" s="26" cm="1">
        <f t="array" ref="L5">IF(D5&gt;0,IF($D5&lt;=0,0,D5*H5),"")</f>
        <v>80340000</v>
      </c>
      <c r="M5" s="26" cm="1">
        <f t="array" ref="M5">IF(E5&gt;0,IF($D5&lt;=0,0,ROUND(E5*I5,2)),"")</f>
        <v>80340000</v>
      </c>
      <c r="N5" s="26" cm="1">
        <f t="array" ref="N5">IF(F5&gt;0,IF($D5&lt;=0,0,ROUND(F5*J5,2)),"")</f>
        <v>80340000</v>
      </c>
      <c r="O5" s="28"/>
    </row>
    <row r="6" ht="20.5" customHeight="1">
      <c r="A6" t="s" s="93">
        <v>58</v>
      </c>
      <c r="B6" t="s" s="19">
        <v>59</v>
      </c>
      <c r="C6" s="20"/>
      <c r="D6" s="21"/>
      <c r="E6" s="21"/>
      <c r="F6" s="21"/>
      <c r="G6" s="79"/>
      <c r="H6" s="21"/>
      <c r="I6" s="21"/>
      <c r="J6" s="21"/>
      <c r="K6" s="21"/>
      <c r="L6" t="str" s="79" cm="1">
        <f t="array" ref="L6">IF(D6&gt;0,IF($D6&lt;=0,0,D6*H6),"")</f>
      </c>
      <c r="M6" t="str" s="79" cm="1">
        <f t="array" ref="M6">IF(E6&gt;0,IF($D6&lt;=0,0,ROUND(E6*I6,2)),"")</f>
      </c>
      <c r="N6" t="str" s="79" cm="1">
        <f t="array" ref="N6">IF(F6&gt;0,IF($D6&lt;=0,0,ROUND(F6*J6,2)),"")</f>
      </c>
      <c r="O6" s="91"/>
    </row>
    <row r="7" ht="20.5" customHeight="1">
      <c r="A7" t="s" s="18">
        <v>53</v>
      </c>
      <c r="B7" t="s" s="19">
        <v>519</v>
      </c>
      <c r="C7" s="24"/>
      <c r="D7" s="26"/>
      <c r="E7" s="26"/>
      <c r="F7" s="26"/>
      <c r="G7" s="30"/>
      <c r="H7" s="26"/>
      <c r="I7" s="26"/>
      <c r="J7" s="26"/>
      <c r="K7" s="26"/>
      <c r="L7" t="str" s="30" cm="1">
        <f t="array" ref="L7">IF(D7&gt;0,IF($D7&lt;=0,0,D7*H7),"")</f>
      </c>
      <c r="M7" t="str" s="30" cm="1">
        <f t="array" ref="M7">IF(E7&gt;0,IF($D7&lt;=0,0,ROUND(E7*I7,2)),"")</f>
      </c>
      <c r="N7" t="str" s="30" cm="1">
        <f t="array" ref="N7">IF(F7&gt;0,IF($D7&lt;=0,0,ROUND(F7*J7,2)),"")</f>
      </c>
      <c r="O7" s="31"/>
    </row>
    <row r="8" ht="20.5" customHeight="1">
      <c r="A8" s="94">
        <v>1</v>
      </c>
      <c r="B8" t="s" s="19">
        <v>520</v>
      </c>
      <c r="C8" s="20"/>
      <c r="D8" s="21">
        <v>1</v>
      </c>
      <c r="E8" s="21" cm="1">
        <f t="array" ref="E8">D8</f>
        <v>1</v>
      </c>
      <c r="F8" s="21" cm="1">
        <f t="array" ref="F8">D8</f>
        <v>1</v>
      </c>
      <c r="G8" t="s" s="22">
        <v>408</v>
      </c>
      <c r="H8" s="21">
        <v>2000000</v>
      </c>
      <c r="I8" s="21">
        <v>2000000</v>
      </c>
      <c r="J8" s="21">
        <v>2000000</v>
      </c>
      <c r="K8" s="21">
        <v>11</v>
      </c>
      <c r="L8" s="21" cm="1">
        <f t="array" ref="L8">IF(D8&gt;0,IF($D8&lt;=0,0,D8*H8),"")</f>
        <v>2000000</v>
      </c>
      <c r="M8" s="21" cm="1">
        <f t="array" ref="M8">IF(E8&gt;0,IF($D8&lt;=0,0,ROUND(E8*I8,2)),"")</f>
        <v>2000000</v>
      </c>
      <c r="N8" s="21" cm="1">
        <f t="array" ref="N8">IF(F8&gt;0,IF($D8&lt;=0,0,ROUND(F8*J8,2)),"")</f>
        <v>2000000</v>
      </c>
      <c r="O8" s="23"/>
    </row>
    <row r="9" ht="20.5" customHeight="1">
      <c r="A9" s="95">
        <v>2</v>
      </c>
      <c r="B9" t="s" s="19">
        <v>521</v>
      </c>
      <c r="C9" s="24"/>
      <c r="D9" s="26">
        <v>1</v>
      </c>
      <c r="E9" s="26" cm="1">
        <f t="array" ref="E9">D9</f>
        <v>1</v>
      </c>
      <c r="F9" s="26" cm="1">
        <f t="array" ref="F9">D9</f>
        <v>1</v>
      </c>
      <c r="G9" t="s" s="27">
        <v>408</v>
      </c>
      <c r="H9" s="26">
        <v>1000000</v>
      </c>
      <c r="I9" s="26">
        <v>1000000</v>
      </c>
      <c r="J9" s="26">
        <v>1000000</v>
      </c>
      <c r="K9" s="26">
        <v>11</v>
      </c>
      <c r="L9" s="26" cm="1">
        <f t="array" ref="L9">IF(D9&gt;0,IF($D9&lt;=0,0,D9*H9),"")</f>
        <v>1000000</v>
      </c>
      <c r="M9" s="26" cm="1">
        <f t="array" ref="M9">IF(E9&gt;0,IF($D9&lt;=0,0,ROUND(E9*I9,2)),"")</f>
        <v>1000000</v>
      </c>
      <c r="N9" s="26" cm="1">
        <f t="array" ref="N9">IF(F9&gt;0,IF($D9&lt;=0,0,ROUND(F9*J9,2)),"")</f>
        <v>1000000</v>
      </c>
      <c r="O9" s="28"/>
    </row>
    <row r="10" ht="20.5" customHeight="1">
      <c r="A10" s="95">
        <v>2</v>
      </c>
      <c r="B10" t="s" s="19">
        <v>522</v>
      </c>
      <c r="C10" s="20"/>
      <c r="D10" s="21">
        <v>1</v>
      </c>
      <c r="E10" s="21" cm="1">
        <f t="array" ref="E10">D10</f>
        <v>1</v>
      </c>
      <c r="F10" s="21" cm="1">
        <f t="array" ref="F10">D10</f>
        <v>1</v>
      </c>
      <c r="G10" t="s" s="22">
        <v>408</v>
      </c>
      <c r="H10" s="21">
        <v>1000000</v>
      </c>
      <c r="I10" s="21">
        <v>1000000</v>
      </c>
      <c r="J10" s="21">
        <v>1000000</v>
      </c>
      <c r="K10" s="21">
        <v>11</v>
      </c>
      <c r="L10" s="21" cm="1">
        <f t="array" ref="L10">IF(D10&gt;0,IF($D10&lt;=0,0,D10*H10),"")</f>
        <v>1000000</v>
      </c>
      <c r="M10" s="21" cm="1">
        <f t="array" ref="M10">IF(E10&gt;0,IF($D10&lt;=0,0,ROUND(E10*I10,2)),"")</f>
        <v>1000000</v>
      </c>
      <c r="N10" s="21" cm="1">
        <f t="array" ref="N10">IF(F10&gt;0,IF($D10&lt;=0,0,ROUND(F10*J10,2)),"")</f>
        <v>1000000</v>
      </c>
      <c r="O10" s="23"/>
    </row>
    <row r="11" ht="20.5" customHeight="1">
      <c r="A11" s="94"/>
      <c r="B11" t="s" s="19">
        <v>66</v>
      </c>
      <c r="C11" s="24"/>
      <c r="D11" s="26"/>
      <c r="E11" s="26"/>
      <c r="F11" s="26"/>
      <c r="G11" s="30"/>
      <c r="H11" s="26"/>
      <c r="I11" s="26"/>
      <c r="J11" s="26"/>
      <c r="K11" s="26"/>
      <c r="L11" t="str" s="30" cm="1">
        <f t="array" ref="L11">IF(D11&gt;0,IF($D11&lt;=0,0,D11*H11),"")</f>
      </c>
      <c r="M11" t="str" s="30" cm="1">
        <f t="array" ref="M11">IF(E11&gt;0,IF($D11&lt;=0,0,ROUND(E11*I11,2)),"")</f>
      </c>
      <c r="N11" t="str" s="30" cm="1">
        <f t="array" ref="N11">IF(F11&gt;0,IF($D11&lt;=0,0,ROUND(F11*J11,2)),"")</f>
      </c>
      <c r="O11" s="28"/>
    </row>
    <row r="12" ht="20.5" customHeight="1">
      <c r="A12" s="94">
        <v>3</v>
      </c>
      <c r="B12" t="s" s="19">
        <v>67</v>
      </c>
      <c r="C12" s="20"/>
      <c r="D12" s="21">
        <v>1</v>
      </c>
      <c r="E12" s="21" cm="1">
        <f t="array" ref="E12">D12</f>
        <v>1</v>
      </c>
      <c r="F12" s="21" cm="1">
        <f t="array" ref="F12">D12</f>
        <v>1</v>
      </c>
      <c r="G12" t="s" s="22">
        <v>408</v>
      </c>
      <c r="H12" s="21">
        <v>750000</v>
      </c>
      <c r="I12" s="21">
        <v>750000</v>
      </c>
      <c r="J12" s="21">
        <v>750000</v>
      </c>
      <c r="K12" s="21">
        <v>11</v>
      </c>
      <c r="L12" s="21" cm="1">
        <f t="array" ref="L12">IF(D12&gt;0,IF($D12&lt;=0,0,D12*H12),"")</f>
        <v>750000</v>
      </c>
      <c r="M12" s="21" cm="1">
        <f t="array" ref="M12">IF(E12&gt;0,IF($D12&lt;=0,0,ROUND(E12*I12,2)),"")</f>
        <v>750000</v>
      </c>
      <c r="N12" s="21" cm="1">
        <f t="array" ref="N12">IF(F12&gt;0,IF($D12&lt;=0,0,ROUND(F12*J12,2)),"")</f>
        <v>750000</v>
      </c>
      <c r="O12" s="23"/>
    </row>
    <row r="13" ht="20.5" customHeight="1">
      <c r="A13" s="94">
        <v>4</v>
      </c>
      <c r="B13" t="s" s="19">
        <v>69</v>
      </c>
      <c r="C13" s="24"/>
      <c r="D13" s="26">
        <v>1</v>
      </c>
      <c r="E13" s="26" cm="1">
        <f t="array" ref="E13">D13</f>
        <v>1</v>
      </c>
      <c r="F13" s="26" cm="1">
        <f t="array" ref="F13">D13</f>
        <v>1</v>
      </c>
      <c r="G13" t="s" s="27">
        <v>408</v>
      </c>
      <c r="H13" s="26">
        <v>250000</v>
      </c>
      <c r="I13" s="26">
        <v>250000</v>
      </c>
      <c r="J13" s="26">
        <v>250000</v>
      </c>
      <c r="K13" s="26">
        <v>11</v>
      </c>
      <c r="L13" s="26" cm="1">
        <f t="array" ref="L13">IF(D13&gt;0,IF($D13&lt;=0,0,D13*H13),"")</f>
        <v>250000</v>
      </c>
      <c r="M13" s="26" cm="1">
        <f t="array" ref="M13">IF(E13&gt;0,IF($D13&lt;=0,0,ROUND(E13*I13,2)),"")</f>
        <v>250000</v>
      </c>
      <c r="N13" s="26" cm="1">
        <f t="array" ref="N13">IF(F13&gt;0,IF($D13&lt;=0,0,ROUND(F13*J13,2)),"")</f>
        <v>250000</v>
      </c>
      <c r="O13" s="28"/>
    </row>
    <row r="14" ht="20.5" customHeight="1">
      <c r="A14" s="29"/>
      <c r="B14" t="s" s="19">
        <v>70</v>
      </c>
      <c r="C14" s="20"/>
      <c r="D14" s="21"/>
      <c r="E14" s="21"/>
      <c r="F14" s="21"/>
      <c r="G14" s="79"/>
      <c r="H14" s="21"/>
      <c r="I14" s="21"/>
      <c r="J14" s="21"/>
      <c r="K14" s="21"/>
      <c r="L14" t="str" s="79" cm="1">
        <f t="array" ref="L14">IF(D14&gt;0,IF($D14&lt;=0,0,D14*H14),"")</f>
      </c>
      <c r="M14" t="str" s="79" cm="1">
        <f t="array" ref="M14">IF(E14&gt;0,IF($D14&lt;=0,0,ROUND(E14*I14,2)),"")</f>
      </c>
      <c r="N14" t="str" s="79" cm="1">
        <f t="array" ref="N14">IF(F14&gt;0,IF($D14&lt;=0,0,ROUND(F14*J14,2)),"")</f>
      </c>
      <c r="O14" s="91"/>
    </row>
    <row r="15" ht="20.5" customHeight="1">
      <c r="A15" s="95">
        <v>5</v>
      </c>
      <c r="B15" t="s" s="19">
        <v>76</v>
      </c>
      <c r="C15" s="24"/>
      <c r="D15" s="26">
        <v>3</v>
      </c>
      <c r="E15" s="26" cm="1">
        <f t="array" ref="E15">D15</f>
        <v>3</v>
      </c>
      <c r="F15" s="26" cm="1">
        <f t="array" ref="F15">D15</f>
        <v>3</v>
      </c>
      <c r="G15" t="s" s="27">
        <v>75</v>
      </c>
      <c r="H15" s="26">
        <v>500000</v>
      </c>
      <c r="I15" s="26">
        <v>500000</v>
      </c>
      <c r="J15" s="26">
        <v>500000</v>
      </c>
      <c r="K15" s="26">
        <v>11</v>
      </c>
      <c r="L15" s="26" cm="1">
        <f t="array" ref="L15">IF(D15&gt;0,IF($D15&lt;=0,0,D15*H15),"")</f>
        <v>1500000</v>
      </c>
      <c r="M15" s="26" cm="1">
        <f t="array" ref="M15">IF(E15&gt;0,IF($D15&lt;=0,0,ROUND(E15*I15,2)),"")</f>
        <v>1500000</v>
      </c>
      <c r="N15" s="26" cm="1">
        <f t="array" ref="N15">IF(F15&gt;0,IF($D15&lt;=0,0,ROUND(F15*J15,2)),"")</f>
        <v>1500000</v>
      </c>
      <c r="O15" s="28"/>
    </row>
    <row r="16" ht="20.5" customHeight="1">
      <c r="A16" s="95">
        <v>6</v>
      </c>
      <c r="B16" t="s" s="19">
        <v>77</v>
      </c>
      <c r="C16" s="20"/>
      <c r="D16" s="21">
        <v>3</v>
      </c>
      <c r="E16" s="21" cm="1">
        <f t="array" ref="E16">D16</f>
        <v>3</v>
      </c>
      <c r="F16" s="21" cm="1">
        <f t="array" ref="F16">D16</f>
        <v>3</v>
      </c>
      <c r="G16" t="s" s="22">
        <v>75</v>
      </c>
      <c r="H16" s="21">
        <v>500000</v>
      </c>
      <c r="I16" s="21">
        <v>500000</v>
      </c>
      <c r="J16" s="21">
        <v>500000</v>
      </c>
      <c r="K16" s="21">
        <v>11</v>
      </c>
      <c r="L16" s="21" cm="1">
        <f t="array" ref="L16">IF(D16&gt;0,IF($D16&lt;=0,0,D16*H16),"")</f>
        <v>1500000</v>
      </c>
      <c r="M16" s="21" cm="1">
        <f t="array" ref="M16">IF(E16&gt;0,IF($D16&lt;=0,0,ROUND(E16*I16,2)),"")</f>
        <v>1500000</v>
      </c>
      <c r="N16" s="21" cm="1">
        <f t="array" ref="N16">IF(F16&gt;0,IF($D16&lt;=0,0,ROUND(F16*J16,2)),"")</f>
        <v>1500000</v>
      </c>
      <c r="O16" s="23"/>
    </row>
    <row r="17" ht="20.5" customHeight="1">
      <c r="A17" s="95">
        <v>7</v>
      </c>
      <c r="B17" t="s" s="19">
        <v>523</v>
      </c>
      <c r="C17" s="24"/>
      <c r="D17" s="26">
        <v>3</v>
      </c>
      <c r="E17" s="26" cm="1">
        <f t="array" ref="E17">D17</f>
        <v>3</v>
      </c>
      <c r="F17" s="26" cm="1">
        <f t="array" ref="F17">D17</f>
        <v>3</v>
      </c>
      <c r="G17" t="s" s="27">
        <v>75</v>
      </c>
      <c r="H17" s="26">
        <v>500000</v>
      </c>
      <c r="I17" s="26">
        <v>500000</v>
      </c>
      <c r="J17" s="26">
        <v>500000</v>
      </c>
      <c r="K17" s="26">
        <v>11</v>
      </c>
      <c r="L17" s="26" cm="1">
        <f t="array" ref="L17">IF(D17&gt;0,IF($D17&lt;=0,0,D17*H17),"")</f>
        <v>1500000</v>
      </c>
      <c r="M17" s="26" cm="1">
        <f t="array" ref="M17">IF(E17&gt;0,IF($D17&lt;=0,0,ROUND(E17*I17,2)),"")</f>
        <v>1500000</v>
      </c>
      <c r="N17" s="26" cm="1">
        <f t="array" ref="N17">IF(F17&gt;0,IF($D17&lt;=0,0,ROUND(F17*J17,2)),"")</f>
        <v>1500000</v>
      </c>
      <c r="O17" s="28"/>
    </row>
    <row r="18" ht="20.6" customHeight="1">
      <c r="A18" s="33">
        <v>8</v>
      </c>
      <c r="B18" t="s" s="34">
        <v>121</v>
      </c>
      <c r="C18" s="35"/>
      <c r="D18" s="36">
        <v>1</v>
      </c>
      <c r="E18" s="36" cm="1">
        <f t="array" ref="E18">D18</f>
        <v>1</v>
      </c>
      <c r="F18" s="36" cm="1">
        <f t="array" ref="F18">D18</f>
        <v>1</v>
      </c>
      <c r="G18" t="s" s="37">
        <v>408</v>
      </c>
      <c r="H18" s="36">
        <v>250000</v>
      </c>
      <c r="I18" s="36">
        <v>210000</v>
      </c>
      <c r="J18" s="36">
        <v>210000</v>
      </c>
      <c r="K18" s="36">
        <v>11</v>
      </c>
      <c r="L18" s="36" cm="1">
        <f t="array" ref="L18">IF(D18&gt;0,IF($D18&lt;=0,0,D18*H18),"")</f>
        <v>250000</v>
      </c>
      <c r="M18" s="36" cm="1">
        <f t="array" ref="M18">IF(E18&gt;0,IF($D18&lt;=0,0,ROUND(E18*I18,2)),"")</f>
        <v>210000</v>
      </c>
      <c r="N18" s="36" cm="1">
        <f t="array" ref="N18">IF(F18&gt;0,IF($D18&lt;=0,0,ROUND(F18*J18,2)),"")</f>
        <v>210000</v>
      </c>
      <c r="O18" s="102"/>
    </row>
    <row r="19" ht="20.85" customHeight="1">
      <c r="A19" s="54"/>
      <c r="B19" s="54"/>
      <c r="C19" s="54"/>
      <c r="D19" s="55"/>
      <c r="E19" s="55"/>
      <c r="F19" s="55"/>
      <c r="G19" s="56"/>
      <c r="H19" s="56"/>
      <c r="I19" s="54"/>
      <c r="J19" s="57"/>
      <c r="K19" t="s" s="58">
        <v>38</v>
      </c>
      <c r="L19" s="59" cm="1">
        <f t="array" ref="L19">SUM(L1:L18)</f>
        <v>90090000</v>
      </c>
      <c r="M19" s="59" cm="1">
        <f t="array" ref="M19">SUM(M1:M18)</f>
        <v>90050000</v>
      </c>
      <c r="N19" s="59" cm="1">
        <f t="array" ref="N19">SUM(N1:N18)</f>
        <v>90050000</v>
      </c>
      <c r="O19" s="59"/>
    </row>
    <row r="20" ht="21" customHeight="1">
      <c r="A20" s="62"/>
      <c r="B20" t="s" s="61">
        <v>39</v>
      </c>
      <c r="C20" s="62"/>
      <c r="D20" s="63" cm="1">
        <f t="array" ref="D20">ROUND(IF(L20&lt;=100000000,L20*0.24%,IF(AND(L20&gt;100000000,L20&lt;=500000000),100000000*0.24%+(L20-100000000)*0.19%,IF(AND(L20&gt;500000000,L20&lt;=1000000000),100000000*0.24%+400000000*0.19%+(L20-500000000)*0.15%,IF(AND(L20&gt;1000000000,L20&lt;=5000000000),100000000*0.24%+400000000*0.19%+500000000*0.15%+(L20-1000000000)*0.12%,IF(L20&gt;5000000000,100000000*0.24%+400000000*0.19%+500000000*0.15%+4000000000*0.12%+(L20-5000000000)*0.1%,"Bingung komputer"))))),2)</f>
        <v>216216</v>
      </c>
      <c r="E20" s="64" cm="1">
        <f t="array" ref="E20">ROUND(IF(M20&lt;=100000000,M20*0.24%,IF(AND(M20&gt;100000000,M20&lt;=500000000),100000000*0.24%+(M20-100000000)*0.19%,IF(AND(M20&gt;500000000,M20&lt;=1000000000),100000000*0.24%+400000000*0.19%+(M20-500000000)*0.15%,IF(AND(M20&gt;1000000000,M20&lt;=5000000000),100000000*0.24%+400000000*0.19%+500000000*0.15%+(M20-1000000000)*0.12%,IF(M20&gt;5000000000,100000000*0.24%+400000000*0.19%+500000000*0.15%+4000000000*0.12%+(M20-5000000000)*0.1%,"Bingung komputer"))))),2)</f>
        <v>216120</v>
      </c>
      <c r="F20" s="64" cm="1">
        <f t="array" ref="F20">ROUND(IF(N20&lt;=100000000,N20*0.24%,IF(AND(N20&gt;100000000,N20&lt;=500000000),100000000*0.24%+(N20-100000000)*0.19%,IF(AND(N20&gt;500000000,N20&lt;=1000000000),100000000*0.24%+400000000*0.19%+(N20-500000000)*0.15%,IF(AND(N20&gt;1000000000,N20&lt;=5000000000),100000000*0.24%+400000000*0.19%+500000000*0.15%+(N20-1000000000)*0.12%,IF(N20&gt;5000000000,100000000*0.24%+400000000*0.19%+500000000*0.15%+4000000000*0.12%+(N20-5000000000)*0.1%,"Bingung komputer"))))),2)</f>
        <v>216120</v>
      </c>
      <c r="G20" s="65"/>
      <c r="H20" s="66"/>
      <c r="I20" s="62"/>
      <c r="J20" s="67"/>
      <c r="K20" t="str" s="67" cm="1">
        <f t="array" ref="K20">"Jumlah Terkena Pajak "&amp;MAX(K3:K18)&amp;"% (B)"</f>
        <v>Jumlah Terkena Pajak 11,00% (B)</v>
      </c>
      <c r="L20" s="68" cm="1">
        <f t="array" ref="L20">SUMIF($K3:$K18,"&gt;0",L3:L18)</f>
        <v>90090000</v>
      </c>
      <c r="M20" s="68" cm="1">
        <f t="array" ref="M20">SUMIF($K3:$K18,"&gt;0",M3:M18)</f>
        <v>90050000</v>
      </c>
      <c r="N20" s="68" cm="1">
        <f t="array" ref="N20">SUMIF($K3:$K18,"&gt;0",N3:N18)</f>
        <v>90050000</v>
      </c>
      <c r="O20" s="69"/>
    </row>
    <row r="21" ht="21" customHeight="1">
      <c r="A21" s="71"/>
      <c r="B21" s="71"/>
      <c r="C21" s="71"/>
      <c r="D21" s="72"/>
      <c r="E21" s="72"/>
      <c r="F21" s="112">
        <v>28000000</v>
      </c>
      <c r="G21" s="72"/>
      <c r="H21" s="72"/>
      <c r="I21" s="71"/>
      <c r="J21" s="73"/>
      <c r="K21" t="str" s="73" cm="1">
        <f t="array" ref="K21">"PPN (C) = "&amp;MAX(K3:K18)&amp;"% x B"</f>
        <v>PPN (C) = 11,00% x B</v>
      </c>
      <c r="L21" s="74" cm="1">
        <f t="array" ref="L21">L20*MAX($K3:$K18)%</f>
        <v>9909900</v>
      </c>
      <c r="M21" s="74" cm="1">
        <f t="array" ref="M21">M20*MAX($K3:$K18)%</f>
        <v>9905500</v>
      </c>
      <c r="N21" s="74" cm="1">
        <f t="array" ref="N21">N20*MAX($K3:$K18)%</f>
        <v>9905500</v>
      </c>
      <c r="O21" s="69"/>
    </row>
    <row r="22" ht="21" customHeight="1">
      <c r="A22" s="71"/>
      <c r="B22" s="71"/>
      <c r="C22" s="71"/>
      <c r="D22" s="72"/>
      <c r="E22" s="72"/>
      <c r="F22" s="72"/>
      <c r="G22" s="72"/>
      <c r="H22" s="72"/>
      <c r="I22" s="71"/>
      <c r="J22" s="73"/>
      <c r="K22" t="s" s="75">
        <v>42</v>
      </c>
      <c r="L22" s="74" cm="1">
        <f t="array" ref="L22">L19+L21</f>
        <v>99999900</v>
      </c>
      <c r="M22" s="74" cm="1">
        <f t="array" ref="M22">M19+M21</f>
        <v>99955500</v>
      </c>
      <c r="N22" s="74" cm="1">
        <f t="array" ref="N22">N19+N21</f>
        <v>99955500</v>
      </c>
      <c r="O22" s="69"/>
    </row>
    <row r="23" ht="20.5" customHeight="1">
      <c r="A23" s="71"/>
      <c r="B23" s="71"/>
      <c r="C23" s="71"/>
      <c r="D23" s="72"/>
      <c r="E23" s="72"/>
      <c r="F23" s="72"/>
      <c r="G23" s="72"/>
      <c r="H23" s="72"/>
      <c r="I23" s="71"/>
      <c r="J23" s="73"/>
      <c r="K23" t="s" s="75">
        <v>43</v>
      </c>
      <c r="L23" s="74" cm="1">
        <f t="array" ref="L23">ROUNDDOWN(L22,2)</f>
        <v>99999900</v>
      </c>
      <c r="M23" s="74" cm="1">
        <f t="array" ref="M23">ROUNDDOWN(M22,2)</f>
        <v>99955500</v>
      </c>
      <c r="N23" s="74" cm="1">
        <f t="array" ref="N23">ROUNDDOWN(N22,-3)</f>
        <v>99955000</v>
      </c>
      <c r="O23" s="68"/>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21.xml><?xml version="1.0" encoding="utf-8"?>
<worksheet xmlns:r="http://schemas.openxmlformats.org/officeDocument/2006/relationships" xmlns="http://schemas.openxmlformats.org/spreadsheetml/2006/main">
  <sheetPr>
    <pageSetUpPr fitToPage="1"/>
  </sheetPr>
  <dimension ref="A1:O23"/>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7.17188" style="315" customWidth="1"/>
    <col min="2" max="2" width="43.0312" style="315" customWidth="1"/>
    <col min="3" max="3" width="2.75" style="315" customWidth="1"/>
    <col min="4" max="6" width="10.3672" style="315" customWidth="1"/>
    <col min="7" max="7" width="11.6875" style="315" customWidth="1"/>
    <col min="8" max="11" width="13.5156" style="315" customWidth="1"/>
    <col min="12" max="15" width="14.2344" style="315" customWidth="1"/>
    <col min="16" max="16384" width="16.3516" style="315" customWidth="1"/>
  </cols>
  <sheetData>
    <row r="1" ht="20.5" customHeight="1">
      <c r="A1" t="s" s="7">
        <v>6</v>
      </c>
      <c r="B1" t="s" s="7">
        <v>7</v>
      </c>
      <c r="C1" s="8"/>
      <c r="D1" t="s" s="7">
        <v>8</v>
      </c>
      <c r="E1" s="8"/>
      <c r="F1" s="8"/>
      <c r="G1" t="s" s="7">
        <v>9</v>
      </c>
      <c r="H1" t="s" s="7">
        <v>10</v>
      </c>
      <c r="I1" s="8"/>
      <c r="J1" s="8"/>
      <c r="K1" t="s" s="7">
        <v>11</v>
      </c>
      <c r="L1" t="s" s="7">
        <v>12</v>
      </c>
      <c r="M1" s="8"/>
      <c r="N1" s="8"/>
      <c r="O1" s="88"/>
    </row>
    <row r="2" ht="20.85" customHeight="1">
      <c r="A2" s="9"/>
      <c r="B2" s="9"/>
      <c r="C2" s="9"/>
      <c r="D2" t="s" s="10">
        <v>13</v>
      </c>
      <c r="E2" t="s" s="10">
        <v>14</v>
      </c>
      <c r="F2" t="s" s="10">
        <v>15</v>
      </c>
      <c r="G2" s="9"/>
      <c r="H2" t="s" s="10">
        <v>13</v>
      </c>
      <c r="I2" t="s" s="10">
        <v>14</v>
      </c>
      <c r="J2" t="s" s="10">
        <v>15</v>
      </c>
      <c r="K2" s="9"/>
      <c r="L2" t="s" s="10">
        <v>13</v>
      </c>
      <c r="M2" t="s" s="10">
        <v>14</v>
      </c>
      <c r="N2" t="s" s="10">
        <v>15</v>
      </c>
      <c r="O2" s="89"/>
    </row>
    <row r="3" ht="20.6" customHeight="1">
      <c r="A3" t="s" s="90">
        <v>51</v>
      </c>
      <c r="B3" t="s" s="12">
        <v>52</v>
      </c>
      <c r="C3" s="13"/>
      <c r="D3" s="14"/>
      <c r="E3" s="14"/>
      <c r="F3" s="14"/>
      <c r="G3" s="15"/>
      <c r="H3" s="15"/>
      <c r="I3" s="15"/>
      <c r="J3" s="15"/>
      <c r="K3" s="15"/>
      <c r="L3" t="str" s="16" cm="1">
        <f t="array" ref="L3">IF(D3&gt;0,IF($D3&lt;=0,0,D3*H3),"")</f>
      </c>
      <c r="M3" t="str" s="16" cm="1">
        <f t="array" ref="M3">IF(E3&gt;0,IF($D3&lt;=0,0,ROUND(E3*I3,2)),"")</f>
      </c>
      <c r="N3" t="str" s="16" cm="1">
        <f t="array" ref="N3">IF(F3&gt;0,IF($D3&lt;=0,0,ROUND(F3*J3,2)),"")</f>
      </c>
      <c r="O3" s="17"/>
    </row>
    <row r="4" ht="20.5" customHeight="1">
      <c r="A4" t="s" s="18">
        <v>53</v>
      </c>
      <c r="B4" t="s" s="19">
        <v>54</v>
      </c>
      <c r="C4" s="20"/>
      <c r="D4" s="21"/>
      <c r="E4" s="21"/>
      <c r="F4" s="21"/>
      <c r="G4" s="79"/>
      <c r="H4" s="21"/>
      <c r="I4" s="79"/>
      <c r="J4" s="21"/>
      <c r="K4" s="21"/>
      <c r="L4" t="str" s="79" cm="1">
        <f t="array" ref="L4">IF(D4&gt;0,IF($D4&lt;=0,0,D4*H4),"")</f>
      </c>
      <c r="M4" t="str" s="79" cm="1">
        <f t="array" ref="M4">IF(E4&gt;0,IF($D4&lt;=0,0,ROUND(E4*I4,2)),"")</f>
      </c>
      <c r="N4" t="str" s="79" cm="1">
        <f t="array" ref="N4">IF(F4&gt;0,IF($D4&lt;=0,0,ROUND(F4*J4,2)),"")</f>
      </c>
      <c r="O4" s="91"/>
    </row>
    <row r="5" ht="20.5" customHeight="1">
      <c r="A5" s="92">
        <v>1</v>
      </c>
      <c r="B5" t="s" s="19">
        <v>518</v>
      </c>
      <c r="C5" s="24"/>
      <c r="D5" s="26">
        <v>6</v>
      </c>
      <c r="E5" s="26" cm="1">
        <f t="array" ref="E5">D5</f>
        <v>6</v>
      </c>
      <c r="F5" s="26" cm="1">
        <f t="array" ref="F5">D5</f>
        <v>6</v>
      </c>
      <c r="G5" t="s" s="27">
        <v>56</v>
      </c>
      <c r="H5" s="26">
        <v>13390000</v>
      </c>
      <c r="I5" s="26">
        <v>13380000</v>
      </c>
      <c r="J5" s="26">
        <v>13380000</v>
      </c>
      <c r="K5" s="26">
        <v>11</v>
      </c>
      <c r="L5" s="26" cm="1">
        <f t="array" ref="L5">IF(D5&gt;0,IF($D5&lt;=0,0,D5*H5),"")</f>
        <v>80340000</v>
      </c>
      <c r="M5" s="26" cm="1">
        <f t="array" ref="M5">IF(E5&gt;0,IF($D5&lt;=0,0,ROUND(E5*I5,2)),"")</f>
        <v>80280000</v>
      </c>
      <c r="N5" s="26" cm="1">
        <f t="array" ref="N5">IF(F5&gt;0,IF($D5&lt;=0,0,ROUND(F5*J5,2)),"")</f>
        <v>80280000</v>
      </c>
      <c r="O5" s="28"/>
    </row>
    <row r="6" ht="20.5" customHeight="1">
      <c r="A6" t="s" s="93">
        <v>58</v>
      </c>
      <c r="B6" t="s" s="19">
        <v>59</v>
      </c>
      <c r="C6" s="20"/>
      <c r="D6" s="21"/>
      <c r="E6" s="21"/>
      <c r="F6" s="21"/>
      <c r="G6" s="79"/>
      <c r="H6" s="21"/>
      <c r="I6" s="21"/>
      <c r="J6" s="21"/>
      <c r="K6" s="21"/>
      <c r="L6" t="str" s="79" cm="1">
        <f t="array" ref="L6">IF(D6&gt;0,IF($D6&lt;=0,0,D6*H6),"")</f>
      </c>
      <c r="M6" t="str" s="79" cm="1">
        <f t="array" ref="M6">IF(E6&gt;0,IF($D6&lt;=0,0,ROUND(E6*I6,2)),"")</f>
      </c>
      <c r="N6" t="str" s="79" cm="1">
        <f t="array" ref="N6">IF(F6&gt;0,IF($D6&lt;=0,0,ROUND(F6*J6,2)),"")</f>
      </c>
      <c r="O6" s="91"/>
    </row>
    <row r="7" ht="20.5" customHeight="1">
      <c r="A7" t="s" s="18">
        <v>53</v>
      </c>
      <c r="B7" t="s" s="19">
        <v>519</v>
      </c>
      <c r="C7" s="24"/>
      <c r="D7" s="26"/>
      <c r="E7" s="26"/>
      <c r="F7" s="26"/>
      <c r="G7" s="30"/>
      <c r="H7" s="26"/>
      <c r="I7" s="26"/>
      <c r="J7" s="26"/>
      <c r="K7" s="26"/>
      <c r="L7" t="str" s="30" cm="1">
        <f t="array" ref="L7">IF(D7&gt;0,IF($D7&lt;=0,0,D7*H7),"")</f>
      </c>
      <c r="M7" t="str" s="30" cm="1">
        <f t="array" ref="M7">IF(E7&gt;0,IF($D7&lt;=0,0,ROUND(E7*I7,2)),"")</f>
      </c>
      <c r="N7" t="str" s="30" cm="1">
        <f t="array" ref="N7">IF(F7&gt;0,IF($D7&lt;=0,0,ROUND(F7*J7,2)),"")</f>
      </c>
      <c r="O7" s="31"/>
    </row>
    <row r="8" ht="20.5" customHeight="1">
      <c r="A8" s="94">
        <v>1</v>
      </c>
      <c r="B8" t="s" s="19">
        <v>520</v>
      </c>
      <c r="C8" s="20"/>
      <c r="D8" s="21">
        <v>1</v>
      </c>
      <c r="E8" s="21" cm="1">
        <f t="array" ref="E8">D8</f>
        <v>1</v>
      </c>
      <c r="F8" s="21" cm="1">
        <f t="array" ref="F8">D8</f>
        <v>1</v>
      </c>
      <c r="G8" t="s" s="22">
        <v>408</v>
      </c>
      <c r="H8" s="21">
        <v>2000000</v>
      </c>
      <c r="I8" s="21">
        <v>2000000</v>
      </c>
      <c r="J8" s="21">
        <v>2000000</v>
      </c>
      <c r="K8" s="21">
        <v>11</v>
      </c>
      <c r="L8" s="21" cm="1">
        <f t="array" ref="L8">IF(D8&gt;0,IF($D8&lt;=0,0,D8*H8),"")</f>
        <v>2000000</v>
      </c>
      <c r="M8" s="21" cm="1">
        <f t="array" ref="M8">IF(E8&gt;0,IF($D8&lt;=0,0,ROUND(E8*I8,2)),"")</f>
        <v>2000000</v>
      </c>
      <c r="N8" s="21" cm="1">
        <f t="array" ref="N8">IF(F8&gt;0,IF($D8&lt;=0,0,ROUND(F8*J8,2)),"")</f>
        <v>2000000</v>
      </c>
      <c r="O8" s="23"/>
    </row>
    <row r="9" ht="20.5" customHeight="1">
      <c r="A9" s="95">
        <v>2</v>
      </c>
      <c r="B9" t="s" s="19">
        <v>521</v>
      </c>
      <c r="C9" s="24"/>
      <c r="D9" s="26">
        <v>1</v>
      </c>
      <c r="E9" s="26" cm="1">
        <f t="array" ref="E9">D9</f>
        <v>1</v>
      </c>
      <c r="F9" s="26" cm="1">
        <f t="array" ref="F9">D9</f>
        <v>1</v>
      </c>
      <c r="G9" t="s" s="27">
        <v>408</v>
      </c>
      <c r="H9" s="26">
        <v>1000000</v>
      </c>
      <c r="I9" s="26">
        <v>1000000</v>
      </c>
      <c r="J9" s="26">
        <v>1000000</v>
      </c>
      <c r="K9" s="26">
        <v>11</v>
      </c>
      <c r="L9" s="26" cm="1">
        <f t="array" ref="L9">IF(D9&gt;0,IF($D9&lt;=0,0,D9*H9),"")</f>
        <v>1000000</v>
      </c>
      <c r="M9" s="26" cm="1">
        <f t="array" ref="M9">IF(E9&gt;0,IF($D9&lt;=0,0,ROUND(E9*I9,2)),"")</f>
        <v>1000000</v>
      </c>
      <c r="N9" s="26" cm="1">
        <f t="array" ref="N9">IF(F9&gt;0,IF($D9&lt;=0,0,ROUND(F9*J9,2)),"")</f>
        <v>1000000</v>
      </c>
      <c r="O9" s="28"/>
    </row>
    <row r="10" ht="20.5" customHeight="1">
      <c r="A10" s="95">
        <v>2</v>
      </c>
      <c r="B10" t="s" s="19">
        <v>522</v>
      </c>
      <c r="C10" s="20"/>
      <c r="D10" s="21">
        <v>1</v>
      </c>
      <c r="E10" s="21" cm="1">
        <f t="array" ref="E10">D10</f>
        <v>1</v>
      </c>
      <c r="F10" s="21" cm="1">
        <f t="array" ref="F10">D10</f>
        <v>1</v>
      </c>
      <c r="G10" t="s" s="22">
        <v>408</v>
      </c>
      <c r="H10" s="21">
        <v>1000000</v>
      </c>
      <c r="I10" s="21">
        <v>1000000</v>
      </c>
      <c r="J10" s="21">
        <v>1000000</v>
      </c>
      <c r="K10" s="21">
        <v>11</v>
      </c>
      <c r="L10" s="21" cm="1">
        <f t="array" ref="L10">IF(D10&gt;0,IF($D10&lt;=0,0,D10*H10),"")</f>
        <v>1000000</v>
      </c>
      <c r="M10" s="21" cm="1">
        <f t="array" ref="M10">IF(E10&gt;0,IF($D10&lt;=0,0,ROUND(E10*I10,2)),"")</f>
        <v>1000000</v>
      </c>
      <c r="N10" s="21" cm="1">
        <f t="array" ref="N10">IF(F10&gt;0,IF($D10&lt;=0,0,ROUND(F10*J10,2)),"")</f>
        <v>1000000</v>
      </c>
      <c r="O10" s="23"/>
    </row>
    <row r="11" ht="20.5" customHeight="1">
      <c r="A11" s="94"/>
      <c r="B11" t="s" s="19">
        <v>66</v>
      </c>
      <c r="C11" s="24"/>
      <c r="D11" s="26"/>
      <c r="E11" s="26"/>
      <c r="F11" s="26"/>
      <c r="G11" s="30"/>
      <c r="H11" s="26"/>
      <c r="I11" s="26"/>
      <c r="J11" s="26"/>
      <c r="K11" s="26"/>
      <c r="L11" t="str" s="30" cm="1">
        <f t="array" ref="L11">IF(D11&gt;0,IF($D11&lt;=0,0,D11*H11),"")</f>
      </c>
      <c r="M11" t="str" s="30" cm="1">
        <f t="array" ref="M11">IF(E11&gt;0,IF($D11&lt;=0,0,ROUND(E11*I11,2)),"")</f>
      </c>
      <c r="N11" t="str" s="30" cm="1">
        <f t="array" ref="N11">IF(F11&gt;0,IF($D11&lt;=0,0,ROUND(F11*J11,2)),"")</f>
      </c>
      <c r="O11" s="28"/>
    </row>
    <row r="12" ht="20.5" customHeight="1">
      <c r="A12" s="94">
        <v>3</v>
      </c>
      <c r="B12" t="s" s="19">
        <v>67</v>
      </c>
      <c r="C12" s="20"/>
      <c r="D12" s="21">
        <v>1</v>
      </c>
      <c r="E12" s="21" cm="1">
        <f t="array" ref="E12">D12</f>
        <v>1</v>
      </c>
      <c r="F12" s="21" cm="1">
        <f t="array" ref="F12">D12</f>
        <v>1</v>
      </c>
      <c r="G12" t="s" s="22">
        <v>408</v>
      </c>
      <c r="H12" s="21">
        <v>750000</v>
      </c>
      <c r="I12" s="21">
        <v>750000</v>
      </c>
      <c r="J12" s="21">
        <v>750000</v>
      </c>
      <c r="K12" s="21">
        <v>11</v>
      </c>
      <c r="L12" s="21" cm="1">
        <f t="array" ref="L12">IF(D12&gt;0,IF($D12&lt;=0,0,D12*H12),"")</f>
        <v>750000</v>
      </c>
      <c r="M12" s="21" cm="1">
        <f t="array" ref="M12">IF(E12&gt;0,IF($D12&lt;=0,0,ROUND(E12*I12,2)),"")</f>
        <v>750000</v>
      </c>
      <c r="N12" s="21" cm="1">
        <f t="array" ref="N12">IF(F12&gt;0,IF($D12&lt;=0,0,ROUND(F12*J12,2)),"")</f>
        <v>750000</v>
      </c>
      <c r="O12" s="23"/>
    </row>
    <row r="13" ht="20.5" customHeight="1">
      <c r="A13" s="94">
        <v>4</v>
      </c>
      <c r="B13" t="s" s="19">
        <v>69</v>
      </c>
      <c r="C13" s="24"/>
      <c r="D13" s="26">
        <v>1</v>
      </c>
      <c r="E13" s="26" cm="1">
        <f t="array" ref="E13">D13</f>
        <v>1</v>
      </c>
      <c r="F13" s="26" cm="1">
        <f t="array" ref="F13">D13</f>
        <v>1</v>
      </c>
      <c r="G13" t="s" s="27">
        <v>408</v>
      </c>
      <c r="H13" s="26">
        <v>250000</v>
      </c>
      <c r="I13" s="26">
        <v>250000</v>
      </c>
      <c r="J13" s="26">
        <v>250000</v>
      </c>
      <c r="K13" s="26">
        <v>11</v>
      </c>
      <c r="L13" s="26" cm="1">
        <f t="array" ref="L13">IF(D13&gt;0,IF($D13&lt;=0,0,D13*H13),"")</f>
        <v>250000</v>
      </c>
      <c r="M13" s="26" cm="1">
        <f t="array" ref="M13">IF(E13&gt;0,IF($D13&lt;=0,0,ROUND(E13*I13,2)),"")</f>
        <v>250000</v>
      </c>
      <c r="N13" s="26" cm="1">
        <f t="array" ref="N13">IF(F13&gt;0,IF($D13&lt;=0,0,ROUND(F13*J13,2)),"")</f>
        <v>250000</v>
      </c>
      <c r="O13" s="28"/>
    </row>
    <row r="14" ht="20.5" customHeight="1">
      <c r="A14" s="29"/>
      <c r="B14" t="s" s="19">
        <v>70</v>
      </c>
      <c r="C14" s="20"/>
      <c r="D14" s="21"/>
      <c r="E14" s="21"/>
      <c r="F14" s="21"/>
      <c r="G14" s="79"/>
      <c r="H14" s="21"/>
      <c r="I14" s="21"/>
      <c r="J14" s="21"/>
      <c r="K14" s="21"/>
      <c r="L14" t="str" s="79" cm="1">
        <f t="array" ref="L14">IF(D14&gt;0,IF($D14&lt;=0,0,D14*H14),"")</f>
      </c>
      <c r="M14" t="str" s="79" cm="1">
        <f t="array" ref="M14">IF(E14&gt;0,IF($D14&lt;=0,0,ROUND(E14*I14,2)),"")</f>
      </c>
      <c r="N14" t="str" s="79" cm="1">
        <f t="array" ref="N14">IF(F14&gt;0,IF($D14&lt;=0,0,ROUND(F14*J14,2)),"")</f>
      </c>
      <c r="O14" s="91"/>
    </row>
    <row r="15" ht="20.5" customHeight="1">
      <c r="A15" s="95">
        <v>5</v>
      </c>
      <c r="B15" t="s" s="19">
        <v>76</v>
      </c>
      <c r="C15" s="24"/>
      <c r="D15" s="26">
        <v>3</v>
      </c>
      <c r="E15" s="26" cm="1">
        <f t="array" ref="E15">D15</f>
        <v>3</v>
      </c>
      <c r="F15" s="26" cm="1">
        <f t="array" ref="F15">D15</f>
        <v>3</v>
      </c>
      <c r="G15" t="s" s="27">
        <v>75</v>
      </c>
      <c r="H15" s="26">
        <v>500000</v>
      </c>
      <c r="I15" s="26">
        <v>500000</v>
      </c>
      <c r="J15" s="26">
        <v>500000</v>
      </c>
      <c r="K15" s="26">
        <v>11</v>
      </c>
      <c r="L15" s="26" cm="1">
        <f t="array" ref="L15">IF(D15&gt;0,IF($D15&lt;=0,0,D15*H15),"")</f>
        <v>1500000</v>
      </c>
      <c r="M15" s="26" cm="1">
        <f t="array" ref="M15">IF(E15&gt;0,IF($D15&lt;=0,0,ROUND(E15*I15,2)),"")</f>
        <v>1500000</v>
      </c>
      <c r="N15" s="26" cm="1">
        <f t="array" ref="N15">IF(F15&gt;0,IF($D15&lt;=0,0,ROUND(F15*J15,2)),"")</f>
        <v>1500000</v>
      </c>
      <c r="O15" s="28"/>
    </row>
    <row r="16" ht="20.5" customHeight="1">
      <c r="A16" s="95">
        <v>6</v>
      </c>
      <c r="B16" t="s" s="19">
        <v>77</v>
      </c>
      <c r="C16" s="20"/>
      <c r="D16" s="21">
        <v>3</v>
      </c>
      <c r="E16" s="21" cm="1">
        <f t="array" ref="E16">D16</f>
        <v>3</v>
      </c>
      <c r="F16" s="21" cm="1">
        <f t="array" ref="F16">D16</f>
        <v>3</v>
      </c>
      <c r="G16" t="s" s="22">
        <v>75</v>
      </c>
      <c r="H16" s="21">
        <v>500000</v>
      </c>
      <c r="I16" s="21">
        <v>500000</v>
      </c>
      <c r="J16" s="21">
        <v>500000</v>
      </c>
      <c r="K16" s="21">
        <v>11</v>
      </c>
      <c r="L16" s="21" cm="1">
        <f t="array" ref="L16">IF(D16&gt;0,IF($D16&lt;=0,0,D16*H16),"")</f>
        <v>1500000</v>
      </c>
      <c r="M16" s="21" cm="1">
        <f t="array" ref="M16">IF(E16&gt;0,IF($D16&lt;=0,0,ROUND(E16*I16,2)),"")</f>
        <v>1500000</v>
      </c>
      <c r="N16" s="21" cm="1">
        <f t="array" ref="N16">IF(F16&gt;0,IF($D16&lt;=0,0,ROUND(F16*J16,2)),"")</f>
        <v>1500000</v>
      </c>
      <c r="O16" s="23"/>
    </row>
    <row r="17" ht="20.5" customHeight="1">
      <c r="A17" s="95">
        <v>7</v>
      </c>
      <c r="B17" t="s" s="19">
        <v>523</v>
      </c>
      <c r="C17" s="24"/>
      <c r="D17" s="26">
        <v>3</v>
      </c>
      <c r="E17" s="26" cm="1">
        <f t="array" ref="E17">D17</f>
        <v>3</v>
      </c>
      <c r="F17" s="26" cm="1">
        <f t="array" ref="F17">D17</f>
        <v>3</v>
      </c>
      <c r="G17" t="s" s="27">
        <v>75</v>
      </c>
      <c r="H17" s="26">
        <v>500000</v>
      </c>
      <c r="I17" s="26">
        <v>500000</v>
      </c>
      <c r="J17" s="26">
        <v>500000</v>
      </c>
      <c r="K17" s="26">
        <v>11</v>
      </c>
      <c r="L17" s="26" cm="1">
        <f t="array" ref="L17">IF(D17&gt;0,IF($D17&lt;=0,0,D17*H17),"")</f>
        <v>1500000</v>
      </c>
      <c r="M17" s="26" cm="1">
        <f t="array" ref="M17">IF(E17&gt;0,IF($D17&lt;=0,0,ROUND(E17*I17,2)),"")</f>
        <v>1500000</v>
      </c>
      <c r="N17" s="26" cm="1">
        <f t="array" ref="N17">IF(F17&gt;0,IF($D17&lt;=0,0,ROUND(F17*J17,2)),"")</f>
        <v>1500000</v>
      </c>
      <c r="O17" s="28"/>
    </row>
    <row r="18" ht="20.6" customHeight="1">
      <c r="A18" s="33">
        <v>8</v>
      </c>
      <c r="B18" t="s" s="34">
        <v>121</v>
      </c>
      <c r="C18" s="35"/>
      <c r="D18" s="36">
        <v>1</v>
      </c>
      <c r="E18" s="36" cm="1">
        <f t="array" ref="E18">D18</f>
        <v>1</v>
      </c>
      <c r="F18" s="36" cm="1">
        <f t="array" ref="F18">D18</f>
        <v>1</v>
      </c>
      <c r="G18" t="s" s="37">
        <v>408</v>
      </c>
      <c r="H18" s="36">
        <v>250000</v>
      </c>
      <c r="I18" s="36">
        <v>250000</v>
      </c>
      <c r="J18" s="36">
        <v>250000</v>
      </c>
      <c r="K18" s="36">
        <v>11</v>
      </c>
      <c r="L18" s="36" cm="1">
        <f t="array" ref="L18">IF(D18&gt;0,IF($D18&lt;=0,0,D18*H18),"")</f>
        <v>250000</v>
      </c>
      <c r="M18" s="36" cm="1">
        <f t="array" ref="M18">IF(E18&gt;0,IF($D18&lt;=0,0,ROUND(E18*I18,2)),"")</f>
        <v>250000</v>
      </c>
      <c r="N18" s="36" cm="1">
        <f t="array" ref="N18">IF(F18&gt;0,IF($D18&lt;=0,0,ROUND(F18*J18,2)),"")</f>
        <v>250000</v>
      </c>
      <c r="O18" s="102"/>
    </row>
    <row r="19" ht="20.85" customHeight="1">
      <c r="A19" s="54"/>
      <c r="B19" s="54"/>
      <c r="C19" s="54"/>
      <c r="D19" s="55"/>
      <c r="E19" s="55"/>
      <c r="F19" s="55"/>
      <c r="G19" s="56"/>
      <c r="H19" s="56"/>
      <c r="I19" s="54"/>
      <c r="J19" s="57"/>
      <c r="K19" t="s" s="58">
        <v>38</v>
      </c>
      <c r="L19" s="59" cm="1">
        <f t="array" ref="L19">SUM(L1:L18)</f>
        <v>90090000</v>
      </c>
      <c r="M19" s="59" cm="1">
        <f t="array" ref="M19">SUM(M1:M18)</f>
        <v>90030000</v>
      </c>
      <c r="N19" s="59" cm="1">
        <f t="array" ref="N19">SUM(N1:N18)</f>
        <v>90030000</v>
      </c>
      <c r="O19" s="59"/>
    </row>
    <row r="20" ht="21" customHeight="1">
      <c r="A20" s="62"/>
      <c r="B20" t="s" s="61">
        <v>39</v>
      </c>
      <c r="C20" s="62"/>
      <c r="D20" s="63" cm="1">
        <f t="array" ref="D20">ROUND(IF(L20&lt;=100000000,L20*0.24%,IF(AND(L20&gt;100000000,L20&lt;=500000000),100000000*0.24%+(L20-100000000)*0.19%,IF(AND(L20&gt;500000000,L20&lt;=1000000000),100000000*0.24%+400000000*0.19%+(L20-500000000)*0.15%,IF(AND(L20&gt;1000000000,L20&lt;=5000000000),100000000*0.24%+400000000*0.19%+500000000*0.15%+(L20-1000000000)*0.12%,IF(L20&gt;5000000000,100000000*0.24%+400000000*0.19%+500000000*0.15%+4000000000*0.12%+(L20-5000000000)*0.1%,"Bingung komputer"))))),2)</f>
        <v>216216</v>
      </c>
      <c r="E20" s="64" cm="1">
        <f t="array" ref="E20">ROUND(IF(M20&lt;=100000000,M20*0.24%,IF(AND(M20&gt;100000000,M20&lt;=500000000),100000000*0.24%+(M20-100000000)*0.19%,IF(AND(M20&gt;500000000,M20&lt;=1000000000),100000000*0.24%+400000000*0.19%+(M20-500000000)*0.15%,IF(AND(M20&gt;1000000000,M20&lt;=5000000000),100000000*0.24%+400000000*0.19%+500000000*0.15%+(M20-1000000000)*0.12%,IF(M20&gt;5000000000,100000000*0.24%+400000000*0.19%+500000000*0.15%+4000000000*0.12%+(M20-5000000000)*0.1%,"Bingung komputer"))))),2)</f>
        <v>216072</v>
      </c>
      <c r="F20" s="64" cm="1">
        <f t="array" ref="F20">ROUND(IF(N20&lt;=100000000,N20*0.24%,IF(AND(N20&gt;100000000,N20&lt;=500000000),100000000*0.24%+(N20-100000000)*0.19%,IF(AND(N20&gt;500000000,N20&lt;=1000000000),100000000*0.24%+400000000*0.19%+(N20-500000000)*0.15%,IF(AND(N20&gt;1000000000,N20&lt;=5000000000),100000000*0.24%+400000000*0.19%+500000000*0.15%+(N20-1000000000)*0.12%,IF(N20&gt;5000000000,100000000*0.24%+400000000*0.19%+500000000*0.15%+4000000000*0.12%+(N20-5000000000)*0.1%,"Bingung komputer"))))),2)</f>
        <v>216072</v>
      </c>
      <c r="G20" s="65"/>
      <c r="H20" s="66"/>
      <c r="I20" s="62"/>
      <c r="J20" s="67"/>
      <c r="K20" t="str" s="67" cm="1">
        <f t="array" ref="K20">"Jumlah Terkena Pajak "&amp;MAX(K3:K18)&amp;"% (B)"</f>
        <v>Jumlah Terkena Pajak 11,00% (B)</v>
      </c>
      <c r="L20" s="68" cm="1">
        <f t="array" ref="L20">SUMIF($K3:$K18,"&gt;0",L3:L18)</f>
        <v>90090000</v>
      </c>
      <c r="M20" s="68" cm="1">
        <f t="array" ref="M20">SUMIF($K3:$K18,"&gt;0",M3:M18)</f>
        <v>90030000</v>
      </c>
      <c r="N20" s="68" cm="1">
        <f t="array" ref="N20">SUMIF($K3:$K18,"&gt;0",N3:N18)</f>
        <v>90030000</v>
      </c>
      <c r="O20" s="69"/>
    </row>
    <row r="21" ht="21" customHeight="1">
      <c r="A21" s="71"/>
      <c r="B21" s="71"/>
      <c r="C21" s="71"/>
      <c r="D21" s="72"/>
      <c r="E21" s="72"/>
      <c r="F21" s="112">
        <v>28000000</v>
      </c>
      <c r="G21" s="72"/>
      <c r="H21" s="72"/>
      <c r="I21" s="71"/>
      <c r="J21" s="73"/>
      <c r="K21" t="str" s="73" cm="1">
        <f t="array" ref="K21">"PPN (C) = "&amp;MAX(K3:K18)&amp;"% x B"</f>
        <v>PPN (C) = 11,00% x B</v>
      </c>
      <c r="L21" s="74" cm="1">
        <f t="array" ref="L21">L20*MAX($K3:$K18)%</f>
        <v>9909900</v>
      </c>
      <c r="M21" s="74" cm="1">
        <f t="array" ref="M21">M20*MAX($K3:$K18)%</f>
        <v>9903300</v>
      </c>
      <c r="N21" s="74" cm="1">
        <f t="array" ref="N21">N20*MAX($K3:$K18)%</f>
        <v>9903300</v>
      </c>
      <c r="O21" s="69"/>
    </row>
    <row r="22" ht="21" customHeight="1">
      <c r="A22" s="71"/>
      <c r="B22" s="71"/>
      <c r="C22" s="71"/>
      <c r="D22" s="72"/>
      <c r="E22" s="72"/>
      <c r="F22" s="72"/>
      <c r="G22" s="72"/>
      <c r="H22" s="72"/>
      <c r="I22" s="71"/>
      <c r="J22" s="73"/>
      <c r="K22" t="s" s="75">
        <v>42</v>
      </c>
      <c r="L22" s="74" cm="1">
        <f t="array" ref="L22">L19+L21</f>
        <v>99999900</v>
      </c>
      <c r="M22" s="74" cm="1">
        <f t="array" ref="M22">M19+M21</f>
        <v>99933300</v>
      </c>
      <c r="N22" s="74" cm="1">
        <f t="array" ref="N22">N19+N21</f>
        <v>99933300</v>
      </c>
      <c r="O22" s="69"/>
    </row>
    <row r="23" ht="20.5" customHeight="1">
      <c r="A23" s="71"/>
      <c r="B23" s="71"/>
      <c r="C23" s="71"/>
      <c r="D23" s="72"/>
      <c r="E23" s="72"/>
      <c r="F23" s="72"/>
      <c r="G23" s="72"/>
      <c r="H23" s="72"/>
      <c r="I23" s="71"/>
      <c r="J23" s="73"/>
      <c r="K23" t="s" s="75">
        <v>43</v>
      </c>
      <c r="L23" s="74" cm="1">
        <f t="array" ref="L23">ROUNDDOWN(L22,2)</f>
        <v>99999900</v>
      </c>
      <c r="M23" s="74" cm="1">
        <f t="array" ref="M23">ROUNDDOWN(M22,2)</f>
        <v>99933300</v>
      </c>
      <c r="N23" s="74" cm="1">
        <f t="array" ref="N23">ROUNDDOWN(N22,-3)</f>
        <v>99933000</v>
      </c>
      <c r="O23" s="68"/>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22.xml><?xml version="1.0" encoding="utf-8"?>
<worksheet xmlns:r="http://schemas.openxmlformats.org/officeDocument/2006/relationships" xmlns="http://schemas.openxmlformats.org/spreadsheetml/2006/main">
  <sheetPr>
    <pageSetUpPr fitToPage="1"/>
  </sheetPr>
  <dimension ref="A1:O23"/>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7.17188" style="316" customWidth="1"/>
    <col min="2" max="2" width="43.0312" style="316" customWidth="1"/>
    <col min="3" max="3" width="2.75" style="316" customWidth="1"/>
    <col min="4" max="6" width="10.3672" style="316" customWidth="1"/>
    <col min="7" max="7" width="11.6875" style="316" customWidth="1"/>
    <col min="8" max="11" width="13.5156" style="316" customWidth="1"/>
    <col min="12" max="15" width="14.2344" style="316" customWidth="1"/>
    <col min="16" max="16384" width="16.3516" style="316" customWidth="1"/>
  </cols>
  <sheetData>
    <row r="1" ht="20.5" customHeight="1">
      <c r="A1" t="s" s="7">
        <v>6</v>
      </c>
      <c r="B1" t="s" s="7">
        <v>7</v>
      </c>
      <c r="C1" s="8"/>
      <c r="D1" t="s" s="7">
        <v>8</v>
      </c>
      <c r="E1" s="8"/>
      <c r="F1" s="8"/>
      <c r="G1" t="s" s="7">
        <v>9</v>
      </c>
      <c r="H1" t="s" s="7">
        <v>10</v>
      </c>
      <c r="I1" s="8"/>
      <c r="J1" s="8"/>
      <c r="K1" t="s" s="7">
        <v>11</v>
      </c>
      <c r="L1" t="s" s="7">
        <v>12</v>
      </c>
      <c r="M1" s="8"/>
      <c r="N1" s="8"/>
      <c r="O1" s="88"/>
    </row>
    <row r="2" ht="20.85" customHeight="1">
      <c r="A2" s="9"/>
      <c r="B2" s="9"/>
      <c r="C2" s="9"/>
      <c r="D2" t="s" s="10">
        <v>13</v>
      </c>
      <c r="E2" t="s" s="10">
        <v>14</v>
      </c>
      <c r="F2" t="s" s="10">
        <v>15</v>
      </c>
      <c r="G2" s="9"/>
      <c r="H2" t="s" s="10">
        <v>13</v>
      </c>
      <c r="I2" t="s" s="10">
        <v>14</v>
      </c>
      <c r="J2" t="s" s="10">
        <v>15</v>
      </c>
      <c r="K2" s="9"/>
      <c r="L2" t="s" s="10">
        <v>13</v>
      </c>
      <c r="M2" t="s" s="10">
        <v>14</v>
      </c>
      <c r="N2" t="s" s="10">
        <v>15</v>
      </c>
      <c r="O2" s="89"/>
    </row>
    <row r="3" ht="20.6" customHeight="1">
      <c r="A3" t="s" s="90">
        <v>51</v>
      </c>
      <c r="B3" t="s" s="12">
        <v>52</v>
      </c>
      <c r="C3" s="13"/>
      <c r="D3" s="14"/>
      <c r="E3" s="14"/>
      <c r="F3" s="14"/>
      <c r="G3" s="15"/>
      <c r="H3" s="15"/>
      <c r="I3" s="15"/>
      <c r="J3" s="15"/>
      <c r="K3" s="15"/>
      <c r="L3" t="str" s="16" cm="1">
        <f t="array" ref="L3">IF(D3&gt;0,IF($D3&lt;=0,0,D3*H3),"")</f>
      </c>
      <c r="M3" t="str" s="16" cm="1">
        <f t="array" ref="M3">IF(E3&gt;0,IF($D3&lt;=0,0,ROUND(E3*I3,2)),"")</f>
      </c>
      <c r="N3" t="str" s="16" cm="1">
        <f t="array" ref="N3">IF(F3&gt;0,IF($D3&lt;=0,0,ROUND(F3*J3,2)),"")</f>
      </c>
      <c r="O3" s="17"/>
    </row>
    <row r="4" ht="20.5" customHeight="1">
      <c r="A4" t="s" s="18">
        <v>53</v>
      </c>
      <c r="B4" t="s" s="19">
        <v>54</v>
      </c>
      <c r="C4" s="20"/>
      <c r="D4" s="21"/>
      <c r="E4" s="21"/>
      <c r="F4" s="21"/>
      <c r="G4" s="79"/>
      <c r="H4" s="21"/>
      <c r="I4" s="79"/>
      <c r="J4" s="21"/>
      <c r="K4" s="21"/>
      <c r="L4" t="str" s="79" cm="1">
        <f t="array" ref="L4">IF(D4&gt;0,IF($D4&lt;=0,0,D4*H4),"")</f>
      </c>
      <c r="M4" t="str" s="79" cm="1">
        <f t="array" ref="M4">IF(E4&gt;0,IF($D4&lt;=0,0,ROUND(E4*I4,2)),"")</f>
      </c>
      <c r="N4" t="str" s="79" cm="1">
        <f t="array" ref="N4">IF(F4&gt;0,IF($D4&lt;=0,0,ROUND(F4*J4,2)),"")</f>
      </c>
      <c r="O4" s="91"/>
    </row>
    <row r="5" ht="20.5" customHeight="1">
      <c r="A5" s="92">
        <v>1</v>
      </c>
      <c r="B5" t="s" s="19">
        <v>518</v>
      </c>
      <c r="C5" s="24"/>
      <c r="D5" s="26">
        <v>6</v>
      </c>
      <c r="E5" s="26" cm="1">
        <f t="array" ref="E5">D5</f>
        <v>6</v>
      </c>
      <c r="F5" s="26" cm="1">
        <f t="array" ref="F5">D5</f>
        <v>6</v>
      </c>
      <c r="G5" t="s" s="27">
        <v>56</v>
      </c>
      <c r="H5" s="26">
        <v>13390000</v>
      </c>
      <c r="I5" s="26">
        <v>13390000</v>
      </c>
      <c r="J5" s="26">
        <v>13390000</v>
      </c>
      <c r="K5" s="26">
        <v>11</v>
      </c>
      <c r="L5" s="26" cm="1">
        <f t="array" ref="L5">IF(D5&gt;0,IF($D5&lt;=0,0,D5*H5),"")</f>
        <v>80340000</v>
      </c>
      <c r="M5" s="26" cm="1">
        <f t="array" ref="M5">IF(E5&gt;0,IF($D5&lt;=0,0,ROUND(E5*I5,2)),"")</f>
        <v>80340000</v>
      </c>
      <c r="N5" s="26" cm="1">
        <f t="array" ref="N5">IF(F5&gt;0,IF($D5&lt;=0,0,ROUND(F5*J5,2)),"")</f>
        <v>80340000</v>
      </c>
      <c r="O5" s="28"/>
    </row>
    <row r="6" ht="20.5" customHeight="1">
      <c r="A6" t="s" s="93">
        <v>58</v>
      </c>
      <c r="B6" t="s" s="19">
        <v>59</v>
      </c>
      <c r="C6" s="20"/>
      <c r="D6" s="21"/>
      <c r="E6" s="21"/>
      <c r="F6" s="21"/>
      <c r="G6" s="79"/>
      <c r="H6" s="21"/>
      <c r="I6" s="21"/>
      <c r="J6" s="21"/>
      <c r="K6" s="21"/>
      <c r="L6" t="str" s="79" cm="1">
        <f t="array" ref="L6">IF(D6&gt;0,IF($D6&lt;=0,0,D6*H6),"")</f>
      </c>
      <c r="M6" t="str" s="79" cm="1">
        <f t="array" ref="M6">IF(E6&gt;0,IF($D6&lt;=0,0,ROUND(E6*I6,2)),"")</f>
      </c>
      <c r="N6" t="str" s="79" cm="1">
        <f t="array" ref="N6">IF(F6&gt;0,IF($D6&lt;=0,0,ROUND(F6*J6,2)),"")</f>
      </c>
      <c r="O6" s="91"/>
    </row>
    <row r="7" ht="20.5" customHeight="1">
      <c r="A7" t="s" s="18">
        <v>53</v>
      </c>
      <c r="B7" t="s" s="19">
        <v>519</v>
      </c>
      <c r="C7" s="24"/>
      <c r="D7" s="26"/>
      <c r="E7" s="26"/>
      <c r="F7" s="26"/>
      <c r="G7" s="30"/>
      <c r="H7" s="26"/>
      <c r="I7" s="26"/>
      <c r="J7" s="26"/>
      <c r="K7" s="26"/>
      <c r="L7" t="str" s="30" cm="1">
        <f t="array" ref="L7">IF(D7&gt;0,IF($D7&lt;=0,0,D7*H7),"")</f>
      </c>
      <c r="M7" t="str" s="30" cm="1">
        <f t="array" ref="M7">IF(E7&gt;0,IF($D7&lt;=0,0,ROUND(E7*I7,2)),"")</f>
      </c>
      <c r="N7" t="str" s="30" cm="1">
        <f t="array" ref="N7">IF(F7&gt;0,IF($D7&lt;=0,0,ROUND(F7*J7,2)),"")</f>
      </c>
      <c r="O7" s="31"/>
    </row>
    <row r="8" ht="20.5" customHeight="1">
      <c r="A8" s="94">
        <v>1</v>
      </c>
      <c r="B8" t="s" s="19">
        <v>520</v>
      </c>
      <c r="C8" s="20"/>
      <c r="D8" s="21">
        <v>1</v>
      </c>
      <c r="E8" s="21" cm="1">
        <f t="array" ref="E8">D8</f>
        <v>1</v>
      </c>
      <c r="F8" s="21" cm="1">
        <f t="array" ref="F8">D8</f>
        <v>1</v>
      </c>
      <c r="G8" t="s" s="22">
        <v>408</v>
      </c>
      <c r="H8" s="21">
        <v>2000000</v>
      </c>
      <c r="I8" s="21">
        <v>2000000</v>
      </c>
      <c r="J8" s="21">
        <v>2000000</v>
      </c>
      <c r="K8" s="21">
        <v>11</v>
      </c>
      <c r="L8" s="21" cm="1">
        <f t="array" ref="L8">IF(D8&gt;0,IF($D8&lt;=0,0,D8*H8),"")</f>
        <v>2000000</v>
      </c>
      <c r="M8" s="21" cm="1">
        <f t="array" ref="M8">IF(E8&gt;0,IF($D8&lt;=0,0,ROUND(E8*I8,2)),"")</f>
        <v>2000000</v>
      </c>
      <c r="N8" s="21" cm="1">
        <f t="array" ref="N8">IF(F8&gt;0,IF($D8&lt;=0,0,ROUND(F8*J8,2)),"")</f>
        <v>2000000</v>
      </c>
      <c r="O8" s="23"/>
    </row>
    <row r="9" ht="20.5" customHeight="1">
      <c r="A9" s="95">
        <v>2</v>
      </c>
      <c r="B9" t="s" s="19">
        <v>521</v>
      </c>
      <c r="C9" s="24"/>
      <c r="D9" s="26">
        <v>1</v>
      </c>
      <c r="E9" s="26" cm="1">
        <f t="array" ref="E9">D9</f>
        <v>1</v>
      </c>
      <c r="F9" s="26" cm="1">
        <f t="array" ref="F9">D9</f>
        <v>1</v>
      </c>
      <c r="G9" t="s" s="27">
        <v>408</v>
      </c>
      <c r="H9" s="26">
        <v>1000000</v>
      </c>
      <c r="I9" s="26">
        <v>1000000</v>
      </c>
      <c r="J9" s="26">
        <v>1000000</v>
      </c>
      <c r="K9" s="26">
        <v>11</v>
      </c>
      <c r="L9" s="26" cm="1">
        <f t="array" ref="L9">IF(D9&gt;0,IF($D9&lt;=0,0,D9*H9),"")</f>
        <v>1000000</v>
      </c>
      <c r="M9" s="26" cm="1">
        <f t="array" ref="M9">IF(E9&gt;0,IF($D9&lt;=0,0,ROUND(E9*I9,2)),"")</f>
        <v>1000000</v>
      </c>
      <c r="N9" s="26" cm="1">
        <f t="array" ref="N9">IF(F9&gt;0,IF($D9&lt;=0,0,ROUND(F9*J9,2)),"")</f>
        <v>1000000</v>
      </c>
      <c r="O9" s="28"/>
    </row>
    <row r="10" ht="20.5" customHeight="1">
      <c r="A10" s="95">
        <v>2</v>
      </c>
      <c r="B10" t="s" s="19">
        <v>522</v>
      </c>
      <c r="C10" s="20"/>
      <c r="D10" s="21">
        <v>1</v>
      </c>
      <c r="E10" s="21" cm="1">
        <f t="array" ref="E10">D10</f>
        <v>1</v>
      </c>
      <c r="F10" s="21" cm="1">
        <f t="array" ref="F10">D10</f>
        <v>1</v>
      </c>
      <c r="G10" t="s" s="22">
        <v>408</v>
      </c>
      <c r="H10" s="21">
        <v>1000000</v>
      </c>
      <c r="I10" s="21">
        <v>1000000</v>
      </c>
      <c r="J10" s="21">
        <v>1000000</v>
      </c>
      <c r="K10" s="21">
        <v>11</v>
      </c>
      <c r="L10" s="21" cm="1">
        <f t="array" ref="L10">IF(D10&gt;0,IF($D10&lt;=0,0,D10*H10),"")</f>
        <v>1000000</v>
      </c>
      <c r="M10" s="21" cm="1">
        <f t="array" ref="M10">IF(E10&gt;0,IF($D10&lt;=0,0,ROUND(E10*I10,2)),"")</f>
        <v>1000000</v>
      </c>
      <c r="N10" s="21" cm="1">
        <f t="array" ref="N10">IF(F10&gt;0,IF($D10&lt;=0,0,ROUND(F10*J10,2)),"")</f>
        <v>1000000</v>
      </c>
      <c r="O10" s="23"/>
    </row>
    <row r="11" ht="20.5" customHeight="1">
      <c r="A11" s="94"/>
      <c r="B11" t="s" s="19">
        <v>66</v>
      </c>
      <c r="C11" s="24"/>
      <c r="D11" s="26"/>
      <c r="E11" s="26"/>
      <c r="F11" s="26"/>
      <c r="G11" s="30"/>
      <c r="H11" s="26"/>
      <c r="I11" s="26"/>
      <c r="J11" s="26"/>
      <c r="K11" s="26"/>
      <c r="L11" t="str" s="30" cm="1">
        <f t="array" ref="L11">IF(D11&gt;0,IF($D11&lt;=0,0,D11*H11),"")</f>
      </c>
      <c r="M11" t="str" s="30" cm="1">
        <f t="array" ref="M11">IF(E11&gt;0,IF($D11&lt;=0,0,ROUND(E11*I11,2)),"")</f>
      </c>
      <c r="N11" t="str" s="30" cm="1">
        <f t="array" ref="N11">IF(F11&gt;0,IF($D11&lt;=0,0,ROUND(F11*J11,2)),"")</f>
      </c>
      <c r="O11" s="28"/>
    </row>
    <row r="12" ht="20.5" customHeight="1">
      <c r="A12" s="94">
        <v>3</v>
      </c>
      <c r="B12" t="s" s="19">
        <v>67</v>
      </c>
      <c r="C12" s="20"/>
      <c r="D12" s="21">
        <v>1</v>
      </c>
      <c r="E12" s="21" cm="1">
        <f t="array" ref="E12">D12</f>
        <v>1</v>
      </c>
      <c r="F12" s="21" cm="1">
        <f t="array" ref="F12">D12</f>
        <v>1</v>
      </c>
      <c r="G12" t="s" s="22">
        <v>408</v>
      </c>
      <c r="H12" s="21">
        <v>750000</v>
      </c>
      <c r="I12" s="21">
        <v>750000</v>
      </c>
      <c r="J12" s="21">
        <v>750000</v>
      </c>
      <c r="K12" s="21">
        <v>11</v>
      </c>
      <c r="L12" s="21" cm="1">
        <f t="array" ref="L12">IF(D12&gt;0,IF($D12&lt;=0,0,D12*H12),"")</f>
        <v>750000</v>
      </c>
      <c r="M12" s="21" cm="1">
        <f t="array" ref="M12">IF(E12&gt;0,IF($D12&lt;=0,0,ROUND(E12*I12,2)),"")</f>
        <v>750000</v>
      </c>
      <c r="N12" s="21" cm="1">
        <f t="array" ref="N12">IF(F12&gt;0,IF($D12&lt;=0,0,ROUND(F12*J12,2)),"")</f>
        <v>750000</v>
      </c>
      <c r="O12" s="23"/>
    </row>
    <row r="13" ht="20.5" customHeight="1">
      <c r="A13" s="94">
        <v>4</v>
      </c>
      <c r="B13" t="s" s="19">
        <v>69</v>
      </c>
      <c r="C13" s="24"/>
      <c r="D13" s="26">
        <v>1</v>
      </c>
      <c r="E13" s="26" cm="1">
        <f t="array" ref="E13">D13</f>
        <v>1</v>
      </c>
      <c r="F13" s="26" cm="1">
        <f t="array" ref="F13">D13</f>
        <v>1</v>
      </c>
      <c r="G13" t="s" s="27">
        <v>408</v>
      </c>
      <c r="H13" s="26">
        <v>250000</v>
      </c>
      <c r="I13" s="26">
        <v>200000</v>
      </c>
      <c r="J13" s="26">
        <v>200000</v>
      </c>
      <c r="K13" s="26">
        <v>11</v>
      </c>
      <c r="L13" s="26" cm="1">
        <f t="array" ref="L13">IF(D13&gt;0,IF($D13&lt;=0,0,D13*H13),"")</f>
        <v>250000</v>
      </c>
      <c r="M13" s="26" cm="1">
        <f t="array" ref="M13">IF(E13&gt;0,IF($D13&lt;=0,0,ROUND(E13*I13,2)),"")</f>
        <v>200000</v>
      </c>
      <c r="N13" s="26" cm="1">
        <f t="array" ref="N13">IF(F13&gt;0,IF($D13&lt;=0,0,ROUND(F13*J13,2)),"")</f>
        <v>200000</v>
      </c>
      <c r="O13" s="28"/>
    </row>
    <row r="14" ht="20.5" customHeight="1">
      <c r="A14" s="29"/>
      <c r="B14" t="s" s="19">
        <v>70</v>
      </c>
      <c r="C14" s="20"/>
      <c r="D14" s="21"/>
      <c r="E14" s="21"/>
      <c r="F14" s="21"/>
      <c r="G14" s="79"/>
      <c r="H14" s="21"/>
      <c r="I14" s="21"/>
      <c r="J14" s="21"/>
      <c r="K14" s="21"/>
      <c r="L14" t="str" s="79" cm="1">
        <f t="array" ref="L14">IF(D14&gt;0,IF($D14&lt;=0,0,D14*H14),"")</f>
      </c>
      <c r="M14" t="str" s="79" cm="1">
        <f t="array" ref="M14">IF(E14&gt;0,IF($D14&lt;=0,0,ROUND(E14*I14,2)),"")</f>
      </c>
      <c r="N14" t="str" s="79" cm="1">
        <f t="array" ref="N14">IF(F14&gt;0,IF($D14&lt;=0,0,ROUND(F14*J14,2)),"")</f>
      </c>
      <c r="O14" s="91"/>
    </row>
    <row r="15" ht="20.5" customHeight="1">
      <c r="A15" s="95">
        <v>5</v>
      </c>
      <c r="B15" t="s" s="19">
        <v>76</v>
      </c>
      <c r="C15" s="24"/>
      <c r="D15" s="26">
        <v>3</v>
      </c>
      <c r="E15" s="26" cm="1">
        <f t="array" ref="E15">D15</f>
        <v>3</v>
      </c>
      <c r="F15" s="26" cm="1">
        <f t="array" ref="F15">D15</f>
        <v>3</v>
      </c>
      <c r="G15" t="s" s="27">
        <v>75</v>
      </c>
      <c r="H15" s="26">
        <v>500000</v>
      </c>
      <c r="I15" s="26">
        <v>500000</v>
      </c>
      <c r="J15" s="26">
        <v>500000</v>
      </c>
      <c r="K15" s="26">
        <v>11</v>
      </c>
      <c r="L15" s="26" cm="1">
        <f t="array" ref="L15">IF(D15&gt;0,IF($D15&lt;=0,0,D15*H15),"")</f>
        <v>1500000</v>
      </c>
      <c r="M15" s="26" cm="1">
        <f t="array" ref="M15">IF(E15&gt;0,IF($D15&lt;=0,0,ROUND(E15*I15,2)),"")</f>
        <v>1500000</v>
      </c>
      <c r="N15" s="26" cm="1">
        <f t="array" ref="N15">IF(F15&gt;0,IF($D15&lt;=0,0,ROUND(F15*J15,2)),"")</f>
        <v>1500000</v>
      </c>
      <c r="O15" s="28"/>
    </row>
    <row r="16" ht="20.5" customHeight="1">
      <c r="A16" s="95">
        <v>6</v>
      </c>
      <c r="B16" t="s" s="19">
        <v>77</v>
      </c>
      <c r="C16" s="20"/>
      <c r="D16" s="21">
        <v>3</v>
      </c>
      <c r="E16" s="21" cm="1">
        <f t="array" ref="E16">D16</f>
        <v>3</v>
      </c>
      <c r="F16" s="21" cm="1">
        <f t="array" ref="F16">D16</f>
        <v>3</v>
      </c>
      <c r="G16" t="s" s="22">
        <v>75</v>
      </c>
      <c r="H16" s="21">
        <v>500000</v>
      </c>
      <c r="I16" s="21">
        <v>500000</v>
      </c>
      <c r="J16" s="21">
        <v>500000</v>
      </c>
      <c r="K16" s="21">
        <v>11</v>
      </c>
      <c r="L16" s="21" cm="1">
        <f t="array" ref="L16">IF(D16&gt;0,IF($D16&lt;=0,0,D16*H16),"")</f>
        <v>1500000</v>
      </c>
      <c r="M16" s="21" cm="1">
        <f t="array" ref="M16">IF(E16&gt;0,IF($D16&lt;=0,0,ROUND(E16*I16,2)),"")</f>
        <v>1500000</v>
      </c>
      <c r="N16" s="21" cm="1">
        <f t="array" ref="N16">IF(F16&gt;0,IF($D16&lt;=0,0,ROUND(F16*J16,2)),"")</f>
        <v>1500000</v>
      </c>
      <c r="O16" s="23"/>
    </row>
    <row r="17" ht="20.5" customHeight="1">
      <c r="A17" s="95">
        <v>7</v>
      </c>
      <c r="B17" t="s" s="19">
        <v>523</v>
      </c>
      <c r="C17" s="24"/>
      <c r="D17" s="26">
        <v>3</v>
      </c>
      <c r="E17" s="26" cm="1">
        <f t="array" ref="E17">D17</f>
        <v>3</v>
      </c>
      <c r="F17" s="26" cm="1">
        <f t="array" ref="F17">D17</f>
        <v>3</v>
      </c>
      <c r="G17" t="s" s="27">
        <v>75</v>
      </c>
      <c r="H17" s="26">
        <v>500000</v>
      </c>
      <c r="I17" s="26">
        <v>500000</v>
      </c>
      <c r="J17" s="26">
        <v>500000</v>
      </c>
      <c r="K17" s="26">
        <v>11</v>
      </c>
      <c r="L17" s="26" cm="1">
        <f t="array" ref="L17">IF(D17&gt;0,IF($D17&lt;=0,0,D17*H17),"")</f>
        <v>1500000</v>
      </c>
      <c r="M17" s="26" cm="1">
        <f t="array" ref="M17">IF(E17&gt;0,IF($D17&lt;=0,0,ROUND(E17*I17,2)),"")</f>
        <v>1500000</v>
      </c>
      <c r="N17" s="26" cm="1">
        <f t="array" ref="N17">IF(F17&gt;0,IF($D17&lt;=0,0,ROUND(F17*J17,2)),"")</f>
        <v>1500000</v>
      </c>
      <c r="O17" s="28"/>
    </row>
    <row r="18" ht="20.6" customHeight="1">
      <c r="A18" s="33">
        <v>8</v>
      </c>
      <c r="B18" t="s" s="34">
        <v>121</v>
      </c>
      <c r="C18" s="35"/>
      <c r="D18" s="36">
        <v>1</v>
      </c>
      <c r="E18" s="36" cm="1">
        <f t="array" ref="E18">D18</f>
        <v>1</v>
      </c>
      <c r="F18" s="36" cm="1">
        <f t="array" ref="F18">D18</f>
        <v>1</v>
      </c>
      <c r="G18" t="s" s="37">
        <v>408</v>
      </c>
      <c r="H18" s="36">
        <v>250000</v>
      </c>
      <c r="I18" s="36">
        <v>250000</v>
      </c>
      <c r="J18" s="36">
        <v>250000</v>
      </c>
      <c r="K18" s="36">
        <v>11</v>
      </c>
      <c r="L18" s="36" cm="1">
        <f t="array" ref="L18">IF(D18&gt;0,IF($D18&lt;=0,0,D18*H18),"")</f>
        <v>250000</v>
      </c>
      <c r="M18" s="36" cm="1">
        <f t="array" ref="M18">IF(E18&gt;0,IF($D18&lt;=0,0,ROUND(E18*I18,2)),"")</f>
        <v>250000</v>
      </c>
      <c r="N18" s="36" cm="1">
        <f t="array" ref="N18">IF(F18&gt;0,IF($D18&lt;=0,0,ROUND(F18*J18,2)),"")</f>
        <v>250000</v>
      </c>
      <c r="O18" s="102"/>
    </row>
    <row r="19" ht="20.85" customHeight="1">
      <c r="A19" s="54"/>
      <c r="B19" s="54"/>
      <c r="C19" s="54"/>
      <c r="D19" s="55"/>
      <c r="E19" s="55"/>
      <c r="F19" s="55"/>
      <c r="G19" s="56"/>
      <c r="H19" s="56"/>
      <c r="I19" s="54"/>
      <c r="J19" s="57"/>
      <c r="K19" t="s" s="58">
        <v>38</v>
      </c>
      <c r="L19" s="59" cm="1">
        <f t="array" ref="L19">SUM(L1:L18)</f>
        <v>90090000</v>
      </c>
      <c r="M19" s="59" cm="1">
        <f t="array" ref="M19">SUM(M1:M18)</f>
        <v>90040000</v>
      </c>
      <c r="N19" s="59" cm="1">
        <f t="array" ref="N19">SUM(N1:N18)</f>
        <v>90040000</v>
      </c>
      <c r="O19" s="59"/>
    </row>
    <row r="20" ht="21" customHeight="1">
      <c r="A20" s="62"/>
      <c r="B20" t="s" s="61">
        <v>39</v>
      </c>
      <c r="C20" s="62"/>
      <c r="D20" s="63" cm="1">
        <f t="array" ref="D20">ROUND(IF(L20&lt;=100000000,L20*0.24%,IF(AND(L20&gt;100000000,L20&lt;=500000000),100000000*0.24%+(L20-100000000)*0.19%,IF(AND(L20&gt;500000000,L20&lt;=1000000000),100000000*0.24%+400000000*0.19%+(L20-500000000)*0.15%,IF(AND(L20&gt;1000000000,L20&lt;=5000000000),100000000*0.24%+400000000*0.19%+500000000*0.15%+(L20-1000000000)*0.12%,IF(L20&gt;5000000000,100000000*0.24%+400000000*0.19%+500000000*0.15%+4000000000*0.12%+(L20-5000000000)*0.1%,"Bingung komputer"))))),2)</f>
        <v>216216</v>
      </c>
      <c r="E20" s="64" cm="1">
        <f t="array" ref="E20">ROUND(IF(M20&lt;=100000000,M20*0.24%,IF(AND(M20&gt;100000000,M20&lt;=500000000),100000000*0.24%+(M20-100000000)*0.19%,IF(AND(M20&gt;500000000,M20&lt;=1000000000),100000000*0.24%+400000000*0.19%+(M20-500000000)*0.15%,IF(AND(M20&gt;1000000000,M20&lt;=5000000000),100000000*0.24%+400000000*0.19%+500000000*0.15%+(M20-1000000000)*0.12%,IF(M20&gt;5000000000,100000000*0.24%+400000000*0.19%+500000000*0.15%+4000000000*0.12%+(M20-5000000000)*0.1%,"Bingung komputer"))))),2)</f>
        <v>216096</v>
      </c>
      <c r="F20" s="64" cm="1">
        <f t="array" ref="F20">ROUND(IF(N20&lt;=100000000,N20*0.24%,IF(AND(N20&gt;100000000,N20&lt;=500000000),100000000*0.24%+(N20-100000000)*0.19%,IF(AND(N20&gt;500000000,N20&lt;=1000000000),100000000*0.24%+400000000*0.19%+(N20-500000000)*0.15%,IF(AND(N20&gt;1000000000,N20&lt;=5000000000),100000000*0.24%+400000000*0.19%+500000000*0.15%+(N20-1000000000)*0.12%,IF(N20&gt;5000000000,100000000*0.24%+400000000*0.19%+500000000*0.15%+4000000000*0.12%+(N20-5000000000)*0.1%,"Bingung komputer"))))),2)</f>
        <v>216096</v>
      </c>
      <c r="G20" s="65"/>
      <c r="H20" s="66"/>
      <c r="I20" s="62"/>
      <c r="J20" s="67"/>
      <c r="K20" t="str" s="67" cm="1">
        <f t="array" ref="K20">"Jumlah Terkena Pajak "&amp;MAX(K3:K18)&amp;"% (B)"</f>
        <v>Jumlah Terkena Pajak 11,00% (B)</v>
      </c>
      <c r="L20" s="68" cm="1">
        <f t="array" ref="L20">SUMIF($K3:$K18,"&gt;0",L3:L18)</f>
        <v>90090000</v>
      </c>
      <c r="M20" s="68" cm="1">
        <f t="array" ref="M20">SUMIF($K3:$K18,"&gt;0",M3:M18)</f>
        <v>90040000</v>
      </c>
      <c r="N20" s="68" cm="1">
        <f t="array" ref="N20">SUMIF($K3:$K18,"&gt;0",N3:N18)</f>
        <v>90040000</v>
      </c>
      <c r="O20" s="69"/>
    </row>
    <row r="21" ht="21" customHeight="1">
      <c r="A21" s="71"/>
      <c r="B21" s="71"/>
      <c r="C21" s="71"/>
      <c r="D21" s="72"/>
      <c r="E21" s="72"/>
      <c r="F21" s="112">
        <v>28000000</v>
      </c>
      <c r="G21" s="72"/>
      <c r="H21" s="72"/>
      <c r="I21" s="71"/>
      <c r="J21" s="73"/>
      <c r="K21" t="str" s="73" cm="1">
        <f t="array" ref="K21">"PPN (C) = "&amp;MAX(K3:K18)&amp;"% x B"</f>
        <v>PPN (C) = 11,00% x B</v>
      </c>
      <c r="L21" s="74" cm="1">
        <f t="array" ref="L21">L20*MAX($K3:$K18)%</f>
        <v>9909900</v>
      </c>
      <c r="M21" s="74" cm="1">
        <f t="array" ref="M21">M20*MAX($K3:$K18)%</f>
        <v>9904400</v>
      </c>
      <c r="N21" s="74" cm="1">
        <f t="array" ref="N21">N20*MAX($K3:$K18)%</f>
        <v>9904400</v>
      </c>
      <c r="O21" s="69"/>
    </row>
    <row r="22" ht="21" customHeight="1">
      <c r="A22" s="71"/>
      <c r="B22" s="71"/>
      <c r="C22" s="71"/>
      <c r="D22" s="72"/>
      <c r="E22" s="72"/>
      <c r="F22" s="72"/>
      <c r="G22" s="72"/>
      <c r="H22" s="72"/>
      <c r="I22" s="71"/>
      <c r="J22" s="73"/>
      <c r="K22" t="s" s="75">
        <v>42</v>
      </c>
      <c r="L22" s="74" cm="1">
        <f t="array" ref="L22">L19+L21</f>
        <v>99999900</v>
      </c>
      <c r="M22" s="74" cm="1">
        <f t="array" ref="M22">M19+M21</f>
        <v>99944400</v>
      </c>
      <c r="N22" s="74" cm="1">
        <f t="array" ref="N22">N19+N21</f>
        <v>99944400</v>
      </c>
      <c r="O22" s="69"/>
    </row>
    <row r="23" ht="20.5" customHeight="1">
      <c r="A23" s="71"/>
      <c r="B23" s="71"/>
      <c r="C23" s="71"/>
      <c r="D23" s="72"/>
      <c r="E23" s="72"/>
      <c r="F23" s="72"/>
      <c r="G23" s="72"/>
      <c r="H23" s="72"/>
      <c r="I23" s="71"/>
      <c r="J23" s="73"/>
      <c r="K23" t="s" s="75">
        <v>43</v>
      </c>
      <c r="L23" s="74" cm="1">
        <f t="array" ref="L23">ROUNDDOWN(L22,2)</f>
        <v>99999900</v>
      </c>
      <c r="M23" s="74" cm="1">
        <f t="array" ref="M23">ROUNDDOWN(M22,2)</f>
        <v>99944400</v>
      </c>
      <c r="N23" s="74" cm="1">
        <f t="array" ref="N23">ROUNDDOWN(N22,-3)</f>
        <v>99944000</v>
      </c>
      <c r="O23" s="68"/>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23.xml><?xml version="1.0" encoding="utf-8"?>
<worksheet xmlns:r="http://schemas.openxmlformats.org/officeDocument/2006/relationships" xmlns="http://schemas.openxmlformats.org/spreadsheetml/2006/main">
  <sheetPr>
    <pageSetUpPr fitToPage="1"/>
  </sheetPr>
  <dimension ref="A1:N35"/>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317" customWidth="1"/>
    <col min="2" max="2" width="43.0312" style="317" customWidth="1"/>
    <col min="3" max="3" width="2.75" style="317" customWidth="1"/>
    <col min="4" max="6" width="10.3672" style="317" customWidth="1"/>
    <col min="7" max="7" width="11.6875" style="317" customWidth="1"/>
    <col min="8" max="11" width="13.5156" style="317" customWidth="1"/>
    <col min="12" max="14" width="14.2344" style="317" customWidth="1"/>
    <col min="15" max="16384" width="16.3516" style="317"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16</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t="s" s="18">
        <v>17</v>
      </c>
      <c r="B4" t="s" s="19">
        <v>18</v>
      </c>
      <c r="C4" s="20"/>
      <c r="D4" s="21">
        <v>1</v>
      </c>
      <c r="E4" s="21" cm="1">
        <f t="array" ref="E4">D4</f>
        <v>1</v>
      </c>
      <c r="F4" s="21" cm="1">
        <f t="array" ref="F4">D4</f>
        <v>1</v>
      </c>
      <c r="G4" t="s" s="22">
        <v>19</v>
      </c>
      <c r="H4" s="21">
        <v>6842500</v>
      </c>
      <c r="I4" s="21">
        <v>6900000</v>
      </c>
      <c r="J4" s="21">
        <v>6900000</v>
      </c>
      <c r="K4" s="21">
        <v>11</v>
      </c>
      <c r="L4" s="21" cm="1">
        <f t="array" ref="L4">IF(D4&gt;0,IF($D4&lt;=0,0,D4*H4),"")</f>
        <v>6842500</v>
      </c>
      <c r="M4" s="21" cm="1">
        <f t="array" ref="M4">IF(E4&gt;0,IF($D4&lt;=0,0,ROUND(E4*I4,2)),"")</f>
        <v>6900000</v>
      </c>
      <c r="N4" s="23" cm="1">
        <f t="array" ref="N4">IF(F4&gt;0,IF($D4&lt;=0,0,ROUND(F4*J4,2)),"")</f>
        <v>6900000</v>
      </c>
    </row>
    <row r="5" ht="20.5" customHeight="1">
      <c r="A5" t="s" s="18">
        <v>20</v>
      </c>
      <c r="B5" t="s" s="19">
        <v>189</v>
      </c>
      <c r="C5" s="24"/>
      <c r="D5" s="26">
        <v>1</v>
      </c>
      <c r="E5" s="26" cm="1">
        <f t="array" ref="E5">D5</f>
        <v>1</v>
      </c>
      <c r="F5" s="26" cm="1">
        <f t="array" ref="F5">D5</f>
        <v>1</v>
      </c>
      <c r="G5" t="s" s="27">
        <v>19</v>
      </c>
      <c r="H5" s="26">
        <v>660000</v>
      </c>
      <c r="I5" s="26">
        <v>620000</v>
      </c>
      <c r="J5" s="26">
        <v>620000</v>
      </c>
      <c r="K5" s="26">
        <v>11</v>
      </c>
      <c r="L5" s="26" cm="1">
        <f t="array" ref="L5">IF(D5&gt;0,IF($D5&lt;=0,0,D5*H5),"")</f>
        <v>660000</v>
      </c>
      <c r="M5" s="26" cm="1">
        <f t="array" ref="M5">IF(E5&gt;0,IF($D5&lt;=0,0,ROUND(E5*I5,2)),"")</f>
        <v>620000</v>
      </c>
      <c r="N5" s="28" cm="1">
        <f t="array" ref="N5">IF(F5&gt;0,IF($D5&lt;=0,0,ROUND(F5*J5,2)),"")</f>
        <v>620000</v>
      </c>
    </row>
    <row r="6" ht="20.5" customHeight="1">
      <c r="A6" t="s" s="18">
        <v>22</v>
      </c>
      <c r="B6" t="s" s="19">
        <v>23</v>
      </c>
      <c r="C6" s="20"/>
      <c r="D6" s="21">
        <v>1</v>
      </c>
      <c r="E6" s="21" cm="1">
        <f t="array" ref="E6">D6</f>
        <v>1</v>
      </c>
      <c r="F6" s="21" cm="1">
        <f t="array" ref="F6">D6</f>
        <v>1</v>
      </c>
      <c r="G6" t="s" s="22">
        <v>19</v>
      </c>
      <c r="H6" s="21">
        <v>2198000</v>
      </c>
      <c r="I6" s="21">
        <v>2170000</v>
      </c>
      <c r="J6" s="21">
        <v>2170000</v>
      </c>
      <c r="K6" s="21">
        <v>11</v>
      </c>
      <c r="L6" s="21" cm="1">
        <f t="array" ref="L6">IF(D6&gt;0,IF($D6&lt;=0,0,D6*H6),"")</f>
        <v>2198000</v>
      </c>
      <c r="M6" s="21" cm="1">
        <f t="array" ref="M6">IF(E6&gt;0,IF($D6&lt;=0,0,ROUND(E6*I6,2)),"")</f>
        <v>2170000</v>
      </c>
      <c r="N6" s="23" cm="1">
        <f t="array" ref="N6">IF(F6&gt;0,IF($D6&lt;=0,0,ROUND(F6*J6,2)),"")</f>
        <v>2170000</v>
      </c>
    </row>
    <row r="7" ht="20.5" customHeight="1">
      <c r="A7" s="29"/>
      <c r="B7" t="s" s="19">
        <v>28</v>
      </c>
      <c r="C7" s="24"/>
      <c r="D7" s="30"/>
      <c r="E7" s="26"/>
      <c r="F7" s="26"/>
      <c r="G7" s="30"/>
      <c r="H7" s="26"/>
      <c r="I7" s="30"/>
      <c r="J7" s="30"/>
      <c r="K7" s="26"/>
      <c r="L7" t="str" s="30" cm="1">
        <f t="array" ref="L7">IF(D7&gt;0,IF($D7&lt;=0,0,D7*H7),"")</f>
      </c>
      <c r="M7" t="str" s="30" cm="1">
        <f t="array" ref="M7">IF(E7&gt;0,IF($D7&lt;=0,0,ROUND(E7*I7,2)),"")</f>
      </c>
      <c r="N7" t="str" s="31" cm="1">
        <f t="array" ref="N7">IF(F7&gt;0,IF($D7&lt;=0,0,ROUND(F7*J7,2)),"")</f>
      </c>
    </row>
    <row r="8" ht="20.5" customHeight="1">
      <c r="A8" t="s" s="18">
        <v>25</v>
      </c>
      <c r="B8" t="s" s="19">
        <v>26</v>
      </c>
      <c r="C8" s="20"/>
      <c r="D8" s="78">
        <v>222.66</v>
      </c>
      <c r="E8" s="21" cm="1">
        <f t="array" ref="E8">D8</f>
        <v>222.66</v>
      </c>
      <c r="F8" s="21" cm="1">
        <f t="array" ref="F8">D8</f>
        <v>222.66</v>
      </c>
      <c r="G8" t="s" s="22">
        <v>27</v>
      </c>
      <c r="H8" s="21">
        <v>35065.04</v>
      </c>
      <c r="I8" s="21">
        <v>35045.31</v>
      </c>
      <c r="J8" s="21">
        <v>35045.31</v>
      </c>
      <c r="K8" s="21">
        <v>11</v>
      </c>
      <c r="L8" s="21" cm="1">
        <f t="array" ref="L8">IF(D8&gt;0,IF($D8&lt;=0,0,D8*H8),"")</f>
        <v>7807581.8064</v>
      </c>
      <c r="M8" s="21" cm="1">
        <f t="array" ref="M8">IF(E8&gt;0,IF($D8&lt;=0,0,ROUND(E8*I8,2)),"")</f>
        <v>7803188.72</v>
      </c>
      <c r="N8" s="23" cm="1">
        <f t="array" ref="N8">IF(F8&gt;0,IF($D8&lt;=0,0,ROUND(F8*J8,2)),"")</f>
        <v>7803188.72</v>
      </c>
    </row>
    <row r="9" ht="20.5" customHeight="1">
      <c r="A9" s="29"/>
      <c r="B9" t="s" s="19">
        <v>28</v>
      </c>
      <c r="C9" s="24"/>
      <c r="D9" s="30"/>
      <c r="E9" s="26"/>
      <c r="F9" s="26"/>
      <c r="G9" s="30"/>
      <c r="H9" s="26"/>
      <c r="I9" s="30"/>
      <c r="J9" s="30"/>
      <c r="K9" s="26"/>
      <c r="L9" t="str" s="30" cm="1">
        <f t="array" ref="L9">IF(D9&gt;0,IF($D9&lt;=0,0,D9*H9),"")</f>
      </c>
      <c r="M9" t="str" s="30" cm="1">
        <f t="array" ref="M9">IF(E9&gt;0,IF($D9&lt;=0,0,ROUND(E9*I9,2)),"")</f>
      </c>
      <c r="N9" t="str" s="31" cm="1">
        <f t="array" ref="N9">IF(F9&gt;0,IF($D9&lt;=0,0,ROUND(F9*J9,2)),"")</f>
      </c>
    </row>
    <row r="10" ht="20.5" customHeight="1">
      <c r="A10" t="s" s="18">
        <v>29</v>
      </c>
      <c r="B10" t="s" s="19">
        <v>527</v>
      </c>
      <c r="C10" s="20"/>
      <c r="D10" s="78">
        <v>2020</v>
      </c>
      <c r="E10" s="21" cm="1">
        <f t="array" ref="E10">D10</f>
        <v>2020</v>
      </c>
      <c r="F10" s="21" cm="1">
        <f t="array" ref="F10">D10</f>
        <v>2020</v>
      </c>
      <c r="G10" t="s" s="22">
        <v>528</v>
      </c>
      <c r="H10" s="21">
        <v>44543.07</v>
      </c>
      <c r="I10" s="21">
        <v>44531.89</v>
      </c>
      <c r="J10" s="21">
        <v>44531.89</v>
      </c>
      <c r="K10" s="21">
        <v>11</v>
      </c>
      <c r="L10" s="21" cm="1">
        <f t="array" ref="L10">IF(D10&gt;0,IF($D10&lt;=0,0,D10*H10),"")</f>
        <v>89977001.40000001</v>
      </c>
      <c r="M10" s="21" cm="1">
        <f t="array" ref="M10">IF(E10&gt;0,IF($D10&lt;=0,0,ROUND(E10*I10,2)),"")</f>
        <v>89954417.8</v>
      </c>
      <c r="N10" s="23" cm="1">
        <f t="array" ref="N10">IF(F10&gt;0,IF($D10&lt;=0,0,ROUND(F10*J10,2)),"")</f>
        <v>89954417.8</v>
      </c>
    </row>
    <row r="11" ht="20.5" customHeight="1">
      <c r="A11" s="29"/>
      <c r="B11" t="s" s="19">
        <v>529</v>
      </c>
      <c r="C11" s="24"/>
      <c r="D11" s="25">
        <v>42</v>
      </c>
      <c r="E11" s="26" cm="1">
        <f t="array" ref="E11">D11</f>
        <v>42</v>
      </c>
      <c r="F11" s="26" cm="1">
        <f t="array" ref="F11">D11</f>
        <v>42</v>
      </c>
      <c r="G11" t="s" s="27">
        <v>528</v>
      </c>
      <c r="H11" s="26">
        <v>301797.57</v>
      </c>
      <c r="I11" s="26">
        <v>301768.7</v>
      </c>
      <c r="J11" s="26">
        <v>301768.7</v>
      </c>
      <c r="K11" s="26">
        <v>11</v>
      </c>
      <c r="L11" s="26" cm="1">
        <f t="array" ref="L11">IF(D11&gt;0,IF($D11&lt;=0,0,D11*H11),"")</f>
        <v>12675497.94</v>
      </c>
      <c r="M11" s="26" cm="1">
        <f t="array" ref="M11">IF(E11&gt;0,IF($D11&lt;=0,0,ROUND(E11*I11,2)),"")</f>
        <v>12674285.4</v>
      </c>
      <c r="N11" s="28" cm="1">
        <f t="array" ref="N11">IF(F11&gt;0,IF($D11&lt;=0,0,ROUND(F11*J11,2)),"")</f>
        <v>12674285.4</v>
      </c>
    </row>
    <row r="12" ht="20.5" customHeight="1">
      <c r="A12" t="s" s="18">
        <v>33</v>
      </c>
      <c r="B12" t="s" s="19">
        <v>530</v>
      </c>
      <c r="C12" s="20"/>
      <c r="D12" s="78">
        <v>240</v>
      </c>
      <c r="E12" s="21" cm="1">
        <f t="array" ref="E12">D12</f>
        <v>240</v>
      </c>
      <c r="F12" s="21" cm="1">
        <f t="array" ref="F12">D12</f>
        <v>240</v>
      </c>
      <c r="G12" t="s" s="22">
        <v>528</v>
      </c>
      <c r="H12" s="21">
        <v>210450.26</v>
      </c>
      <c r="I12" s="21">
        <v>210430</v>
      </c>
      <c r="J12" s="21">
        <v>210430</v>
      </c>
      <c r="K12" s="21">
        <v>11</v>
      </c>
      <c r="L12" s="21" cm="1">
        <f t="array" ref="L12">IF(D12&gt;0,IF($D12&lt;=0,0,D12*H12),"")</f>
        <v>50508062.4</v>
      </c>
      <c r="M12" s="21" cm="1">
        <f t="array" ref="M12">IF(E12&gt;0,IF($D12&lt;=0,0,ROUND(E12*I12,2)),"")</f>
        <v>50503200</v>
      </c>
      <c r="N12" s="23" cm="1">
        <f t="array" ref="N12">IF(F12&gt;0,IF($D12&lt;=0,0,ROUND(F12*J12,2)),"")</f>
        <v>50503200</v>
      </c>
    </row>
    <row r="13" ht="20.5" customHeight="1">
      <c r="A13" s="29"/>
      <c r="B13" t="s" s="19">
        <v>36</v>
      </c>
      <c r="C13" s="24"/>
      <c r="D13" s="26"/>
      <c r="E13" s="26"/>
      <c r="F13" s="26"/>
      <c r="G13" s="30"/>
      <c r="H13" s="30"/>
      <c r="I13" s="30"/>
      <c r="J13" s="30"/>
      <c r="K13" s="26"/>
      <c r="L13" t="str" s="30" cm="1">
        <f t="array" ref="L13">IF(D13&gt;0,IF($D13&lt;=0,0,D13*H14),"")</f>
      </c>
      <c r="M13" s="26"/>
      <c r="N13" s="28"/>
    </row>
    <row r="14" ht="20.6" customHeight="1">
      <c r="A14" s="33">
        <v>1</v>
      </c>
      <c r="B14" t="s" s="34">
        <v>37</v>
      </c>
      <c r="C14" s="35"/>
      <c r="D14" s="36">
        <v>1</v>
      </c>
      <c r="E14" s="36" cm="1">
        <f t="array" ref="E14">D14</f>
        <v>1</v>
      </c>
      <c r="F14" s="36" cm="1">
        <f t="array" ref="F14">D14</f>
        <v>1</v>
      </c>
      <c r="G14" t="s" s="37">
        <v>19</v>
      </c>
      <c r="H14" s="131">
        <v>374270.16</v>
      </c>
      <c r="I14" s="36">
        <v>374187.42</v>
      </c>
      <c r="J14" s="36">
        <v>374187.42</v>
      </c>
      <c r="K14" s="36">
        <v>0</v>
      </c>
      <c r="L14" s="36" cm="1">
        <f t="array" ref="L14">IF(D14&gt;0,IF($D14&lt;=0,0,D14*H14),"")</f>
        <v>374270.16</v>
      </c>
      <c r="M14" s="36" cm="1">
        <f t="array" ref="M14">IF(E14&gt;0,IF($D14&lt;=0,0,ROUND(E14*I14,2)),"")</f>
        <v>374187.42</v>
      </c>
      <c r="N14" s="38" cm="1">
        <f t="array" ref="N14">IF(F14&gt;0,IF($D14&lt;=0,0,ROUND(F14*J14,2)),"")</f>
        <v>374187.42</v>
      </c>
    </row>
    <row r="15" ht="8.75" customHeight="1" hidden="1">
      <c r="A15" s="39"/>
      <c r="B15" s="40"/>
      <c r="C15" s="41"/>
      <c r="D15" s="42"/>
      <c r="E15" s="42"/>
      <c r="F15" s="42"/>
      <c r="G15" s="43"/>
      <c r="H15" s="42"/>
      <c r="I15" s="42"/>
      <c r="J15" s="42"/>
      <c r="K15" s="42"/>
      <c r="L15" s="42"/>
      <c r="M15" s="42"/>
      <c r="N15" s="44"/>
    </row>
    <row r="16" ht="8.75" customHeight="1" hidden="1">
      <c r="A16" s="39"/>
      <c r="B16" s="40"/>
      <c r="C16" s="45"/>
      <c r="D16" s="46"/>
      <c r="E16" s="46"/>
      <c r="F16" s="46"/>
      <c r="G16" s="47"/>
      <c r="H16" s="46"/>
      <c r="I16" s="46"/>
      <c r="J16" s="46"/>
      <c r="K16" s="46"/>
      <c r="L16" s="46"/>
      <c r="M16" s="46"/>
      <c r="N16" s="48"/>
    </row>
    <row r="17" ht="8.75" customHeight="1" hidden="1">
      <c r="A17" s="39"/>
      <c r="B17" s="40"/>
      <c r="C17" s="41"/>
      <c r="D17" s="42"/>
      <c r="E17" s="42"/>
      <c r="F17" s="42"/>
      <c r="G17" s="43"/>
      <c r="H17" s="42"/>
      <c r="I17" s="42"/>
      <c r="J17" s="42"/>
      <c r="K17" s="42"/>
      <c r="L17" s="42"/>
      <c r="M17" s="42"/>
      <c r="N17" s="44"/>
    </row>
    <row r="18" ht="8.75" customHeight="1" hidden="1">
      <c r="A18" s="39"/>
      <c r="B18" s="40"/>
      <c r="C18" s="45"/>
      <c r="D18" s="46"/>
      <c r="E18" s="46"/>
      <c r="F18" s="46"/>
      <c r="G18" s="47"/>
      <c r="H18" s="46"/>
      <c r="I18" s="46"/>
      <c r="J18" s="46"/>
      <c r="K18" s="46"/>
      <c r="L18" s="46"/>
      <c r="M18" s="46"/>
      <c r="N18" s="48"/>
    </row>
    <row r="19" ht="8.75" customHeight="1" hidden="1">
      <c r="A19" s="39"/>
      <c r="B19" s="40"/>
      <c r="C19" s="41"/>
      <c r="D19" s="42"/>
      <c r="E19" s="42"/>
      <c r="F19" s="42"/>
      <c r="G19" s="43"/>
      <c r="H19" s="42"/>
      <c r="I19" s="42"/>
      <c r="J19" s="42"/>
      <c r="K19" s="42"/>
      <c r="L19" s="42"/>
      <c r="M19" s="42"/>
      <c r="N19" s="44"/>
    </row>
    <row r="20" ht="8.75" customHeight="1" hidden="1">
      <c r="A20" s="39"/>
      <c r="B20" s="40"/>
      <c r="C20" s="45"/>
      <c r="D20" s="46"/>
      <c r="E20" s="46"/>
      <c r="F20" s="46"/>
      <c r="G20" s="47"/>
      <c r="H20" s="46"/>
      <c r="I20" s="46"/>
      <c r="J20" s="46"/>
      <c r="K20" s="46"/>
      <c r="L20" s="46"/>
      <c r="M20" s="46"/>
      <c r="N20" s="48"/>
    </row>
    <row r="21" ht="8.75" customHeight="1" hidden="1">
      <c r="A21" s="39"/>
      <c r="B21" s="40"/>
      <c r="C21" s="41"/>
      <c r="D21" s="42"/>
      <c r="E21" s="42"/>
      <c r="F21" s="42"/>
      <c r="G21" s="43"/>
      <c r="H21" s="43"/>
      <c r="I21" s="43"/>
      <c r="J21" s="43"/>
      <c r="K21" s="42"/>
      <c r="L21" s="43"/>
      <c r="M21" s="43"/>
      <c r="N21" s="49"/>
    </row>
    <row r="22" ht="8.75" customHeight="1" hidden="1">
      <c r="A22" s="39"/>
      <c r="B22" s="40"/>
      <c r="C22" s="45"/>
      <c r="D22" s="46"/>
      <c r="E22" s="46"/>
      <c r="F22" s="46"/>
      <c r="G22" s="47"/>
      <c r="H22" s="50"/>
      <c r="I22" s="50"/>
      <c r="J22" s="50"/>
      <c r="K22" s="46"/>
      <c r="L22" s="46"/>
      <c r="M22" s="46"/>
      <c r="N22" s="48"/>
    </row>
    <row r="23" ht="8.75" customHeight="1" hidden="1">
      <c r="A23" s="39"/>
      <c r="B23" s="40"/>
      <c r="C23" s="41"/>
      <c r="D23" s="42"/>
      <c r="E23" s="42"/>
      <c r="F23" s="42"/>
      <c r="G23" s="43"/>
      <c r="H23" s="43"/>
      <c r="I23" s="43"/>
      <c r="J23" s="43"/>
      <c r="K23" s="42"/>
      <c r="L23" s="43"/>
      <c r="M23" s="43"/>
      <c r="N23" s="49"/>
    </row>
    <row r="24" ht="8.75" customHeight="1" hidden="1">
      <c r="A24" s="39"/>
      <c r="B24" s="40"/>
      <c r="C24" s="45"/>
      <c r="D24" s="46"/>
      <c r="E24" s="46"/>
      <c r="F24" s="46"/>
      <c r="G24" s="47"/>
      <c r="H24" s="46"/>
      <c r="I24" s="46"/>
      <c r="J24" s="46"/>
      <c r="K24" s="46"/>
      <c r="L24" s="46"/>
      <c r="M24" s="46"/>
      <c r="N24" s="48"/>
    </row>
    <row r="25" ht="8.75" customHeight="1" hidden="1">
      <c r="A25" s="39"/>
      <c r="B25" s="40"/>
      <c r="C25" s="41"/>
      <c r="D25" s="42"/>
      <c r="E25" s="42"/>
      <c r="F25" s="42"/>
      <c r="G25" s="43"/>
      <c r="H25" s="42"/>
      <c r="I25" s="42"/>
      <c r="J25" s="42"/>
      <c r="K25" s="42"/>
      <c r="L25" s="42"/>
      <c r="M25" s="42"/>
      <c r="N25" s="44"/>
    </row>
    <row r="26" ht="8.75" customHeight="1" hidden="1">
      <c r="A26" s="51"/>
      <c r="B26" s="40"/>
      <c r="C26" s="45"/>
      <c r="D26" s="46"/>
      <c r="E26" s="46"/>
      <c r="F26" s="46"/>
      <c r="G26" s="47"/>
      <c r="H26" s="46"/>
      <c r="I26" s="46"/>
      <c r="J26" s="46"/>
      <c r="K26" s="46"/>
      <c r="L26" s="46"/>
      <c r="M26" s="46"/>
      <c r="N26" s="48"/>
    </row>
    <row r="27" ht="8.75" customHeight="1" hidden="1">
      <c r="A27" s="51"/>
      <c r="B27" s="40"/>
      <c r="C27" s="41"/>
      <c r="D27" s="42"/>
      <c r="E27" s="42"/>
      <c r="F27" s="42"/>
      <c r="G27" s="43"/>
      <c r="H27" s="42"/>
      <c r="I27" s="42"/>
      <c r="J27" s="42"/>
      <c r="K27" s="42"/>
      <c r="L27" s="42"/>
      <c r="M27" s="42"/>
      <c r="N27" s="44"/>
    </row>
    <row r="28" ht="8.75" customHeight="1" hidden="1">
      <c r="A28" s="39"/>
      <c r="B28" s="40"/>
      <c r="C28" s="45"/>
      <c r="D28" s="46"/>
      <c r="E28" s="46"/>
      <c r="F28" s="46"/>
      <c r="G28" s="47"/>
      <c r="H28" s="46"/>
      <c r="I28" s="46"/>
      <c r="J28" s="46"/>
      <c r="K28" s="46"/>
      <c r="L28" s="47"/>
      <c r="M28" s="47"/>
      <c r="N28" s="52"/>
    </row>
    <row r="29" ht="8.75" customHeight="1" hidden="1">
      <c r="A29" s="39"/>
      <c r="B29" s="40"/>
      <c r="C29" s="41"/>
      <c r="D29" s="42"/>
      <c r="E29" s="42"/>
      <c r="F29" s="42"/>
      <c r="G29" s="43"/>
      <c r="H29" s="42"/>
      <c r="I29" s="42"/>
      <c r="J29" s="42"/>
      <c r="K29" s="42"/>
      <c r="L29" s="42"/>
      <c r="M29" s="42"/>
      <c r="N29" s="44"/>
    </row>
    <row r="30" ht="8.75" customHeight="1" hidden="1">
      <c r="A30" s="39"/>
      <c r="B30" s="40"/>
      <c r="C30" s="45"/>
      <c r="D30" s="46"/>
      <c r="E30" s="46"/>
      <c r="F30" s="46"/>
      <c r="G30" s="47"/>
      <c r="H30" s="46"/>
      <c r="I30" s="46"/>
      <c r="J30" s="46"/>
      <c r="K30" s="46"/>
      <c r="L30" s="47"/>
      <c r="M30" s="47"/>
      <c r="N30" s="52"/>
    </row>
    <row r="31" ht="20.85" customHeight="1">
      <c r="A31" s="53"/>
      <c r="B31" s="54"/>
      <c r="C31" s="54"/>
      <c r="D31" s="55"/>
      <c r="E31" s="55"/>
      <c r="F31" s="55"/>
      <c r="G31" s="56"/>
      <c r="H31" s="56"/>
      <c r="I31" s="54"/>
      <c r="J31" s="57"/>
      <c r="K31" t="s" s="58">
        <v>38</v>
      </c>
      <c r="L31" s="59" cm="1">
        <f t="array" ref="L31">SUM(L1:L30)</f>
        <v>171042913.7064</v>
      </c>
      <c r="M31" s="59" cm="1">
        <f t="array" ref="M31">SUM(M1:M30)</f>
        <v>170999279.34</v>
      </c>
      <c r="N31" s="59" cm="1">
        <f t="array" ref="N31">SUM(N1:N30)</f>
        <v>170999279.34</v>
      </c>
    </row>
    <row r="32" ht="21" customHeight="1">
      <c r="A32" s="60"/>
      <c r="B32" t="s" s="61">
        <v>39</v>
      </c>
      <c r="C32" s="62"/>
      <c r="D32" s="63" cm="1">
        <f t="array" ref="D32">ROUND(IF(L32&lt;=100000000,L32*0.24%,IF(AND(L32&gt;100000000,L32&lt;=500000000),100000000*0.24%+(L32-100000000)*0.19%,IF(AND(L32&gt;500000000,L32&lt;=1000000000),100000000*0.24%+400000000*0.19%+(L32-500000000)*0.15%,IF(AND(L32&gt;1000000000,L32&lt;=5000000000),100000000*0.24%+400000000*0.19%+500000000*0.15%+(L32-1000000000)*0.12%,IF(L32&gt;5000000000,100000000*0.24%+400000000*0.19%+500000000*0.15%+4000000000*0.12%+(L32-5000000000)*0.1%,"Bingung komputer"))))),2)</f>
        <v>374270.42</v>
      </c>
      <c r="E32" s="64" cm="1">
        <f t="array" ref="E32">ROUND(IF(M32&lt;=100000000,M32*0.24%,IF(AND(M32&gt;100000000,M32&lt;=500000000),100000000*0.24%+(M32-100000000)*0.19%,IF(AND(M32&gt;500000000,M32&lt;=1000000000),100000000*0.24%+400000000*0.19%+(M32-500000000)*0.15%,IF(AND(M32&gt;1000000000,M32&lt;=5000000000),100000000*0.24%+400000000*0.19%+500000000*0.15%+(M32-1000000000)*0.12%,IF(M32&gt;5000000000,100000000*0.24%+400000000*0.19%+500000000*0.15%+4000000000*0.12%+(M32-5000000000)*0.1%,"Bingung komputer"))))),2)</f>
        <v>374187.67</v>
      </c>
      <c r="F32" s="64" cm="1">
        <f t="array" ref="F32">ROUND(IF(N32&lt;=100000000,N32*0.24%,IF(AND(N32&gt;100000000,N32&lt;=500000000),100000000*0.24%+(N32-100000000)*0.19%,IF(AND(N32&gt;500000000,N32&lt;=1000000000),100000000*0.24%+400000000*0.19%+(N32-500000000)*0.15%,IF(AND(N32&gt;1000000000,N32&lt;=5000000000),100000000*0.24%+400000000*0.19%+500000000*0.15%+(N32-1000000000)*0.12%,IF(N32&gt;5000000000,100000000*0.24%+400000000*0.19%+500000000*0.15%+4000000000*0.12%+(N32-5000000000)*0.1%,"Bingung komputer"))))),2)</f>
        <v>374187.67</v>
      </c>
      <c r="G32" s="65"/>
      <c r="H32" s="66"/>
      <c r="I32" s="62"/>
      <c r="J32" s="67"/>
      <c r="K32" t="str" s="67" cm="1">
        <f t="array" ref="K32">"Jumlah Terkena Pajak "&amp;MAX(K3:K30)&amp;"% (B)"</f>
        <v>Jumlah Terkena Pajak 11,00% (B)</v>
      </c>
      <c r="L32" s="68" cm="1">
        <f t="array" ref="L32">SUMIF($K3:$K30,"&gt;0",L3:L30)</f>
        <v>170668643.5464</v>
      </c>
      <c r="M32" s="69" cm="1">
        <f t="array" ref="M32">SUMIF($K3:$K30,"&gt;0",M3:M30)</f>
        <v>170625091.92</v>
      </c>
      <c r="N32" s="69" cm="1">
        <f t="array" ref="N32">SUMIF($K3:$K30,"&gt;0",N3:N30)</f>
        <v>170625091.92</v>
      </c>
    </row>
    <row r="33" ht="21" customHeight="1">
      <c r="A33" s="70"/>
      <c r="B33" s="71"/>
      <c r="C33" s="71"/>
      <c r="D33" s="72"/>
      <c r="E33" s="72"/>
      <c r="F33" s="71"/>
      <c r="G33" s="72"/>
      <c r="H33" s="72"/>
      <c r="I33" s="71"/>
      <c r="J33" s="73"/>
      <c r="K33" t="str" s="73" cm="1">
        <f t="array" ref="K33">"PPN (C) = "&amp;MAX(K3:K30)&amp;"% x B"</f>
        <v>PPN (C) = 11,00% x B</v>
      </c>
      <c r="L33" s="74" cm="1">
        <f t="array" ref="L33">L32*MAX($K3:$K30)%</f>
        <v>18773550.790104</v>
      </c>
      <c r="M33" s="69" cm="1">
        <f t="array" ref="M33">M32*MAX($K3:$K30)%</f>
        <v>18768760.1112</v>
      </c>
      <c r="N33" s="69" cm="1">
        <f t="array" ref="N33">N32*MAX($K3:$K30)%</f>
        <v>18768760.1112</v>
      </c>
    </row>
    <row r="34" ht="21" customHeight="1">
      <c r="A34" s="70"/>
      <c r="B34" s="71"/>
      <c r="C34" s="71"/>
      <c r="D34" s="72"/>
      <c r="E34" s="72"/>
      <c r="F34" s="72"/>
      <c r="G34" s="72"/>
      <c r="H34" s="72"/>
      <c r="I34" s="71"/>
      <c r="J34" s="73"/>
      <c r="K34" t="s" s="75">
        <v>42</v>
      </c>
      <c r="L34" s="76" cm="1">
        <f t="array" ref="L34">L31+L33</f>
        <v>189816464.496504</v>
      </c>
      <c r="M34" s="69" cm="1">
        <f t="array" ref="M34">M31+M33</f>
        <v>189768039.4512</v>
      </c>
      <c r="N34" s="69" cm="1">
        <f t="array" ref="N34">N31+N33</f>
        <v>189768039.4512</v>
      </c>
    </row>
    <row r="35" ht="20.5" customHeight="1">
      <c r="A35" s="70"/>
      <c r="B35" s="71"/>
      <c r="C35" s="71"/>
      <c r="D35" s="72"/>
      <c r="E35" s="72"/>
      <c r="F35" s="72"/>
      <c r="G35" s="72"/>
      <c r="H35" s="72"/>
      <c r="I35" s="71"/>
      <c r="J35" s="73"/>
      <c r="K35" t="s" s="75">
        <v>43</v>
      </c>
      <c r="L35" s="68" cm="1">
        <f t="array" ref="L35">ROUNDDOWN(L34,2)</f>
        <v>189816464.49</v>
      </c>
      <c r="M35" s="68" cm="1">
        <f t="array" ref="M35">ROUNDDOWN(M34,2)</f>
        <v>189768039.45</v>
      </c>
      <c r="N35" s="68" cm="1">
        <f t="array" ref="N35">ROUNDDOWN(N34,-3)</f>
        <v>189768000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24.xml><?xml version="1.0" encoding="utf-8"?>
<worksheet xmlns:r="http://schemas.openxmlformats.org/officeDocument/2006/relationships" xmlns="http://schemas.openxmlformats.org/spreadsheetml/2006/main">
  <sheetPr>
    <pageSetUpPr fitToPage="1"/>
  </sheetPr>
  <dimension ref="A1:N32"/>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318" customWidth="1"/>
    <col min="2" max="2" width="43.0312" style="318" customWidth="1"/>
    <col min="3" max="3" width="2.75" style="318" customWidth="1"/>
    <col min="4" max="6" width="10.3672" style="318" customWidth="1"/>
    <col min="7" max="7" width="11.6875" style="318" customWidth="1"/>
    <col min="8" max="11" width="13.5156" style="318" customWidth="1"/>
    <col min="12" max="14" width="14.2344" style="318" customWidth="1"/>
    <col min="15" max="16384" width="16.3516" style="318"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16</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t="s" s="18">
        <v>17</v>
      </c>
      <c r="B4" t="s" s="19">
        <v>18</v>
      </c>
      <c r="C4" s="20"/>
      <c r="D4" s="21">
        <v>1</v>
      </c>
      <c r="E4" s="21" cm="1">
        <f t="array" ref="E4">D4</f>
        <v>1</v>
      </c>
      <c r="F4" s="21" cm="1">
        <f t="array" ref="F4">D4</f>
        <v>1</v>
      </c>
      <c r="G4" t="s" s="22">
        <v>19</v>
      </c>
      <c r="H4" s="21">
        <v>11776000</v>
      </c>
      <c r="I4" s="21">
        <v>11580500</v>
      </c>
      <c r="J4" s="21">
        <v>11580500</v>
      </c>
      <c r="K4" s="21">
        <v>11</v>
      </c>
      <c r="L4" s="21" cm="1">
        <f t="array" ref="L4">IF(D4&gt;0,IF($D4&lt;=0,0,D4*H4),"")</f>
        <v>11776000</v>
      </c>
      <c r="M4" s="21" cm="1">
        <f t="array" ref="M4">IF(E4&gt;0,IF($D4&lt;=0,0,ROUND(E4*I4,2)),"")</f>
        <v>11580500</v>
      </c>
      <c r="N4" s="23" cm="1">
        <f t="array" ref="N4">IF(F4&gt;0,IF($D4&lt;=0,0,ROUND(F4*J4,2)),"")</f>
        <v>11580500</v>
      </c>
    </row>
    <row r="5" ht="20.5" customHeight="1">
      <c r="A5" t="s" s="18">
        <v>20</v>
      </c>
      <c r="B5" t="s" s="19">
        <v>21</v>
      </c>
      <c r="C5" s="24"/>
      <c r="D5" s="25">
        <v>1</v>
      </c>
      <c r="E5" s="26" cm="1">
        <f t="array" ref="E5">D5</f>
        <v>1</v>
      </c>
      <c r="F5" s="26" cm="1">
        <f t="array" ref="F5">D5</f>
        <v>1</v>
      </c>
      <c r="G5" t="s" s="27">
        <v>19</v>
      </c>
      <c r="H5" s="26">
        <v>660000</v>
      </c>
      <c r="I5" s="26">
        <v>620000</v>
      </c>
      <c r="J5" s="26">
        <v>620000</v>
      </c>
      <c r="K5" s="26">
        <v>11</v>
      </c>
      <c r="L5" s="26" cm="1">
        <f t="array" ref="L5">IF(D5&gt;0,IF($D5&lt;=0,0,D5*H5),"")</f>
        <v>660000</v>
      </c>
      <c r="M5" s="26" cm="1">
        <f t="array" ref="M5">IF(E5&gt;0,IF($D5&lt;=0,0,ROUND(E5*I5,2)),"")</f>
        <v>620000</v>
      </c>
      <c r="N5" s="28" cm="1">
        <f t="array" ref="N5">IF(F5&gt;0,IF($D5&lt;=0,0,ROUND(F5*J5,2)),"")</f>
        <v>620000</v>
      </c>
    </row>
    <row r="6" ht="20.5" customHeight="1">
      <c r="A6" t="s" s="18">
        <v>22</v>
      </c>
      <c r="B6" t="s" s="19">
        <v>23</v>
      </c>
      <c r="C6" s="20"/>
      <c r="D6" s="21">
        <v>1</v>
      </c>
      <c r="E6" s="21" cm="1">
        <f t="array" ref="E6">D6</f>
        <v>1</v>
      </c>
      <c r="F6" s="21" cm="1">
        <f t="array" ref="F6">D6</f>
        <v>1</v>
      </c>
      <c r="G6" t="s" s="22">
        <v>19</v>
      </c>
      <c r="H6" s="21">
        <v>2731000</v>
      </c>
      <c r="I6" s="21">
        <v>2711000</v>
      </c>
      <c r="J6" s="21">
        <v>2711000</v>
      </c>
      <c r="K6" s="21">
        <v>11</v>
      </c>
      <c r="L6" s="21" cm="1">
        <f t="array" ref="L6">IF(D6&gt;0,IF($D6&lt;=0,0,D6*H6),"")</f>
        <v>2731000</v>
      </c>
      <c r="M6" s="21" cm="1">
        <f t="array" ref="M6">IF(E6&gt;0,IF($D6&lt;=0,0,ROUND(E6*I6,2)),"")</f>
        <v>2711000</v>
      </c>
      <c r="N6" s="23" cm="1">
        <f t="array" ref="N6">IF(F6&gt;0,IF($D6&lt;=0,0,ROUND(F6*J6,2)),"")</f>
        <v>2711000</v>
      </c>
    </row>
    <row r="7" ht="20.5" customHeight="1">
      <c r="A7" s="29"/>
      <c r="B7" t="s" s="19">
        <v>28</v>
      </c>
      <c r="C7" s="24"/>
      <c r="D7" s="30"/>
      <c r="E7" s="26"/>
      <c r="F7" s="26"/>
      <c r="G7" s="30"/>
      <c r="H7" s="26"/>
      <c r="I7" s="26"/>
      <c r="J7" s="26"/>
      <c r="K7" s="26"/>
      <c r="L7" t="str" s="30" cm="1">
        <f t="array" ref="L7">IF(D7&gt;0,IF($D7&lt;=0,0,D7*H7),"")</f>
      </c>
      <c r="M7" t="str" s="30" cm="1">
        <f t="array" ref="M7">IF(E7&gt;0,IF($D7&lt;=0,0,ROUND(E7*I7,2)),"")</f>
      </c>
      <c r="N7" t="str" s="31" cm="1">
        <f t="array" ref="N7">IF(F7&gt;0,IF($D7&lt;=0,0,ROUND(F7*J7,2)),"")</f>
      </c>
    </row>
    <row r="8" ht="20.5" customHeight="1">
      <c r="A8" t="s" s="18">
        <v>31</v>
      </c>
      <c r="B8" t="s" s="19">
        <v>32</v>
      </c>
      <c r="C8" s="20"/>
      <c r="D8" s="78">
        <v>192</v>
      </c>
      <c r="E8" s="21" cm="1">
        <f t="array" ref="E8">D8</f>
        <v>192</v>
      </c>
      <c r="F8" s="21" cm="1">
        <f t="array" ref="F8">E8</f>
        <v>192</v>
      </c>
      <c r="G8" t="s" s="22">
        <v>27</v>
      </c>
      <c r="H8" s="21">
        <v>270267.17</v>
      </c>
      <c r="I8" s="32">
        <v>270265.66</v>
      </c>
      <c r="J8" s="32">
        <v>270265.66</v>
      </c>
      <c r="K8" s="21">
        <v>11</v>
      </c>
      <c r="L8" s="21" cm="1">
        <f t="array" ref="L8">IF(D8&gt;0,IF($D8&lt;=0,0,D8*H8),"")</f>
        <v>51891296.64</v>
      </c>
      <c r="M8" s="21" cm="1">
        <f t="array" ref="M8">IF(E8&gt;0,IF($D8&lt;=0,0,ROUND(E8*I8,2)),"")</f>
        <v>51891006.72</v>
      </c>
      <c r="N8" s="23" cm="1">
        <f t="array" ref="N8">IF(F8&gt;0,IF($D8&lt;=0,0,ROUND(F8*J8,2)),"")</f>
        <v>51891006.72</v>
      </c>
    </row>
    <row r="9" ht="20.5" customHeight="1">
      <c r="A9" t="s" s="18">
        <v>33</v>
      </c>
      <c r="B9" t="s" s="19">
        <v>34</v>
      </c>
      <c r="C9" s="24"/>
      <c r="D9" s="26">
        <v>1600</v>
      </c>
      <c r="E9" s="26" cm="1">
        <f t="array" ref="E9">D9</f>
        <v>1600</v>
      </c>
      <c r="F9" s="26" cm="1">
        <f t="array" ref="F9">E9</f>
        <v>1600</v>
      </c>
      <c r="G9" t="s" s="27">
        <v>35</v>
      </c>
      <c r="H9" s="26">
        <v>2996.59</v>
      </c>
      <c r="I9" s="122">
        <v>2996.31</v>
      </c>
      <c r="J9" s="122">
        <v>2996.31</v>
      </c>
      <c r="K9" s="26">
        <v>11</v>
      </c>
      <c r="L9" s="26" cm="1">
        <f t="array" ref="L9">IF(D9&gt;0,IF($D9&lt;=0,0,D9*H9),"")</f>
        <v>4794544</v>
      </c>
      <c r="M9" s="26" cm="1">
        <f t="array" ref="M9">IF(E9&gt;0,IF($D9&lt;=0,0,ROUND(E9*I9,2)),"")</f>
        <v>4794096</v>
      </c>
      <c r="N9" s="28" cm="1">
        <f t="array" ref="N9">IF(F9&gt;0,IF($D9&lt;=0,0,ROUND(F9*J9,2)),"")</f>
        <v>4794096</v>
      </c>
    </row>
    <row r="10" ht="20.5" customHeight="1">
      <c r="A10" s="29"/>
      <c r="B10" t="s" s="19">
        <v>36</v>
      </c>
      <c r="C10" s="20"/>
      <c r="D10" s="21"/>
      <c r="E10" s="21"/>
      <c r="F10" s="21"/>
      <c r="G10" s="79"/>
      <c r="H10" s="21"/>
      <c r="I10" s="21"/>
      <c r="J10" s="21"/>
      <c r="K10" s="21"/>
      <c r="L10" t="str" s="79" cm="1">
        <f t="array" ref="L10">IF(D10&gt;0,IF($D10&lt;=0,0,D10*H10),"")</f>
      </c>
      <c r="M10" s="21"/>
      <c r="N10" s="23"/>
    </row>
    <row r="11" ht="20.6" customHeight="1">
      <c r="A11" s="33">
        <v>1</v>
      </c>
      <c r="B11" t="s" s="34">
        <v>37</v>
      </c>
      <c r="C11" s="80"/>
      <c r="D11" s="81">
        <v>1</v>
      </c>
      <c r="E11" s="81" cm="1">
        <f t="array" ref="E11">D11</f>
        <v>1</v>
      </c>
      <c r="F11" s="81" cm="1">
        <f t="array" ref="F11">D11</f>
        <v>1</v>
      </c>
      <c r="G11" t="s" s="82">
        <v>19</v>
      </c>
      <c r="H11" s="308">
        <v>186520.39</v>
      </c>
      <c r="I11" s="308">
        <v>186033.53</v>
      </c>
      <c r="J11" s="308">
        <v>186033.53</v>
      </c>
      <c r="K11" s="81">
        <v>0</v>
      </c>
      <c r="L11" s="81" cm="1">
        <f t="array" ref="L11">IF(D11&gt;0,IF($D11&lt;=0,0,D11*H11),"")</f>
        <v>186520.39</v>
      </c>
      <c r="M11" s="81" cm="1">
        <f t="array" ref="M11">IF(E11&gt;0,IF($D11&lt;=0,0,ROUND(E11*I11,2)),"")</f>
        <v>186033.53</v>
      </c>
      <c r="N11" s="83" cm="1">
        <f t="array" ref="N11">IF(F11&gt;0,IF($D11&lt;=0,0,ROUND(F11*J11,2)),"")</f>
        <v>186033.53</v>
      </c>
    </row>
    <row r="12" ht="8.75" customHeight="1" hidden="1">
      <c r="A12" s="39"/>
      <c r="B12" s="40"/>
      <c r="C12" s="45"/>
      <c r="D12" s="46"/>
      <c r="E12" s="46"/>
      <c r="F12" s="46"/>
      <c r="G12" s="47"/>
      <c r="H12" s="46"/>
      <c r="I12" s="46"/>
      <c r="J12" s="46"/>
      <c r="K12" s="46"/>
      <c r="L12" s="46"/>
      <c r="M12" s="46"/>
      <c r="N12" s="48"/>
    </row>
    <row r="13" ht="8.75" customHeight="1" hidden="1">
      <c r="A13" s="39"/>
      <c r="B13" s="40"/>
      <c r="C13" s="41"/>
      <c r="D13" s="42"/>
      <c r="E13" s="42"/>
      <c r="F13" s="42"/>
      <c r="G13" s="43"/>
      <c r="H13" s="42"/>
      <c r="I13" s="42"/>
      <c r="J13" s="42"/>
      <c r="K13" s="42"/>
      <c r="L13" s="42"/>
      <c r="M13" s="42"/>
      <c r="N13" s="44"/>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2"/>
      <c r="I15" s="42"/>
      <c r="J15" s="42"/>
      <c r="K15" s="42"/>
      <c r="L15" s="42"/>
      <c r="M15" s="42"/>
      <c r="N15" s="44"/>
    </row>
    <row r="16" ht="8.75" customHeight="1" hidden="1">
      <c r="A16" s="39"/>
      <c r="B16" s="40"/>
      <c r="C16" s="45"/>
      <c r="D16" s="46"/>
      <c r="E16" s="46"/>
      <c r="F16" s="46"/>
      <c r="G16" s="47"/>
      <c r="H16" s="46"/>
      <c r="I16" s="46"/>
      <c r="J16" s="46"/>
      <c r="K16" s="46"/>
      <c r="L16" s="46"/>
      <c r="M16" s="46"/>
      <c r="N16" s="48"/>
    </row>
    <row r="17" ht="8.75" customHeight="1" hidden="1">
      <c r="A17" s="39"/>
      <c r="B17" s="40"/>
      <c r="C17" s="41"/>
      <c r="D17" s="42"/>
      <c r="E17" s="42"/>
      <c r="F17" s="42"/>
      <c r="G17" s="43"/>
      <c r="H17" s="42"/>
      <c r="I17" s="42"/>
      <c r="J17" s="42"/>
      <c r="K17" s="42"/>
      <c r="L17" s="42"/>
      <c r="M17" s="42"/>
      <c r="N17" s="44"/>
    </row>
    <row r="18" ht="8.75" customHeight="1" hidden="1">
      <c r="A18" s="39"/>
      <c r="B18" s="40"/>
      <c r="C18" s="45"/>
      <c r="D18" s="46"/>
      <c r="E18" s="46"/>
      <c r="F18" s="46"/>
      <c r="G18" s="47"/>
      <c r="H18" s="47"/>
      <c r="I18" s="47"/>
      <c r="J18" s="47"/>
      <c r="K18" s="46"/>
      <c r="L18" s="47"/>
      <c r="M18" s="47"/>
      <c r="N18" s="52"/>
    </row>
    <row r="19" ht="8.75" customHeight="1" hidden="1">
      <c r="A19" s="39"/>
      <c r="B19" s="40"/>
      <c r="C19" s="41"/>
      <c r="D19" s="42"/>
      <c r="E19" s="42"/>
      <c r="F19" s="42"/>
      <c r="G19" s="43"/>
      <c r="H19" s="84"/>
      <c r="I19" s="84"/>
      <c r="J19" s="84"/>
      <c r="K19" s="42"/>
      <c r="L19" s="42"/>
      <c r="M19" s="42"/>
      <c r="N19" s="44"/>
    </row>
    <row r="20" ht="8.75" customHeight="1" hidden="1">
      <c r="A20" s="39"/>
      <c r="B20" s="40"/>
      <c r="C20" s="45"/>
      <c r="D20" s="46"/>
      <c r="E20" s="46"/>
      <c r="F20" s="46"/>
      <c r="G20" s="47"/>
      <c r="H20" s="47"/>
      <c r="I20" s="47"/>
      <c r="J20" s="47"/>
      <c r="K20" s="46"/>
      <c r="L20" s="47"/>
      <c r="M20" s="47"/>
      <c r="N20" s="52"/>
    </row>
    <row r="21" ht="8.75" customHeight="1" hidden="1">
      <c r="A21" s="39"/>
      <c r="B21" s="40"/>
      <c r="C21" s="41"/>
      <c r="D21" s="42"/>
      <c r="E21" s="42"/>
      <c r="F21" s="42"/>
      <c r="G21" s="43"/>
      <c r="H21" s="42"/>
      <c r="I21" s="42"/>
      <c r="J21" s="42"/>
      <c r="K21" s="42"/>
      <c r="L21" s="42"/>
      <c r="M21" s="42"/>
      <c r="N21" s="44"/>
    </row>
    <row r="22" ht="8.75" customHeight="1" hidden="1">
      <c r="A22" s="39"/>
      <c r="B22" s="40"/>
      <c r="C22" s="45"/>
      <c r="D22" s="46"/>
      <c r="E22" s="46"/>
      <c r="F22" s="46"/>
      <c r="G22" s="47"/>
      <c r="H22" s="46"/>
      <c r="I22" s="46"/>
      <c r="J22" s="46"/>
      <c r="K22" s="46"/>
      <c r="L22" s="46"/>
      <c r="M22" s="46"/>
      <c r="N22" s="48"/>
    </row>
    <row r="23" ht="8.75" customHeight="1" hidden="1">
      <c r="A23" s="51"/>
      <c r="B23" s="40"/>
      <c r="C23" s="41"/>
      <c r="D23" s="42"/>
      <c r="E23" s="42"/>
      <c r="F23" s="42"/>
      <c r="G23" s="43"/>
      <c r="H23" s="42"/>
      <c r="I23" s="42"/>
      <c r="J23" s="42"/>
      <c r="K23" s="42"/>
      <c r="L23" s="42"/>
      <c r="M23" s="42"/>
      <c r="N23" s="44"/>
    </row>
    <row r="24" ht="8.75" customHeight="1" hidden="1">
      <c r="A24" s="51"/>
      <c r="B24" s="40"/>
      <c r="C24" s="45"/>
      <c r="D24" s="46"/>
      <c r="E24" s="46"/>
      <c r="F24" s="46"/>
      <c r="G24" s="47"/>
      <c r="H24" s="46"/>
      <c r="I24" s="46"/>
      <c r="J24" s="46"/>
      <c r="K24" s="46"/>
      <c r="L24" s="46"/>
      <c r="M24" s="46"/>
      <c r="N24" s="48"/>
    </row>
    <row r="25" ht="8.75" customHeight="1" hidden="1">
      <c r="A25" s="39"/>
      <c r="B25" s="40"/>
      <c r="C25" s="41"/>
      <c r="D25" s="42"/>
      <c r="E25" s="42"/>
      <c r="F25" s="42"/>
      <c r="G25" s="43"/>
      <c r="H25" s="42"/>
      <c r="I25" s="42"/>
      <c r="J25" s="42"/>
      <c r="K25" s="42"/>
      <c r="L25" s="43"/>
      <c r="M25" s="43"/>
      <c r="N25" s="49"/>
    </row>
    <row r="26" ht="8.75" customHeight="1" hidden="1">
      <c r="A26" s="39"/>
      <c r="B26" s="40"/>
      <c r="C26" s="45"/>
      <c r="D26" s="46"/>
      <c r="E26" s="46"/>
      <c r="F26" s="46"/>
      <c r="G26" s="47"/>
      <c r="H26" s="46"/>
      <c r="I26" s="46"/>
      <c r="J26" s="46"/>
      <c r="K26" s="46"/>
      <c r="L26" s="46"/>
      <c r="M26" s="46"/>
      <c r="N26" s="48"/>
    </row>
    <row r="27" ht="8.75" customHeight="1" hidden="1">
      <c r="A27" s="39"/>
      <c r="B27" s="40"/>
      <c r="C27" s="41"/>
      <c r="D27" s="42"/>
      <c r="E27" s="42"/>
      <c r="F27" s="42"/>
      <c r="G27" s="43"/>
      <c r="H27" s="42"/>
      <c r="I27" s="42"/>
      <c r="J27" s="42"/>
      <c r="K27" s="42"/>
      <c r="L27" s="43"/>
      <c r="M27" s="43"/>
      <c r="N27" s="49"/>
    </row>
    <row r="28" ht="20.85" customHeight="1">
      <c r="A28" s="53"/>
      <c r="B28" s="54"/>
      <c r="C28" s="54"/>
      <c r="D28" s="55"/>
      <c r="E28" s="55"/>
      <c r="F28" s="55"/>
      <c r="G28" s="56"/>
      <c r="H28" s="56"/>
      <c r="I28" s="59"/>
      <c r="J28" s="57"/>
      <c r="K28" t="s" s="58">
        <v>38</v>
      </c>
      <c r="L28" s="59" cm="1">
        <f t="array" ref="L28">SUM(L1:L27)</f>
        <v>72039361.03</v>
      </c>
      <c r="M28" s="59" cm="1">
        <f t="array" ref="M28">SUM(M1:M27)</f>
        <v>71782636.25</v>
      </c>
      <c r="N28" s="59" cm="1">
        <f t="array" ref="N28">SUM(N1:N27)</f>
        <v>71782636.25</v>
      </c>
    </row>
    <row r="29" ht="21" customHeight="1">
      <c r="A29" s="60"/>
      <c r="B29" t="s" s="61">
        <v>39</v>
      </c>
      <c r="C29" s="62"/>
      <c r="D29" s="63"/>
      <c r="E29" s="64"/>
      <c r="F29" s="64"/>
      <c r="G29" s="65"/>
      <c r="H29" s="66"/>
      <c r="I29" s="62"/>
      <c r="J29" s="67"/>
      <c r="K29" t="str" s="67" cm="1">
        <f t="array" ref="K29">"Jumlah Terkena Pajak "&amp;MAX(K3:K27)&amp;"% (B)"</f>
        <v>Jumlah Terkena Pajak 11,00% (B)</v>
      </c>
      <c r="L29" s="68" cm="1">
        <f t="array" ref="L29">SUMIF($K3:$K27,"&gt;0",L3:L27)</f>
        <v>71852840.64</v>
      </c>
      <c r="M29" s="69" cm="1">
        <f t="array" ref="M29">SUMIF($K3:$K27,"&gt;0",M3:M27)</f>
        <v>71596602.72</v>
      </c>
      <c r="N29" s="69" cm="1">
        <f t="array" ref="N29">SUMIF($K3:$K27,"&gt;0",N3:N27)</f>
        <v>71596602.72</v>
      </c>
    </row>
    <row r="30" ht="21" customHeight="1">
      <c r="A30" s="70"/>
      <c r="B30" s="71"/>
      <c r="C30" s="71"/>
      <c r="D30" s="72"/>
      <c r="E30" s="72"/>
      <c r="F30" s="71"/>
      <c r="G30" s="72"/>
      <c r="H30" s="72"/>
      <c r="I30" s="71"/>
      <c r="J30" s="73"/>
      <c r="K30" t="str" s="73" cm="1">
        <f t="array" ref="K30">"PPN (C) = "&amp;MAX(K3:K27)&amp;"% x B"</f>
        <v>PPN (C) = 11,00% x B</v>
      </c>
      <c r="L30" s="74" cm="1">
        <f t="array" ref="L30">L29*MAX($K3:$K27)%</f>
        <v>7903812.4704</v>
      </c>
      <c r="M30" s="69" cm="1">
        <f t="array" ref="M30">M29*MAX($K3:$K27)%</f>
        <v>7875626.2992</v>
      </c>
      <c r="N30" s="69" cm="1">
        <f t="array" ref="N30">N29*MAX($K3:$K27)%</f>
        <v>7875626.2992</v>
      </c>
    </row>
    <row r="31" ht="21" customHeight="1">
      <c r="A31" s="70"/>
      <c r="B31" s="71"/>
      <c r="C31" s="71"/>
      <c r="D31" s="72"/>
      <c r="E31" s="72"/>
      <c r="F31" s="72"/>
      <c r="G31" s="72"/>
      <c r="H31" s="72"/>
      <c r="I31" s="71"/>
      <c r="J31" s="73"/>
      <c r="K31" t="s" s="75">
        <v>42</v>
      </c>
      <c r="L31" s="76" cm="1">
        <f t="array" ref="L31">L28+L30</f>
        <v>79943173.50040001</v>
      </c>
      <c r="M31" s="69" cm="1">
        <f t="array" ref="M31">M28+M30</f>
        <v>79658262.5492</v>
      </c>
      <c r="N31" s="69" cm="1">
        <f t="array" ref="N31">N28+N30</f>
        <v>79658262.5492</v>
      </c>
    </row>
    <row r="32" ht="20.5" customHeight="1">
      <c r="A32" s="70"/>
      <c r="B32" s="71"/>
      <c r="C32" s="71"/>
      <c r="D32" s="72"/>
      <c r="E32" s="72"/>
      <c r="F32" s="72"/>
      <c r="G32" s="72"/>
      <c r="H32" s="72"/>
      <c r="I32" s="71"/>
      <c r="J32" s="73"/>
      <c r="K32" t="s" s="75">
        <v>43</v>
      </c>
      <c r="L32" s="68" cm="1">
        <f t="array" ref="L32">ROUNDDOWN(L31,2)</f>
        <v>79943173.5</v>
      </c>
      <c r="M32" s="68" cm="1">
        <f t="array" ref="M32">ROUNDDOWN(M31,2)</f>
        <v>79658262.54000001</v>
      </c>
      <c r="N32" s="68" cm="1">
        <f t="array" ref="N32">ROUNDDOWN(N31,-3)</f>
        <v>79658000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25.xml><?xml version="1.0" encoding="utf-8"?>
<worksheet xmlns:r="http://schemas.openxmlformats.org/officeDocument/2006/relationships" xmlns="http://schemas.openxmlformats.org/spreadsheetml/2006/main">
  <sheetPr>
    <pageSetUpPr fitToPage="1"/>
  </sheetPr>
  <dimension ref="A1:N32"/>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319" customWidth="1"/>
    <col min="2" max="2" width="43.0312" style="319" customWidth="1"/>
    <col min="3" max="3" width="2.75" style="319" customWidth="1"/>
    <col min="4" max="6" width="10.3672" style="319" customWidth="1"/>
    <col min="7" max="7" width="11.6875" style="319" customWidth="1"/>
    <col min="8" max="11" width="13.5156" style="319" customWidth="1"/>
    <col min="12" max="14" width="14.2344" style="319" customWidth="1"/>
    <col min="15" max="16384" width="16.3516" style="319"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16</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t="s" s="18">
        <v>17</v>
      </c>
      <c r="B4" t="s" s="19">
        <v>18</v>
      </c>
      <c r="C4" s="20"/>
      <c r="D4" s="21">
        <v>1</v>
      </c>
      <c r="E4" s="21" cm="1">
        <f t="array" ref="E4">D4</f>
        <v>1</v>
      </c>
      <c r="F4" s="21" cm="1">
        <f t="array" ref="F4">D4</f>
        <v>1</v>
      </c>
      <c r="G4" t="s" s="22">
        <v>19</v>
      </c>
      <c r="H4" s="21">
        <v>10505250</v>
      </c>
      <c r="I4" s="21">
        <v>10580000</v>
      </c>
      <c r="J4" s="21">
        <v>10580000</v>
      </c>
      <c r="K4" s="21">
        <v>11</v>
      </c>
      <c r="L4" s="21" cm="1">
        <f t="array" ref="L4">IF(D4&gt;0,IF($D4&lt;=0,0,D4*H4),"")</f>
        <v>10505250</v>
      </c>
      <c r="M4" s="21" cm="1">
        <f t="array" ref="M4">IF(E4&gt;0,IF($D4&lt;=0,0,ROUND(E4*I4,2)),"")</f>
        <v>10580000</v>
      </c>
      <c r="N4" s="23" cm="1">
        <f t="array" ref="N4">IF(F4&gt;0,IF($D4&lt;=0,0,ROUND(F4*J4,2)),"")</f>
        <v>10580000</v>
      </c>
    </row>
    <row r="5" ht="20.5" customHeight="1">
      <c r="A5" t="s" s="18">
        <v>20</v>
      </c>
      <c r="B5" t="s" s="19">
        <v>21</v>
      </c>
      <c r="C5" s="24"/>
      <c r="D5" s="25">
        <v>1</v>
      </c>
      <c r="E5" s="26" cm="1">
        <f t="array" ref="E5">D5</f>
        <v>1</v>
      </c>
      <c r="F5" s="26" cm="1">
        <f t="array" ref="F5">D5</f>
        <v>1</v>
      </c>
      <c r="G5" t="s" s="27">
        <v>19</v>
      </c>
      <c r="H5" s="26">
        <v>660000</v>
      </c>
      <c r="I5" s="26">
        <v>620000</v>
      </c>
      <c r="J5" s="26">
        <v>620000</v>
      </c>
      <c r="K5" s="26">
        <v>11</v>
      </c>
      <c r="L5" s="26" cm="1">
        <f t="array" ref="L5">IF(D5&gt;0,IF($D5&lt;=0,0,D5*H5),"")</f>
        <v>660000</v>
      </c>
      <c r="M5" s="26" cm="1">
        <f t="array" ref="M5">IF(E5&gt;0,IF($D5&lt;=0,0,ROUND(E5*I5,2)),"")</f>
        <v>620000</v>
      </c>
      <c r="N5" s="28" cm="1">
        <f t="array" ref="N5">IF(F5&gt;0,IF($D5&lt;=0,0,ROUND(F5*J5,2)),"")</f>
        <v>620000</v>
      </c>
    </row>
    <row r="6" ht="20.5" customHeight="1">
      <c r="A6" t="s" s="18">
        <v>22</v>
      </c>
      <c r="B6" t="s" s="19">
        <v>23</v>
      </c>
      <c r="C6" s="20"/>
      <c r="D6" s="21">
        <v>1</v>
      </c>
      <c r="E6" s="21" cm="1">
        <f t="array" ref="E6">D6</f>
        <v>1</v>
      </c>
      <c r="F6" s="21" cm="1">
        <f t="array" ref="F6">D6</f>
        <v>1</v>
      </c>
      <c r="G6" t="s" s="22">
        <v>19</v>
      </c>
      <c r="H6" s="21">
        <v>3298000</v>
      </c>
      <c r="I6" s="21">
        <v>3210000</v>
      </c>
      <c r="J6" s="21">
        <v>3210000</v>
      </c>
      <c r="K6" s="21">
        <v>11</v>
      </c>
      <c r="L6" s="21" cm="1">
        <f t="array" ref="L6">IF(D6&gt;0,IF($D6&lt;=0,0,D6*H6),"")</f>
        <v>3298000</v>
      </c>
      <c r="M6" s="21" cm="1">
        <f t="array" ref="M6">IF(E6&gt;0,IF($D6&lt;=0,0,ROUND(E6*I6,2)),"")</f>
        <v>3210000</v>
      </c>
      <c r="N6" s="23" cm="1">
        <f t="array" ref="N6">IF(F6&gt;0,IF($D6&lt;=0,0,ROUND(F6*J6,2)),"")</f>
        <v>3210000</v>
      </c>
    </row>
    <row r="7" ht="20.5" customHeight="1">
      <c r="A7" s="29"/>
      <c r="B7" t="s" s="19">
        <v>28</v>
      </c>
      <c r="C7" s="24"/>
      <c r="D7" s="30"/>
      <c r="E7" s="26"/>
      <c r="F7" s="26"/>
      <c r="G7" s="30"/>
      <c r="H7" s="26"/>
      <c r="I7" s="26"/>
      <c r="J7" s="26"/>
      <c r="K7" s="26"/>
      <c r="L7" t="str" s="30" cm="1">
        <f t="array" ref="L7">IF(D7&gt;0,IF($D7&lt;=0,0,D7*H7),"")</f>
      </c>
      <c r="M7" t="str" s="30" cm="1">
        <f t="array" ref="M7">IF(E7&gt;0,IF($D7&lt;=0,0,ROUND(E7*I7,2)),"")</f>
      </c>
      <c r="N7" t="str" s="31" cm="1">
        <f t="array" ref="N7">IF(F7&gt;0,IF($D7&lt;=0,0,ROUND(F7*J7,2)),"")</f>
      </c>
    </row>
    <row r="8" ht="20.5" customHeight="1">
      <c r="A8" t="s" s="18">
        <v>31</v>
      </c>
      <c r="B8" t="s" s="19">
        <v>32</v>
      </c>
      <c r="C8" s="20"/>
      <c r="D8" s="78">
        <v>414.4</v>
      </c>
      <c r="E8" s="21" cm="1">
        <f t="array" ref="E8">D8</f>
        <v>414.4</v>
      </c>
      <c r="F8" s="21" cm="1">
        <f t="array" ref="F8">E8</f>
        <v>414.4</v>
      </c>
      <c r="G8" t="s" s="22">
        <v>27</v>
      </c>
      <c r="H8" s="21">
        <v>338629.36</v>
      </c>
      <c r="I8" s="21">
        <v>338596.1</v>
      </c>
      <c r="J8" s="21">
        <v>338596.1</v>
      </c>
      <c r="K8" s="21">
        <v>11</v>
      </c>
      <c r="L8" s="21" cm="1">
        <f t="array" ref="L8">IF(D8&gt;0,IF($D8&lt;=0,0,D8*H8),"")</f>
        <v>140328006.784</v>
      </c>
      <c r="M8" s="21" cm="1">
        <f t="array" ref="M8">IF(E8&gt;0,IF($D8&lt;=0,0,ROUND(E8*I8,2)),"")</f>
        <v>140314223.84</v>
      </c>
      <c r="N8" s="23" cm="1">
        <f t="array" ref="N8">IF(F8&gt;0,IF($D8&lt;=0,0,ROUND(F8*J8,2)),"")</f>
        <v>140314223.84</v>
      </c>
    </row>
    <row r="9" ht="20.5" customHeight="1">
      <c r="A9" t="s" s="18">
        <v>33</v>
      </c>
      <c r="B9" t="s" s="19">
        <v>34</v>
      </c>
      <c r="C9" s="24"/>
      <c r="D9" s="26">
        <v>2250</v>
      </c>
      <c r="E9" s="26" cm="1">
        <f t="array" ref="E9">D9</f>
        <v>2250</v>
      </c>
      <c r="F9" s="26" cm="1">
        <f t="array" ref="F9">E9</f>
        <v>2250</v>
      </c>
      <c r="G9" t="s" s="27">
        <v>35</v>
      </c>
      <c r="H9" s="26">
        <v>2996.59</v>
      </c>
      <c r="I9" s="26">
        <v>2996.48</v>
      </c>
      <c r="J9" s="26">
        <v>2996.48</v>
      </c>
      <c r="K9" s="26">
        <v>11</v>
      </c>
      <c r="L9" s="26" cm="1">
        <f t="array" ref="L9">IF(D9&gt;0,IF($D9&lt;=0,0,D9*H9),"")</f>
        <v>6742327.5</v>
      </c>
      <c r="M9" s="26" cm="1">
        <f t="array" ref="M9">IF(E9&gt;0,IF($D9&lt;=0,0,ROUND(E9*I9,2)),"")</f>
        <v>6742080</v>
      </c>
      <c r="N9" s="28" cm="1">
        <f t="array" ref="N9">IF(F9&gt;0,IF($D9&lt;=0,0,ROUND(F9*J9,2)),"")</f>
        <v>6742080</v>
      </c>
    </row>
    <row r="10" ht="20.5" customHeight="1">
      <c r="A10" s="29"/>
      <c r="B10" t="s" s="19">
        <v>36</v>
      </c>
      <c r="C10" s="20"/>
      <c r="D10" s="21"/>
      <c r="E10" s="21"/>
      <c r="F10" s="21"/>
      <c r="G10" s="79"/>
      <c r="H10" s="21"/>
      <c r="I10" s="21"/>
      <c r="J10" s="21"/>
      <c r="K10" s="21"/>
      <c r="L10" t="str" s="79" cm="1">
        <f t="array" ref="L10">IF(D10&gt;0,IF($D10&lt;=0,0,D10*H10),"")</f>
      </c>
      <c r="M10" s="21"/>
      <c r="N10" s="23"/>
    </row>
    <row r="11" ht="20.6" customHeight="1">
      <c r="A11" s="33">
        <v>1</v>
      </c>
      <c r="B11" t="s" s="34">
        <v>37</v>
      </c>
      <c r="C11" s="80"/>
      <c r="D11" s="81">
        <v>1</v>
      </c>
      <c r="E11" s="81" cm="1">
        <f t="array" ref="E11">D11</f>
        <v>1</v>
      </c>
      <c r="F11" s="81" cm="1">
        <f t="array" ref="F11">D11</f>
        <v>1</v>
      </c>
      <c r="G11" t="s" s="82">
        <v>19</v>
      </c>
      <c r="H11" s="308">
        <v>356913.8</v>
      </c>
      <c r="I11" s="308">
        <v>356785.92</v>
      </c>
      <c r="J11" s="308">
        <v>356785.92</v>
      </c>
      <c r="K11" s="81">
        <v>0</v>
      </c>
      <c r="L11" s="81" cm="1">
        <f t="array" ref="L11">IF(D11&gt;0,IF($D11&lt;=0,0,D11*H11),"")</f>
        <v>356913.8</v>
      </c>
      <c r="M11" s="81" cm="1">
        <f t="array" ref="M11">IF(E11&gt;0,IF($D11&lt;=0,0,ROUND(E11*I11,2)),"")</f>
        <v>356785.92</v>
      </c>
      <c r="N11" s="83" cm="1">
        <f t="array" ref="N11">IF(F11&gt;0,IF($D11&lt;=0,0,ROUND(F11*J11,2)),"")</f>
        <v>356785.92</v>
      </c>
    </row>
    <row r="12" ht="8.75" customHeight="1" hidden="1">
      <c r="A12" s="39"/>
      <c r="B12" s="40"/>
      <c r="C12" s="45"/>
      <c r="D12" s="46"/>
      <c r="E12" s="46"/>
      <c r="F12" s="46"/>
      <c r="G12" s="47"/>
      <c r="H12" s="46"/>
      <c r="I12" s="46"/>
      <c r="J12" s="46"/>
      <c r="K12" s="46"/>
      <c r="L12" s="46"/>
      <c r="M12" s="46"/>
      <c r="N12" s="48"/>
    </row>
    <row r="13" ht="8.75" customHeight="1" hidden="1">
      <c r="A13" s="39"/>
      <c r="B13" s="40"/>
      <c r="C13" s="41"/>
      <c r="D13" s="42"/>
      <c r="E13" s="42"/>
      <c r="F13" s="42"/>
      <c r="G13" s="43"/>
      <c r="H13" s="42"/>
      <c r="I13" s="42"/>
      <c r="J13" s="42"/>
      <c r="K13" s="42"/>
      <c r="L13" s="42"/>
      <c r="M13" s="42"/>
      <c r="N13" s="44"/>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2"/>
      <c r="I15" s="42"/>
      <c r="J15" s="42"/>
      <c r="K15" s="42"/>
      <c r="L15" s="42"/>
      <c r="M15" s="42"/>
      <c r="N15" s="44"/>
    </row>
    <row r="16" ht="8.75" customHeight="1" hidden="1">
      <c r="A16" s="39"/>
      <c r="B16" s="40"/>
      <c r="C16" s="45"/>
      <c r="D16" s="46"/>
      <c r="E16" s="46"/>
      <c r="F16" s="46"/>
      <c r="G16" s="47"/>
      <c r="H16" s="46"/>
      <c r="I16" s="46"/>
      <c r="J16" s="46"/>
      <c r="K16" s="46"/>
      <c r="L16" s="46"/>
      <c r="M16" s="46"/>
      <c r="N16" s="48"/>
    </row>
    <row r="17" ht="8.75" customHeight="1" hidden="1">
      <c r="A17" s="39"/>
      <c r="B17" s="40"/>
      <c r="C17" s="41"/>
      <c r="D17" s="42"/>
      <c r="E17" s="42"/>
      <c r="F17" s="42"/>
      <c r="G17" s="43"/>
      <c r="H17" s="42"/>
      <c r="I17" s="42"/>
      <c r="J17" s="42"/>
      <c r="K17" s="42"/>
      <c r="L17" s="42"/>
      <c r="M17" s="42"/>
      <c r="N17" s="44"/>
    </row>
    <row r="18" ht="8.75" customHeight="1" hidden="1">
      <c r="A18" s="39"/>
      <c r="B18" s="40"/>
      <c r="C18" s="45"/>
      <c r="D18" s="46"/>
      <c r="E18" s="46"/>
      <c r="F18" s="46"/>
      <c r="G18" s="47"/>
      <c r="H18" s="47"/>
      <c r="I18" s="47"/>
      <c r="J18" s="47"/>
      <c r="K18" s="46"/>
      <c r="L18" s="47"/>
      <c r="M18" s="47"/>
      <c r="N18" s="52"/>
    </row>
    <row r="19" ht="8.75" customHeight="1" hidden="1">
      <c r="A19" s="39"/>
      <c r="B19" s="40"/>
      <c r="C19" s="41"/>
      <c r="D19" s="42"/>
      <c r="E19" s="42"/>
      <c r="F19" s="42"/>
      <c r="G19" s="43"/>
      <c r="H19" s="84"/>
      <c r="I19" s="84"/>
      <c r="J19" s="84"/>
      <c r="K19" s="42"/>
      <c r="L19" s="42"/>
      <c r="M19" s="42"/>
      <c r="N19" s="44"/>
    </row>
    <row r="20" ht="8.75" customHeight="1" hidden="1">
      <c r="A20" s="39"/>
      <c r="B20" s="40"/>
      <c r="C20" s="45"/>
      <c r="D20" s="46"/>
      <c r="E20" s="46"/>
      <c r="F20" s="46"/>
      <c r="G20" s="47"/>
      <c r="H20" s="47"/>
      <c r="I20" s="47"/>
      <c r="J20" s="47"/>
      <c r="K20" s="46"/>
      <c r="L20" s="47"/>
      <c r="M20" s="47"/>
      <c r="N20" s="52"/>
    </row>
    <row r="21" ht="8.75" customHeight="1" hidden="1">
      <c r="A21" s="39"/>
      <c r="B21" s="40"/>
      <c r="C21" s="41"/>
      <c r="D21" s="42"/>
      <c r="E21" s="42"/>
      <c r="F21" s="42"/>
      <c r="G21" s="43"/>
      <c r="H21" s="42"/>
      <c r="I21" s="42"/>
      <c r="J21" s="42"/>
      <c r="K21" s="42"/>
      <c r="L21" s="42"/>
      <c r="M21" s="42"/>
      <c r="N21" s="44"/>
    </row>
    <row r="22" ht="8.75" customHeight="1" hidden="1">
      <c r="A22" s="39"/>
      <c r="B22" s="40"/>
      <c r="C22" s="45"/>
      <c r="D22" s="46"/>
      <c r="E22" s="46"/>
      <c r="F22" s="46"/>
      <c r="G22" s="47"/>
      <c r="H22" s="46"/>
      <c r="I22" s="46"/>
      <c r="J22" s="46"/>
      <c r="K22" s="46"/>
      <c r="L22" s="46"/>
      <c r="M22" s="46"/>
      <c r="N22" s="48"/>
    </row>
    <row r="23" ht="8.75" customHeight="1" hidden="1">
      <c r="A23" s="51"/>
      <c r="B23" s="40"/>
      <c r="C23" s="41"/>
      <c r="D23" s="42"/>
      <c r="E23" s="42"/>
      <c r="F23" s="42"/>
      <c r="G23" s="43"/>
      <c r="H23" s="42"/>
      <c r="I23" s="42"/>
      <c r="J23" s="42"/>
      <c r="K23" s="42"/>
      <c r="L23" s="42"/>
      <c r="M23" s="42"/>
      <c r="N23" s="44"/>
    </row>
    <row r="24" ht="8.75" customHeight="1" hidden="1">
      <c r="A24" s="51"/>
      <c r="B24" s="40"/>
      <c r="C24" s="45"/>
      <c r="D24" s="46"/>
      <c r="E24" s="46"/>
      <c r="F24" s="46"/>
      <c r="G24" s="47"/>
      <c r="H24" s="46"/>
      <c r="I24" s="46"/>
      <c r="J24" s="46"/>
      <c r="K24" s="46"/>
      <c r="L24" s="46"/>
      <c r="M24" s="46"/>
      <c r="N24" s="48"/>
    </row>
    <row r="25" ht="8.75" customHeight="1" hidden="1">
      <c r="A25" s="39"/>
      <c r="B25" s="40"/>
      <c r="C25" s="41"/>
      <c r="D25" s="42"/>
      <c r="E25" s="42"/>
      <c r="F25" s="42"/>
      <c r="G25" s="43"/>
      <c r="H25" s="42"/>
      <c r="I25" s="42"/>
      <c r="J25" s="42"/>
      <c r="K25" s="42"/>
      <c r="L25" s="43"/>
      <c r="M25" s="43"/>
      <c r="N25" s="49"/>
    </row>
    <row r="26" ht="8.75" customHeight="1" hidden="1">
      <c r="A26" s="39"/>
      <c r="B26" s="40"/>
      <c r="C26" s="45"/>
      <c r="D26" s="46"/>
      <c r="E26" s="46"/>
      <c r="F26" s="46"/>
      <c r="G26" s="47"/>
      <c r="H26" s="46"/>
      <c r="I26" s="46"/>
      <c r="J26" s="46"/>
      <c r="K26" s="46"/>
      <c r="L26" s="46"/>
      <c r="M26" s="46"/>
      <c r="N26" s="48"/>
    </row>
    <row r="27" ht="8.75" customHeight="1" hidden="1">
      <c r="A27" s="39"/>
      <c r="B27" s="40"/>
      <c r="C27" s="41"/>
      <c r="D27" s="42"/>
      <c r="E27" s="42"/>
      <c r="F27" s="42"/>
      <c r="G27" s="43"/>
      <c r="H27" s="42"/>
      <c r="I27" s="42"/>
      <c r="J27" s="42"/>
      <c r="K27" s="42"/>
      <c r="L27" s="43"/>
      <c r="M27" s="43"/>
      <c r="N27" s="49"/>
    </row>
    <row r="28" ht="20.85" customHeight="1">
      <c r="A28" s="53"/>
      <c r="B28" s="54"/>
      <c r="C28" s="54"/>
      <c r="D28" s="55"/>
      <c r="E28" s="55"/>
      <c r="F28" s="55"/>
      <c r="G28" s="56"/>
      <c r="H28" s="56"/>
      <c r="I28" s="59"/>
      <c r="J28" s="57"/>
      <c r="K28" t="s" s="58">
        <v>38</v>
      </c>
      <c r="L28" s="59" cm="1">
        <f t="array" ref="L28">SUM(L1:L27)</f>
        <v>161890498.084</v>
      </c>
      <c r="M28" s="59" cm="1">
        <f t="array" ref="M28">SUM(M1:M27)</f>
        <v>161823089.76</v>
      </c>
      <c r="N28" s="59" cm="1">
        <f t="array" ref="N28">SUM(N1:N27)</f>
        <v>161823089.76</v>
      </c>
    </row>
    <row r="29" ht="21" customHeight="1">
      <c r="A29" s="60"/>
      <c r="B29" t="s" s="61">
        <v>39</v>
      </c>
      <c r="C29" s="62"/>
      <c r="D29" s="63"/>
      <c r="E29" s="64"/>
      <c r="F29" s="64"/>
      <c r="G29" s="65"/>
      <c r="H29" s="66"/>
      <c r="I29" s="62"/>
      <c r="J29" s="67"/>
      <c r="K29" t="str" s="67" cm="1">
        <f t="array" ref="K29">"Jumlah Terkena Pajak "&amp;MAX(K3:K27)&amp;"% (B)"</f>
        <v>Jumlah Terkena Pajak 11,00% (B)</v>
      </c>
      <c r="L29" s="68" cm="1">
        <f t="array" ref="L29">SUMIF($K3:$K27,"&gt;0",L3:L27)</f>
        <v>161533584.284</v>
      </c>
      <c r="M29" s="69" cm="1">
        <f t="array" ref="M29">SUMIF($K3:$K27,"&gt;0",M3:M27)</f>
        <v>161466303.84</v>
      </c>
      <c r="N29" s="69" cm="1">
        <f t="array" ref="N29">SUMIF($K3:$K27,"&gt;0",N3:N27)</f>
        <v>161466303.84</v>
      </c>
    </row>
    <row r="30" ht="21" customHeight="1">
      <c r="A30" s="70"/>
      <c r="B30" s="71"/>
      <c r="C30" s="71"/>
      <c r="D30" s="72"/>
      <c r="E30" s="72"/>
      <c r="F30" s="71"/>
      <c r="G30" s="72"/>
      <c r="H30" s="72"/>
      <c r="I30" s="71"/>
      <c r="J30" s="73"/>
      <c r="K30" t="str" s="73" cm="1">
        <f t="array" ref="K30">"PPN (C) = "&amp;MAX(K3:K27)&amp;"% x B"</f>
        <v>PPN (C) = 11,00% x B</v>
      </c>
      <c r="L30" s="74" cm="1">
        <f t="array" ref="L30">L29*MAX($K3:$K27)%</f>
        <v>17768694.27124</v>
      </c>
      <c r="M30" s="69" cm="1">
        <f t="array" ref="M30">M29*MAX($K3:$K27)%</f>
        <v>17761293.4224</v>
      </c>
      <c r="N30" s="69" cm="1">
        <f t="array" ref="N30">N29*MAX($K3:$K27)%</f>
        <v>17761293.4224</v>
      </c>
    </row>
    <row r="31" ht="21" customHeight="1">
      <c r="A31" s="70"/>
      <c r="B31" s="71"/>
      <c r="C31" s="71"/>
      <c r="D31" s="72"/>
      <c r="E31" s="72"/>
      <c r="F31" s="72"/>
      <c r="G31" s="72"/>
      <c r="H31" s="72"/>
      <c r="I31" s="71"/>
      <c r="J31" s="73"/>
      <c r="K31" t="s" s="75">
        <v>42</v>
      </c>
      <c r="L31" s="76" cm="1">
        <f t="array" ref="L31">L28+L30</f>
        <v>179659192.35524</v>
      </c>
      <c r="M31" s="69" cm="1">
        <f t="array" ref="M31">M28+M30</f>
        <v>179584383.1824</v>
      </c>
      <c r="N31" s="69" cm="1">
        <f t="array" ref="N31">N28+N30</f>
        <v>179584383.1824</v>
      </c>
    </row>
    <row r="32" ht="20.5" customHeight="1">
      <c r="A32" s="70"/>
      <c r="B32" s="71"/>
      <c r="C32" s="71"/>
      <c r="D32" s="72"/>
      <c r="E32" s="72"/>
      <c r="F32" s="72"/>
      <c r="G32" s="72"/>
      <c r="H32" s="72"/>
      <c r="I32" s="71"/>
      <c r="J32" s="73"/>
      <c r="K32" t="s" s="75">
        <v>43</v>
      </c>
      <c r="L32" s="68" cm="1">
        <f t="array" ref="L32">ROUNDDOWN(L31,2)</f>
        <v>179659192.35</v>
      </c>
      <c r="M32" s="68" cm="1">
        <f t="array" ref="M32">ROUNDDOWN(M31,2)</f>
        <v>179584383.18</v>
      </c>
      <c r="N32" s="68" cm="1">
        <f t="array" ref="N32">ROUNDDOWN(N31,-3)</f>
        <v>179584000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26.xml><?xml version="1.0" encoding="utf-8"?>
<worksheet xmlns:r="http://schemas.openxmlformats.org/officeDocument/2006/relationships" xmlns="http://schemas.openxmlformats.org/spreadsheetml/2006/main">
  <sheetPr>
    <pageSetUpPr fitToPage="1"/>
  </sheetPr>
  <dimension ref="A1:N32"/>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320" customWidth="1"/>
    <col min="2" max="2" width="43.0312" style="320" customWidth="1"/>
    <col min="3" max="3" width="2.75" style="320" customWidth="1"/>
    <col min="4" max="6" width="10.3672" style="320" customWidth="1"/>
    <col min="7" max="7" width="11.6875" style="320" customWidth="1"/>
    <col min="8" max="11" width="13.5156" style="320" customWidth="1"/>
    <col min="12" max="14" width="14.2344" style="320" customWidth="1"/>
    <col min="15" max="16384" width="16.3516" style="320"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16</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t="s" s="18">
        <v>17</v>
      </c>
      <c r="B4" t="s" s="19">
        <v>18</v>
      </c>
      <c r="C4" s="20"/>
      <c r="D4" s="21">
        <v>1</v>
      </c>
      <c r="E4" s="21" cm="1">
        <f t="array" ref="E4">D4</f>
        <v>1</v>
      </c>
      <c r="F4" s="21" cm="1">
        <f t="array" ref="F4">D4</f>
        <v>1</v>
      </c>
      <c r="G4" t="s" s="22">
        <v>19</v>
      </c>
      <c r="H4" s="21">
        <v>19699500</v>
      </c>
      <c r="I4" s="283">
        <v>19774250</v>
      </c>
      <c r="J4" s="283">
        <v>19774250</v>
      </c>
      <c r="K4" s="21">
        <v>11</v>
      </c>
      <c r="L4" s="21" cm="1">
        <f t="array" ref="L4">IF(D4&gt;0,IF($D4&lt;=0,0,D4*H4),"")</f>
        <v>19699500</v>
      </c>
      <c r="M4" s="21" cm="1">
        <f t="array" ref="M4">IF(E4&gt;0,IF($D4&lt;=0,0,ROUND(E4*I4,2)),"")</f>
        <v>19774250</v>
      </c>
      <c r="N4" s="23" cm="1">
        <f t="array" ref="N4">IF(F4&gt;0,IF($D4&lt;=0,0,ROUND(F4*J4,2)),"")</f>
        <v>19774250</v>
      </c>
    </row>
    <row r="5" ht="20.5" customHeight="1">
      <c r="A5" t="s" s="18">
        <v>20</v>
      </c>
      <c r="B5" t="s" s="19">
        <v>21</v>
      </c>
      <c r="C5" s="24"/>
      <c r="D5" s="26">
        <v>1</v>
      </c>
      <c r="E5" s="26" cm="1">
        <f t="array" ref="E5">D5</f>
        <v>1</v>
      </c>
      <c r="F5" s="26" cm="1">
        <f t="array" ref="F5">D5</f>
        <v>1</v>
      </c>
      <c r="G5" t="s" s="27">
        <v>19</v>
      </c>
      <c r="H5" s="26">
        <v>660000</v>
      </c>
      <c r="I5" s="284">
        <v>600000</v>
      </c>
      <c r="J5" s="284">
        <v>600000</v>
      </c>
      <c r="K5" s="26">
        <v>11</v>
      </c>
      <c r="L5" s="26" cm="1">
        <f t="array" ref="L5">IF(D5&gt;0,IF($D5&lt;=0,0,D5*H5),"")</f>
        <v>660000</v>
      </c>
      <c r="M5" s="26" cm="1">
        <f t="array" ref="M5">IF(E5&gt;0,IF($D5&lt;=0,0,ROUND(E5*I5,2)),"")</f>
        <v>600000</v>
      </c>
      <c r="N5" s="28" cm="1">
        <f t="array" ref="N5">IF(F5&gt;0,IF($D5&lt;=0,0,ROUND(F5*J5,2)),"")</f>
        <v>600000</v>
      </c>
    </row>
    <row r="6" ht="20.5" customHeight="1">
      <c r="A6" t="s" s="18">
        <v>22</v>
      </c>
      <c r="B6" t="s" s="19">
        <v>23</v>
      </c>
      <c r="C6" s="20"/>
      <c r="D6" s="21">
        <v>1</v>
      </c>
      <c r="E6" s="21" cm="1">
        <f t="array" ref="E6">D6</f>
        <v>1</v>
      </c>
      <c r="F6" s="21" cm="1">
        <f t="array" ref="F6">D6</f>
        <v>1</v>
      </c>
      <c r="G6" t="s" s="22">
        <v>19</v>
      </c>
      <c r="H6" s="21">
        <v>3885000</v>
      </c>
      <c r="I6" s="283">
        <v>3830000</v>
      </c>
      <c r="J6" s="283">
        <v>3830000</v>
      </c>
      <c r="K6" s="21">
        <v>11</v>
      </c>
      <c r="L6" s="21" cm="1">
        <f t="array" ref="L6">IF(D6&gt;0,IF($D6&lt;=0,0,D6*H6),"")</f>
        <v>3885000</v>
      </c>
      <c r="M6" s="21" cm="1">
        <f t="array" ref="M6">IF(E6&gt;0,IF($D6&lt;=0,0,ROUND(E6*I6,2)),"")</f>
        <v>3830000</v>
      </c>
      <c r="N6" s="23" cm="1">
        <f t="array" ref="N6">IF(F6&gt;0,IF($D6&lt;=0,0,ROUND(F6*J6,2)),"")</f>
        <v>3830000</v>
      </c>
    </row>
    <row r="7" ht="20.5" customHeight="1">
      <c r="A7" s="29"/>
      <c r="B7" t="s" s="19">
        <v>28</v>
      </c>
      <c r="C7" s="24"/>
      <c r="D7" s="30"/>
      <c r="E7" s="26"/>
      <c r="F7" s="26"/>
      <c r="G7" s="30"/>
      <c r="H7" s="26"/>
      <c r="I7" s="284"/>
      <c r="J7" s="284"/>
      <c r="K7" s="26"/>
      <c r="L7" t="str" s="30" cm="1">
        <f t="array" ref="L7">IF(D7&gt;0,IF($D7&lt;=0,0,D7*H7),"")</f>
      </c>
      <c r="M7" t="str" s="30" cm="1">
        <f t="array" ref="M7">IF(E7&gt;0,IF($D7&lt;=0,0,ROUND(E7*I7,2)),"")</f>
      </c>
      <c r="N7" t="str" s="31" cm="1">
        <f t="array" ref="N7">IF(F7&gt;0,IF($D7&lt;=0,0,ROUND(F7*J7,2)),"")</f>
      </c>
    </row>
    <row r="8" ht="20.5" customHeight="1">
      <c r="A8" t="s" s="18">
        <v>31</v>
      </c>
      <c r="B8" t="s" s="19">
        <v>32</v>
      </c>
      <c r="C8" s="20"/>
      <c r="D8" s="78">
        <v>472.5</v>
      </c>
      <c r="E8" s="21" cm="1">
        <f t="array" ref="E8">D8</f>
        <v>472.5</v>
      </c>
      <c r="F8" s="21" cm="1">
        <f t="array" ref="F8">D8</f>
        <v>472.5</v>
      </c>
      <c r="G8" t="s" s="22">
        <v>27</v>
      </c>
      <c r="H8" s="21">
        <v>274539.81</v>
      </c>
      <c r="I8" s="283">
        <v>274519</v>
      </c>
      <c r="J8" s="283">
        <v>274519</v>
      </c>
      <c r="K8" s="21">
        <v>11</v>
      </c>
      <c r="L8" s="21" cm="1">
        <f t="array" ref="L8">IF(D8&gt;0,IF($D8&lt;=0,0,D8*H8),"")</f>
        <v>129720060.225</v>
      </c>
      <c r="M8" s="21" cm="1">
        <f t="array" ref="M8">IF(E8&gt;0,IF($D8&lt;=0,0,ROUND(E8*I8,2)),"")</f>
        <v>129710227.5</v>
      </c>
      <c r="N8" s="23" cm="1">
        <f t="array" ref="N8">IF(F8&gt;0,IF($D8&lt;=0,0,ROUND(F8*J8,2)),"")</f>
        <v>129710227.5</v>
      </c>
    </row>
    <row r="9" ht="20.5" customHeight="1">
      <c r="A9" t="s" s="18">
        <v>33</v>
      </c>
      <c r="B9" t="s" s="19">
        <v>34</v>
      </c>
      <c r="C9" s="24"/>
      <c r="D9" s="25">
        <v>2520</v>
      </c>
      <c r="E9" s="26" cm="1">
        <f t="array" ref="E9">D9</f>
        <v>2520</v>
      </c>
      <c r="F9" s="26" cm="1">
        <f t="array" ref="F9">D9</f>
        <v>2520</v>
      </c>
      <c r="G9" t="s" s="27">
        <v>35</v>
      </c>
      <c r="H9" s="26">
        <v>2996.59</v>
      </c>
      <c r="I9" s="122">
        <v>2996.31</v>
      </c>
      <c r="J9" s="122">
        <v>2996.31</v>
      </c>
      <c r="K9" s="26">
        <v>11</v>
      </c>
      <c r="L9" s="26" cm="1">
        <f t="array" ref="L9">IF(D9&gt;0,IF($D9&lt;=0,0,D9*H9),"")</f>
        <v>7551406.8</v>
      </c>
      <c r="M9" s="26" cm="1">
        <f t="array" ref="M9">IF(E9&gt;0,IF($D9&lt;=0,0,ROUND(E9*I9,2)),"")</f>
        <v>7550701.2</v>
      </c>
      <c r="N9" s="28" cm="1">
        <f t="array" ref="N9">IF(F9&gt;0,IF($D9&lt;=0,0,ROUND(F9*J9,2)),"")</f>
        <v>7550701.2</v>
      </c>
    </row>
    <row r="10" ht="20.5" customHeight="1">
      <c r="A10" s="29"/>
      <c r="B10" t="s" s="19">
        <v>36</v>
      </c>
      <c r="C10" s="20"/>
      <c r="D10" s="21"/>
      <c r="E10" s="21"/>
      <c r="F10" s="21"/>
      <c r="G10" s="79"/>
      <c r="H10" s="79"/>
      <c r="I10" s="283"/>
      <c r="J10" s="283"/>
      <c r="K10" s="21"/>
      <c r="L10" t="str" s="79" cm="1">
        <f t="array" ref="L10">IF(D10&gt;0,IF($D10&lt;=0,0,D10*H11),"")</f>
      </c>
      <c r="M10" s="21"/>
      <c r="N10" s="23"/>
    </row>
    <row r="11" ht="20.6" customHeight="1">
      <c r="A11" s="33">
        <v>1</v>
      </c>
      <c r="B11" t="s" s="34">
        <v>37</v>
      </c>
      <c r="C11" s="80"/>
      <c r="D11" s="81">
        <v>1</v>
      </c>
      <c r="E11" s="81" cm="1">
        <f t="array" ref="E11">D11</f>
        <v>1</v>
      </c>
      <c r="F11" s="81" cm="1">
        <f t="array" ref="F11">D11</f>
        <v>1</v>
      </c>
      <c r="G11" t="s" s="82">
        <v>19</v>
      </c>
      <c r="H11" s="138">
        <v>356880.33</v>
      </c>
      <c r="I11" s="138">
        <v>356783.81</v>
      </c>
      <c r="J11" s="138">
        <v>356783.81</v>
      </c>
      <c r="K11" s="81">
        <v>0</v>
      </c>
      <c r="L11" s="81" cm="1">
        <f t="array" ref="L11">IF(D11&gt;0,IF($D11&lt;=0,0,D11*H11),"")</f>
        <v>356880.33</v>
      </c>
      <c r="M11" s="81" cm="1">
        <f t="array" ref="M11">IF(E11&gt;0,IF($D11&lt;=0,0,ROUND(E11*I11,2)),"")</f>
        <v>356783.81</v>
      </c>
      <c r="N11" s="83" cm="1">
        <f t="array" ref="N11">IF(F11&gt;0,IF($D11&lt;=0,0,ROUND(F11*J11,2)),"")</f>
        <v>356783.81</v>
      </c>
    </row>
    <row r="12" ht="8.75" customHeight="1" hidden="1">
      <c r="A12" s="39"/>
      <c r="B12" s="40"/>
      <c r="C12" s="45"/>
      <c r="D12" s="46"/>
      <c r="E12" s="46"/>
      <c r="F12" s="46"/>
      <c r="G12" s="47"/>
      <c r="H12" s="46"/>
      <c r="I12" s="46"/>
      <c r="J12" s="46"/>
      <c r="K12" s="46"/>
      <c r="L12" s="46"/>
      <c r="M12" s="46"/>
      <c r="N12" s="48"/>
    </row>
    <row r="13" ht="8.75" customHeight="1" hidden="1">
      <c r="A13" s="39"/>
      <c r="B13" s="40"/>
      <c r="C13" s="41"/>
      <c r="D13" s="42"/>
      <c r="E13" s="42"/>
      <c r="F13" s="42"/>
      <c r="G13" s="43"/>
      <c r="H13" s="42"/>
      <c r="I13" s="42"/>
      <c r="J13" s="42"/>
      <c r="K13" s="42"/>
      <c r="L13" s="42"/>
      <c r="M13" s="42"/>
      <c r="N13" s="44"/>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2"/>
      <c r="I15" s="42"/>
      <c r="J15" s="42"/>
      <c r="K15" s="42"/>
      <c r="L15" s="42"/>
      <c r="M15" s="42"/>
      <c r="N15" s="44"/>
    </row>
    <row r="16" ht="8.75" customHeight="1" hidden="1">
      <c r="A16" s="39"/>
      <c r="B16" s="40"/>
      <c r="C16" s="45"/>
      <c r="D16" s="46"/>
      <c r="E16" s="46"/>
      <c r="F16" s="46"/>
      <c r="G16" s="47"/>
      <c r="H16" s="46"/>
      <c r="I16" s="46"/>
      <c r="J16" s="46"/>
      <c r="K16" s="46"/>
      <c r="L16" s="46"/>
      <c r="M16" s="46"/>
      <c r="N16" s="48"/>
    </row>
    <row r="17" ht="8.75" customHeight="1" hidden="1">
      <c r="A17" s="39"/>
      <c r="B17" s="40"/>
      <c r="C17" s="41"/>
      <c r="D17" s="42"/>
      <c r="E17" s="42"/>
      <c r="F17" s="42"/>
      <c r="G17" s="43"/>
      <c r="H17" s="42"/>
      <c r="I17" s="42"/>
      <c r="J17" s="42"/>
      <c r="K17" s="42"/>
      <c r="L17" s="42"/>
      <c r="M17" s="42"/>
      <c r="N17" s="44"/>
    </row>
    <row r="18" ht="8.75" customHeight="1" hidden="1">
      <c r="A18" s="39"/>
      <c r="B18" s="40"/>
      <c r="C18" s="45"/>
      <c r="D18" s="46"/>
      <c r="E18" s="46"/>
      <c r="F18" s="46"/>
      <c r="G18" s="47"/>
      <c r="H18" s="47"/>
      <c r="I18" s="47"/>
      <c r="J18" s="47"/>
      <c r="K18" s="46"/>
      <c r="L18" s="47"/>
      <c r="M18" s="47"/>
      <c r="N18" s="52"/>
    </row>
    <row r="19" ht="8.75" customHeight="1" hidden="1">
      <c r="A19" s="39"/>
      <c r="B19" s="40"/>
      <c r="C19" s="41"/>
      <c r="D19" s="42"/>
      <c r="E19" s="42"/>
      <c r="F19" s="42"/>
      <c r="G19" s="43"/>
      <c r="H19" s="84"/>
      <c r="I19" s="84"/>
      <c r="J19" s="84"/>
      <c r="K19" s="42"/>
      <c r="L19" s="42"/>
      <c r="M19" s="42"/>
      <c r="N19" s="44"/>
    </row>
    <row r="20" ht="8.75" customHeight="1" hidden="1">
      <c r="A20" s="39"/>
      <c r="B20" s="40"/>
      <c r="C20" s="45"/>
      <c r="D20" s="46"/>
      <c r="E20" s="46"/>
      <c r="F20" s="46"/>
      <c r="G20" s="47"/>
      <c r="H20" s="47"/>
      <c r="I20" s="47"/>
      <c r="J20" s="47"/>
      <c r="K20" s="46"/>
      <c r="L20" s="47"/>
      <c r="M20" s="47"/>
      <c r="N20" s="52"/>
    </row>
    <row r="21" ht="8.75" customHeight="1" hidden="1">
      <c r="A21" s="39"/>
      <c r="B21" s="40"/>
      <c r="C21" s="41"/>
      <c r="D21" s="42"/>
      <c r="E21" s="42"/>
      <c r="F21" s="42"/>
      <c r="G21" s="43"/>
      <c r="H21" s="42"/>
      <c r="I21" s="42"/>
      <c r="J21" s="42"/>
      <c r="K21" s="42"/>
      <c r="L21" s="42"/>
      <c r="M21" s="42"/>
      <c r="N21" s="44"/>
    </row>
    <row r="22" ht="8.75" customHeight="1" hidden="1">
      <c r="A22" s="39"/>
      <c r="B22" s="40"/>
      <c r="C22" s="45"/>
      <c r="D22" s="46"/>
      <c r="E22" s="46"/>
      <c r="F22" s="46"/>
      <c r="G22" s="47"/>
      <c r="H22" s="46"/>
      <c r="I22" s="46"/>
      <c r="J22" s="46"/>
      <c r="K22" s="46"/>
      <c r="L22" s="46"/>
      <c r="M22" s="46"/>
      <c r="N22" s="48"/>
    </row>
    <row r="23" ht="8.75" customHeight="1" hidden="1">
      <c r="A23" s="51"/>
      <c r="B23" s="40"/>
      <c r="C23" s="41"/>
      <c r="D23" s="42"/>
      <c r="E23" s="42"/>
      <c r="F23" s="42"/>
      <c r="G23" s="43"/>
      <c r="H23" s="42"/>
      <c r="I23" s="42"/>
      <c r="J23" s="42"/>
      <c r="K23" s="42"/>
      <c r="L23" s="42"/>
      <c r="M23" s="42"/>
      <c r="N23" s="44"/>
    </row>
    <row r="24" ht="8.75" customHeight="1" hidden="1">
      <c r="A24" s="51"/>
      <c r="B24" s="40"/>
      <c r="C24" s="45"/>
      <c r="D24" s="46"/>
      <c r="E24" s="46"/>
      <c r="F24" s="46"/>
      <c r="G24" s="47"/>
      <c r="H24" s="46"/>
      <c r="I24" s="46"/>
      <c r="J24" s="46"/>
      <c r="K24" s="46"/>
      <c r="L24" s="46"/>
      <c r="M24" s="46"/>
      <c r="N24" s="48"/>
    </row>
    <row r="25" ht="8.75" customHeight="1" hidden="1">
      <c r="A25" s="39"/>
      <c r="B25" s="40"/>
      <c r="C25" s="41"/>
      <c r="D25" s="42"/>
      <c r="E25" s="42"/>
      <c r="F25" s="42"/>
      <c r="G25" s="43"/>
      <c r="H25" s="42"/>
      <c r="I25" s="42"/>
      <c r="J25" s="42"/>
      <c r="K25" s="42"/>
      <c r="L25" s="43"/>
      <c r="M25" s="43"/>
      <c r="N25" s="49"/>
    </row>
    <row r="26" ht="8.75" customHeight="1" hidden="1">
      <c r="A26" s="39"/>
      <c r="B26" s="40"/>
      <c r="C26" s="45"/>
      <c r="D26" s="46"/>
      <c r="E26" s="46"/>
      <c r="F26" s="46"/>
      <c r="G26" s="47"/>
      <c r="H26" s="46"/>
      <c r="I26" s="46"/>
      <c r="J26" s="46"/>
      <c r="K26" s="46"/>
      <c r="L26" s="46"/>
      <c r="M26" s="46"/>
      <c r="N26" s="48"/>
    </row>
    <row r="27" ht="8.75" customHeight="1" hidden="1">
      <c r="A27" s="39"/>
      <c r="B27" s="40"/>
      <c r="C27" s="41"/>
      <c r="D27" s="42"/>
      <c r="E27" s="42"/>
      <c r="F27" s="42"/>
      <c r="G27" s="43"/>
      <c r="H27" s="42"/>
      <c r="I27" s="42"/>
      <c r="J27" s="42"/>
      <c r="K27" s="42"/>
      <c r="L27" s="43"/>
      <c r="M27" s="43"/>
      <c r="N27" s="49"/>
    </row>
    <row r="28" ht="20.85" customHeight="1">
      <c r="A28" s="53"/>
      <c r="B28" s="54"/>
      <c r="C28" s="54"/>
      <c r="D28" s="55"/>
      <c r="E28" s="55"/>
      <c r="F28" s="55"/>
      <c r="G28" s="56"/>
      <c r="H28" s="56"/>
      <c r="I28" s="54"/>
      <c r="J28" s="57"/>
      <c r="K28" t="s" s="58">
        <v>38</v>
      </c>
      <c r="L28" s="59" cm="1">
        <f t="array" ref="L28">SUM(L1:L27)</f>
        <v>161872847.355</v>
      </c>
      <c r="M28" s="59" cm="1">
        <f t="array" ref="M28">SUM(M1:M27)</f>
        <v>161821962.51</v>
      </c>
      <c r="N28" s="59" cm="1">
        <f t="array" ref="N28">SUM(N1:N27)</f>
        <v>161821962.51</v>
      </c>
    </row>
    <row r="29" ht="21" customHeight="1">
      <c r="A29" s="60"/>
      <c r="B29" t="s" s="61">
        <v>39</v>
      </c>
      <c r="C29" s="62"/>
      <c r="D29" s="63" cm="1">
        <f t="array" ref="D29">ROUND(IF(L29&lt;=100000000,L29*0.24%,IF(AND(L29&gt;100000000,L29&lt;=500000000),100000000*0.24%+(L29-100000000)*0.19%,IF(AND(L29&gt;500000000,L29&lt;=1000000000),100000000*0.24%+400000000*0.19%+(L29-500000000)*0.15%,IF(AND(L29&gt;1000000000,L29&lt;=5000000000),100000000*0.24%+400000000*0.19%+500000000*0.15%+(L29-1000000000)*0.12%,IF(L29&gt;5000000000,100000000*0.24%+400000000*0.19%+500000000*0.15%+4000000000*0.12%+(L29-5000000000)*0.1%,"Bingung komputer"))))),2)</f>
        <v>356880.34</v>
      </c>
      <c r="E29" s="64" cm="1">
        <f t="array" ref="E29">ROUND(IF(M29&lt;=100000000,M29*0.24%,IF(AND(M29&gt;100000000,M29&lt;=500000000),100000000*0.24%+(M29-100000000)*0.19%,IF(AND(M29&gt;500000000,M29&lt;=1000000000),100000000*0.24%+400000000*0.19%+(M29-500000000)*0.15%,IF(AND(M29&gt;1000000000,M29&lt;=5000000000),100000000*0.24%+400000000*0.19%+500000000*0.15%+(M29-1000000000)*0.12%,IF(M29&gt;5000000000,100000000*0.24%+400000000*0.19%+500000000*0.15%+4000000000*0.12%+(M29-5000000000)*0.1%,"Bingung komputer"))))),2)</f>
        <v>356783.84</v>
      </c>
      <c r="F29" s="64" cm="1">
        <f t="array" ref="F29">ROUND(IF(N29&lt;=100000000,N29*0.24%,IF(AND(N29&gt;100000000,N29&lt;=500000000),100000000*0.24%+(N29-100000000)*0.19%,IF(AND(N29&gt;500000000,N29&lt;=1000000000),100000000*0.24%+400000000*0.19%+(N29-500000000)*0.15%,IF(AND(N29&gt;1000000000,N29&lt;=5000000000),100000000*0.24%+400000000*0.19%+500000000*0.15%+(N29-1000000000)*0.12%,IF(N29&gt;5000000000,100000000*0.24%+400000000*0.19%+500000000*0.15%+4000000000*0.12%+(N29-5000000000)*0.1%,"Bingung komputer"))))),2)</f>
        <v>356783.84</v>
      </c>
      <c r="G29" s="65"/>
      <c r="H29" s="66"/>
      <c r="I29" s="62"/>
      <c r="J29" s="67"/>
      <c r="K29" t="str" s="67" cm="1">
        <f t="array" ref="K29">"Jumlah Terkena Pajak "&amp;MAX(K3:K27)&amp;"% (B)"</f>
        <v>Jumlah Terkena Pajak 11,00% (B)</v>
      </c>
      <c r="L29" s="68" cm="1">
        <f t="array" ref="L29">SUMIF($K3:$K27,"&gt;0",L3:L27)</f>
        <v>161515967.025</v>
      </c>
      <c r="M29" s="69" cm="1">
        <f t="array" ref="M29">SUMIF($K3:$K27,"&gt;0",M3:M27)</f>
        <v>161465178.7</v>
      </c>
      <c r="N29" s="69" cm="1">
        <f t="array" ref="N29">SUMIF($K3:$K27,"&gt;0",N3:N27)</f>
        <v>161465178.7</v>
      </c>
    </row>
    <row r="30" ht="21" customHeight="1">
      <c r="A30" s="70"/>
      <c r="B30" s="71"/>
      <c r="C30" s="71"/>
      <c r="D30" s="72"/>
      <c r="E30" s="72"/>
      <c r="F30" s="71"/>
      <c r="G30" s="72"/>
      <c r="H30" s="72"/>
      <c r="I30" s="71"/>
      <c r="J30" s="73"/>
      <c r="K30" t="str" s="73" cm="1">
        <f t="array" ref="K30">"PPN (C) = "&amp;MAX(K3:K27)&amp;"% x B"</f>
        <v>PPN (C) = 11,00% x B</v>
      </c>
      <c r="L30" s="74" cm="1">
        <f t="array" ref="L30">L29*MAX($K3:$K27)%</f>
        <v>17766756.37275</v>
      </c>
      <c r="M30" s="69" cm="1">
        <f t="array" ref="M30">M29*MAX($K3:$K27)%</f>
        <v>17761169.657</v>
      </c>
      <c r="N30" s="69" cm="1">
        <f t="array" ref="N30">N29*MAX($K3:$K27)%</f>
        <v>17761169.657</v>
      </c>
    </row>
    <row r="31" ht="21" customHeight="1">
      <c r="A31" s="70"/>
      <c r="B31" s="71"/>
      <c r="C31" s="71"/>
      <c r="D31" s="72"/>
      <c r="E31" s="72"/>
      <c r="F31" s="72"/>
      <c r="G31" s="72"/>
      <c r="H31" s="72"/>
      <c r="I31" s="71"/>
      <c r="J31" s="73"/>
      <c r="K31" t="s" s="75">
        <v>42</v>
      </c>
      <c r="L31" s="76" cm="1">
        <f t="array" ref="L31">L28+L30</f>
        <v>179639603.72775</v>
      </c>
      <c r="M31" s="69" cm="1">
        <f t="array" ref="M31">M28+M30</f>
        <v>179583132.167</v>
      </c>
      <c r="N31" s="69" cm="1">
        <f t="array" ref="N31">N28+N30</f>
        <v>179583132.167</v>
      </c>
    </row>
    <row r="32" ht="20.5" customHeight="1">
      <c r="A32" s="70"/>
      <c r="B32" s="71"/>
      <c r="C32" s="71"/>
      <c r="D32" s="72"/>
      <c r="E32" s="72"/>
      <c r="F32" s="72"/>
      <c r="G32" s="72"/>
      <c r="H32" s="72"/>
      <c r="I32" s="71"/>
      <c r="J32" s="73"/>
      <c r="K32" t="s" s="75">
        <v>43</v>
      </c>
      <c r="L32" s="68" cm="1">
        <f t="array" ref="L32">ROUNDDOWN(L31,2)</f>
        <v>179639603.72</v>
      </c>
      <c r="M32" s="68" cm="1">
        <f t="array" ref="M32">ROUNDDOWN(M31,2)</f>
        <v>179583132.16</v>
      </c>
      <c r="N32" s="68" cm="1">
        <f t="array" ref="N32">ROUNDDOWN(N31,-3)</f>
        <v>179583000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27.xml><?xml version="1.0" encoding="utf-8"?>
<worksheet xmlns:r="http://schemas.openxmlformats.org/officeDocument/2006/relationships" xmlns="http://schemas.openxmlformats.org/spreadsheetml/2006/main">
  <sheetPr>
    <pageSetUpPr fitToPage="1"/>
  </sheetPr>
  <dimension ref="A1:O26"/>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7.17188" style="321" customWidth="1"/>
    <col min="2" max="2" width="43.0312" style="321" customWidth="1"/>
    <col min="3" max="3" width="2.75" style="321" customWidth="1"/>
    <col min="4" max="6" width="10.3672" style="321" customWidth="1"/>
    <col min="7" max="7" width="11.6875" style="321" customWidth="1"/>
    <col min="8" max="11" width="13.5156" style="321" customWidth="1"/>
    <col min="12" max="15" width="14.2344" style="321" customWidth="1"/>
    <col min="16" max="16384" width="16.3516" style="321" customWidth="1"/>
  </cols>
  <sheetData>
    <row r="1" ht="20.5" customHeight="1">
      <c r="A1" t="s" s="7">
        <v>6</v>
      </c>
      <c r="B1" t="s" s="7">
        <v>7</v>
      </c>
      <c r="C1" s="8"/>
      <c r="D1" t="s" s="7">
        <v>8</v>
      </c>
      <c r="E1" s="8"/>
      <c r="F1" s="8"/>
      <c r="G1" t="s" s="7">
        <v>9</v>
      </c>
      <c r="H1" t="s" s="7">
        <v>10</v>
      </c>
      <c r="I1" s="8"/>
      <c r="J1" s="8"/>
      <c r="K1" t="s" s="7">
        <v>11</v>
      </c>
      <c r="L1" t="s" s="7">
        <v>12</v>
      </c>
      <c r="M1" s="8"/>
      <c r="N1" s="8"/>
      <c r="O1" s="88"/>
    </row>
    <row r="2" ht="20.85" customHeight="1">
      <c r="A2" s="9"/>
      <c r="B2" s="9"/>
      <c r="C2" s="9"/>
      <c r="D2" t="s" s="10">
        <v>13</v>
      </c>
      <c r="E2" t="s" s="10">
        <v>14</v>
      </c>
      <c r="F2" t="s" s="10">
        <v>15</v>
      </c>
      <c r="G2" s="9"/>
      <c r="H2" t="s" s="10">
        <v>13</v>
      </c>
      <c r="I2" t="s" s="10">
        <v>14</v>
      </c>
      <c r="J2" t="s" s="10">
        <v>15</v>
      </c>
      <c r="K2" s="9"/>
      <c r="L2" t="s" s="10">
        <v>13</v>
      </c>
      <c r="M2" t="s" s="10">
        <v>14</v>
      </c>
      <c r="N2" t="s" s="10">
        <v>15</v>
      </c>
      <c r="O2" s="89"/>
    </row>
    <row r="3" ht="20.6" customHeight="1">
      <c r="A3" t="s" s="90">
        <v>51</v>
      </c>
      <c r="B3" t="s" s="12">
        <v>52</v>
      </c>
      <c r="C3" s="13"/>
      <c r="D3" s="14"/>
      <c r="E3" s="14"/>
      <c r="F3" s="14"/>
      <c r="G3" s="15"/>
      <c r="H3" s="15"/>
      <c r="I3" s="15"/>
      <c r="J3" s="15"/>
      <c r="K3" s="15"/>
      <c r="L3" t="str" s="16" cm="1">
        <f t="array" ref="L3">IF(D3&gt;0,IF($D3&lt;=0,0,D3*H3),"")</f>
      </c>
      <c r="M3" t="str" s="16" cm="1">
        <f t="array" ref="M3">IF(E3&gt;0,IF($D3&lt;=0,0,ROUND(E3*I3,2)),"")</f>
      </c>
      <c r="N3" t="str" s="16" cm="1">
        <f t="array" ref="N3">IF(F3&gt;0,IF($D3&lt;=0,0,ROUND(F3*J3,2)),"")</f>
      </c>
      <c r="O3" s="17"/>
    </row>
    <row r="4" ht="20.5" customHeight="1">
      <c r="A4" t="s" s="18">
        <v>53</v>
      </c>
      <c r="B4" t="s" s="19">
        <v>54</v>
      </c>
      <c r="C4" s="20"/>
      <c r="D4" s="21"/>
      <c r="E4" s="21"/>
      <c r="F4" s="21"/>
      <c r="G4" s="79"/>
      <c r="H4" s="21"/>
      <c r="I4" s="79"/>
      <c r="J4" s="21"/>
      <c r="K4" s="21"/>
      <c r="L4" t="str" s="79" cm="1">
        <f t="array" ref="L4">IF(D4&gt;0,IF($D4&lt;=0,0,D4*H4),"")</f>
      </c>
      <c r="M4" t="str" s="79" cm="1">
        <f t="array" ref="M4">IF(E4&gt;0,IF($D4&lt;=0,0,ROUND(E4*I4,2)),"")</f>
      </c>
      <c r="N4" t="str" s="79" cm="1">
        <f t="array" ref="N4">IF(F4&gt;0,IF($D4&lt;=0,0,ROUND(F4*J4,2)),"")</f>
      </c>
      <c r="O4" s="91"/>
    </row>
    <row r="5" ht="20.5" customHeight="1">
      <c r="A5" s="92">
        <v>1</v>
      </c>
      <c r="B5" t="s" s="19">
        <v>55</v>
      </c>
      <c r="C5" s="24"/>
      <c r="D5" s="26">
        <v>6</v>
      </c>
      <c r="E5" s="26" cm="1">
        <f t="array" ref="E5">D5</f>
        <v>6</v>
      </c>
      <c r="F5" s="26" cm="1">
        <f t="array" ref="F5">D5</f>
        <v>6</v>
      </c>
      <c r="G5" t="s" s="27">
        <v>56</v>
      </c>
      <c r="H5" s="26">
        <v>12000000</v>
      </c>
      <c r="I5" s="26">
        <v>12000000</v>
      </c>
      <c r="J5" s="26">
        <v>12000000</v>
      </c>
      <c r="K5" s="26">
        <v>11</v>
      </c>
      <c r="L5" s="26" cm="1">
        <f t="array" ref="L5">IF(D5&gt;0,IF($D5&lt;=0,0,D5*H5),"")</f>
        <v>72000000</v>
      </c>
      <c r="M5" s="26" cm="1">
        <f t="array" ref="M5">IF(E5&gt;0,IF($D5&lt;=0,0,ROUND(E5*I5,2)),"")</f>
        <v>72000000</v>
      </c>
      <c r="N5" s="26" cm="1">
        <f t="array" ref="N5">IF(F5&gt;0,IF($D5&lt;=0,0,ROUND(F5*J5,2)),"")</f>
        <v>72000000</v>
      </c>
      <c r="O5" s="28"/>
    </row>
    <row r="6" ht="20.5" customHeight="1">
      <c r="A6" t="s" s="93">
        <v>58</v>
      </c>
      <c r="B6" t="s" s="19">
        <v>59</v>
      </c>
      <c r="C6" s="20"/>
      <c r="D6" s="21"/>
      <c r="E6" s="21"/>
      <c r="F6" s="21"/>
      <c r="G6" s="79"/>
      <c r="H6" s="21"/>
      <c r="I6" s="21"/>
      <c r="J6" s="21"/>
      <c r="K6" s="21"/>
      <c r="L6" t="str" s="79" cm="1">
        <f t="array" ref="L6">IF(D6&gt;0,IF($D6&lt;=0,0,D6*H6),"")</f>
      </c>
      <c r="M6" t="str" s="79" cm="1">
        <f t="array" ref="M6">IF(E6&gt;0,IF($D6&lt;=0,0,ROUND(E6*I6,2)),"")</f>
      </c>
      <c r="N6" t="str" s="79" cm="1">
        <f t="array" ref="N6">IF(F6&gt;0,IF($D6&lt;=0,0,ROUND(F6*J6,2)),"")</f>
      </c>
      <c r="O6" s="91"/>
    </row>
    <row r="7" ht="20.5" customHeight="1">
      <c r="A7" t="s" s="18">
        <v>53</v>
      </c>
      <c r="B7" t="s" s="19">
        <v>60</v>
      </c>
      <c r="C7" s="24"/>
      <c r="D7" s="26"/>
      <c r="E7" s="26"/>
      <c r="F7" s="26"/>
      <c r="G7" s="30"/>
      <c r="H7" s="26"/>
      <c r="I7" s="26"/>
      <c r="J7" s="26"/>
      <c r="K7" s="26"/>
      <c r="L7" t="str" s="30" cm="1">
        <f t="array" ref="L7">IF(D7&gt;0,IF($D7&lt;=0,0,D7*H7),"")</f>
      </c>
      <c r="M7" t="str" s="30" cm="1">
        <f t="array" ref="M7">IF(E7&gt;0,IF($D7&lt;=0,0,ROUND(E7*I7,2)),"")</f>
      </c>
      <c r="N7" t="str" s="30" cm="1">
        <f t="array" ref="N7">IF(F7&gt;0,IF($D7&lt;=0,0,ROUND(F7*J7,2)),"")</f>
      </c>
      <c r="O7" s="31"/>
    </row>
    <row r="8" ht="20.5" customHeight="1">
      <c r="A8" s="94">
        <v>1</v>
      </c>
      <c r="B8" t="s" s="19">
        <v>61</v>
      </c>
      <c r="C8" s="20"/>
      <c r="D8" s="21">
        <v>6</v>
      </c>
      <c r="E8" s="21" cm="1">
        <f t="array" ref="E8">D8</f>
        <v>6</v>
      </c>
      <c r="F8" s="21" cm="1">
        <f t="array" ref="F8">D8</f>
        <v>6</v>
      </c>
      <c r="G8" t="s" s="22">
        <v>62</v>
      </c>
      <c r="H8" s="21">
        <v>250000</v>
      </c>
      <c r="I8" s="21">
        <v>300000</v>
      </c>
      <c r="J8" s="21">
        <v>300000</v>
      </c>
      <c r="K8" s="21">
        <v>11</v>
      </c>
      <c r="L8" s="21" cm="1">
        <f t="array" ref="L8">IF(D8&gt;0,IF($D8&lt;=0,0,D8*H8),"")</f>
        <v>1500000</v>
      </c>
      <c r="M8" s="21" cm="1">
        <f t="array" ref="M8">IF(E8&gt;0,IF($D8&lt;=0,0,ROUND(E8*I8,2)),"")</f>
        <v>1800000</v>
      </c>
      <c r="N8" s="21" cm="1">
        <f t="array" ref="N8">IF(F8&gt;0,IF($D8&lt;=0,0,ROUND(F8*J8,2)),"")</f>
        <v>1800000</v>
      </c>
      <c r="O8" s="23"/>
    </row>
    <row r="9" ht="32.5" customHeight="1">
      <c r="A9" s="95">
        <v>2</v>
      </c>
      <c r="B9" t="s" s="19">
        <v>63</v>
      </c>
      <c r="C9" s="24"/>
      <c r="D9" s="26">
        <v>6</v>
      </c>
      <c r="E9" s="26" cm="1">
        <f t="array" ref="E9">D9</f>
        <v>6</v>
      </c>
      <c r="F9" s="26" cm="1">
        <f t="array" ref="F9">D9</f>
        <v>6</v>
      </c>
      <c r="G9" t="s" s="27">
        <v>64</v>
      </c>
      <c r="H9" s="26">
        <v>800000</v>
      </c>
      <c r="I9" s="26">
        <v>500000</v>
      </c>
      <c r="J9" s="26">
        <v>500000</v>
      </c>
      <c r="K9" s="26">
        <v>11</v>
      </c>
      <c r="L9" s="26" cm="1">
        <f t="array" ref="L9">IF(D9&gt;0,IF($D9&lt;=0,0,D9*H9),"")</f>
        <v>4800000</v>
      </c>
      <c r="M9" s="26" cm="1">
        <f t="array" ref="M9">IF(E9&gt;0,IF($D9&lt;=0,0,ROUND(E9*I9,2)),"")</f>
        <v>3000000</v>
      </c>
      <c r="N9" s="26" cm="1">
        <f t="array" ref="N9">IF(F9&gt;0,IF($D9&lt;=0,0,ROUND(F9*J9,2)),"")</f>
        <v>3000000</v>
      </c>
      <c r="O9" s="28"/>
    </row>
    <row r="10" ht="20.5" customHeight="1">
      <c r="A10" s="94"/>
      <c r="B10" t="s" s="19">
        <v>66</v>
      </c>
      <c r="C10" s="20"/>
      <c r="D10" s="21"/>
      <c r="E10" s="21"/>
      <c r="F10" s="21"/>
      <c r="G10" s="79"/>
      <c r="H10" s="21"/>
      <c r="I10" s="21"/>
      <c r="J10" s="21"/>
      <c r="K10" s="21"/>
      <c r="L10" t="str" s="79" cm="1">
        <f t="array" ref="L10">IF(D10&gt;0,IF($D10&lt;=0,0,D10*H10),"")</f>
      </c>
      <c r="M10" t="str" s="79" cm="1">
        <f t="array" ref="M10">IF(E10&gt;0,IF($D10&lt;=0,0,ROUND(E10*I10,2)),"")</f>
      </c>
      <c r="N10" t="str" s="79" cm="1">
        <f t="array" ref="N10">IF(F10&gt;0,IF($D10&lt;=0,0,ROUND(F10*J10,2)),"")</f>
      </c>
      <c r="O10" s="23"/>
    </row>
    <row r="11" ht="20.5" customHeight="1">
      <c r="A11" s="94">
        <v>4</v>
      </c>
      <c r="B11" t="s" s="19">
        <v>67</v>
      </c>
      <c r="C11" s="24"/>
      <c r="D11" s="26">
        <v>1</v>
      </c>
      <c r="E11" s="26" cm="1">
        <f t="array" ref="E11">D11</f>
        <v>1</v>
      </c>
      <c r="F11" s="26" cm="1">
        <f t="array" ref="F11">D11</f>
        <v>1</v>
      </c>
      <c r="G11" t="s" s="27">
        <v>68</v>
      </c>
      <c r="H11" s="26">
        <v>150000</v>
      </c>
      <c r="I11" s="26">
        <v>150000</v>
      </c>
      <c r="J11" s="26">
        <v>150000</v>
      </c>
      <c r="K11" s="26">
        <v>11</v>
      </c>
      <c r="L11" s="26" cm="1">
        <f t="array" ref="L11">IF(D11&gt;0,IF($D11&lt;=0,0,D11*H11),"")</f>
        <v>150000</v>
      </c>
      <c r="M11" s="26" cm="1">
        <f t="array" ref="M11">IF(E11&gt;0,IF($D11&lt;=0,0,ROUND(E11*I11,2)),"")</f>
        <v>150000</v>
      </c>
      <c r="N11" s="26" cm="1">
        <f t="array" ref="N11">IF(F11&gt;0,IF($D11&lt;=0,0,ROUND(F11*J11,2)),"")</f>
        <v>150000</v>
      </c>
      <c r="O11" s="28"/>
    </row>
    <row r="12" ht="20.5" customHeight="1">
      <c r="A12" s="94">
        <v>5</v>
      </c>
      <c r="B12" t="s" s="19">
        <v>69</v>
      </c>
      <c r="C12" s="20"/>
      <c r="D12" s="21">
        <v>1</v>
      </c>
      <c r="E12" s="21" cm="1">
        <f t="array" ref="E12">D12</f>
        <v>1</v>
      </c>
      <c r="F12" s="21" cm="1">
        <f t="array" ref="F12">D12</f>
        <v>1</v>
      </c>
      <c r="G12" t="s" s="22">
        <v>68</v>
      </c>
      <c r="H12" s="21">
        <v>400000</v>
      </c>
      <c r="I12" s="21">
        <v>350000</v>
      </c>
      <c r="J12" s="21">
        <v>350000</v>
      </c>
      <c r="K12" s="21">
        <v>11</v>
      </c>
      <c r="L12" s="21" cm="1">
        <f t="array" ref="L12">IF(D12&gt;0,IF($D12&lt;=0,0,D12*H12),"")</f>
        <v>400000</v>
      </c>
      <c r="M12" s="21" cm="1">
        <f t="array" ref="M12">IF(E12&gt;0,IF($D12&lt;=0,0,ROUND(E12*I12,2)),"")</f>
        <v>350000</v>
      </c>
      <c r="N12" s="21" cm="1">
        <f t="array" ref="N12">IF(F12&gt;0,IF($D12&lt;=0,0,ROUND(F12*J12,2)),"")</f>
        <v>350000</v>
      </c>
      <c r="O12" s="23"/>
    </row>
    <row r="13" ht="20.5" customHeight="1">
      <c r="A13" t="s" s="18">
        <v>71</v>
      </c>
      <c r="B13" t="s" s="19">
        <v>70</v>
      </c>
      <c r="C13" s="24"/>
      <c r="D13" s="26"/>
      <c r="E13" s="26"/>
      <c r="F13" s="26"/>
      <c r="G13" s="30"/>
      <c r="H13" s="26"/>
      <c r="I13" s="26"/>
      <c r="J13" s="26"/>
      <c r="K13" s="26"/>
      <c r="L13" t="str" s="30" cm="1">
        <f t="array" ref="L13">IF(D13&gt;0,IF($D13&lt;=0,0,D13*H13),"")</f>
      </c>
      <c r="M13" t="str" s="30" cm="1">
        <f t="array" ref="M13">IF(E13&gt;0,IF($D13&lt;=0,0,ROUND(E13*I13,2)),"")</f>
      </c>
      <c r="N13" t="str" s="30" cm="1">
        <f t="array" ref="N13">IF(F13&gt;0,IF($D13&lt;=0,0,ROUND(F13*J13,2)),"")</f>
      </c>
      <c r="O13" s="31"/>
    </row>
    <row r="14" ht="20.5" customHeight="1">
      <c r="A14" s="95">
        <v>1</v>
      </c>
      <c r="B14" t="s" s="19">
        <v>535</v>
      </c>
      <c r="C14" s="20"/>
      <c r="D14" s="21">
        <v>6</v>
      </c>
      <c r="E14" s="21" cm="1">
        <f t="array" ref="E14">D14</f>
        <v>6</v>
      </c>
      <c r="F14" s="21" cm="1">
        <f t="array" ref="F14">D14</f>
        <v>6</v>
      </c>
      <c r="G14" t="s" s="22">
        <v>73</v>
      </c>
      <c r="H14" s="21">
        <v>1000000</v>
      </c>
      <c r="I14" s="21">
        <v>1000000</v>
      </c>
      <c r="J14" s="21">
        <v>1000000</v>
      </c>
      <c r="K14" s="21">
        <v>11</v>
      </c>
      <c r="L14" s="21" cm="1">
        <f t="array" ref="L14">IF(D14&gt;0,IF($D14&lt;=0,0,D14*H14),"")</f>
        <v>6000000</v>
      </c>
      <c r="M14" s="21" cm="1">
        <f t="array" ref="M14">IF(E14&gt;0,IF($D14&lt;=0,0,ROUND(E14*I14,2)),"")</f>
        <v>6000000</v>
      </c>
      <c r="N14" s="21" cm="1">
        <f t="array" ref="N14">IF(F14&gt;0,IF($D14&lt;=0,0,ROUND(F14*J14,2)),"")</f>
        <v>6000000</v>
      </c>
      <c r="O14" s="91"/>
    </row>
    <row r="15" ht="20.5" customHeight="1">
      <c r="A15" s="95">
        <v>2</v>
      </c>
      <c r="B15" t="s" s="19">
        <v>74</v>
      </c>
      <c r="C15" s="24"/>
      <c r="D15" s="26">
        <v>3</v>
      </c>
      <c r="E15" s="26" cm="1">
        <f t="array" ref="E15">D15</f>
        <v>3</v>
      </c>
      <c r="F15" s="26" cm="1">
        <f t="array" ref="F15">D15</f>
        <v>3</v>
      </c>
      <c r="G15" t="s" s="27">
        <v>75</v>
      </c>
      <c r="H15" s="26">
        <v>250000</v>
      </c>
      <c r="I15" s="26">
        <v>250000</v>
      </c>
      <c r="J15" s="26">
        <v>250000</v>
      </c>
      <c r="K15" s="26">
        <v>11</v>
      </c>
      <c r="L15" s="26" cm="1">
        <f t="array" ref="L15">IF(D15&gt;0,IF($D15&lt;=0,0,D15*H15),"")</f>
        <v>750000</v>
      </c>
      <c r="M15" s="26" cm="1">
        <f t="array" ref="M15">IF(E15&gt;0,IF($D15&lt;=0,0,ROUND(E15*I15,2)),"")</f>
        <v>750000</v>
      </c>
      <c r="N15" s="26" cm="1">
        <f t="array" ref="N15">IF(F15&gt;0,IF($D15&lt;=0,0,ROUND(F15*J15,2)),"")</f>
        <v>750000</v>
      </c>
      <c r="O15" s="28"/>
    </row>
    <row r="16" ht="20.5" customHeight="1">
      <c r="A16" s="95">
        <v>3</v>
      </c>
      <c r="B16" t="s" s="19">
        <v>76</v>
      </c>
      <c r="C16" s="20"/>
      <c r="D16" s="21">
        <v>6</v>
      </c>
      <c r="E16" s="21" cm="1">
        <f t="array" ref="E16">D16</f>
        <v>6</v>
      </c>
      <c r="F16" s="21" cm="1">
        <f t="array" ref="F16">D16</f>
        <v>6</v>
      </c>
      <c r="G16" t="s" s="22">
        <v>75</v>
      </c>
      <c r="H16" s="21">
        <v>250000</v>
      </c>
      <c r="I16" s="21">
        <v>250000</v>
      </c>
      <c r="J16" s="21">
        <v>250000</v>
      </c>
      <c r="K16" s="21">
        <v>11</v>
      </c>
      <c r="L16" s="21" cm="1">
        <f t="array" ref="L16">IF(D16&gt;0,IF($D16&lt;=0,0,D16*H16),"")</f>
        <v>1500000</v>
      </c>
      <c r="M16" s="21" cm="1">
        <f t="array" ref="M16">IF(E16&gt;0,IF($D16&lt;=0,0,ROUND(E16*I16,2)),"")</f>
        <v>1500000</v>
      </c>
      <c r="N16" s="21" cm="1">
        <f t="array" ref="N16">IF(F16&gt;0,IF($D16&lt;=0,0,ROUND(F16*J16,2)),"")</f>
        <v>1500000</v>
      </c>
      <c r="O16" s="23"/>
    </row>
    <row r="17" ht="20.5" customHeight="1">
      <c r="A17" s="95">
        <v>4</v>
      </c>
      <c r="B17" t="s" s="19">
        <v>77</v>
      </c>
      <c r="C17" s="24"/>
      <c r="D17" s="26">
        <v>3</v>
      </c>
      <c r="E17" s="26" cm="1">
        <f t="array" ref="E17">D17</f>
        <v>3</v>
      </c>
      <c r="F17" s="26" cm="1">
        <f t="array" ref="F17">D17</f>
        <v>3</v>
      </c>
      <c r="G17" t="s" s="27">
        <v>75</v>
      </c>
      <c r="H17" s="26">
        <v>250000</v>
      </c>
      <c r="I17" s="26">
        <v>250000</v>
      </c>
      <c r="J17" s="26">
        <v>250000</v>
      </c>
      <c r="K17" s="26">
        <v>11</v>
      </c>
      <c r="L17" s="26" cm="1">
        <f t="array" ref="L17">IF(D17&gt;0,IF($D17&lt;=0,0,D17*H17),"")</f>
        <v>750000</v>
      </c>
      <c r="M17" s="26" cm="1">
        <f t="array" ref="M17">IF(E17&gt;0,IF($D17&lt;=0,0,ROUND(E17*I17,2)),"")</f>
        <v>750000</v>
      </c>
      <c r="N17" s="26" cm="1">
        <f t="array" ref="N17">IF(F17&gt;0,IF($D17&lt;=0,0,ROUND(F17*J17,2)),"")</f>
        <v>750000</v>
      </c>
      <c r="O17" s="28"/>
    </row>
    <row r="18" ht="20.5" customHeight="1">
      <c r="A18" s="95">
        <v>5</v>
      </c>
      <c r="B18" t="s" s="19">
        <v>536</v>
      </c>
      <c r="C18" s="20"/>
      <c r="D18" s="21">
        <v>1</v>
      </c>
      <c r="E18" s="21" cm="1">
        <f t="array" ref="E18">D18</f>
        <v>1</v>
      </c>
      <c r="F18" s="21" cm="1">
        <f t="array" ref="F18">D18</f>
        <v>1</v>
      </c>
      <c r="G18" t="s" s="22">
        <v>79</v>
      </c>
      <c r="H18" s="21">
        <v>2000000</v>
      </c>
      <c r="I18" s="21">
        <v>1000000</v>
      </c>
      <c r="J18" s="21">
        <v>1000000</v>
      </c>
      <c r="K18" s="21">
        <v>11</v>
      </c>
      <c r="L18" s="21" cm="1">
        <f t="array" ref="L18">IF(D18&gt;0,IF($D18&lt;=0,0,D18*H18),"")</f>
        <v>2000000</v>
      </c>
      <c r="M18" s="21" cm="1">
        <f t="array" ref="M18">IF(E18&gt;0,IF($D18&lt;=0,0,ROUND(E18*I18,2)),"")</f>
        <v>1000000</v>
      </c>
      <c r="N18" s="21" cm="1">
        <f t="array" ref="N18">IF(F18&gt;0,IF($D18&lt;=0,0,ROUND(F18*J18,2)),"")</f>
        <v>1000000</v>
      </c>
      <c r="O18" s="91"/>
    </row>
    <row r="19" ht="20.5" customHeight="1">
      <c r="A19" t="s" s="18">
        <v>80</v>
      </c>
      <c r="B19" t="s" s="19">
        <v>81</v>
      </c>
      <c r="C19" s="24"/>
      <c r="D19" s="26"/>
      <c r="E19" s="26"/>
      <c r="F19" s="26"/>
      <c r="G19" s="30"/>
      <c r="H19" s="26"/>
      <c r="I19" s="26"/>
      <c r="J19" s="26"/>
      <c r="K19" s="26"/>
      <c r="L19" t="str" s="30" cm="1">
        <f t="array" ref="L19">IF(D19&gt;0,IF($D19&lt;=0,0,D19*H19),"")</f>
      </c>
      <c r="M19" t="str" s="30" cm="1">
        <f t="array" ref="M19">IF(E19&gt;0,IF($D19&lt;=0,0,ROUND(E19*I19,2)),"")</f>
      </c>
      <c r="N19" t="str" s="30" cm="1">
        <f t="array" ref="N19">IF(F19&gt;0,IF($D19&lt;=0,0,ROUND(F19*J19,2)),"")</f>
      </c>
      <c r="O19" s="31"/>
    </row>
    <row r="20" ht="20.5" customHeight="1">
      <c r="A20" s="29"/>
      <c r="B20" t="s" s="19">
        <v>82</v>
      </c>
      <c r="C20" s="20"/>
      <c r="D20" s="21">
        <v>1</v>
      </c>
      <c r="E20" s="21" cm="1">
        <f t="array" ref="E20">D20</f>
        <v>1</v>
      </c>
      <c r="F20" s="21" cm="1">
        <f t="array" ref="F20">D20</f>
        <v>1</v>
      </c>
      <c r="G20" t="s" s="22">
        <v>19</v>
      </c>
      <c r="H20" s="21">
        <v>200000</v>
      </c>
      <c r="I20" s="21">
        <v>240000</v>
      </c>
      <c r="J20" s="21">
        <v>240000</v>
      </c>
      <c r="K20" s="21">
        <v>0</v>
      </c>
      <c r="L20" s="21" cm="1">
        <f t="array" ref="L20">IF(D20&gt;0,IF($D20&lt;=0,0,D20*H20),"")</f>
        <v>200000</v>
      </c>
      <c r="M20" s="21" cm="1">
        <f t="array" ref="M20">IF(E20&gt;0,IF($D20&lt;=0,0,ROUND(E20*I20,2)),"")</f>
        <v>240000</v>
      </c>
      <c r="N20" s="21" cm="1">
        <f t="array" ref="N20">IF(F20&gt;0,IF($D20&lt;=0,0,ROUND(F20*J20,2)),"")</f>
        <v>240000</v>
      </c>
      <c r="O20" s="23"/>
    </row>
    <row r="21" ht="20.6" customHeight="1">
      <c r="A21" s="96"/>
      <c r="B21" s="97"/>
      <c r="C21" s="80"/>
      <c r="D21" s="81"/>
      <c r="E21" s="81"/>
      <c r="F21" s="81"/>
      <c r="G21" s="98"/>
      <c r="H21" s="81"/>
      <c r="I21" s="81"/>
      <c r="J21" s="81"/>
      <c r="K21" s="81"/>
      <c r="L21" t="str" s="98" cm="1">
        <f t="array" ref="L21">IF(D21&gt;0,IF($D21&lt;=0,0,D21*H21),"")</f>
      </c>
      <c r="M21" t="str" s="98" cm="1">
        <f t="array" ref="M21">IF(E21&gt;0,IF($D21&lt;=0,0,ROUND(E21*I21,2)),"")</f>
      </c>
      <c r="N21" t="str" s="98" cm="1">
        <f t="array" ref="N21">IF(F21&gt;0,IF($D21&lt;=0,0,ROUND(F21*J21,2)),"")</f>
      </c>
      <c r="O21" s="99"/>
    </row>
    <row r="22" ht="20.85" customHeight="1">
      <c r="A22" s="54"/>
      <c r="B22" s="54"/>
      <c r="C22" s="54"/>
      <c r="D22" s="55"/>
      <c r="E22" s="55"/>
      <c r="F22" s="55"/>
      <c r="G22" s="56"/>
      <c r="H22" s="56"/>
      <c r="I22" s="54"/>
      <c r="J22" s="57"/>
      <c r="K22" t="s" s="58">
        <v>38</v>
      </c>
      <c r="L22" s="59" cm="1">
        <f t="array" ref="L22">SUM(L1:L21)</f>
        <v>90050000</v>
      </c>
      <c r="M22" s="59" cm="1">
        <f t="array" ref="M22">SUM(M1:M21)</f>
        <v>87540000</v>
      </c>
      <c r="N22" s="59" cm="1">
        <f t="array" ref="N22">SUM(N1:N21)</f>
        <v>87540000</v>
      </c>
      <c r="O22" s="59"/>
    </row>
    <row r="23" ht="21" customHeight="1">
      <c r="A23" s="62"/>
      <c r="B23" t="s" s="61">
        <v>39</v>
      </c>
      <c r="C23" s="62"/>
      <c r="D23" s="63" cm="1">
        <f t="array" ref="D23">ROUND(IF(L23&lt;=100000000,L23*0.24%,IF(AND(L23&gt;100000000,L23&lt;=500000000),100000000*0.24%+(L23-100000000)*0.19%,IF(AND(L23&gt;500000000,L23&lt;=1000000000),100000000*0.24%+400000000*0.19%+(L23-500000000)*0.15%,IF(AND(L23&gt;1000000000,L23&lt;=5000000000),100000000*0.24%+400000000*0.19%+500000000*0.15%+(L23-1000000000)*0.12%,IF(L23&gt;5000000000,100000000*0.24%+400000000*0.19%+500000000*0.15%+4000000000*0.12%+(L23-5000000000)*0.1%,"Bingung komputer"))))),2)</f>
        <v>215640</v>
      </c>
      <c r="E23" s="64" cm="1">
        <f t="array" ref="E23">ROUND(IF(M23&lt;=100000000,M23*0.24%,IF(AND(M23&gt;100000000,M23&lt;=500000000),100000000*0.24%+(M23-100000000)*0.19%,IF(AND(M23&gt;500000000,M23&lt;=1000000000),100000000*0.24%+400000000*0.19%+(M23-500000000)*0.15%,IF(AND(M23&gt;1000000000,M23&lt;=5000000000),100000000*0.24%+400000000*0.19%+500000000*0.15%+(M23-1000000000)*0.12%,IF(M23&gt;5000000000,100000000*0.24%+400000000*0.19%+500000000*0.15%+4000000000*0.12%+(M23-5000000000)*0.1%,"Bingung komputer"))))),2)</f>
        <v>209520</v>
      </c>
      <c r="F23" s="64" cm="1">
        <f t="array" ref="F23">ROUND(IF(N23&lt;=100000000,N23*0.24%,IF(AND(N23&gt;100000000,N23&lt;=500000000),100000000*0.24%+(N23-100000000)*0.19%,IF(AND(N23&gt;500000000,N23&lt;=1000000000),100000000*0.24%+400000000*0.19%+(N23-500000000)*0.15%,IF(AND(N23&gt;1000000000,N23&lt;=5000000000),100000000*0.24%+400000000*0.19%+500000000*0.15%+(N23-1000000000)*0.12%,IF(N23&gt;5000000000,100000000*0.24%+400000000*0.19%+500000000*0.15%+4000000000*0.12%+(N23-5000000000)*0.1%,"Bingung komputer"))))),2)</f>
        <v>209520</v>
      </c>
      <c r="G23" s="65"/>
      <c r="H23" s="66"/>
      <c r="I23" s="62"/>
      <c r="J23" s="67"/>
      <c r="K23" t="str" s="67" cm="1">
        <f t="array" ref="K23">"Jumlah Terkena Pajak "&amp;MAX(K3:K21)&amp;"% (B)"</f>
        <v>Jumlah Terkena Pajak 11,00% (B)</v>
      </c>
      <c r="L23" s="68" cm="1">
        <f t="array" ref="L23">SUMIF($K3:$K21,"&gt;0",L3:L21)</f>
        <v>89850000</v>
      </c>
      <c r="M23" s="68" cm="1">
        <f t="array" ref="M23">SUMIF($K3:$K21,"&gt;0",M3:M21)</f>
        <v>87300000</v>
      </c>
      <c r="N23" s="68" cm="1">
        <f t="array" ref="N23">SUMIF($K3:$K21,"&gt;0",N3:N21)</f>
        <v>87300000</v>
      </c>
      <c r="O23" s="69"/>
    </row>
    <row r="24" ht="21" customHeight="1">
      <c r="A24" s="71"/>
      <c r="B24" s="71"/>
      <c r="C24" s="71"/>
      <c r="D24" s="72"/>
      <c r="E24" s="72"/>
      <c r="F24" s="71"/>
      <c r="G24" s="72"/>
      <c r="H24" s="72"/>
      <c r="I24" s="71"/>
      <c r="J24" s="73"/>
      <c r="K24" t="str" s="73" cm="1">
        <f t="array" ref="K24">"PPN (C) = "&amp;MAX(K3:K21)&amp;"% x B"</f>
        <v>PPN (C) = 11,00% x B</v>
      </c>
      <c r="L24" s="74" cm="1">
        <f t="array" ref="L24">L23*MAX($K3:$K21)%</f>
        <v>9883500</v>
      </c>
      <c r="M24" s="74" cm="1">
        <f t="array" ref="M24">M23*MAX($K3:$K21)%</f>
        <v>9603000</v>
      </c>
      <c r="N24" s="74" cm="1">
        <f t="array" ref="N24">N23*MAX($K3:$K21)%</f>
        <v>9603000</v>
      </c>
      <c r="O24" s="69"/>
    </row>
    <row r="25" ht="21" customHeight="1">
      <c r="A25" s="71"/>
      <c r="B25" s="71"/>
      <c r="C25" s="71"/>
      <c r="D25" s="72"/>
      <c r="E25" s="72"/>
      <c r="F25" s="72"/>
      <c r="G25" s="72"/>
      <c r="H25" s="72"/>
      <c r="I25" s="71"/>
      <c r="J25" s="73"/>
      <c r="K25" t="s" s="75">
        <v>42</v>
      </c>
      <c r="L25" s="74" cm="1">
        <f t="array" ref="L25">L22+L24</f>
        <v>99933500</v>
      </c>
      <c r="M25" s="74" cm="1">
        <f t="array" ref="M25">M22+M24</f>
        <v>97143000</v>
      </c>
      <c r="N25" s="74" cm="1">
        <f t="array" ref="N25">N22+N24</f>
        <v>97143000</v>
      </c>
      <c r="O25" s="69"/>
    </row>
    <row r="26" ht="20.5" customHeight="1">
      <c r="A26" s="71"/>
      <c r="B26" s="71"/>
      <c r="C26" s="71"/>
      <c r="D26" s="72"/>
      <c r="E26" s="72"/>
      <c r="F26" s="72"/>
      <c r="G26" s="72"/>
      <c r="H26" s="72"/>
      <c r="I26" s="71"/>
      <c r="J26" s="73"/>
      <c r="K26" t="s" s="75">
        <v>43</v>
      </c>
      <c r="L26" s="74" cm="1">
        <f t="array" ref="L26">ROUNDDOWN(L25,2)</f>
        <v>99933500</v>
      </c>
      <c r="M26" s="74" cm="1">
        <f t="array" ref="M26">ROUNDDOWN(M25,2)</f>
        <v>97143000</v>
      </c>
      <c r="N26" s="74" cm="1">
        <f t="array" ref="N26">ROUNDDOWN(N25,-3)</f>
        <v>97143000</v>
      </c>
      <c r="O26" s="68"/>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28.xml><?xml version="1.0" encoding="utf-8"?>
<worksheet xmlns:r="http://schemas.openxmlformats.org/officeDocument/2006/relationships" xmlns="http://schemas.openxmlformats.org/spreadsheetml/2006/main">
  <sheetPr>
    <pageSetUpPr fitToPage="1"/>
  </sheetPr>
  <dimension ref="A1:N31"/>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322" customWidth="1"/>
    <col min="2" max="2" width="43.0312" style="322" customWidth="1"/>
    <col min="3" max="3" width="2.75" style="322" customWidth="1"/>
    <col min="4" max="6" width="10.3672" style="322" customWidth="1"/>
    <col min="7" max="7" width="11.6875" style="322" customWidth="1"/>
    <col min="8" max="11" width="13.5156" style="322" customWidth="1"/>
    <col min="12" max="14" width="14.2344" style="322" customWidth="1"/>
    <col min="15" max="16384" width="16.3516" style="322"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16</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t="s" s="18">
        <v>17</v>
      </c>
      <c r="B4" t="s" s="19">
        <v>18</v>
      </c>
      <c r="C4" s="20"/>
      <c r="D4" s="21">
        <v>1</v>
      </c>
      <c r="E4" s="21" cm="1">
        <f t="array" ref="E4">D4</f>
        <v>1</v>
      </c>
      <c r="F4" s="21" cm="1">
        <f t="array" ref="F4">D4</f>
        <v>1</v>
      </c>
      <c r="G4" t="s" s="22">
        <v>19</v>
      </c>
      <c r="H4" s="21">
        <v>5922500</v>
      </c>
      <c r="I4" s="283">
        <v>5865000</v>
      </c>
      <c r="J4" s="283">
        <v>5865000</v>
      </c>
      <c r="K4" s="21">
        <v>11</v>
      </c>
      <c r="L4" s="21" cm="1">
        <f t="array" ref="L4">IF(D4&gt;0,IF($D4&lt;=0,0,D4*H4),"")</f>
        <v>5922500</v>
      </c>
      <c r="M4" s="21" cm="1">
        <f t="array" ref="M4">IF(E4&gt;0,IF($D4&lt;=0,0,ROUND(E4*I4,2)),"")</f>
        <v>5865000</v>
      </c>
      <c r="N4" s="23" cm="1">
        <f t="array" ref="N4">IF(F4&gt;0,IF($D4&lt;=0,0,ROUND(F4*J4,2)),"")</f>
        <v>5865000</v>
      </c>
    </row>
    <row r="5" ht="20.5" customHeight="1">
      <c r="A5" t="s" s="18">
        <v>20</v>
      </c>
      <c r="B5" t="s" s="19">
        <v>21</v>
      </c>
      <c r="C5" s="24"/>
      <c r="D5" s="26">
        <v>1</v>
      </c>
      <c r="E5" s="26" cm="1">
        <f t="array" ref="E5">D5</f>
        <v>1</v>
      </c>
      <c r="F5" s="26" cm="1">
        <f t="array" ref="F5">D5</f>
        <v>1</v>
      </c>
      <c r="G5" t="s" s="27">
        <v>19</v>
      </c>
      <c r="H5" s="26">
        <v>660000</v>
      </c>
      <c r="I5" s="284">
        <v>700000</v>
      </c>
      <c r="J5" s="26">
        <v>660000</v>
      </c>
      <c r="K5" s="26">
        <v>11</v>
      </c>
      <c r="L5" s="26" cm="1">
        <f t="array" ref="L5">IF(D5&gt;0,IF($D5&lt;=0,0,D5*H5),"")</f>
        <v>660000</v>
      </c>
      <c r="M5" s="26" cm="1">
        <f t="array" ref="M5">IF(E5&gt;0,IF($D5&lt;=0,0,ROUND(E5*I5,2)),"")</f>
        <v>700000</v>
      </c>
      <c r="N5" s="28" cm="1">
        <f t="array" ref="N5">IF(F5&gt;0,IF($D5&lt;=0,0,ROUND(F5*J5,2)),"")</f>
        <v>660000</v>
      </c>
    </row>
    <row r="6" ht="20.5" customHeight="1">
      <c r="A6" t="s" s="18">
        <v>22</v>
      </c>
      <c r="B6" t="s" s="19">
        <v>23</v>
      </c>
      <c r="C6" s="20"/>
      <c r="D6" s="21">
        <v>1</v>
      </c>
      <c r="E6" s="21" cm="1">
        <f t="array" ref="E6">D6</f>
        <v>1</v>
      </c>
      <c r="F6" s="21" cm="1">
        <f t="array" ref="F6">D6</f>
        <v>1</v>
      </c>
      <c r="G6" t="s" s="22">
        <v>19</v>
      </c>
      <c r="H6" s="21">
        <v>3298000</v>
      </c>
      <c r="I6" s="283">
        <v>3242000</v>
      </c>
      <c r="J6" s="283">
        <v>3242000</v>
      </c>
      <c r="K6" s="21">
        <v>11</v>
      </c>
      <c r="L6" s="21" cm="1">
        <f t="array" ref="L6">IF(D6&gt;0,IF($D6&lt;=0,0,D6*H6),"")</f>
        <v>3298000</v>
      </c>
      <c r="M6" s="21" cm="1">
        <f t="array" ref="M6">IF(E6&gt;0,IF($D6&lt;=0,0,ROUND(E6*I6,2)),"")</f>
        <v>3242000</v>
      </c>
      <c r="N6" s="23" cm="1">
        <f t="array" ref="N6">IF(F6&gt;0,IF($D6&lt;=0,0,ROUND(F6*J6,2)),"")</f>
        <v>3242000</v>
      </c>
    </row>
    <row r="7" ht="20.5" customHeight="1">
      <c r="A7" s="29"/>
      <c r="B7" t="s" s="19">
        <v>28</v>
      </c>
      <c r="C7" s="24"/>
      <c r="D7" s="30"/>
      <c r="E7" s="26"/>
      <c r="F7" s="26"/>
      <c r="G7" s="30"/>
      <c r="H7" s="26"/>
      <c r="I7" s="284"/>
      <c r="J7" s="284"/>
      <c r="K7" s="26"/>
      <c r="L7" t="str" s="30" cm="1">
        <f t="array" ref="L7">IF(D7&gt;0,IF($D7&lt;=0,0,D7*H7),"")</f>
      </c>
      <c r="M7" t="str" s="30" cm="1">
        <f t="array" ref="M7">IF(E7&gt;0,IF($D7&lt;=0,0,ROUND(E7*I7,2)),"")</f>
      </c>
      <c r="N7" t="str" s="31" cm="1">
        <f t="array" ref="N7">IF(F7&gt;0,IF($D7&lt;=0,0,ROUND(F7*J7,2)),"")</f>
      </c>
    </row>
    <row r="8" ht="20.5" customHeight="1">
      <c r="A8" t="s" s="18">
        <v>33</v>
      </c>
      <c r="B8" t="s" s="19">
        <v>538</v>
      </c>
      <c r="C8" s="20"/>
      <c r="D8" s="21">
        <v>26664</v>
      </c>
      <c r="E8" s="21" cm="1">
        <f t="array" ref="E8">D8</f>
        <v>26664</v>
      </c>
      <c r="F8" s="21" cm="1">
        <f t="array" ref="F8">D8</f>
        <v>26664</v>
      </c>
      <c r="G8" t="s" s="22">
        <v>35</v>
      </c>
      <c r="H8" s="21">
        <v>3000.43</v>
      </c>
      <c r="I8" s="32">
        <v>2999.84</v>
      </c>
      <c r="J8" s="32">
        <v>2999.84</v>
      </c>
      <c r="K8" s="21">
        <v>11</v>
      </c>
      <c r="L8" s="21" cm="1">
        <f t="array" ref="L8">IF(D8&gt;0,IF($D8&lt;=0,0,D8*H8),"")</f>
        <v>80003465.52</v>
      </c>
      <c r="M8" s="21" cm="1">
        <f t="array" ref="M8">IF(E8&gt;0,IF($D8&lt;=0,0,ROUND(E8*I8,2)),"")</f>
        <v>79987733.76000001</v>
      </c>
      <c r="N8" s="23" cm="1">
        <f t="array" ref="N8">IF(F8&gt;0,IF($D8&lt;=0,0,ROUND(F8*J8,2)),"")</f>
        <v>79987733.76000001</v>
      </c>
    </row>
    <row r="9" ht="20.5" customHeight="1">
      <c r="A9" s="29"/>
      <c r="B9" t="s" s="19">
        <v>36</v>
      </c>
      <c r="C9" s="24"/>
      <c r="D9" s="26"/>
      <c r="E9" s="26"/>
      <c r="F9" s="26"/>
      <c r="G9" s="30"/>
      <c r="H9" s="30"/>
      <c r="I9" s="284"/>
      <c r="J9" s="284"/>
      <c r="K9" s="26"/>
      <c r="L9" t="str" s="30" cm="1">
        <f t="array" ref="L9">IF(D9&gt;0,IF($D9&lt;=0,0,D9*H10),"")</f>
      </c>
      <c r="M9" s="26"/>
      <c r="N9" s="28"/>
    </row>
    <row r="10" ht="20.6" customHeight="1">
      <c r="A10" s="33">
        <v>1</v>
      </c>
      <c r="B10" t="s" s="34">
        <v>37</v>
      </c>
      <c r="C10" s="35"/>
      <c r="D10" s="36">
        <v>1</v>
      </c>
      <c r="E10" s="36" cm="1">
        <f t="array" ref="E10">D10</f>
        <v>1</v>
      </c>
      <c r="F10" s="36" cm="1">
        <f t="array" ref="F10">D10</f>
        <v>1</v>
      </c>
      <c r="G10" t="s" s="37">
        <v>19</v>
      </c>
      <c r="H10" s="323">
        <v>220779.43</v>
      </c>
      <c r="I10" s="323">
        <v>220610.23</v>
      </c>
      <c r="J10" s="323">
        <v>220610.23</v>
      </c>
      <c r="K10" s="36">
        <v>0</v>
      </c>
      <c r="L10" s="36" cm="1">
        <f t="array" ref="L10">IF(D10&gt;0,IF($D10&lt;=0,0,D10*H10),"")</f>
        <v>220779.43</v>
      </c>
      <c r="M10" s="36" cm="1">
        <f t="array" ref="M10">IF(E10&gt;0,IF($D10&lt;=0,0,ROUND(E10*I10,2)),"")</f>
        <v>220610.23</v>
      </c>
      <c r="N10" s="38" cm="1">
        <f t="array" ref="N10">IF(F10&gt;0,IF($D10&lt;=0,0,ROUND(F10*J10,2)),"")</f>
        <v>220610.23</v>
      </c>
    </row>
    <row r="11" ht="8.75" customHeight="1" hidden="1">
      <c r="A11" s="39"/>
      <c r="B11" s="40"/>
      <c r="C11" s="41"/>
      <c r="D11" s="42"/>
      <c r="E11" s="42"/>
      <c r="F11" s="42"/>
      <c r="G11" s="43"/>
      <c r="H11" s="42"/>
      <c r="I11" s="42"/>
      <c r="J11" s="42"/>
      <c r="K11" s="42"/>
      <c r="L11" s="42"/>
      <c r="M11" s="42"/>
      <c r="N11" s="44"/>
    </row>
    <row r="12" ht="8.75" customHeight="1" hidden="1">
      <c r="A12" s="39"/>
      <c r="B12" s="40"/>
      <c r="C12" s="45"/>
      <c r="D12" s="46"/>
      <c r="E12" s="46"/>
      <c r="F12" s="46"/>
      <c r="G12" s="47"/>
      <c r="H12" s="46"/>
      <c r="I12" s="46"/>
      <c r="J12" s="46"/>
      <c r="K12" s="46"/>
      <c r="L12" s="46"/>
      <c r="M12" s="46"/>
      <c r="N12" s="48"/>
    </row>
    <row r="13" ht="8.75" customHeight="1" hidden="1">
      <c r="A13" s="39"/>
      <c r="B13" s="40"/>
      <c r="C13" s="41"/>
      <c r="D13" s="42"/>
      <c r="E13" s="42"/>
      <c r="F13" s="42"/>
      <c r="G13" s="43"/>
      <c r="H13" s="42"/>
      <c r="I13" s="42"/>
      <c r="J13" s="42"/>
      <c r="K13" s="42"/>
      <c r="L13" s="42"/>
      <c r="M13" s="42"/>
      <c r="N13" s="44"/>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2"/>
      <c r="I15" s="42"/>
      <c r="J15" s="42"/>
      <c r="K15" s="42"/>
      <c r="L15" s="42"/>
      <c r="M15" s="42"/>
      <c r="N15" s="44"/>
    </row>
    <row r="16" ht="8.75" customHeight="1" hidden="1">
      <c r="A16" s="39"/>
      <c r="B16" s="40"/>
      <c r="C16" s="45"/>
      <c r="D16" s="46"/>
      <c r="E16" s="46"/>
      <c r="F16" s="46"/>
      <c r="G16" s="47"/>
      <c r="H16" s="46"/>
      <c r="I16" s="46"/>
      <c r="J16" s="46"/>
      <c r="K16" s="46"/>
      <c r="L16" s="46"/>
      <c r="M16" s="46"/>
      <c r="N16" s="48"/>
    </row>
    <row r="17" ht="8.75" customHeight="1" hidden="1">
      <c r="A17" s="39"/>
      <c r="B17" s="40"/>
      <c r="C17" s="41"/>
      <c r="D17" s="42"/>
      <c r="E17" s="42"/>
      <c r="F17" s="42"/>
      <c r="G17" s="43"/>
      <c r="H17" s="43"/>
      <c r="I17" s="43"/>
      <c r="J17" s="43"/>
      <c r="K17" s="42"/>
      <c r="L17" s="43"/>
      <c r="M17" s="43"/>
      <c r="N17" s="49"/>
    </row>
    <row r="18" ht="8.75" customHeight="1" hidden="1">
      <c r="A18" s="39"/>
      <c r="B18" s="40"/>
      <c r="C18" s="45"/>
      <c r="D18" s="46"/>
      <c r="E18" s="46"/>
      <c r="F18" s="46"/>
      <c r="G18" s="47"/>
      <c r="H18" s="50"/>
      <c r="I18" s="50"/>
      <c r="J18" s="50"/>
      <c r="K18" s="46"/>
      <c r="L18" s="46"/>
      <c r="M18" s="46"/>
      <c r="N18" s="48"/>
    </row>
    <row r="19" ht="8.75" customHeight="1" hidden="1">
      <c r="A19" s="39"/>
      <c r="B19" s="40"/>
      <c r="C19" s="41"/>
      <c r="D19" s="42"/>
      <c r="E19" s="42"/>
      <c r="F19" s="42"/>
      <c r="G19" s="43"/>
      <c r="H19" s="43"/>
      <c r="I19" s="43"/>
      <c r="J19" s="43"/>
      <c r="K19" s="42"/>
      <c r="L19" s="43"/>
      <c r="M19" s="43"/>
      <c r="N19" s="49"/>
    </row>
    <row r="20" ht="8.75" customHeight="1" hidden="1">
      <c r="A20" s="39"/>
      <c r="B20" s="40"/>
      <c r="C20" s="45"/>
      <c r="D20" s="46"/>
      <c r="E20" s="46"/>
      <c r="F20" s="46"/>
      <c r="G20" s="47"/>
      <c r="H20" s="46"/>
      <c r="I20" s="46"/>
      <c r="J20" s="46"/>
      <c r="K20" s="46"/>
      <c r="L20" s="46"/>
      <c r="M20" s="46"/>
      <c r="N20" s="48"/>
    </row>
    <row r="21" ht="8.75" customHeight="1" hidden="1">
      <c r="A21" s="39"/>
      <c r="B21" s="40"/>
      <c r="C21" s="41"/>
      <c r="D21" s="42"/>
      <c r="E21" s="42"/>
      <c r="F21" s="42"/>
      <c r="G21" s="43"/>
      <c r="H21" s="42"/>
      <c r="I21" s="42"/>
      <c r="J21" s="42"/>
      <c r="K21" s="42"/>
      <c r="L21" s="42"/>
      <c r="M21" s="42"/>
      <c r="N21" s="44"/>
    </row>
    <row r="22" ht="8.75" customHeight="1" hidden="1">
      <c r="A22" s="51"/>
      <c r="B22" s="40"/>
      <c r="C22" s="45"/>
      <c r="D22" s="46"/>
      <c r="E22" s="46"/>
      <c r="F22" s="46"/>
      <c r="G22" s="47"/>
      <c r="H22" s="46"/>
      <c r="I22" s="46"/>
      <c r="J22" s="46"/>
      <c r="K22" s="46"/>
      <c r="L22" s="46"/>
      <c r="M22" s="46"/>
      <c r="N22" s="48"/>
    </row>
    <row r="23" ht="8.75" customHeight="1" hidden="1">
      <c r="A23" s="51"/>
      <c r="B23" s="40"/>
      <c r="C23" s="41"/>
      <c r="D23" s="42"/>
      <c r="E23" s="42"/>
      <c r="F23" s="42"/>
      <c r="G23" s="43"/>
      <c r="H23" s="42"/>
      <c r="I23" s="42"/>
      <c r="J23" s="42"/>
      <c r="K23" s="42"/>
      <c r="L23" s="42"/>
      <c r="M23" s="42"/>
      <c r="N23" s="44"/>
    </row>
    <row r="24" ht="8.75" customHeight="1" hidden="1">
      <c r="A24" s="39"/>
      <c r="B24" s="40"/>
      <c r="C24" s="45"/>
      <c r="D24" s="46"/>
      <c r="E24" s="46"/>
      <c r="F24" s="46"/>
      <c r="G24" s="47"/>
      <c r="H24" s="46"/>
      <c r="I24" s="46"/>
      <c r="J24" s="46"/>
      <c r="K24" s="46"/>
      <c r="L24" s="47"/>
      <c r="M24" s="47"/>
      <c r="N24" s="52"/>
    </row>
    <row r="25" ht="8.75" customHeight="1" hidden="1">
      <c r="A25" s="39"/>
      <c r="B25" s="40"/>
      <c r="C25" s="41"/>
      <c r="D25" s="42"/>
      <c r="E25" s="42"/>
      <c r="F25" s="42"/>
      <c r="G25" s="43"/>
      <c r="H25" s="42"/>
      <c r="I25" s="42"/>
      <c r="J25" s="42"/>
      <c r="K25" s="42"/>
      <c r="L25" s="42"/>
      <c r="M25" s="42"/>
      <c r="N25" s="44"/>
    </row>
    <row r="26" ht="8.75" customHeight="1" hidden="1">
      <c r="A26" s="39"/>
      <c r="B26" s="40"/>
      <c r="C26" s="45"/>
      <c r="D26" s="46"/>
      <c r="E26" s="46"/>
      <c r="F26" s="46"/>
      <c r="G26" s="47"/>
      <c r="H26" s="46"/>
      <c r="I26" s="46"/>
      <c r="J26" s="46"/>
      <c r="K26" s="46"/>
      <c r="L26" s="47"/>
      <c r="M26" s="47"/>
      <c r="N26" s="52"/>
    </row>
    <row r="27" ht="20.85" customHeight="1">
      <c r="A27" s="53"/>
      <c r="B27" s="54"/>
      <c r="C27" s="54"/>
      <c r="D27" s="55"/>
      <c r="E27" s="55"/>
      <c r="F27" s="55"/>
      <c r="G27" s="56"/>
      <c r="H27" s="56"/>
      <c r="I27" s="54"/>
      <c r="J27" s="57"/>
      <c r="K27" t="s" s="58">
        <v>38</v>
      </c>
      <c r="L27" s="59" cm="1">
        <f t="array" ref="L27">SUM(L1:L26)</f>
        <v>90104744.95</v>
      </c>
      <c r="M27" s="59" cm="1">
        <f t="array" ref="M27">SUM(M1:M26)</f>
        <v>90015343.98999999</v>
      </c>
      <c r="N27" s="59" cm="1">
        <f t="array" ref="N27">SUM(N1:N26)</f>
        <v>89975343.98999999</v>
      </c>
    </row>
    <row r="28" ht="21" customHeight="1">
      <c r="A28" s="60"/>
      <c r="B28" t="s" s="61">
        <v>39</v>
      </c>
      <c r="C28" s="62"/>
      <c r="D28" s="63" cm="1">
        <f t="array" ref="D28">ROUND(IF(L28&lt;=100000000,L28*0.24%,IF(AND(L28&gt;100000000,L28&lt;=500000000),100000000*0.24%+(L28-100000000)*0.19%,IF(AND(L28&gt;500000000,L28&lt;=1000000000),100000000*0.24%+400000000*0.19%+(L28-500000000)*0.15%,IF(AND(L28&gt;1000000000,L28&lt;=5000000000),100000000*0.24%+400000000*0.19%+500000000*0.15%+(L28-1000000000)*0.12%,IF(L28&gt;5000000000,100000000*0.24%+400000000*0.19%+500000000*0.15%+4000000000*0.12%+(L28-5000000000)*0.1%,"Bingung komputer"))))),2)</f>
        <v>215721.52</v>
      </c>
      <c r="E28" s="64" cm="1">
        <f t="array" ref="E28">ROUND(IF(M28&lt;=100000000,M28*0.24%,IF(AND(M28&gt;100000000,M28&lt;=500000000),100000000*0.24%+(M28-100000000)*0.19%,IF(AND(M28&gt;500000000,M28&lt;=1000000000),100000000*0.24%+400000000*0.19%+(M28-500000000)*0.15%,IF(AND(M28&gt;1000000000,M28&lt;=5000000000),100000000*0.24%+400000000*0.19%+500000000*0.15%+(M28-1000000000)*0.12%,IF(M28&gt;5000000000,100000000*0.24%+400000000*0.19%+500000000*0.15%+4000000000*0.12%+(M28-5000000000)*0.1%,"Bingung komputer"))))),2)</f>
        <v>215507.36</v>
      </c>
      <c r="F28" s="64" cm="1">
        <f t="array" ref="F28">ROUND(IF(N28&lt;=100000000,N28*0.24%,IF(AND(N28&gt;100000000,N28&lt;=500000000),100000000*0.24%+(N28-100000000)*0.19%,IF(AND(N28&gt;500000000,N28&lt;=1000000000),100000000*0.24%+400000000*0.19%+(N28-500000000)*0.15%,IF(AND(N28&gt;1000000000,N28&lt;=5000000000),100000000*0.24%+400000000*0.19%+500000000*0.15%+(N28-1000000000)*0.12%,IF(N28&gt;5000000000,100000000*0.24%+400000000*0.19%+500000000*0.15%+4000000000*0.12%+(N28-5000000000)*0.1%,"Bingung komputer"))))),2)</f>
        <v>215411.36</v>
      </c>
      <c r="G28" s="65"/>
      <c r="H28" s="66"/>
      <c r="I28" s="62"/>
      <c r="J28" s="67"/>
      <c r="K28" t="str" s="67" cm="1">
        <f t="array" ref="K28">"Jumlah Terkena Pajak "&amp;MAX(K3:K26)&amp;"% (B)"</f>
        <v>Jumlah Terkena Pajak 11,00% (B)</v>
      </c>
      <c r="L28" s="68" cm="1">
        <f t="array" ref="L28">SUMIF($K3:$K26,"&gt;0",L3:L26)</f>
        <v>89883965.52</v>
      </c>
      <c r="M28" s="69" cm="1">
        <f t="array" ref="M28">SUMIF($K3:$K26,"&gt;0",M3:M26)</f>
        <v>89794733.76000001</v>
      </c>
      <c r="N28" s="69" cm="1">
        <f t="array" ref="N28">SUMIF($K3:$K26,"&gt;0",N3:N26)</f>
        <v>89754733.76000001</v>
      </c>
    </row>
    <row r="29" ht="21" customHeight="1">
      <c r="A29" s="70"/>
      <c r="B29" s="71"/>
      <c r="C29" s="71"/>
      <c r="D29" s="72"/>
      <c r="E29" s="72"/>
      <c r="F29" s="71"/>
      <c r="G29" s="72"/>
      <c r="H29" s="72"/>
      <c r="I29" s="71"/>
      <c r="J29" s="73"/>
      <c r="K29" t="str" s="73" cm="1">
        <f t="array" ref="K29">"PPN (C) = "&amp;MAX(K3:K26)&amp;"% x B"</f>
        <v>PPN (C) = 11,00% x B</v>
      </c>
      <c r="L29" s="74" cm="1">
        <f t="array" ref="L29">L28*MAX($K3:$K26)%</f>
        <v>9887236.2072</v>
      </c>
      <c r="M29" s="69" cm="1">
        <f t="array" ref="M29">M28*MAX($K3:$K26)%</f>
        <v>9877420.7136</v>
      </c>
      <c r="N29" s="69" cm="1">
        <f t="array" ref="N29">N28*MAX($K3:$K26)%</f>
        <v>9873020.7136</v>
      </c>
    </row>
    <row r="30" ht="21" customHeight="1">
      <c r="A30" s="70"/>
      <c r="B30" s="71"/>
      <c r="C30" s="71"/>
      <c r="D30" s="72"/>
      <c r="E30" s="72"/>
      <c r="F30" s="72"/>
      <c r="G30" s="72"/>
      <c r="H30" s="72"/>
      <c r="I30" s="71"/>
      <c r="J30" s="73"/>
      <c r="K30" t="s" s="75">
        <v>42</v>
      </c>
      <c r="L30" s="76" cm="1">
        <f t="array" ref="L30">L27+L29</f>
        <v>99991981.15719999</v>
      </c>
      <c r="M30" s="69" cm="1">
        <f t="array" ref="M30">M27+M29</f>
        <v>99892764.7036</v>
      </c>
      <c r="N30" s="69" cm="1">
        <f t="array" ref="N30">N27+N29</f>
        <v>99848364.7036</v>
      </c>
    </row>
    <row r="31" ht="20.5" customHeight="1">
      <c r="A31" s="70"/>
      <c r="B31" s="71"/>
      <c r="C31" s="71"/>
      <c r="D31" s="72"/>
      <c r="E31" s="72"/>
      <c r="F31" s="72"/>
      <c r="G31" s="72"/>
      <c r="H31" s="72"/>
      <c r="I31" s="71"/>
      <c r="J31" s="73"/>
      <c r="K31" t="s" s="75">
        <v>43</v>
      </c>
      <c r="L31" s="68" cm="1">
        <f t="array" ref="L31">ROUNDDOWN(L30,2)</f>
        <v>99991981.15000001</v>
      </c>
      <c r="M31" s="68" cm="1">
        <f t="array" ref="M31">ROUNDDOWN(M30,2)</f>
        <v>99892764.7</v>
      </c>
      <c r="N31" s="68" cm="1">
        <f t="array" ref="N31">ROUNDDOWN(N30,-3)</f>
        <v>99848000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29.xml><?xml version="1.0" encoding="utf-8"?>
<worksheet xmlns:r="http://schemas.openxmlformats.org/officeDocument/2006/relationships" xmlns="http://schemas.openxmlformats.org/spreadsheetml/2006/main">
  <sheetPr>
    <pageSetUpPr fitToPage="1"/>
  </sheetPr>
  <dimension ref="A1:O26"/>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7.17188" style="324" customWidth="1"/>
    <col min="2" max="2" width="43.0312" style="324" customWidth="1"/>
    <col min="3" max="3" width="2.75" style="324" customWidth="1"/>
    <col min="4" max="6" width="10.3672" style="324" customWidth="1"/>
    <col min="7" max="7" width="11.6875" style="324" customWidth="1"/>
    <col min="8" max="11" width="13.5156" style="324" customWidth="1"/>
    <col min="12" max="15" width="14.2344" style="324" customWidth="1"/>
    <col min="16" max="16384" width="16.3516" style="324" customWidth="1"/>
  </cols>
  <sheetData>
    <row r="1" ht="20.5" customHeight="1">
      <c r="A1" t="s" s="7">
        <v>6</v>
      </c>
      <c r="B1" t="s" s="7">
        <v>7</v>
      </c>
      <c r="C1" s="8"/>
      <c r="D1" t="s" s="7">
        <v>8</v>
      </c>
      <c r="E1" s="8"/>
      <c r="F1" s="8"/>
      <c r="G1" t="s" s="7">
        <v>9</v>
      </c>
      <c r="H1" t="s" s="7">
        <v>10</v>
      </c>
      <c r="I1" s="8"/>
      <c r="J1" s="8"/>
      <c r="K1" t="s" s="7">
        <v>11</v>
      </c>
      <c r="L1" t="s" s="7">
        <v>12</v>
      </c>
      <c r="M1" s="8"/>
      <c r="N1" s="8"/>
      <c r="O1" s="88"/>
    </row>
    <row r="2" ht="20.85" customHeight="1">
      <c r="A2" s="9"/>
      <c r="B2" s="9"/>
      <c r="C2" s="9"/>
      <c r="D2" t="s" s="10">
        <v>13</v>
      </c>
      <c r="E2" t="s" s="10">
        <v>14</v>
      </c>
      <c r="F2" t="s" s="10">
        <v>15</v>
      </c>
      <c r="G2" s="9"/>
      <c r="H2" t="s" s="10">
        <v>13</v>
      </c>
      <c r="I2" t="s" s="10">
        <v>14</v>
      </c>
      <c r="J2" t="s" s="10">
        <v>15</v>
      </c>
      <c r="K2" s="9"/>
      <c r="L2" t="s" s="10">
        <v>13</v>
      </c>
      <c r="M2" t="s" s="10">
        <v>14</v>
      </c>
      <c r="N2" t="s" s="10">
        <v>15</v>
      </c>
      <c r="O2" s="89"/>
    </row>
    <row r="3" ht="20.6" customHeight="1">
      <c r="A3" t="s" s="90">
        <v>51</v>
      </c>
      <c r="B3" t="s" s="12">
        <v>52</v>
      </c>
      <c r="C3" s="13"/>
      <c r="D3" s="14"/>
      <c r="E3" s="14"/>
      <c r="F3" s="14"/>
      <c r="G3" s="15"/>
      <c r="H3" s="15"/>
      <c r="I3" s="15"/>
      <c r="J3" s="15"/>
      <c r="K3" s="15"/>
      <c r="L3" t="str" s="16" cm="1">
        <f t="array" ref="L3">IF(D3&gt;0,IF($D3&lt;=0,0,D3*H3),"")</f>
      </c>
      <c r="M3" t="str" s="16" cm="1">
        <f t="array" ref="M3">IF(E3&gt;0,IF($D3&lt;=0,0,ROUND(E3*I3,2)),"")</f>
      </c>
      <c r="N3" t="str" s="16" cm="1">
        <f t="array" ref="N3">IF(F3&gt;0,IF($D3&lt;=0,0,ROUND(F3*J3,2)),"")</f>
      </c>
      <c r="O3" s="17"/>
    </row>
    <row r="4" ht="20.5" customHeight="1">
      <c r="A4" t="s" s="18">
        <v>53</v>
      </c>
      <c r="B4" t="s" s="19">
        <v>54</v>
      </c>
      <c r="C4" s="20"/>
      <c r="D4" s="21"/>
      <c r="E4" s="21"/>
      <c r="F4" s="21"/>
      <c r="G4" s="79"/>
      <c r="H4" s="21"/>
      <c r="I4" s="79"/>
      <c r="J4" s="21"/>
      <c r="K4" s="21"/>
      <c r="L4" t="str" s="79" cm="1">
        <f t="array" ref="L4">IF(D4&gt;0,IF($D4&lt;=0,0,D4*H4),"")</f>
      </c>
      <c r="M4" t="str" s="79" cm="1">
        <f t="array" ref="M4">IF(E4&gt;0,IF($D4&lt;=0,0,ROUND(E4*I4,2)),"")</f>
      </c>
      <c r="N4" t="str" s="79" cm="1">
        <f t="array" ref="N4">IF(F4&gt;0,IF($D4&lt;=0,0,ROUND(F4*J4,2)),"")</f>
      </c>
      <c r="O4" s="91"/>
    </row>
    <row r="5" ht="20.5" customHeight="1">
      <c r="A5" s="92">
        <v>1</v>
      </c>
      <c r="B5" t="s" s="19">
        <v>55</v>
      </c>
      <c r="C5" s="24"/>
      <c r="D5" s="26">
        <v>4</v>
      </c>
      <c r="E5" s="26" cm="1">
        <f t="array" ref="E5">D5</f>
        <v>4</v>
      </c>
      <c r="F5" s="26" cm="1">
        <f t="array" ref="F5">D5</f>
        <v>4</v>
      </c>
      <c r="G5" t="s" s="27">
        <v>56</v>
      </c>
      <c r="H5" s="26">
        <v>14300000</v>
      </c>
      <c r="I5" s="26">
        <v>14300000</v>
      </c>
      <c r="J5" s="26">
        <v>14300000</v>
      </c>
      <c r="K5" s="26">
        <v>11</v>
      </c>
      <c r="L5" s="26" cm="1">
        <f t="array" ref="L5">IF(D5&gt;0,IF($D5&lt;=0,0,D5*H5),"")</f>
        <v>57200000</v>
      </c>
      <c r="M5" s="26" cm="1">
        <f t="array" ref="M5">IF(E5&gt;0,IF($D5&lt;=0,0,ROUND(E5*I5,2)),"")</f>
        <v>57200000</v>
      </c>
      <c r="N5" s="26" cm="1">
        <f t="array" ref="N5">IF(F5&gt;0,IF($D5&lt;=0,0,ROUND(F5*J5,2)),"")</f>
        <v>57200000</v>
      </c>
      <c r="O5" s="28" cm="1">
        <f t="array" ref="O5">L5/L$22</f>
        <v>0.79347974939801</v>
      </c>
    </row>
    <row r="6" ht="20.5" customHeight="1">
      <c r="A6" t="s" s="93">
        <v>58</v>
      </c>
      <c r="B6" t="s" s="19">
        <v>59</v>
      </c>
      <c r="C6" s="20"/>
      <c r="D6" s="21"/>
      <c r="E6" s="21"/>
      <c r="F6" s="21"/>
      <c r="G6" s="79"/>
      <c r="H6" s="21"/>
      <c r="I6" s="21"/>
      <c r="J6" s="21"/>
      <c r="K6" s="21"/>
      <c r="L6" t="str" s="79" cm="1">
        <f t="array" ref="L6">IF(D6&gt;0,IF($D6&lt;=0,0,D6*H6),"")</f>
      </c>
      <c r="M6" t="str" s="79" cm="1">
        <f t="array" ref="M6">IF(E6&gt;0,IF($D6&lt;=0,0,ROUND(E6*I6,2)),"")</f>
      </c>
      <c r="N6" t="str" s="79" cm="1">
        <f t="array" ref="N6">IF(F6&gt;0,IF($D6&lt;=0,0,ROUND(F6*J6,2)),"")</f>
      </c>
      <c r="O6" s="91"/>
    </row>
    <row r="7" ht="20.5" customHeight="1">
      <c r="A7" t="s" s="18">
        <v>53</v>
      </c>
      <c r="B7" t="s" s="19">
        <v>60</v>
      </c>
      <c r="C7" s="24"/>
      <c r="D7" s="26"/>
      <c r="E7" s="26"/>
      <c r="F7" s="26"/>
      <c r="G7" s="30"/>
      <c r="H7" s="26"/>
      <c r="I7" s="26"/>
      <c r="J7" s="26"/>
      <c r="K7" s="26"/>
      <c r="L7" t="str" s="30" cm="1">
        <f t="array" ref="L7">IF(D7&gt;0,IF($D7&lt;=0,0,D7*H7),"")</f>
      </c>
      <c r="M7" t="str" s="30" cm="1">
        <f t="array" ref="M7">IF(E7&gt;0,IF($D7&lt;=0,0,ROUND(E7*I7,2)),"")</f>
      </c>
      <c r="N7" t="str" s="30" cm="1">
        <f t="array" ref="N7">IF(F7&gt;0,IF($D7&lt;=0,0,ROUND(F7*J7,2)),"")</f>
      </c>
      <c r="O7" s="31"/>
    </row>
    <row r="8" ht="20.5" customHeight="1">
      <c r="A8" s="94">
        <v>1</v>
      </c>
      <c r="B8" t="s" s="19">
        <v>61</v>
      </c>
      <c r="C8" s="20"/>
      <c r="D8" s="21">
        <v>4</v>
      </c>
      <c r="E8" s="21" cm="1">
        <f t="array" ref="E8">D8</f>
        <v>4</v>
      </c>
      <c r="F8" s="21" cm="1">
        <f t="array" ref="F8">D8</f>
        <v>4</v>
      </c>
      <c r="G8" t="s" s="22">
        <v>62</v>
      </c>
      <c r="H8" s="21">
        <v>250000</v>
      </c>
      <c r="I8" s="21">
        <v>250000</v>
      </c>
      <c r="J8" s="21">
        <v>250000</v>
      </c>
      <c r="K8" s="21">
        <v>11</v>
      </c>
      <c r="L8" s="21" cm="1">
        <f t="array" ref="L8">IF(D8&gt;0,IF($D8&lt;=0,0,D8*H8),"")</f>
        <v>1000000</v>
      </c>
      <c r="M8" s="21" cm="1">
        <f t="array" ref="M8">IF(E8&gt;0,IF($D8&lt;=0,0,ROUND(E8*I8,2)),"")</f>
        <v>1000000</v>
      </c>
      <c r="N8" s="21" cm="1">
        <f t="array" ref="N8">IF(F8&gt;0,IF($D8&lt;=0,0,ROUND(F8*J8,2)),"")</f>
        <v>1000000</v>
      </c>
      <c r="O8" s="23"/>
    </row>
    <row r="9" ht="32.5" customHeight="1">
      <c r="A9" s="95">
        <v>2</v>
      </c>
      <c r="B9" t="s" s="19">
        <v>63</v>
      </c>
      <c r="C9" s="24"/>
      <c r="D9" s="26">
        <v>4</v>
      </c>
      <c r="E9" s="26" cm="1">
        <f t="array" ref="E9">D9</f>
        <v>4</v>
      </c>
      <c r="F9" s="26" cm="1">
        <f t="array" ref="F9">D9</f>
        <v>4</v>
      </c>
      <c r="G9" t="s" s="27">
        <v>64</v>
      </c>
      <c r="H9" s="26">
        <v>800000</v>
      </c>
      <c r="I9" s="26">
        <v>800000</v>
      </c>
      <c r="J9" s="26">
        <v>800000</v>
      </c>
      <c r="K9" s="26">
        <v>11</v>
      </c>
      <c r="L9" s="26" cm="1">
        <f t="array" ref="L9">IF(D9&gt;0,IF($D9&lt;=0,0,D9*H9),"")</f>
        <v>3200000</v>
      </c>
      <c r="M9" s="26" cm="1">
        <f t="array" ref="M9">IF(E9&gt;0,IF($D9&lt;=0,0,ROUND(E9*I9,2)),"")</f>
        <v>3200000</v>
      </c>
      <c r="N9" s="26" cm="1">
        <f t="array" ref="N9">IF(F9&gt;0,IF($D9&lt;=0,0,ROUND(F9*J9,2)),"")</f>
        <v>3200000</v>
      </c>
      <c r="O9" s="28"/>
    </row>
    <row r="10" ht="20.5" customHeight="1">
      <c r="A10" s="94"/>
      <c r="B10" t="s" s="19">
        <v>66</v>
      </c>
      <c r="C10" s="20"/>
      <c r="D10" s="21"/>
      <c r="E10" s="21"/>
      <c r="F10" s="21"/>
      <c r="G10" s="79"/>
      <c r="H10" s="21"/>
      <c r="I10" s="21"/>
      <c r="J10" s="21"/>
      <c r="K10" s="21"/>
      <c r="L10" t="str" s="79" cm="1">
        <f t="array" ref="L10">IF(D10&gt;0,IF($D10&lt;=0,0,D10*H10),"")</f>
      </c>
      <c r="M10" t="str" s="79" cm="1">
        <f t="array" ref="M10">IF(E10&gt;0,IF($D10&lt;=0,0,ROUND(E10*I10,2)),"")</f>
      </c>
      <c r="N10" t="str" s="79" cm="1">
        <f t="array" ref="N10">IF(F10&gt;0,IF($D10&lt;=0,0,ROUND(F10*J10,2)),"")</f>
      </c>
      <c r="O10" s="23"/>
    </row>
    <row r="11" ht="20.5" customHeight="1">
      <c r="A11" s="94">
        <v>4</v>
      </c>
      <c r="B11" t="s" s="19">
        <v>67</v>
      </c>
      <c r="C11" s="24"/>
      <c r="D11" s="26">
        <v>1</v>
      </c>
      <c r="E11" s="26" cm="1">
        <f t="array" ref="E11">D11</f>
        <v>1</v>
      </c>
      <c r="F11" s="26" cm="1">
        <f t="array" ref="F11">D11</f>
        <v>1</v>
      </c>
      <c r="G11" t="s" s="27">
        <v>68</v>
      </c>
      <c r="H11" s="26">
        <v>150000</v>
      </c>
      <c r="I11" s="26">
        <v>150000</v>
      </c>
      <c r="J11" s="26">
        <v>150000</v>
      </c>
      <c r="K11" s="26">
        <v>11</v>
      </c>
      <c r="L11" s="26" cm="1">
        <f t="array" ref="L11">IF(D11&gt;0,IF($D11&lt;=0,0,D11*H11),"")</f>
        <v>150000</v>
      </c>
      <c r="M11" s="26" cm="1">
        <f t="array" ref="M11">IF(E11&gt;0,IF($D11&lt;=0,0,ROUND(E11*I11,2)),"")</f>
        <v>150000</v>
      </c>
      <c r="N11" s="26" cm="1">
        <f t="array" ref="N11">IF(F11&gt;0,IF($D11&lt;=0,0,ROUND(F11*J11,2)),"")</f>
        <v>150000</v>
      </c>
      <c r="O11" s="28"/>
    </row>
    <row r="12" ht="20.5" customHeight="1">
      <c r="A12" s="94">
        <v>5</v>
      </c>
      <c r="B12" t="s" s="19">
        <v>69</v>
      </c>
      <c r="C12" s="20"/>
      <c r="D12" s="21">
        <v>1</v>
      </c>
      <c r="E12" s="21" cm="1">
        <f t="array" ref="E12">D12</f>
        <v>1</v>
      </c>
      <c r="F12" s="21" cm="1">
        <f t="array" ref="F12">D12</f>
        <v>1</v>
      </c>
      <c r="G12" t="s" s="22">
        <v>68</v>
      </c>
      <c r="H12" s="21">
        <v>425000</v>
      </c>
      <c r="I12" s="21">
        <v>400000</v>
      </c>
      <c r="J12" s="21">
        <v>400000</v>
      </c>
      <c r="K12" s="21">
        <v>11</v>
      </c>
      <c r="L12" s="21" cm="1">
        <f t="array" ref="L12">IF(D12&gt;0,IF($D12&lt;=0,0,D12*H12),"")</f>
        <v>425000</v>
      </c>
      <c r="M12" s="21" cm="1">
        <f t="array" ref="M12">IF(E12&gt;0,IF($D12&lt;=0,0,ROUND(E12*I12,2)),"")</f>
        <v>400000</v>
      </c>
      <c r="N12" s="21" cm="1">
        <f t="array" ref="N12">IF(F12&gt;0,IF($D12&lt;=0,0,ROUND(F12*J12,2)),"")</f>
        <v>400000</v>
      </c>
      <c r="O12" s="23"/>
    </row>
    <row r="13" ht="20.5" customHeight="1">
      <c r="A13" t="s" s="18">
        <v>71</v>
      </c>
      <c r="B13" t="s" s="19">
        <v>70</v>
      </c>
      <c r="C13" s="24"/>
      <c r="D13" s="26"/>
      <c r="E13" s="26"/>
      <c r="F13" s="26"/>
      <c r="G13" s="30"/>
      <c r="H13" s="26"/>
      <c r="I13" s="26"/>
      <c r="J13" s="26"/>
      <c r="K13" s="26"/>
      <c r="L13" t="str" s="30" cm="1">
        <f t="array" ref="L13">IF(D13&gt;0,IF($D13&lt;=0,0,D13*H13),"")</f>
      </c>
      <c r="M13" t="str" s="30" cm="1">
        <f t="array" ref="M13">IF(E13&gt;0,IF($D13&lt;=0,0,ROUND(E13*I13,2)),"")</f>
      </c>
      <c r="N13" t="str" s="30" cm="1">
        <f t="array" ref="N13">IF(F13&gt;0,IF($D13&lt;=0,0,ROUND(F13*J13,2)),"")</f>
      </c>
      <c r="O13" s="31"/>
    </row>
    <row r="14" ht="20.5" customHeight="1">
      <c r="A14" s="95">
        <v>1</v>
      </c>
      <c r="B14" t="s" s="19">
        <v>535</v>
      </c>
      <c r="C14" s="20"/>
      <c r="D14" s="21">
        <v>4</v>
      </c>
      <c r="E14" s="21" cm="1">
        <f t="array" ref="E14">D14</f>
        <v>4</v>
      </c>
      <c r="F14" s="21" cm="1">
        <f t="array" ref="F14">D14</f>
        <v>4</v>
      </c>
      <c r="G14" t="s" s="22">
        <v>73</v>
      </c>
      <c r="H14" s="21">
        <v>860000</v>
      </c>
      <c r="I14" s="21">
        <v>860000</v>
      </c>
      <c r="J14" s="21">
        <v>860000</v>
      </c>
      <c r="K14" s="21">
        <v>11</v>
      </c>
      <c r="L14" s="21" cm="1">
        <f t="array" ref="L14">IF(D14&gt;0,IF($D14&lt;=0,0,D14*H14),"")</f>
        <v>3440000</v>
      </c>
      <c r="M14" s="21" cm="1">
        <f t="array" ref="M14">IF(E14&gt;0,IF($D14&lt;=0,0,ROUND(E14*I14,2)),"")</f>
        <v>3440000</v>
      </c>
      <c r="N14" s="21" cm="1">
        <f t="array" ref="N14">IF(F14&gt;0,IF($D14&lt;=0,0,ROUND(F14*J14,2)),"")</f>
        <v>3440000</v>
      </c>
      <c r="O14" s="91"/>
    </row>
    <row r="15" ht="20.5" customHeight="1">
      <c r="A15" s="95">
        <v>2</v>
      </c>
      <c r="B15" t="s" s="19">
        <v>74</v>
      </c>
      <c r="C15" s="24"/>
      <c r="D15" s="26">
        <v>3</v>
      </c>
      <c r="E15" s="26" cm="1">
        <f t="array" ref="E15">D15</f>
        <v>3</v>
      </c>
      <c r="F15" s="26" cm="1">
        <f t="array" ref="F15">D15</f>
        <v>3</v>
      </c>
      <c r="G15" t="s" s="27">
        <v>75</v>
      </c>
      <c r="H15" s="26">
        <v>250000</v>
      </c>
      <c r="I15" s="26">
        <v>250000</v>
      </c>
      <c r="J15" s="26">
        <v>250000</v>
      </c>
      <c r="K15" s="26">
        <v>11</v>
      </c>
      <c r="L15" s="26" cm="1">
        <f t="array" ref="L15">IF(D15&gt;0,IF($D15&lt;=0,0,D15*H15),"")</f>
        <v>750000</v>
      </c>
      <c r="M15" s="26" cm="1">
        <f t="array" ref="M15">IF(E15&gt;0,IF($D15&lt;=0,0,ROUND(E15*I15,2)),"")</f>
        <v>750000</v>
      </c>
      <c r="N15" s="26" cm="1">
        <f t="array" ref="N15">IF(F15&gt;0,IF($D15&lt;=0,0,ROUND(F15*J15,2)),"")</f>
        <v>750000</v>
      </c>
      <c r="O15" s="28"/>
    </row>
    <row r="16" ht="20.5" customHeight="1">
      <c r="A16" s="95">
        <v>3</v>
      </c>
      <c r="B16" t="s" s="19">
        <v>76</v>
      </c>
      <c r="C16" s="20"/>
      <c r="D16" s="21" cm="1">
        <f t="array" ref="D16">4*3</f>
        <v>12</v>
      </c>
      <c r="E16" s="21" cm="1">
        <f t="array" ref="E16">D16</f>
        <v>12</v>
      </c>
      <c r="F16" s="21" cm="1">
        <f t="array" ref="F16">D16</f>
        <v>12</v>
      </c>
      <c r="G16" t="s" s="22">
        <v>75</v>
      </c>
      <c r="H16" s="21">
        <v>250000</v>
      </c>
      <c r="I16" s="21">
        <v>250000</v>
      </c>
      <c r="J16" s="21">
        <v>250000</v>
      </c>
      <c r="K16" s="21">
        <v>11</v>
      </c>
      <c r="L16" s="21" cm="1">
        <f t="array" ref="L16">IF(D16&gt;0,IF($D16&lt;=0,0,D16*H16),"")</f>
        <v>3000000</v>
      </c>
      <c r="M16" s="21" cm="1">
        <f t="array" ref="M16">IF(E16&gt;0,IF($D16&lt;=0,0,ROUND(E16*I16,2)),"")</f>
        <v>3000000</v>
      </c>
      <c r="N16" s="21" cm="1">
        <f t="array" ref="N16">IF(F16&gt;0,IF($D16&lt;=0,0,ROUND(F16*J16,2)),"")</f>
        <v>3000000</v>
      </c>
      <c r="O16" s="23"/>
    </row>
    <row r="17" ht="20.5" customHeight="1">
      <c r="A17" s="95">
        <v>4</v>
      </c>
      <c r="B17" t="s" s="19">
        <v>77</v>
      </c>
      <c r="C17" s="24"/>
      <c r="D17" s="26">
        <v>3</v>
      </c>
      <c r="E17" s="26" cm="1">
        <f t="array" ref="E17">D17</f>
        <v>3</v>
      </c>
      <c r="F17" s="26" cm="1">
        <f t="array" ref="F17">D17</f>
        <v>3</v>
      </c>
      <c r="G17" t="s" s="27">
        <v>75</v>
      </c>
      <c r="H17" s="26">
        <v>250000</v>
      </c>
      <c r="I17" s="26">
        <v>250000</v>
      </c>
      <c r="J17" s="26">
        <v>250000</v>
      </c>
      <c r="K17" s="26">
        <v>11</v>
      </c>
      <c r="L17" s="26" cm="1">
        <f t="array" ref="L17">IF(D17&gt;0,IF($D17&lt;=0,0,D17*H17),"")</f>
        <v>750000</v>
      </c>
      <c r="M17" s="26" cm="1">
        <f t="array" ref="M17">IF(E17&gt;0,IF($D17&lt;=0,0,ROUND(E17*I17,2)),"")</f>
        <v>750000</v>
      </c>
      <c r="N17" s="26" cm="1">
        <f t="array" ref="N17">IF(F17&gt;0,IF($D17&lt;=0,0,ROUND(F17*J17,2)),"")</f>
        <v>750000</v>
      </c>
      <c r="O17" s="28"/>
    </row>
    <row r="18" ht="20.5" customHeight="1">
      <c r="A18" s="95">
        <v>5</v>
      </c>
      <c r="B18" t="s" s="19">
        <v>536</v>
      </c>
      <c r="C18" s="20"/>
      <c r="D18" s="21">
        <v>1</v>
      </c>
      <c r="E18" s="21" cm="1">
        <f t="array" ref="E18">D18</f>
        <v>1</v>
      </c>
      <c r="F18" s="21" cm="1">
        <f t="array" ref="F18">D18</f>
        <v>1</v>
      </c>
      <c r="G18" t="s" s="22">
        <v>79</v>
      </c>
      <c r="H18" s="21">
        <v>2000000</v>
      </c>
      <c r="I18" s="21">
        <v>2000000</v>
      </c>
      <c r="J18" s="21">
        <v>2000000</v>
      </c>
      <c r="K18" s="21">
        <v>11</v>
      </c>
      <c r="L18" s="21" cm="1">
        <f t="array" ref="L18">IF(D18&gt;0,IF($D18&lt;=0,0,D18*H18),"")</f>
        <v>2000000</v>
      </c>
      <c r="M18" s="21" cm="1">
        <f t="array" ref="M18">IF(E18&gt;0,IF($D18&lt;=0,0,ROUND(E18*I18,2)),"")</f>
        <v>2000000</v>
      </c>
      <c r="N18" s="21" cm="1">
        <f t="array" ref="N18">IF(F18&gt;0,IF($D18&lt;=0,0,ROUND(F18*J18,2)),"")</f>
        <v>2000000</v>
      </c>
      <c r="O18" s="91"/>
    </row>
    <row r="19" ht="20.5" customHeight="1">
      <c r="A19" t="s" s="18">
        <v>80</v>
      </c>
      <c r="B19" t="s" s="19">
        <v>81</v>
      </c>
      <c r="C19" s="24"/>
      <c r="D19" s="26"/>
      <c r="E19" s="26"/>
      <c r="F19" s="26"/>
      <c r="G19" s="30"/>
      <c r="H19" s="26"/>
      <c r="I19" s="26"/>
      <c r="J19" s="26"/>
      <c r="K19" s="26"/>
      <c r="L19" t="str" s="30" cm="1">
        <f t="array" ref="L19">IF(D19&gt;0,IF($D19&lt;=0,0,D19*H19),"")</f>
      </c>
      <c r="M19" t="str" s="30" cm="1">
        <f t="array" ref="M19">IF(E19&gt;0,IF($D19&lt;=0,0,ROUND(E19*I19,2)),"")</f>
      </c>
      <c r="N19" t="str" s="30" cm="1">
        <f t="array" ref="N19">IF(F19&gt;0,IF($D19&lt;=0,0,ROUND(F19*J19,2)),"")</f>
      </c>
      <c r="O19" s="31"/>
    </row>
    <row r="20" ht="20.5" customHeight="1">
      <c r="A20" s="29"/>
      <c r="B20" t="s" s="19">
        <v>82</v>
      </c>
      <c r="C20" s="20"/>
      <c r="D20" s="21">
        <v>1</v>
      </c>
      <c r="E20" s="21" cm="1">
        <f t="array" ref="E20">D20</f>
        <v>1</v>
      </c>
      <c r="F20" s="21" cm="1">
        <f t="array" ref="F20">D20</f>
        <v>1</v>
      </c>
      <c r="G20" t="s" s="22">
        <v>19</v>
      </c>
      <c r="H20" s="21">
        <v>172536</v>
      </c>
      <c r="I20" s="21">
        <v>172536</v>
      </c>
      <c r="J20" s="21">
        <v>172536</v>
      </c>
      <c r="K20" s="21">
        <v>0</v>
      </c>
      <c r="L20" s="21" cm="1">
        <f t="array" ref="L20">IF(D20&gt;0,IF($D20&lt;=0,0,D20*H20),"")</f>
        <v>172536</v>
      </c>
      <c r="M20" s="21" cm="1">
        <f t="array" ref="M20">IF(E20&gt;0,IF($D20&lt;=0,0,ROUND(E20*I20,2)),"")</f>
        <v>172536</v>
      </c>
      <c r="N20" s="21" cm="1">
        <f t="array" ref="N20">IF(F20&gt;0,IF($D20&lt;=0,0,ROUND(F20*J20,2)),"")</f>
        <v>172536</v>
      </c>
      <c r="O20" s="23"/>
    </row>
    <row r="21" ht="20.6" customHeight="1">
      <c r="A21" s="96"/>
      <c r="B21" s="97"/>
      <c r="C21" s="80"/>
      <c r="D21" s="81"/>
      <c r="E21" s="81"/>
      <c r="F21" s="81"/>
      <c r="G21" s="98"/>
      <c r="H21" s="81"/>
      <c r="I21" s="81"/>
      <c r="J21" s="81"/>
      <c r="K21" s="81"/>
      <c r="L21" t="str" s="98" cm="1">
        <f t="array" ref="L21">IF(D21&gt;0,IF($D21&lt;=0,0,D21*H21),"")</f>
      </c>
      <c r="M21" t="str" s="98" cm="1">
        <f t="array" ref="M21">IF(E21&gt;0,IF($D21&lt;=0,0,ROUND(E21*I21,2)),"")</f>
      </c>
      <c r="N21" t="str" s="98" cm="1">
        <f t="array" ref="N21">IF(F21&gt;0,IF($D21&lt;=0,0,ROUND(F21*J21,2)),"")</f>
      </c>
      <c r="O21" s="99"/>
    </row>
    <row r="22" ht="20.85" customHeight="1">
      <c r="A22" s="54"/>
      <c r="B22" s="54"/>
      <c r="C22" s="54"/>
      <c r="D22" s="55"/>
      <c r="E22" s="55"/>
      <c r="F22" s="55"/>
      <c r="G22" s="56"/>
      <c r="H22" s="56"/>
      <c r="I22" s="54"/>
      <c r="J22" s="57"/>
      <c r="K22" t="s" s="58">
        <v>38</v>
      </c>
      <c r="L22" s="59" cm="1">
        <f t="array" ref="L22">SUM(L1:L21)</f>
        <v>72087536</v>
      </c>
      <c r="M22" s="59" cm="1">
        <f t="array" ref="M22">SUM(M1:M21)</f>
        <v>72062536</v>
      </c>
      <c r="N22" s="59" cm="1">
        <f t="array" ref="N22">SUM(N1:N21)</f>
        <v>72062536</v>
      </c>
      <c r="O22" s="59"/>
    </row>
    <row r="23" ht="21" customHeight="1">
      <c r="A23" s="62"/>
      <c r="B23" t="s" s="61">
        <v>39</v>
      </c>
      <c r="C23" s="62"/>
      <c r="D23" s="63" cm="1">
        <f t="array" ref="D23">ROUND(IF(L23&lt;=100000000,L23*0.24%,IF(AND(L23&gt;100000000,L23&lt;=500000000),100000000*0.24%+(L23-100000000)*0.19%,IF(AND(L23&gt;500000000,L23&lt;=1000000000),100000000*0.24%+400000000*0.19%+(L23-500000000)*0.15%,IF(AND(L23&gt;1000000000,L23&lt;=5000000000),100000000*0.24%+400000000*0.19%+500000000*0.15%+(L23-1000000000)*0.12%,IF(L23&gt;5000000000,100000000*0.24%+400000000*0.19%+500000000*0.15%+4000000000*0.12%+(L23-5000000000)*0.1%,"Bingung komputer"))))),2)</f>
        <v>172596</v>
      </c>
      <c r="E23" s="64" cm="1">
        <f t="array" ref="E23">ROUND(IF(M23&lt;=100000000,M23*0.24%,IF(AND(M23&gt;100000000,M23&lt;=500000000),100000000*0.24%+(M23-100000000)*0.19%,IF(AND(M23&gt;500000000,M23&lt;=1000000000),100000000*0.24%+400000000*0.19%+(M23-500000000)*0.15%,IF(AND(M23&gt;1000000000,M23&lt;=5000000000),100000000*0.24%+400000000*0.19%+500000000*0.15%+(M23-1000000000)*0.12%,IF(M23&gt;5000000000,100000000*0.24%+400000000*0.19%+500000000*0.15%+4000000000*0.12%+(M23-5000000000)*0.1%,"Bingung komputer"))))),2)</f>
        <v>172536</v>
      </c>
      <c r="F23" s="64" cm="1">
        <f t="array" ref="F23">ROUND(IF(N23&lt;=100000000,N23*0.24%,IF(AND(N23&gt;100000000,N23&lt;=500000000),100000000*0.24%+(N23-100000000)*0.19%,IF(AND(N23&gt;500000000,N23&lt;=1000000000),100000000*0.24%+400000000*0.19%+(N23-500000000)*0.15%,IF(AND(N23&gt;1000000000,N23&lt;=5000000000),100000000*0.24%+400000000*0.19%+500000000*0.15%+(N23-1000000000)*0.12%,IF(N23&gt;5000000000,100000000*0.24%+400000000*0.19%+500000000*0.15%+4000000000*0.12%+(N23-5000000000)*0.1%,"Bingung komputer"))))),2)</f>
        <v>172536</v>
      </c>
      <c r="G23" s="65"/>
      <c r="H23" s="66"/>
      <c r="I23" s="62"/>
      <c r="J23" s="67"/>
      <c r="K23" t="str" s="67" cm="1">
        <f t="array" ref="K23">"Jumlah Terkena Pajak "&amp;MAX(K3:K21)&amp;"% (B)"</f>
        <v>Jumlah Terkena Pajak 11,00% (B)</v>
      </c>
      <c r="L23" s="68" cm="1">
        <f t="array" ref="L23">SUMIF($K3:$K21,"&gt;0",L3:L21)</f>
        <v>71915000</v>
      </c>
      <c r="M23" s="68" cm="1">
        <f t="array" ref="M23">SUMIF($K3:$K21,"&gt;0",M3:M21)</f>
        <v>71890000</v>
      </c>
      <c r="N23" s="68" cm="1">
        <f t="array" ref="N23">SUMIF($K3:$K21,"&gt;0",N3:N21)</f>
        <v>71890000</v>
      </c>
      <c r="O23" s="69"/>
    </row>
    <row r="24" ht="21" customHeight="1">
      <c r="A24" s="71"/>
      <c r="B24" s="71"/>
      <c r="C24" s="71"/>
      <c r="D24" s="72"/>
      <c r="E24" s="72"/>
      <c r="F24" s="71"/>
      <c r="G24" s="72"/>
      <c r="H24" s="72"/>
      <c r="I24" s="71"/>
      <c r="J24" s="73"/>
      <c r="K24" t="str" s="73" cm="1">
        <f t="array" ref="K24">"PPN (C) = "&amp;MAX(K3:K21)&amp;"% x B"</f>
        <v>PPN (C) = 11,00% x B</v>
      </c>
      <c r="L24" s="74" cm="1">
        <f t="array" ref="L24">L23*MAX($K3:$K21)%</f>
        <v>7910650</v>
      </c>
      <c r="M24" s="74" cm="1">
        <f t="array" ref="M24">M23*MAX($K3:$K21)%</f>
        <v>7907900</v>
      </c>
      <c r="N24" s="74" cm="1">
        <f t="array" ref="N24">N23*MAX($K3:$K21)%</f>
        <v>7907900</v>
      </c>
      <c r="O24" s="69"/>
    </row>
    <row r="25" ht="21" customHeight="1">
      <c r="A25" s="71"/>
      <c r="B25" s="71"/>
      <c r="C25" s="71"/>
      <c r="D25" s="72"/>
      <c r="E25" s="72"/>
      <c r="F25" s="72"/>
      <c r="G25" s="72"/>
      <c r="H25" s="72"/>
      <c r="I25" s="71"/>
      <c r="J25" s="73"/>
      <c r="K25" t="s" s="75">
        <v>42</v>
      </c>
      <c r="L25" s="74" cm="1">
        <f t="array" ref="L25">L22+L24</f>
        <v>79998186</v>
      </c>
      <c r="M25" s="74" cm="1">
        <f t="array" ref="M25">M22+M24</f>
        <v>79970436</v>
      </c>
      <c r="N25" s="74" cm="1">
        <f t="array" ref="N25">N22+N24</f>
        <v>79970436</v>
      </c>
      <c r="O25" s="69"/>
    </row>
    <row r="26" ht="20.5" customHeight="1">
      <c r="A26" s="71"/>
      <c r="B26" s="71"/>
      <c r="C26" s="71"/>
      <c r="D26" s="72"/>
      <c r="E26" s="72"/>
      <c r="F26" s="72"/>
      <c r="G26" s="72"/>
      <c r="H26" s="72"/>
      <c r="I26" s="71"/>
      <c r="J26" s="73"/>
      <c r="K26" t="s" s="75">
        <v>43</v>
      </c>
      <c r="L26" s="74" cm="1">
        <f t="array" ref="L26">ROUNDDOWN(L25,2)</f>
        <v>79998186</v>
      </c>
      <c r="M26" s="74" cm="1">
        <f t="array" ref="M26">ROUNDDOWN(M25,2)</f>
        <v>79970436</v>
      </c>
      <c r="N26" s="74" cm="1">
        <f t="array" ref="N26">ROUNDDOWN(N25,-3)</f>
        <v>79970000</v>
      </c>
      <c r="O26" s="68"/>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30.xml><?xml version="1.0" encoding="utf-8"?>
<worksheet xmlns:r="http://schemas.openxmlformats.org/officeDocument/2006/relationships" xmlns="http://schemas.openxmlformats.org/spreadsheetml/2006/main">
  <sheetPr>
    <pageSetUpPr fitToPage="1"/>
  </sheetPr>
  <dimension ref="A1:N41"/>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325" customWidth="1"/>
    <col min="2" max="2" width="43.0312" style="325" customWidth="1"/>
    <col min="3" max="3" width="2.75" style="325" customWidth="1"/>
    <col min="4" max="6" width="10.3672" style="325" customWidth="1"/>
    <col min="7" max="7" width="11.6875" style="325" customWidth="1"/>
    <col min="8" max="11" width="13.5156" style="325" customWidth="1"/>
    <col min="12" max="14" width="14.2344" style="325" customWidth="1"/>
    <col min="15" max="16384" width="16.3516" style="325"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16</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t="s" s="18">
        <v>17</v>
      </c>
      <c r="B4" t="s" s="19">
        <v>18</v>
      </c>
      <c r="C4" s="20"/>
      <c r="D4" s="21">
        <v>1</v>
      </c>
      <c r="E4" s="21" cm="1">
        <f t="array" ref="E4">D4</f>
        <v>1</v>
      </c>
      <c r="F4" s="21" cm="1">
        <f t="array" ref="F4">D4</f>
        <v>1</v>
      </c>
      <c r="G4" t="s" s="22">
        <v>19</v>
      </c>
      <c r="H4" s="21">
        <v>1000000</v>
      </c>
      <c r="I4" s="21">
        <v>900000</v>
      </c>
      <c r="J4" s="21">
        <v>900000</v>
      </c>
      <c r="K4" s="21">
        <v>11</v>
      </c>
      <c r="L4" s="21" cm="1">
        <f t="array" ref="L4">IF(D4&gt;0,IF($D4&lt;=0,0,D4*H4),"")</f>
        <v>1000000</v>
      </c>
      <c r="M4" s="21" cm="1">
        <f t="array" ref="M4">IF(E4&gt;0,IF($D4&lt;=0,0,ROUND(E4*I4,2)),"")</f>
        <v>900000</v>
      </c>
      <c r="N4" s="23" cm="1">
        <f t="array" ref="N4">IF(F4&gt;0,IF($D4&lt;=0,0,ROUND(F4*J4,2)),"")</f>
        <v>900000</v>
      </c>
    </row>
    <row r="5" ht="20.5" customHeight="1">
      <c r="A5" t="s" s="18">
        <v>20</v>
      </c>
      <c r="B5" t="s" s="19">
        <v>189</v>
      </c>
      <c r="C5" s="24"/>
      <c r="D5" s="26">
        <v>1</v>
      </c>
      <c r="E5" s="26" cm="1">
        <f t="array" ref="E5">D5</f>
        <v>1</v>
      </c>
      <c r="F5" s="26" cm="1">
        <f t="array" ref="F5">D5</f>
        <v>1</v>
      </c>
      <c r="G5" t="s" s="27">
        <v>19</v>
      </c>
      <c r="H5" s="26">
        <v>760000</v>
      </c>
      <c r="I5" s="26">
        <v>740000</v>
      </c>
      <c r="J5" s="26">
        <v>740000</v>
      </c>
      <c r="K5" s="26">
        <v>11</v>
      </c>
      <c r="L5" s="26" cm="1">
        <f t="array" ref="L5">IF(D5&gt;0,IF($D5&lt;=0,0,D5*H5),"")</f>
        <v>760000</v>
      </c>
      <c r="M5" s="26" cm="1">
        <f t="array" ref="M5">IF(E5&gt;0,IF($D5&lt;=0,0,ROUND(E5*I5,2)),"")</f>
        <v>740000</v>
      </c>
      <c r="N5" s="28" cm="1">
        <f t="array" ref="N5">IF(F5&gt;0,IF($D5&lt;=0,0,ROUND(F5*J5,2)),"")</f>
        <v>740000</v>
      </c>
    </row>
    <row r="6" ht="20.5" customHeight="1">
      <c r="A6" t="s" s="18">
        <v>22</v>
      </c>
      <c r="B6" t="s" s="19">
        <v>23</v>
      </c>
      <c r="C6" s="20"/>
      <c r="D6" s="21">
        <v>1</v>
      </c>
      <c r="E6" s="21" cm="1">
        <f t="array" ref="E6">D6</f>
        <v>1</v>
      </c>
      <c r="F6" s="21" cm="1">
        <f t="array" ref="F6">D6</f>
        <v>1</v>
      </c>
      <c r="G6" t="s" s="22">
        <v>19</v>
      </c>
      <c r="H6" s="21">
        <v>1432000</v>
      </c>
      <c r="I6" s="21">
        <v>1322000</v>
      </c>
      <c r="J6" s="21">
        <v>1322000</v>
      </c>
      <c r="K6" s="21">
        <v>11</v>
      </c>
      <c r="L6" s="21" cm="1">
        <f t="array" ref="L6">IF(D6&gt;0,IF($D6&lt;=0,0,D6*H6),"")</f>
        <v>1432000</v>
      </c>
      <c r="M6" s="21" cm="1">
        <f t="array" ref="M6">IF(E6&gt;0,IF($D6&lt;=0,0,ROUND(E6*I6,2)),"")</f>
        <v>1322000</v>
      </c>
      <c r="N6" s="23" cm="1">
        <f t="array" ref="N6">IF(F6&gt;0,IF($D6&lt;=0,0,ROUND(F6*J6,2)),"")</f>
        <v>1322000</v>
      </c>
    </row>
    <row r="7" ht="20.5" customHeight="1">
      <c r="A7" s="29"/>
      <c r="B7" t="s" s="19">
        <v>541</v>
      </c>
      <c r="C7" s="24"/>
      <c r="D7" s="30"/>
      <c r="E7" s="26"/>
      <c r="F7" s="26"/>
      <c r="G7" s="30"/>
      <c r="H7" s="26"/>
      <c r="I7" s="26"/>
      <c r="J7" s="26"/>
      <c r="K7" s="26"/>
      <c r="L7" t="str" s="30" cm="1">
        <f t="array" ref="L7">IF(D7&gt;0,IF($D7&lt;=0,0,D7*H7),"")</f>
      </c>
      <c r="M7" t="str" s="30" cm="1">
        <f t="array" ref="M7">IF(E7&gt;0,IF($D7&lt;=0,0,ROUND(E7*I7,2)),"")</f>
      </c>
      <c r="N7" t="str" s="31" cm="1">
        <f t="array" ref="N7">IF(F7&gt;0,IF($D7&lt;=0,0,ROUND(F7*J7,2)),"")</f>
      </c>
    </row>
    <row r="8" ht="20.5" customHeight="1">
      <c r="A8" s="29"/>
      <c r="B8" t="s" s="19">
        <v>334</v>
      </c>
      <c r="C8" s="20"/>
      <c r="D8" s="79"/>
      <c r="E8" s="21"/>
      <c r="F8" s="21"/>
      <c r="G8" s="79"/>
      <c r="H8" s="21"/>
      <c r="I8" s="21"/>
      <c r="J8" s="21"/>
      <c r="K8" s="21"/>
      <c r="L8" t="str" s="79" cm="1">
        <f t="array" ref="L8">IF(D8&gt;0,IF($D8&lt;=0,0,D8*H8),"")</f>
      </c>
      <c r="M8" t="str" s="79" cm="1">
        <f t="array" ref="M8">IF(E8&gt;0,IF($D8&lt;=0,0,ROUND(E8*I8,2)),"")</f>
      </c>
      <c r="N8" t="str" s="91" cm="1">
        <f t="array" ref="N8">IF(F8&gt;0,IF($D8&lt;=0,0,ROUND(F8*J8,2)),"")</f>
      </c>
    </row>
    <row r="9" ht="20.5" customHeight="1">
      <c r="A9" t="s" s="18">
        <v>335</v>
      </c>
      <c r="B9" t="s" s="19">
        <v>336</v>
      </c>
      <c r="C9" s="24"/>
      <c r="D9" s="25">
        <v>1.2</v>
      </c>
      <c r="E9" s="26" cm="1">
        <f t="array" ref="E9">D9</f>
        <v>1.2</v>
      </c>
      <c r="F9" s="26" cm="1">
        <f t="array" ref="F9">D9</f>
        <v>1.2</v>
      </c>
      <c r="G9" t="s" s="27">
        <v>27</v>
      </c>
      <c r="H9" s="26">
        <v>7170790</v>
      </c>
      <c r="I9" s="26">
        <v>7105477.5</v>
      </c>
      <c r="J9" s="26">
        <v>7105477.5</v>
      </c>
      <c r="K9" s="26">
        <v>11</v>
      </c>
      <c r="L9" s="26" cm="1">
        <f t="array" ref="L9">IF(D9&gt;0,IF($D9&lt;=0,0,D9*H9),"")</f>
        <v>8604948</v>
      </c>
      <c r="M9" s="26" cm="1">
        <f t="array" ref="M9">IF(E9&gt;0,IF($D9&lt;=0,0,ROUND(E9*I9,2)),"")</f>
        <v>8526573</v>
      </c>
      <c r="N9" s="28" cm="1">
        <f t="array" ref="N9">IF(F9&gt;0,IF($D9&lt;=0,0,ROUND(F9*J9,2)),"")</f>
        <v>8526573</v>
      </c>
    </row>
    <row r="10" ht="20.5" customHeight="1">
      <c r="A10" t="s" s="18">
        <v>335</v>
      </c>
      <c r="B10" t="s" s="19">
        <v>337</v>
      </c>
      <c r="C10" s="20"/>
      <c r="D10" s="78">
        <v>1.07</v>
      </c>
      <c r="E10" s="21" cm="1">
        <f t="array" ref="E10">D10</f>
        <v>1.07</v>
      </c>
      <c r="F10" s="21" cm="1">
        <f t="array" ref="F10">D10</f>
        <v>1.07</v>
      </c>
      <c r="G10" t="s" s="22">
        <v>27</v>
      </c>
      <c r="H10" s="21">
        <v>7170790</v>
      </c>
      <c r="I10" s="21">
        <v>7105477.5</v>
      </c>
      <c r="J10" s="21">
        <v>7105477.5</v>
      </c>
      <c r="K10" s="21">
        <v>11</v>
      </c>
      <c r="L10" s="21" cm="1">
        <f t="array" ref="L10">IF(D10&gt;0,IF($D10&lt;=0,0,D10*H10),"")</f>
        <v>7672745.3</v>
      </c>
      <c r="M10" s="21" cm="1">
        <f t="array" ref="M10">IF(E10&gt;0,IF($D10&lt;=0,0,ROUND(E10*I10,2)),"")</f>
        <v>7602860.93</v>
      </c>
      <c r="N10" s="23" cm="1">
        <f t="array" ref="N10">IF(F10&gt;0,IF($D10&lt;=0,0,ROUND(F10*J10,2)),"")</f>
        <v>7602860.93</v>
      </c>
    </row>
    <row r="11" ht="20.5" customHeight="1">
      <c r="A11" t="s" s="18">
        <v>335</v>
      </c>
      <c r="B11" t="s" s="19">
        <v>338</v>
      </c>
      <c r="C11" s="24"/>
      <c r="D11" s="25">
        <v>4.32</v>
      </c>
      <c r="E11" s="26" cm="1">
        <f t="array" ref="E11">D11</f>
        <v>4.32</v>
      </c>
      <c r="F11" s="26" cm="1">
        <f t="array" ref="F11">D11</f>
        <v>4.32</v>
      </c>
      <c r="G11" t="s" s="27">
        <v>35</v>
      </c>
      <c r="H11" s="26">
        <v>4528260</v>
      </c>
      <c r="I11" s="26">
        <v>4472160</v>
      </c>
      <c r="J11" s="26">
        <v>4472160</v>
      </c>
      <c r="K11" s="26">
        <v>11</v>
      </c>
      <c r="L11" s="26" cm="1">
        <f t="array" ref="L11">IF(D11&gt;0,IF($D11&lt;=0,0,D11*H11),"")</f>
        <v>19562083.2</v>
      </c>
      <c r="M11" s="26" cm="1">
        <f t="array" ref="M11">IF(E11&gt;0,IF($D11&lt;=0,0,ROUND(E11*I11,2)),"")</f>
        <v>19319731.2</v>
      </c>
      <c r="N11" s="28" cm="1">
        <f t="array" ref="N11">IF(F11&gt;0,IF($D11&lt;=0,0,ROUND(F11*J11,2)),"")</f>
        <v>19319731.2</v>
      </c>
    </row>
    <row r="12" ht="20.5" customHeight="1">
      <c r="A12" s="29"/>
      <c r="B12" t="s" s="19">
        <v>339</v>
      </c>
      <c r="C12" s="20"/>
      <c r="D12" s="79"/>
      <c r="E12" s="21"/>
      <c r="F12" s="21"/>
      <c r="G12" s="79"/>
      <c r="H12" s="21"/>
      <c r="I12" s="21"/>
      <c r="J12" s="21"/>
      <c r="K12" s="21"/>
      <c r="L12" t="str" s="79" cm="1">
        <f t="array" ref="L12">IF(D12&gt;0,IF($D12&lt;=0,0,D12*H12),"")</f>
      </c>
      <c r="M12" t="str" s="79" cm="1">
        <f t="array" ref="M12">IF(E12&gt;0,IF($D12&lt;=0,0,ROUND(E12*I12,2)),"")</f>
      </c>
      <c r="N12" t="str" s="91" cm="1">
        <f t="array" ref="N12">IF(F12&gt;0,IF($D12&lt;=0,0,ROUND(F12*J12,2)),"")</f>
      </c>
    </row>
    <row r="13" ht="20.5" customHeight="1">
      <c r="A13" t="s" s="18">
        <v>335</v>
      </c>
      <c r="B13" t="s" s="19">
        <v>542</v>
      </c>
      <c r="C13" s="24"/>
      <c r="D13" s="25">
        <v>172</v>
      </c>
      <c r="E13" s="26" cm="1">
        <f t="array" ref="E13">D13</f>
        <v>172</v>
      </c>
      <c r="F13" s="26" cm="1">
        <f t="array" ref="F13">D13</f>
        <v>172</v>
      </c>
      <c r="G13" t="s" s="27">
        <v>543</v>
      </c>
      <c r="H13" s="26">
        <v>235334</v>
      </c>
      <c r="I13" s="26">
        <v>235224</v>
      </c>
      <c r="J13" s="26">
        <v>235224</v>
      </c>
      <c r="K13" s="26">
        <v>11</v>
      </c>
      <c r="L13" s="26" cm="1">
        <f t="array" ref="L13">IF(D13&gt;0,IF($D13&lt;=0,0,D13*H13),"")</f>
        <v>40477448</v>
      </c>
      <c r="M13" s="26" cm="1">
        <f t="array" ref="M13">IF(E13&gt;0,IF($D13&lt;=0,0,ROUND(E13*I13,2)),"")</f>
        <v>40458528</v>
      </c>
      <c r="N13" s="28" cm="1">
        <f t="array" ref="N13">IF(F13&gt;0,IF($D13&lt;=0,0,ROUND(F13*J13,2)),"")</f>
        <v>40458528</v>
      </c>
    </row>
    <row r="14" ht="20.5" customHeight="1">
      <c r="A14" t="s" s="18">
        <v>335</v>
      </c>
      <c r="B14" t="s" s="19">
        <v>544</v>
      </c>
      <c r="C14" s="20"/>
      <c r="D14" s="78">
        <v>355.08</v>
      </c>
      <c r="E14" s="21" cm="1">
        <f t="array" ref="E14">D14</f>
        <v>355.08</v>
      </c>
      <c r="F14" s="21" cm="1">
        <f t="array" ref="F14">D14</f>
        <v>355.08</v>
      </c>
      <c r="G14" t="s" s="22">
        <v>543</v>
      </c>
      <c r="H14" s="21">
        <v>112310</v>
      </c>
      <c r="I14" s="21">
        <v>112200</v>
      </c>
      <c r="J14" s="21">
        <v>112200</v>
      </c>
      <c r="K14" s="21">
        <v>11</v>
      </c>
      <c r="L14" s="21" cm="1">
        <f t="array" ref="L14">IF(D14&gt;0,IF($D14&lt;=0,0,D14*H14),"")</f>
        <v>39879034.8</v>
      </c>
      <c r="M14" s="21" cm="1">
        <f t="array" ref="M14">IF(E14&gt;0,IF($D14&lt;=0,0,ROUND(E14*I14,2)),"")</f>
        <v>39839976</v>
      </c>
      <c r="N14" s="23" cm="1">
        <f t="array" ref="N14">IF(F14&gt;0,IF($D14&lt;=0,0,ROUND(F14*J14,2)),"")</f>
        <v>39839976</v>
      </c>
    </row>
    <row r="15" ht="32.5" customHeight="1">
      <c r="A15" t="s" s="18">
        <v>335</v>
      </c>
      <c r="B15" t="s" s="19">
        <v>545</v>
      </c>
      <c r="C15" s="24"/>
      <c r="D15" s="25">
        <v>82</v>
      </c>
      <c r="E15" s="26" cm="1">
        <f t="array" ref="E15">D15</f>
        <v>82</v>
      </c>
      <c r="F15" s="26" cm="1">
        <f t="array" ref="F15">D15</f>
        <v>82</v>
      </c>
      <c r="G15" t="s" s="27">
        <v>79</v>
      </c>
      <c r="H15" s="26">
        <v>536545.95</v>
      </c>
      <c r="I15" s="26">
        <v>536538.1</v>
      </c>
      <c r="J15" s="26">
        <v>536538.1</v>
      </c>
      <c r="K15" s="26">
        <v>11</v>
      </c>
      <c r="L15" s="26" cm="1">
        <f t="array" ref="L15">IF(D15&gt;0,IF($D15&lt;=0,0,D15*H15),"")</f>
        <v>43996767.9</v>
      </c>
      <c r="M15" s="26" cm="1">
        <f t="array" ref="M15">IF(E15&gt;0,IF($D15&lt;=0,0,ROUND(E15*I15,2)),"")</f>
        <v>43996124.2</v>
      </c>
      <c r="N15" s="28" cm="1">
        <f t="array" ref="N15">IF(F15&gt;0,IF($D15&lt;=0,0,ROUND(F15*J15,2)),"")</f>
        <v>43996124.2</v>
      </c>
    </row>
    <row r="16" ht="20.5" customHeight="1">
      <c r="A16" t="s" s="18">
        <v>335</v>
      </c>
      <c r="B16" t="s" s="19">
        <v>546</v>
      </c>
      <c r="C16" s="20"/>
      <c r="D16" s="78">
        <v>82</v>
      </c>
      <c r="E16" s="21" cm="1">
        <f t="array" ref="E16">D16</f>
        <v>82</v>
      </c>
      <c r="F16" s="21" cm="1">
        <f t="array" ref="F16">D16</f>
        <v>82</v>
      </c>
      <c r="G16" t="s" s="22">
        <v>79</v>
      </c>
      <c r="H16" s="21">
        <v>55314.29</v>
      </c>
      <c r="I16" s="21">
        <v>55282.86</v>
      </c>
      <c r="J16" s="21">
        <v>55282.86</v>
      </c>
      <c r="K16" s="21">
        <v>11</v>
      </c>
      <c r="L16" s="21" cm="1">
        <f t="array" ref="L16">IF(D16&gt;0,IF($D16&lt;=0,0,D16*H16),"")</f>
        <v>4535771.78</v>
      </c>
      <c r="M16" s="21" cm="1">
        <f t="array" ref="M16">IF(E16&gt;0,IF($D16&lt;=0,0,ROUND(E16*I16,2)),"")</f>
        <v>4533194.52</v>
      </c>
      <c r="N16" s="23" cm="1">
        <f t="array" ref="N16">IF(F16&gt;0,IF($D16&lt;=0,0,ROUND(F16*J16,2)),"")</f>
        <v>4533194.52</v>
      </c>
    </row>
    <row r="17" ht="20.5" customHeight="1">
      <c r="A17" t="s" s="18">
        <v>335</v>
      </c>
      <c r="B17" t="s" s="19">
        <v>547</v>
      </c>
      <c r="C17" s="24"/>
      <c r="D17" s="25">
        <v>1148</v>
      </c>
      <c r="E17" s="26" cm="1">
        <f t="array" ref="E17">D17</f>
        <v>1148</v>
      </c>
      <c r="F17" s="26" cm="1">
        <f t="array" ref="F17">D17</f>
        <v>1148</v>
      </c>
      <c r="G17" t="s" s="27">
        <v>79</v>
      </c>
      <c r="H17" s="26">
        <v>6529.29</v>
      </c>
      <c r="I17" s="26">
        <v>6521.43</v>
      </c>
      <c r="J17" s="26">
        <v>6521.43</v>
      </c>
      <c r="K17" s="26">
        <v>11</v>
      </c>
      <c r="L17" s="26" cm="1">
        <f t="array" ref="L17">IF(D17&gt;0,IF($D17&lt;=0,0,D17*H17),"")</f>
        <v>7495624.92</v>
      </c>
      <c r="M17" s="26" cm="1">
        <f t="array" ref="M17">IF(E17&gt;0,IF($D17&lt;=0,0,ROUND(E17*I17,2)),"")</f>
        <v>7486601.64</v>
      </c>
      <c r="N17" s="28" cm="1">
        <f t="array" ref="N17">IF(F17&gt;0,IF($D17&lt;=0,0,ROUND(F17*J17,2)),"")</f>
        <v>7486601.64</v>
      </c>
    </row>
    <row r="18" ht="20.5" customHeight="1">
      <c r="A18" t="s" s="18">
        <v>335</v>
      </c>
      <c r="B18" t="s" s="19">
        <v>548</v>
      </c>
      <c r="C18" s="20"/>
      <c r="D18" s="78">
        <v>100</v>
      </c>
      <c r="E18" s="21" cm="1">
        <f t="array" ref="E18">D18</f>
        <v>100</v>
      </c>
      <c r="F18" s="21" cm="1">
        <f t="array" ref="F18">D18</f>
        <v>100</v>
      </c>
      <c r="G18" t="s" s="22">
        <v>79</v>
      </c>
      <c r="H18" s="21">
        <v>43379.29</v>
      </c>
      <c r="I18" s="21">
        <v>43371.43</v>
      </c>
      <c r="J18" s="21">
        <v>43371.43</v>
      </c>
      <c r="K18" s="21">
        <v>11</v>
      </c>
      <c r="L18" s="21" cm="1">
        <f t="array" ref="L18">IF(D18&gt;0,IF($D18&lt;=0,0,D18*H18),"")</f>
        <v>4337929</v>
      </c>
      <c r="M18" s="21" cm="1">
        <f t="array" ref="M18">IF(E18&gt;0,IF($D18&lt;=0,0,ROUND(E18*I18,2)),"")</f>
        <v>4337143</v>
      </c>
      <c r="N18" s="23" cm="1">
        <f t="array" ref="N18">IF(F18&gt;0,IF($D18&lt;=0,0,ROUND(F18*J18,2)),"")</f>
        <v>4337143</v>
      </c>
    </row>
    <row r="19" ht="20.5" customHeight="1">
      <c r="A19" s="29"/>
      <c r="B19" t="s" s="19">
        <v>36</v>
      </c>
      <c r="C19" s="24"/>
      <c r="D19" s="26"/>
      <c r="E19" s="26"/>
      <c r="F19" s="26"/>
      <c r="G19" s="30"/>
      <c r="H19" s="30"/>
      <c r="I19" s="26"/>
      <c r="J19" s="26"/>
      <c r="K19" s="26"/>
      <c r="L19" t="str" s="30" cm="1">
        <f t="array" ref="L19">IF(D19&gt;0,IF($D19&lt;=0,0,D19*H20),"")</f>
      </c>
      <c r="M19" s="26"/>
      <c r="N19" s="28"/>
    </row>
    <row r="20" ht="20.6" customHeight="1">
      <c r="A20" s="33">
        <v>1</v>
      </c>
      <c r="B20" t="s" s="34">
        <v>37</v>
      </c>
      <c r="C20" s="35"/>
      <c r="D20" s="36">
        <v>1</v>
      </c>
      <c r="E20" s="36" cm="1">
        <f t="array" ref="E20">D20</f>
        <v>1</v>
      </c>
      <c r="F20" s="36" cm="1">
        <f t="array" ref="F20">D20</f>
        <v>1</v>
      </c>
      <c r="G20" t="s" s="37">
        <v>19</v>
      </c>
      <c r="H20" s="323">
        <v>391661.33</v>
      </c>
      <c r="I20" s="36">
        <v>390219.19</v>
      </c>
      <c r="J20" s="36">
        <v>390219.19</v>
      </c>
      <c r="K20" s="36">
        <v>0</v>
      </c>
      <c r="L20" s="36" cm="1">
        <f t="array" ref="L20">IF(D20&gt;0,IF($D20&lt;=0,0,D20*H20),"")</f>
        <v>391661.33</v>
      </c>
      <c r="M20" s="36" cm="1">
        <f t="array" ref="M20">IF(E20&gt;0,IF($D20&lt;=0,0,ROUND(E20*I20,2)),"")</f>
        <v>390219.19</v>
      </c>
      <c r="N20" s="38" cm="1">
        <f t="array" ref="N20">IF(F20&gt;0,IF($D20&lt;=0,0,ROUND(F20*J20,2)),"")</f>
        <v>390219.19</v>
      </c>
    </row>
    <row r="21" ht="8.75" customHeight="1" hidden="1">
      <c r="A21" s="39"/>
      <c r="B21" s="40"/>
      <c r="C21" s="41"/>
      <c r="D21" s="42"/>
      <c r="E21" s="42"/>
      <c r="F21" s="42"/>
      <c r="G21" s="43"/>
      <c r="H21" s="42"/>
      <c r="I21" s="42"/>
      <c r="J21" s="42"/>
      <c r="K21" s="42"/>
      <c r="L21" s="42"/>
      <c r="M21" s="42"/>
      <c r="N21" s="44"/>
    </row>
    <row r="22" ht="8.75" customHeight="1" hidden="1">
      <c r="A22" s="39"/>
      <c r="B22" s="40"/>
      <c r="C22" s="45"/>
      <c r="D22" s="46"/>
      <c r="E22" s="46"/>
      <c r="F22" s="46"/>
      <c r="G22" s="47"/>
      <c r="H22" s="46"/>
      <c r="I22" s="46"/>
      <c r="J22" s="46"/>
      <c r="K22" s="46"/>
      <c r="L22" s="46"/>
      <c r="M22" s="46"/>
      <c r="N22" s="48"/>
    </row>
    <row r="23" ht="8.75" customHeight="1" hidden="1">
      <c r="A23" s="39"/>
      <c r="B23" s="40"/>
      <c r="C23" s="41"/>
      <c r="D23" s="42"/>
      <c r="E23" s="42"/>
      <c r="F23" s="42"/>
      <c r="G23" s="43"/>
      <c r="H23" s="42"/>
      <c r="I23" s="42"/>
      <c r="J23" s="42"/>
      <c r="K23" s="42"/>
      <c r="L23" s="42"/>
      <c r="M23" s="42"/>
      <c r="N23" s="44"/>
    </row>
    <row r="24" ht="8.75" customHeight="1" hidden="1">
      <c r="A24" s="39"/>
      <c r="B24" s="40"/>
      <c r="C24" s="45"/>
      <c r="D24" s="46"/>
      <c r="E24" s="46"/>
      <c r="F24" s="46"/>
      <c r="G24" s="47"/>
      <c r="H24" s="46"/>
      <c r="I24" s="46"/>
      <c r="J24" s="46"/>
      <c r="K24" s="46"/>
      <c r="L24" s="46"/>
      <c r="M24" s="46"/>
      <c r="N24" s="48"/>
    </row>
    <row r="25" ht="8.75" customHeight="1" hidden="1">
      <c r="A25" s="39"/>
      <c r="B25" s="40"/>
      <c r="C25" s="41"/>
      <c r="D25" s="42"/>
      <c r="E25" s="42"/>
      <c r="F25" s="42"/>
      <c r="G25" s="43"/>
      <c r="H25" s="42"/>
      <c r="I25" s="42"/>
      <c r="J25" s="42"/>
      <c r="K25" s="42"/>
      <c r="L25" s="42"/>
      <c r="M25" s="42"/>
      <c r="N25" s="44"/>
    </row>
    <row r="26" ht="8.75" customHeight="1" hidden="1">
      <c r="A26" s="39"/>
      <c r="B26" s="40"/>
      <c r="C26" s="45"/>
      <c r="D26" s="46"/>
      <c r="E26" s="46"/>
      <c r="F26" s="46"/>
      <c r="G26" s="47"/>
      <c r="H26" s="46"/>
      <c r="I26" s="46"/>
      <c r="J26" s="46"/>
      <c r="K26" s="46"/>
      <c r="L26" s="46"/>
      <c r="M26" s="46"/>
      <c r="N26" s="48"/>
    </row>
    <row r="27" ht="8.75" customHeight="1" hidden="1">
      <c r="A27" s="39"/>
      <c r="B27" s="40"/>
      <c r="C27" s="41"/>
      <c r="D27" s="42"/>
      <c r="E27" s="42"/>
      <c r="F27" s="42"/>
      <c r="G27" s="43"/>
      <c r="H27" s="43"/>
      <c r="I27" s="43"/>
      <c r="J27" s="43"/>
      <c r="K27" s="42"/>
      <c r="L27" s="43"/>
      <c r="M27" s="43"/>
      <c r="N27" s="49"/>
    </row>
    <row r="28" ht="8.75" customHeight="1" hidden="1">
      <c r="A28" s="39"/>
      <c r="B28" s="40"/>
      <c r="C28" s="45"/>
      <c r="D28" s="46"/>
      <c r="E28" s="46"/>
      <c r="F28" s="46"/>
      <c r="G28" s="47"/>
      <c r="H28" s="50"/>
      <c r="I28" s="50"/>
      <c r="J28" s="50"/>
      <c r="K28" s="46"/>
      <c r="L28" s="46"/>
      <c r="M28" s="46"/>
      <c r="N28" s="48"/>
    </row>
    <row r="29" ht="8.75" customHeight="1" hidden="1">
      <c r="A29" s="39"/>
      <c r="B29" s="40"/>
      <c r="C29" s="41"/>
      <c r="D29" s="42"/>
      <c r="E29" s="42"/>
      <c r="F29" s="42"/>
      <c r="G29" s="43"/>
      <c r="H29" s="43"/>
      <c r="I29" s="43"/>
      <c r="J29" s="43"/>
      <c r="K29" s="42"/>
      <c r="L29" s="43"/>
      <c r="M29" s="43"/>
      <c r="N29" s="49"/>
    </row>
    <row r="30" ht="8.75" customHeight="1" hidden="1">
      <c r="A30" s="39"/>
      <c r="B30" s="40"/>
      <c r="C30" s="45"/>
      <c r="D30" s="46"/>
      <c r="E30" s="46"/>
      <c r="F30" s="46"/>
      <c r="G30" s="47"/>
      <c r="H30" s="46"/>
      <c r="I30" s="46"/>
      <c r="J30" s="46"/>
      <c r="K30" s="46"/>
      <c r="L30" s="46"/>
      <c r="M30" s="46"/>
      <c r="N30" s="48"/>
    </row>
    <row r="31" ht="8.75" customHeight="1" hidden="1">
      <c r="A31" s="39"/>
      <c r="B31" s="40"/>
      <c r="C31" s="41"/>
      <c r="D31" s="42"/>
      <c r="E31" s="42"/>
      <c r="F31" s="42"/>
      <c r="G31" s="43"/>
      <c r="H31" s="42"/>
      <c r="I31" s="42"/>
      <c r="J31" s="42"/>
      <c r="K31" s="42"/>
      <c r="L31" s="42"/>
      <c r="M31" s="42"/>
      <c r="N31" s="44"/>
    </row>
    <row r="32" ht="8.75" customHeight="1" hidden="1">
      <c r="A32" s="51"/>
      <c r="B32" s="40"/>
      <c r="C32" s="45"/>
      <c r="D32" s="46"/>
      <c r="E32" s="46"/>
      <c r="F32" s="46"/>
      <c r="G32" s="47"/>
      <c r="H32" s="46"/>
      <c r="I32" s="46"/>
      <c r="J32" s="46"/>
      <c r="K32" s="46"/>
      <c r="L32" s="46"/>
      <c r="M32" s="46"/>
      <c r="N32" s="48"/>
    </row>
    <row r="33" ht="8.75" customHeight="1" hidden="1">
      <c r="A33" s="51"/>
      <c r="B33" s="40"/>
      <c r="C33" s="41"/>
      <c r="D33" s="42"/>
      <c r="E33" s="42"/>
      <c r="F33" s="42"/>
      <c r="G33" s="43"/>
      <c r="H33" s="42"/>
      <c r="I33" s="42"/>
      <c r="J33" s="42"/>
      <c r="K33" s="42"/>
      <c r="L33" s="42"/>
      <c r="M33" s="42"/>
      <c r="N33" s="44"/>
    </row>
    <row r="34" ht="8.75" customHeight="1" hidden="1">
      <c r="A34" s="39"/>
      <c r="B34" s="40"/>
      <c r="C34" s="45"/>
      <c r="D34" s="46"/>
      <c r="E34" s="46"/>
      <c r="F34" s="46"/>
      <c r="G34" s="47"/>
      <c r="H34" s="46"/>
      <c r="I34" s="46"/>
      <c r="J34" s="46"/>
      <c r="K34" s="46"/>
      <c r="L34" s="47"/>
      <c r="M34" s="47"/>
      <c r="N34" s="52"/>
    </row>
    <row r="35" ht="8.75" customHeight="1" hidden="1">
      <c r="A35" s="39"/>
      <c r="B35" s="40"/>
      <c r="C35" s="41"/>
      <c r="D35" s="42"/>
      <c r="E35" s="42"/>
      <c r="F35" s="42"/>
      <c r="G35" s="43"/>
      <c r="H35" s="42"/>
      <c r="I35" s="42"/>
      <c r="J35" s="42"/>
      <c r="K35" s="42"/>
      <c r="L35" s="42"/>
      <c r="M35" s="42"/>
      <c r="N35" s="44"/>
    </row>
    <row r="36" ht="8.75" customHeight="1" hidden="1">
      <c r="A36" s="39"/>
      <c r="B36" s="40"/>
      <c r="C36" s="45"/>
      <c r="D36" s="46"/>
      <c r="E36" s="46"/>
      <c r="F36" s="46"/>
      <c r="G36" s="47"/>
      <c r="H36" s="46"/>
      <c r="I36" s="46"/>
      <c r="J36" s="46"/>
      <c r="K36" s="46"/>
      <c r="L36" s="47"/>
      <c r="M36" s="47"/>
      <c r="N36" s="52"/>
    </row>
    <row r="37" ht="20.85" customHeight="1">
      <c r="A37" s="53"/>
      <c r="B37" s="54"/>
      <c r="C37" s="54"/>
      <c r="D37" s="55"/>
      <c r="E37" s="55"/>
      <c r="F37" s="55"/>
      <c r="G37" s="56"/>
      <c r="H37" s="56"/>
      <c r="I37" s="54"/>
      <c r="J37" s="57"/>
      <c r="K37" t="s" s="58">
        <v>38</v>
      </c>
      <c r="L37" s="59" cm="1">
        <f t="array" ref="L37">SUM(L1:L36)</f>
        <v>180146014.23</v>
      </c>
      <c r="M37" s="59" cm="1">
        <f t="array" ref="M37">SUM(M1:M36)</f>
        <v>179452951.68</v>
      </c>
      <c r="N37" s="59" cm="1">
        <f t="array" ref="N37">SUM(N1:N36)</f>
        <v>179452951.68</v>
      </c>
    </row>
    <row r="38" ht="21" customHeight="1">
      <c r="A38" s="60"/>
      <c r="B38" t="s" s="61">
        <v>39</v>
      </c>
      <c r="C38" s="62"/>
      <c r="D38" s="63" cm="1">
        <f t="array" ref="D38">ROUND(IF(L38&lt;=100000000,L38*0.24%,IF(AND(L38&gt;100000000,L38&lt;=500000000),100000000*0.24%+(L38-100000000)*0.19%,IF(AND(L38&gt;500000000,L38&lt;=1000000000),100000000*0.24%+400000000*0.19%+(L38-500000000)*0.15%,IF(AND(L38&gt;1000000000,L38&lt;=5000000000),100000000*0.24%+400000000*0.19%+500000000*0.15%+(L38-1000000000)*0.12%,IF(L38&gt;5000000000,100000000*0.24%+400000000*0.19%+500000000*0.15%+4000000000*0.12%+(L38-5000000000)*0.1%,"Bingung komputer"))))),2)</f>
        <v>391533.27</v>
      </c>
      <c r="E38" s="64" cm="1">
        <f t="array" ref="E38">ROUND(IF(M38&lt;=100000000,M38*0.24%,IF(AND(M38&gt;100000000,M38&lt;=500000000),100000000*0.24%+(M38-100000000)*0.19%,IF(AND(M38&gt;500000000,M38&lt;=1000000000),100000000*0.24%+400000000*0.19%+(M38-500000000)*0.15%,IF(AND(M38&gt;1000000000,M38&lt;=5000000000),100000000*0.24%+400000000*0.19%+500000000*0.15%+(M38-1000000000)*0.12%,IF(M38&gt;5000000000,100000000*0.24%+400000000*0.19%+500000000*0.15%+4000000000*0.12%+(M38-5000000000)*0.1%,"Bingung komputer"))))),2)</f>
        <v>390219.19</v>
      </c>
      <c r="F38" s="64" cm="1">
        <f t="array" ref="F38">ROUND(IF(N38&lt;=100000000,N38*0.24%,IF(AND(N38&gt;100000000,N38&lt;=500000000),100000000*0.24%+(N38-100000000)*0.19%,IF(AND(N38&gt;500000000,N38&lt;=1000000000),100000000*0.24%+400000000*0.19%+(N38-500000000)*0.15%,IF(AND(N38&gt;1000000000,N38&lt;=5000000000),100000000*0.24%+400000000*0.19%+500000000*0.15%+(N38-1000000000)*0.12%,IF(N38&gt;5000000000,100000000*0.24%+400000000*0.19%+500000000*0.15%+4000000000*0.12%+(N38-5000000000)*0.1%,"Bingung komputer"))))),2)</f>
        <v>390219.19</v>
      </c>
      <c r="G38" s="65"/>
      <c r="H38" s="66"/>
      <c r="I38" s="62"/>
      <c r="J38" s="67"/>
      <c r="K38" t="str" s="67" cm="1">
        <f t="array" ref="K38">"Jumlah Terkena Pajak "&amp;MAX(K3:K36)&amp;"% (B)"</f>
        <v>Jumlah Terkena Pajak 11,00% (B)</v>
      </c>
      <c r="L38" s="68" cm="1">
        <f t="array" ref="L38">SUMIF($K3:$K36,"&gt;0",L3:L36)</f>
        <v>179754352.9</v>
      </c>
      <c r="M38" s="69" cm="1">
        <f t="array" ref="M38">SUMIF($K3:$K36,"&gt;0",M3:M36)</f>
        <v>179062732.49</v>
      </c>
      <c r="N38" s="69" cm="1">
        <f t="array" ref="N38">SUMIF($K3:$K36,"&gt;0",N3:N36)</f>
        <v>179062732.49</v>
      </c>
    </row>
    <row r="39" ht="21" customHeight="1">
      <c r="A39" s="70"/>
      <c r="B39" s="71"/>
      <c r="C39" s="71"/>
      <c r="D39" s="72"/>
      <c r="E39" s="72"/>
      <c r="F39" s="71"/>
      <c r="G39" s="72"/>
      <c r="H39" s="72"/>
      <c r="I39" s="71"/>
      <c r="J39" s="73"/>
      <c r="K39" t="str" s="73" cm="1">
        <f t="array" ref="K39">"PPN (C) = "&amp;MAX(K3:K36)&amp;"% x B"</f>
        <v>PPN (C) = 11,00% x B</v>
      </c>
      <c r="L39" s="74" cm="1">
        <f t="array" ref="L39">L38*MAX($K3:$K36)%</f>
        <v>19772978.819</v>
      </c>
      <c r="M39" s="69" cm="1">
        <f t="array" ref="M39">M38*MAX($K3:$K36)%</f>
        <v>19696900.5739</v>
      </c>
      <c r="N39" s="69" cm="1">
        <f t="array" ref="N39">N38*MAX($K3:$K36)%</f>
        <v>19696900.5739</v>
      </c>
    </row>
    <row r="40" ht="21" customHeight="1">
      <c r="A40" s="70"/>
      <c r="B40" s="71"/>
      <c r="C40" s="71"/>
      <c r="D40" s="72"/>
      <c r="E40" s="72"/>
      <c r="F40" s="72"/>
      <c r="G40" s="72"/>
      <c r="H40" s="72"/>
      <c r="I40" s="71"/>
      <c r="J40" s="73"/>
      <c r="K40" t="s" s="75">
        <v>42</v>
      </c>
      <c r="L40" s="76" cm="1">
        <f t="array" ref="L40">L37+L39</f>
        <v>199918993.049</v>
      </c>
      <c r="M40" s="69" cm="1">
        <f t="array" ref="M40">M37+M39</f>
        <v>199149852.2539</v>
      </c>
      <c r="N40" s="69" cm="1">
        <f t="array" ref="N40">N37+N39</f>
        <v>199149852.2539</v>
      </c>
    </row>
    <row r="41" ht="20.5" customHeight="1">
      <c r="A41" s="70"/>
      <c r="B41" s="71"/>
      <c r="C41" s="71"/>
      <c r="D41" s="72"/>
      <c r="E41" s="72"/>
      <c r="F41" s="72"/>
      <c r="G41" s="72"/>
      <c r="H41" s="72"/>
      <c r="I41" s="71"/>
      <c r="J41" s="73"/>
      <c r="K41" t="s" s="75">
        <v>43</v>
      </c>
      <c r="L41" s="68" cm="1">
        <f t="array" ref="L41">ROUNDDOWN(L40,2)</f>
        <v>199918993.04</v>
      </c>
      <c r="M41" s="68" cm="1">
        <f t="array" ref="M41">ROUNDDOWN(M40,2)</f>
        <v>199149852.25</v>
      </c>
      <c r="N41" s="68" cm="1">
        <f t="array" ref="N41">ROUNDDOWN(N40,-3)</f>
        <v>199149000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31.xml><?xml version="1.0" encoding="utf-8"?>
<worksheet xmlns:r="http://schemas.openxmlformats.org/officeDocument/2006/relationships" xmlns="http://schemas.openxmlformats.org/spreadsheetml/2006/main">
  <sheetPr>
    <pageSetUpPr fitToPage="1"/>
  </sheetPr>
  <dimension ref="A1:N24"/>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7.17188" style="326" customWidth="1"/>
    <col min="2" max="2" width="43.0312" style="326" customWidth="1"/>
    <col min="3" max="3" width="2.75" style="326" customWidth="1"/>
    <col min="4" max="6" width="10.3672" style="326" customWidth="1"/>
    <col min="7" max="7" width="11.6875" style="326" customWidth="1"/>
    <col min="8" max="11" width="13.5156" style="326" customWidth="1"/>
    <col min="12" max="14" width="14.2344" style="326" customWidth="1"/>
    <col min="15" max="16384" width="16.3516" style="326"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t="s" s="90">
        <v>51</v>
      </c>
      <c r="B3" t="s" s="12">
        <v>52</v>
      </c>
      <c r="C3" s="13"/>
      <c r="D3" s="14"/>
      <c r="E3" s="14"/>
      <c r="F3" s="14"/>
      <c r="G3" s="15"/>
      <c r="H3" s="15"/>
      <c r="I3" s="15"/>
      <c r="J3" s="15"/>
      <c r="K3" s="15"/>
      <c r="L3" t="str" s="16" cm="1">
        <f t="array" ref="L3">IF(D3&gt;0,IF($D3&lt;=0,0,D3*H3),"")</f>
      </c>
      <c r="M3" t="str" s="16" cm="1">
        <f t="array" ref="M3">IF(E3&gt;0,IF($D3&lt;=0,0,ROUND(E3*I3,2)),"")</f>
      </c>
      <c r="N3" t="str" s="17" cm="1">
        <f t="array" ref="N3">IF(F3&gt;0,IF($D3&lt;=0,0,ROUND(F3*J3,2)),"")</f>
      </c>
    </row>
    <row r="4" ht="20.5" customHeight="1">
      <c r="A4" t="s" s="18">
        <v>53</v>
      </c>
      <c r="B4" t="s" s="19">
        <v>54</v>
      </c>
      <c r="C4" s="20"/>
      <c r="D4" s="21"/>
      <c r="E4" s="21"/>
      <c r="F4" s="21"/>
      <c r="G4" s="79"/>
      <c r="H4" s="21"/>
      <c r="I4" s="79"/>
      <c r="J4" s="21"/>
      <c r="K4" s="21"/>
      <c r="L4" t="str" s="79" cm="1">
        <f t="array" ref="L4">IF(D4&gt;0,IF($D4&lt;=0,0,D4*H4),"")</f>
      </c>
      <c r="M4" t="str" s="79" cm="1">
        <f t="array" ref="M4">IF(E4&gt;0,IF($D4&lt;=0,0,ROUND(E4*I4,2)),"")</f>
      </c>
      <c r="N4" t="str" s="91" cm="1">
        <f t="array" ref="N4">IF(F4&gt;0,IF($D4&lt;=0,0,ROUND(F4*J4,2)),"")</f>
      </c>
    </row>
    <row r="5" ht="20.5" customHeight="1">
      <c r="A5" s="92">
        <v>2</v>
      </c>
      <c r="B5" t="s" s="19">
        <v>57</v>
      </c>
      <c r="C5" s="24"/>
      <c r="D5" s="26">
        <v>1</v>
      </c>
      <c r="E5" s="26" cm="1">
        <f t="array" ref="E5">D5</f>
        <v>1</v>
      </c>
      <c r="F5" s="26" cm="1">
        <f t="array" ref="F5">D5</f>
        <v>1</v>
      </c>
      <c r="G5" t="s" s="27">
        <v>19</v>
      </c>
      <c r="H5" s="26">
        <v>2500000</v>
      </c>
      <c r="I5" s="26">
        <v>2500000</v>
      </c>
      <c r="J5" s="26">
        <v>2500000</v>
      </c>
      <c r="K5" s="26">
        <v>11</v>
      </c>
      <c r="L5" s="26" cm="1">
        <f t="array" ref="L5">IF(D5&gt;0,IF($D5&lt;=0,0,D5*H5),"")</f>
        <v>2500000</v>
      </c>
      <c r="M5" s="26" cm="1">
        <f t="array" ref="M5">IF(E5&gt;0,IF($D5&lt;=0,0,ROUND(E5*I5,2)),"")</f>
        <v>2500000</v>
      </c>
      <c r="N5" s="28" cm="1">
        <f t="array" ref="N5">IF(F5&gt;0,IF($D5&lt;=0,0,ROUND(F5*J5,2)),"")</f>
        <v>2500000</v>
      </c>
    </row>
    <row r="6" ht="20.5" customHeight="1">
      <c r="A6" t="s" s="93">
        <v>58</v>
      </c>
      <c r="B6" t="s" s="19">
        <v>59</v>
      </c>
      <c r="C6" s="20"/>
      <c r="D6" s="21"/>
      <c r="E6" s="21"/>
      <c r="F6" s="21"/>
      <c r="G6" s="79"/>
      <c r="H6" s="21"/>
      <c r="I6" s="21"/>
      <c r="J6" s="21"/>
      <c r="K6" s="21"/>
      <c r="L6" t="str" s="79" cm="1">
        <f t="array" ref="L6">IF(D6&gt;0,IF($D6&lt;=0,0,D6*H6),"")</f>
      </c>
      <c r="M6" t="str" s="79" cm="1">
        <f t="array" ref="M6">IF(E6&gt;0,IF($D6&lt;=0,0,ROUND(E6*I6,2)),"")</f>
      </c>
      <c r="N6" t="str" s="91" cm="1">
        <f t="array" ref="N6">IF(F6&gt;0,IF($D6&lt;=0,0,ROUND(F6*J6,2)),"")</f>
      </c>
    </row>
    <row r="7" ht="20.5" customHeight="1">
      <c r="A7" t="s" s="18">
        <v>53</v>
      </c>
      <c r="B7" t="s" s="19">
        <v>60</v>
      </c>
      <c r="C7" s="24"/>
      <c r="D7" s="26"/>
      <c r="E7" s="26"/>
      <c r="F7" s="26"/>
      <c r="G7" s="30"/>
      <c r="H7" s="26"/>
      <c r="I7" s="26"/>
      <c r="J7" s="26"/>
      <c r="K7" s="26"/>
      <c r="L7" t="str" s="30" cm="1">
        <f t="array" ref="L7">IF(D7&gt;0,IF($D7&lt;=0,0,D7*H7),"")</f>
      </c>
      <c r="M7" t="str" s="30" cm="1">
        <f t="array" ref="M7">IF(E7&gt;0,IF($D7&lt;=0,0,ROUND(E7*I7,2)),"")</f>
      </c>
      <c r="N7" t="str" s="31" cm="1">
        <f t="array" ref="N7">IF(F7&gt;0,IF($D7&lt;=0,0,ROUND(F7*J7,2)),"")</f>
      </c>
    </row>
    <row r="8" ht="20.5" customHeight="1">
      <c r="A8" s="94">
        <v>1</v>
      </c>
      <c r="B8" t="s" s="19">
        <v>513</v>
      </c>
      <c r="C8" s="20"/>
      <c r="D8" s="21">
        <v>1</v>
      </c>
      <c r="E8" s="21" cm="1">
        <f t="array" ref="E8">D8</f>
        <v>1</v>
      </c>
      <c r="F8" s="21" cm="1">
        <f t="array" ref="F8">D8</f>
        <v>1</v>
      </c>
      <c r="G8" t="s" s="22">
        <v>19</v>
      </c>
      <c r="H8" s="21">
        <v>200000</v>
      </c>
      <c r="I8" s="21">
        <v>200000</v>
      </c>
      <c r="J8" s="21">
        <v>200000</v>
      </c>
      <c r="K8" s="21">
        <v>11</v>
      </c>
      <c r="L8" s="21" cm="1">
        <f t="array" ref="L8">IF(D8&gt;0,IF($D8&lt;=0,0,D8*H8),"")</f>
        <v>200000</v>
      </c>
      <c r="M8" s="21" cm="1">
        <f t="array" ref="M8">IF(E8&gt;0,IF($D8&lt;=0,0,ROUND(E8*I8,2)),"")</f>
        <v>200000</v>
      </c>
      <c r="N8" s="23" cm="1">
        <f t="array" ref="N8">IF(F8&gt;0,IF($D8&lt;=0,0,ROUND(F8*J8,2)),"")</f>
        <v>200000</v>
      </c>
    </row>
    <row r="9" ht="32.5" customHeight="1">
      <c r="A9" s="95">
        <v>2</v>
      </c>
      <c r="B9" t="s" s="19">
        <v>63</v>
      </c>
      <c r="C9" s="24"/>
      <c r="D9" s="26">
        <v>1</v>
      </c>
      <c r="E9" s="26" cm="1">
        <f t="array" ref="E9">D9</f>
        <v>1</v>
      </c>
      <c r="F9" s="26" cm="1">
        <f t="array" ref="F9">D9</f>
        <v>1</v>
      </c>
      <c r="G9" t="s" s="27">
        <v>19</v>
      </c>
      <c r="H9" s="26">
        <v>381000</v>
      </c>
      <c r="I9" s="26">
        <v>350000</v>
      </c>
      <c r="J9" s="26">
        <v>350000</v>
      </c>
      <c r="K9" s="26">
        <v>11</v>
      </c>
      <c r="L9" s="26" cm="1">
        <f t="array" ref="L9">IF(D9&gt;0,IF($D9&lt;=0,0,D9*H9),"")</f>
        <v>381000</v>
      </c>
      <c r="M9" s="26" cm="1">
        <f t="array" ref="M9">IF(E9&gt;0,IF($D9&lt;=0,0,ROUND(E9*I9,2)),"")</f>
        <v>350000</v>
      </c>
      <c r="N9" s="28" cm="1">
        <f t="array" ref="N9">IF(F9&gt;0,IF($D9&lt;=0,0,ROUND(F9*J9,2)),"")</f>
        <v>350000</v>
      </c>
    </row>
    <row r="10" ht="20.5" customHeight="1">
      <c r="A10" s="94"/>
      <c r="B10" t="s" s="19">
        <v>66</v>
      </c>
      <c r="C10" s="20"/>
      <c r="D10" s="21"/>
      <c r="E10" s="21"/>
      <c r="F10" s="21"/>
      <c r="G10" s="79"/>
      <c r="H10" s="21"/>
      <c r="I10" s="21"/>
      <c r="J10" s="21"/>
      <c r="K10" s="21"/>
      <c r="L10" t="str" s="79" cm="1">
        <f t="array" ref="L10">IF(D10&gt;0,IF($D10&lt;=0,0,D10*H10),"")</f>
      </c>
      <c r="M10" t="str" s="79" cm="1">
        <f t="array" ref="M10">IF(E10&gt;0,IF($D10&lt;=0,0,ROUND(E10*I10,2)),"")</f>
      </c>
      <c r="N10" t="str" s="91" cm="1">
        <f t="array" ref="N10">IF(F10&gt;0,IF($D10&lt;=0,0,ROUND(F10*J10,2)),"")</f>
      </c>
    </row>
    <row r="11" ht="20.5" customHeight="1">
      <c r="A11" s="94">
        <v>4</v>
      </c>
      <c r="B11" t="s" s="19">
        <v>67</v>
      </c>
      <c r="C11" s="24"/>
      <c r="D11" s="26">
        <v>1</v>
      </c>
      <c r="E11" s="26" cm="1">
        <f t="array" ref="E11">D11</f>
        <v>1</v>
      </c>
      <c r="F11" s="26" cm="1">
        <f t="array" ref="F11">D11</f>
        <v>1</v>
      </c>
      <c r="G11" t="s" s="27">
        <v>19</v>
      </c>
      <c r="H11" s="26">
        <v>55000</v>
      </c>
      <c r="I11" s="26">
        <v>55000</v>
      </c>
      <c r="J11" s="26">
        <v>55000</v>
      </c>
      <c r="K11" s="26">
        <v>11</v>
      </c>
      <c r="L11" s="26" cm="1">
        <f t="array" ref="L11">IF(D11&gt;0,IF($D11&lt;=0,0,D11*H11),"")</f>
        <v>55000</v>
      </c>
      <c r="M11" s="26" cm="1">
        <f t="array" ref="M11">IF(E11&gt;0,IF($D11&lt;=0,0,ROUND(E11*I11,2)),"")</f>
        <v>55000</v>
      </c>
      <c r="N11" s="28" cm="1">
        <f t="array" ref="N11">IF(F11&gt;0,IF($D11&lt;=0,0,ROUND(F11*J11,2)),"")</f>
        <v>55000</v>
      </c>
    </row>
    <row r="12" ht="20.5" customHeight="1">
      <c r="A12" s="94">
        <v>5</v>
      </c>
      <c r="B12" t="s" s="19">
        <v>69</v>
      </c>
      <c r="C12" s="20"/>
      <c r="D12" s="21">
        <v>1</v>
      </c>
      <c r="E12" s="21" cm="1">
        <f t="array" ref="E12">D12</f>
        <v>1</v>
      </c>
      <c r="F12" s="21" cm="1">
        <f t="array" ref="F12">D12</f>
        <v>1</v>
      </c>
      <c r="G12" t="s" s="22">
        <v>19</v>
      </c>
      <c r="H12" s="21">
        <v>75000</v>
      </c>
      <c r="I12" s="21">
        <v>75000</v>
      </c>
      <c r="J12" s="21">
        <v>75000</v>
      </c>
      <c r="K12" s="21">
        <v>11</v>
      </c>
      <c r="L12" s="21" cm="1">
        <f t="array" ref="L12">IF(D12&gt;0,IF($D12&lt;=0,0,D12*H12),"")</f>
        <v>75000</v>
      </c>
      <c r="M12" s="21" cm="1">
        <f t="array" ref="M12">IF(E12&gt;0,IF($D12&lt;=0,0,ROUND(E12*I12,2)),"")</f>
        <v>75000</v>
      </c>
      <c r="N12" s="23" cm="1">
        <f t="array" ref="N12">IF(F12&gt;0,IF($D12&lt;=0,0,ROUND(F12*J12,2)),"")</f>
        <v>75000</v>
      </c>
    </row>
    <row r="13" ht="20.5" customHeight="1">
      <c r="A13" s="29"/>
      <c r="B13" t="s" s="19">
        <v>550</v>
      </c>
      <c r="C13" s="24"/>
      <c r="D13" s="26"/>
      <c r="E13" s="26"/>
      <c r="F13" s="26"/>
      <c r="G13" s="30"/>
      <c r="H13" s="26"/>
      <c r="I13" s="26"/>
      <c r="J13" s="26"/>
      <c r="K13" s="26"/>
      <c r="L13" t="str" s="30" cm="1">
        <f t="array" ref="L13">IF(D13&gt;0,IF($D13&lt;=0,0,D13*H13),"")</f>
      </c>
      <c r="M13" t="str" s="30" cm="1">
        <f t="array" ref="M13">IF(E13&gt;0,IF($D13&lt;=0,0,ROUND(E13*I13,2)),"")</f>
      </c>
      <c r="N13" t="str" s="31" cm="1">
        <f t="array" ref="N13">IF(F13&gt;0,IF($D13&lt;=0,0,ROUND(F13*J13,2)),"")</f>
      </c>
    </row>
    <row r="14" ht="20.5" customHeight="1">
      <c r="A14" s="95">
        <v>6</v>
      </c>
      <c r="B14" t="s" s="19">
        <v>74</v>
      </c>
      <c r="C14" s="20"/>
      <c r="D14" s="21">
        <v>1</v>
      </c>
      <c r="E14" s="21" cm="1">
        <f t="array" ref="E14">D14</f>
        <v>1</v>
      </c>
      <c r="F14" s="21" cm="1">
        <f t="array" ref="F14">D14</f>
        <v>1</v>
      </c>
      <c r="G14" t="s" s="22">
        <v>19</v>
      </c>
      <c r="H14" s="21">
        <v>55000</v>
      </c>
      <c r="I14" s="21">
        <v>55000</v>
      </c>
      <c r="J14" s="21">
        <v>55000</v>
      </c>
      <c r="K14" s="21">
        <v>11</v>
      </c>
      <c r="L14" s="21" cm="1">
        <f t="array" ref="L14">IF(D14&gt;0,IF($D14&lt;=0,0,D14*H14),"")</f>
        <v>55000</v>
      </c>
      <c r="M14" s="21" cm="1">
        <f t="array" ref="M14">IF(E14&gt;0,IF($D14&lt;=0,0,ROUND(E14*I14,2)),"")</f>
        <v>55000</v>
      </c>
      <c r="N14" s="23" cm="1">
        <f t="array" ref="N14">IF(F14&gt;0,IF($D14&lt;=0,0,ROUND(F14*J14,2)),"")</f>
        <v>55000</v>
      </c>
    </row>
    <row r="15" ht="20.5" customHeight="1">
      <c r="A15" s="95">
        <v>7</v>
      </c>
      <c r="B15" t="s" s="19">
        <v>76</v>
      </c>
      <c r="C15" s="24"/>
      <c r="D15" s="26">
        <v>1</v>
      </c>
      <c r="E15" s="26" cm="1">
        <f t="array" ref="E15">D15</f>
        <v>1</v>
      </c>
      <c r="F15" s="26" cm="1">
        <f t="array" ref="F15">D15</f>
        <v>1</v>
      </c>
      <c r="G15" t="s" s="27">
        <v>19</v>
      </c>
      <c r="H15" s="26">
        <v>50000</v>
      </c>
      <c r="I15" s="26">
        <v>50000</v>
      </c>
      <c r="J15" s="26">
        <v>50000</v>
      </c>
      <c r="K15" s="26">
        <v>11</v>
      </c>
      <c r="L15" s="26" cm="1">
        <f t="array" ref="L15">IF(D15&gt;0,IF($D15&lt;=0,0,D15*H15),"")</f>
        <v>50000</v>
      </c>
      <c r="M15" s="26" cm="1">
        <f t="array" ref="M15">IF(E15&gt;0,IF($D15&lt;=0,0,ROUND(E15*I15,2)),"")</f>
        <v>50000</v>
      </c>
      <c r="N15" s="28" cm="1">
        <f t="array" ref="N15">IF(F15&gt;0,IF($D15&lt;=0,0,ROUND(F15*J15,2)),"")</f>
        <v>50000</v>
      </c>
    </row>
    <row r="16" ht="20.5" customHeight="1">
      <c r="A16" s="95">
        <v>8</v>
      </c>
      <c r="B16" t="s" s="19">
        <v>77</v>
      </c>
      <c r="C16" s="20"/>
      <c r="D16" s="21">
        <v>1</v>
      </c>
      <c r="E16" s="21" cm="1">
        <f t="array" ref="E16">D16</f>
        <v>1</v>
      </c>
      <c r="F16" s="21" cm="1">
        <f t="array" ref="F16">D16</f>
        <v>1</v>
      </c>
      <c r="G16" t="s" s="22">
        <v>19</v>
      </c>
      <c r="H16" s="21">
        <v>55000</v>
      </c>
      <c r="I16" s="21">
        <v>55000</v>
      </c>
      <c r="J16" s="21">
        <v>55000</v>
      </c>
      <c r="K16" s="21">
        <v>11</v>
      </c>
      <c r="L16" s="21" cm="1">
        <f t="array" ref="L16">IF(D16&gt;0,IF($D16&lt;=0,0,D16*H16),"")</f>
        <v>55000</v>
      </c>
      <c r="M16" s="21" cm="1">
        <f t="array" ref="M16">IF(E16&gt;0,IF($D16&lt;=0,0,ROUND(E16*I16,2)),"")</f>
        <v>55000</v>
      </c>
      <c r="N16" s="23" cm="1">
        <f t="array" ref="N16">IF(F16&gt;0,IF($D16&lt;=0,0,ROUND(F16*J16,2)),"")</f>
        <v>55000</v>
      </c>
    </row>
    <row r="17" ht="20.5" customHeight="1">
      <c r="A17" t="s" s="18">
        <v>80</v>
      </c>
      <c r="B17" t="s" s="19">
        <v>81</v>
      </c>
      <c r="C17" s="24"/>
      <c r="D17" s="26"/>
      <c r="E17" s="26"/>
      <c r="F17" s="26"/>
      <c r="G17" s="30"/>
      <c r="H17" s="26"/>
      <c r="I17" s="26"/>
      <c r="J17" s="26"/>
      <c r="K17" s="26"/>
      <c r="L17" t="str" s="30" cm="1">
        <f t="array" ref="L17">IF(D17&gt;0,IF($D17&lt;=0,0,D17*H17),"")</f>
      </c>
      <c r="M17" t="str" s="30" cm="1">
        <f t="array" ref="M17">IF(E17&gt;0,IF($D17&lt;=0,0,ROUND(E17*I17,2)),"")</f>
      </c>
      <c r="N17" t="str" s="31" cm="1">
        <f t="array" ref="N17">IF(F17&gt;0,IF($D17&lt;=0,0,ROUND(F17*J17,2)),"")</f>
      </c>
    </row>
    <row r="18" ht="20.5" customHeight="1">
      <c r="A18" s="29"/>
      <c r="B18" t="s" s="19">
        <v>82</v>
      </c>
      <c r="C18" s="20"/>
      <c r="D18" s="21">
        <v>1</v>
      </c>
      <c r="E18" s="21" cm="1">
        <f t="array" ref="E18">D18</f>
        <v>1</v>
      </c>
      <c r="F18" s="21" cm="1">
        <f t="array" ref="F18">D18</f>
        <v>1</v>
      </c>
      <c r="G18" t="s" s="22">
        <v>19</v>
      </c>
      <c r="H18" s="21">
        <v>8980.34</v>
      </c>
      <c r="I18" s="21">
        <v>8016</v>
      </c>
      <c r="J18" s="21">
        <v>8016</v>
      </c>
      <c r="K18" s="21">
        <v>0</v>
      </c>
      <c r="L18" s="21" cm="1">
        <f t="array" ref="L18">IF(D18&gt;0,IF($D18&lt;=0,0,D18*H18),"")</f>
        <v>8980.34</v>
      </c>
      <c r="M18" s="21" cm="1">
        <f t="array" ref="M18">IF(E18&gt;0,IF($D18&lt;=0,0,ROUND(E18*I18,2)),"")</f>
        <v>8016</v>
      </c>
      <c r="N18" s="23" cm="1">
        <f t="array" ref="N18">IF(F18&gt;0,IF($D18&lt;=0,0,ROUND(F18*J18,2)),"")</f>
        <v>8016</v>
      </c>
    </row>
    <row r="19" ht="20.6" customHeight="1">
      <c r="A19" s="96"/>
      <c r="B19" s="97"/>
      <c r="C19" s="80"/>
      <c r="D19" s="81"/>
      <c r="E19" s="81"/>
      <c r="F19" s="81"/>
      <c r="G19" s="98"/>
      <c r="H19" s="81"/>
      <c r="I19" s="81"/>
      <c r="J19" s="81"/>
      <c r="K19" s="81"/>
      <c r="L19" t="str" s="98" cm="1">
        <f t="array" ref="L19">IF(D19&gt;0,IF($D19&lt;=0,0,D19*H19),"")</f>
      </c>
      <c r="M19" t="str" s="98" cm="1">
        <f t="array" ref="M19">IF(E19&gt;0,IF($D19&lt;=0,0,ROUND(E19*I19,2)),"")</f>
      </c>
      <c r="N19" t="str" s="99" cm="1">
        <f t="array" ref="N19">IF(F19&gt;0,IF($D19&lt;=0,0,ROUND(F19*J19,2)),"")</f>
      </c>
    </row>
    <row r="20" ht="20.85" customHeight="1">
      <c r="A20" s="54"/>
      <c r="B20" s="54"/>
      <c r="C20" s="54"/>
      <c r="D20" s="55"/>
      <c r="E20" s="55"/>
      <c r="F20" s="55"/>
      <c r="G20" s="56"/>
      <c r="H20" s="56"/>
      <c r="I20" s="54"/>
      <c r="J20" s="57"/>
      <c r="K20" t="s" s="58">
        <v>38</v>
      </c>
      <c r="L20" s="59" cm="1">
        <f t="array" ref="L20">SUM(L1:L19)</f>
        <v>3379980.34</v>
      </c>
      <c r="M20" s="59" cm="1">
        <f t="array" ref="M20">SUM(M1:M19)</f>
        <v>3348016</v>
      </c>
      <c r="N20" s="59" cm="1">
        <f t="array" ref="N20">SUM(N1:N19)</f>
        <v>3348016</v>
      </c>
    </row>
    <row r="21" ht="21" customHeight="1">
      <c r="A21" s="62"/>
      <c r="B21" t="s" s="61">
        <v>39</v>
      </c>
      <c r="C21" s="62"/>
      <c r="D21" s="63" cm="1">
        <f t="array" ref="D21">ROUND(IF(L21&lt;=100000000,L21*0.24%,IF(AND(L21&gt;100000000,L21&lt;=500000000),100000000*0.24%+(L21-100000000)*0.19%,IF(AND(L21&gt;500000000,L21&lt;=1000000000),100000000*0.24%+400000000*0.19%+(L21-500000000)*0.15%,IF(AND(L21&gt;1000000000,L21&lt;=5000000000),100000000*0.24%+400000000*0.19%+500000000*0.15%+(L21-1000000000)*0.12%,IF(L21&gt;5000000000,100000000*0.24%+400000000*0.19%+500000000*0.15%+4000000000*0.12%+(L21-5000000000)*0.1%,"Bingung komputer"))))),2)</f>
        <v>8090.4</v>
      </c>
      <c r="E21" s="64" cm="1">
        <f t="array" ref="E21">ROUND(IF(M21&lt;=100000000,M21*0.24%,IF(AND(M21&gt;100000000,M21&lt;=500000000),100000000*0.24%+(M21-100000000)*0.19%,IF(AND(M21&gt;500000000,M21&lt;=1000000000),100000000*0.24%+400000000*0.19%+(M21-500000000)*0.15%,IF(AND(M21&gt;1000000000,M21&lt;=5000000000),100000000*0.24%+400000000*0.19%+500000000*0.15%+(M21-1000000000)*0.12%,IF(M21&gt;5000000000,100000000*0.24%+400000000*0.19%+500000000*0.15%+4000000000*0.12%+(M21-5000000000)*0.1%,"Bingung komputer"))))),2)</f>
        <v>8016</v>
      </c>
      <c r="F21" s="64" cm="1">
        <f t="array" ref="F21">ROUND(IF(N21&lt;=100000000,N21*0.24%,IF(AND(N21&gt;100000000,N21&lt;=500000000),100000000*0.24%+(N21-100000000)*0.19%,IF(AND(N21&gt;500000000,N21&lt;=1000000000),100000000*0.24%+400000000*0.19%+(N21-500000000)*0.15%,IF(AND(N21&gt;1000000000,N21&lt;=5000000000),100000000*0.24%+400000000*0.19%+500000000*0.15%+(N21-1000000000)*0.12%,IF(N21&gt;5000000000,100000000*0.24%+400000000*0.19%+500000000*0.15%+4000000000*0.12%+(N21-5000000000)*0.1%,"Bingung komputer"))))),2)</f>
        <v>8016</v>
      </c>
      <c r="G21" s="65"/>
      <c r="H21" s="66"/>
      <c r="I21" s="62"/>
      <c r="J21" s="67"/>
      <c r="K21" t="str" s="67" cm="1">
        <f t="array" ref="K21">"Jumlah Terkena Pajak "&amp;MAX(K3:K19)&amp;"% (B)"</f>
        <v>Jumlah Terkena Pajak 11,00% (B)</v>
      </c>
      <c r="L21" s="69" cm="1">
        <f t="array" ref="L21">SUMIF($K3:$K19,"&gt;0",L3:L19)</f>
        <v>3371000</v>
      </c>
      <c r="M21" s="69" cm="1">
        <f t="array" ref="M21">SUMIF($K3:$K19,"&gt;0",M3:M19)</f>
        <v>3340000</v>
      </c>
      <c r="N21" s="69" cm="1">
        <f t="array" ref="N21">SUMIF($K3:$K19,"&gt;0",N3:N19)</f>
        <v>3340000</v>
      </c>
    </row>
    <row r="22" ht="21" customHeight="1">
      <c r="A22" s="71"/>
      <c r="B22" s="71"/>
      <c r="C22" s="71"/>
      <c r="D22" s="72"/>
      <c r="E22" s="72"/>
      <c r="F22" s="71"/>
      <c r="G22" s="72"/>
      <c r="H22" s="72"/>
      <c r="I22" s="71"/>
      <c r="J22" s="73"/>
      <c r="K22" t="str" s="73" cm="1">
        <f t="array" ref="K22">"PPN (C) = "&amp;MAX(K3:K19)&amp;"% x B"</f>
        <v>PPN (C) = 11,00% x B</v>
      </c>
      <c r="L22" s="68" cm="1">
        <f t="array" ref="L22">L21*MAX($K3:$K19)%</f>
        <v>370810</v>
      </c>
      <c r="M22" s="69" cm="1">
        <f t="array" ref="M22">M21*MAX($K3:$K19)%</f>
        <v>367400</v>
      </c>
      <c r="N22" s="69" cm="1">
        <f t="array" ref="N22">N21*MAX($K3:$K19)%</f>
        <v>367400</v>
      </c>
    </row>
    <row r="23" ht="21" customHeight="1">
      <c r="A23" s="71"/>
      <c r="B23" s="71"/>
      <c r="C23" s="71"/>
      <c r="D23" s="72"/>
      <c r="E23" s="72"/>
      <c r="F23" s="72"/>
      <c r="G23" s="72"/>
      <c r="H23" s="72"/>
      <c r="I23" s="71"/>
      <c r="J23" s="73"/>
      <c r="K23" t="s" s="75">
        <v>42</v>
      </c>
      <c r="L23" s="76" cm="1">
        <f t="array" ref="L23">L20+L22</f>
        <v>3750790.34</v>
      </c>
      <c r="M23" s="69" cm="1">
        <f t="array" ref="M23">M20+M22</f>
        <v>3715416</v>
      </c>
      <c r="N23" s="69" cm="1">
        <f t="array" ref="N23">N20+N22</f>
        <v>3715416</v>
      </c>
    </row>
    <row r="24" ht="20.5" customHeight="1">
      <c r="A24" s="71"/>
      <c r="B24" s="71"/>
      <c r="C24" s="71"/>
      <c r="D24" s="72"/>
      <c r="E24" s="72"/>
      <c r="F24" s="72"/>
      <c r="G24" s="72"/>
      <c r="H24" s="72"/>
      <c r="I24" s="71"/>
      <c r="J24" s="73"/>
      <c r="K24" t="s" s="75">
        <v>43</v>
      </c>
      <c r="L24" s="68" cm="1">
        <f t="array" ref="L24">ROUNDDOWN(L23,-3)</f>
        <v>3750000</v>
      </c>
      <c r="M24" s="68" cm="1">
        <f t="array" ref="M24">ROUNDDOWN(M23,2)</f>
        <v>3715416</v>
      </c>
      <c r="N24" s="68" cm="1">
        <f t="array" ref="N24">ROUNDDOWN(N23,-3)</f>
        <v>3715000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32.xml><?xml version="1.0" encoding="utf-8"?>
<worksheet xmlns:r="http://schemas.openxmlformats.org/officeDocument/2006/relationships" xmlns="http://schemas.openxmlformats.org/spreadsheetml/2006/main">
  <sheetPr>
    <pageSetUpPr fitToPage="1"/>
  </sheetPr>
  <dimension ref="A1:N19"/>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7.17188" style="327" customWidth="1"/>
    <col min="2" max="2" width="43.0312" style="327" customWidth="1"/>
    <col min="3" max="3" width="2.75" style="327" customWidth="1"/>
    <col min="4" max="6" width="10.3672" style="327" customWidth="1"/>
    <col min="7" max="7" width="11.6875" style="327" customWidth="1"/>
    <col min="8" max="11" width="13.5156" style="327" customWidth="1"/>
    <col min="12" max="14" width="14.2344" style="327" customWidth="1"/>
    <col min="15" max="16384" width="16.3516" style="327"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t="s" s="90">
        <v>51</v>
      </c>
      <c r="B3" t="s" s="12">
        <v>52</v>
      </c>
      <c r="C3" s="13"/>
      <c r="D3" s="14"/>
      <c r="E3" s="14"/>
      <c r="F3" s="14"/>
      <c r="G3" s="15"/>
      <c r="H3" s="15"/>
      <c r="I3" s="15"/>
      <c r="J3" s="15"/>
      <c r="K3" s="15"/>
      <c r="L3" t="str" s="16" cm="1">
        <f t="array" ref="L3">IF(D3&gt;0,IF($D3&lt;=0,0,D3*H3),"")</f>
      </c>
      <c r="M3" t="str" s="16" cm="1">
        <f t="array" ref="M3">IF(E3&gt;0,IF($D3&lt;=0,0,ROUND(E3*I3,2)),"")</f>
      </c>
      <c r="N3" t="str" s="17" cm="1">
        <f t="array" ref="N3">IF(F3&gt;0,IF($D3&lt;=0,0,ROUND(F3*J3,2)),"")</f>
      </c>
    </row>
    <row r="4" ht="20.5" customHeight="1">
      <c r="A4" t="s" s="18">
        <v>53</v>
      </c>
      <c r="B4" t="s" s="19">
        <v>54</v>
      </c>
      <c r="C4" s="20"/>
      <c r="D4" s="21"/>
      <c r="E4" s="21"/>
      <c r="F4" s="21"/>
      <c r="G4" s="79"/>
      <c r="H4" s="21"/>
      <c r="I4" s="79"/>
      <c r="J4" s="21"/>
      <c r="K4" s="21"/>
      <c r="L4" t="str" s="79" cm="1">
        <f t="array" ref="L4">IF(D4&gt;0,IF($D4&lt;=0,0,D4*H4),"")</f>
      </c>
      <c r="M4" t="str" s="79" cm="1">
        <f t="array" ref="M4">IF(E4&gt;0,IF($D4&lt;=0,0,ROUND(E4*I4,2)),"")</f>
      </c>
      <c r="N4" t="str" s="91" cm="1">
        <f t="array" ref="N4">IF(F4&gt;0,IF($D4&lt;=0,0,ROUND(F4*J4,2)),"")</f>
      </c>
    </row>
    <row r="5" ht="20.5" customHeight="1">
      <c r="A5" s="92">
        <v>2</v>
      </c>
      <c r="B5" t="s" s="19">
        <v>552</v>
      </c>
      <c r="C5" s="24"/>
      <c r="D5" s="26">
        <v>3</v>
      </c>
      <c r="E5" s="26" cm="1">
        <f t="array" ref="E5">D5</f>
        <v>3</v>
      </c>
      <c r="F5" s="26" cm="1">
        <f t="array" ref="F5">D5</f>
        <v>3</v>
      </c>
      <c r="G5" t="s" s="27">
        <v>553</v>
      </c>
      <c r="H5" s="26">
        <v>850000</v>
      </c>
      <c r="I5" s="26">
        <v>850000</v>
      </c>
      <c r="J5" s="26">
        <v>850000</v>
      </c>
      <c r="K5" s="26">
        <v>11</v>
      </c>
      <c r="L5" s="26" cm="1">
        <f t="array" ref="L5">IF(D5&gt;0,IF($D5&lt;=0,0,D5*H5),"")</f>
        <v>2550000</v>
      </c>
      <c r="M5" s="26" cm="1">
        <f t="array" ref="M5">IF(E5&gt;0,IF($D5&lt;=0,0,ROUND(E5*I5,2)),"")</f>
        <v>2550000</v>
      </c>
      <c r="N5" s="28" cm="1">
        <f t="array" ref="N5">IF(F5&gt;0,IF($D5&lt;=0,0,ROUND(F5*J5,2)),"")</f>
        <v>2550000</v>
      </c>
    </row>
    <row r="6" ht="20.5" customHeight="1">
      <c r="A6" t="s" s="93">
        <v>58</v>
      </c>
      <c r="B6" t="s" s="19">
        <v>59</v>
      </c>
      <c r="C6" s="20"/>
      <c r="D6" s="21"/>
      <c r="E6" s="21"/>
      <c r="F6" s="21"/>
      <c r="G6" s="79"/>
      <c r="H6" s="21"/>
      <c r="I6" s="21"/>
      <c r="J6" s="21"/>
      <c r="K6" s="21"/>
      <c r="L6" t="str" s="79" cm="1">
        <f t="array" ref="L6">IF(D6&gt;0,IF($D6&lt;=0,0,D6*H6),"")</f>
      </c>
      <c r="M6" t="str" s="79" cm="1">
        <f t="array" ref="M6">IF(E6&gt;0,IF($D6&lt;=0,0,ROUND(E6*I6,2)),"")</f>
      </c>
      <c r="N6" t="str" s="91" cm="1">
        <f t="array" ref="N6">IF(F6&gt;0,IF($D6&lt;=0,0,ROUND(F6*J6,2)),"")</f>
      </c>
    </row>
    <row r="7" ht="20.5" customHeight="1">
      <c r="A7" t="s" s="18">
        <v>53</v>
      </c>
      <c r="B7" t="s" s="19">
        <v>60</v>
      </c>
      <c r="C7" s="24"/>
      <c r="D7" s="26"/>
      <c r="E7" s="26"/>
      <c r="F7" s="26"/>
      <c r="G7" s="30"/>
      <c r="H7" s="26"/>
      <c r="I7" s="26"/>
      <c r="J7" s="26"/>
      <c r="K7" s="26"/>
      <c r="L7" t="str" s="30" cm="1">
        <f t="array" ref="L7">IF(D7&gt;0,IF($D7&lt;=0,0,D7*H7),"")</f>
      </c>
      <c r="M7" t="str" s="30" cm="1">
        <f t="array" ref="M7">IF(E7&gt;0,IF($D7&lt;=0,0,ROUND(E7*I7,2)),"")</f>
      </c>
      <c r="N7" t="str" s="31" cm="1">
        <f t="array" ref="N7">IF(F7&gt;0,IF($D7&lt;=0,0,ROUND(F7*J7,2)),"")</f>
      </c>
    </row>
    <row r="8" ht="20.5" customHeight="1">
      <c r="A8" s="94">
        <v>1</v>
      </c>
      <c r="B8" t="s" s="19">
        <v>554</v>
      </c>
      <c r="C8" s="20"/>
      <c r="D8" s="21">
        <v>1</v>
      </c>
      <c r="E8" s="21" cm="1">
        <f t="array" ref="E8">D8</f>
        <v>1</v>
      </c>
      <c r="F8" s="21" cm="1">
        <f t="array" ref="F8">D8</f>
        <v>1</v>
      </c>
      <c r="G8" t="s" s="22">
        <v>19</v>
      </c>
      <c r="H8" s="21">
        <v>304049.55</v>
      </c>
      <c r="I8" s="21">
        <v>300000</v>
      </c>
      <c r="J8" s="21">
        <v>300000</v>
      </c>
      <c r="K8" s="21">
        <v>11</v>
      </c>
      <c r="L8" s="21" cm="1">
        <f t="array" ref="L8">IF(D8&gt;0,IF($D8&lt;=0,0,D8*H8),"")</f>
        <v>304049.55</v>
      </c>
      <c r="M8" s="21" cm="1">
        <f t="array" ref="M8">IF(E8&gt;0,IF($D8&lt;=0,0,ROUND(E8*I8,2)),"")</f>
        <v>300000</v>
      </c>
      <c r="N8" s="23" cm="1">
        <f t="array" ref="N8">IF(F8&gt;0,IF($D8&lt;=0,0,ROUND(F8*J8,2)),"")</f>
        <v>300000</v>
      </c>
    </row>
    <row r="9" ht="20.5" customHeight="1">
      <c r="A9" s="95">
        <v>2</v>
      </c>
      <c r="B9" t="s" s="19">
        <v>555</v>
      </c>
      <c r="C9" s="24"/>
      <c r="D9" s="26">
        <v>1</v>
      </c>
      <c r="E9" s="26" cm="1">
        <f t="array" ref="E9">D9</f>
        <v>1</v>
      </c>
      <c r="F9" s="26" cm="1">
        <f t="array" ref="F9">D9</f>
        <v>1</v>
      </c>
      <c r="G9" t="s" s="27">
        <v>19</v>
      </c>
      <c r="H9" s="26">
        <v>300000</v>
      </c>
      <c r="I9" s="26">
        <v>300000</v>
      </c>
      <c r="J9" s="26">
        <v>300000</v>
      </c>
      <c r="K9" s="26">
        <v>11</v>
      </c>
      <c r="L9" s="26" cm="1">
        <f t="array" ref="L9">IF(D9&gt;0,IF($D9&lt;=0,0,D9*H9),"")</f>
        <v>300000</v>
      </c>
      <c r="M9" s="26" cm="1">
        <f t="array" ref="M9">IF(E9&gt;0,IF($D9&lt;=0,0,ROUND(E9*I9,2)),"")</f>
        <v>300000</v>
      </c>
      <c r="N9" s="28" cm="1">
        <f t="array" ref="N9">IF(F9&gt;0,IF($D9&lt;=0,0,ROUND(F9*J9,2)),"")</f>
        <v>300000</v>
      </c>
    </row>
    <row r="10" ht="20.5" customHeight="1">
      <c r="A10" s="29"/>
      <c r="B10" t="s" s="19">
        <v>550</v>
      </c>
      <c r="C10" s="20"/>
      <c r="D10" s="21"/>
      <c r="E10" s="21"/>
      <c r="F10" s="21"/>
      <c r="G10" s="79"/>
      <c r="H10" s="21"/>
      <c r="I10" s="21"/>
      <c r="J10" s="21"/>
      <c r="K10" s="21"/>
      <c r="L10" t="str" s="79" cm="1">
        <f t="array" ref="L10">IF(D10&gt;0,IF($D10&lt;=0,0,D10*H10),"")</f>
      </c>
      <c r="M10" t="str" s="79" cm="1">
        <f t="array" ref="M10">IF(E10&gt;0,IF($D10&lt;=0,0,ROUND(E10*I10,2)),"")</f>
      </c>
      <c r="N10" t="str" s="91" cm="1">
        <f t="array" ref="N10">IF(F10&gt;0,IF($D10&lt;=0,0,ROUND(F10*J10,2)),"")</f>
      </c>
    </row>
    <row r="11" ht="20.5" customHeight="1">
      <c r="A11" s="95">
        <v>3</v>
      </c>
      <c r="B11" t="s" s="19">
        <v>556</v>
      </c>
      <c r="C11" s="24"/>
      <c r="D11" s="26">
        <v>3</v>
      </c>
      <c r="E11" s="26" cm="1">
        <f t="array" ref="E11">D11</f>
        <v>3</v>
      </c>
      <c r="F11" s="26" cm="1">
        <f t="array" ref="F11">D11</f>
        <v>3</v>
      </c>
      <c r="G11" t="s" s="27">
        <v>75</v>
      </c>
      <c r="H11" s="26">
        <v>100000</v>
      </c>
      <c r="I11" s="26">
        <v>100000</v>
      </c>
      <c r="J11" s="26">
        <v>100000</v>
      </c>
      <c r="K11" s="26">
        <v>11</v>
      </c>
      <c r="L11" s="26" cm="1">
        <f t="array" ref="L11">IF(D11&gt;0,IF($D11&lt;=0,0,D11*H11),"")</f>
        <v>300000</v>
      </c>
      <c r="M11" s="26" cm="1">
        <f t="array" ref="M11">IF(E11&gt;0,IF($D11&lt;=0,0,ROUND(E11*I11,2)),"")</f>
        <v>300000</v>
      </c>
      <c r="N11" s="28" cm="1">
        <f t="array" ref="N11">IF(F11&gt;0,IF($D11&lt;=0,0,ROUND(F11*J11,2)),"")</f>
        <v>300000</v>
      </c>
    </row>
    <row r="12" ht="20.5" customHeight="1">
      <c r="A12" s="95">
        <v>4</v>
      </c>
      <c r="B12" t="s" s="19">
        <v>557</v>
      </c>
      <c r="C12" s="20"/>
      <c r="D12" s="21">
        <v>3</v>
      </c>
      <c r="E12" s="21" cm="1">
        <f t="array" ref="E12">D12</f>
        <v>3</v>
      </c>
      <c r="F12" s="21" cm="1">
        <f t="array" ref="F12">D12</f>
        <v>3</v>
      </c>
      <c r="G12" t="s" s="22">
        <v>75</v>
      </c>
      <c r="H12" s="21">
        <v>150000</v>
      </c>
      <c r="I12" s="21">
        <v>150000</v>
      </c>
      <c r="J12" s="21">
        <v>150000</v>
      </c>
      <c r="K12" s="21">
        <v>11</v>
      </c>
      <c r="L12" s="21" cm="1">
        <f t="array" ref="L12">IF(D12&gt;0,IF($D12&lt;=0,0,D12*H12),"")</f>
        <v>450000</v>
      </c>
      <c r="M12" s="21" cm="1">
        <f t="array" ref="M12">IF(E12&gt;0,IF($D12&lt;=0,0,ROUND(E12*I12,2)),"")</f>
        <v>450000</v>
      </c>
      <c r="N12" s="23" cm="1">
        <f t="array" ref="N12">IF(F12&gt;0,IF($D12&lt;=0,0,ROUND(F12*J12,2)),"")</f>
        <v>450000</v>
      </c>
    </row>
    <row r="13" ht="20.5" customHeight="1">
      <c r="A13" s="95">
        <v>5</v>
      </c>
      <c r="B13" t="s" s="19">
        <v>121</v>
      </c>
      <c r="C13" s="24"/>
      <c r="D13" s="26">
        <v>1</v>
      </c>
      <c r="E13" s="26" cm="1">
        <f t="array" ref="E13">D13</f>
        <v>1</v>
      </c>
      <c r="F13" s="26" cm="1">
        <f t="array" ref="F13">D13</f>
        <v>1</v>
      </c>
      <c r="G13" t="s" s="27">
        <v>79</v>
      </c>
      <c r="H13" s="26">
        <v>150000</v>
      </c>
      <c r="I13" s="26">
        <v>150000</v>
      </c>
      <c r="J13" s="26">
        <v>150000</v>
      </c>
      <c r="K13" s="26">
        <v>11</v>
      </c>
      <c r="L13" s="26" cm="1">
        <f t="array" ref="L13">IF(D13&gt;0,IF($D13&lt;=0,0,D13*H13),"")</f>
        <v>150000</v>
      </c>
      <c r="M13" s="26" cm="1">
        <f t="array" ref="M13">IF(E13&gt;0,IF($D13&lt;=0,0,ROUND(E13*I13,2)),"")</f>
        <v>150000</v>
      </c>
      <c r="N13" s="28" cm="1">
        <f t="array" ref="N13">IF(F13&gt;0,IF($D13&lt;=0,0,ROUND(F13*J13,2)),"")</f>
        <v>150000</v>
      </c>
    </row>
    <row r="14" ht="20.6" customHeight="1">
      <c r="A14" s="96"/>
      <c r="B14" s="97"/>
      <c r="C14" s="35"/>
      <c r="D14" s="36"/>
      <c r="E14" s="36"/>
      <c r="F14" s="36"/>
      <c r="G14" s="101"/>
      <c r="H14" s="36"/>
      <c r="I14" s="36"/>
      <c r="J14" s="36"/>
      <c r="K14" s="36"/>
      <c r="L14" t="str" s="101" cm="1">
        <f t="array" ref="L14">IF(D14&gt;0,IF($D14&lt;=0,0,D14*H14),"")</f>
      </c>
      <c r="M14" t="str" s="101" cm="1">
        <f t="array" ref="M14">IF(E14&gt;0,IF($D14&lt;=0,0,ROUND(E14*I14,2)),"")</f>
      </c>
      <c r="N14" t="str" s="102" cm="1">
        <f t="array" ref="N14">IF(F14&gt;0,IF($D14&lt;=0,0,ROUND(F14*J14,2)),"")</f>
      </c>
    </row>
    <row r="15" ht="20.85" customHeight="1">
      <c r="A15" s="54"/>
      <c r="B15" s="54"/>
      <c r="C15" s="54"/>
      <c r="D15" s="55"/>
      <c r="E15" s="55"/>
      <c r="F15" s="55"/>
      <c r="G15" s="56"/>
      <c r="H15" s="56"/>
      <c r="I15" s="54"/>
      <c r="J15" s="57"/>
      <c r="K15" t="s" s="58">
        <v>38</v>
      </c>
      <c r="L15" s="59" cm="1">
        <f t="array" ref="L15">SUM(L1:L14)</f>
        <v>4054049.55</v>
      </c>
      <c r="M15" s="59" cm="1">
        <f t="array" ref="M15">SUM(M1:M14)</f>
        <v>4050000</v>
      </c>
      <c r="N15" s="59" cm="1">
        <f t="array" ref="N15">SUM(N1:N14)</f>
        <v>4050000</v>
      </c>
    </row>
    <row r="16" ht="21" customHeight="1">
      <c r="A16" s="62"/>
      <c r="B16" t="s" s="61">
        <v>39</v>
      </c>
      <c r="C16" s="62"/>
      <c r="D16" s="63" cm="1">
        <f t="array" ref="D16">ROUND(IF(L16&lt;=100000000,L16*0.24%,IF(AND(L16&gt;100000000,L16&lt;=500000000),100000000*0.24%+(L16-100000000)*0.19%,IF(AND(L16&gt;500000000,L16&lt;=1000000000),100000000*0.24%+400000000*0.19%+(L16-500000000)*0.15%,IF(AND(L16&gt;1000000000,L16&lt;=5000000000),100000000*0.24%+400000000*0.19%+500000000*0.15%+(L16-1000000000)*0.12%,IF(L16&gt;5000000000,100000000*0.24%+400000000*0.19%+500000000*0.15%+4000000000*0.12%+(L16-5000000000)*0.1%,"Bingung komputer"))))),2)</f>
        <v>9729.719999999999</v>
      </c>
      <c r="E16" s="64" cm="1">
        <f t="array" ref="E16">ROUND(IF(M16&lt;=100000000,M16*0.24%,IF(AND(M16&gt;100000000,M16&lt;=500000000),100000000*0.24%+(M16-100000000)*0.19%,IF(AND(M16&gt;500000000,M16&lt;=1000000000),100000000*0.24%+400000000*0.19%+(M16-500000000)*0.15%,IF(AND(M16&gt;1000000000,M16&lt;=5000000000),100000000*0.24%+400000000*0.19%+500000000*0.15%+(M16-1000000000)*0.12%,IF(M16&gt;5000000000,100000000*0.24%+400000000*0.19%+500000000*0.15%+4000000000*0.12%+(M16-5000000000)*0.1%,"Bingung komputer"))))),2)</f>
        <v>9720</v>
      </c>
      <c r="F16" s="64" cm="1">
        <f t="array" ref="F16">ROUND(IF(N16&lt;=100000000,N16*0.24%,IF(AND(N16&gt;100000000,N16&lt;=500000000),100000000*0.24%+(N16-100000000)*0.19%,IF(AND(N16&gt;500000000,N16&lt;=1000000000),100000000*0.24%+400000000*0.19%+(N16-500000000)*0.15%,IF(AND(N16&gt;1000000000,N16&lt;=5000000000),100000000*0.24%+400000000*0.19%+500000000*0.15%+(N16-1000000000)*0.12%,IF(N16&gt;5000000000,100000000*0.24%+400000000*0.19%+500000000*0.15%+4000000000*0.12%+(N16-5000000000)*0.1%,"Bingung komputer"))))),2)</f>
        <v>9720</v>
      </c>
      <c r="G16" s="65"/>
      <c r="H16" s="66"/>
      <c r="I16" s="62"/>
      <c r="J16" s="67"/>
      <c r="K16" t="str" s="67" cm="1">
        <f t="array" ref="K16">"Jumlah Terkena Pajak "&amp;MAX(K3:K14)&amp;"% (B)"</f>
        <v>Jumlah Terkena Pajak 11,00% (B)</v>
      </c>
      <c r="L16" s="69" cm="1">
        <f t="array" ref="L16">SUMIF($K3:$K14,"&gt;0",L3:L14)</f>
        <v>4054049.55</v>
      </c>
      <c r="M16" s="69" cm="1">
        <f t="array" ref="M16">SUMIF($K3:$K14,"&gt;0",M3:M14)</f>
        <v>4050000</v>
      </c>
      <c r="N16" s="69" cm="1">
        <f t="array" ref="N16">SUMIF($K3:$K14,"&gt;0",N3:N14)</f>
        <v>4050000</v>
      </c>
    </row>
    <row r="17" ht="21" customHeight="1">
      <c r="A17" s="71"/>
      <c r="B17" s="71"/>
      <c r="C17" s="71"/>
      <c r="D17" s="72"/>
      <c r="E17" s="72"/>
      <c r="F17" s="71"/>
      <c r="G17" s="72"/>
      <c r="H17" s="72"/>
      <c r="I17" s="71"/>
      <c r="J17" s="73"/>
      <c r="K17" t="str" s="73" cm="1">
        <f t="array" ref="K17">"PPN (C) = "&amp;MAX(K3:K14)&amp;"% x B"</f>
        <v>PPN (C) = 11,00% x B</v>
      </c>
      <c r="L17" s="68" cm="1">
        <f t="array" ref="L17">L16*MAX($K3:$K14)%</f>
        <v>445945.4505</v>
      </c>
      <c r="M17" s="69" cm="1">
        <f t="array" ref="M17">M16*MAX($K3:$K14)%</f>
        <v>445500</v>
      </c>
      <c r="N17" s="69" cm="1">
        <f t="array" ref="N17">N16*MAX($K3:$K14)%</f>
        <v>445500</v>
      </c>
    </row>
    <row r="18" ht="21" customHeight="1">
      <c r="A18" s="71"/>
      <c r="B18" s="71"/>
      <c r="C18" s="71"/>
      <c r="D18" s="72"/>
      <c r="E18" s="72"/>
      <c r="F18" s="72"/>
      <c r="G18" s="72"/>
      <c r="H18" s="72"/>
      <c r="I18" s="71"/>
      <c r="J18" s="73"/>
      <c r="K18" t="s" s="75">
        <v>42</v>
      </c>
      <c r="L18" s="76" cm="1">
        <f t="array" ref="L18">L15+L17</f>
        <v>4499995.0005</v>
      </c>
      <c r="M18" s="69" cm="1">
        <f t="array" ref="M18">M15+M17</f>
        <v>4495500</v>
      </c>
      <c r="N18" s="69" cm="1">
        <f t="array" ref="N18">N15+N17</f>
        <v>4495500</v>
      </c>
    </row>
    <row r="19" ht="20.5" customHeight="1">
      <c r="A19" s="71"/>
      <c r="B19" s="71"/>
      <c r="C19" s="71"/>
      <c r="D19" s="72"/>
      <c r="E19" s="72"/>
      <c r="F19" s="72"/>
      <c r="G19" s="72"/>
      <c r="H19" s="72"/>
      <c r="I19" s="71"/>
      <c r="J19" s="73"/>
      <c r="K19" t="s" s="75">
        <v>43</v>
      </c>
      <c r="L19" s="68" cm="1">
        <f t="array" ref="L19">ROUNDDOWN(L18,-3)</f>
        <v>4499000</v>
      </c>
      <c r="M19" s="68" cm="1">
        <f t="array" ref="M19">ROUNDDOWN(M18,2)</f>
        <v>4495500</v>
      </c>
      <c r="N19" s="68" cm="1">
        <f t="array" ref="N19">ROUNDDOWN(N18,-3)</f>
        <v>4495000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33.xml><?xml version="1.0" encoding="utf-8"?>
<worksheet xmlns:r="http://schemas.openxmlformats.org/officeDocument/2006/relationships" xmlns="http://schemas.openxmlformats.org/spreadsheetml/2006/main">
  <sheetPr>
    <pageSetUpPr fitToPage="1"/>
  </sheetPr>
  <dimension ref="A1:N31"/>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328" customWidth="1"/>
    <col min="2" max="2" width="43.0312" style="328" customWidth="1"/>
    <col min="3" max="3" width="2.75" style="328" customWidth="1"/>
    <col min="4" max="6" width="10.3672" style="328" customWidth="1"/>
    <col min="7" max="7" width="11.6875" style="328" customWidth="1"/>
    <col min="8" max="11" width="13.5156" style="328" customWidth="1"/>
    <col min="12" max="14" width="14.2344" style="328" customWidth="1"/>
    <col min="15" max="16384" width="16.3516" style="328"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16</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t="s" s="18">
        <v>17</v>
      </c>
      <c r="B4" t="s" s="19">
        <v>18</v>
      </c>
      <c r="C4" s="20"/>
      <c r="D4" s="21">
        <v>1</v>
      </c>
      <c r="E4" s="21" cm="1">
        <f t="array" ref="E4">D4</f>
        <v>1</v>
      </c>
      <c r="F4" s="21" cm="1">
        <f t="array" ref="F4">D4</f>
        <v>1</v>
      </c>
      <c r="G4" t="s" s="22">
        <v>19</v>
      </c>
      <c r="H4" s="21">
        <v>32150000</v>
      </c>
      <c r="I4" s="21">
        <v>32050000</v>
      </c>
      <c r="J4" s="21">
        <v>32050000</v>
      </c>
      <c r="K4" s="21">
        <v>11</v>
      </c>
      <c r="L4" s="21" cm="1">
        <f t="array" ref="L4">IF(D4&gt;0,IF($D4&lt;=0,0,D4*H4),"")</f>
        <v>32150000</v>
      </c>
      <c r="M4" s="21" cm="1">
        <f t="array" ref="M4">IF(E4&gt;0,IF($D4&lt;=0,0,ROUND(E4*I4,2)),"")</f>
        <v>32050000</v>
      </c>
      <c r="N4" s="23" cm="1">
        <f t="array" ref="N4">IF(F4&gt;0,IF($D4&lt;=0,0,ROUND(F4*J4,2)),"")</f>
        <v>32050000</v>
      </c>
    </row>
    <row r="5" ht="20.5" customHeight="1">
      <c r="A5" s="29"/>
      <c r="B5" t="s" s="19">
        <v>28</v>
      </c>
      <c r="C5" s="24"/>
      <c r="D5" s="30"/>
      <c r="E5" s="26"/>
      <c r="F5" s="26"/>
      <c r="G5" s="30"/>
      <c r="H5" s="26"/>
      <c r="I5" s="30"/>
      <c r="J5" s="30"/>
      <c r="K5" s="26"/>
      <c r="L5" t="str" s="30" cm="1">
        <f t="array" ref="L5">IF(D5&gt;0,IF($D5&lt;=0,0,D5*H5),"")</f>
      </c>
      <c r="M5" t="str" s="30" cm="1">
        <f t="array" ref="M5">IF(E5&gt;0,IF($D5&lt;=0,0,ROUND(E5*I5,2)),"")</f>
      </c>
      <c r="N5" t="str" s="31" cm="1">
        <f t="array" ref="N5">IF(F5&gt;0,IF($D5&lt;=0,0,ROUND(F5*J5,2)),"")</f>
      </c>
    </row>
    <row r="6" ht="20.5" customHeight="1">
      <c r="A6" t="s" s="18">
        <v>86</v>
      </c>
      <c r="B6" t="s" s="19">
        <v>30</v>
      </c>
      <c r="C6" s="20"/>
      <c r="D6" s="21">
        <v>1196</v>
      </c>
      <c r="E6" s="21" cm="1">
        <f t="array" ref="E6">D6</f>
        <v>1196</v>
      </c>
      <c r="F6" s="21" cm="1">
        <f t="array" ref="F6">D6</f>
        <v>1196</v>
      </c>
      <c r="G6" t="s" s="22">
        <v>27</v>
      </c>
      <c r="H6" s="21">
        <v>38501.07</v>
      </c>
      <c r="I6" s="21">
        <v>38501.07</v>
      </c>
      <c r="J6" s="21">
        <v>38501.07</v>
      </c>
      <c r="K6" s="21">
        <v>11</v>
      </c>
      <c r="L6" s="21" cm="1">
        <f t="array" ref="L6">IF(D6&gt;0,IF($D6&lt;=0,0,D6*H6),"")</f>
        <v>46047279.72</v>
      </c>
      <c r="M6" s="21" cm="1">
        <f t="array" ref="M6">IF(E6&gt;0,IF($D6&lt;=0,0,ROUND(E6*I6,2)),"")</f>
        <v>46047279.72</v>
      </c>
      <c r="N6" s="23" cm="1">
        <f t="array" ref="N6">IF(F6&gt;0,IF($D6&lt;=0,0,ROUND(F6*J6,2)),"")</f>
        <v>46047279.72</v>
      </c>
    </row>
    <row r="7" ht="20.5" customHeight="1">
      <c r="A7" t="s" s="18">
        <v>46</v>
      </c>
      <c r="B7" t="s" s="19">
        <v>47</v>
      </c>
      <c r="C7" s="24"/>
      <c r="D7" s="25">
        <v>564.8</v>
      </c>
      <c r="E7" s="26" cm="1">
        <f t="array" ref="E7">D7</f>
        <v>564.8</v>
      </c>
      <c r="F7" s="26" cm="1">
        <f t="array" ref="F7">D7</f>
        <v>564.8</v>
      </c>
      <c r="G7" t="s" s="27">
        <v>27</v>
      </c>
      <c r="H7" s="26">
        <v>169497.06</v>
      </c>
      <c r="I7" s="26">
        <v>169497.06</v>
      </c>
      <c r="J7" s="26">
        <v>169497.06</v>
      </c>
      <c r="K7" s="26">
        <v>11</v>
      </c>
      <c r="L7" s="26" cm="1">
        <f t="array" ref="L7">IF(D7&gt;0,IF($D7&lt;=0,0,D7*H7),"")</f>
        <v>95731939.48800001</v>
      </c>
      <c r="M7" s="26" cm="1">
        <f t="array" ref="M7">IF(E7&gt;0,IF($D7&lt;=0,0,ROUND(E7*I7,2)),"")</f>
        <v>95731939.48999999</v>
      </c>
      <c r="N7" s="28" cm="1">
        <f t="array" ref="N7">IF(F7&gt;0,IF($D7&lt;=0,0,ROUND(F7*J7,2)),"")</f>
        <v>95731939.48999999</v>
      </c>
    </row>
    <row r="8" ht="20.5" customHeight="1">
      <c r="A8" t="s" s="18">
        <v>33</v>
      </c>
      <c r="B8" t="s" s="19">
        <v>34</v>
      </c>
      <c r="C8" s="20"/>
      <c r="D8" s="21">
        <v>3177</v>
      </c>
      <c r="E8" s="21" cm="1">
        <f t="array" ref="E8">D8</f>
        <v>3177</v>
      </c>
      <c r="F8" s="21" cm="1">
        <f t="array" ref="F8">D8</f>
        <v>3177</v>
      </c>
      <c r="G8" t="s" s="22">
        <v>35</v>
      </c>
      <c r="H8" s="21">
        <v>1817.45</v>
      </c>
      <c r="I8" s="32">
        <v>1817.45</v>
      </c>
      <c r="J8" s="32">
        <v>1817.45</v>
      </c>
      <c r="K8" s="21">
        <v>11</v>
      </c>
      <c r="L8" s="21" cm="1">
        <f t="array" ref="L8">IF(D8&gt;0,IF($D8&lt;=0,0,D8*H8),"")</f>
        <v>5774038.65</v>
      </c>
      <c r="M8" s="21" cm="1">
        <f t="array" ref="M8">IF(E8&gt;0,IF($D8&lt;=0,0,ROUND(E8*I8,2)),"")</f>
        <v>5774038.65</v>
      </c>
      <c r="N8" s="23" cm="1">
        <f t="array" ref="N8">IF(F8&gt;0,IF($D8&lt;=0,0,ROUND(F8*J8,2)),"")</f>
        <v>5774038.65</v>
      </c>
    </row>
    <row r="9" ht="20.5" customHeight="1">
      <c r="A9" s="29"/>
      <c r="B9" t="s" s="19">
        <v>36</v>
      </c>
      <c r="C9" s="24"/>
      <c r="D9" s="26"/>
      <c r="E9" s="26"/>
      <c r="F9" s="26"/>
      <c r="G9" s="30"/>
      <c r="H9" s="30"/>
      <c r="I9" s="30"/>
      <c r="J9" s="30"/>
      <c r="K9" s="26"/>
      <c r="L9" t="str" s="30" cm="1">
        <f t="array" ref="L9">IF(D9&gt;0,IF($D9&lt;=0,0,D9*H9),"")</f>
      </c>
      <c r="M9" s="26"/>
      <c r="N9" s="28"/>
    </row>
    <row r="10" ht="20.6" customHeight="1">
      <c r="A10" s="33">
        <v>1</v>
      </c>
      <c r="B10" t="s" s="34">
        <v>37</v>
      </c>
      <c r="C10" s="35"/>
      <c r="D10" s="36">
        <v>1</v>
      </c>
      <c r="E10" s="36" cm="1">
        <f t="array" ref="E10">D10</f>
        <v>1</v>
      </c>
      <c r="F10" s="36" cm="1">
        <f t="array" ref="F10">D10</f>
        <v>1</v>
      </c>
      <c r="G10" t="s" s="37">
        <v>19</v>
      </c>
      <c r="H10" s="36">
        <v>391436</v>
      </c>
      <c r="I10" s="36">
        <v>391246</v>
      </c>
      <c r="J10" s="36">
        <v>391246</v>
      </c>
      <c r="K10" s="36">
        <v>0</v>
      </c>
      <c r="L10" s="36" cm="1">
        <f t="array" ref="L10">IF(D10&gt;0,IF($D10&lt;=0,0,D10*H10),"")</f>
        <v>391436</v>
      </c>
      <c r="M10" s="36" cm="1">
        <f t="array" ref="M10">IF(E10&gt;0,IF($D10&lt;=0,0,ROUND(E10*I10,2)),"")</f>
        <v>391246</v>
      </c>
      <c r="N10" s="38" cm="1">
        <f t="array" ref="N10">IF(F10&gt;0,IF($D10&lt;=0,0,ROUND(F10*J10,2)),"")</f>
        <v>391246</v>
      </c>
    </row>
    <row r="11" ht="8.75" customHeight="1" hidden="1">
      <c r="A11" s="39"/>
      <c r="B11" s="40"/>
      <c r="C11" s="41"/>
      <c r="D11" s="42"/>
      <c r="E11" s="42"/>
      <c r="F11" s="42"/>
      <c r="G11" s="43"/>
      <c r="H11" s="42"/>
      <c r="I11" s="42"/>
      <c r="J11" s="42"/>
      <c r="K11" s="42"/>
      <c r="L11" s="42"/>
      <c r="M11" s="42"/>
      <c r="N11" s="44"/>
    </row>
    <row r="12" ht="8.75" customHeight="1" hidden="1">
      <c r="A12" s="39"/>
      <c r="B12" s="40"/>
      <c r="C12" s="45"/>
      <c r="D12" s="46"/>
      <c r="E12" s="46"/>
      <c r="F12" s="46"/>
      <c r="G12" s="47"/>
      <c r="H12" s="46"/>
      <c r="I12" s="46"/>
      <c r="J12" s="46"/>
      <c r="K12" s="46"/>
      <c r="L12" s="46"/>
      <c r="M12" s="46"/>
      <c r="N12" s="48"/>
    </row>
    <row r="13" ht="8.75" customHeight="1" hidden="1">
      <c r="A13" s="39"/>
      <c r="B13" s="40"/>
      <c r="C13" s="41"/>
      <c r="D13" s="42"/>
      <c r="E13" s="42"/>
      <c r="F13" s="42"/>
      <c r="G13" s="43"/>
      <c r="H13" s="42"/>
      <c r="I13" s="42"/>
      <c r="J13" s="42"/>
      <c r="K13" s="42"/>
      <c r="L13" s="42"/>
      <c r="M13" s="42"/>
      <c r="N13" s="44"/>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2"/>
      <c r="I15" s="42"/>
      <c r="J15" s="42"/>
      <c r="K15" s="42"/>
      <c r="L15" s="42"/>
      <c r="M15" s="42"/>
      <c r="N15" s="44"/>
    </row>
    <row r="16" ht="8.75" customHeight="1" hidden="1">
      <c r="A16" s="39"/>
      <c r="B16" s="40"/>
      <c r="C16" s="45"/>
      <c r="D16" s="46"/>
      <c r="E16" s="46"/>
      <c r="F16" s="46"/>
      <c r="G16" s="47"/>
      <c r="H16" s="46"/>
      <c r="I16" s="46"/>
      <c r="J16" s="46"/>
      <c r="K16" s="46"/>
      <c r="L16" s="46"/>
      <c r="M16" s="46"/>
      <c r="N16" s="48"/>
    </row>
    <row r="17" ht="8.75" customHeight="1" hidden="1">
      <c r="A17" s="39"/>
      <c r="B17" s="40"/>
      <c r="C17" s="41"/>
      <c r="D17" s="42"/>
      <c r="E17" s="42"/>
      <c r="F17" s="42"/>
      <c r="G17" s="43"/>
      <c r="H17" s="43"/>
      <c r="I17" s="43"/>
      <c r="J17" s="43"/>
      <c r="K17" s="42"/>
      <c r="L17" s="43"/>
      <c r="M17" s="43"/>
      <c r="N17" s="49"/>
    </row>
    <row r="18" ht="8.75" customHeight="1" hidden="1">
      <c r="A18" s="39"/>
      <c r="B18" s="40"/>
      <c r="C18" s="45"/>
      <c r="D18" s="46"/>
      <c r="E18" s="46"/>
      <c r="F18" s="46"/>
      <c r="G18" s="47"/>
      <c r="H18" s="50"/>
      <c r="I18" s="50"/>
      <c r="J18" s="50"/>
      <c r="K18" s="46"/>
      <c r="L18" s="46"/>
      <c r="M18" s="46"/>
      <c r="N18" s="48"/>
    </row>
    <row r="19" ht="8.75" customHeight="1" hidden="1">
      <c r="A19" s="39"/>
      <c r="B19" s="40"/>
      <c r="C19" s="41"/>
      <c r="D19" s="42"/>
      <c r="E19" s="42"/>
      <c r="F19" s="42"/>
      <c r="G19" s="43"/>
      <c r="H19" s="43"/>
      <c r="I19" s="43"/>
      <c r="J19" s="43"/>
      <c r="K19" s="42"/>
      <c r="L19" s="43"/>
      <c r="M19" s="43"/>
      <c r="N19" s="49"/>
    </row>
    <row r="20" ht="8.75" customHeight="1" hidden="1">
      <c r="A20" s="39"/>
      <c r="B20" s="40"/>
      <c r="C20" s="45"/>
      <c r="D20" s="46"/>
      <c r="E20" s="46"/>
      <c r="F20" s="46"/>
      <c r="G20" s="47"/>
      <c r="H20" s="46"/>
      <c r="I20" s="46"/>
      <c r="J20" s="46"/>
      <c r="K20" s="46"/>
      <c r="L20" s="46"/>
      <c r="M20" s="46"/>
      <c r="N20" s="48"/>
    </row>
    <row r="21" ht="8.75" customHeight="1" hidden="1">
      <c r="A21" s="39"/>
      <c r="B21" s="40"/>
      <c r="C21" s="41"/>
      <c r="D21" s="42"/>
      <c r="E21" s="42"/>
      <c r="F21" s="42"/>
      <c r="G21" s="43"/>
      <c r="H21" s="42"/>
      <c r="I21" s="42"/>
      <c r="J21" s="42"/>
      <c r="K21" s="42"/>
      <c r="L21" s="42"/>
      <c r="M21" s="42"/>
      <c r="N21" s="44"/>
    </row>
    <row r="22" ht="8.75" customHeight="1" hidden="1">
      <c r="A22" s="51"/>
      <c r="B22" s="40"/>
      <c r="C22" s="45"/>
      <c r="D22" s="46"/>
      <c r="E22" s="46"/>
      <c r="F22" s="46"/>
      <c r="G22" s="47"/>
      <c r="H22" s="46"/>
      <c r="I22" s="46"/>
      <c r="J22" s="46"/>
      <c r="K22" s="46"/>
      <c r="L22" s="46"/>
      <c r="M22" s="46"/>
      <c r="N22" s="48"/>
    </row>
    <row r="23" ht="8.75" customHeight="1" hidden="1">
      <c r="A23" s="51"/>
      <c r="B23" s="40"/>
      <c r="C23" s="41"/>
      <c r="D23" s="42"/>
      <c r="E23" s="42"/>
      <c r="F23" s="42"/>
      <c r="G23" s="43"/>
      <c r="H23" s="42"/>
      <c r="I23" s="42"/>
      <c r="J23" s="42"/>
      <c r="K23" s="42"/>
      <c r="L23" s="42"/>
      <c r="M23" s="42"/>
      <c r="N23" s="44"/>
    </row>
    <row r="24" ht="8.75" customHeight="1" hidden="1">
      <c r="A24" s="39"/>
      <c r="B24" s="40"/>
      <c r="C24" s="45"/>
      <c r="D24" s="46"/>
      <c r="E24" s="46"/>
      <c r="F24" s="46"/>
      <c r="G24" s="47"/>
      <c r="H24" s="46"/>
      <c r="I24" s="46"/>
      <c r="J24" s="46"/>
      <c r="K24" s="46"/>
      <c r="L24" s="47"/>
      <c r="M24" s="47"/>
      <c r="N24" s="52"/>
    </row>
    <row r="25" ht="8.75" customHeight="1" hidden="1">
      <c r="A25" s="39"/>
      <c r="B25" s="40"/>
      <c r="C25" s="41"/>
      <c r="D25" s="42"/>
      <c r="E25" s="42"/>
      <c r="F25" s="42"/>
      <c r="G25" s="43"/>
      <c r="H25" s="42"/>
      <c r="I25" s="42"/>
      <c r="J25" s="42"/>
      <c r="K25" s="42"/>
      <c r="L25" s="42"/>
      <c r="M25" s="42"/>
      <c r="N25" s="44"/>
    </row>
    <row r="26" ht="8.75" customHeight="1" hidden="1">
      <c r="A26" s="39"/>
      <c r="B26" s="40"/>
      <c r="C26" s="45"/>
      <c r="D26" s="46"/>
      <c r="E26" s="46"/>
      <c r="F26" s="46"/>
      <c r="G26" s="47"/>
      <c r="H26" s="46"/>
      <c r="I26" s="46"/>
      <c r="J26" s="46"/>
      <c r="K26" s="46"/>
      <c r="L26" s="47"/>
      <c r="M26" s="47"/>
      <c r="N26" s="52"/>
    </row>
    <row r="27" ht="20.85" customHeight="1">
      <c r="A27" s="53"/>
      <c r="B27" s="54"/>
      <c r="C27" s="54"/>
      <c r="D27" s="55"/>
      <c r="E27" s="55"/>
      <c r="F27" s="55"/>
      <c r="G27" s="56"/>
      <c r="H27" s="56"/>
      <c r="I27" s="54"/>
      <c r="J27" s="57"/>
      <c r="K27" t="s" s="58">
        <v>38</v>
      </c>
      <c r="L27" s="59" cm="1">
        <f t="array" ref="L27">SUM(L1:L26)</f>
        <v>180094693.858</v>
      </c>
      <c r="M27" s="59" cm="1">
        <f t="array" ref="M27">SUM(M1:M26)</f>
        <v>179994503.86</v>
      </c>
      <c r="N27" s="59" cm="1">
        <f t="array" ref="N27">SUM(N1:N26)</f>
        <v>179994503.86</v>
      </c>
    </row>
    <row r="28" ht="21" customHeight="1">
      <c r="A28" s="60"/>
      <c r="B28" t="s" s="61">
        <v>39</v>
      </c>
      <c r="C28" s="62"/>
      <c r="D28" s="63" cm="1">
        <f t="array" ref="D28">ROUND(IF(L28&lt;=100000000,L28*0.24%,IF(AND(L28&gt;100000000,L28&lt;=500000000),100000000*0.24%+(L28-100000000)*0.19%,IF(AND(L28&gt;500000000,L28&lt;=1000000000),100000000*0.24%+400000000*0.19%+(L28-500000000)*0.15%,IF(AND(L28&gt;1000000000,L28&lt;=5000000000),100000000*0.24%+400000000*0.19%+500000000*0.15%+(L28-1000000000)*0.12%,IF(L28&gt;5000000000,100000000*0.24%+400000000*0.19%+500000000*0.15%+4000000000*0.12%+(L28-5000000000)*0.1%,"Bingung komputer"))))),2)</f>
        <v>391436.19</v>
      </c>
      <c r="E28" s="64" cm="1">
        <f t="array" ref="E28">ROUND(IF(M28&lt;=100000000,M28*0.24%,IF(AND(M28&gt;100000000,M28&lt;=500000000),100000000*0.24%+(M28-100000000)*0.19%,IF(AND(M28&gt;500000000,M28&lt;=1000000000),100000000*0.24%+400000000*0.19%+(M28-500000000)*0.15%,IF(AND(M28&gt;1000000000,M28&lt;=5000000000),100000000*0.24%+400000000*0.19%+500000000*0.15%+(M28-1000000000)*0.12%,IF(M28&gt;5000000000,100000000*0.24%+400000000*0.19%+500000000*0.15%+4000000000*0.12%+(M28-5000000000)*0.1%,"Bingung komputer"))))),2)</f>
        <v>391246.19</v>
      </c>
      <c r="F28" s="64" cm="1">
        <f t="array" ref="F28">ROUND(IF(N28&lt;=100000000,N28*0.24%,IF(AND(N28&gt;100000000,N28&lt;=500000000),100000000*0.24%+(N28-100000000)*0.19%,IF(AND(N28&gt;500000000,N28&lt;=1000000000),100000000*0.24%+400000000*0.19%+(N28-500000000)*0.15%,IF(AND(N28&gt;1000000000,N28&lt;=5000000000),100000000*0.24%+400000000*0.19%+500000000*0.15%+(N28-1000000000)*0.12%,IF(N28&gt;5000000000,100000000*0.24%+400000000*0.19%+500000000*0.15%+4000000000*0.12%+(N28-5000000000)*0.1%,"Bingung komputer"))))),2)</f>
        <v>391246.19</v>
      </c>
      <c r="G28" s="65"/>
      <c r="H28" s="66"/>
      <c r="I28" s="62"/>
      <c r="J28" s="67"/>
      <c r="K28" t="str" s="67" cm="1">
        <f t="array" ref="K28">"Jumlah Terkena Pajak "&amp;MAX(K3:K26)&amp;"% (B)"</f>
        <v>Jumlah Terkena Pajak 11,00% (B)</v>
      </c>
      <c r="L28" s="68" cm="1">
        <f t="array" ref="L28">SUMIF($K3:$K26,"&gt;0",L3:L26)</f>
        <v>179703257.858</v>
      </c>
      <c r="M28" s="69" cm="1">
        <f t="array" ref="M28">SUMIF($K3:$K26,"&gt;0",M3:M26)</f>
        <v>179603257.86</v>
      </c>
      <c r="N28" s="69" cm="1">
        <f t="array" ref="N28">SUMIF($K3:$K26,"&gt;0",N3:N26)</f>
        <v>179603257.86</v>
      </c>
    </row>
    <row r="29" ht="21" customHeight="1">
      <c r="A29" s="70"/>
      <c r="B29" s="71"/>
      <c r="C29" s="71"/>
      <c r="D29" s="72"/>
      <c r="E29" s="72"/>
      <c r="F29" s="71"/>
      <c r="G29" s="72"/>
      <c r="H29" s="72"/>
      <c r="I29" s="71"/>
      <c r="J29" s="73"/>
      <c r="K29" t="str" s="73" cm="1">
        <f t="array" ref="K29">"PPN (C) = "&amp;MAX(K3:K26)&amp;"% x B"</f>
        <v>PPN (C) = 11,00% x B</v>
      </c>
      <c r="L29" s="74" cm="1">
        <f t="array" ref="L29">L28*MAX($K3:$K26)%</f>
        <v>19767358.36438</v>
      </c>
      <c r="M29" s="69" cm="1">
        <f t="array" ref="M29">M28*MAX($K3:$K26)%</f>
        <v>19756358.3646</v>
      </c>
      <c r="N29" s="69" cm="1">
        <f t="array" ref="N29">N28*MAX($K3:$K26)%</f>
        <v>19756358.3646</v>
      </c>
    </row>
    <row r="30" ht="21" customHeight="1">
      <c r="A30" s="70"/>
      <c r="B30" s="71"/>
      <c r="C30" s="71"/>
      <c r="D30" s="72"/>
      <c r="E30" s="72"/>
      <c r="F30" s="72"/>
      <c r="G30" s="72"/>
      <c r="H30" s="72"/>
      <c r="I30" s="71"/>
      <c r="J30" s="73"/>
      <c r="K30" t="s" s="75">
        <v>42</v>
      </c>
      <c r="L30" s="76" cm="1">
        <f t="array" ref="L30">L27+L29</f>
        <v>199862052.22238</v>
      </c>
      <c r="M30" s="69" cm="1">
        <f t="array" ref="M30">M27+M29</f>
        <v>199750862.2246</v>
      </c>
      <c r="N30" s="69" cm="1">
        <f t="array" ref="N30">N27+N29</f>
        <v>199750862.2246</v>
      </c>
    </row>
    <row r="31" ht="20.5" customHeight="1">
      <c r="A31" s="70"/>
      <c r="B31" s="71"/>
      <c r="C31" s="71"/>
      <c r="D31" s="72"/>
      <c r="E31" s="72"/>
      <c r="F31" s="72"/>
      <c r="G31" s="72"/>
      <c r="H31" s="72"/>
      <c r="I31" s="71"/>
      <c r="J31" s="73"/>
      <c r="K31" t="s" s="75">
        <v>43</v>
      </c>
      <c r="L31" s="68" cm="1">
        <f t="array" ref="L31">ROUNDDOWN(L30,2)</f>
        <v>199862052.22</v>
      </c>
      <c r="M31" s="68" cm="1">
        <f t="array" ref="M31">ROUNDDOWN(M30,2)</f>
        <v>199750862.22</v>
      </c>
      <c r="N31" s="68" cm="1">
        <f t="array" ref="N31">ROUNDDOWN(N30,-3)</f>
        <v>199750000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34.xml><?xml version="1.0" encoding="utf-8"?>
<worksheet xmlns:r="http://schemas.openxmlformats.org/officeDocument/2006/relationships" xmlns="http://schemas.openxmlformats.org/spreadsheetml/2006/main">
  <sheetPr>
    <pageSetUpPr fitToPage="1"/>
  </sheetPr>
  <dimension ref="A1:N31"/>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329" customWidth="1"/>
    <col min="2" max="2" width="43.0312" style="329" customWidth="1"/>
    <col min="3" max="3" width="2.75" style="329" customWidth="1"/>
    <col min="4" max="6" width="10.3672" style="329" customWidth="1"/>
    <col min="7" max="7" width="11.6875" style="329" customWidth="1"/>
    <col min="8" max="11" width="13.5156" style="329" customWidth="1"/>
    <col min="12" max="14" width="14.2344" style="329" customWidth="1"/>
    <col min="15" max="16384" width="16.3516" style="329"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109</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s="95">
        <v>1</v>
      </c>
      <c r="B4" t="s" s="19">
        <v>110</v>
      </c>
      <c r="C4" s="20"/>
      <c r="D4" s="21">
        <v>1</v>
      </c>
      <c r="E4" s="21" cm="1">
        <f t="array" ref="E4">D4</f>
        <v>1</v>
      </c>
      <c r="F4" s="21" cm="1">
        <f t="array" ref="F4">D4</f>
        <v>1</v>
      </c>
      <c r="G4" t="s" s="22">
        <v>19</v>
      </c>
      <c r="H4" s="21" cm="1">
        <f t="array" ref="H4">ROUNDDOWN((F$30*0.1)*100/111,-2)</f>
        <v>8989500</v>
      </c>
      <c r="I4" s="21">
        <v>9000000</v>
      </c>
      <c r="J4" s="21">
        <v>9000000</v>
      </c>
      <c r="K4" s="21">
        <v>11</v>
      </c>
      <c r="L4" s="21" cm="1">
        <f t="array" ref="L4">IF(D4&gt;0,IF($D4&lt;=0,0,D4*H4),"")</f>
        <v>8989500</v>
      </c>
      <c r="M4" s="21" cm="1">
        <f t="array" ref="M4">IF(E4&gt;0,IF($D4&lt;=0,0,ROUND(E4*I4,2)),"")</f>
        <v>9000000</v>
      </c>
      <c r="N4" s="23" cm="1">
        <f t="array" ref="N4">IF(F4&gt;0,IF($D4&lt;=0,0,ROUND(F4*J4,2)),"")</f>
        <v>9000000</v>
      </c>
    </row>
    <row r="5" ht="20.5" customHeight="1">
      <c r="A5" s="95">
        <v>2</v>
      </c>
      <c r="B5" t="s" s="19">
        <v>111</v>
      </c>
      <c r="C5" s="24"/>
      <c r="D5" s="26">
        <v>1</v>
      </c>
      <c r="E5" s="26" cm="1">
        <f t="array" ref="E5">D5</f>
        <v>1</v>
      </c>
      <c r="F5" s="26" cm="1">
        <f t="array" ref="F5">D5</f>
        <v>1</v>
      </c>
      <c r="G5" t="s" s="27">
        <v>19</v>
      </c>
      <c r="H5" s="26" cm="1">
        <f t="array" ref="H5">ROUNDDOWN((F$30*0.2)*100/111,-2)</f>
        <v>17979100</v>
      </c>
      <c r="I5" s="26">
        <v>16960000</v>
      </c>
      <c r="J5" s="26">
        <v>16960000</v>
      </c>
      <c r="K5" s="26">
        <v>11</v>
      </c>
      <c r="L5" s="26" cm="1">
        <f t="array" ref="L5">IF(D5&gt;0,IF($D5&lt;=0,0,D5*H5),"")</f>
        <v>17979100</v>
      </c>
      <c r="M5" s="26" cm="1">
        <f t="array" ref="M5">IF(E5&gt;0,IF($D5&lt;=0,0,ROUND(E5*I5,2)),"")</f>
        <v>16960000</v>
      </c>
      <c r="N5" s="28" cm="1">
        <f t="array" ref="N5">IF(F5&gt;0,IF($D5&lt;=0,0,ROUND(F5*J5,2)),"")</f>
        <v>16960000</v>
      </c>
    </row>
    <row r="6" ht="20.5" customHeight="1">
      <c r="A6" s="95">
        <v>3</v>
      </c>
      <c r="B6" t="s" s="19">
        <v>112</v>
      </c>
      <c r="C6" s="20"/>
      <c r="D6" s="21">
        <v>1</v>
      </c>
      <c r="E6" s="21" cm="1">
        <f t="array" ref="E6">D6</f>
        <v>1</v>
      </c>
      <c r="F6" s="21" cm="1">
        <f t="array" ref="F6">D6</f>
        <v>1</v>
      </c>
      <c r="G6" t="s" s="22">
        <v>19</v>
      </c>
      <c r="H6" s="21" cm="1">
        <f t="array" ref="H6">ROUNDDOWN((F$30*0.25)*100/111,-2)</f>
        <v>22473900</v>
      </c>
      <c r="I6" s="21">
        <v>22700000</v>
      </c>
      <c r="J6" s="21">
        <v>22700000</v>
      </c>
      <c r="K6" s="21">
        <v>11</v>
      </c>
      <c r="L6" s="21" cm="1">
        <f t="array" ref="L6">IF(D6&gt;0,IF($D6&lt;=0,0,D6*H6),"")</f>
        <v>22473900</v>
      </c>
      <c r="M6" s="21" cm="1">
        <f t="array" ref="M6">IF(E6&gt;0,IF($D6&lt;=0,0,ROUND(E6*I6,2)),"")</f>
        <v>22700000</v>
      </c>
      <c r="N6" s="23" cm="1">
        <f t="array" ref="N6">IF(F6&gt;0,IF($D6&lt;=0,0,ROUND(F6*J6,2)),"")</f>
        <v>22700000</v>
      </c>
    </row>
    <row r="7" ht="68.5" customHeight="1">
      <c r="A7" s="95">
        <v>5</v>
      </c>
      <c r="B7" t="s" s="19">
        <v>113</v>
      </c>
      <c r="C7" s="24"/>
      <c r="D7" s="26">
        <v>1</v>
      </c>
      <c r="E7" s="26" cm="1">
        <f t="array" ref="E7">D7</f>
        <v>1</v>
      </c>
      <c r="F7" s="26" cm="1">
        <f t="array" ref="F7">D7</f>
        <v>1</v>
      </c>
      <c r="G7" t="s" s="27">
        <v>19</v>
      </c>
      <c r="H7" s="26" cm="1">
        <f t="array" ref="H7">ROUNDDOWN((F$30*0.25)*100/111,-2)</f>
        <v>22473900</v>
      </c>
      <c r="I7" s="26">
        <v>22600000</v>
      </c>
      <c r="J7" s="26">
        <v>22600000</v>
      </c>
      <c r="K7" s="26">
        <v>11</v>
      </c>
      <c r="L7" s="26" cm="1">
        <f t="array" ref="L7">IF(D7&gt;0,IF($D7&lt;=0,0,D7*H7),"")</f>
        <v>22473900</v>
      </c>
      <c r="M7" s="26" cm="1">
        <f t="array" ref="M7">IF(E7&gt;0,IF($D7&lt;=0,0,ROUND(E7*I7,2)),"")</f>
        <v>22600000</v>
      </c>
      <c r="N7" s="28" cm="1">
        <f t="array" ref="N7">IF(F7&gt;0,IF($D7&lt;=0,0,ROUND(F7*J7,2)),"")</f>
        <v>22600000</v>
      </c>
    </row>
    <row r="8" ht="32.5" customHeight="1">
      <c r="A8" s="95">
        <v>6</v>
      </c>
      <c r="B8" t="s" s="19">
        <v>114</v>
      </c>
      <c r="C8" s="20"/>
      <c r="D8" s="21">
        <v>1</v>
      </c>
      <c r="E8" s="21" cm="1">
        <f t="array" ref="E8">D8</f>
        <v>1</v>
      </c>
      <c r="F8" s="21" cm="1">
        <f t="array" ref="F8">D8</f>
        <v>1</v>
      </c>
      <c r="G8" t="s" s="22">
        <v>19</v>
      </c>
      <c r="H8" s="21" cm="1">
        <f t="array" ref="H8">ROUNDDOWN((F$30*0.05)*100/111,-2)</f>
        <v>4494700</v>
      </c>
      <c r="I8" s="21">
        <v>4600000</v>
      </c>
      <c r="J8" s="21">
        <v>4600000</v>
      </c>
      <c r="K8" s="21">
        <v>11</v>
      </c>
      <c r="L8" s="21" cm="1">
        <f t="array" ref="L8">IF(D8&gt;0,IF($D8&lt;=0,0,D8*H8),"")</f>
        <v>4494700</v>
      </c>
      <c r="M8" s="21" cm="1">
        <f t="array" ref="M8">IF(E8&gt;0,IF($D8&lt;=0,0,ROUND(E8*I8,2)),"")</f>
        <v>4600000</v>
      </c>
      <c r="N8" s="23" cm="1">
        <f t="array" ref="N8">IF(F8&gt;0,IF($D8&lt;=0,0,ROUND(F8*J8,2)),"")</f>
        <v>4600000</v>
      </c>
    </row>
    <row r="9" ht="20.5" customHeight="1">
      <c r="A9" s="95">
        <v>7</v>
      </c>
      <c r="B9" t="s" s="19">
        <v>115</v>
      </c>
      <c r="C9" s="24"/>
      <c r="D9" s="26">
        <v>1</v>
      </c>
      <c r="E9" s="26" cm="1">
        <f t="array" ref="E9">D9</f>
        <v>1</v>
      </c>
      <c r="F9" s="26" cm="1">
        <f t="array" ref="F9">D9</f>
        <v>1</v>
      </c>
      <c r="G9" t="s" s="27">
        <v>19</v>
      </c>
      <c r="H9" s="26" cm="1">
        <f t="array" ref="H9">ROUNDDOWN((F$30*0.15)*100/111,-2)</f>
        <v>13484300</v>
      </c>
      <c r="I9" s="26">
        <v>14000000</v>
      </c>
      <c r="J9" s="26">
        <v>14000000</v>
      </c>
      <c r="K9" s="26">
        <v>11</v>
      </c>
      <c r="L9" s="26" cm="1">
        <f t="array" ref="L9">IF(D9&gt;0,IF($D9&lt;=0,0,D9*H9),"")</f>
        <v>13484300</v>
      </c>
      <c r="M9" s="26" cm="1">
        <f t="array" ref="M9">IF(E9&gt;0,IF($D9&lt;=0,0,ROUND(E9*I9,2)),"")</f>
        <v>14000000</v>
      </c>
      <c r="N9" s="28" cm="1">
        <f t="array" ref="N9">IF(F9&gt;0,IF($D9&lt;=0,0,ROUND(F9*J9,2)),"")</f>
        <v>14000000</v>
      </c>
    </row>
    <row r="10" ht="20.6" customHeight="1">
      <c r="A10" s="33">
        <v>8</v>
      </c>
      <c r="B10" t="s" s="34">
        <v>37</v>
      </c>
      <c r="C10" s="35"/>
      <c r="D10" s="36">
        <v>1</v>
      </c>
      <c r="E10" s="36" cm="1">
        <f t="array" ref="E10">D10</f>
        <v>1</v>
      </c>
      <c r="F10" s="36" cm="1">
        <f t="array" ref="F10">D10</f>
        <v>1</v>
      </c>
      <c r="G10" t="s" s="37">
        <v>19</v>
      </c>
      <c r="H10" s="36">
        <v>215748.96</v>
      </c>
      <c r="I10" s="36">
        <v>215664</v>
      </c>
      <c r="J10" s="36">
        <v>215664</v>
      </c>
      <c r="K10" s="36">
        <v>0</v>
      </c>
      <c r="L10" s="36" cm="1">
        <f t="array" ref="L10">IF(D10&gt;0,IF($D10&lt;=0,0,D10*H10),"")</f>
        <v>215748.96</v>
      </c>
      <c r="M10" s="36" cm="1">
        <f t="array" ref="M10">IF(E10&gt;0,IF($D10&lt;=0,0,ROUND(E10*I10,2)),"")</f>
        <v>215664</v>
      </c>
      <c r="N10" s="38" cm="1">
        <f t="array" ref="N10">IF(F10&gt;0,IF($D10&lt;=0,0,ROUND(F10*J10,2)),"")</f>
        <v>215664</v>
      </c>
    </row>
    <row r="11" ht="8.75" customHeight="1" hidden="1">
      <c r="A11" s="39"/>
      <c r="B11" s="40"/>
      <c r="C11" s="41"/>
      <c r="D11" s="42"/>
      <c r="E11" s="42"/>
      <c r="F11" s="42"/>
      <c r="G11" s="43"/>
      <c r="H11" s="42"/>
      <c r="I11" s="42"/>
      <c r="J11" s="42"/>
      <c r="K11" s="42"/>
      <c r="L11" s="42"/>
      <c r="M11" s="42"/>
      <c r="N11" s="44"/>
    </row>
    <row r="12" ht="8.75" customHeight="1" hidden="1">
      <c r="A12" s="39"/>
      <c r="B12" s="40"/>
      <c r="C12" s="45"/>
      <c r="D12" s="46"/>
      <c r="E12" s="46"/>
      <c r="F12" s="46"/>
      <c r="G12" s="47"/>
      <c r="H12" s="46"/>
      <c r="I12" s="46"/>
      <c r="J12" s="46"/>
      <c r="K12" s="46"/>
      <c r="L12" s="46"/>
      <c r="M12" s="46"/>
      <c r="N12" s="48"/>
    </row>
    <row r="13" ht="8.75" customHeight="1" hidden="1">
      <c r="A13" s="39"/>
      <c r="B13" s="40"/>
      <c r="C13" s="41"/>
      <c r="D13" s="42"/>
      <c r="E13" s="42"/>
      <c r="F13" s="42"/>
      <c r="G13" s="43"/>
      <c r="H13" s="42"/>
      <c r="I13" s="42"/>
      <c r="J13" s="42"/>
      <c r="K13" s="42"/>
      <c r="L13" s="42"/>
      <c r="M13" s="42"/>
      <c r="N13" s="44"/>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2"/>
      <c r="I15" s="42"/>
      <c r="J15" s="42"/>
      <c r="K15" s="42"/>
      <c r="L15" s="42"/>
      <c r="M15" s="42"/>
      <c r="N15" s="44"/>
    </row>
    <row r="16" ht="8.75" customHeight="1" hidden="1">
      <c r="A16" s="39"/>
      <c r="B16" s="40"/>
      <c r="C16" s="45"/>
      <c r="D16" s="46"/>
      <c r="E16" s="46"/>
      <c r="F16" s="46"/>
      <c r="G16" s="47"/>
      <c r="H16" s="46"/>
      <c r="I16" s="46"/>
      <c r="J16" s="46"/>
      <c r="K16" s="46"/>
      <c r="L16" s="46"/>
      <c r="M16" s="46"/>
      <c r="N16" s="48"/>
    </row>
    <row r="17" ht="8.75" customHeight="1" hidden="1">
      <c r="A17" s="39"/>
      <c r="B17" s="40"/>
      <c r="C17" s="41"/>
      <c r="D17" s="42"/>
      <c r="E17" s="42"/>
      <c r="F17" s="42"/>
      <c r="G17" s="43"/>
      <c r="H17" s="43"/>
      <c r="I17" s="43"/>
      <c r="J17" s="43"/>
      <c r="K17" s="42"/>
      <c r="L17" s="43"/>
      <c r="M17" s="43"/>
      <c r="N17" s="49"/>
    </row>
    <row r="18" ht="8.75" customHeight="1" hidden="1">
      <c r="A18" s="39"/>
      <c r="B18" s="40"/>
      <c r="C18" s="45"/>
      <c r="D18" s="46"/>
      <c r="E18" s="46"/>
      <c r="F18" s="46"/>
      <c r="G18" s="47"/>
      <c r="H18" s="50"/>
      <c r="I18" s="50"/>
      <c r="J18" s="50"/>
      <c r="K18" s="46"/>
      <c r="L18" s="46"/>
      <c r="M18" s="46"/>
      <c r="N18" s="48"/>
    </row>
    <row r="19" ht="8.75" customHeight="1" hidden="1">
      <c r="A19" s="39"/>
      <c r="B19" s="40"/>
      <c r="C19" s="41"/>
      <c r="D19" s="42"/>
      <c r="E19" s="42"/>
      <c r="F19" s="42"/>
      <c r="G19" s="43"/>
      <c r="H19" s="43"/>
      <c r="I19" s="43"/>
      <c r="J19" s="43"/>
      <c r="K19" s="42"/>
      <c r="L19" s="43"/>
      <c r="M19" s="43"/>
      <c r="N19" s="49"/>
    </row>
    <row r="20" ht="8.75" customHeight="1" hidden="1">
      <c r="A20" s="39"/>
      <c r="B20" s="40"/>
      <c r="C20" s="45"/>
      <c r="D20" s="46"/>
      <c r="E20" s="46"/>
      <c r="F20" s="46"/>
      <c r="G20" s="47"/>
      <c r="H20" s="46"/>
      <c r="I20" s="46"/>
      <c r="J20" s="46"/>
      <c r="K20" s="46"/>
      <c r="L20" s="46"/>
      <c r="M20" s="46"/>
      <c r="N20" s="48"/>
    </row>
    <row r="21" ht="8.75" customHeight="1" hidden="1">
      <c r="A21" s="39"/>
      <c r="B21" s="40"/>
      <c r="C21" s="41"/>
      <c r="D21" s="42"/>
      <c r="E21" s="42"/>
      <c r="F21" s="42"/>
      <c r="G21" s="43"/>
      <c r="H21" s="42"/>
      <c r="I21" s="42"/>
      <c r="J21" s="42"/>
      <c r="K21" s="42"/>
      <c r="L21" s="42"/>
      <c r="M21" s="42"/>
      <c r="N21" s="44"/>
    </row>
    <row r="22" ht="8.75" customHeight="1" hidden="1">
      <c r="A22" s="51"/>
      <c r="B22" s="40"/>
      <c r="C22" s="45"/>
      <c r="D22" s="46"/>
      <c r="E22" s="46"/>
      <c r="F22" s="46"/>
      <c r="G22" s="47"/>
      <c r="H22" s="46"/>
      <c r="I22" s="46"/>
      <c r="J22" s="46"/>
      <c r="K22" s="46"/>
      <c r="L22" s="46"/>
      <c r="M22" s="46"/>
      <c r="N22" s="48"/>
    </row>
    <row r="23" ht="8.75" customHeight="1" hidden="1">
      <c r="A23" s="51"/>
      <c r="B23" s="40"/>
      <c r="C23" s="41"/>
      <c r="D23" s="42"/>
      <c r="E23" s="42"/>
      <c r="F23" s="42"/>
      <c r="G23" s="43"/>
      <c r="H23" s="42"/>
      <c r="I23" s="42"/>
      <c r="J23" s="42"/>
      <c r="K23" s="42"/>
      <c r="L23" s="42"/>
      <c r="M23" s="42"/>
      <c r="N23" s="44"/>
    </row>
    <row r="24" ht="8.75" customHeight="1" hidden="1">
      <c r="A24" s="39"/>
      <c r="B24" s="40"/>
      <c r="C24" s="45"/>
      <c r="D24" s="46"/>
      <c r="E24" s="46"/>
      <c r="F24" s="46"/>
      <c r="G24" s="47"/>
      <c r="H24" s="46"/>
      <c r="I24" s="46"/>
      <c r="J24" s="46"/>
      <c r="K24" s="46"/>
      <c r="L24" s="47"/>
      <c r="M24" s="47"/>
      <c r="N24" s="52"/>
    </row>
    <row r="25" ht="8.75" customHeight="1" hidden="1">
      <c r="A25" s="39"/>
      <c r="B25" s="40"/>
      <c r="C25" s="41"/>
      <c r="D25" s="42"/>
      <c r="E25" s="42"/>
      <c r="F25" s="42"/>
      <c r="G25" s="43"/>
      <c r="H25" s="42"/>
      <c r="I25" s="42"/>
      <c r="J25" s="42"/>
      <c r="K25" s="42"/>
      <c r="L25" s="42"/>
      <c r="M25" s="42"/>
      <c r="N25" s="44"/>
    </row>
    <row r="26" ht="8.75" customHeight="1" hidden="1">
      <c r="A26" s="39"/>
      <c r="B26" s="40"/>
      <c r="C26" s="45"/>
      <c r="D26" s="46"/>
      <c r="E26" s="46"/>
      <c r="F26" s="46"/>
      <c r="G26" s="47"/>
      <c r="H26" s="46"/>
      <c r="I26" s="46"/>
      <c r="J26" s="46"/>
      <c r="K26" s="46"/>
      <c r="L26" s="47"/>
      <c r="M26" s="47"/>
      <c r="N26" s="52"/>
    </row>
    <row r="27" ht="20.85" customHeight="1">
      <c r="A27" s="108"/>
      <c r="B27" s="54"/>
      <c r="C27" s="54"/>
      <c r="D27" s="55"/>
      <c r="E27" s="55"/>
      <c r="F27" s="55"/>
      <c r="G27" s="56"/>
      <c r="H27" s="56"/>
      <c r="I27" s="54"/>
      <c r="J27" s="57"/>
      <c r="K27" t="s" s="58">
        <v>38</v>
      </c>
      <c r="L27" s="59" cm="1">
        <f t="array" ref="L27">SUM(L1:L26)</f>
        <v>90111148.95999999</v>
      </c>
      <c r="M27" s="59" cm="1">
        <f t="array" ref="M27">SUM(M1:M26)</f>
        <v>90075664</v>
      </c>
      <c r="N27" s="59" cm="1">
        <f t="array" ref="N27">SUM(N1:N26)</f>
        <v>90075664</v>
      </c>
    </row>
    <row r="28" ht="21" customHeight="1">
      <c r="A28" s="63" cm="1">
        <f t="array" ref="A28">ROUND(IF(I28&lt;=100000000,I28*0.24%,IF(AND(I28&gt;100000000,I28&lt;=500000000),100000000*0.24%+(I28-100000000)*0.19%,IF(AND(I28&gt;500000000,I28&lt;=1000000000),100000000*0.24%+400000000*0.19%+(I28-500000000)*0.15%,IF(AND(I28&gt;1000000000,I28&lt;=5000000000),100000000*0.24%+400000000*0.19%+500000000*0.15%+(I28-1000000000)*0.12%,IF(I28&gt;5000000000,100000000*0.24%+400000000*0.19%+500000000*0.15%+4000000000*0.12%+(I28-5000000000)*0.1%,"Bingung komputer"))))),2)</f>
        <v>0</v>
      </c>
      <c r="B28" t="s" s="109">
        <v>39</v>
      </c>
      <c r="C28" s="62"/>
      <c r="D28" s="63" cm="1">
        <f t="array" ref="D28">ROUND(IF(L28&lt;=100000000,L28*0.24%,IF(AND(L28&gt;100000000,L28&lt;=500000000),100000000*0.24%+(L28-100000000)*0.19%,IF(AND(L28&gt;500000000,L28&lt;=1000000000),100000000*0.24%+400000000*0.19%+(L28-500000000)*0.15%,IF(AND(L28&gt;1000000000,L28&lt;=5000000000),100000000*0.24%+400000000*0.19%+500000000*0.15%+(L28-1000000000)*0.12%,IF(L28&gt;5000000000,100000000*0.24%+400000000*0.19%+500000000*0.15%+4000000000*0.12%+(L28-5000000000)*0.1%,"Bingung komputer"))))),2)</f>
        <v>215748.96</v>
      </c>
      <c r="E28" s="64" cm="1">
        <f t="array" ref="E28">ROUND(IF(M28&lt;=100000000,M28*0.24%,IF(AND(M28&gt;100000000,M28&lt;=500000000),100000000*0.24%+(M28-100000000)*0.19%,IF(AND(M28&gt;500000000,M28&lt;=1000000000),100000000*0.24%+400000000*0.19%+(M28-500000000)*0.15%,IF(AND(M28&gt;1000000000,M28&lt;=5000000000),100000000*0.24%+400000000*0.19%+500000000*0.15%+(M28-1000000000)*0.12%,IF(M28&gt;5000000000,100000000*0.24%+400000000*0.19%+500000000*0.15%+4000000000*0.12%+(M28-5000000000)*0.1%,"Bingung komputer"))))),2)</f>
        <v>215664</v>
      </c>
      <c r="F28" s="64" cm="1">
        <f t="array" ref="F28">ROUND(IF(N28&lt;=100000000,N28*0.24%,IF(AND(N28&gt;100000000,N28&lt;=500000000),100000000*0.24%+(N28-100000000)*0.19%,IF(AND(N28&gt;500000000,N28&lt;=1000000000),100000000*0.24%+400000000*0.19%+(N28-500000000)*0.15%,IF(AND(N28&gt;1000000000,N28&lt;=5000000000),100000000*0.24%+400000000*0.19%+500000000*0.15%+(N28-1000000000)*0.12%,IF(N28&gt;5000000000,100000000*0.24%+400000000*0.19%+500000000*0.15%+4000000000*0.12%+(N28-5000000000)*0.1%,"Bingung komputer"))))),2)</f>
        <v>215664</v>
      </c>
      <c r="G28" s="65"/>
      <c r="H28" s="66"/>
      <c r="I28" s="68"/>
      <c r="J28" s="67"/>
      <c r="K28" t="str" s="67" cm="1">
        <f t="array" ref="K28">"Jumlah Terkena Pajak "&amp;MAX(K3:K26)&amp;"% (B)"</f>
        <v>Jumlah Terkena Pajak 11,00% (B)</v>
      </c>
      <c r="L28" s="68" cm="1">
        <f t="array" ref="L28">SUMIF($K3:$K26,"&gt;0",L3:L26)</f>
        <v>89895400</v>
      </c>
      <c r="M28" s="69" cm="1">
        <f t="array" ref="M28">SUMIF($K3:$K26,"&gt;0",M3:M26)</f>
        <v>89860000</v>
      </c>
      <c r="N28" s="69" cm="1">
        <f t="array" ref="N28">SUMIF($K3:$K26,"&gt;0",N3:N26)</f>
        <v>89860000</v>
      </c>
    </row>
    <row r="29" ht="21" customHeight="1">
      <c r="A29" s="70"/>
      <c r="B29" s="71"/>
      <c r="C29" s="71"/>
      <c r="D29" s="72"/>
      <c r="E29" s="72"/>
      <c r="F29" s="71"/>
      <c r="G29" s="72"/>
      <c r="H29" s="72"/>
      <c r="I29" s="74"/>
      <c r="J29" s="73"/>
      <c r="K29" t="str" s="73" cm="1">
        <f t="array" ref="K29">"PPN (C) = "&amp;MAX(K3:K26)&amp;"% x B"</f>
        <v>PPN (C) = 11,00% x B</v>
      </c>
      <c r="L29" s="74" cm="1">
        <f t="array" ref="L29">L28*MAX($K3:$K26)%</f>
        <v>9888494</v>
      </c>
      <c r="M29" s="69" cm="1">
        <f t="array" ref="M29">M28*MAX($K3:$K26)%</f>
        <v>9884600</v>
      </c>
      <c r="N29" s="69" cm="1">
        <f t="array" ref="N29">N28*MAX($K3:$K26)%</f>
        <v>9884600</v>
      </c>
    </row>
    <row r="30" ht="21" customHeight="1">
      <c r="A30" s="70"/>
      <c r="B30" s="71"/>
      <c r="C30" s="71"/>
      <c r="D30" t="s" s="110">
        <v>116</v>
      </c>
      <c r="E30" s="112">
        <v>100000000</v>
      </c>
      <c r="F30" s="112">
        <v>99784500</v>
      </c>
      <c r="G30" s="72"/>
      <c r="H30" s="72"/>
      <c r="I30" s="71"/>
      <c r="J30" s="73"/>
      <c r="K30" t="s" s="75">
        <v>42</v>
      </c>
      <c r="L30" s="76" cm="1">
        <f t="array" ref="L30">L27+L29</f>
        <v>99999642.95999999</v>
      </c>
      <c r="M30" s="69" cm="1">
        <f t="array" ref="M30">M27+M29</f>
        <v>99960264</v>
      </c>
      <c r="N30" s="69" cm="1">
        <f t="array" ref="N30">N27+N29</f>
        <v>99960264</v>
      </c>
    </row>
    <row r="31" ht="20.5" customHeight="1">
      <c r="A31" s="70"/>
      <c r="B31" s="71"/>
      <c r="C31" s="71"/>
      <c r="D31" s="72"/>
      <c r="E31" s="72" cm="1">
        <f t="array" ref="E31">E$30-L$31</f>
        <v>357.04</v>
      </c>
      <c r="F31" s="113" cm="1">
        <f t="array" ref="F31">ROUNDDOWN(E$30-D$28,2)</f>
        <v>99784251.04000001</v>
      </c>
      <c r="G31" s="72"/>
      <c r="H31" s="72"/>
      <c r="I31" s="71"/>
      <c r="J31" s="73"/>
      <c r="K31" t="s" s="75">
        <v>43</v>
      </c>
      <c r="L31" s="68" cm="1">
        <f t="array" ref="L31">ROUNDDOWN(L30,2)</f>
        <v>99999642.95999999</v>
      </c>
      <c r="M31" s="68" cm="1">
        <f t="array" ref="M31">ROUNDDOWN(M30,2)</f>
        <v>99960264</v>
      </c>
      <c r="N31" s="68" cm="1">
        <f t="array" ref="N31">ROUNDDOWN(N30,-3)</f>
        <v>99960000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35.xml><?xml version="1.0" encoding="utf-8"?>
<worksheet xmlns:r="http://schemas.openxmlformats.org/officeDocument/2006/relationships" xmlns="http://schemas.openxmlformats.org/spreadsheetml/2006/main">
  <sheetPr>
    <pageSetUpPr fitToPage="1"/>
  </sheetPr>
  <dimension ref="A1:N31"/>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330" customWidth="1"/>
    <col min="2" max="2" width="43.0312" style="330" customWidth="1"/>
    <col min="3" max="3" width="2.75" style="330" customWidth="1"/>
    <col min="4" max="6" width="10.3672" style="330" customWidth="1"/>
    <col min="7" max="7" width="11.6875" style="330" customWidth="1"/>
    <col min="8" max="11" width="13.5156" style="330" customWidth="1"/>
    <col min="12" max="14" width="14.2344" style="330" customWidth="1"/>
    <col min="15" max="16384" width="16.3516" style="330"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109</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s="95">
        <v>1</v>
      </c>
      <c r="B4" t="s" s="19">
        <v>110</v>
      </c>
      <c r="C4" s="20"/>
      <c r="D4" s="21">
        <v>1</v>
      </c>
      <c r="E4" s="21" cm="1">
        <f t="array" ref="E4">D4</f>
        <v>1</v>
      </c>
      <c r="F4" s="21" cm="1">
        <f t="array" ref="F4">D4</f>
        <v>1</v>
      </c>
      <c r="G4" t="s" s="22">
        <v>19</v>
      </c>
      <c r="H4" s="21" cm="1">
        <f t="array" ref="H4">ROUNDDOWN((F$30*0.1)*100/111,-2)</f>
        <v>8989500</v>
      </c>
      <c r="I4" s="21">
        <v>9000000</v>
      </c>
      <c r="J4" s="21">
        <v>9000000</v>
      </c>
      <c r="K4" s="21">
        <v>11</v>
      </c>
      <c r="L4" s="21" cm="1">
        <f t="array" ref="L4">IF(D4&gt;0,IF($D4&lt;=0,0,D4*H4),"")</f>
        <v>8989500</v>
      </c>
      <c r="M4" s="21" cm="1">
        <f t="array" ref="M4">IF(E4&gt;0,IF($D4&lt;=0,0,ROUND(E4*I4,2)),"")</f>
        <v>9000000</v>
      </c>
      <c r="N4" s="23" cm="1">
        <f t="array" ref="N4">IF(F4&gt;0,IF($D4&lt;=0,0,ROUND(F4*J4,2)),"")</f>
        <v>9000000</v>
      </c>
    </row>
    <row r="5" ht="20.5" customHeight="1">
      <c r="A5" s="95">
        <v>2</v>
      </c>
      <c r="B5" t="s" s="19">
        <v>111</v>
      </c>
      <c r="C5" s="24"/>
      <c r="D5" s="26">
        <v>1</v>
      </c>
      <c r="E5" s="26" cm="1">
        <f t="array" ref="E5">D5</f>
        <v>1</v>
      </c>
      <c r="F5" s="26" cm="1">
        <f t="array" ref="F5">D5</f>
        <v>1</v>
      </c>
      <c r="G5" t="s" s="27">
        <v>19</v>
      </c>
      <c r="H5" s="26" cm="1">
        <f t="array" ref="H5">ROUNDDOWN((F$30*0.2)*100/111,-2)</f>
        <v>17979100</v>
      </c>
      <c r="I5" s="26">
        <v>16930000</v>
      </c>
      <c r="J5" s="26">
        <v>16930000</v>
      </c>
      <c r="K5" s="26">
        <v>11</v>
      </c>
      <c r="L5" s="26" cm="1">
        <f t="array" ref="L5">IF(D5&gt;0,IF($D5&lt;=0,0,D5*H5),"")</f>
        <v>17979100</v>
      </c>
      <c r="M5" s="26" cm="1">
        <f t="array" ref="M5">IF(E5&gt;0,IF($D5&lt;=0,0,ROUND(E5*I5,2)),"")</f>
        <v>16930000</v>
      </c>
      <c r="N5" s="28" cm="1">
        <f t="array" ref="N5">IF(F5&gt;0,IF($D5&lt;=0,0,ROUND(F5*J5,2)),"")</f>
        <v>16930000</v>
      </c>
    </row>
    <row r="6" ht="20.5" customHeight="1">
      <c r="A6" s="95">
        <v>3</v>
      </c>
      <c r="B6" t="s" s="19">
        <v>112</v>
      </c>
      <c r="C6" s="20"/>
      <c r="D6" s="21">
        <v>1</v>
      </c>
      <c r="E6" s="21" cm="1">
        <f t="array" ref="E6">D6</f>
        <v>1</v>
      </c>
      <c r="F6" s="21" cm="1">
        <f t="array" ref="F6">D6</f>
        <v>1</v>
      </c>
      <c r="G6" t="s" s="22">
        <v>19</v>
      </c>
      <c r="H6" s="21" cm="1">
        <f t="array" ref="H6">ROUNDDOWN((F$30*0.25)*100/111,-2)</f>
        <v>22473900</v>
      </c>
      <c r="I6" s="21">
        <v>22735000</v>
      </c>
      <c r="J6" s="21">
        <v>22735000</v>
      </c>
      <c r="K6" s="21">
        <v>11</v>
      </c>
      <c r="L6" s="21" cm="1">
        <f t="array" ref="L6">IF(D6&gt;0,IF($D6&lt;=0,0,D6*H6),"")</f>
        <v>22473900</v>
      </c>
      <c r="M6" s="21" cm="1">
        <f t="array" ref="M6">IF(E6&gt;0,IF($D6&lt;=0,0,ROUND(E6*I6,2)),"")</f>
        <v>22735000</v>
      </c>
      <c r="N6" s="23" cm="1">
        <f t="array" ref="N6">IF(F6&gt;0,IF($D6&lt;=0,0,ROUND(F6*J6,2)),"")</f>
        <v>22735000</v>
      </c>
    </row>
    <row r="7" ht="68.5" customHeight="1">
      <c r="A7" s="95">
        <v>5</v>
      </c>
      <c r="B7" t="s" s="19">
        <v>113</v>
      </c>
      <c r="C7" s="24"/>
      <c r="D7" s="26">
        <v>1</v>
      </c>
      <c r="E7" s="26" cm="1">
        <f t="array" ref="E7">D7</f>
        <v>1</v>
      </c>
      <c r="F7" s="26" cm="1">
        <f t="array" ref="F7">D7</f>
        <v>1</v>
      </c>
      <c r="G7" t="s" s="27">
        <v>19</v>
      </c>
      <c r="H7" s="26" cm="1">
        <f t="array" ref="H7">ROUNDDOWN((F$30*0.25)*100/111,-2)</f>
        <v>22473900</v>
      </c>
      <c r="I7" s="26">
        <v>22600000</v>
      </c>
      <c r="J7" s="26">
        <v>22600000</v>
      </c>
      <c r="K7" s="26">
        <v>11</v>
      </c>
      <c r="L7" s="26" cm="1">
        <f t="array" ref="L7">IF(D7&gt;0,IF($D7&lt;=0,0,D7*H7),"")</f>
        <v>22473900</v>
      </c>
      <c r="M7" s="26" cm="1">
        <f t="array" ref="M7">IF(E7&gt;0,IF($D7&lt;=0,0,ROUND(E7*I7,2)),"")</f>
        <v>22600000</v>
      </c>
      <c r="N7" s="28" cm="1">
        <f t="array" ref="N7">IF(F7&gt;0,IF($D7&lt;=0,0,ROUND(F7*J7,2)),"")</f>
        <v>22600000</v>
      </c>
    </row>
    <row r="8" ht="32.5" customHeight="1">
      <c r="A8" s="95">
        <v>6</v>
      </c>
      <c r="B8" t="s" s="19">
        <v>114</v>
      </c>
      <c r="C8" s="20"/>
      <c r="D8" s="21">
        <v>1</v>
      </c>
      <c r="E8" s="21" cm="1">
        <f t="array" ref="E8">D8</f>
        <v>1</v>
      </c>
      <c r="F8" s="21" cm="1">
        <f t="array" ref="F8">D8</f>
        <v>1</v>
      </c>
      <c r="G8" t="s" s="22">
        <v>19</v>
      </c>
      <c r="H8" s="21" cm="1">
        <f t="array" ref="H8">ROUNDDOWN((F$30*0.05)*100/111,-2)</f>
        <v>4494700</v>
      </c>
      <c r="I8" s="21">
        <v>4600000</v>
      </c>
      <c r="J8" s="21">
        <v>4600000</v>
      </c>
      <c r="K8" s="21">
        <v>11</v>
      </c>
      <c r="L8" s="21" cm="1">
        <f t="array" ref="L8">IF(D8&gt;0,IF($D8&lt;=0,0,D8*H8),"")</f>
        <v>4494700</v>
      </c>
      <c r="M8" s="21" cm="1">
        <f t="array" ref="M8">IF(E8&gt;0,IF($D8&lt;=0,0,ROUND(E8*I8,2)),"")</f>
        <v>4600000</v>
      </c>
      <c r="N8" s="23" cm="1">
        <f t="array" ref="N8">IF(F8&gt;0,IF($D8&lt;=0,0,ROUND(F8*J8,2)),"")</f>
        <v>4600000</v>
      </c>
    </row>
    <row r="9" ht="20.5" customHeight="1">
      <c r="A9" s="95">
        <v>7</v>
      </c>
      <c r="B9" t="s" s="19">
        <v>115</v>
      </c>
      <c r="C9" s="24"/>
      <c r="D9" s="26">
        <v>1</v>
      </c>
      <c r="E9" s="26" cm="1">
        <f t="array" ref="E9">D9</f>
        <v>1</v>
      </c>
      <c r="F9" s="26" cm="1">
        <f t="array" ref="F9">D9</f>
        <v>1</v>
      </c>
      <c r="G9" t="s" s="27">
        <v>19</v>
      </c>
      <c r="H9" s="26" cm="1">
        <f t="array" ref="H9">ROUNDDOWN((F$30*0.15)*100/111,-2)</f>
        <v>13484300</v>
      </c>
      <c r="I9" s="26">
        <v>14000000</v>
      </c>
      <c r="J9" s="26">
        <v>14000000</v>
      </c>
      <c r="K9" s="26">
        <v>11</v>
      </c>
      <c r="L9" s="26" cm="1">
        <f t="array" ref="L9">IF(D9&gt;0,IF($D9&lt;=0,0,D9*H9),"")</f>
        <v>13484300</v>
      </c>
      <c r="M9" s="26" cm="1">
        <f t="array" ref="M9">IF(E9&gt;0,IF($D9&lt;=0,0,ROUND(E9*I9,2)),"")</f>
        <v>14000000</v>
      </c>
      <c r="N9" s="28" cm="1">
        <f t="array" ref="N9">IF(F9&gt;0,IF($D9&lt;=0,0,ROUND(F9*J9,2)),"")</f>
        <v>14000000</v>
      </c>
    </row>
    <row r="10" ht="20.6" customHeight="1">
      <c r="A10" s="33">
        <v>8</v>
      </c>
      <c r="B10" t="s" s="34">
        <v>37</v>
      </c>
      <c r="C10" s="35"/>
      <c r="D10" s="36">
        <v>1</v>
      </c>
      <c r="E10" s="36" cm="1">
        <f t="array" ref="E10">D10</f>
        <v>1</v>
      </c>
      <c r="F10" s="36" cm="1">
        <f t="array" ref="F10">D10</f>
        <v>1</v>
      </c>
      <c r="G10" t="s" s="37">
        <v>19</v>
      </c>
      <c r="H10" s="36">
        <v>215748.96</v>
      </c>
      <c r="I10" s="36">
        <v>215676</v>
      </c>
      <c r="J10" s="36">
        <v>215676</v>
      </c>
      <c r="K10" s="36">
        <v>0</v>
      </c>
      <c r="L10" s="36" cm="1">
        <f t="array" ref="L10">IF(D10&gt;0,IF($D10&lt;=0,0,D10*H10),"")</f>
        <v>215748.96</v>
      </c>
      <c r="M10" s="36" cm="1">
        <f t="array" ref="M10">IF(E10&gt;0,IF($D10&lt;=0,0,ROUND(E10*I10,2)),"")</f>
        <v>215676</v>
      </c>
      <c r="N10" s="38" cm="1">
        <f t="array" ref="N10">IF(F10&gt;0,IF($D10&lt;=0,0,ROUND(F10*J10,2)),"")</f>
        <v>215676</v>
      </c>
    </row>
    <row r="11" ht="8.75" customHeight="1" hidden="1">
      <c r="A11" s="39"/>
      <c r="B11" s="40"/>
      <c r="C11" s="41"/>
      <c r="D11" s="42"/>
      <c r="E11" s="42"/>
      <c r="F11" s="42"/>
      <c r="G11" s="43"/>
      <c r="H11" s="42"/>
      <c r="I11" s="42"/>
      <c r="J11" s="42"/>
      <c r="K11" s="42"/>
      <c r="L11" s="42"/>
      <c r="M11" s="42"/>
      <c r="N11" s="44"/>
    </row>
    <row r="12" ht="8.75" customHeight="1" hidden="1">
      <c r="A12" s="39"/>
      <c r="B12" s="40"/>
      <c r="C12" s="45"/>
      <c r="D12" s="46"/>
      <c r="E12" s="46"/>
      <c r="F12" s="46"/>
      <c r="G12" s="47"/>
      <c r="H12" s="46"/>
      <c r="I12" s="46"/>
      <c r="J12" s="46"/>
      <c r="K12" s="46"/>
      <c r="L12" s="46"/>
      <c r="M12" s="46"/>
      <c r="N12" s="48"/>
    </row>
    <row r="13" ht="8.75" customHeight="1" hidden="1">
      <c r="A13" s="39"/>
      <c r="B13" s="40"/>
      <c r="C13" s="41"/>
      <c r="D13" s="42"/>
      <c r="E13" s="42"/>
      <c r="F13" s="42"/>
      <c r="G13" s="43"/>
      <c r="H13" s="42"/>
      <c r="I13" s="42"/>
      <c r="J13" s="42"/>
      <c r="K13" s="42"/>
      <c r="L13" s="42"/>
      <c r="M13" s="42"/>
      <c r="N13" s="44"/>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2"/>
      <c r="I15" s="42"/>
      <c r="J15" s="42"/>
      <c r="K15" s="42"/>
      <c r="L15" s="42"/>
      <c r="M15" s="42"/>
      <c r="N15" s="44"/>
    </row>
    <row r="16" ht="8.75" customHeight="1" hidden="1">
      <c r="A16" s="39"/>
      <c r="B16" s="40"/>
      <c r="C16" s="45"/>
      <c r="D16" s="46"/>
      <c r="E16" s="46"/>
      <c r="F16" s="46"/>
      <c r="G16" s="47"/>
      <c r="H16" s="46"/>
      <c r="I16" s="46"/>
      <c r="J16" s="46"/>
      <c r="K16" s="46"/>
      <c r="L16" s="46"/>
      <c r="M16" s="46"/>
      <c r="N16" s="48"/>
    </row>
    <row r="17" ht="8.75" customHeight="1" hidden="1">
      <c r="A17" s="39"/>
      <c r="B17" s="40"/>
      <c r="C17" s="41"/>
      <c r="D17" s="42"/>
      <c r="E17" s="42"/>
      <c r="F17" s="42"/>
      <c r="G17" s="43"/>
      <c r="H17" s="43"/>
      <c r="I17" s="43"/>
      <c r="J17" s="43"/>
      <c r="K17" s="42"/>
      <c r="L17" s="43"/>
      <c r="M17" s="43"/>
      <c r="N17" s="49"/>
    </row>
    <row r="18" ht="8.75" customHeight="1" hidden="1">
      <c r="A18" s="39"/>
      <c r="B18" s="40"/>
      <c r="C18" s="45"/>
      <c r="D18" s="46"/>
      <c r="E18" s="46"/>
      <c r="F18" s="46"/>
      <c r="G18" s="47"/>
      <c r="H18" s="50"/>
      <c r="I18" s="50"/>
      <c r="J18" s="50"/>
      <c r="K18" s="46"/>
      <c r="L18" s="46"/>
      <c r="M18" s="46"/>
      <c r="N18" s="48"/>
    </row>
    <row r="19" ht="8.75" customHeight="1" hidden="1">
      <c r="A19" s="39"/>
      <c r="B19" s="40"/>
      <c r="C19" s="41"/>
      <c r="D19" s="42"/>
      <c r="E19" s="42"/>
      <c r="F19" s="42"/>
      <c r="G19" s="43"/>
      <c r="H19" s="43"/>
      <c r="I19" s="43"/>
      <c r="J19" s="43"/>
      <c r="K19" s="42"/>
      <c r="L19" s="43"/>
      <c r="M19" s="43"/>
      <c r="N19" s="49"/>
    </row>
    <row r="20" ht="8.75" customHeight="1" hidden="1">
      <c r="A20" s="39"/>
      <c r="B20" s="40"/>
      <c r="C20" s="45"/>
      <c r="D20" s="46"/>
      <c r="E20" s="46"/>
      <c r="F20" s="46"/>
      <c r="G20" s="47"/>
      <c r="H20" s="46"/>
      <c r="I20" s="46"/>
      <c r="J20" s="46"/>
      <c r="K20" s="46"/>
      <c r="L20" s="46"/>
      <c r="M20" s="46"/>
      <c r="N20" s="48"/>
    </row>
    <row r="21" ht="8.75" customHeight="1" hidden="1">
      <c r="A21" s="39"/>
      <c r="B21" s="40"/>
      <c r="C21" s="41"/>
      <c r="D21" s="42"/>
      <c r="E21" s="42"/>
      <c r="F21" s="42"/>
      <c r="G21" s="43"/>
      <c r="H21" s="42"/>
      <c r="I21" s="42"/>
      <c r="J21" s="42"/>
      <c r="K21" s="42"/>
      <c r="L21" s="42"/>
      <c r="M21" s="42"/>
      <c r="N21" s="44"/>
    </row>
    <row r="22" ht="8.75" customHeight="1" hidden="1">
      <c r="A22" s="51"/>
      <c r="B22" s="40"/>
      <c r="C22" s="45"/>
      <c r="D22" s="46"/>
      <c r="E22" s="46"/>
      <c r="F22" s="46"/>
      <c r="G22" s="47"/>
      <c r="H22" s="46"/>
      <c r="I22" s="46"/>
      <c r="J22" s="46"/>
      <c r="K22" s="46"/>
      <c r="L22" s="46"/>
      <c r="M22" s="46"/>
      <c r="N22" s="48"/>
    </row>
    <row r="23" ht="8.75" customHeight="1" hidden="1">
      <c r="A23" s="51"/>
      <c r="B23" s="40"/>
      <c r="C23" s="41"/>
      <c r="D23" s="42"/>
      <c r="E23" s="42"/>
      <c r="F23" s="42"/>
      <c r="G23" s="43"/>
      <c r="H23" s="42"/>
      <c r="I23" s="42"/>
      <c r="J23" s="42"/>
      <c r="K23" s="42"/>
      <c r="L23" s="42"/>
      <c r="M23" s="42"/>
      <c r="N23" s="44"/>
    </row>
    <row r="24" ht="8.75" customHeight="1" hidden="1">
      <c r="A24" s="39"/>
      <c r="B24" s="40"/>
      <c r="C24" s="45"/>
      <c r="D24" s="46"/>
      <c r="E24" s="46"/>
      <c r="F24" s="46"/>
      <c r="G24" s="47"/>
      <c r="H24" s="46"/>
      <c r="I24" s="46"/>
      <c r="J24" s="46"/>
      <c r="K24" s="46"/>
      <c r="L24" s="47"/>
      <c r="M24" s="47"/>
      <c r="N24" s="52"/>
    </row>
    <row r="25" ht="8.75" customHeight="1" hidden="1">
      <c r="A25" s="39"/>
      <c r="B25" s="40"/>
      <c r="C25" s="41"/>
      <c r="D25" s="42"/>
      <c r="E25" s="42"/>
      <c r="F25" s="42"/>
      <c r="G25" s="43"/>
      <c r="H25" s="42"/>
      <c r="I25" s="42"/>
      <c r="J25" s="42"/>
      <c r="K25" s="42"/>
      <c r="L25" s="42"/>
      <c r="M25" s="42"/>
      <c r="N25" s="44"/>
    </row>
    <row r="26" ht="8.75" customHeight="1" hidden="1">
      <c r="A26" s="39"/>
      <c r="B26" s="40"/>
      <c r="C26" s="45"/>
      <c r="D26" s="46"/>
      <c r="E26" s="46"/>
      <c r="F26" s="46"/>
      <c r="G26" s="47"/>
      <c r="H26" s="46"/>
      <c r="I26" s="46"/>
      <c r="J26" s="46"/>
      <c r="K26" s="46"/>
      <c r="L26" s="47"/>
      <c r="M26" s="47"/>
      <c r="N26" s="52"/>
    </row>
    <row r="27" ht="20.85" customHeight="1">
      <c r="A27" s="108"/>
      <c r="B27" s="54"/>
      <c r="C27" s="54"/>
      <c r="D27" s="55"/>
      <c r="E27" s="55"/>
      <c r="F27" s="55"/>
      <c r="G27" s="56"/>
      <c r="H27" s="56"/>
      <c r="I27" s="54"/>
      <c r="J27" s="57"/>
      <c r="K27" t="s" s="58">
        <v>38</v>
      </c>
      <c r="L27" s="59" cm="1">
        <f t="array" ref="L27">SUM(L1:L26)</f>
        <v>90111148.95999999</v>
      </c>
      <c r="M27" s="59" cm="1">
        <f t="array" ref="M27">SUM(M1:M26)</f>
        <v>90080676</v>
      </c>
      <c r="N27" s="59" cm="1">
        <f t="array" ref="N27">SUM(N1:N26)</f>
        <v>90080676</v>
      </c>
    </row>
    <row r="28" ht="21" customHeight="1">
      <c r="A28" s="63" cm="1">
        <f t="array" ref="A28">ROUND(IF(I28&lt;=100000000,I28*0.24%,IF(AND(I28&gt;100000000,I28&lt;=500000000),100000000*0.24%+(I28-100000000)*0.19%,IF(AND(I28&gt;500000000,I28&lt;=1000000000),100000000*0.24%+400000000*0.19%+(I28-500000000)*0.15%,IF(AND(I28&gt;1000000000,I28&lt;=5000000000),100000000*0.24%+400000000*0.19%+500000000*0.15%+(I28-1000000000)*0.12%,IF(I28&gt;5000000000,100000000*0.24%+400000000*0.19%+500000000*0.15%+4000000000*0.12%+(I28-5000000000)*0.1%,"Bingung komputer"))))),2)</f>
        <v>0</v>
      </c>
      <c r="B28" t="s" s="109">
        <v>39</v>
      </c>
      <c r="C28" s="62"/>
      <c r="D28" s="63" cm="1">
        <f t="array" ref="D28">ROUND(IF(L28&lt;=100000000,L28*0.24%,IF(AND(L28&gt;100000000,L28&lt;=500000000),100000000*0.24%+(L28-100000000)*0.19%,IF(AND(L28&gt;500000000,L28&lt;=1000000000),100000000*0.24%+400000000*0.19%+(L28-500000000)*0.15%,IF(AND(L28&gt;1000000000,L28&lt;=5000000000),100000000*0.24%+400000000*0.19%+500000000*0.15%+(L28-1000000000)*0.12%,IF(L28&gt;5000000000,100000000*0.24%+400000000*0.19%+500000000*0.15%+4000000000*0.12%+(L28-5000000000)*0.1%,"Bingung komputer"))))),2)</f>
        <v>215748.96</v>
      </c>
      <c r="E28" s="64" cm="1">
        <f t="array" ref="E28">ROUND(IF(M28&lt;=100000000,M28*0.24%,IF(AND(M28&gt;100000000,M28&lt;=500000000),100000000*0.24%+(M28-100000000)*0.19%,IF(AND(M28&gt;500000000,M28&lt;=1000000000),100000000*0.24%+400000000*0.19%+(M28-500000000)*0.15%,IF(AND(M28&gt;1000000000,M28&lt;=5000000000),100000000*0.24%+400000000*0.19%+500000000*0.15%+(M28-1000000000)*0.12%,IF(M28&gt;5000000000,100000000*0.24%+400000000*0.19%+500000000*0.15%+4000000000*0.12%+(M28-5000000000)*0.1%,"Bingung komputer"))))),2)</f>
        <v>215676</v>
      </c>
      <c r="F28" s="64" cm="1">
        <f t="array" ref="F28">ROUND(IF(N28&lt;=100000000,N28*0.24%,IF(AND(N28&gt;100000000,N28&lt;=500000000),100000000*0.24%+(N28-100000000)*0.19%,IF(AND(N28&gt;500000000,N28&lt;=1000000000),100000000*0.24%+400000000*0.19%+(N28-500000000)*0.15%,IF(AND(N28&gt;1000000000,N28&lt;=5000000000),100000000*0.24%+400000000*0.19%+500000000*0.15%+(N28-1000000000)*0.12%,IF(N28&gt;5000000000,100000000*0.24%+400000000*0.19%+500000000*0.15%+4000000000*0.12%+(N28-5000000000)*0.1%,"Bingung komputer"))))),2)</f>
        <v>215676</v>
      </c>
      <c r="G28" s="65"/>
      <c r="H28" s="66"/>
      <c r="I28" s="68"/>
      <c r="J28" s="67"/>
      <c r="K28" t="str" s="67" cm="1">
        <f t="array" ref="K28">"Jumlah Terkena Pajak "&amp;MAX(K3:K26)&amp;"% (B)"</f>
        <v>Jumlah Terkena Pajak 11,00% (B)</v>
      </c>
      <c r="L28" s="68" cm="1">
        <f t="array" ref="L28">SUMIF($K3:$K26,"&gt;0",L3:L26)</f>
        <v>89895400</v>
      </c>
      <c r="M28" s="69" cm="1">
        <f t="array" ref="M28">SUMIF($K3:$K26,"&gt;0",M3:M26)</f>
        <v>89865000</v>
      </c>
      <c r="N28" s="69" cm="1">
        <f t="array" ref="N28">SUMIF($K3:$K26,"&gt;0",N3:N26)</f>
        <v>89865000</v>
      </c>
    </row>
    <row r="29" ht="21" customHeight="1">
      <c r="A29" s="70"/>
      <c r="B29" s="71"/>
      <c r="C29" s="71"/>
      <c r="D29" s="72"/>
      <c r="E29" s="72"/>
      <c r="F29" s="71"/>
      <c r="G29" s="72"/>
      <c r="H29" s="72"/>
      <c r="I29" s="74"/>
      <c r="J29" s="73"/>
      <c r="K29" t="str" s="73" cm="1">
        <f t="array" ref="K29">"PPN (C) = "&amp;MAX(K3:K26)&amp;"% x B"</f>
        <v>PPN (C) = 11,00% x B</v>
      </c>
      <c r="L29" s="74" cm="1">
        <f t="array" ref="L29">L28*MAX($K3:$K26)%</f>
        <v>9888494</v>
      </c>
      <c r="M29" s="69" cm="1">
        <f t="array" ref="M29">M28*MAX($K3:$K26)%</f>
        <v>9885150</v>
      </c>
      <c r="N29" s="69" cm="1">
        <f t="array" ref="N29">N28*MAX($K3:$K26)%</f>
        <v>9885150</v>
      </c>
    </row>
    <row r="30" ht="21" customHeight="1">
      <c r="A30" s="70"/>
      <c r="B30" s="71"/>
      <c r="C30" s="71"/>
      <c r="D30" t="s" s="110">
        <v>116</v>
      </c>
      <c r="E30" s="112">
        <v>100000000</v>
      </c>
      <c r="F30" s="112">
        <v>99784500</v>
      </c>
      <c r="G30" s="72"/>
      <c r="H30" s="72"/>
      <c r="I30" s="71"/>
      <c r="J30" s="73"/>
      <c r="K30" t="s" s="75">
        <v>42</v>
      </c>
      <c r="L30" s="76" cm="1">
        <f t="array" ref="L30">L27+L29</f>
        <v>99999642.95999999</v>
      </c>
      <c r="M30" s="69" cm="1">
        <f t="array" ref="M30">M27+M29</f>
        <v>99965826</v>
      </c>
      <c r="N30" s="69" cm="1">
        <f t="array" ref="N30">N27+N29</f>
        <v>99965826</v>
      </c>
    </row>
    <row r="31" ht="20.5" customHeight="1">
      <c r="A31" s="70"/>
      <c r="B31" s="71"/>
      <c r="C31" s="71"/>
      <c r="D31" s="72"/>
      <c r="E31" s="72" cm="1">
        <f t="array" ref="E31">E$30-L$31</f>
        <v>357.04</v>
      </c>
      <c r="F31" s="113" cm="1">
        <f t="array" ref="F31">ROUNDDOWN(E$30-D$28,2)</f>
        <v>99784251.04000001</v>
      </c>
      <c r="G31" s="72"/>
      <c r="H31" s="72"/>
      <c r="I31" s="71"/>
      <c r="J31" s="73"/>
      <c r="K31" t="s" s="75">
        <v>43</v>
      </c>
      <c r="L31" s="68" cm="1">
        <f t="array" ref="L31">ROUNDDOWN(L30,2)</f>
        <v>99999642.95999999</v>
      </c>
      <c r="M31" s="68" cm="1">
        <f t="array" ref="M31">ROUNDDOWN(M30,2)</f>
        <v>99965826</v>
      </c>
      <c r="N31" s="68" cm="1">
        <f t="array" ref="N31">ROUNDDOWN(N30,-3)</f>
        <v>99965000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36.xml><?xml version="1.0" encoding="utf-8"?>
<worksheet xmlns:r="http://schemas.openxmlformats.org/officeDocument/2006/relationships" xmlns="http://schemas.openxmlformats.org/spreadsheetml/2006/main">
  <sheetPr>
    <pageSetUpPr fitToPage="1"/>
  </sheetPr>
  <dimension ref="A1:N31"/>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331" customWidth="1"/>
    <col min="2" max="2" width="43.0312" style="331" customWidth="1"/>
    <col min="3" max="3" width="2.75" style="331" customWidth="1"/>
    <col min="4" max="6" width="10.3672" style="331" customWidth="1"/>
    <col min="7" max="7" width="11.6875" style="331" customWidth="1"/>
    <col min="8" max="11" width="13.5156" style="331" customWidth="1"/>
    <col min="12" max="14" width="14.2344" style="331" customWidth="1"/>
    <col min="15" max="16384" width="16.3516" style="331"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109</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s="95">
        <v>1</v>
      </c>
      <c r="B4" t="s" s="19">
        <v>110</v>
      </c>
      <c r="C4" s="20"/>
      <c r="D4" s="21">
        <v>1</v>
      </c>
      <c r="E4" s="21" cm="1">
        <f t="array" ref="E4">D4</f>
        <v>1</v>
      </c>
      <c r="F4" s="21" cm="1">
        <f t="array" ref="F4">D4</f>
        <v>1</v>
      </c>
      <c r="G4" t="s" s="22">
        <v>19</v>
      </c>
      <c r="H4" s="21" cm="1">
        <f t="array" ref="H4">ROUNDDOWN((F$30*0.1)*100/111,-2)</f>
        <v>8989500</v>
      </c>
      <c r="I4" s="21">
        <v>8990000</v>
      </c>
      <c r="J4" s="21">
        <v>8990000</v>
      </c>
      <c r="K4" s="21">
        <v>11</v>
      </c>
      <c r="L4" s="21" cm="1">
        <f t="array" ref="L4">IF(D4&gt;0,IF($D4&lt;=0,0,D4*H4),"")</f>
        <v>8989500</v>
      </c>
      <c r="M4" s="21" cm="1">
        <f t="array" ref="M4">IF(E4&gt;0,IF($D4&lt;=0,0,ROUND(E4*I4,2)),"")</f>
        <v>8990000</v>
      </c>
      <c r="N4" s="23" cm="1">
        <f t="array" ref="N4">IF(F4&gt;0,IF($D4&lt;=0,0,ROUND(F4*J4,2)),"")</f>
        <v>8990000</v>
      </c>
    </row>
    <row r="5" ht="20.5" customHeight="1">
      <c r="A5" s="95">
        <v>2</v>
      </c>
      <c r="B5" t="s" s="19">
        <v>111</v>
      </c>
      <c r="C5" s="24"/>
      <c r="D5" s="26">
        <v>1</v>
      </c>
      <c r="E5" s="26" cm="1">
        <f t="array" ref="E5">D5</f>
        <v>1</v>
      </c>
      <c r="F5" s="26" cm="1">
        <f t="array" ref="F5">D5</f>
        <v>1</v>
      </c>
      <c r="G5" t="s" s="27">
        <v>19</v>
      </c>
      <c r="H5" s="26" cm="1">
        <f t="array" ref="H5">ROUNDDOWN((F$30*0.2)*100/111,-2)</f>
        <v>17979100</v>
      </c>
      <c r="I5" s="26">
        <v>17980000</v>
      </c>
      <c r="J5" s="26">
        <v>17980000</v>
      </c>
      <c r="K5" s="26">
        <v>11</v>
      </c>
      <c r="L5" s="26" cm="1">
        <f t="array" ref="L5">IF(D5&gt;0,IF($D5&lt;=0,0,D5*H5),"")</f>
        <v>17979100</v>
      </c>
      <c r="M5" s="26" cm="1">
        <f t="array" ref="M5">IF(E5&gt;0,IF($D5&lt;=0,0,ROUND(E5*I5,2)),"")</f>
        <v>17980000</v>
      </c>
      <c r="N5" s="28" cm="1">
        <f t="array" ref="N5">IF(F5&gt;0,IF($D5&lt;=0,0,ROUND(F5*J5,2)),"")</f>
        <v>17980000</v>
      </c>
    </row>
    <row r="6" ht="20.5" customHeight="1">
      <c r="A6" s="95">
        <v>3</v>
      </c>
      <c r="B6" t="s" s="19">
        <v>112</v>
      </c>
      <c r="C6" s="20"/>
      <c r="D6" s="21">
        <v>1</v>
      </c>
      <c r="E6" s="21" cm="1">
        <f t="array" ref="E6">D6</f>
        <v>1</v>
      </c>
      <c r="F6" s="21" cm="1">
        <f t="array" ref="F6">D6</f>
        <v>1</v>
      </c>
      <c r="G6" t="s" s="22">
        <v>19</v>
      </c>
      <c r="H6" s="21" cm="1">
        <f t="array" ref="H6">ROUNDDOWN((F$30*0.25)*100/111,-2)</f>
        <v>22473900</v>
      </c>
      <c r="I6" s="21">
        <v>22470000</v>
      </c>
      <c r="J6" s="21">
        <v>22470000</v>
      </c>
      <c r="K6" s="21">
        <v>11</v>
      </c>
      <c r="L6" s="21" cm="1">
        <f t="array" ref="L6">IF(D6&gt;0,IF($D6&lt;=0,0,D6*H6),"")</f>
        <v>22473900</v>
      </c>
      <c r="M6" s="21" cm="1">
        <f t="array" ref="M6">IF(E6&gt;0,IF($D6&lt;=0,0,ROUND(E6*I6,2)),"")</f>
        <v>22470000</v>
      </c>
      <c r="N6" s="23" cm="1">
        <f t="array" ref="N6">IF(F6&gt;0,IF($D6&lt;=0,0,ROUND(F6*J6,2)),"")</f>
        <v>22470000</v>
      </c>
    </row>
    <row r="7" ht="68.5" customHeight="1">
      <c r="A7" s="95">
        <v>5</v>
      </c>
      <c r="B7" t="s" s="19">
        <v>113</v>
      </c>
      <c r="C7" s="24"/>
      <c r="D7" s="26">
        <v>1</v>
      </c>
      <c r="E7" s="26" cm="1">
        <f t="array" ref="E7">D7</f>
        <v>1</v>
      </c>
      <c r="F7" s="26" cm="1">
        <f t="array" ref="F7">D7</f>
        <v>1</v>
      </c>
      <c r="G7" t="s" s="27">
        <v>19</v>
      </c>
      <c r="H7" s="26" cm="1">
        <f t="array" ref="H7">ROUNDDOWN((F$30*0.25)*100/111,-2)</f>
        <v>22473900</v>
      </c>
      <c r="I7" s="26">
        <v>22470000</v>
      </c>
      <c r="J7" s="26">
        <v>22470000</v>
      </c>
      <c r="K7" s="26">
        <v>11</v>
      </c>
      <c r="L7" s="26" cm="1">
        <f t="array" ref="L7">IF(D7&gt;0,IF($D7&lt;=0,0,D7*H7),"")</f>
        <v>22473900</v>
      </c>
      <c r="M7" s="26" cm="1">
        <f t="array" ref="M7">IF(E7&gt;0,IF($D7&lt;=0,0,ROUND(E7*I7,2)),"")</f>
        <v>22470000</v>
      </c>
      <c r="N7" s="28" cm="1">
        <f t="array" ref="N7">IF(F7&gt;0,IF($D7&lt;=0,0,ROUND(F7*J7,2)),"")</f>
        <v>22470000</v>
      </c>
    </row>
    <row r="8" ht="32.5" customHeight="1">
      <c r="A8" s="95">
        <v>6</v>
      </c>
      <c r="B8" t="s" s="19">
        <v>114</v>
      </c>
      <c r="C8" s="20"/>
      <c r="D8" s="21">
        <v>1</v>
      </c>
      <c r="E8" s="21" cm="1">
        <f t="array" ref="E8">D8</f>
        <v>1</v>
      </c>
      <c r="F8" s="21" cm="1">
        <f t="array" ref="F8">D8</f>
        <v>1</v>
      </c>
      <c r="G8" t="s" s="22">
        <v>19</v>
      </c>
      <c r="H8" s="21" cm="1">
        <f t="array" ref="H8">ROUNDDOWN((F$30*0.05)*100/111,-2)</f>
        <v>4494700</v>
      </c>
      <c r="I8" s="21">
        <v>4490000</v>
      </c>
      <c r="J8" s="21">
        <v>4490000</v>
      </c>
      <c r="K8" s="21">
        <v>11</v>
      </c>
      <c r="L8" s="21" cm="1">
        <f t="array" ref="L8">IF(D8&gt;0,IF($D8&lt;=0,0,D8*H8),"")</f>
        <v>4494700</v>
      </c>
      <c r="M8" s="21" cm="1">
        <f t="array" ref="M8">IF(E8&gt;0,IF($D8&lt;=0,0,ROUND(E8*I8,2)),"")</f>
        <v>4490000</v>
      </c>
      <c r="N8" s="23" cm="1">
        <f t="array" ref="N8">IF(F8&gt;0,IF($D8&lt;=0,0,ROUND(F8*J8,2)),"")</f>
        <v>4490000</v>
      </c>
    </row>
    <row r="9" ht="20.5" customHeight="1">
      <c r="A9" s="95">
        <v>7</v>
      </c>
      <c r="B9" t="s" s="19">
        <v>115</v>
      </c>
      <c r="C9" s="24"/>
      <c r="D9" s="26">
        <v>1</v>
      </c>
      <c r="E9" s="26" cm="1">
        <f t="array" ref="E9">D9</f>
        <v>1</v>
      </c>
      <c r="F9" s="26" cm="1">
        <f t="array" ref="F9">D9</f>
        <v>1</v>
      </c>
      <c r="G9" t="s" s="27">
        <v>19</v>
      </c>
      <c r="H9" s="26" cm="1">
        <f t="array" ref="H9">ROUNDDOWN((F$30*0.15)*100/111,-2)</f>
        <v>13484300</v>
      </c>
      <c r="I9" s="26">
        <v>13440000</v>
      </c>
      <c r="J9" s="26">
        <v>13440000</v>
      </c>
      <c r="K9" s="26">
        <v>11</v>
      </c>
      <c r="L9" s="26" cm="1">
        <f t="array" ref="L9">IF(D9&gt;0,IF($D9&lt;=0,0,D9*H9),"")</f>
        <v>13484300</v>
      </c>
      <c r="M9" s="26" cm="1">
        <f t="array" ref="M9">IF(E9&gt;0,IF($D9&lt;=0,0,ROUND(E9*I9,2)),"")</f>
        <v>13440000</v>
      </c>
      <c r="N9" s="28" cm="1">
        <f t="array" ref="N9">IF(F9&gt;0,IF($D9&lt;=0,0,ROUND(F9*J9,2)),"")</f>
        <v>13440000</v>
      </c>
    </row>
    <row r="10" ht="20.6" customHeight="1">
      <c r="A10" s="33">
        <v>8</v>
      </c>
      <c r="B10" t="s" s="34">
        <v>37</v>
      </c>
      <c r="C10" s="35"/>
      <c r="D10" s="36">
        <v>1</v>
      </c>
      <c r="E10" s="36" cm="1">
        <f t="array" ref="E10">D10</f>
        <v>1</v>
      </c>
      <c r="F10" s="36" cm="1">
        <f t="array" ref="F10">D10</f>
        <v>1</v>
      </c>
      <c r="G10" t="s" s="37">
        <v>19</v>
      </c>
      <c r="H10" s="36">
        <v>215748.96</v>
      </c>
      <c r="I10" s="36">
        <v>215616</v>
      </c>
      <c r="J10" s="36">
        <v>215616</v>
      </c>
      <c r="K10" s="36">
        <v>0</v>
      </c>
      <c r="L10" s="36" cm="1">
        <f t="array" ref="L10">IF(D10&gt;0,IF($D10&lt;=0,0,D10*H10),"")</f>
        <v>215748.96</v>
      </c>
      <c r="M10" s="36" cm="1">
        <f t="array" ref="M10">IF(E10&gt;0,IF($D10&lt;=0,0,ROUND(E10*I10,2)),"")</f>
        <v>215616</v>
      </c>
      <c r="N10" s="38" cm="1">
        <f t="array" ref="N10">IF(F10&gt;0,IF($D10&lt;=0,0,ROUND(F10*J10,2)),"")</f>
        <v>215616</v>
      </c>
    </row>
    <row r="11" ht="8.75" customHeight="1" hidden="1">
      <c r="A11" s="39"/>
      <c r="B11" s="40"/>
      <c r="C11" s="41"/>
      <c r="D11" s="42"/>
      <c r="E11" s="42"/>
      <c r="F11" s="42"/>
      <c r="G11" s="43"/>
      <c r="H11" s="42"/>
      <c r="I11" s="42"/>
      <c r="J11" s="42"/>
      <c r="K11" s="42"/>
      <c r="L11" s="42"/>
      <c r="M11" s="42"/>
      <c r="N11" s="44"/>
    </row>
    <row r="12" ht="8.75" customHeight="1" hidden="1">
      <c r="A12" s="39"/>
      <c r="B12" s="40"/>
      <c r="C12" s="45"/>
      <c r="D12" s="46"/>
      <c r="E12" s="46"/>
      <c r="F12" s="46"/>
      <c r="G12" s="47"/>
      <c r="H12" s="46"/>
      <c r="I12" s="46"/>
      <c r="J12" s="46"/>
      <c r="K12" s="46"/>
      <c r="L12" s="46"/>
      <c r="M12" s="46"/>
      <c r="N12" s="48"/>
    </row>
    <row r="13" ht="8.75" customHeight="1" hidden="1">
      <c r="A13" s="39"/>
      <c r="B13" s="40"/>
      <c r="C13" s="41"/>
      <c r="D13" s="42"/>
      <c r="E13" s="42"/>
      <c r="F13" s="42"/>
      <c r="G13" s="43"/>
      <c r="H13" s="42"/>
      <c r="I13" s="42"/>
      <c r="J13" s="42"/>
      <c r="K13" s="42"/>
      <c r="L13" s="42"/>
      <c r="M13" s="42"/>
      <c r="N13" s="44"/>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2"/>
      <c r="I15" s="42"/>
      <c r="J15" s="42"/>
      <c r="K15" s="42"/>
      <c r="L15" s="42"/>
      <c r="M15" s="42"/>
      <c r="N15" s="44"/>
    </row>
    <row r="16" ht="8.75" customHeight="1" hidden="1">
      <c r="A16" s="39"/>
      <c r="B16" s="40"/>
      <c r="C16" s="45"/>
      <c r="D16" s="46"/>
      <c r="E16" s="46"/>
      <c r="F16" s="46"/>
      <c r="G16" s="47"/>
      <c r="H16" s="46"/>
      <c r="I16" s="46"/>
      <c r="J16" s="46"/>
      <c r="K16" s="46"/>
      <c r="L16" s="46"/>
      <c r="M16" s="46"/>
      <c r="N16" s="48"/>
    </row>
    <row r="17" ht="8.75" customHeight="1" hidden="1">
      <c r="A17" s="39"/>
      <c r="B17" s="40"/>
      <c r="C17" s="41"/>
      <c r="D17" s="42"/>
      <c r="E17" s="42"/>
      <c r="F17" s="42"/>
      <c r="G17" s="43"/>
      <c r="H17" s="43"/>
      <c r="I17" s="43"/>
      <c r="J17" s="43"/>
      <c r="K17" s="42"/>
      <c r="L17" s="43"/>
      <c r="M17" s="43"/>
      <c r="N17" s="49"/>
    </row>
    <row r="18" ht="8.75" customHeight="1" hidden="1">
      <c r="A18" s="39"/>
      <c r="B18" s="40"/>
      <c r="C18" s="45"/>
      <c r="D18" s="46"/>
      <c r="E18" s="46"/>
      <c r="F18" s="46"/>
      <c r="G18" s="47"/>
      <c r="H18" s="50"/>
      <c r="I18" s="50"/>
      <c r="J18" s="50"/>
      <c r="K18" s="46"/>
      <c r="L18" s="46"/>
      <c r="M18" s="46"/>
      <c r="N18" s="48"/>
    </row>
    <row r="19" ht="8.75" customHeight="1" hidden="1">
      <c r="A19" s="39"/>
      <c r="B19" s="40"/>
      <c r="C19" s="41"/>
      <c r="D19" s="42"/>
      <c r="E19" s="42"/>
      <c r="F19" s="42"/>
      <c r="G19" s="43"/>
      <c r="H19" s="43"/>
      <c r="I19" s="43"/>
      <c r="J19" s="43"/>
      <c r="K19" s="42"/>
      <c r="L19" s="43"/>
      <c r="M19" s="43"/>
      <c r="N19" s="49"/>
    </row>
    <row r="20" ht="8.75" customHeight="1" hidden="1">
      <c r="A20" s="39"/>
      <c r="B20" s="40"/>
      <c r="C20" s="45"/>
      <c r="D20" s="46"/>
      <c r="E20" s="46"/>
      <c r="F20" s="46"/>
      <c r="G20" s="47"/>
      <c r="H20" s="46"/>
      <c r="I20" s="46"/>
      <c r="J20" s="46"/>
      <c r="K20" s="46"/>
      <c r="L20" s="46"/>
      <c r="M20" s="46"/>
      <c r="N20" s="48"/>
    </row>
    <row r="21" ht="8.75" customHeight="1" hidden="1">
      <c r="A21" s="39"/>
      <c r="B21" s="40"/>
      <c r="C21" s="41"/>
      <c r="D21" s="42"/>
      <c r="E21" s="42"/>
      <c r="F21" s="42"/>
      <c r="G21" s="43"/>
      <c r="H21" s="42"/>
      <c r="I21" s="42"/>
      <c r="J21" s="42"/>
      <c r="K21" s="42"/>
      <c r="L21" s="42"/>
      <c r="M21" s="42"/>
      <c r="N21" s="44"/>
    </row>
    <row r="22" ht="8.75" customHeight="1" hidden="1">
      <c r="A22" s="51"/>
      <c r="B22" s="40"/>
      <c r="C22" s="45"/>
      <c r="D22" s="46"/>
      <c r="E22" s="46"/>
      <c r="F22" s="46"/>
      <c r="G22" s="47"/>
      <c r="H22" s="46"/>
      <c r="I22" s="46"/>
      <c r="J22" s="46"/>
      <c r="K22" s="46"/>
      <c r="L22" s="46"/>
      <c r="M22" s="46"/>
      <c r="N22" s="48"/>
    </row>
    <row r="23" ht="8.75" customHeight="1" hidden="1">
      <c r="A23" s="51"/>
      <c r="B23" s="40"/>
      <c r="C23" s="41"/>
      <c r="D23" s="42"/>
      <c r="E23" s="42"/>
      <c r="F23" s="42"/>
      <c r="G23" s="43"/>
      <c r="H23" s="42"/>
      <c r="I23" s="42"/>
      <c r="J23" s="42"/>
      <c r="K23" s="42"/>
      <c r="L23" s="42"/>
      <c r="M23" s="42"/>
      <c r="N23" s="44"/>
    </row>
    <row r="24" ht="8.75" customHeight="1" hidden="1">
      <c r="A24" s="39"/>
      <c r="B24" s="40"/>
      <c r="C24" s="45"/>
      <c r="D24" s="46"/>
      <c r="E24" s="46"/>
      <c r="F24" s="46"/>
      <c r="G24" s="47"/>
      <c r="H24" s="46"/>
      <c r="I24" s="46"/>
      <c r="J24" s="46"/>
      <c r="K24" s="46"/>
      <c r="L24" s="47"/>
      <c r="M24" s="47"/>
      <c r="N24" s="52"/>
    </row>
    <row r="25" ht="8.75" customHeight="1" hidden="1">
      <c r="A25" s="39"/>
      <c r="B25" s="40"/>
      <c r="C25" s="41"/>
      <c r="D25" s="42"/>
      <c r="E25" s="42"/>
      <c r="F25" s="42"/>
      <c r="G25" s="43"/>
      <c r="H25" s="42"/>
      <c r="I25" s="42"/>
      <c r="J25" s="42"/>
      <c r="K25" s="42"/>
      <c r="L25" s="42"/>
      <c r="M25" s="42"/>
      <c r="N25" s="44"/>
    </row>
    <row r="26" ht="8.75" customHeight="1" hidden="1">
      <c r="A26" s="39"/>
      <c r="B26" s="40"/>
      <c r="C26" s="45"/>
      <c r="D26" s="46"/>
      <c r="E26" s="46"/>
      <c r="F26" s="46"/>
      <c r="G26" s="47"/>
      <c r="H26" s="46"/>
      <c r="I26" s="46"/>
      <c r="J26" s="46"/>
      <c r="K26" s="46"/>
      <c r="L26" s="47"/>
      <c r="M26" s="47"/>
      <c r="N26" s="52"/>
    </row>
    <row r="27" ht="20.85" customHeight="1">
      <c r="A27" s="108"/>
      <c r="B27" s="54"/>
      <c r="C27" s="54"/>
      <c r="D27" s="55"/>
      <c r="E27" s="55"/>
      <c r="F27" s="55"/>
      <c r="G27" s="56"/>
      <c r="H27" s="56"/>
      <c r="I27" s="54"/>
      <c r="J27" s="57"/>
      <c r="K27" t="s" s="58">
        <v>38</v>
      </c>
      <c r="L27" s="59" cm="1">
        <f t="array" ref="L27">SUM(L1:L26)</f>
        <v>90111148.95999999</v>
      </c>
      <c r="M27" s="59" cm="1">
        <f t="array" ref="M27">SUM(M1:M26)</f>
        <v>90055616</v>
      </c>
      <c r="N27" s="59" cm="1">
        <f t="array" ref="N27">SUM(N1:N26)</f>
        <v>90055616</v>
      </c>
    </row>
    <row r="28" ht="21" customHeight="1">
      <c r="A28" s="63" cm="1">
        <f t="array" ref="A28">ROUND(IF(I28&lt;=100000000,I28*0.24%,IF(AND(I28&gt;100000000,I28&lt;=500000000),100000000*0.24%+(I28-100000000)*0.19%,IF(AND(I28&gt;500000000,I28&lt;=1000000000),100000000*0.24%+400000000*0.19%+(I28-500000000)*0.15%,IF(AND(I28&gt;1000000000,I28&lt;=5000000000),100000000*0.24%+400000000*0.19%+500000000*0.15%+(I28-1000000000)*0.12%,IF(I28&gt;5000000000,100000000*0.24%+400000000*0.19%+500000000*0.15%+4000000000*0.12%+(I28-5000000000)*0.1%,"Bingung komputer"))))),2)</f>
        <v>0</v>
      </c>
      <c r="B28" t="s" s="109">
        <v>39</v>
      </c>
      <c r="C28" s="62"/>
      <c r="D28" s="63" cm="1">
        <f t="array" ref="D28">ROUND(IF(L28&lt;=100000000,L28*0.24%,IF(AND(L28&gt;100000000,L28&lt;=500000000),100000000*0.24%+(L28-100000000)*0.19%,IF(AND(L28&gt;500000000,L28&lt;=1000000000),100000000*0.24%+400000000*0.19%+(L28-500000000)*0.15%,IF(AND(L28&gt;1000000000,L28&lt;=5000000000),100000000*0.24%+400000000*0.19%+500000000*0.15%+(L28-1000000000)*0.12%,IF(L28&gt;5000000000,100000000*0.24%+400000000*0.19%+500000000*0.15%+4000000000*0.12%+(L28-5000000000)*0.1%,"Bingung komputer"))))),2)</f>
        <v>215748.96</v>
      </c>
      <c r="E28" s="64" cm="1">
        <f t="array" ref="E28">ROUND(IF(M28&lt;=100000000,M28*0.24%,IF(AND(M28&gt;100000000,M28&lt;=500000000),100000000*0.24%+(M28-100000000)*0.19%,IF(AND(M28&gt;500000000,M28&lt;=1000000000),100000000*0.24%+400000000*0.19%+(M28-500000000)*0.15%,IF(AND(M28&gt;1000000000,M28&lt;=5000000000),100000000*0.24%+400000000*0.19%+500000000*0.15%+(M28-1000000000)*0.12%,IF(M28&gt;5000000000,100000000*0.24%+400000000*0.19%+500000000*0.15%+4000000000*0.12%+(M28-5000000000)*0.1%,"Bingung komputer"))))),2)</f>
        <v>215616</v>
      </c>
      <c r="F28" s="64" cm="1">
        <f t="array" ref="F28">ROUND(IF(N28&lt;=100000000,N28*0.24%,IF(AND(N28&gt;100000000,N28&lt;=500000000),100000000*0.24%+(N28-100000000)*0.19%,IF(AND(N28&gt;500000000,N28&lt;=1000000000),100000000*0.24%+400000000*0.19%+(N28-500000000)*0.15%,IF(AND(N28&gt;1000000000,N28&lt;=5000000000),100000000*0.24%+400000000*0.19%+500000000*0.15%+(N28-1000000000)*0.12%,IF(N28&gt;5000000000,100000000*0.24%+400000000*0.19%+500000000*0.15%+4000000000*0.12%+(N28-5000000000)*0.1%,"Bingung komputer"))))),2)</f>
        <v>215616</v>
      </c>
      <c r="G28" s="65"/>
      <c r="H28" s="66"/>
      <c r="I28" s="68"/>
      <c r="J28" s="67"/>
      <c r="K28" t="str" s="67" cm="1">
        <f t="array" ref="K28">"Jumlah Terkena Pajak "&amp;MAX(K3:K26)&amp;"% (B)"</f>
        <v>Jumlah Terkena Pajak 11,00% (B)</v>
      </c>
      <c r="L28" s="68" cm="1">
        <f t="array" ref="L28">SUMIF($K3:$K26,"&gt;0",L3:L26)</f>
        <v>89895400</v>
      </c>
      <c r="M28" s="69" cm="1">
        <f t="array" ref="M28">SUMIF($K3:$K26,"&gt;0",M3:M26)</f>
        <v>89840000</v>
      </c>
      <c r="N28" s="69" cm="1">
        <f t="array" ref="N28">SUMIF($K3:$K26,"&gt;0",N3:N26)</f>
        <v>89840000</v>
      </c>
    </row>
    <row r="29" ht="21" customHeight="1">
      <c r="A29" s="70"/>
      <c r="B29" s="71"/>
      <c r="C29" s="71"/>
      <c r="D29" s="72"/>
      <c r="E29" s="72"/>
      <c r="F29" s="71"/>
      <c r="G29" s="72"/>
      <c r="H29" s="72"/>
      <c r="I29" s="74"/>
      <c r="J29" s="73"/>
      <c r="K29" t="str" s="73" cm="1">
        <f t="array" ref="K29">"PPN (C) = "&amp;MAX(K3:K26)&amp;"% x B"</f>
        <v>PPN (C) = 11,00% x B</v>
      </c>
      <c r="L29" s="74" cm="1">
        <f t="array" ref="L29">L28*MAX($K3:$K26)%</f>
        <v>9888494</v>
      </c>
      <c r="M29" s="69" cm="1">
        <f t="array" ref="M29">M28*MAX($K3:$K26)%</f>
        <v>9882400</v>
      </c>
      <c r="N29" s="69" cm="1">
        <f t="array" ref="N29">N28*MAX($K3:$K26)%</f>
        <v>9882400</v>
      </c>
    </row>
    <row r="30" ht="21" customHeight="1">
      <c r="A30" s="70"/>
      <c r="B30" s="71"/>
      <c r="C30" s="71"/>
      <c r="D30" t="s" s="110">
        <v>116</v>
      </c>
      <c r="E30" s="112">
        <v>100000000</v>
      </c>
      <c r="F30" s="112">
        <v>99784500</v>
      </c>
      <c r="G30" s="72"/>
      <c r="H30" s="72"/>
      <c r="I30" s="71"/>
      <c r="J30" s="73"/>
      <c r="K30" t="s" s="75">
        <v>42</v>
      </c>
      <c r="L30" s="76" cm="1">
        <f t="array" ref="L30">L27+L29</f>
        <v>99999642.95999999</v>
      </c>
      <c r="M30" s="69" cm="1">
        <f t="array" ref="M30">M27+M29</f>
        <v>99938016</v>
      </c>
      <c r="N30" s="69" cm="1">
        <f t="array" ref="N30">N27+N29</f>
        <v>99938016</v>
      </c>
    </row>
    <row r="31" ht="20.5" customHeight="1">
      <c r="A31" s="70"/>
      <c r="B31" s="71"/>
      <c r="C31" s="71"/>
      <c r="D31" s="72"/>
      <c r="E31" s="72" cm="1">
        <f t="array" ref="E31">E$30-L$31</f>
        <v>357.04</v>
      </c>
      <c r="F31" s="113" cm="1">
        <f t="array" ref="F31">ROUNDDOWN(E$30-D$28,2)</f>
        <v>99784251.04000001</v>
      </c>
      <c r="G31" s="72"/>
      <c r="H31" s="72"/>
      <c r="I31" s="71"/>
      <c r="J31" s="73"/>
      <c r="K31" t="s" s="75">
        <v>43</v>
      </c>
      <c r="L31" s="68" cm="1">
        <f t="array" ref="L31">ROUNDDOWN(L30,2)</f>
        <v>99999642.95999999</v>
      </c>
      <c r="M31" s="68" cm="1">
        <f t="array" ref="M31">ROUNDDOWN(M30,2)</f>
        <v>99938016</v>
      </c>
      <c r="N31" s="68" cm="1">
        <f t="array" ref="N31">ROUNDDOWN(N30,-3)</f>
        <v>99938000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37.xml><?xml version="1.0" encoding="utf-8"?>
<worksheet xmlns:r="http://schemas.openxmlformats.org/officeDocument/2006/relationships" xmlns="http://schemas.openxmlformats.org/spreadsheetml/2006/main">
  <sheetPr>
    <pageSetUpPr fitToPage="1"/>
  </sheetPr>
  <dimension ref="A1:N31"/>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332" customWidth="1"/>
    <col min="2" max="2" width="43.0312" style="332" customWidth="1"/>
    <col min="3" max="3" width="2.75" style="332" customWidth="1"/>
    <col min="4" max="6" width="10.3672" style="332" customWidth="1"/>
    <col min="7" max="7" width="11.6875" style="332" customWidth="1"/>
    <col min="8" max="11" width="13.5156" style="332" customWidth="1"/>
    <col min="12" max="14" width="14.2344" style="332" customWidth="1"/>
    <col min="15" max="16384" width="16.3516" style="332"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109</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s="95">
        <v>1</v>
      </c>
      <c r="B4" t="s" s="19">
        <v>110</v>
      </c>
      <c r="C4" s="20"/>
      <c r="D4" s="21">
        <v>1</v>
      </c>
      <c r="E4" s="21" cm="1">
        <f t="array" ref="E4">D4</f>
        <v>1</v>
      </c>
      <c r="F4" s="21" cm="1">
        <f t="array" ref="F4">D4</f>
        <v>1</v>
      </c>
      <c r="G4" t="s" s="22">
        <v>19</v>
      </c>
      <c r="H4" s="21" cm="1">
        <f t="array" ref="H4">ROUNDDOWN((F$30*0.1)*100/111,-2)</f>
        <v>8989500</v>
      </c>
      <c r="I4" s="21">
        <v>9000000</v>
      </c>
      <c r="J4" s="21">
        <v>9000000</v>
      </c>
      <c r="K4" s="21">
        <v>11</v>
      </c>
      <c r="L4" s="21" cm="1">
        <f t="array" ref="L4">IF(D4&gt;0,IF($D4&lt;=0,0,D4*H4),"")</f>
        <v>8989500</v>
      </c>
      <c r="M4" s="21" cm="1">
        <f t="array" ref="M4">IF(E4&gt;0,IF($D4&lt;=0,0,ROUND(E4*I4,2)),"")</f>
        <v>9000000</v>
      </c>
      <c r="N4" s="23" cm="1">
        <f t="array" ref="N4">IF(F4&gt;0,IF($D4&lt;=0,0,ROUND(F4*J4,2)),"")</f>
        <v>9000000</v>
      </c>
    </row>
    <row r="5" ht="20.5" customHeight="1">
      <c r="A5" s="95">
        <v>2</v>
      </c>
      <c r="B5" t="s" s="19">
        <v>111</v>
      </c>
      <c r="C5" s="24"/>
      <c r="D5" s="26">
        <v>1</v>
      </c>
      <c r="E5" s="26" cm="1">
        <f t="array" ref="E5">D5</f>
        <v>1</v>
      </c>
      <c r="F5" s="26" cm="1">
        <f t="array" ref="F5">D5</f>
        <v>1</v>
      </c>
      <c r="G5" t="s" s="27">
        <v>19</v>
      </c>
      <c r="H5" s="26" cm="1">
        <f t="array" ref="H5">ROUNDDOWN((F$30*0.2)*100/111,-2)</f>
        <v>17979100</v>
      </c>
      <c r="I5" s="26">
        <v>16930000</v>
      </c>
      <c r="J5" s="26">
        <v>16930000</v>
      </c>
      <c r="K5" s="26">
        <v>11</v>
      </c>
      <c r="L5" s="26" cm="1">
        <f t="array" ref="L5">IF(D5&gt;0,IF($D5&lt;=0,0,D5*H5),"")</f>
        <v>17979100</v>
      </c>
      <c r="M5" s="26" cm="1">
        <f t="array" ref="M5">IF(E5&gt;0,IF($D5&lt;=0,0,ROUND(E5*I5,2)),"")</f>
        <v>16930000</v>
      </c>
      <c r="N5" s="28" cm="1">
        <f t="array" ref="N5">IF(F5&gt;0,IF($D5&lt;=0,0,ROUND(F5*J5,2)),"")</f>
        <v>16930000</v>
      </c>
    </row>
    <row r="6" ht="20.5" customHeight="1">
      <c r="A6" s="95">
        <v>3</v>
      </c>
      <c r="B6" t="s" s="19">
        <v>112</v>
      </c>
      <c r="C6" s="20"/>
      <c r="D6" s="21">
        <v>1</v>
      </c>
      <c r="E6" s="21" cm="1">
        <f t="array" ref="E6">D6</f>
        <v>1</v>
      </c>
      <c r="F6" s="21" cm="1">
        <f t="array" ref="F6">D6</f>
        <v>1</v>
      </c>
      <c r="G6" t="s" s="22">
        <v>19</v>
      </c>
      <c r="H6" s="21" cm="1">
        <f t="array" ref="H6">ROUNDDOWN((F$30*0.25)*100/111,-2)</f>
        <v>22473900</v>
      </c>
      <c r="I6" s="21">
        <v>22735000</v>
      </c>
      <c r="J6" s="21">
        <v>22735000</v>
      </c>
      <c r="K6" s="21">
        <v>11</v>
      </c>
      <c r="L6" s="21" cm="1">
        <f t="array" ref="L6">IF(D6&gt;0,IF($D6&lt;=0,0,D6*H6),"")</f>
        <v>22473900</v>
      </c>
      <c r="M6" s="21" cm="1">
        <f t="array" ref="M6">IF(E6&gt;0,IF($D6&lt;=0,0,ROUND(E6*I6,2)),"")</f>
        <v>22735000</v>
      </c>
      <c r="N6" s="23" cm="1">
        <f t="array" ref="N6">IF(F6&gt;0,IF($D6&lt;=0,0,ROUND(F6*J6,2)),"")</f>
        <v>22735000</v>
      </c>
    </row>
    <row r="7" ht="68.5" customHeight="1">
      <c r="A7" s="95">
        <v>5</v>
      </c>
      <c r="B7" t="s" s="19">
        <v>113</v>
      </c>
      <c r="C7" s="24"/>
      <c r="D7" s="26">
        <v>1</v>
      </c>
      <c r="E7" s="26" cm="1">
        <f t="array" ref="E7">D7</f>
        <v>1</v>
      </c>
      <c r="F7" s="26" cm="1">
        <f t="array" ref="F7">D7</f>
        <v>1</v>
      </c>
      <c r="G7" t="s" s="27">
        <v>19</v>
      </c>
      <c r="H7" s="26" cm="1">
        <f t="array" ref="H7">ROUNDDOWN((F$30*0.25)*100/111,-2)</f>
        <v>22473900</v>
      </c>
      <c r="I7" s="26">
        <v>22600000</v>
      </c>
      <c r="J7" s="26">
        <v>22600000</v>
      </c>
      <c r="K7" s="26">
        <v>11</v>
      </c>
      <c r="L7" s="26" cm="1">
        <f t="array" ref="L7">IF(D7&gt;0,IF($D7&lt;=0,0,D7*H7),"")</f>
        <v>22473900</v>
      </c>
      <c r="M7" s="26" cm="1">
        <f t="array" ref="M7">IF(E7&gt;0,IF($D7&lt;=0,0,ROUND(E7*I7,2)),"")</f>
        <v>22600000</v>
      </c>
      <c r="N7" s="28" cm="1">
        <f t="array" ref="N7">IF(F7&gt;0,IF($D7&lt;=0,0,ROUND(F7*J7,2)),"")</f>
        <v>22600000</v>
      </c>
    </row>
    <row r="8" ht="32.5" customHeight="1">
      <c r="A8" s="95">
        <v>6</v>
      </c>
      <c r="B8" t="s" s="19">
        <v>114</v>
      </c>
      <c r="C8" s="20"/>
      <c r="D8" s="21">
        <v>1</v>
      </c>
      <c r="E8" s="21" cm="1">
        <f t="array" ref="E8">D8</f>
        <v>1</v>
      </c>
      <c r="F8" s="21" cm="1">
        <f t="array" ref="F8">D8</f>
        <v>1</v>
      </c>
      <c r="G8" t="s" s="22">
        <v>19</v>
      </c>
      <c r="H8" s="21" cm="1">
        <f t="array" ref="H8">ROUNDDOWN((F$30*0.05)*100/111,-2)</f>
        <v>4494700</v>
      </c>
      <c r="I8" s="21">
        <v>4600000</v>
      </c>
      <c r="J8" s="21">
        <v>4600000</v>
      </c>
      <c r="K8" s="21">
        <v>11</v>
      </c>
      <c r="L8" s="21" cm="1">
        <f t="array" ref="L8">IF(D8&gt;0,IF($D8&lt;=0,0,D8*H8),"")</f>
        <v>4494700</v>
      </c>
      <c r="M8" s="21" cm="1">
        <f t="array" ref="M8">IF(E8&gt;0,IF($D8&lt;=0,0,ROUND(E8*I8,2)),"")</f>
        <v>4600000</v>
      </c>
      <c r="N8" s="23" cm="1">
        <f t="array" ref="N8">IF(F8&gt;0,IF($D8&lt;=0,0,ROUND(F8*J8,2)),"")</f>
        <v>4600000</v>
      </c>
    </row>
    <row r="9" ht="20.5" customHeight="1">
      <c r="A9" s="95">
        <v>7</v>
      </c>
      <c r="B9" t="s" s="19">
        <v>115</v>
      </c>
      <c r="C9" s="24"/>
      <c r="D9" s="26">
        <v>1</v>
      </c>
      <c r="E9" s="26" cm="1">
        <f t="array" ref="E9">D9</f>
        <v>1</v>
      </c>
      <c r="F9" s="26" cm="1">
        <f t="array" ref="F9">D9</f>
        <v>1</v>
      </c>
      <c r="G9" t="s" s="27">
        <v>19</v>
      </c>
      <c r="H9" s="26" cm="1">
        <f t="array" ref="H9">ROUNDDOWN((F$30*0.15)*100/111,-2)</f>
        <v>13484300</v>
      </c>
      <c r="I9" s="26">
        <v>14000000</v>
      </c>
      <c r="J9" s="26">
        <v>14000000</v>
      </c>
      <c r="K9" s="26">
        <v>11</v>
      </c>
      <c r="L9" s="26" cm="1">
        <f t="array" ref="L9">IF(D9&gt;0,IF($D9&lt;=0,0,D9*H9),"")</f>
        <v>13484300</v>
      </c>
      <c r="M9" s="26" cm="1">
        <f t="array" ref="M9">IF(E9&gt;0,IF($D9&lt;=0,0,ROUND(E9*I9,2)),"")</f>
        <v>14000000</v>
      </c>
      <c r="N9" s="28" cm="1">
        <f t="array" ref="N9">IF(F9&gt;0,IF($D9&lt;=0,0,ROUND(F9*J9,2)),"")</f>
        <v>14000000</v>
      </c>
    </row>
    <row r="10" ht="20.6" customHeight="1">
      <c r="A10" s="33">
        <v>8</v>
      </c>
      <c r="B10" t="s" s="34">
        <v>37</v>
      </c>
      <c r="C10" s="35"/>
      <c r="D10" s="36">
        <v>1</v>
      </c>
      <c r="E10" s="36" cm="1">
        <f t="array" ref="E10">D10</f>
        <v>1</v>
      </c>
      <c r="F10" s="36" cm="1">
        <f t="array" ref="F10">D10</f>
        <v>1</v>
      </c>
      <c r="G10" t="s" s="37">
        <v>19</v>
      </c>
      <c r="H10" s="36">
        <v>215748.96</v>
      </c>
      <c r="I10" s="36">
        <v>215676</v>
      </c>
      <c r="J10" s="36">
        <v>215676</v>
      </c>
      <c r="K10" s="36">
        <v>0</v>
      </c>
      <c r="L10" s="36" cm="1">
        <f t="array" ref="L10">IF(D10&gt;0,IF($D10&lt;=0,0,D10*H10),"")</f>
        <v>215748.96</v>
      </c>
      <c r="M10" s="36" cm="1">
        <f t="array" ref="M10">IF(E10&gt;0,IF($D10&lt;=0,0,ROUND(E10*I10,2)),"")</f>
        <v>215676</v>
      </c>
      <c r="N10" s="38" cm="1">
        <f t="array" ref="N10">IF(F10&gt;0,IF($D10&lt;=0,0,ROUND(F10*J10,2)),"")</f>
        <v>215676</v>
      </c>
    </row>
    <row r="11" ht="8.75" customHeight="1" hidden="1">
      <c r="A11" s="39"/>
      <c r="B11" s="40"/>
      <c r="C11" s="41"/>
      <c r="D11" s="42"/>
      <c r="E11" s="42"/>
      <c r="F11" s="42"/>
      <c r="G11" s="43"/>
      <c r="H11" s="42"/>
      <c r="I11" s="42"/>
      <c r="J11" s="42"/>
      <c r="K11" s="42"/>
      <c r="L11" s="42"/>
      <c r="M11" s="42"/>
      <c r="N11" s="44"/>
    </row>
    <row r="12" ht="8.75" customHeight="1" hidden="1">
      <c r="A12" s="39"/>
      <c r="B12" s="40"/>
      <c r="C12" s="45"/>
      <c r="D12" s="46"/>
      <c r="E12" s="46"/>
      <c r="F12" s="46"/>
      <c r="G12" s="47"/>
      <c r="H12" s="46"/>
      <c r="I12" s="46"/>
      <c r="J12" s="46"/>
      <c r="K12" s="46"/>
      <c r="L12" s="46"/>
      <c r="M12" s="46"/>
      <c r="N12" s="48"/>
    </row>
    <row r="13" ht="8.75" customHeight="1" hidden="1">
      <c r="A13" s="39"/>
      <c r="B13" s="40"/>
      <c r="C13" s="41"/>
      <c r="D13" s="42"/>
      <c r="E13" s="42"/>
      <c r="F13" s="42"/>
      <c r="G13" s="43"/>
      <c r="H13" s="42"/>
      <c r="I13" s="42"/>
      <c r="J13" s="42"/>
      <c r="K13" s="42"/>
      <c r="L13" s="42"/>
      <c r="M13" s="42"/>
      <c r="N13" s="44"/>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2"/>
      <c r="I15" s="42"/>
      <c r="J15" s="42"/>
      <c r="K15" s="42"/>
      <c r="L15" s="42"/>
      <c r="M15" s="42"/>
      <c r="N15" s="44"/>
    </row>
    <row r="16" ht="8.75" customHeight="1" hidden="1">
      <c r="A16" s="39"/>
      <c r="B16" s="40"/>
      <c r="C16" s="45"/>
      <c r="D16" s="46"/>
      <c r="E16" s="46"/>
      <c r="F16" s="46"/>
      <c r="G16" s="47"/>
      <c r="H16" s="46"/>
      <c r="I16" s="46"/>
      <c r="J16" s="46"/>
      <c r="K16" s="46"/>
      <c r="L16" s="46"/>
      <c r="M16" s="46"/>
      <c r="N16" s="48"/>
    </row>
    <row r="17" ht="8.75" customHeight="1" hidden="1">
      <c r="A17" s="39"/>
      <c r="B17" s="40"/>
      <c r="C17" s="41"/>
      <c r="D17" s="42"/>
      <c r="E17" s="42"/>
      <c r="F17" s="42"/>
      <c r="G17" s="43"/>
      <c r="H17" s="43"/>
      <c r="I17" s="43"/>
      <c r="J17" s="43"/>
      <c r="K17" s="42"/>
      <c r="L17" s="43"/>
      <c r="M17" s="43"/>
      <c r="N17" s="49"/>
    </row>
    <row r="18" ht="8.75" customHeight="1" hidden="1">
      <c r="A18" s="39"/>
      <c r="B18" s="40"/>
      <c r="C18" s="45"/>
      <c r="D18" s="46"/>
      <c r="E18" s="46"/>
      <c r="F18" s="46"/>
      <c r="G18" s="47"/>
      <c r="H18" s="50"/>
      <c r="I18" s="50"/>
      <c r="J18" s="50"/>
      <c r="K18" s="46"/>
      <c r="L18" s="46"/>
      <c r="M18" s="46"/>
      <c r="N18" s="48"/>
    </row>
    <row r="19" ht="8.75" customHeight="1" hidden="1">
      <c r="A19" s="39"/>
      <c r="B19" s="40"/>
      <c r="C19" s="41"/>
      <c r="D19" s="42"/>
      <c r="E19" s="42"/>
      <c r="F19" s="42"/>
      <c r="G19" s="43"/>
      <c r="H19" s="43"/>
      <c r="I19" s="43"/>
      <c r="J19" s="43"/>
      <c r="K19" s="42"/>
      <c r="L19" s="43"/>
      <c r="M19" s="43"/>
      <c r="N19" s="49"/>
    </row>
    <row r="20" ht="8.75" customHeight="1" hidden="1">
      <c r="A20" s="39"/>
      <c r="B20" s="40"/>
      <c r="C20" s="45"/>
      <c r="D20" s="46"/>
      <c r="E20" s="46"/>
      <c r="F20" s="46"/>
      <c r="G20" s="47"/>
      <c r="H20" s="46"/>
      <c r="I20" s="46"/>
      <c r="J20" s="46"/>
      <c r="K20" s="46"/>
      <c r="L20" s="46"/>
      <c r="M20" s="46"/>
      <c r="N20" s="48"/>
    </row>
    <row r="21" ht="8.75" customHeight="1" hidden="1">
      <c r="A21" s="39"/>
      <c r="B21" s="40"/>
      <c r="C21" s="41"/>
      <c r="D21" s="42"/>
      <c r="E21" s="42"/>
      <c r="F21" s="42"/>
      <c r="G21" s="43"/>
      <c r="H21" s="42"/>
      <c r="I21" s="42"/>
      <c r="J21" s="42"/>
      <c r="K21" s="42"/>
      <c r="L21" s="42"/>
      <c r="M21" s="42"/>
      <c r="N21" s="44"/>
    </row>
    <row r="22" ht="8.75" customHeight="1" hidden="1">
      <c r="A22" s="51"/>
      <c r="B22" s="40"/>
      <c r="C22" s="45"/>
      <c r="D22" s="46"/>
      <c r="E22" s="46"/>
      <c r="F22" s="46"/>
      <c r="G22" s="47"/>
      <c r="H22" s="46"/>
      <c r="I22" s="46"/>
      <c r="J22" s="46"/>
      <c r="K22" s="46"/>
      <c r="L22" s="46"/>
      <c r="M22" s="46"/>
      <c r="N22" s="48"/>
    </row>
    <row r="23" ht="8.75" customHeight="1" hidden="1">
      <c r="A23" s="51"/>
      <c r="B23" s="40"/>
      <c r="C23" s="41"/>
      <c r="D23" s="42"/>
      <c r="E23" s="42"/>
      <c r="F23" s="42"/>
      <c r="G23" s="43"/>
      <c r="H23" s="42"/>
      <c r="I23" s="42"/>
      <c r="J23" s="42"/>
      <c r="K23" s="42"/>
      <c r="L23" s="42"/>
      <c r="M23" s="42"/>
      <c r="N23" s="44"/>
    </row>
    <row r="24" ht="8.75" customHeight="1" hidden="1">
      <c r="A24" s="39"/>
      <c r="B24" s="40"/>
      <c r="C24" s="45"/>
      <c r="D24" s="46"/>
      <c r="E24" s="46"/>
      <c r="F24" s="46"/>
      <c r="G24" s="47"/>
      <c r="H24" s="46"/>
      <c r="I24" s="46"/>
      <c r="J24" s="46"/>
      <c r="K24" s="46"/>
      <c r="L24" s="47"/>
      <c r="M24" s="47"/>
      <c r="N24" s="52"/>
    </row>
    <row r="25" ht="8.75" customHeight="1" hidden="1">
      <c r="A25" s="39"/>
      <c r="B25" s="40"/>
      <c r="C25" s="41"/>
      <c r="D25" s="42"/>
      <c r="E25" s="42"/>
      <c r="F25" s="42"/>
      <c r="G25" s="43"/>
      <c r="H25" s="42"/>
      <c r="I25" s="42"/>
      <c r="J25" s="42"/>
      <c r="K25" s="42"/>
      <c r="L25" s="42"/>
      <c r="M25" s="42"/>
      <c r="N25" s="44"/>
    </row>
    <row r="26" ht="8.75" customHeight="1" hidden="1">
      <c r="A26" s="39"/>
      <c r="B26" s="40"/>
      <c r="C26" s="45"/>
      <c r="D26" s="46"/>
      <c r="E26" s="46"/>
      <c r="F26" s="46"/>
      <c r="G26" s="47"/>
      <c r="H26" s="46"/>
      <c r="I26" s="46"/>
      <c r="J26" s="46"/>
      <c r="K26" s="46"/>
      <c r="L26" s="47"/>
      <c r="M26" s="47"/>
      <c r="N26" s="52"/>
    </row>
    <row r="27" ht="20.85" customHeight="1">
      <c r="A27" s="108"/>
      <c r="B27" s="54"/>
      <c r="C27" s="54"/>
      <c r="D27" s="55"/>
      <c r="E27" s="55"/>
      <c r="F27" s="55"/>
      <c r="G27" s="56"/>
      <c r="H27" s="56"/>
      <c r="I27" s="54"/>
      <c r="J27" s="57"/>
      <c r="K27" t="s" s="58">
        <v>38</v>
      </c>
      <c r="L27" s="59" cm="1">
        <f t="array" ref="L27">SUM(L1:L26)</f>
        <v>90111148.95999999</v>
      </c>
      <c r="M27" s="59" cm="1">
        <f t="array" ref="M27">SUM(M1:M26)</f>
        <v>90080676</v>
      </c>
      <c r="N27" s="59" cm="1">
        <f t="array" ref="N27">SUM(N1:N26)</f>
        <v>90080676</v>
      </c>
    </row>
    <row r="28" ht="21" customHeight="1">
      <c r="A28" s="63" cm="1">
        <f t="array" ref="A28">ROUND(IF(I28&lt;=100000000,I28*0.24%,IF(AND(I28&gt;100000000,I28&lt;=500000000),100000000*0.24%+(I28-100000000)*0.19%,IF(AND(I28&gt;500000000,I28&lt;=1000000000),100000000*0.24%+400000000*0.19%+(I28-500000000)*0.15%,IF(AND(I28&gt;1000000000,I28&lt;=5000000000),100000000*0.24%+400000000*0.19%+500000000*0.15%+(I28-1000000000)*0.12%,IF(I28&gt;5000000000,100000000*0.24%+400000000*0.19%+500000000*0.15%+4000000000*0.12%+(I28-5000000000)*0.1%,"Bingung komputer"))))),2)</f>
        <v>0</v>
      </c>
      <c r="B28" t="s" s="109">
        <v>39</v>
      </c>
      <c r="C28" s="62"/>
      <c r="D28" s="63" cm="1">
        <f t="array" ref="D28">ROUND(IF(L28&lt;=100000000,L28*0.24%,IF(AND(L28&gt;100000000,L28&lt;=500000000),100000000*0.24%+(L28-100000000)*0.19%,IF(AND(L28&gt;500000000,L28&lt;=1000000000),100000000*0.24%+400000000*0.19%+(L28-500000000)*0.15%,IF(AND(L28&gt;1000000000,L28&lt;=5000000000),100000000*0.24%+400000000*0.19%+500000000*0.15%+(L28-1000000000)*0.12%,IF(L28&gt;5000000000,100000000*0.24%+400000000*0.19%+500000000*0.15%+4000000000*0.12%+(L28-5000000000)*0.1%,"Bingung komputer"))))),2)</f>
        <v>215748.96</v>
      </c>
      <c r="E28" s="64" cm="1">
        <f t="array" ref="E28">ROUND(IF(M28&lt;=100000000,M28*0.24%,IF(AND(M28&gt;100000000,M28&lt;=500000000),100000000*0.24%+(M28-100000000)*0.19%,IF(AND(M28&gt;500000000,M28&lt;=1000000000),100000000*0.24%+400000000*0.19%+(M28-500000000)*0.15%,IF(AND(M28&gt;1000000000,M28&lt;=5000000000),100000000*0.24%+400000000*0.19%+500000000*0.15%+(M28-1000000000)*0.12%,IF(M28&gt;5000000000,100000000*0.24%+400000000*0.19%+500000000*0.15%+4000000000*0.12%+(M28-5000000000)*0.1%,"Bingung komputer"))))),2)</f>
        <v>215676</v>
      </c>
      <c r="F28" s="64" cm="1">
        <f t="array" ref="F28">ROUND(IF(N28&lt;=100000000,N28*0.24%,IF(AND(N28&gt;100000000,N28&lt;=500000000),100000000*0.24%+(N28-100000000)*0.19%,IF(AND(N28&gt;500000000,N28&lt;=1000000000),100000000*0.24%+400000000*0.19%+(N28-500000000)*0.15%,IF(AND(N28&gt;1000000000,N28&lt;=5000000000),100000000*0.24%+400000000*0.19%+500000000*0.15%+(N28-1000000000)*0.12%,IF(N28&gt;5000000000,100000000*0.24%+400000000*0.19%+500000000*0.15%+4000000000*0.12%+(N28-5000000000)*0.1%,"Bingung komputer"))))),2)</f>
        <v>215676</v>
      </c>
      <c r="G28" s="65"/>
      <c r="H28" s="66"/>
      <c r="I28" s="68"/>
      <c r="J28" s="67"/>
      <c r="K28" t="str" s="67" cm="1">
        <f t="array" ref="K28">"Jumlah Terkena Pajak "&amp;MAX(K3:K26)&amp;"% (B)"</f>
        <v>Jumlah Terkena Pajak 11,00% (B)</v>
      </c>
      <c r="L28" s="68" cm="1">
        <f t="array" ref="L28">SUMIF($K3:$K26,"&gt;0",L3:L26)</f>
        <v>89895400</v>
      </c>
      <c r="M28" s="69" cm="1">
        <f t="array" ref="M28">SUMIF($K3:$K26,"&gt;0",M3:M26)</f>
        <v>89865000</v>
      </c>
      <c r="N28" s="69" cm="1">
        <f t="array" ref="N28">SUMIF($K3:$K26,"&gt;0",N3:N26)</f>
        <v>89865000</v>
      </c>
    </row>
    <row r="29" ht="21" customHeight="1">
      <c r="A29" s="70"/>
      <c r="B29" s="71"/>
      <c r="C29" s="71"/>
      <c r="D29" s="72"/>
      <c r="E29" s="72"/>
      <c r="F29" s="71"/>
      <c r="G29" s="72"/>
      <c r="H29" s="72"/>
      <c r="I29" s="74"/>
      <c r="J29" s="73"/>
      <c r="K29" t="str" s="73" cm="1">
        <f t="array" ref="K29">"PPN (C) = "&amp;MAX(K3:K26)&amp;"% x B"</f>
        <v>PPN (C) = 11,00% x B</v>
      </c>
      <c r="L29" s="74" cm="1">
        <f t="array" ref="L29">L28*MAX($K3:$K26)%</f>
        <v>9888494</v>
      </c>
      <c r="M29" s="69" cm="1">
        <f t="array" ref="M29">M28*MAX($K3:$K26)%</f>
        <v>9885150</v>
      </c>
      <c r="N29" s="69" cm="1">
        <f t="array" ref="N29">N28*MAX($K3:$K26)%</f>
        <v>9885150</v>
      </c>
    </row>
    <row r="30" ht="21" customHeight="1">
      <c r="A30" s="70"/>
      <c r="B30" s="71"/>
      <c r="C30" s="71"/>
      <c r="D30" t="s" s="110">
        <v>116</v>
      </c>
      <c r="E30" s="112">
        <v>100000000</v>
      </c>
      <c r="F30" s="112">
        <v>99784500</v>
      </c>
      <c r="G30" s="72"/>
      <c r="H30" s="72"/>
      <c r="I30" s="71"/>
      <c r="J30" s="73"/>
      <c r="K30" t="s" s="75">
        <v>42</v>
      </c>
      <c r="L30" s="76" cm="1">
        <f t="array" ref="L30">L27+L29</f>
        <v>99999642.95999999</v>
      </c>
      <c r="M30" s="69" cm="1">
        <f t="array" ref="M30">M27+M29</f>
        <v>99965826</v>
      </c>
      <c r="N30" s="69" cm="1">
        <f t="array" ref="N30">N27+N29</f>
        <v>99965826</v>
      </c>
    </row>
    <row r="31" ht="20.5" customHeight="1">
      <c r="A31" s="70"/>
      <c r="B31" s="71"/>
      <c r="C31" s="71"/>
      <c r="D31" s="72"/>
      <c r="E31" s="72" cm="1">
        <f t="array" ref="E31">E$30-L$31</f>
        <v>357.04</v>
      </c>
      <c r="F31" s="113" cm="1">
        <f t="array" ref="F31">ROUNDDOWN(E$30-D$28,2)</f>
        <v>99784251.04000001</v>
      </c>
      <c r="G31" s="72"/>
      <c r="H31" s="72"/>
      <c r="I31" s="71"/>
      <c r="J31" s="73"/>
      <c r="K31" t="s" s="75">
        <v>43</v>
      </c>
      <c r="L31" s="68" cm="1">
        <f t="array" ref="L31">ROUNDDOWN(L30,2)</f>
        <v>99999642.95999999</v>
      </c>
      <c r="M31" s="68" cm="1">
        <f t="array" ref="M31">ROUNDDOWN(M30,2)</f>
        <v>99965826</v>
      </c>
      <c r="N31" s="68" cm="1">
        <f t="array" ref="N31">ROUNDDOWN(N30,-3)</f>
        <v>99965000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38.xml><?xml version="1.0" encoding="utf-8"?>
<worksheet xmlns:r="http://schemas.openxmlformats.org/officeDocument/2006/relationships" xmlns="http://schemas.openxmlformats.org/spreadsheetml/2006/main">
  <sheetPr>
    <pageSetUpPr fitToPage="1"/>
  </sheetPr>
  <dimension ref="A1:N31"/>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333" customWidth="1"/>
    <col min="2" max="2" width="43.0312" style="333" customWidth="1"/>
    <col min="3" max="3" width="2.75" style="333" customWidth="1"/>
    <col min="4" max="6" width="10.3672" style="333" customWidth="1"/>
    <col min="7" max="7" width="11.6875" style="333" customWidth="1"/>
    <col min="8" max="11" width="13.5156" style="333" customWidth="1"/>
    <col min="12" max="14" width="14.2344" style="333" customWidth="1"/>
    <col min="15" max="16384" width="16.3516" style="333"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109</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s="95">
        <v>1</v>
      </c>
      <c r="B4" t="s" s="19">
        <v>110</v>
      </c>
      <c r="C4" s="20"/>
      <c r="D4" s="21">
        <v>1</v>
      </c>
      <c r="E4" s="21" cm="1">
        <f t="array" ref="E4">D4</f>
        <v>1</v>
      </c>
      <c r="F4" s="21" cm="1">
        <f t="array" ref="F4">D4</f>
        <v>1</v>
      </c>
      <c r="G4" t="s" s="22">
        <v>19</v>
      </c>
      <c r="H4" s="21" cm="1">
        <f t="array" ref="H4">ROUNDDOWN((F$30*0.1)*100/111,-2)</f>
        <v>8989500</v>
      </c>
      <c r="I4" s="21">
        <v>9000000</v>
      </c>
      <c r="J4" s="21">
        <v>9000000</v>
      </c>
      <c r="K4" s="21">
        <v>11</v>
      </c>
      <c r="L4" s="21" cm="1">
        <f t="array" ref="L4">IF(D4&gt;0,IF($D4&lt;=0,0,D4*H4),"")</f>
        <v>8989500</v>
      </c>
      <c r="M4" s="21" cm="1">
        <f t="array" ref="M4">IF(E4&gt;0,IF($D4&lt;=0,0,ROUND(E4*I4,2)),"")</f>
        <v>9000000</v>
      </c>
      <c r="N4" s="23" cm="1">
        <f t="array" ref="N4">IF(F4&gt;0,IF($D4&lt;=0,0,ROUND(F4*J4,2)),"")</f>
        <v>9000000</v>
      </c>
    </row>
    <row r="5" ht="20.5" customHeight="1">
      <c r="A5" s="95">
        <v>2</v>
      </c>
      <c r="B5" t="s" s="19">
        <v>111</v>
      </c>
      <c r="C5" s="24"/>
      <c r="D5" s="26">
        <v>1</v>
      </c>
      <c r="E5" s="26" cm="1">
        <f t="array" ref="E5">D5</f>
        <v>1</v>
      </c>
      <c r="F5" s="26" cm="1">
        <f t="array" ref="F5">D5</f>
        <v>1</v>
      </c>
      <c r="G5" t="s" s="27">
        <v>19</v>
      </c>
      <c r="H5" s="26" cm="1">
        <f t="array" ref="H5">ROUNDDOWN((F$30*0.2)*100/111,-2)</f>
        <v>17979100</v>
      </c>
      <c r="I5" s="26">
        <v>16960000</v>
      </c>
      <c r="J5" s="26">
        <v>16960000</v>
      </c>
      <c r="K5" s="26">
        <v>11</v>
      </c>
      <c r="L5" s="26" cm="1">
        <f t="array" ref="L5">IF(D5&gt;0,IF($D5&lt;=0,0,D5*H5),"")</f>
        <v>17979100</v>
      </c>
      <c r="M5" s="26" cm="1">
        <f t="array" ref="M5">IF(E5&gt;0,IF($D5&lt;=0,0,ROUND(E5*I5,2)),"")</f>
        <v>16960000</v>
      </c>
      <c r="N5" s="28" cm="1">
        <f t="array" ref="N5">IF(F5&gt;0,IF($D5&lt;=0,0,ROUND(F5*J5,2)),"")</f>
        <v>16960000</v>
      </c>
    </row>
    <row r="6" ht="20.5" customHeight="1">
      <c r="A6" s="95">
        <v>3</v>
      </c>
      <c r="B6" t="s" s="19">
        <v>112</v>
      </c>
      <c r="C6" s="20"/>
      <c r="D6" s="21">
        <v>1</v>
      </c>
      <c r="E6" s="21" cm="1">
        <f t="array" ref="E6">D6</f>
        <v>1</v>
      </c>
      <c r="F6" s="21" cm="1">
        <f t="array" ref="F6">D6</f>
        <v>1</v>
      </c>
      <c r="G6" t="s" s="22">
        <v>19</v>
      </c>
      <c r="H6" s="21" cm="1">
        <f t="array" ref="H6">ROUNDDOWN((F$30*0.25)*100/111,-2)</f>
        <v>22473900</v>
      </c>
      <c r="I6" s="21">
        <v>22700000</v>
      </c>
      <c r="J6" s="21">
        <v>22700000</v>
      </c>
      <c r="K6" s="21">
        <v>11</v>
      </c>
      <c r="L6" s="21" cm="1">
        <f t="array" ref="L6">IF(D6&gt;0,IF($D6&lt;=0,0,D6*H6),"")</f>
        <v>22473900</v>
      </c>
      <c r="M6" s="21" cm="1">
        <f t="array" ref="M6">IF(E6&gt;0,IF($D6&lt;=0,0,ROUND(E6*I6,2)),"")</f>
        <v>22700000</v>
      </c>
      <c r="N6" s="23" cm="1">
        <f t="array" ref="N6">IF(F6&gt;0,IF($D6&lt;=0,0,ROUND(F6*J6,2)),"")</f>
        <v>22700000</v>
      </c>
    </row>
    <row r="7" ht="68.5" customHeight="1">
      <c r="A7" s="95">
        <v>5</v>
      </c>
      <c r="B7" t="s" s="19">
        <v>113</v>
      </c>
      <c r="C7" s="24"/>
      <c r="D7" s="26">
        <v>1</v>
      </c>
      <c r="E7" s="26" cm="1">
        <f t="array" ref="E7">D7</f>
        <v>1</v>
      </c>
      <c r="F7" s="26" cm="1">
        <f t="array" ref="F7">D7</f>
        <v>1</v>
      </c>
      <c r="G7" t="s" s="27">
        <v>19</v>
      </c>
      <c r="H7" s="26" cm="1">
        <f t="array" ref="H7">ROUNDDOWN((F$30*0.25)*100/111,-2)</f>
        <v>22473900</v>
      </c>
      <c r="I7" s="26">
        <v>22600000</v>
      </c>
      <c r="J7" s="26">
        <v>22600000</v>
      </c>
      <c r="K7" s="26">
        <v>11</v>
      </c>
      <c r="L7" s="26" cm="1">
        <f t="array" ref="L7">IF(D7&gt;0,IF($D7&lt;=0,0,D7*H7),"")</f>
        <v>22473900</v>
      </c>
      <c r="M7" s="26" cm="1">
        <f t="array" ref="M7">IF(E7&gt;0,IF($D7&lt;=0,0,ROUND(E7*I7,2)),"")</f>
        <v>22600000</v>
      </c>
      <c r="N7" s="28" cm="1">
        <f t="array" ref="N7">IF(F7&gt;0,IF($D7&lt;=0,0,ROUND(F7*J7,2)),"")</f>
        <v>22600000</v>
      </c>
    </row>
    <row r="8" ht="32.5" customHeight="1">
      <c r="A8" s="95">
        <v>6</v>
      </c>
      <c r="B8" t="s" s="19">
        <v>114</v>
      </c>
      <c r="C8" s="20"/>
      <c r="D8" s="21">
        <v>1</v>
      </c>
      <c r="E8" s="21" cm="1">
        <f t="array" ref="E8">D8</f>
        <v>1</v>
      </c>
      <c r="F8" s="21" cm="1">
        <f t="array" ref="F8">D8</f>
        <v>1</v>
      </c>
      <c r="G8" t="s" s="22">
        <v>19</v>
      </c>
      <c r="H8" s="21" cm="1">
        <f t="array" ref="H8">ROUNDDOWN((F$30*0.05)*100/111,-2)</f>
        <v>4494700</v>
      </c>
      <c r="I8" s="21">
        <v>4600000</v>
      </c>
      <c r="J8" s="21">
        <v>4600000</v>
      </c>
      <c r="K8" s="21">
        <v>11</v>
      </c>
      <c r="L8" s="21" cm="1">
        <f t="array" ref="L8">IF(D8&gt;0,IF($D8&lt;=0,0,D8*H8),"")</f>
        <v>4494700</v>
      </c>
      <c r="M8" s="21" cm="1">
        <f t="array" ref="M8">IF(E8&gt;0,IF($D8&lt;=0,0,ROUND(E8*I8,2)),"")</f>
        <v>4600000</v>
      </c>
      <c r="N8" s="23" cm="1">
        <f t="array" ref="N8">IF(F8&gt;0,IF($D8&lt;=0,0,ROUND(F8*J8,2)),"")</f>
        <v>4600000</v>
      </c>
    </row>
    <row r="9" ht="20.5" customHeight="1">
      <c r="A9" s="95">
        <v>7</v>
      </c>
      <c r="B9" t="s" s="19">
        <v>115</v>
      </c>
      <c r="C9" s="24"/>
      <c r="D9" s="26">
        <v>1</v>
      </c>
      <c r="E9" s="26" cm="1">
        <f t="array" ref="E9">D9</f>
        <v>1</v>
      </c>
      <c r="F9" s="26" cm="1">
        <f t="array" ref="F9">D9</f>
        <v>1</v>
      </c>
      <c r="G9" t="s" s="27">
        <v>19</v>
      </c>
      <c r="H9" s="26" cm="1">
        <f t="array" ref="H9">ROUNDDOWN((F$30*0.15)*100/111,-2)</f>
        <v>13484300</v>
      </c>
      <c r="I9" s="26">
        <v>14000000</v>
      </c>
      <c r="J9" s="26">
        <v>14000000</v>
      </c>
      <c r="K9" s="26">
        <v>11</v>
      </c>
      <c r="L9" s="26" cm="1">
        <f t="array" ref="L9">IF(D9&gt;0,IF($D9&lt;=0,0,D9*H9),"")</f>
        <v>13484300</v>
      </c>
      <c r="M9" s="26" cm="1">
        <f t="array" ref="M9">IF(E9&gt;0,IF($D9&lt;=0,0,ROUND(E9*I9,2)),"")</f>
        <v>14000000</v>
      </c>
      <c r="N9" s="28" cm="1">
        <f t="array" ref="N9">IF(F9&gt;0,IF($D9&lt;=0,0,ROUND(F9*J9,2)),"")</f>
        <v>14000000</v>
      </c>
    </row>
    <row r="10" ht="20.6" customHeight="1">
      <c r="A10" s="33">
        <v>8</v>
      </c>
      <c r="B10" t="s" s="34">
        <v>37</v>
      </c>
      <c r="C10" s="35"/>
      <c r="D10" s="36">
        <v>1</v>
      </c>
      <c r="E10" s="36" cm="1">
        <f t="array" ref="E10">D10</f>
        <v>1</v>
      </c>
      <c r="F10" s="36" cm="1">
        <f t="array" ref="F10">D10</f>
        <v>1</v>
      </c>
      <c r="G10" t="s" s="37">
        <v>19</v>
      </c>
      <c r="H10" s="36">
        <v>215748.96</v>
      </c>
      <c r="I10" s="36">
        <v>215664</v>
      </c>
      <c r="J10" s="36">
        <v>215664</v>
      </c>
      <c r="K10" s="36">
        <v>0</v>
      </c>
      <c r="L10" s="36" cm="1">
        <f t="array" ref="L10">IF(D10&gt;0,IF($D10&lt;=0,0,D10*H10),"")</f>
        <v>215748.96</v>
      </c>
      <c r="M10" s="36" cm="1">
        <f t="array" ref="M10">IF(E10&gt;0,IF($D10&lt;=0,0,ROUND(E10*I10,2)),"")</f>
        <v>215664</v>
      </c>
      <c r="N10" s="38" cm="1">
        <f t="array" ref="N10">IF(F10&gt;0,IF($D10&lt;=0,0,ROUND(F10*J10,2)),"")</f>
        <v>215664</v>
      </c>
    </row>
    <row r="11" ht="8.75" customHeight="1" hidden="1">
      <c r="A11" s="39"/>
      <c r="B11" s="40"/>
      <c r="C11" s="41"/>
      <c r="D11" s="42"/>
      <c r="E11" s="42"/>
      <c r="F11" s="42"/>
      <c r="G11" s="43"/>
      <c r="H11" s="42"/>
      <c r="I11" s="42"/>
      <c r="J11" s="42"/>
      <c r="K11" s="42"/>
      <c r="L11" s="42"/>
      <c r="M11" s="42"/>
      <c r="N11" s="44"/>
    </row>
    <row r="12" ht="8.75" customHeight="1" hidden="1">
      <c r="A12" s="39"/>
      <c r="B12" s="40"/>
      <c r="C12" s="45"/>
      <c r="D12" s="46"/>
      <c r="E12" s="46"/>
      <c r="F12" s="46"/>
      <c r="G12" s="47"/>
      <c r="H12" s="46"/>
      <c r="I12" s="46"/>
      <c r="J12" s="46"/>
      <c r="K12" s="46"/>
      <c r="L12" s="46"/>
      <c r="M12" s="46"/>
      <c r="N12" s="48"/>
    </row>
    <row r="13" ht="8.75" customHeight="1" hidden="1">
      <c r="A13" s="39"/>
      <c r="B13" s="40"/>
      <c r="C13" s="41"/>
      <c r="D13" s="42"/>
      <c r="E13" s="42"/>
      <c r="F13" s="42"/>
      <c r="G13" s="43"/>
      <c r="H13" s="42"/>
      <c r="I13" s="42"/>
      <c r="J13" s="42"/>
      <c r="K13" s="42"/>
      <c r="L13" s="42"/>
      <c r="M13" s="42"/>
      <c r="N13" s="44"/>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2"/>
      <c r="I15" s="42"/>
      <c r="J15" s="42"/>
      <c r="K15" s="42"/>
      <c r="L15" s="42"/>
      <c r="M15" s="42"/>
      <c r="N15" s="44"/>
    </row>
    <row r="16" ht="8.75" customHeight="1" hidden="1">
      <c r="A16" s="39"/>
      <c r="B16" s="40"/>
      <c r="C16" s="45"/>
      <c r="D16" s="46"/>
      <c r="E16" s="46"/>
      <c r="F16" s="46"/>
      <c r="G16" s="47"/>
      <c r="H16" s="46"/>
      <c r="I16" s="46"/>
      <c r="J16" s="46"/>
      <c r="K16" s="46"/>
      <c r="L16" s="46"/>
      <c r="M16" s="46"/>
      <c r="N16" s="48"/>
    </row>
    <row r="17" ht="8.75" customHeight="1" hidden="1">
      <c r="A17" s="39"/>
      <c r="B17" s="40"/>
      <c r="C17" s="41"/>
      <c r="D17" s="42"/>
      <c r="E17" s="42"/>
      <c r="F17" s="42"/>
      <c r="G17" s="43"/>
      <c r="H17" s="43"/>
      <c r="I17" s="43"/>
      <c r="J17" s="43"/>
      <c r="K17" s="42"/>
      <c r="L17" s="43"/>
      <c r="M17" s="43"/>
      <c r="N17" s="49"/>
    </row>
    <row r="18" ht="8.75" customHeight="1" hidden="1">
      <c r="A18" s="39"/>
      <c r="B18" s="40"/>
      <c r="C18" s="45"/>
      <c r="D18" s="46"/>
      <c r="E18" s="46"/>
      <c r="F18" s="46"/>
      <c r="G18" s="47"/>
      <c r="H18" s="50"/>
      <c r="I18" s="50"/>
      <c r="J18" s="50"/>
      <c r="K18" s="46"/>
      <c r="L18" s="46"/>
      <c r="M18" s="46"/>
      <c r="N18" s="48"/>
    </row>
    <row r="19" ht="8.75" customHeight="1" hidden="1">
      <c r="A19" s="39"/>
      <c r="B19" s="40"/>
      <c r="C19" s="41"/>
      <c r="D19" s="42"/>
      <c r="E19" s="42"/>
      <c r="F19" s="42"/>
      <c r="G19" s="43"/>
      <c r="H19" s="43"/>
      <c r="I19" s="43"/>
      <c r="J19" s="43"/>
      <c r="K19" s="42"/>
      <c r="L19" s="43"/>
      <c r="M19" s="43"/>
      <c r="N19" s="49"/>
    </row>
    <row r="20" ht="8.75" customHeight="1" hidden="1">
      <c r="A20" s="39"/>
      <c r="B20" s="40"/>
      <c r="C20" s="45"/>
      <c r="D20" s="46"/>
      <c r="E20" s="46"/>
      <c r="F20" s="46"/>
      <c r="G20" s="47"/>
      <c r="H20" s="46"/>
      <c r="I20" s="46"/>
      <c r="J20" s="46"/>
      <c r="K20" s="46"/>
      <c r="L20" s="46"/>
      <c r="M20" s="46"/>
      <c r="N20" s="48"/>
    </row>
    <row r="21" ht="8.75" customHeight="1" hidden="1">
      <c r="A21" s="39"/>
      <c r="B21" s="40"/>
      <c r="C21" s="41"/>
      <c r="D21" s="42"/>
      <c r="E21" s="42"/>
      <c r="F21" s="42"/>
      <c r="G21" s="43"/>
      <c r="H21" s="42"/>
      <c r="I21" s="42"/>
      <c r="J21" s="42"/>
      <c r="K21" s="42"/>
      <c r="L21" s="42"/>
      <c r="M21" s="42"/>
      <c r="N21" s="44"/>
    </row>
    <row r="22" ht="8.75" customHeight="1" hidden="1">
      <c r="A22" s="51"/>
      <c r="B22" s="40"/>
      <c r="C22" s="45"/>
      <c r="D22" s="46"/>
      <c r="E22" s="46"/>
      <c r="F22" s="46"/>
      <c r="G22" s="47"/>
      <c r="H22" s="46"/>
      <c r="I22" s="46"/>
      <c r="J22" s="46"/>
      <c r="K22" s="46"/>
      <c r="L22" s="46"/>
      <c r="M22" s="46"/>
      <c r="N22" s="48"/>
    </row>
    <row r="23" ht="8.75" customHeight="1" hidden="1">
      <c r="A23" s="51"/>
      <c r="B23" s="40"/>
      <c r="C23" s="41"/>
      <c r="D23" s="42"/>
      <c r="E23" s="42"/>
      <c r="F23" s="42"/>
      <c r="G23" s="43"/>
      <c r="H23" s="42"/>
      <c r="I23" s="42"/>
      <c r="J23" s="42"/>
      <c r="K23" s="42"/>
      <c r="L23" s="42"/>
      <c r="M23" s="42"/>
      <c r="N23" s="44"/>
    </row>
    <row r="24" ht="8.75" customHeight="1" hidden="1">
      <c r="A24" s="39"/>
      <c r="B24" s="40"/>
      <c r="C24" s="45"/>
      <c r="D24" s="46"/>
      <c r="E24" s="46"/>
      <c r="F24" s="46"/>
      <c r="G24" s="47"/>
      <c r="H24" s="46"/>
      <c r="I24" s="46"/>
      <c r="J24" s="46"/>
      <c r="K24" s="46"/>
      <c r="L24" s="47"/>
      <c r="M24" s="47"/>
      <c r="N24" s="52"/>
    </row>
    <row r="25" ht="8.75" customHeight="1" hidden="1">
      <c r="A25" s="39"/>
      <c r="B25" s="40"/>
      <c r="C25" s="41"/>
      <c r="D25" s="42"/>
      <c r="E25" s="42"/>
      <c r="F25" s="42"/>
      <c r="G25" s="43"/>
      <c r="H25" s="42"/>
      <c r="I25" s="42"/>
      <c r="J25" s="42"/>
      <c r="K25" s="42"/>
      <c r="L25" s="42"/>
      <c r="M25" s="42"/>
      <c r="N25" s="44"/>
    </row>
    <row r="26" ht="8.75" customHeight="1" hidden="1">
      <c r="A26" s="39"/>
      <c r="B26" s="40"/>
      <c r="C26" s="45"/>
      <c r="D26" s="46"/>
      <c r="E26" s="46"/>
      <c r="F26" s="46"/>
      <c r="G26" s="47"/>
      <c r="H26" s="46"/>
      <c r="I26" s="46"/>
      <c r="J26" s="46"/>
      <c r="K26" s="46"/>
      <c r="L26" s="47"/>
      <c r="M26" s="47"/>
      <c r="N26" s="52"/>
    </row>
    <row r="27" ht="20.85" customHeight="1">
      <c r="A27" s="108"/>
      <c r="B27" s="54"/>
      <c r="C27" s="54"/>
      <c r="D27" s="55"/>
      <c r="E27" s="55"/>
      <c r="F27" s="55"/>
      <c r="G27" s="56"/>
      <c r="H27" s="56"/>
      <c r="I27" s="54"/>
      <c r="J27" s="57"/>
      <c r="K27" t="s" s="58">
        <v>38</v>
      </c>
      <c r="L27" s="59" cm="1">
        <f t="array" ref="L27">SUM(L1:L26)</f>
        <v>90111148.95999999</v>
      </c>
      <c r="M27" s="59" cm="1">
        <f t="array" ref="M27">SUM(M1:M26)</f>
        <v>90075664</v>
      </c>
      <c r="N27" s="59" cm="1">
        <f t="array" ref="N27">SUM(N1:N26)</f>
        <v>90075664</v>
      </c>
    </row>
    <row r="28" ht="21" customHeight="1">
      <c r="A28" s="63" cm="1">
        <f t="array" ref="A28">ROUND(IF(I28&lt;=100000000,I28*0.24%,IF(AND(I28&gt;100000000,I28&lt;=500000000),100000000*0.24%+(I28-100000000)*0.19%,IF(AND(I28&gt;500000000,I28&lt;=1000000000),100000000*0.24%+400000000*0.19%+(I28-500000000)*0.15%,IF(AND(I28&gt;1000000000,I28&lt;=5000000000),100000000*0.24%+400000000*0.19%+500000000*0.15%+(I28-1000000000)*0.12%,IF(I28&gt;5000000000,100000000*0.24%+400000000*0.19%+500000000*0.15%+4000000000*0.12%+(I28-5000000000)*0.1%,"Bingung komputer"))))),2)</f>
        <v>0</v>
      </c>
      <c r="B28" t="s" s="109">
        <v>39</v>
      </c>
      <c r="C28" s="62"/>
      <c r="D28" s="63" cm="1">
        <f t="array" ref="D28">ROUND(IF(L28&lt;=100000000,L28*0.24%,IF(AND(L28&gt;100000000,L28&lt;=500000000),100000000*0.24%+(L28-100000000)*0.19%,IF(AND(L28&gt;500000000,L28&lt;=1000000000),100000000*0.24%+400000000*0.19%+(L28-500000000)*0.15%,IF(AND(L28&gt;1000000000,L28&lt;=5000000000),100000000*0.24%+400000000*0.19%+500000000*0.15%+(L28-1000000000)*0.12%,IF(L28&gt;5000000000,100000000*0.24%+400000000*0.19%+500000000*0.15%+4000000000*0.12%+(L28-5000000000)*0.1%,"Bingung komputer"))))),2)</f>
        <v>215748.96</v>
      </c>
      <c r="E28" s="64" cm="1">
        <f t="array" ref="E28">ROUND(IF(M28&lt;=100000000,M28*0.24%,IF(AND(M28&gt;100000000,M28&lt;=500000000),100000000*0.24%+(M28-100000000)*0.19%,IF(AND(M28&gt;500000000,M28&lt;=1000000000),100000000*0.24%+400000000*0.19%+(M28-500000000)*0.15%,IF(AND(M28&gt;1000000000,M28&lt;=5000000000),100000000*0.24%+400000000*0.19%+500000000*0.15%+(M28-1000000000)*0.12%,IF(M28&gt;5000000000,100000000*0.24%+400000000*0.19%+500000000*0.15%+4000000000*0.12%+(M28-5000000000)*0.1%,"Bingung komputer"))))),2)</f>
        <v>215664</v>
      </c>
      <c r="F28" s="64" cm="1">
        <f t="array" ref="F28">ROUND(IF(N28&lt;=100000000,N28*0.24%,IF(AND(N28&gt;100000000,N28&lt;=500000000),100000000*0.24%+(N28-100000000)*0.19%,IF(AND(N28&gt;500000000,N28&lt;=1000000000),100000000*0.24%+400000000*0.19%+(N28-500000000)*0.15%,IF(AND(N28&gt;1000000000,N28&lt;=5000000000),100000000*0.24%+400000000*0.19%+500000000*0.15%+(N28-1000000000)*0.12%,IF(N28&gt;5000000000,100000000*0.24%+400000000*0.19%+500000000*0.15%+4000000000*0.12%+(N28-5000000000)*0.1%,"Bingung komputer"))))),2)</f>
        <v>215664</v>
      </c>
      <c r="G28" s="65"/>
      <c r="H28" s="66"/>
      <c r="I28" s="68"/>
      <c r="J28" s="67"/>
      <c r="K28" t="str" s="67" cm="1">
        <f t="array" ref="K28">"Jumlah Terkena Pajak "&amp;MAX(K3:K26)&amp;"% (B)"</f>
        <v>Jumlah Terkena Pajak 11,00% (B)</v>
      </c>
      <c r="L28" s="68" cm="1">
        <f t="array" ref="L28">SUMIF($K3:$K26,"&gt;0",L3:L26)</f>
        <v>89895400</v>
      </c>
      <c r="M28" s="69" cm="1">
        <f t="array" ref="M28">SUMIF($K3:$K26,"&gt;0",M3:M26)</f>
        <v>89860000</v>
      </c>
      <c r="N28" s="69" cm="1">
        <f t="array" ref="N28">SUMIF($K3:$K26,"&gt;0",N3:N26)</f>
        <v>89860000</v>
      </c>
    </row>
    <row r="29" ht="21" customHeight="1">
      <c r="A29" s="70"/>
      <c r="B29" s="71"/>
      <c r="C29" s="71"/>
      <c r="D29" s="72"/>
      <c r="E29" s="72"/>
      <c r="F29" s="71"/>
      <c r="G29" s="72"/>
      <c r="H29" s="72"/>
      <c r="I29" s="74"/>
      <c r="J29" s="73"/>
      <c r="K29" t="str" s="73" cm="1">
        <f t="array" ref="K29">"PPN (C) = "&amp;MAX(K3:K26)&amp;"% x B"</f>
        <v>PPN (C) = 11,00% x B</v>
      </c>
      <c r="L29" s="74" cm="1">
        <f t="array" ref="L29">L28*MAX($K3:$K26)%</f>
        <v>9888494</v>
      </c>
      <c r="M29" s="69" cm="1">
        <f t="array" ref="M29">M28*MAX($K3:$K26)%</f>
        <v>9884600</v>
      </c>
      <c r="N29" s="69" cm="1">
        <f t="array" ref="N29">N28*MAX($K3:$K26)%</f>
        <v>9884600</v>
      </c>
    </row>
    <row r="30" ht="21" customHeight="1">
      <c r="A30" s="70"/>
      <c r="B30" s="71"/>
      <c r="C30" s="71"/>
      <c r="D30" t="s" s="110">
        <v>116</v>
      </c>
      <c r="E30" s="112">
        <v>100000000</v>
      </c>
      <c r="F30" s="112">
        <v>99784500</v>
      </c>
      <c r="G30" s="72"/>
      <c r="H30" s="72"/>
      <c r="I30" s="71"/>
      <c r="J30" s="73"/>
      <c r="K30" t="s" s="75">
        <v>42</v>
      </c>
      <c r="L30" s="76" cm="1">
        <f t="array" ref="L30">L27+L29</f>
        <v>99999642.95999999</v>
      </c>
      <c r="M30" s="69" cm="1">
        <f t="array" ref="M30">M27+M29</f>
        <v>99960264</v>
      </c>
      <c r="N30" s="69" cm="1">
        <f t="array" ref="N30">N27+N29</f>
        <v>99960264</v>
      </c>
    </row>
    <row r="31" ht="20.5" customHeight="1">
      <c r="A31" s="70"/>
      <c r="B31" s="71"/>
      <c r="C31" s="71"/>
      <c r="D31" s="72"/>
      <c r="E31" s="72" cm="1">
        <f t="array" ref="E31">E$30-L$31</f>
        <v>357.04</v>
      </c>
      <c r="F31" s="113" cm="1">
        <f t="array" ref="F31">ROUNDDOWN(E$30-D$28,2)</f>
        <v>99784251.04000001</v>
      </c>
      <c r="G31" s="72"/>
      <c r="H31" s="72"/>
      <c r="I31" s="71"/>
      <c r="J31" s="73"/>
      <c r="K31" t="s" s="75">
        <v>43</v>
      </c>
      <c r="L31" s="68" cm="1">
        <f t="array" ref="L31">ROUNDDOWN(L30,2)</f>
        <v>99999642.95999999</v>
      </c>
      <c r="M31" s="68" cm="1">
        <f t="array" ref="M31">ROUNDDOWN(M30,2)</f>
        <v>99960264</v>
      </c>
      <c r="N31" s="68" cm="1">
        <f t="array" ref="N31">ROUNDDOWN(N30,-3)</f>
        <v>99960000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39.xml><?xml version="1.0" encoding="utf-8"?>
<worksheet xmlns:r="http://schemas.openxmlformats.org/officeDocument/2006/relationships" xmlns="http://schemas.openxmlformats.org/spreadsheetml/2006/main">
  <sheetPr>
    <pageSetUpPr fitToPage="1"/>
  </sheetPr>
  <dimension ref="A1:N31"/>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334" customWidth="1"/>
    <col min="2" max="2" width="43.0312" style="334" customWidth="1"/>
    <col min="3" max="3" width="2.75" style="334" customWidth="1"/>
    <col min="4" max="6" width="10.3672" style="334" customWidth="1"/>
    <col min="7" max="7" width="11.6875" style="334" customWidth="1"/>
    <col min="8" max="11" width="13.5156" style="334" customWidth="1"/>
    <col min="12" max="14" width="14.2344" style="334" customWidth="1"/>
    <col min="15" max="16384" width="16.3516" style="334"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109</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s="95">
        <v>1</v>
      </c>
      <c r="B4" t="s" s="19">
        <v>110</v>
      </c>
      <c r="C4" s="20"/>
      <c r="D4" s="21">
        <v>1</v>
      </c>
      <c r="E4" s="21" cm="1">
        <f t="array" ref="E4">D4</f>
        <v>1</v>
      </c>
      <c r="F4" s="21" cm="1">
        <f t="array" ref="F4">D4</f>
        <v>1</v>
      </c>
      <c r="G4" t="s" s="22">
        <v>19</v>
      </c>
      <c r="H4" s="21" cm="1">
        <f t="array" ref="H4">ROUNDDOWN((F$30*0.1)*100/111,-2)</f>
        <v>8989500</v>
      </c>
      <c r="I4" s="21">
        <v>9000000</v>
      </c>
      <c r="J4" s="21">
        <v>9000000</v>
      </c>
      <c r="K4" s="21">
        <v>11</v>
      </c>
      <c r="L4" s="21" cm="1">
        <f t="array" ref="L4">IF(D4&gt;0,IF($D4&lt;=0,0,D4*H4),"")</f>
        <v>8989500</v>
      </c>
      <c r="M4" s="21" cm="1">
        <f t="array" ref="M4">IF(E4&gt;0,IF($D4&lt;=0,0,ROUND(E4*I4,2)),"")</f>
        <v>9000000</v>
      </c>
      <c r="N4" s="23" cm="1">
        <f t="array" ref="N4">IF(F4&gt;0,IF($D4&lt;=0,0,ROUND(F4*J4,2)),"")</f>
        <v>9000000</v>
      </c>
    </row>
    <row r="5" ht="20.5" customHeight="1">
      <c r="A5" s="95">
        <v>2</v>
      </c>
      <c r="B5" t="s" s="19">
        <v>111</v>
      </c>
      <c r="C5" s="24"/>
      <c r="D5" s="26">
        <v>1</v>
      </c>
      <c r="E5" s="26" cm="1">
        <f t="array" ref="E5">D5</f>
        <v>1</v>
      </c>
      <c r="F5" s="26" cm="1">
        <f t="array" ref="F5">D5</f>
        <v>1</v>
      </c>
      <c r="G5" t="s" s="27">
        <v>19</v>
      </c>
      <c r="H5" s="26" cm="1">
        <f t="array" ref="H5">ROUNDDOWN((F$30*0.2)*100/111,-2)</f>
        <v>17979100</v>
      </c>
      <c r="I5" s="26">
        <v>16960000</v>
      </c>
      <c r="J5" s="26">
        <v>16960000</v>
      </c>
      <c r="K5" s="26">
        <v>11</v>
      </c>
      <c r="L5" s="26" cm="1">
        <f t="array" ref="L5">IF(D5&gt;0,IF($D5&lt;=0,0,D5*H5),"")</f>
        <v>17979100</v>
      </c>
      <c r="M5" s="26" cm="1">
        <f t="array" ref="M5">IF(E5&gt;0,IF($D5&lt;=0,0,ROUND(E5*I5,2)),"")</f>
        <v>16960000</v>
      </c>
      <c r="N5" s="28" cm="1">
        <f t="array" ref="N5">IF(F5&gt;0,IF($D5&lt;=0,0,ROUND(F5*J5,2)),"")</f>
        <v>16960000</v>
      </c>
    </row>
    <row r="6" ht="20.5" customHeight="1">
      <c r="A6" s="95">
        <v>3</v>
      </c>
      <c r="B6" t="s" s="19">
        <v>112</v>
      </c>
      <c r="C6" s="20"/>
      <c r="D6" s="21">
        <v>1</v>
      </c>
      <c r="E6" s="21" cm="1">
        <f t="array" ref="E6">D6</f>
        <v>1</v>
      </c>
      <c r="F6" s="21" cm="1">
        <f t="array" ref="F6">D6</f>
        <v>1</v>
      </c>
      <c r="G6" t="s" s="22">
        <v>19</v>
      </c>
      <c r="H6" s="21" cm="1">
        <f t="array" ref="H6">ROUNDDOWN((F$30*0.25)*100/111,-2)</f>
        <v>22473900</v>
      </c>
      <c r="I6" s="21">
        <v>22700000</v>
      </c>
      <c r="J6" s="21">
        <v>22700000</v>
      </c>
      <c r="K6" s="21">
        <v>11</v>
      </c>
      <c r="L6" s="21" cm="1">
        <f t="array" ref="L6">IF(D6&gt;0,IF($D6&lt;=0,0,D6*H6),"")</f>
        <v>22473900</v>
      </c>
      <c r="M6" s="21" cm="1">
        <f t="array" ref="M6">IF(E6&gt;0,IF($D6&lt;=0,0,ROUND(E6*I6,2)),"")</f>
        <v>22700000</v>
      </c>
      <c r="N6" s="23" cm="1">
        <f t="array" ref="N6">IF(F6&gt;0,IF($D6&lt;=0,0,ROUND(F6*J6,2)),"")</f>
        <v>22700000</v>
      </c>
    </row>
    <row r="7" ht="68.5" customHeight="1">
      <c r="A7" s="95">
        <v>5</v>
      </c>
      <c r="B7" t="s" s="19">
        <v>113</v>
      </c>
      <c r="C7" s="24"/>
      <c r="D7" s="26">
        <v>1</v>
      </c>
      <c r="E7" s="26" cm="1">
        <f t="array" ref="E7">D7</f>
        <v>1</v>
      </c>
      <c r="F7" s="26" cm="1">
        <f t="array" ref="F7">D7</f>
        <v>1</v>
      </c>
      <c r="G7" t="s" s="27">
        <v>19</v>
      </c>
      <c r="H7" s="26" cm="1">
        <f t="array" ref="H7">ROUNDDOWN((F$30*0.25)*100/111,-2)</f>
        <v>22473900</v>
      </c>
      <c r="I7" s="26">
        <v>22600000</v>
      </c>
      <c r="J7" s="26">
        <v>22600000</v>
      </c>
      <c r="K7" s="26">
        <v>11</v>
      </c>
      <c r="L7" s="26" cm="1">
        <f t="array" ref="L7">IF(D7&gt;0,IF($D7&lt;=0,0,D7*H7),"")</f>
        <v>22473900</v>
      </c>
      <c r="M7" s="26" cm="1">
        <f t="array" ref="M7">IF(E7&gt;0,IF($D7&lt;=0,0,ROUND(E7*I7,2)),"")</f>
        <v>22600000</v>
      </c>
      <c r="N7" s="28" cm="1">
        <f t="array" ref="N7">IF(F7&gt;0,IF($D7&lt;=0,0,ROUND(F7*J7,2)),"")</f>
        <v>22600000</v>
      </c>
    </row>
    <row r="8" ht="32.5" customHeight="1">
      <c r="A8" s="95">
        <v>6</v>
      </c>
      <c r="B8" t="s" s="19">
        <v>114</v>
      </c>
      <c r="C8" s="20"/>
      <c r="D8" s="21">
        <v>1</v>
      </c>
      <c r="E8" s="21" cm="1">
        <f t="array" ref="E8">D8</f>
        <v>1</v>
      </c>
      <c r="F8" s="21" cm="1">
        <f t="array" ref="F8">D8</f>
        <v>1</v>
      </c>
      <c r="G8" t="s" s="22">
        <v>19</v>
      </c>
      <c r="H8" s="21" cm="1">
        <f t="array" ref="H8">ROUNDDOWN((F$30*0.05)*100/111,-2)</f>
        <v>4494700</v>
      </c>
      <c r="I8" s="21">
        <v>4600000</v>
      </c>
      <c r="J8" s="21">
        <v>4600000</v>
      </c>
      <c r="K8" s="21">
        <v>11</v>
      </c>
      <c r="L8" s="21" cm="1">
        <f t="array" ref="L8">IF(D8&gt;0,IF($D8&lt;=0,0,D8*H8),"")</f>
        <v>4494700</v>
      </c>
      <c r="M8" s="21" cm="1">
        <f t="array" ref="M8">IF(E8&gt;0,IF($D8&lt;=0,0,ROUND(E8*I8,2)),"")</f>
        <v>4600000</v>
      </c>
      <c r="N8" s="23" cm="1">
        <f t="array" ref="N8">IF(F8&gt;0,IF($D8&lt;=0,0,ROUND(F8*J8,2)),"")</f>
        <v>4600000</v>
      </c>
    </row>
    <row r="9" ht="20.5" customHeight="1">
      <c r="A9" s="95">
        <v>7</v>
      </c>
      <c r="B9" t="s" s="19">
        <v>115</v>
      </c>
      <c r="C9" s="24"/>
      <c r="D9" s="26">
        <v>1</v>
      </c>
      <c r="E9" s="26" cm="1">
        <f t="array" ref="E9">D9</f>
        <v>1</v>
      </c>
      <c r="F9" s="26" cm="1">
        <f t="array" ref="F9">D9</f>
        <v>1</v>
      </c>
      <c r="G9" t="s" s="27">
        <v>19</v>
      </c>
      <c r="H9" s="26" cm="1">
        <f t="array" ref="H9">ROUNDDOWN((F$30*0.15)*100/111,-2)</f>
        <v>13484300</v>
      </c>
      <c r="I9" s="26">
        <v>14000000</v>
      </c>
      <c r="J9" s="26">
        <v>14000000</v>
      </c>
      <c r="K9" s="26">
        <v>11</v>
      </c>
      <c r="L9" s="26" cm="1">
        <f t="array" ref="L9">IF(D9&gt;0,IF($D9&lt;=0,0,D9*H9),"")</f>
        <v>13484300</v>
      </c>
      <c r="M9" s="26" cm="1">
        <f t="array" ref="M9">IF(E9&gt;0,IF($D9&lt;=0,0,ROUND(E9*I9,2)),"")</f>
        <v>14000000</v>
      </c>
      <c r="N9" s="28" cm="1">
        <f t="array" ref="N9">IF(F9&gt;0,IF($D9&lt;=0,0,ROUND(F9*J9,2)),"")</f>
        <v>14000000</v>
      </c>
    </row>
    <row r="10" ht="20.6" customHeight="1">
      <c r="A10" s="33">
        <v>8</v>
      </c>
      <c r="B10" t="s" s="34">
        <v>37</v>
      </c>
      <c r="C10" s="35"/>
      <c r="D10" s="36">
        <v>1</v>
      </c>
      <c r="E10" s="36" cm="1">
        <f t="array" ref="E10">D10</f>
        <v>1</v>
      </c>
      <c r="F10" s="36" cm="1">
        <f t="array" ref="F10">D10</f>
        <v>1</v>
      </c>
      <c r="G10" t="s" s="37">
        <v>19</v>
      </c>
      <c r="H10" s="36">
        <v>215748.96</v>
      </c>
      <c r="I10" s="36">
        <v>215664</v>
      </c>
      <c r="J10" s="36">
        <v>215664</v>
      </c>
      <c r="K10" s="36">
        <v>0</v>
      </c>
      <c r="L10" s="36" cm="1">
        <f t="array" ref="L10">IF(D10&gt;0,IF($D10&lt;=0,0,D10*H10),"")</f>
        <v>215748.96</v>
      </c>
      <c r="M10" s="36" cm="1">
        <f t="array" ref="M10">IF(E10&gt;0,IF($D10&lt;=0,0,ROUND(E10*I10,2)),"")</f>
        <v>215664</v>
      </c>
      <c r="N10" s="38" cm="1">
        <f t="array" ref="N10">IF(F10&gt;0,IF($D10&lt;=0,0,ROUND(F10*J10,2)),"")</f>
        <v>215664</v>
      </c>
    </row>
    <row r="11" ht="8.75" customHeight="1" hidden="1">
      <c r="A11" s="39"/>
      <c r="B11" s="40"/>
      <c r="C11" s="41"/>
      <c r="D11" s="42"/>
      <c r="E11" s="42"/>
      <c r="F11" s="42"/>
      <c r="G11" s="43"/>
      <c r="H11" s="42"/>
      <c r="I11" s="42"/>
      <c r="J11" s="42"/>
      <c r="K11" s="42"/>
      <c r="L11" s="42"/>
      <c r="M11" s="42"/>
      <c r="N11" s="44"/>
    </row>
    <row r="12" ht="8.75" customHeight="1" hidden="1">
      <c r="A12" s="39"/>
      <c r="B12" s="40"/>
      <c r="C12" s="45"/>
      <c r="D12" s="46"/>
      <c r="E12" s="46"/>
      <c r="F12" s="46"/>
      <c r="G12" s="47"/>
      <c r="H12" s="46"/>
      <c r="I12" s="46"/>
      <c r="J12" s="46"/>
      <c r="K12" s="46"/>
      <c r="L12" s="46"/>
      <c r="M12" s="46"/>
      <c r="N12" s="48"/>
    </row>
    <row r="13" ht="8.75" customHeight="1" hidden="1">
      <c r="A13" s="39"/>
      <c r="B13" s="40"/>
      <c r="C13" s="41"/>
      <c r="D13" s="42"/>
      <c r="E13" s="42"/>
      <c r="F13" s="42"/>
      <c r="G13" s="43"/>
      <c r="H13" s="42"/>
      <c r="I13" s="42"/>
      <c r="J13" s="42"/>
      <c r="K13" s="42"/>
      <c r="L13" s="42"/>
      <c r="M13" s="42"/>
      <c r="N13" s="44"/>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2"/>
      <c r="I15" s="42"/>
      <c r="J15" s="42"/>
      <c r="K15" s="42"/>
      <c r="L15" s="42"/>
      <c r="M15" s="42"/>
      <c r="N15" s="44"/>
    </row>
    <row r="16" ht="8.75" customHeight="1" hidden="1">
      <c r="A16" s="39"/>
      <c r="B16" s="40"/>
      <c r="C16" s="45"/>
      <c r="D16" s="46"/>
      <c r="E16" s="46"/>
      <c r="F16" s="46"/>
      <c r="G16" s="47"/>
      <c r="H16" s="46"/>
      <c r="I16" s="46"/>
      <c r="J16" s="46"/>
      <c r="K16" s="46"/>
      <c r="L16" s="46"/>
      <c r="M16" s="46"/>
      <c r="N16" s="48"/>
    </row>
    <row r="17" ht="8.75" customHeight="1" hidden="1">
      <c r="A17" s="39"/>
      <c r="B17" s="40"/>
      <c r="C17" s="41"/>
      <c r="D17" s="42"/>
      <c r="E17" s="42"/>
      <c r="F17" s="42"/>
      <c r="G17" s="43"/>
      <c r="H17" s="43"/>
      <c r="I17" s="43"/>
      <c r="J17" s="43"/>
      <c r="K17" s="42"/>
      <c r="L17" s="43"/>
      <c r="M17" s="43"/>
      <c r="N17" s="49"/>
    </row>
    <row r="18" ht="8.75" customHeight="1" hidden="1">
      <c r="A18" s="39"/>
      <c r="B18" s="40"/>
      <c r="C18" s="45"/>
      <c r="D18" s="46"/>
      <c r="E18" s="46"/>
      <c r="F18" s="46"/>
      <c r="G18" s="47"/>
      <c r="H18" s="50"/>
      <c r="I18" s="50"/>
      <c r="J18" s="50"/>
      <c r="K18" s="46"/>
      <c r="L18" s="46"/>
      <c r="M18" s="46"/>
      <c r="N18" s="48"/>
    </row>
    <row r="19" ht="8.75" customHeight="1" hidden="1">
      <c r="A19" s="39"/>
      <c r="B19" s="40"/>
      <c r="C19" s="41"/>
      <c r="D19" s="42"/>
      <c r="E19" s="42"/>
      <c r="F19" s="42"/>
      <c r="G19" s="43"/>
      <c r="H19" s="43"/>
      <c r="I19" s="43"/>
      <c r="J19" s="43"/>
      <c r="K19" s="42"/>
      <c r="L19" s="43"/>
      <c r="M19" s="43"/>
      <c r="N19" s="49"/>
    </row>
    <row r="20" ht="8.75" customHeight="1" hidden="1">
      <c r="A20" s="39"/>
      <c r="B20" s="40"/>
      <c r="C20" s="45"/>
      <c r="D20" s="46"/>
      <c r="E20" s="46"/>
      <c r="F20" s="46"/>
      <c r="G20" s="47"/>
      <c r="H20" s="46"/>
      <c r="I20" s="46"/>
      <c r="J20" s="46"/>
      <c r="K20" s="46"/>
      <c r="L20" s="46"/>
      <c r="M20" s="46"/>
      <c r="N20" s="48"/>
    </row>
    <row r="21" ht="8.75" customHeight="1" hidden="1">
      <c r="A21" s="39"/>
      <c r="B21" s="40"/>
      <c r="C21" s="41"/>
      <c r="D21" s="42"/>
      <c r="E21" s="42"/>
      <c r="F21" s="42"/>
      <c r="G21" s="43"/>
      <c r="H21" s="42"/>
      <c r="I21" s="42"/>
      <c r="J21" s="42"/>
      <c r="K21" s="42"/>
      <c r="L21" s="42"/>
      <c r="M21" s="42"/>
      <c r="N21" s="44"/>
    </row>
    <row r="22" ht="8.75" customHeight="1" hidden="1">
      <c r="A22" s="51"/>
      <c r="B22" s="40"/>
      <c r="C22" s="45"/>
      <c r="D22" s="46"/>
      <c r="E22" s="46"/>
      <c r="F22" s="46"/>
      <c r="G22" s="47"/>
      <c r="H22" s="46"/>
      <c r="I22" s="46"/>
      <c r="J22" s="46"/>
      <c r="K22" s="46"/>
      <c r="L22" s="46"/>
      <c r="M22" s="46"/>
      <c r="N22" s="48"/>
    </row>
    <row r="23" ht="8.75" customHeight="1" hidden="1">
      <c r="A23" s="51"/>
      <c r="B23" s="40"/>
      <c r="C23" s="41"/>
      <c r="D23" s="42"/>
      <c r="E23" s="42"/>
      <c r="F23" s="42"/>
      <c r="G23" s="43"/>
      <c r="H23" s="42"/>
      <c r="I23" s="42"/>
      <c r="J23" s="42"/>
      <c r="K23" s="42"/>
      <c r="L23" s="42"/>
      <c r="M23" s="42"/>
      <c r="N23" s="44"/>
    </row>
    <row r="24" ht="8.75" customHeight="1" hidden="1">
      <c r="A24" s="39"/>
      <c r="B24" s="40"/>
      <c r="C24" s="45"/>
      <c r="D24" s="46"/>
      <c r="E24" s="46"/>
      <c r="F24" s="46"/>
      <c r="G24" s="47"/>
      <c r="H24" s="46"/>
      <c r="I24" s="46"/>
      <c r="J24" s="46"/>
      <c r="K24" s="46"/>
      <c r="L24" s="47"/>
      <c r="M24" s="47"/>
      <c r="N24" s="52"/>
    </row>
    <row r="25" ht="8.75" customHeight="1" hidden="1">
      <c r="A25" s="39"/>
      <c r="B25" s="40"/>
      <c r="C25" s="41"/>
      <c r="D25" s="42"/>
      <c r="E25" s="42"/>
      <c r="F25" s="42"/>
      <c r="G25" s="43"/>
      <c r="H25" s="42"/>
      <c r="I25" s="42"/>
      <c r="J25" s="42"/>
      <c r="K25" s="42"/>
      <c r="L25" s="42"/>
      <c r="M25" s="42"/>
      <c r="N25" s="44"/>
    </row>
    <row r="26" ht="8.75" customHeight="1" hidden="1">
      <c r="A26" s="39"/>
      <c r="B26" s="40"/>
      <c r="C26" s="45"/>
      <c r="D26" s="46"/>
      <c r="E26" s="46"/>
      <c r="F26" s="46"/>
      <c r="G26" s="47"/>
      <c r="H26" s="46"/>
      <c r="I26" s="46"/>
      <c r="J26" s="46"/>
      <c r="K26" s="46"/>
      <c r="L26" s="47"/>
      <c r="M26" s="47"/>
      <c r="N26" s="52"/>
    </row>
    <row r="27" ht="20.85" customHeight="1">
      <c r="A27" s="108"/>
      <c r="B27" s="54"/>
      <c r="C27" s="54"/>
      <c r="D27" s="55"/>
      <c r="E27" s="55"/>
      <c r="F27" s="55"/>
      <c r="G27" s="56"/>
      <c r="H27" s="56"/>
      <c r="I27" s="54"/>
      <c r="J27" s="57"/>
      <c r="K27" t="s" s="58">
        <v>38</v>
      </c>
      <c r="L27" s="59" cm="1">
        <f t="array" ref="L27">SUM(L1:L26)</f>
        <v>90111148.95999999</v>
      </c>
      <c r="M27" s="59" cm="1">
        <f t="array" ref="M27">SUM(M1:M26)</f>
        <v>90075664</v>
      </c>
      <c r="N27" s="59" cm="1">
        <f t="array" ref="N27">SUM(N1:N26)</f>
        <v>90075664</v>
      </c>
    </row>
    <row r="28" ht="21" customHeight="1">
      <c r="A28" s="63" cm="1">
        <f t="array" ref="A28">ROUND(IF(I28&lt;=100000000,I28*0.24%,IF(AND(I28&gt;100000000,I28&lt;=500000000),100000000*0.24%+(I28-100000000)*0.19%,IF(AND(I28&gt;500000000,I28&lt;=1000000000),100000000*0.24%+400000000*0.19%+(I28-500000000)*0.15%,IF(AND(I28&gt;1000000000,I28&lt;=5000000000),100000000*0.24%+400000000*0.19%+500000000*0.15%+(I28-1000000000)*0.12%,IF(I28&gt;5000000000,100000000*0.24%+400000000*0.19%+500000000*0.15%+4000000000*0.12%+(I28-5000000000)*0.1%,"Bingung komputer"))))),2)</f>
        <v>0</v>
      </c>
      <c r="B28" t="s" s="109">
        <v>39</v>
      </c>
      <c r="C28" s="62"/>
      <c r="D28" s="63" cm="1">
        <f t="array" ref="D28">ROUND(IF(L28&lt;=100000000,L28*0.24%,IF(AND(L28&gt;100000000,L28&lt;=500000000),100000000*0.24%+(L28-100000000)*0.19%,IF(AND(L28&gt;500000000,L28&lt;=1000000000),100000000*0.24%+400000000*0.19%+(L28-500000000)*0.15%,IF(AND(L28&gt;1000000000,L28&lt;=5000000000),100000000*0.24%+400000000*0.19%+500000000*0.15%+(L28-1000000000)*0.12%,IF(L28&gt;5000000000,100000000*0.24%+400000000*0.19%+500000000*0.15%+4000000000*0.12%+(L28-5000000000)*0.1%,"Bingung komputer"))))),2)</f>
        <v>215748.96</v>
      </c>
      <c r="E28" s="64" cm="1">
        <f t="array" ref="E28">ROUND(IF(M28&lt;=100000000,M28*0.24%,IF(AND(M28&gt;100000000,M28&lt;=500000000),100000000*0.24%+(M28-100000000)*0.19%,IF(AND(M28&gt;500000000,M28&lt;=1000000000),100000000*0.24%+400000000*0.19%+(M28-500000000)*0.15%,IF(AND(M28&gt;1000000000,M28&lt;=5000000000),100000000*0.24%+400000000*0.19%+500000000*0.15%+(M28-1000000000)*0.12%,IF(M28&gt;5000000000,100000000*0.24%+400000000*0.19%+500000000*0.15%+4000000000*0.12%+(M28-5000000000)*0.1%,"Bingung komputer"))))),2)</f>
        <v>215664</v>
      </c>
      <c r="F28" s="64" cm="1">
        <f t="array" ref="F28">ROUND(IF(N28&lt;=100000000,N28*0.24%,IF(AND(N28&gt;100000000,N28&lt;=500000000),100000000*0.24%+(N28-100000000)*0.19%,IF(AND(N28&gt;500000000,N28&lt;=1000000000),100000000*0.24%+400000000*0.19%+(N28-500000000)*0.15%,IF(AND(N28&gt;1000000000,N28&lt;=5000000000),100000000*0.24%+400000000*0.19%+500000000*0.15%+(N28-1000000000)*0.12%,IF(N28&gt;5000000000,100000000*0.24%+400000000*0.19%+500000000*0.15%+4000000000*0.12%+(N28-5000000000)*0.1%,"Bingung komputer"))))),2)</f>
        <v>215664</v>
      </c>
      <c r="G28" s="65"/>
      <c r="H28" s="66"/>
      <c r="I28" s="68"/>
      <c r="J28" s="67"/>
      <c r="K28" t="str" s="67" cm="1">
        <f t="array" ref="K28">"Jumlah Terkena Pajak "&amp;MAX(K3:K26)&amp;"% (B)"</f>
        <v>Jumlah Terkena Pajak 11,00% (B)</v>
      </c>
      <c r="L28" s="68" cm="1">
        <f t="array" ref="L28">SUMIF($K3:$K26,"&gt;0",L3:L26)</f>
        <v>89895400</v>
      </c>
      <c r="M28" s="69" cm="1">
        <f t="array" ref="M28">SUMIF($K3:$K26,"&gt;0",M3:M26)</f>
        <v>89860000</v>
      </c>
      <c r="N28" s="69" cm="1">
        <f t="array" ref="N28">SUMIF($K3:$K26,"&gt;0",N3:N26)</f>
        <v>89860000</v>
      </c>
    </row>
    <row r="29" ht="21" customHeight="1">
      <c r="A29" s="70"/>
      <c r="B29" s="71"/>
      <c r="C29" s="71"/>
      <c r="D29" s="72"/>
      <c r="E29" s="72"/>
      <c r="F29" s="71"/>
      <c r="G29" s="72"/>
      <c r="H29" s="72"/>
      <c r="I29" s="74"/>
      <c r="J29" s="73"/>
      <c r="K29" t="str" s="73" cm="1">
        <f t="array" ref="K29">"PPN (C) = "&amp;MAX(K3:K26)&amp;"% x B"</f>
        <v>PPN (C) = 11,00% x B</v>
      </c>
      <c r="L29" s="74" cm="1">
        <f t="array" ref="L29">L28*MAX($K3:$K26)%</f>
        <v>9888494</v>
      </c>
      <c r="M29" s="69" cm="1">
        <f t="array" ref="M29">M28*MAX($K3:$K26)%</f>
        <v>9884600</v>
      </c>
      <c r="N29" s="69" cm="1">
        <f t="array" ref="N29">N28*MAX($K3:$K26)%</f>
        <v>9884600</v>
      </c>
    </row>
    <row r="30" ht="21" customHeight="1">
      <c r="A30" s="70"/>
      <c r="B30" s="71"/>
      <c r="C30" s="71"/>
      <c r="D30" t="s" s="110">
        <v>116</v>
      </c>
      <c r="E30" s="112">
        <v>100000000</v>
      </c>
      <c r="F30" s="112">
        <v>99784500</v>
      </c>
      <c r="G30" s="72"/>
      <c r="H30" s="72"/>
      <c r="I30" s="71"/>
      <c r="J30" s="73"/>
      <c r="K30" t="s" s="75">
        <v>42</v>
      </c>
      <c r="L30" s="76" cm="1">
        <f t="array" ref="L30">L27+L29</f>
        <v>99999642.95999999</v>
      </c>
      <c r="M30" s="69" cm="1">
        <f t="array" ref="M30">M27+M29</f>
        <v>99960264</v>
      </c>
      <c r="N30" s="69" cm="1">
        <f t="array" ref="N30">N27+N29</f>
        <v>99960264</v>
      </c>
    </row>
    <row r="31" ht="20.5" customHeight="1">
      <c r="A31" s="70"/>
      <c r="B31" s="71"/>
      <c r="C31" s="71"/>
      <c r="D31" s="72"/>
      <c r="E31" s="72" cm="1">
        <f t="array" ref="E31">E$30-L$31</f>
        <v>357.04</v>
      </c>
      <c r="F31" s="113" cm="1">
        <f t="array" ref="F31">ROUNDDOWN(E$30-D$28,2)</f>
        <v>99784251.04000001</v>
      </c>
      <c r="G31" s="72"/>
      <c r="H31" s="72"/>
      <c r="I31" s="71"/>
      <c r="J31" s="73"/>
      <c r="K31" t="s" s="75">
        <v>43</v>
      </c>
      <c r="L31" s="68" cm="1">
        <f t="array" ref="L31">ROUNDDOWN(L30,2)</f>
        <v>99999642.95999999</v>
      </c>
      <c r="M31" s="68" cm="1">
        <f t="array" ref="M31">ROUNDDOWN(M30,2)</f>
        <v>99960264</v>
      </c>
      <c r="N31" s="68" cm="1">
        <f t="array" ref="N31">ROUNDDOWN(N30,-3)</f>
        <v>99960000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40.xml><?xml version="1.0" encoding="utf-8"?>
<worksheet xmlns:r="http://schemas.openxmlformats.org/officeDocument/2006/relationships" xmlns="http://schemas.openxmlformats.org/spreadsheetml/2006/main">
  <sheetPr>
    <pageSetUpPr fitToPage="1"/>
  </sheetPr>
  <dimension ref="A1:N31"/>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335" customWidth="1"/>
    <col min="2" max="2" width="43.0312" style="335" customWidth="1"/>
    <col min="3" max="3" width="2.75" style="335" customWidth="1"/>
    <col min="4" max="6" width="10.3672" style="335" customWidth="1"/>
    <col min="7" max="7" width="11.6875" style="335" customWidth="1"/>
    <col min="8" max="11" width="13.5156" style="335" customWidth="1"/>
    <col min="12" max="14" width="14.2344" style="335" customWidth="1"/>
    <col min="15" max="16384" width="16.3516" style="335"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109</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s="95">
        <v>1</v>
      </c>
      <c r="B4" t="s" s="19">
        <v>110</v>
      </c>
      <c r="C4" s="20"/>
      <c r="D4" s="21">
        <v>1</v>
      </c>
      <c r="E4" s="21" cm="1">
        <f t="array" ref="E4">D4</f>
        <v>1</v>
      </c>
      <c r="F4" s="21" cm="1">
        <f t="array" ref="F4">D4</f>
        <v>1</v>
      </c>
      <c r="G4" t="s" s="22">
        <v>19</v>
      </c>
      <c r="H4" s="21" cm="1">
        <f t="array" ref="H4">ROUNDDOWN((F$30*0.1)*100/111,-2)</f>
        <v>8989500</v>
      </c>
      <c r="I4" s="21">
        <v>9000000</v>
      </c>
      <c r="J4" s="21">
        <v>9000000</v>
      </c>
      <c r="K4" s="21">
        <v>11</v>
      </c>
      <c r="L4" s="21" cm="1">
        <f t="array" ref="L4">IF(D4&gt;0,IF($D4&lt;=0,0,D4*H4),"")</f>
        <v>8989500</v>
      </c>
      <c r="M4" s="21" cm="1">
        <f t="array" ref="M4">IF(E4&gt;0,IF($D4&lt;=0,0,ROUND(E4*I4,2)),"")</f>
        <v>9000000</v>
      </c>
      <c r="N4" s="23" cm="1">
        <f t="array" ref="N4">IF(F4&gt;0,IF($D4&lt;=0,0,ROUND(F4*J4,2)),"")</f>
        <v>9000000</v>
      </c>
    </row>
    <row r="5" ht="20.5" customHeight="1">
      <c r="A5" s="95">
        <v>2</v>
      </c>
      <c r="B5" t="s" s="19">
        <v>111</v>
      </c>
      <c r="C5" s="24"/>
      <c r="D5" s="26">
        <v>1</v>
      </c>
      <c r="E5" s="26" cm="1">
        <f t="array" ref="E5">D5</f>
        <v>1</v>
      </c>
      <c r="F5" s="26" cm="1">
        <f t="array" ref="F5">D5</f>
        <v>1</v>
      </c>
      <c r="G5" t="s" s="27">
        <v>19</v>
      </c>
      <c r="H5" s="26" cm="1">
        <f t="array" ref="H5">ROUNDDOWN((F$30*0.2)*100/111,-2)</f>
        <v>17979100</v>
      </c>
      <c r="I5" s="26">
        <v>16966000</v>
      </c>
      <c r="J5" s="26">
        <v>16966000</v>
      </c>
      <c r="K5" s="26">
        <v>11</v>
      </c>
      <c r="L5" s="26" cm="1">
        <f t="array" ref="L5">IF(D5&gt;0,IF($D5&lt;=0,0,D5*H5),"")</f>
        <v>17979100</v>
      </c>
      <c r="M5" s="26" cm="1">
        <f t="array" ref="M5">IF(E5&gt;0,IF($D5&lt;=0,0,ROUND(E5*I5,2)),"")</f>
        <v>16966000</v>
      </c>
      <c r="N5" s="28" cm="1">
        <f t="array" ref="N5">IF(F5&gt;0,IF($D5&lt;=0,0,ROUND(F5*J5,2)),"")</f>
        <v>16966000</v>
      </c>
    </row>
    <row r="6" ht="20.5" customHeight="1">
      <c r="A6" s="95">
        <v>3</v>
      </c>
      <c r="B6" t="s" s="19">
        <v>112</v>
      </c>
      <c r="C6" s="20"/>
      <c r="D6" s="21">
        <v>1</v>
      </c>
      <c r="E6" s="21" cm="1">
        <f t="array" ref="E6">D6</f>
        <v>1</v>
      </c>
      <c r="F6" s="21" cm="1">
        <f t="array" ref="F6">D6</f>
        <v>1</v>
      </c>
      <c r="G6" t="s" s="22">
        <v>19</v>
      </c>
      <c r="H6" s="21" cm="1">
        <f t="array" ref="H6">ROUNDDOWN((F$30*0.25)*100/111,-2)</f>
        <v>22473900</v>
      </c>
      <c r="I6" s="21">
        <v>22760000</v>
      </c>
      <c r="J6" s="21">
        <v>22760000</v>
      </c>
      <c r="K6" s="21">
        <v>11</v>
      </c>
      <c r="L6" s="21" cm="1">
        <f t="array" ref="L6">IF(D6&gt;0,IF($D6&lt;=0,0,D6*H6),"")</f>
        <v>22473900</v>
      </c>
      <c r="M6" s="21" cm="1">
        <f t="array" ref="M6">IF(E6&gt;0,IF($D6&lt;=0,0,ROUND(E6*I6,2)),"")</f>
        <v>22760000</v>
      </c>
      <c r="N6" s="23" cm="1">
        <f t="array" ref="N6">IF(F6&gt;0,IF($D6&lt;=0,0,ROUND(F6*J6,2)),"")</f>
        <v>22760000</v>
      </c>
    </row>
    <row r="7" ht="68.5" customHeight="1">
      <c r="A7" s="95">
        <v>5</v>
      </c>
      <c r="B7" t="s" s="19">
        <v>113</v>
      </c>
      <c r="C7" s="24"/>
      <c r="D7" s="26">
        <v>1</v>
      </c>
      <c r="E7" s="26" cm="1">
        <f t="array" ref="E7">D7</f>
        <v>1</v>
      </c>
      <c r="F7" s="26" cm="1">
        <f t="array" ref="F7">D7</f>
        <v>1</v>
      </c>
      <c r="G7" t="s" s="27">
        <v>19</v>
      </c>
      <c r="H7" s="26" cm="1">
        <f t="array" ref="H7">ROUNDDOWN((F$30*0.25)*100/111,-2)</f>
        <v>22473900</v>
      </c>
      <c r="I7" s="26">
        <v>22600000</v>
      </c>
      <c r="J7" s="26">
        <v>22600000</v>
      </c>
      <c r="K7" s="26">
        <v>11</v>
      </c>
      <c r="L7" s="26" cm="1">
        <f t="array" ref="L7">IF(D7&gt;0,IF($D7&lt;=0,0,D7*H7),"")</f>
        <v>22473900</v>
      </c>
      <c r="M7" s="26" cm="1">
        <f t="array" ref="M7">IF(E7&gt;0,IF($D7&lt;=0,0,ROUND(E7*I7,2)),"")</f>
        <v>22600000</v>
      </c>
      <c r="N7" s="28" cm="1">
        <f t="array" ref="N7">IF(F7&gt;0,IF($D7&lt;=0,0,ROUND(F7*J7,2)),"")</f>
        <v>22600000</v>
      </c>
    </row>
    <row r="8" ht="32.5" customHeight="1">
      <c r="A8" s="95">
        <v>6</v>
      </c>
      <c r="B8" t="s" s="19">
        <v>114</v>
      </c>
      <c r="C8" s="20"/>
      <c r="D8" s="21">
        <v>1</v>
      </c>
      <c r="E8" s="21" cm="1">
        <f t="array" ref="E8">D8</f>
        <v>1</v>
      </c>
      <c r="F8" s="21" cm="1">
        <f t="array" ref="F8">D8</f>
        <v>1</v>
      </c>
      <c r="G8" t="s" s="22">
        <v>19</v>
      </c>
      <c r="H8" s="21" cm="1">
        <f t="array" ref="H8">ROUNDDOWN((F$30*0.05)*100/111,-2)</f>
        <v>4494700</v>
      </c>
      <c r="I8" s="21">
        <v>4560000</v>
      </c>
      <c r="J8" s="21">
        <v>4560000</v>
      </c>
      <c r="K8" s="21">
        <v>11</v>
      </c>
      <c r="L8" s="21" cm="1">
        <f t="array" ref="L8">IF(D8&gt;0,IF($D8&lt;=0,0,D8*H8),"")</f>
        <v>4494700</v>
      </c>
      <c r="M8" s="21" cm="1">
        <f t="array" ref="M8">IF(E8&gt;0,IF($D8&lt;=0,0,ROUND(E8*I8,2)),"")</f>
        <v>4560000</v>
      </c>
      <c r="N8" s="23" cm="1">
        <f t="array" ref="N8">IF(F8&gt;0,IF($D8&lt;=0,0,ROUND(F8*J8,2)),"")</f>
        <v>4560000</v>
      </c>
    </row>
    <row r="9" ht="20.5" customHeight="1">
      <c r="A9" s="95">
        <v>7</v>
      </c>
      <c r="B9" t="s" s="19">
        <v>115</v>
      </c>
      <c r="C9" s="24"/>
      <c r="D9" s="26">
        <v>1</v>
      </c>
      <c r="E9" s="26" cm="1">
        <f t="array" ref="E9">D9</f>
        <v>1</v>
      </c>
      <c r="F9" s="26" cm="1">
        <f t="array" ref="F9">D9</f>
        <v>1</v>
      </c>
      <c r="G9" t="s" s="27">
        <v>19</v>
      </c>
      <c r="H9" s="26" cm="1">
        <f t="array" ref="H9">ROUNDDOWN((F$30*0.15)*100/111,-2)</f>
        <v>13484300</v>
      </c>
      <c r="I9" s="26">
        <v>13950000</v>
      </c>
      <c r="J9" s="26">
        <v>13950000</v>
      </c>
      <c r="K9" s="26">
        <v>11</v>
      </c>
      <c r="L9" s="26" cm="1">
        <f t="array" ref="L9">IF(D9&gt;0,IF($D9&lt;=0,0,D9*H9),"")</f>
        <v>13484300</v>
      </c>
      <c r="M9" s="26" cm="1">
        <f t="array" ref="M9">IF(E9&gt;0,IF($D9&lt;=0,0,ROUND(E9*I9,2)),"")</f>
        <v>13950000</v>
      </c>
      <c r="N9" s="28" cm="1">
        <f t="array" ref="N9">IF(F9&gt;0,IF($D9&lt;=0,0,ROUND(F9*J9,2)),"")</f>
        <v>13950000</v>
      </c>
    </row>
    <row r="10" ht="20.6" customHeight="1">
      <c r="A10" s="33">
        <v>8</v>
      </c>
      <c r="B10" t="s" s="34">
        <v>37</v>
      </c>
      <c r="C10" s="35"/>
      <c r="D10" s="36">
        <v>1</v>
      </c>
      <c r="E10" s="36" cm="1">
        <f t="array" ref="E10">D10</f>
        <v>1</v>
      </c>
      <c r="F10" s="36" cm="1">
        <f t="array" ref="F10">D10</f>
        <v>1</v>
      </c>
      <c r="G10" t="s" s="37">
        <v>19</v>
      </c>
      <c r="H10" s="36">
        <v>215748.96</v>
      </c>
      <c r="I10" s="36">
        <v>215606.4</v>
      </c>
      <c r="J10" s="36">
        <v>215606.4</v>
      </c>
      <c r="K10" s="36">
        <v>0</v>
      </c>
      <c r="L10" s="36" cm="1">
        <f t="array" ref="L10">IF(D10&gt;0,IF($D10&lt;=0,0,D10*H10),"")</f>
        <v>215748.96</v>
      </c>
      <c r="M10" s="36" cm="1">
        <f t="array" ref="M10">IF(E10&gt;0,IF($D10&lt;=0,0,ROUND(E10*I10,2)),"")</f>
        <v>215606.4</v>
      </c>
      <c r="N10" s="38" cm="1">
        <f t="array" ref="N10">IF(F10&gt;0,IF($D10&lt;=0,0,ROUND(F10*J10,2)),"")</f>
        <v>215606.4</v>
      </c>
    </row>
    <row r="11" ht="8.75" customHeight="1" hidden="1">
      <c r="A11" s="39"/>
      <c r="B11" s="40"/>
      <c r="C11" s="41"/>
      <c r="D11" s="42"/>
      <c r="E11" s="42"/>
      <c r="F11" s="42"/>
      <c r="G11" s="43"/>
      <c r="H11" s="42"/>
      <c r="I11" s="42"/>
      <c r="J11" s="42"/>
      <c r="K11" s="42"/>
      <c r="L11" s="42"/>
      <c r="M11" s="42"/>
      <c r="N11" s="44"/>
    </row>
    <row r="12" ht="8.75" customHeight="1" hidden="1">
      <c r="A12" s="39"/>
      <c r="B12" s="40"/>
      <c r="C12" s="45"/>
      <c r="D12" s="46"/>
      <c r="E12" s="46"/>
      <c r="F12" s="46"/>
      <c r="G12" s="47"/>
      <c r="H12" s="46"/>
      <c r="I12" s="46"/>
      <c r="J12" s="46"/>
      <c r="K12" s="46"/>
      <c r="L12" s="46"/>
      <c r="M12" s="46"/>
      <c r="N12" s="48"/>
    </row>
    <row r="13" ht="8.75" customHeight="1" hidden="1">
      <c r="A13" s="39"/>
      <c r="B13" s="40"/>
      <c r="C13" s="41"/>
      <c r="D13" s="42"/>
      <c r="E13" s="42"/>
      <c r="F13" s="42"/>
      <c r="G13" s="43"/>
      <c r="H13" s="42"/>
      <c r="I13" s="42"/>
      <c r="J13" s="42"/>
      <c r="K13" s="42"/>
      <c r="L13" s="42"/>
      <c r="M13" s="42"/>
      <c r="N13" s="44"/>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2"/>
      <c r="I15" s="42"/>
      <c r="J15" s="42"/>
      <c r="K15" s="42"/>
      <c r="L15" s="42"/>
      <c r="M15" s="42"/>
      <c r="N15" s="44"/>
    </row>
    <row r="16" ht="8.75" customHeight="1" hidden="1">
      <c r="A16" s="39"/>
      <c r="B16" s="40"/>
      <c r="C16" s="45"/>
      <c r="D16" s="46"/>
      <c r="E16" s="46"/>
      <c r="F16" s="46"/>
      <c r="G16" s="47"/>
      <c r="H16" s="46"/>
      <c r="I16" s="46"/>
      <c r="J16" s="46"/>
      <c r="K16" s="46"/>
      <c r="L16" s="46"/>
      <c r="M16" s="46"/>
      <c r="N16" s="48"/>
    </row>
    <row r="17" ht="8.75" customHeight="1" hidden="1">
      <c r="A17" s="39"/>
      <c r="B17" s="40"/>
      <c r="C17" s="41"/>
      <c r="D17" s="42"/>
      <c r="E17" s="42"/>
      <c r="F17" s="42"/>
      <c r="G17" s="43"/>
      <c r="H17" s="43"/>
      <c r="I17" s="43"/>
      <c r="J17" s="43"/>
      <c r="K17" s="42"/>
      <c r="L17" s="43"/>
      <c r="M17" s="43"/>
      <c r="N17" s="49"/>
    </row>
    <row r="18" ht="8.75" customHeight="1" hidden="1">
      <c r="A18" s="39"/>
      <c r="B18" s="40"/>
      <c r="C18" s="45"/>
      <c r="D18" s="46"/>
      <c r="E18" s="46"/>
      <c r="F18" s="46"/>
      <c r="G18" s="47"/>
      <c r="H18" s="50"/>
      <c r="I18" s="50"/>
      <c r="J18" s="50"/>
      <c r="K18" s="46"/>
      <c r="L18" s="46"/>
      <c r="M18" s="46"/>
      <c r="N18" s="48"/>
    </row>
    <row r="19" ht="8.75" customHeight="1" hidden="1">
      <c r="A19" s="39"/>
      <c r="B19" s="40"/>
      <c r="C19" s="41"/>
      <c r="D19" s="42"/>
      <c r="E19" s="42"/>
      <c r="F19" s="42"/>
      <c r="G19" s="43"/>
      <c r="H19" s="43"/>
      <c r="I19" s="43"/>
      <c r="J19" s="43"/>
      <c r="K19" s="42"/>
      <c r="L19" s="43"/>
      <c r="M19" s="43"/>
      <c r="N19" s="49"/>
    </row>
    <row r="20" ht="8.75" customHeight="1" hidden="1">
      <c r="A20" s="39"/>
      <c r="B20" s="40"/>
      <c r="C20" s="45"/>
      <c r="D20" s="46"/>
      <c r="E20" s="46"/>
      <c r="F20" s="46"/>
      <c r="G20" s="47"/>
      <c r="H20" s="46"/>
      <c r="I20" s="46"/>
      <c r="J20" s="46"/>
      <c r="K20" s="46"/>
      <c r="L20" s="46"/>
      <c r="M20" s="46"/>
      <c r="N20" s="48"/>
    </row>
    <row r="21" ht="8.75" customHeight="1" hidden="1">
      <c r="A21" s="39"/>
      <c r="B21" s="40"/>
      <c r="C21" s="41"/>
      <c r="D21" s="42"/>
      <c r="E21" s="42"/>
      <c r="F21" s="42"/>
      <c r="G21" s="43"/>
      <c r="H21" s="42"/>
      <c r="I21" s="42"/>
      <c r="J21" s="42"/>
      <c r="K21" s="42"/>
      <c r="L21" s="42"/>
      <c r="M21" s="42"/>
      <c r="N21" s="44"/>
    </row>
    <row r="22" ht="8.75" customHeight="1" hidden="1">
      <c r="A22" s="51"/>
      <c r="B22" s="40"/>
      <c r="C22" s="45"/>
      <c r="D22" s="46"/>
      <c r="E22" s="46"/>
      <c r="F22" s="46"/>
      <c r="G22" s="47"/>
      <c r="H22" s="46"/>
      <c r="I22" s="46"/>
      <c r="J22" s="46"/>
      <c r="K22" s="46"/>
      <c r="L22" s="46"/>
      <c r="M22" s="46"/>
      <c r="N22" s="48"/>
    </row>
    <row r="23" ht="8.75" customHeight="1" hidden="1">
      <c r="A23" s="51"/>
      <c r="B23" s="40"/>
      <c r="C23" s="41"/>
      <c r="D23" s="42"/>
      <c r="E23" s="42"/>
      <c r="F23" s="42"/>
      <c r="G23" s="43"/>
      <c r="H23" s="42"/>
      <c r="I23" s="42"/>
      <c r="J23" s="42"/>
      <c r="K23" s="42"/>
      <c r="L23" s="42"/>
      <c r="M23" s="42"/>
      <c r="N23" s="44"/>
    </row>
    <row r="24" ht="8.75" customHeight="1" hidden="1">
      <c r="A24" s="39"/>
      <c r="B24" s="40"/>
      <c r="C24" s="45"/>
      <c r="D24" s="46"/>
      <c r="E24" s="46"/>
      <c r="F24" s="46"/>
      <c r="G24" s="47"/>
      <c r="H24" s="46"/>
      <c r="I24" s="46"/>
      <c r="J24" s="46"/>
      <c r="K24" s="46"/>
      <c r="L24" s="47"/>
      <c r="M24" s="47"/>
      <c r="N24" s="52"/>
    </row>
    <row r="25" ht="8.75" customHeight="1" hidden="1">
      <c r="A25" s="39"/>
      <c r="B25" s="40"/>
      <c r="C25" s="41"/>
      <c r="D25" s="42"/>
      <c r="E25" s="42"/>
      <c r="F25" s="42"/>
      <c r="G25" s="43"/>
      <c r="H25" s="42"/>
      <c r="I25" s="42"/>
      <c r="J25" s="42"/>
      <c r="K25" s="42"/>
      <c r="L25" s="42"/>
      <c r="M25" s="42"/>
      <c r="N25" s="44"/>
    </row>
    <row r="26" ht="8.75" customHeight="1" hidden="1">
      <c r="A26" s="39"/>
      <c r="B26" s="40"/>
      <c r="C26" s="45"/>
      <c r="D26" s="46"/>
      <c r="E26" s="46"/>
      <c r="F26" s="46"/>
      <c r="G26" s="47"/>
      <c r="H26" s="46"/>
      <c r="I26" s="46"/>
      <c r="J26" s="46"/>
      <c r="K26" s="46"/>
      <c r="L26" s="47"/>
      <c r="M26" s="47"/>
      <c r="N26" s="52"/>
    </row>
    <row r="27" ht="20.85" customHeight="1">
      <c r="A27" s="108"/>
      <c r="B27" s="54"/>
      <c r="C27" s="54"/>
      <c r="D27" s="55"/>
      <c r="E27" s="55"/>
      <c r="F27" s="55"/>
      <c r="G27" s="56"/>
      <c r="H27" s="56"/>
      <c r="I27" s="54"/>
      <c r="J27" s="57"/>
      <c r="K27" t="s" s="58">
        <v>38</v>
      </c>
      <c r="L27" s="59" cm="1">
        <f t="array" ref="L27">SUM(L1:L26)</f>
        <v>90111148.95999999</v>
      </c>
      <c r="M27" s="59" cm="1">
        <f t="array" ref="M27">SUM(M1:M26)</f>
        <v>90051606.40000001</v>
      </c>
      <c r="N27" s="59" cm="1">
        <f t="array" ref="N27">SUM(N1:N26)</f>
        <v>90051606.40000001</v>
      </c>
    </row>
    <row r="28" ht="21" customHeight="1">
      <c r="A28" s="63" cm="1">
        <f t="array" ref="A28">ROUND(IF(I28&lt;=100000000,I28*0.24%,IF(AND(I28&gt;100000000,I28&lt;=500000000),100000000*0.24%+(I28-100000000)*0.19%,IF(AND(I28&gt;500000000,I28&lt;=1000000000),100000000*0.24%+400000000*0.19%+(I28-500000000)*0.15%,IF(AND(I28&gt;1000000000,I28&lt;=5000000000),100000000*0.24%+400000000*0.19%+500000000*0.15%+(I28-1000000000)*0.12%,IF(I28&gt;5000000000,100000000*0.24%+400000000*0.19%+500000000*0.15%+4000000000*0.12%+(I28-5000000000)*0.1%,"Bingung komputer"))))),2)</f>
        <v>0</v>
      </c>
      <c r="B28" t="s" s="109">
        <v>39</v>
      </c>
      <c r="C28" s="62"/>
      <c r="D28" s="63" cm="1">
        <f t="array" ref="D28">ROUND(IF(L28&lt;=100000000,L28*0.24%,IF(AND(L28&gt;100000000,L28&lt;=500000000),100000000*0.24%+(L28-100000000)*0.19%,IF(AND(L28&gt;500000000,L28&lt;=1000000000),100000000*0.24%+400000000*0.19%+(L28-500000000)*0.15%,IF(AND(L28&gt;1000000000,L28&lt;=5000000000),100000000*0.24%+400000000*0.19%+500000000*0.15%+(L28-1000000000)*0.12%,IF(L28&gt;5000000000,100000000*0.24%+400000000*0.19%+500000000*0.15%+4000000000*0.12%+(L28-5000000000)*0.1%,"Bingung komputer"))))),2)</f>
        <v>215748.96</v>
      </c>
      <c r="E28" s="64" cm="1">
        <f t="array" ref="E28">ROUND(IF(M28&lt;=100000000,M28*0.24%,IF(AND(M28&gt;100000000,M28&lt;=500000000),100000000*0.24%+(M28-100000000)*0.19%,IF(AND(M28&gt;500000000,M28&lt;=1000000000),100000000*0.24%+400000000*0.19%+(M28-500000000)*0.15%,IF(AND(M28&gt;1000000000,M28&lt;=5000000000),100000000*0.24%+400000000*0.19%+500000000*0.15%+(M28-1000000000)*0.12%,IF(M28&gt;5000000000,100000000*0.24%+400000000*0.19%+500000000*0.15%+4000000000*0.12%+(M28-5000000000)*0.1%,"Bingung komputer"))))),2)</f>
        <v>215606.4</v>
      </c>
      <c r="F28" s="64" cm="1">
        <f t="array" ref="F28">ROUND(IF(N28&lt;=100000000,N28*0.24%,IF(AND(N28&gt;100000000,N28&lt;=500000000),100000000*0.24%+(N28-100000000)*0.19%,IF(AND(N28&gt;500000000,N28&lt;=1000000000),100000000*0.24%+400000000*0.19%+(N28-500000000)*0.15%,IF(AND(N28&gt;1000000000,N28&lt;=5000000000),100000000*0.24%+400000000*0.19%+500000000*0.15%+(N28-1000000000)*0.12%,IF(N28&gt;5000000000,100000000*0.24%+400000000*0.19%+500000000*0.15%+4000000000*0.12%+(N28-5000000000)*0.1%,"Bingung komputer"))))),2)</f>
        <v>215606.4</v>
      </c>
      <c r="G28" s="65"/>
      <c r="H28" s="66"/>
      <c r="I28" s="68"/>
      <c r="J28" s="67"/>
      <c r="K28" t="str" s="67" cm="1">
        <f t="array" ref="K28">"Jumlah Terkena Pajak "&amp;MAX(K3:K26)&amp;"% (B)"</f>
        <v>Jumlah Terkena Pajak 11,00% (B)</v>
      </c>
      <c r="L28" s="68" cm="1">
        <f t="array" ref="L28">SUMIF($K3:$K26,"&gt;0",L3:L26)</f>
        <v>89895400</v>
      </c>
      <c r="M28" s="69" cm="1">
        <f t="array" ref="M28">SUMIF($K3:$K26,"&gt;0",M3:M26)</f>
        <v>89836000</v>
      </c>
      <c r="N28" s="69" cm="1">
        <f t="array" ref="N28">SUMIF($K3:$K26,"&gt;0",N3:N26)</f>
        <v>89836000</v>
      </c>
    </row>
    <row r="29" ht="21" customHeight="1">
      <c r="A29" s="70"/>
      <c r="B29" s="71"/>
      <c r="C29" s="71"/>
      <c r="D29" s="72"/>
      <c r="E29" s="72"/>
      <c r="F29" s="71"/>
      <c r="G29" s="72"/>
      <c r="H29" s="72"/>
      <c r="I29" s="74"/>
      <c r="J29" s="73"/>
      <c r="K29" t="str" s="73" cm="1">
        <f t="array" ref="K29">"PPN (C) = "&amp;MAX(K3:K26)&amp;"% x B"</f>
        <v>PPN (C) = 11,00% x B</v>
      </c>
      <c r="L29" s="74" cm="1">
        <f t="array" ref="L29">L28*MAX($K3:$K26)%</f>
        <v>9888494</v>
      </c>
      <c r="M29" s="69" cm="1">
        <f t="array" ref="M29">M28*MAX($K3:$K26)%</f>
        <v>9881960</v>
      </c>
      <c r="N29" s="69" cm="1">
        <f t="array" ref="N29">N28*MAX($K3:$K26)%</f>
        <v>9881960</v>
      </c>
    </row>
    <row r="30" ht="21" customHeight="1">
      <c r="A30" s="70"/>
      <c r="B30" s="71"/>
      <c r="C30" s="71"/>
      <c r="D30" t="s" s="110">
        <v>116</v>
      </c>
      <c r="E30" s="112">
        <v>100000000</v>
      </c>
      <c r="F30" s="112">
        <v>99784500</v>
      </c>
      <c r="G30" s="72"/>
      <c r="H30" s="72"/>
      <c r="I30" s="71"/>
      <c r="J30" s="73"/>
      <c r="K30" t="s" s="75">
        <v>42</v>
      </c>
      <c r="L30" s="76" cm="1">
        <f t="array" ref="L30">L27+L29</f>
        <v>99999642.95999999</v>
      </c>
      <c r="M30" s="69" cm="1">
        <f t="array" ref="M30">M27+M29</f>
        <v>99933566.40000001</v>
      </c>
      <c r="N30" s="69" cm="1">
        <f t="array" ref="N30">N27+N29</f>
        <v>99933566.40000001</v>
      </c>
    </row>
    <row r="31" ht="20.5" customHeight="1">
      <c r="A31" s="70"/>
      <c r="B31" s="71"/>
      <c r="C31" s="71"/>
      <c r="D31" s="72"/>
      <c r="E31" s="72" cm="1">
        <f t="array" ref="E31">E$30-L$31</f>
        <v>357.04</v>
      </c>
      <c r="F31" s="113" cm="1">
        <f t="array" ref="F31">ROUNDDOWN(E$30-D$28,2)</f>
        <v>99784251.04000001</v>
      </c>
      <c r="G31" s="72"/>
      <c r="H31" s="72"/>
      <c r="I31" s="71"/>
      <c r="J31" s="73"/>
      <c r="K31" t="s" s="75">
        <v>43</v>
      </c>
      <c r="L31" s="68" cm="1">
        <f t="array" ref="L31">ROUNDDOWN(L30,2)</f>
        <v>99999642.95999999</v>
      </c>
      <c r="M31" s="68" cm="1">
        <f t="array" ref="M31">ROUNDDOWN(M30,2)</f>
        <v>99933566.40000001</v>
      </c>
      <c r="N31" s="68" cm="1">
        <f t="array" ref="N31">ROUNDDOWN(N30,-3)</f>
        <v>99933000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41.xml><?xml version="1.0" encoding="utf-8"?>
<worksheet xmlns:r="http://schemas.openxmlformats.org/officeDocument/2006/relationships" xmlns="http://schemas.openxmlformats.org/spreadsheetml/2006/main">
  <sheetPr>
    <pageSetUpPr fitToPage="1"/>
  </sheetPr>
  <dimension ref="A1:N31"/>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336" customWidth="1"/>
    <col min="2" max="2" width="43.0312" style="336" customWidth="1"/>
    <col min="3" max="3" width="2.75" style="336" customWidth="1"/>
    <col min="4" max="6" width="10.3672" style="336" customWidth="1"/>
    <col min="7" max="7" width="11.6875" style="336" customWidth="1"/>
    <col min="8" max="11" width="13.5156" style="336" customWidth="1"/>
    <col min="12" max="14" width="14.2344" style="336" customWidth="1"/>
    <col min="15" max="16384" width="16.3516" style="336"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109</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s="95">
        <v>1</v>
      </c>
      <c r="B4" t="s" s="19">
        <v>110</v>
      </c>
      <c r="C4" s="20"/>
      <c r="D4" s="21">
        <v>1</v>
      </c>
      <c r="E4" s="21" cm="1">
        <f t="array" ref="E4">D4</f>
        <v>1</v>
      </c>
      <c r="F4" s="21" cm="1">
        <f t="array" ref="F4">D4</f>
        <v>1</v>
      </c>
      <c r="G4" t="s" s="22">
        <v>19</v>
      </c>
      <c r="H4" s="21" cm="1">
        <f t="array" ref="H4">ROUNDDOWN((F$30*0.1)*100/111,-2)</f>
        <v>8989500</v>
      </c>
      <c r="I4" s="21">
        <v>9000000</v>
      </c>
      <c r="J4" s="21">
        <v>9000000</v>
      </c>
      <c r="K4" s="21">
        <v>11</v>
      </c>
      <c r="L4" s="21" cm="1">
        <f t="array" ref="L4">IF(D4&gt;0,IF($D4&lt;=0,0,D4*H4),"")</f>
        <v>8989500</v>
      </c>
      <c r="M4" s="21" cm="1">
        <f t="array" ref="M4">IF(E4&gt;0,IF($D4&lt;=0,0,ROUND(E4*I4,2)),"")</f>
        <v>9000000</v>
      </c>
      <c r="N4" s="23" cm="1">
        <f t="array" ref="N4">IF(F4&gt;0,IF($D4&lt;=0,0,ROUND(F4*J4,2)),"")</f>
        <v>9000000</v>
      </c>
    </row>
    <row r="5" ht="20.5" customHeight="1">
      <c r="A5" s="95">
        <v>2</v>
      </c>
      <c r="B5" t="s" s="19">
        <v>111</v>
      </c>
      <c r="C5" s="24"/>
      <c r="D5" s="26">
        <v>1</v>
      </c>
      <c r="E5" s="26" cm="1">
        <f t="array" ref="E5">D5</f>
        <v>1</v>
      </c>
      <c r="F5" s="26" cm="1">
        <f t="array" ref="F5">D5</f>
        <v>1</v>
      </c>
      <c r="G5" t="s" s="27">
        <v>19</v>
      </c>
      <c r="H5" s="26" cm="1">
        <f t="array" ref="H5">ROUNDDOWN((F$30*0.2)*100/111,-2)</f>
        <v>17979100</v>
      </c>
      <c r="I5" s="26">
        <v>16930000</v>
      </c>
      <c r="J5" s="26">
        <v>16930000</v>
      </c>
      <c r="K5" s="26">
        <v>11</v>
      </c>
      <c r="L5" s="26" cm="1">
        <f t="array" ref="L5">IF(D5&gt;0,IF($D5&lt;=0,0,D5*H5),"")</f>
        <v>17979100</v>
      </c>
      <c r="M5" s="26" cm="1">
        <f t="array" ref="M5">IF(E5&gt;0,IF($D5&lt;=0,0,ROUND(E5*I5,2)),"")</f>
        <v>16930000</v>
      </c>
      <c r="N5" s="28" cm="1">
        <f t="array" ref="N5">IF(F5&gt;0,IF($D5&lt;=0,0,ROUND(F5*J5,2)),"")</f>
        <v>16930000</v>
      </c>
    </row>
    <row r="6" ht="20.5" customHeight="1">
      <c r="A6" s="95">
        <v>3</v>
      </c>
      <c r="B6" t="s" s="19">
        <v>112</v>
      </c>
      <c r="C6" s="20"/>
      <c r="D6" s="21">
        <v>1</v>
      </c>
      <c r="E6" s="21" cm="1">
        <f t="array" ref="E6">D6</f>
        <v>1</v>
      </c>
      <c r="F6" s="21" cm="1">
        <f t="array" ref="F6">D6</f>
        <v>1</v>
      </c>
      <c r="G6" t="s" s="22">
        <v>19</v>
      </c>
      <c r="H6" s="21" cm="1">
        <f t="array" ref="H6">ROUNDDOWN((F$30*0.25)*100/111,-2)</f>
        <v>22473900</v>
      </c>
      <c r="I6" s="21">
        <v>22735000</v>
      </c>
      <c r="J6" s="21">
        <v>22735000</v>
      </c>
      <c r="K6" s="21">
        <v>11</v>
      </c>
      <c r="L6" s="21" cm="1">
        <f t="array" ref="L6">IF(D6&gt;0,IF($D6&lt;=0,0,D6*H6),"")</f>
        <v>22473900</v>
      </c>
      <c r="M6" s="21" cm="1">
        <f t="array" ref="M6">IF(E6&gt;0,IF($D6&lt;=0,0,ROUND(E6*I6,2)),"")</f>
        <v>22735000</v>
      </c>
      <c r="N6" s="23" cm="1">
        <f t="array" ref="N6">IF(F6&gt;0,IF($D6&lt;=0,0,ROUND(F6*J6,2)),"")</f>
        <v>22735000</v>
      </c>
    </row>
    <row r="7" ht="68.5" customHeight="1">
      <c r="A7" s="95">
        <v>5</v>
      </c>
      <c r="B7" t="s" s="19">
        <v>113</v>
      </c>
      <c r="C7" s="24"/>
      <c r="D7" s="26">
        <v>1</v>
      </c>
      <c r="E7" s="26" cm="1">
        <f t="array" ref="E7">D7</f>
        <v>1</v>
      </c>
      <c r="F7" s="26" cm="1">
        <f t="array" ref="F7">D7</f>
        <v>1</v>
      </c>
      <c r="G7" t="s" s="27">
        <v>19</v>
      </c>
      <c r="H7" s="26" cm="1">
        <f t="array" ref="H7">ROUNDDOWN((F$30*0.25)*100/111,-2)</f>
        <v>22473900</v>
      </c>
      <c r="I7" s="26">
        <v>22600000</v>
      </c>
      <c r="J7" s="26">
        <v>22600000</v>
      </c>
      <c r="K7" s="26">
        <v>11</v>
      </c>
      <c r="L7" s="26" cm="1">
        <f t="array" ref="L7">IF(D7&gt;0,IF($D7&lt;=0,0,D7*H7),"")</f>
        <v>22473900</v>
      </c>
      <c r="M7" s="26" cm="1">
        <f t="array" ref="M7">IF(E7&gt;0,IF($D7&lt;=0,0,ROUND(E7*I7,2)),"")</f>
        <v>22600000</v>
      </c>
      <c r="N7" s="28" cm="1">
        <f t="array" ref="N7">IF(F7&gt;0,IF($D7&lt;=0,0,ROUND(F7*J7,2)),"")</f>
        <v>22600000</v>
      </c>
    </row>
    <row r="8" ht="32.5" customHeight="1">
      <c r="A8" s="95">
        <v>6</v>
      </c>
      <c r="B8" t="s" s="19">
        <v>114</v>
      </c>
      <c r="C8" s="20"/>
      <c r="D8" s="21">
        <v>1</v>
      </c>
      <c r="E8" s="21" cm="1">
        <f t="array" ref="E8">D8</f>
        <v>1</v>
      </c>
      <c r="F8" s="21" cm="1">
        <f t="array" ref="F8">D8</f>
        <v>1</v>
      </c>
      <c r="G8" t="s" s="22">
        <v>19</v>
      </c>
      <c r="H8" s="21" cm="1">
        <f t="array" ref="H8">ROUNDDOWN((F$30*0.05)*100/111,-2)</f>
        <v>4494700</v>
      </c>
      <c r="I8" s="21">
        <v>4600000</v>
      </c>
      <c r="J8" s="21">
        <v>4600000</v>
      </c>
      <c r="K8" s="21">
        <v>11</v>
      </c>
      <c r="L8" s="21" cm="1">
        <f t="array" ref="L8">IF(D8&gt;0,IF($D8&lt;=0,0,D8*H8),"")</f>
        <v>4494700</v>
      </c>
      <c r="M8" s="21" cm="1">
        <f t="array" ref="M8">IF(E8&gt;0,IF($D8&lt;=0,0,ROUND(E8*I8,2)),"")</f>
        <v>4600000</v>
      </c>
      <c r="N8" s="23" cm="1">
        <f t="array" ref="N8">IF(F8&gt;0,IF($D8&lt;=0,0,ROUND(F8*J8,2)),"")</f>
        <v>4600000</v>
      </c>
    </row>
    <row r="9" ht="20.5" customHeight="1">
      <c r="A9" s="95">
        <v>7</v>
      </c>
      <c r="B9" t="s" s="19">
        <v>115</v>
      </c>
      <c r="C9" s="24"/>
      <c r="D9" s="26">
        <v>1</v>
      </c>
      <c r="E9" s="26" cm="1">
        <f t="array" ref="E9">D9</f>
        <v>1</v>
      </c>
      <c r="F9" s="26" cm="1">
        <f t="array" ref="F9">D9</f>
        <v>1</v>
      </c>
      <c r="G9" t="s" s="27">
        <v>19</v>
      </c>
      <c r="H9" s="26" cm="1">
        <f t="array" ref="H9">ROUNDDOWN((F$30*0.15)*100/111,-2)</f>
        <v>13484300</v>
      </c>
      <c r="I9" s="26">
        <v>14000000</v>
      </c>
      <c r="J9" s="26">
        <v>14000000</v>
      </c>
      <c r="K9" s="26">
        <v>11</v>
      </c>
      <c r="L9" s="26" cm="1">
        <f t="array" ref="L9">IF(D9&gt;0,IF($D9&lt;=0,0,D9*H9),"")</f>
        <v>13484300</v>
      </c>
      <c r="M9" s="26" cm="1">
        <f t="array" ref="M9">IF(E9&gt;0,IF($D9&lt;=0,0,ROUND(E9*I9,2)),"")</f>
        <v>14000000</v>
      </c>
      <c r="N9" s="28" cm="1">
        <f t="array" ref="N9">IF(F9&gt;0,IF($D9&lt;=0,0,ROUND(F9*J9,2)),"")</f>
        <v>14000000</v>
      </c>
    </row>
    <row r="10" ht="20.6" customHeight="1">
      <c r="A10" s="33">
        <v>8</v>
      </c>
      <c r="B10" t="s" s="34">
        <v>37</v>
      </c>
      <c r="C10" s="35"/>
      <c r="D10" s="36">
        <v>1</v>
      </c>
      <c r="E10" s="36" cm="1">
        <f t="array" ref="E10">D10</f>
        <v>1</v>
      </c>
      <c r="F10" s="36" cm="1">
        <f t="array" ref="F10">D10</f>
        <v>1</v>
      </c>
      <c r="G10" t="s" s="37">
        <v>19</v>
      </c>
      <c r="H10" s="36">
        <v>215748.96</v>
      </c>
      <c r="I10" s="36">
        <v>215676</v>
      </c>
      <c r="J10" s="36">
        <v>215676</v>
      </c>
      <c r="K10" s="36">
        <v>0</v>
      </c>
      <c r="L10" s="36" cm="1">
        <f t="array" ref="L10">IF(D10&gt;0,IF($D10&lt;=0,0,D10*H10),"")</f>
        <v>215748.96</v>
      </c>
      <c r="M10" s="36" cm="1">
        <f t="array" ref="M10">IF(E10&gt;0,IF($D10&lt;=0,0,ROUND(E10*I10,2)),"")</f>
        <v>215676</v>
      </c>
      <c r="N10" s="38" cm="1">
        <f t="array" ref="N10">IF(F10&gt;0,IF($D10&lt;=0,0,ROUND(F10*J10,2)),"")</f>
        <v>215676</v>
      </c>
    </row>
    <row r="11" ht="8.75" customHeight="1" hidden="1">
      <c r="A11" s="39"/>
      <c r="B11" s="40"/>
      <c r="C11" s="41"/>
      <c r="D11" s="42"/>
      <c r="E11" s="42"/>
      <c r="F11" s="42"/>
      <c r="G11" s="43"/>
      <c r="H11" s="42"/>
      <c r="I11" s="42"/>
      <c r="J11" s="42"/>
      <c r="K11" s="42"/>
      <c r="L11" s="42"/>
      <c r="M11" s="42"/>
      <c r="N11" s="44"/>
    </row>
    <row r="12" ht="8.75" customHeight="1" hidden="1">
      <c r="A12" s="39"/>
      <c r="B12" s="40"/>
      <c r="C12" s="45"/>
      <c r="D12" s="46"/>
      <c r="E12" s="46"/>
      <c r="F12" s="46"/>
      <c r="G12" s="47"/>
      <c r="H12" s="46"/>
      <c r="I12" s="46"/>
      <c r="J12" s="46"/>
      <c r="K12" s="46"/>
      <c r="L12" s="46"/>
      <c r="M12" s="46"/>
      <c r="N12" s="48"/>
    </row>
    <row r="13" ht="8.75" customHeight="1" hidden="1">
      <c r="A13" s="39"/>
      <c r="B13" s="40"/>
      <c r="C13" s="41"/>
      <c r="D13" s="42"/>
      <c r="E13" s="42"/>
      <c r="F13" s="42"/>
      <c r="G13" s="43"/>
      <c r="H13" s="42"/>
      <c r="I13" s="42"/>
      <c r="J13" s="42"/>
      <c r="K13" s="42"/>
      <c r="L13" s="42"/>
      <c r="M13" s="42"/>
      <c r="N13" s="44"/>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2"/>
      <c r="I15" s="42"/>
      <c r="J15" s="42"/>
      <c r="K15" s="42"/>
      <c r="L15" s="42"/>
      <c r="M15" s="42"/>
      <c r="N15" s="44"/>
    </row>
    <row r="16" ht="8.75" customHeight="1" hidden="1">
      <c r="A16" s="39"/>
      <c r="B16" s="40"/>
      <c r="C16" s="45"/>
      <c r="D16" s="46"/>
      <c r="E16" s="46"/>
      <c r="F16" s="46"/>
      <c r="G16" s="47"/>
      <c r="H16" s="46"/>
      <c r="I16" s="46"/>
      <c r="J16" s="46"/>
      <c r="K16" s="46"/>
      <c r="L16" s="46"/>
      <c r="M16" s="46"/>
      <c r="N16" s="48"/>
    </row>
    <row r="17" ht="8.75" customHeight="1" hidden="1">
      <c r="A17" s="39"/>
      <c r="B17" s="40"/>
      <c r="C17" s="41"/>
      <c r="D17" s="42"/>
      <c r="E17" s="42"/>
      <c r="F17" s="42"/>
      <c r="G17" s="43"/>
      <c r="H17" s="43"/>
      <c r="I17" s="43"/>
      <c r="J17" s="43"/>
      <c r="K17" s="42"/>
      <c r="L17" s="43"/>
      <c r="M17" s="43"/>
      <c r="N17" s="49"/>
    </row>
    <row r="18" ht="8.75" customHeight="1" hidden="1">
      <c r="A18" s="39"/>
      <c r="B18" s="40"/>
      <c r="C18" s="45"/>
      <c r="D18" s="46"/>
      <c r="E18" s="46"/>
      <c r="F18" s="46"/>
      <c r="G18" s="47"/>
      <c r="H18" s="50"/>
      <c r="I18" s="50"/>
      <c r="J18" s="50"/>
      <c r="K18" s="46"/>
      <c r="L18" s="46"/>
      <c r="M18" s="46"/>
      <c r="N18" s="48"/>
    </row>
    <row r="19" ht="8.75" customHeight="1" hidden="1">
      <c r="A19" s="39"/>
      <c r="B19" s="40"/>
      <c r="C19" s="41"/>
      <c r="D19" s="42"/>
      <c r="E19" s="42"/>
      <c r="F19" s="42"/>
      <c r="G19" s="43"/>
      <c r="H19" s="43"/>
      <c r="I19" s="43"/>
      <c r="J19" s="43"/>
      <c r="K19" s="42"/>
      <c r="L19" s="43"/>
      <c r="M19" s="43"/>
      <c r="N19" s="49"/>
    </row>
    <row r="20" ht="8.75" customHeight="1" hidden="1">
      <c r="A20" s="39"/>
      <c r="B20" s="40"/>
      <c r="C20" s="45"/>
      <c r="D20" s="46"/>
      <c r="E20" s="46"/>
      <c r="F20" s="46"/>
      <c r="G20" s="47"/>
      <c r="H20" s="46"/>
      <c r="I20" s="46"/>
      <c r="J20" s="46"/>
      <c r="K20" s="46"/>
      <c r="L20" s="46"/>
      <c r="M20" s="46"/>
      <c r="N20" s="48"/>
    </row>
    <row r="21" ht="8.75" customHeight="1" hidden="1">
      <c r="A21" s="39"/>
      <c r="B21" s="40"/>
      <c r="C21" s="41"/>
      <c r="D21" s="42"/>
      <c r="E21" s="42"/>
      <c r="F21" s="42"/>
      <c r="G21" s="43"/>
      <c r="H21" s="42"/>
      <c r="I21" s="42"/>
      <c r="J21" s="42"/>
      <c r="K21" s="42"/>
      <c r="L21" s="42"/>
      <c r="M21" s="42"/>
      <c r="N21" s="44"/>
    </row>
    <row r="22" ht="8.75" customHeight="1" hidden="1">
      <c r="A22" s="51"/>
      <c r="B22" s="40"/>
      <c r="C22" s="45"/>
      <c r="D22" s="46"/>
      <c r="E22" s="46"/>
      <c r="F22" s="46"/>
      <c r="G22" s="47"/>
      <c r="H22" s="46"/>
      <c r="I22" s="46"/>
      <c r="J22" s="46"/>
      <c r="K22" s="46"/>
      <c r="L22" s="46"/>
      <c r="M22" s="46"/>
      <c r="N22" s="48"/>
    </row>
    <row r="23" ht="8.75" customHeight="1" hidden="1">
      <c r="A23" s="51"/>
      <c r="B23" s="40"/>
      <c r="C23" s="41"/>
      <c r="D23" s="42"/>
      <c r="E23" s="42"/>
      <c r="F23" s="42"/>
      <c r="G23" s="43"/>
      <c r="H23" s="42"/>
      <c r="I23" s="42"/>
      <c r="J23" s="42"/>
      <c r="K23" s="42"/>
      <c r="L23" s="42"/>
      <c r="M23" s="42"/>
      <c r="N23" s="44"/>
    </row>
    <row r="24" ht="8.75" customHeight="1" hidden="1">
      <c r="A24" s="39"/>
      <c r="B24" s="40"/>
      <c r="C24" s="45"/>
      <c r="D24" s="46"/>
      <c r="E24" s="46"/>
      <c r="F24" s="46"/>
      <c r="G24" s="47"/>
      <c r="H24" s="46"/>
      <c r="I24" s="46"/>
      <c r="J24" s="46"/>
      <c r="K24" s="46"/>
      <c r="L24" s="47"/>
      <c r="M24" s="47"/>
      <c r="N24" s="52"/>
    </row>
    <row r="25" ht="8.75" customHeight="1" hidden="1">
      <c r="A25" s="39"/>
      <c r="B25" s="40"/>
      <c r="C25" s="41"/>
      <c r="D25" s="42"/>
      <c r="E25" s="42"/>
      <c r="F25" s="42"/>
      <c r="G25" s="43"/>
      <c r="H25" s="42"/>
      <c r="I25" s="42"/>
      <c r="J25" s="42"/>
      <c r="K25" s="42"/>
      <c r="L25" s="42"/>
      <c r="M25" s="42"/>
      <c r="N25" s="44"/>
    </row>
    <row r="26" ht="8.75" customHeight="1" hidden="1">
      <c r="A26" s="39"/>
      <c r="B26" s="40"/>
      <c r="C26" s="45"/>
      <c r="D26" s="46"/>
      <c r="E26" s="46"/>
      <c r="F26" s="46"/>
      <c r="G26" s="47"/>
      <c r="H26" s="46"/>
      <c r="I26" s="46"/>
      <c r="J26" s="46"/>
      <c r="K26" s="46"/>
      <c r="L26" s="47"/>
      <c r="M26" s="47"/>
      <c r="N26" s="52"/>
    </row>
    <row r="27" ht="20.85" customHeight="1">
      <c r="A27" s="108"/>
      <c r="B27" s="54"/>
      <c r="C27" s="54"/>
      <c r="D27" s="55"/>
      <c r="E27" s="55"/>
      <c r="F27" s="55"/>
      <c r="G27" s="56"/>
      <c r="H27" s="56"/>
      <c r="I27" s="54"/>
      <c r="J27" s="57"/>
      <c r="K27" t="s" s="58">
        <v>38</v>
      </c>
      <c r="L27" s="59" cm="1">
        <f t="array" ref="L27">SUM(L1:L26)</f>
        <v>90111148.95999999</v>
      </c>
      <c r="M27" s="59" cm="1">
        <f t="array" ref="M27">SUM(M1:M26)</f>
        <v>90080676</v>
      </c>
      <c r="N27" s="59" cm="1">
        <f t="array" ref="N27">SUM(N1:N26)</f>
        <v>90080676</v>
      </c>
    </row>
    <row r="28" ht="21" customHeight="1">
      <c r="A28" s="63" cm="1">
        <f t="array" ref="A28">ROUND(IF(I28&lt;=100000000,I28*0.24%,IF(AND(I28&gt;100000000,I28&lt;=500000000),100000000*0.24%+(I28-100000000)*0.19%,IF(AND(I28&gt;500000000,I28&lt;=1000000000),100000000*0.24%+400000000*0.19%+(I28-500000000)*0.15%,IF(AND(I28&gt;1000000000,I28&lt;=5000000000),100000000*0.24%+400000000*0.19%+500000000*0.15%+(I28-1000000000)*0.12%,IF(I28&gt;5000000000,100000000*0.24%+400000000*0.19%+500000000*0.15%+4000000000*0.12%+(I28-5000000000)*0.1%,"Bingung komputer"))))),2)</f>
        <v>0</v>
      </c>
      <c r="B28" t="s" s="109">
        <v>39</v>
      </c>
      <c r="C28" s="62"/>
      <c r="D28" s="63" cm="1">
        <f t="array" ref="D28">ROUND(IF(L28&lt;=100000000,L28*0.24%,IF(AND(L28&gt;100000000,L28&lt;=500000000),100000000*0.24%+(L28-100000000)*0.19%,IF(AND(L28&gt;500000000,L28&lt;=1000000000),100000000*0.24%+400000000*0.19%+(L28-500000000)*0.15%,IF(AND(L28&gt;1000000000,L28&lt;=5000000000),100000000*0.24%+400000000*0.19%+500000000*0.15%+(L28-1000000000)*0.12%,IF(L28&gt;5000000000,100000000*0.24%+400000000*0.19%+500000000*0.15%+4000000000*0.12%+(L28-5000000000)*0.1%,"Bingung komputer"))))),2)</f>
        <v>215748.96</v>
      </c>
      <c r="E28" s="64" cm="1">
        <f t="array" ref="E28">ROUND(IF(M28&lt;=100000000,M28*0.24%,IF(AND(M28&gt;100000000,M28&lt;=500000000),100000000*0.24%+(M28-100000000)*0.19%,IF(AND(M28&gt;500000000,M28&lt;=1000000000),100000000*0.24%+400000000*0.19%+(M28-500000000)*0.15%,IF(AND(M28&gt;1000000000,M28&lt;=5000000000),100000000*0.24%+400000000*0.19%+500000000*0.15%+(M28-1000000000)*0.12%,IF(M28&gt;5000000000,100000000*0.24%+400000000*0.19%+500000000*0.15%+4000000000*0.12%+(M28-5000000000)*0.1%,"Bingung komputer"))))),2)</f>
        <v>215676</v>
      </c>
      <c r="F28" s="64" cm="1">
        <f t="array" ref="F28">ROUND(IF(N28&lt;=100000000,N28*0.24%,IF(AND(N28&gt;100000000,N28&lt;=500000000),100000000*0.24%+(N28-100000000)*0.19%,IF(AND(N28&gt;500000000,N28&lt;=1000000000),100000000*0.24%+400000000*0.19%+(N28-500000000)*0.15%,IF(AND(N28&gt;1000000000,N28&lt;=5000000000),100000000*0.24%+400000000*0.19%+500000000*0.15%+(N28-1000000000)*0.12%,IF(N28&gt;5000000000,100000000*0.24%+400000000*0.19%+500000000*0.15%+4000000000*0.12%+(N28-5000000000)*0.1%,"Bingung komputer"))))),2)</f>
        <v>215676</v>
      </c>
      <c r="G28" s="65"/>
      <c r="H28" s="66"/>
      <c r="I28" s="68"/>
      <c r="J28" s="67"/>
      <c r="K28" t="str" s="67" cm="1">
        <f t="array" ref="K28">"Jumlah Terkena Pajak "&amp;MAX(K3:K26)&amp;"% (B)"</f>
        <v>Jumlah Terkena Pajak 11,00% (B)</v>
      </c>
      <c r="L28" s="68" cm="1">
        <f t="array" ref="L28">SUMIF($K3:$K26,"&gt;0",L3:L26)</f>
        <v>89895400</v>
      </c>
      <c r="M28" s="69" cm="1">
        <f t="array" ref="M28">SUMIF($K3:$K26,"&gt;0",M3:M26)</f>
        <v>89865000</v>
      </c>
      <c r="N28" s="69" cm="1">
        <f t="array" ref="N28">SUMIF($K3:$K26,"&gt;0",N3:N26)</f>
        <v>89865000</v>
      </c>
    </row>
    <row r="29" ht="21" customHeight="1">
      <c r="A29" s="70"/>
      <c r="B29" s="71"/>
      <c r="C29" s="71"/>
      <c r="D29" s="72"/>
      <c r="E29" s="72"/>
      <c r="F29" s="71"/>
      <c r="G29" s="72"/>
      <c r="H29" s="72"/>
      <c r="I29" s="74"/>
      <c r="J29" s="73"/>
      <c r="K29" t="str" s="73" cm="1">
        <f t="array" ref="K29">"PPN (C) = "&amp;MAX(K3:K26)&amp;"% x B"</f>
        <v>PPN (C) = 11,00% x B</v>
      </c>
      <c r="L29" s="74" cm="1">
        <f t="array" ref="L29">L28*MAX($K3:$K26)%</f>
        <v>9888494</v>
      </c>
      <c r="M29" s="69" cm="1">
        <f t="array" ref="M29">M28*MAX($K3:$K26)%</f>
        <v>9885150</v>
      </c>
      <c r="N29" s="69" cm="1">
        <f t="array" ref="N29">N28*MAX($K3:$K26)%</f>
        <v>9885150</v>
      </c>
    </row>
    <row r="30" ht="21" customHeight="1">
      <c r="A30" s="70"/>
      <c r="B30" s="71"/>
      <c r="C30" s="71"/>
      <c r="D30" t="s" s="110">
        <v>116</v>
      </c>
      <c r="E30" s="112">
        <v>100000000</v>
      </c>
      <c r="F30" s="112">
        <v>99784500</v>
      </c>
      <c r="G30" s="72"/>
      <c r="H30" s="72"/>
      <c r="I30" s="71"/>
      <c r="J30" s="73"/>
      <c r="K30" t="s" s="75">
        <v>42</v>
      </c>
      <c r="L30" s="76" cm="1">
        <f t="array" ref="L30">L27+L29</f>
        <v>99999642.95999999</v>
      </c>
      <c r="M30" s="69" cm="1">
        <f t="array" ref="M30">M27+M29</f>
        <v>99965826</v>
      </c>
      <c r="N30" s="69" cm="1">
        <f t="array" ref="N30">N27+N29</f>
        <v>99965826</v>
      </c>
    </row>
    <row r="31" ht="20.5" customHeight="1">
      <c r="A31" s="70"/>
      <c r="B31" s="71"/>
      <c r="C31" s="71"/>
      <c r="D31" s="72"/>
      <c r="E31" s="72" cm="1">
        <f t="array" ref="E31">E$30-L$31</f>
        <v>357.04</v>
      </c>
      <c r="F31" s="113" cm="1">
        <f t="array" ref="F31">ROUNDDOWN(E$30-D$28,2)</f>
        <v>99784251.04000001</v>
      </c>
      <c r="G31" s="72"/>
      <c r="H31" s="72"/>
      <c r="I31" s="71"/>
      <c r="J31" s="73"/>
      <c r="K31" t="s" s="75">
        <v>43</v>
      </c>
      <c r="L31" s="68" cm="1">
        <f t="array" ref="L31">ROUNDDOWN(L30,2)</f>
        <v>99999642.95999999</v>
      </c>
      <c r="M31" s="68" cm="1">
        <f t="array" ref="M31">ROUNDDOWN(M30,2)</f>
        <v>99965826</v>
      </c>
      <c r="N31" s="68" cm="1">
        <f t="array" ref="N31">ROUNDDOWN(N30,-3)</f>
        <v>99965000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42.xml><?xml version="1.0" encoding="utf-8"?>
<worksheet xmlns:r="http://schemas.openxmlformats.org/officeDocument/2006/relationships" xmlns="http://schemas.openxmlformats.org/spreadsheetml/2006/main">
  <sheetPr>
    <pageSetUpPr fitToPage="1"/>
  </sheetPr>
  <dimension ref="A1:N31"/>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337" customWidth="1"/>
    <col min="2" max="2" width="43.0312" style="337" customWidth="1"/>
    <col min="3" max="3" width="2.75" style="337" customWidth="1"/>
    <col min="4" max="6" width="10.3672" style="337" customWidth="1"/>
    <col min="7" max="7" width="11.6875" style="337" customWidth="1"/>
    <col min="8" max="11" width="13.5156" style="337" customWidth="1"/>
    <col min="12" max="14" width="14.2344" style="337" customWidth="1"/>
    <col min="15" max="16384" width="16.3516" style="337"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109</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s="95">
        <v>1</v>
      </c>
      <c r="B4" t="s" s="19">
        <v>110</v>
      </c>
      <c r="C4" s="20"/>
      <c r="D4" s="21">
        <v>1</v>
      </c>
      <c r="E4" s="21" cm="1">
        <f t="array" ref="E4">D4</f>
        <v>1</v>
      </c>
      <c r="F4" s="21" cm="1">
        <f t="array" ref="F4">D4</f>
        <v>1</v>
      </c>
      <c r="G4" t="s" s="22">
        <v>19</v>
      </c>
      <c r="H4" s="21" cm="1">
        <f t="array" ref="H4">ROUNDDOWN((F$30*0.1)*100/111,-2)</f>
        <v>8989500</v>
      </c>
      <c r="I4" s="21">
        <v>9000000</v>
      </c>
      <c r="J4" s="21">
        <v>9000000</v>
      </c>
      <c r="K4" s="21">
        <v>11</v>
      </c>
      <c r="L4" s="21" cm="1">
        <f t="array" ref="L4">IF(D4&gt;0,IF($D4&lt;=0,0,D4*H4),"")</f>
        <v>8989500</v>
      </c>
      <c r="M4" s="21" cm="1">
        <f t="array" ref="M4">IF(E4&gt;0,IF($D4&lt;=0,0,ROUND(E4*I4,2)),"")</f>
        <v>9000000</v>
      </c>
      <c r="N4" s="23" cm="1">
        <f t="array" ref="N4">IF(F4&gt;0,IF($D4&lt;=0,0,ROUND(F4*J4,2)),"")</f>
        <v>9000000</v>
      </c>
    </row>
    <row r="5" ht="20.5" customHeight="1">
      <c r="A5" s="95">
        <v>2</v>
      </c>
      <c r="B5" t="s" s="19">
        <v>111</v>
      </c>
      <c r="C5" s="24"/>
      <c r="D5" s="26">
        <v>1</v>
      </c>
      <c r="E5" s="26" cm="1">
        <f t="array" ref="E5">D5</f>
        <v>1</v>
      </c>
      <c r="F5" s="26" cm="1">
        <f t="array" ref="F5">D5</f>
        <v>1</v>
      </c>
      <c r="G5" t="s" s="27">
        <v>19</v>
      </c>
      <c r="H5" s="26" cm="1">
        <f t="array" ref="H5">ROUNDDOWN((F$30*0.2)*100/111,-2)</f>
        <v>17979100</v>
      </c>
      <c r="I5" s="26">
        <v>16966000</v>
      </c>
      <c r="J5" s="26">
        <v>16966000</v>
      </c>
      <c r="K5" s="26">
        <v>11</v>
      </c>
      <c r="L5" s="26" cm="1">
        <f t="array" ref="L5">IF(D5&gt;0,IF($D5&lt;=0,0,D5*H5),"")</f>
        <v>17979100</v>
      </c>
      <c r="M5" s="26" cm="1">
        <f t="array" ref="M5">IF(E5&gt;0,IF($D5&lt;=0,0,ROUND(E5*I5,2)),"")</f>
        <v>16966000</v>
      </c>
      <c r="N5" s="28" cm="1">
        <f t="array" ref="N5">IF(F5&gt;0,IF($D5&lt;=0,0,ROUND(F5*J5,2)),"")</f>
        <v>16966000</v>
      </c>
    </row>
    <row r="6" ht="20.5" customHeight="1">
      <c r="A6" s="95">
        <v>3</v>
      </c>
      <c r="B6" t="s" s="19">
        <v>112</v>
      </c>
      <c r="C6" s="20"/>
      <c r="D6" s="21">
        <v>1</v>
      </c>
      <c r="E6" s="21" cm="1">
        <f t="array" ref="E6">D6</f>
        <v>1</v>
      </c>
      <c r="F6" s="21" cm="1">
        <f t="array" ref="F6">D6</f>
        <v>1</v>
      </c>
      <c r="G6" t="s" s="22">
        <v>19</v>
      </c>
      <c r="H6" s="21" cm="1">
        <f t="array" ref="H6">ROUNDDOWN((F$30*0.25)*100/111,-2)</f>
        <v>22473900</v>
      </c>
      <c r="I6" s="21">
        <v>22760000</v>
      </c>
      <c r="J6" s="21">
        <v>22760000</v>
      </c>
      <c r="K6" s="21">
        <v>11</v>
      </c>
      <c r="L6" s="21" cm="1">
        <f t="array" ref="L6">IF(D6&gt;0,IF($D6&lt;=0,0,D6*H6),"")</f>
        <v>22473900</v>
      </c>
      <c r="M6" s="21" cm="1">
        <f t="array" ref="M6">IF(E6&gt;0,IF($D6&lt;=0,0,ROUND(E6*I6,2)),"")</f>
        <v>22760000</v>
      </c>
      <c r="N6" s="23" cm="1">
        <f t="array" ref="N6">IF(F6&gt;0,IF($D6&lt;=0,0,ROUND(F6*J6,2)),"")</f>
        <v>22760000</v>
      </c>
    </row>
    <row r="7" ht="68.5" customHeight="1">
      <c r="A7" s="95">
        <v>5</v>
      </c>
      <c r="B7" t="s" s="19">
        <v>113</v>
      </c>
      <c r="C7" s="24"/>
      <c r="D7" s="26">
        <v>1</v>
      </c>
      <c r="E7" s="26" cm="1">
        <f t="array" ref="E7">D7</f>
        <v>1</v>
      </c>
      <c r="F7" s="26" cm="1">
        <f t="array" ref="F7">D7</f>
        <v>1</v>
      </c>
      <c r="G7" t="s" s="27">
        <v>19</v>
      </c>
      <c r="H7" s="26" cm="1">
        <f t="array" ref="H7">ROUNDDOWN((F$30*0.25)*100/111,-2)</f>
        <v>22473900</v>
      </c>
      <c r="I7" s="26">
        <v>22600000</v>
      </c>
      <c r="J7" s="26">
        <v>22600000</v>
      </c>
      <c r="K7" s="26">
        <v>11</v>
      </c>
      <c r="L7" s="26" cm="1">
        <f t="array" ref="L7">IF(D7&gt;0,IF($D7&lt;=0,0,D7*H7),"")</f>
        <v>22473900</v>
      </c>
      <c r="M7" s="26" cm="1">
        <f t="array" ref="M7">IF(E7&gt;0,IF($D7&lt;=0,0,ROUND(E7*I7,2)),"")</f>
        <v>22600000</v>
      </c>
      <c r="N7" s="28" cm="1">
        <f t="array" ref="N7">IF(F7&gt;0,IF($D7&lt;=0,0,ROUND(F7*J7,2)),"")</f>
        <v>22600000</v>
      </c>
    </row>
    <row r="8" ht="32.5" customHeight="1">
      <c r="A8" s="95">
        <v>6</v>
      </c>
      <c r="B8" t="s" s="19">
        <v>114</v>
      </c>
      <c r="C8" s="20"/>
      <c r="D8" s="21">
        <v>1</v>
      </c>
      <c r="E8" s="21" cm="1">
        <f t="array" ref="E8">D8</f>
        <v>1</v>
      </c>
      <c r="F8" s="21" cm="1">
        <f t="array" ref="F8">D8</f>
        <v>1</v>
      </c>
      <c r="G8" t="s" s="22">
        <v>19</v>
      </c>
      <c r="H8" s="21" cm="1">
        <f t="array" ref="H8">ROUNDDOWN((F$30*0.05)*100/111,-2)</f>
        <v>4494700</v>
      </c>
      <c r="I8" s="21">
        <v>4560000</v>
      </c>
      <c r="J8" s="21">
        <v>4560000</v>
      </c>
      <c r="K8" s="21">
        <v>11</v>
      </c>
      <c r="L8" s="21" cm="1">
        <f t="array" ref="L8">IF(D8&gt;0,IF($D8&lt;=0,0,D8*H8),"")</f>
        <v>4494700</v>
      </c>
      <c r="M8" s="21" cm="1">
        <f t="array" ref="M8">IF(E8&gt;0,IF($D8&lt;=0,0,ROUND(E8*I8,2)),"")</f>
        <v>4560000</v>
      </c>
      <c r="N8" s="23" cm="1">
        <f t="array" ref="N8">IF(F8&gt;0,IF($D8&lt;=0,0,ROUND(F8*J8,2)),"")</f>
        <v>4560000</v>
      </c>
    </row>
    <row r="9" ht="20.5" customHeight="1">
      <c r="A9" s="95">
        <v>7</v>
      </c>
      <c r="B9" t="s" s="19">
        <v>115</v>
      </c>
      <c r="C9" s="24"/>
      <c r="D9" s="26">
        <v>1</v>
      </c>
      <c r="E9" s="26" cm="1">
        <f t="array" ref="E9">D9</f>
        <v>1</v>
      </c>
      <c r="F9" s="26" cm="1">
        <f t="array" ref="F9">D9</f>
        <v>1</v>
      </c>
      <c r="G9" t="s" s="27">
        <v>19</v>
      </c>
      <c r="H9" s="26" cm="1">
        <f t="array" ref="H9">ROUNDDOWN((F$30*0.15)*100/111,-2)</f>
        <v>13484300</v>
      </c>
      <c r="I9" s="26">
        <v>13950000</v>
      </c>
      <c r="J9" s="26">
        <v>13950000</v>
      </c>
      <c r="K9" s="26">
        <v>11</v>
      </c>
      <c r="L9" s="26" cm="1">
        <f t="array" ref="L9">IF(D9&gt;0,IF($D9&lt;=0,0,D9*H9),"")</f>
        <v>13484300</v>
      </c>
      <c r="M9" s="26" cm="1">
        <f t="array" ref="M9">IF(E9&gt;0,IF($D9&lt;=0,0,ROUND(E9*I9,2)),"")</f>
        <v>13950000</v>
      </c>
      <c r="N9" s="28" cm="1">
        <f t="array" ref="N9">IF(F9&gt;0,IF($D9&lt;=0,0,ROUND(F9*J9,2)),"")</f>
        <v>13950000</v>
      </c>
    </row>
    <row r="10" ht="20.6" customHeight="1">
      <c r="A10" s="33">
        <v>8</v>
      </c>
      <c r="B10" t="s" s="34">
        <v>37</v>
      </c>
      <c r="C10" s="35"/>
      <c r="D10" s="36">
        <v>1</v>
      </c>
      <c r="E10" s="36" cm="1">
        <f t="array" ref="E10">D10</f>
        <v>1</v>
      </c>
      <c r="F10" s="36" cm="1">
        <f t="array" ref="F10">D10</f>
        <v>1</v>
      </c>
      <c r="G10" t="s" s="37">
        <v>19</v>
      </c>
      <c r="H10" s="36">
        <v>215748.96</v>
      </c>
      <c r="I10" s="36">
        <v>215606.4</v>
      </c>
      <c r="J10" s="36">
        <v>215606.4</v>
      </c>
      <c r="K10" s="36">
        <v>0</v>
      </c>
      <c r="L10" s="36" cm="1">
        <f t="array" ref="L10">IF(D10&gt;0,IF($D10&lt;=0,0,D10*H10),"")</f>
        <v>215748.96</v>
      </c>
      <c r="M10" s="36" cm="1">
        <f t="array" ref="M10">IF(E10&gt;0,IF($D10&lt;=0,0,ROUND(E10*I10,2)),"")</f>
        <v>215606.4</v>
      </c>
      <c r="N10" s="38" cm="1">
        <f t="array" ref="N10">IF(F10&gt;0,IF($D10&lt;=0,0,ROUND(F10*J10,2)),"")</f>
        <v>215606.4</v>
      </c>
    </row>
    <row r="11" ht="8.75" customHeight="1" hidden="1">
      <c r="A11" s="39"/>
      <c r="B11" s="40"/>
      <c r="C11" s="41"/>
      <c r="D11" s="42"/>
      <c r="E11" s="42"/>
      <c r="F11" s="42"/>
      <c r="G11" s="43"/>
      <c r="H11" s="42"/>
      <c r="I11" s="42"/>
      <c r="J11" s="42"/>
      <c r="K11" s="42"/>
      <c r="L11" s="42"/>
      <c r="M11" s="42"/>
      <c r="N11" s="44"/>
    </row>
    <row r="12" ht="8.75" customHeight="1" hidden="1">
      <c r="A12" s="39"/>
      <c r="B12" s="40"/>
      <c r="C12" s="45"/>
      <c r="D12" s="46"/>
      <c r="E12" s="46"/>
      <c r="F12" s="46"/>
      <c r="G12" s="47"/>
      <c r="H12" s="46"/>
      <c r="I12" s="46"/>
      <c r="J12" s="46"/>
      <c r="K12" s="46"/>
      <c r="L12" s="46"/>
      <c r="M12" s="46"/>
      <c r="N12" s="48"/>
    </row>
    <row r="13" ht="8.75" customHeight="1" hidden="1">
      <c r="A13" s="39"/>
      <c r="B13" s="40"/>
      <c r="C13" s="41"/>
      <c r="D13" s="42"/>
      <c r="E13" s="42"/>
      <c r="F13" s="42"/>
      <c r="G13" s="43"/>
      <c r="H13" s="42"/>
      <c r="I13" s="42"/>
      <c r="J13" s="42"/>
      <c r="K13" s="42"/>
      <c r="L13" s="42"/>
      <c r="M13" s="42"/>
      <c r="N13" s="44"/>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2"/>
      <c r="I15" s="42"/>
      <c r="J15" s="42"/>
      <c r="K15" s="42"/>
      <c r="L15" s="42"/>
      <c r="M15" s="42"/>
      <c r="N15" s="44"/>
    </row>
    <row r="16" ht="8.75" customHeight="1" hidden="1">
      <c r="A16" s="39"/>
      <c r="B16" s="40"/>
      <c r="C16" s="45"/>
      <c r="D16" s="46"/>
      <c r="E16" s="46"/>
      <c r="F16" s="46"/>
      <c r="G16" s="47"/>
      <c r="H16" s="46"/>
      <c r="I16" s="46"/>
      <c r="J16" s="46"/>
      <c r="K16" s="46"/>
      <c r="L16" s="46"/>
      <c r="M16" s="46"/>
      <c r="N16" s="48"/>
    </row>
    <row r="17" ht="8.75" customHeight="1" hidden="1">
      <c r="A17" s="39"/>
      <c r="B17" s="40"/>
      <c r="C17" s="41"/>
      <c r="D17" s="42"/>
      <c r="E17" s="42"/>
      <c r="F17" s="42"/>
      <c r="G17" s="43"/>
      <c r="H17" s="43"/>
      <c r="I17" s="43"/>
      <c r="J17" s="43"/>
      <c r="K17" s="42"/>
      <c r="L17" s="43"/>
      <c r="M17" s="43"/>
      <c r="N17" s="49"/>
    </row>
    <row r="18" ht="8.75" customHeight="1" hidden="1">
      <c r="A18" s="39"/>
      <c r="B18" s="40"/>
      <c r="C18" s="45"/>
      <c r="D18" s="46"/>
      <c r="E18" s="46"/>
      <c r="F18" s="46"/>
      <c r="G18" s="47"/>
      <c r="H18" s="50"/>
      <c r="I18" s="50"/>
      <c r="J18" s="50"/>
      <c r="K18" s="46"/>
      <c r="L18" s="46"/>
      <c r="M18" s="46"/>
      <c r="N18" s="48"/>
    </row>
    <row r="19" ht="8.75" customHeight="1" hidden="1">
      <c r="A19" s="39"/>
      <c r="B19" s="40"/>
      <c r="C19" s="41"/>
      <c r="D19" s="42"/>
      <c r="E19" s="42"/>
      <c r="F19" s="42"/>
      <c r="G19" s="43"/>
      <c r="H19" s="43"/>
      <c r="I19" s="43"/>
      <c r="J19" s="43"/>
      <c r="K19" s="42"/>
      <c r="L19" s="43"/>
      <c r="M19" s="43"/>
      <c r="N19" s="49"/>
    </row>
    <row r="20" ht="8.75" customHeight="1" hidden="1">
      <c r="A20" s="39"/>
      <c r="B20" s="40"/>
      <c r="C20" s="45"/>
      <c r="D20" s="46"/>
      <c r="E20" s="46"/>
      <c r="F20" s="46"/>
      <c r="G20" s="47"/>
      <c r="H20" s="46"/>
      <c r="I20" s="46"/>
      <c r="J20" s="46"/>
      <c r="K20" s="46"/>
      <c r="L20" s="46"/>
      <c r="M20" s="46"/>
      <c r="N20" s="48"/>
    </row>
    <row r="21" ht="8.75" customHeight="1" hidden="1">
      <c r="A21" s="39"/>
      <c r="B21" s="40"/>
      <c r="C21" s="41"/>
      <c r="D21" s="42"/>
      <c r="E21" s="42"/>
      <c r="F21" s="42"/>
      <c r="G21" s="43"/>
      <c r="H21" s="42"/>
      <c r="I21" s="42"/>
      <c r="J21" s="42"/>
      <c r="K21" s="42"/>
      <c r="L21" s="42"/>
      <c r="M21" s="42"/>
      <c r="N21" s="44"/>
    </row>
    <row r="22" ht="8.75" customHeight="1" hidden="1">
      <c r="A22" s="51"/>
      <c r="B22" s="40"/>
      <c r="C22" s="45"/>
      <c r="D22" s="46"/>
      <c r="E22" s="46"/>
      <c r="F22" s="46"/>
      <c r="G22" s="47"/>
      <c r="H22" s="46"/>
      <c r="I22" s="46"/>
      <c r="J22" s="46"/>
      <c r="K22" s="46"/>
      <c r="L22" s="46"/>
      <c r="M22" s="46"/>
      <c r="N22" s="48"/>
    </row>
    <row r="23" ht="8.75" customHeight="1" hidden="1">
      <c r="A23" s="51"/>
      <c r="B23" s="40"/>
      <c r="C23" s="41"/>
      <c r="D23" s="42"/>
      <c r="E23" s="42"/>
      <c r="F23" s="42"/>
      <c r="G23" s="43"/>
      <c r="H23" s="42"/>
      <c r="I23" s="42"/>
      <c r="J23" s="42"/>
      <c r="K23" s="42"/>
      <c r="L23" s="42"/>
      <c r="M23" s="42"/>
      <c r="N23" s="44"/>
    </row>
    <row r="24" ht="8.75" customHeight="1" hidden="1">
      <c r="A24" s="39"/>
      <c r="B24" s="40"/>
      <c r="C24" s="45"/>
      <c r="D24" s="46"/>
      <c r="E24" s="46"/>
      <c r="F24" s="46"/>
      <c r="G24" s="47"/>
      <c r="H24" s="46"/>
      <c r="I24" s="46"/>
      <c r="J24" s="46"/>
      <c r="K24" s="46"/>
      <c r="L24" s="47"/>
      <c r="M24" s="47"/>
      <c r="N24" s="52"/>
    </row>
    <row r="25" ht="8.75" customHeight="1" hidden="1">
      <c r="A25" s="39"/>
      <c r="B25" s="40"/>
      <c r="C25" s="41"/>
      <c r="D25" s="42"/>
      <c r="E25" s="42"/>
      <c r="F25" s="42"/>
      <c r="G25" s="43"/>
      <c r="H25" s="42"/>
      <c r="I25" s="42"/>
      <c r="J25" s="42"/>
      <c r="K25" s="42"/>
      <c r="L25" s="42"/>
      <c r="M25" s="42"/>
      <c r="N25" s="44"/>
    </row>
    <row r="26" ht="8.75" customHeight="1" hidden="1">
      <c r="A26" s="39"/>
      <c r="B26" s="40"/>
      <c r="C26" s="45"/>
      <c r="D26" s="46"/>
      <c r="E26" s="46"/>
      <c r="F26" s="46"/>
      <c r="G26" s="47"/>
      <c r="H26" s="46"/>
      <c r="I26" s="46"/>
      <c r="J26" s="46"/>
      <c r="K26" s="46"/>
      <c r="L26" s="47"/>
      <c r="M26" s="47"/>
      <c r="N26" s="52"/>
    </row>
    <row r="27" ht="20.85" customHeight="1">
      <c r="A27" s="108"/>
      <c r="B27" s="54"/>
      <c r="C27" s="54"/>
      <c r="D27" s="55"/>
      <c r="E27" s="55"/>
      <c r="F27" s="55"/>
      <c r="G27" s="56"/>
      <c r="H27" s="56"/>
      <c r="I27" s="54"/>
      <c r="J27" s="57"/>
      <c r="K27" t="s" s="58">
        <v>38</v>
      </c>
      <c r="L27" s="59" cm="1">
        <f t="array" ref="L27">SUM(L1:L26)</f>
        <v>90111148.95999999</v>
      </c>
      <c r="M27" s="59" cm="1">
        <f t="array" ref="M27">SUM(M1:M26)</f>
        <v>90051606.40000001</v>
      </c>
      <c r="N27" s="59" cm="1">
        <f t="array" ref="N27">SUM(N1:N26)</f>
        <v>90051606.40000001</v>
      </c>
    </row>
    <row r="28" ht="21" customHeight="1">
      <c r="A28" s="63" cm="1">
        <f t="array" ref="A28">ROUND(IF(I28&lt;=100000000,I28*0.24%,IF(AND(I28&gt;100000000,I28&lt;=500000000),100000000*0.24%+(I28-100000000)*0.19%,IF(AND(I28&gt;500000000,I28&lt;=1000000000),100000000*0.24%+400000000*0.19%+(I28-500000000)*0.15%,IF(AND(I28&gt;1000000000,I28&lt;=5000000000),100000000*0.24%+400000000*0.19%+500000000*0.15%+(I28-1000000000)*0.12%,IF(I28&gt;5000000000,100000000*0.24%+400000000*0.19%+500000000*0.15%+4000000000*0.12%+(I28-5000000000)*0.1%,"Bingung komputer"))))),2)</f>
        <v>0</v>
      </c>
      <c r="B28" t="s" s="109">
        <v>39</v>
      </c>
      <c r="C28" s="62"/>
      <c r="D28" s="63" cm="1">
        <f t="array" ref="D28">ROUND(IF(L28&lt;=100000000,L28*0.24%,IF(AND(L28&gt;100000000,L28&lt;=500000000),100000000*0.24%+(L28-100000000)*0.19%,IF(AND(L28&gt;500000000,L28&lt;=1000000000),100000000*0.24%+400000000*0.19%+(L28-500000000)*0.15%,IF(AND(L28&gt;1000000000,L28&lt;=5000000000),100000000*0.24%+400000000*0.19%+500000000*0.15%+(L28-1000000000)*0.12%,IF(L28&gt;5000000000,100000000*0.24%+400000000*0.19%+500000000*0.15%+4000000000*0.12%+(L28-5000000000)*0.1%,"Bingung komputer"))))),2)</f>
        <v>215748.96</v>
      </c>
      <c r="E28" s="64" cm="1">
        <f t="array" ref="E28">ROUND(IF(M28&lt;=100000000,M28*0.24%,IF(AND(M28&gt;100000000,M28&lt;=500000000),100000000*0.24%+(M28-100000000)*0.19%,IF(AND(M28&gt;500000000,M28&lt;=1000000000),100000000*0.24%+400000000*0.19%+(M28-500000000)*0.15%,IF(AND(M28&gt;1000000000,M28&lt;=5000000000),100000000*0.24%+400000000*0.19%+500000000*0.15%+(M28-1000000000)*0.12%,IF(M28&gt;5000000000,100000000*0.24%+400000000*0.19%+500000000*0.15%+4000000000*0.12%+(M28-5000000000)*0.1%,"Bingung komputer"))))),2)</f>
        <v>215606.4</v>
      </c>
      <c r="F28" s="64" cm="1">
        <f t="array" ref="F28">ROUND(IF(N28&lt;=100000000,N28*0.24%,IF(AND(N28&gt;100000000,N28&lt;=500000000),100000000*0.24%+(N28-100000000)*0.19%,IF(AND(N28&gt;500000000,N28&lt;=1000000000),100000000*0.24%+400000000*0.19%+(N28-500000000)*0.15%,IF(AND(N28&gt;1000000000,N28&lt;=5000000000),100000000*0.24%+400000000*0.19%+500000000*0.15%+(N28-1000000000)*0.12%,IF(N28&gt;5000000000,100000000*0.24%+400000000*0.19%+500000000*0.15%+4000000000*0.12%+(N28-5000000000)*0.1%,"Bingung komputer"))))),2)</f>
        <v>215606.4</v>
      </c>
      <c r="G28" s="65"/>
      <c r="H28" s="66"/>
      <c r="I28" s="68"/>
      <c r="J28" s="67"/>
      <c r="K28" t="str" s="67" cm="1">
        <f t="array" ref="K28">"Jumlah Terkena Pajak "&amp;MAX(K3:K26)&amp;"% (B)"</f>
        <v>Jumlah Terkena Pajak 11,00% (B)</v>
      </c>
      <c r="L28" s="68" cm="1">
        <f t="array" ref="L28">SUMIF($K3:$K26,"&gt;0",L3:L26)</f>
        <v>89895400</v>
      </c>
      <c r="M28" s="69" cm="1">
        <f t="array" ref="M28">SUMIF($K3:$K26,"&gt;0",M3:M26)</f>
        <v>89836000</v>
      </c>
      <c r="N28" s="69" cm="1">
        <f t="array" ref="N28">SUMIF($K3:$K26,"&gt;0",N3:N26)</f>
        <v>89836000</v>
      </c>
    </row>
    <row r="29" ht="21" customHeight="1">
      <c r="A29" s="70"/>
      <c r="B29" s="71"/>
      <c r="C29" s="71"/>
      <c r="D29" s="72"/>
      <c r="E29" s="72"/>
      <c r="F29" s="71"/>
      <c r="G29" s="72"/>
      <c r="H29" s="72"/>
      <c r="I29" s="74"/>
      <c r="J29" s="73"/>
      <c r="K29" t="str" s="73" cm="1">
        <f t="array" ref="K29">"PPN (C) = "&amp;MAX(K3:K26)&amp;"% x B"</f>
        <v>PPN (C) = 11,00% x B</v>
      </c>
      <c r="L29" s="74" cm="1">
        <f t="array" ref="L29">L28*MAX($K3:$K26)%</f>
        <v>9888494</v>
      </c>
      <c r="M29" s="69" cm="1">
        <f t="array" ref="M29">M28*MAX($K3:$K26)%</f>
        <v>9881960</v>
      </c>
      <c r="N29" s="69" cm="1">
        <f t="array" ref="N29">N28*MAX($K3:$K26)%</f>
        <v>9881960</v>
      </c>
    </row>
    <row r="30" ht="21" customHeight="1">
      <c r="A30" s="70"/>
      <c r="B30" s="71"/>
      <c r="C30" s="71"/>
      <c r="D30" t="s" s="110">
        <v>116</v>
      </c>
      <c r="E30" s="112">
        <v>100000000</v>
      </c>
      <c r="F30" s="112">
        <v>99784500</v>
      </c>
      <c r="G30" s="72"/>
      <c r="H30" s="72"/>
      <c r="I30" s="71"/>
      <c r="J30" s="73"/>
      <c r="K30" t="s" s="75">
        <v>42</v>
      </c>
      <c r="L30" s="76" cm="1">
        <f t="array" ref="L30">L27+L29</f>
        <v>99999642.95999999</v>
      </c>
      <c r="M30" s="69" cm="1">
        <f t="array" ref="M30">M27+M29</f>
        <v>99933566.40000001</v>
      </c>
      <c r="N30" s="69" cm="1">
        <f t="array" ref="N30">N27+N29</f>
        <v>99933566.40000001</v>
      </c>
    </row>
    <row r="31" ht="20.5" customHeight="1">
      <c r="A31" s="70"/>
      <c r="B31" s="71"/>
      <c r="C31" s="71"/>
      <c r="D31" s="72"/>
      <c r="E31" s="72" cm="1">
        <f t="array" ref="E31">E$30-L$31</f>
        <v>357.04</v>
      </c>
      <c r="F31" s="113" cm="1">
        <f t="array" ref="F31">ROUNDDOWN(E$30-D$28,2)</f>
        <v>99784251.04000001</v>
      </c>
      <c r="G31" s="72"/>
      <c r="H31" s="72"/>
      <c r="I31" s="71"/>
      <c r="J31" s="73"/>
      <c r="K31" t="s" s="75">
        <v>43</v>
      </c>
      <c r="L31" s="68" cm="1">
        <f t="array" ref="L31">ROUNDDOWN(L30,2)</f>
        <v>99999642.95999999</v>
      </c>
      <c r="M31" s="68" cm="1">
        <f t="array" ref="M31">ROUNDDOWN(M30,2)</f>
        <v>99933566.40000001</v>
      </c>
      <c r="N31" s="68" cm="1">
        <f t="array" ref="N31">ROUNDDOWN(N30,-3)</f>
        <v>99933000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43.xml><?xml version="1.0" encoding="utf-8"?>
<worksheet xmlns:r="http://schemas.openxmlformats.org/officeDocument/2006/relationships" xmlns="http://schemas.openxmlformats.org/spreadsheetml/2006/main">
  <sheetPr>
    <pageSetUpPr fitToPage="1"/>
  </sheetPr>
  <dimension ref="A1:N31"/>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338" customWidth="1"/>
    <col min="2" max="2" width="43.0312" style="338" customWidth="1"/>
    <col min="3" max="3" width="2.75" style="338" customWidth="1"/>
    <col min="4" max="6" width="10.3672" style="338" customWidth="1"/>
    <col min="7" max="7" width="11.6875" style="338" customWidth="1"/>
    <col min="8" max="11" width="13.5156" style="338" customWidth="1"/>
    <col min="12" max="14" width="14.2344" style="338" customWidth="1"/>
    <col min="15" max="16384" width="16.3516" style="338"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109</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s="95">
        <v>1</v>
      </c>
      <c r="B4" t="s" s="19">
        <v>110</v>
      </c>
      <c r="C4" s="20"/>
      <c r="D4" s="21">
        <v>1</v>
      </c>
      <c r="E4" s="21" cm="1">
        <f t="array" ref="E4">D4</f>
        <v>1</v>
      </c>
      <c r="F4" s="21" cm="1">
        <f t="array" ref="F4">D4</f>
        <v>1</v>
      </c>
      <c r="G4" t="s" s="22">
        <v>19</v>
      </c>
      <c r="H4" s="21" cm="1">
        <f t="array" ref="H4">ROUNDDOWN((F$30*0.1)*100/111,-2)</f>
        <v>8989500</v>
      </c>
      <c r="I4" s="21">
        <v>9000000</v>
      </c>
      <c r="J4" s="21">
        <v>9000000</v>
      </c>
      <c r="K4" s="21">
        <v>11</v>
      </c>
      <c r="L4" s="21" cm="1">
        <f t="array" ref="L4">IF(D4&gt;0,IF($D4&lt;=0,0,D4*H4),"")</f>
        <v>8989500</v>
      </c>
      <c r="M4" s="21" cm="1">
        <f t="array" ref="M4">IF(E4&gt;0,IF($D4&lt;=0,0,ROUND(E4*I4,2)),"")</f>
        <v>9000000</v>
      </c>
      <c r="N4" s="23" cm="1">
        <f t="array" ref="N4">IF(F4&gt;0,IF($D4&lt;=0,0,ROUND(F4*J4,2)),"")</f>
        <v>9000000</v>
      </c>
    </row>
    <row r="5" ht="20.5" customHeight="1">
      <c r="A5" s="95">
        <v>2</v>
      </c>
      <c r="B5" t="s" s="19">
        <v>111</v>
      </c>
      <c r="C5" s="24"/>
      <c r="D5" s="26">
        <v>1</v>
      </c>
      <c r="E5" s="26" cm="1">
        <f t="array" ref="E5">D5</f>
        <v>1</v>
      </c>
      <c r="F5" s="26" cm="1">
        <f t="array" ref="F5">D5</f>
        <v>1</v>
      </c>
      <c r="G5" t="s" s="27">
        <v>19</v>
      </c>
      <c r="H5" s="26" cm="1">
        <f t="array" ref="H5">ROUNDDOWN((F$30*0.2)*100/111,-2)</f>
        <v>17979100</v>
      </c>
      <c r="I5" s="26">
        <v>16930000</v>
      </c>
      <c r="J5" s="26">
        <v>16930000</v>
      </c>
      <c r="K5" s="26">
        <v>11</v>
      </c>
      <c r="L5" s="26" cm="1">
        <f t="array" ref="L5">IF(D5&gt;0,IF($D5&lt;=0,0,D5*H5),"")</f>
        <v>17979100</v>
      </c>
      <c r="M5" s="26" cm="1">
        <f t="array" ref="M5">IF(E5&gt;0,IF($D5&lt;=0,0,ROUND(E5*I5,2)),"")</f>
        <v>16930000</v>
      </c>
      <c r="N5" s="28" cm="1">
        <f t="array" ref="N5">IF(F5&gt;0,IF($D5&lt;=0,0,ROUND(F5*J5,2)),"")</f>
        <v>16930000</v>
      </c>
    </row>
    <row r="6" ht="20.5" customHeight="1">
      <c r="A6" s="95">
        <v>3</v>
      </c>
      <c r="B6" t="s" s="19">
        <v>112</v>
      </c>
      <c r="C6" s="20"/>
      <c r="D6" s="21">
        <v>1</v>
      </c>
      <c r="E6" s="21" cm="1">
        <f t="array" ref="E6">D6</f>
        <v>1</v>
      </c>
      <c r="F6" s="21" cm="1">
        <f t="array" ref="F6">D6</f>
        <v>1</v>
      </c>
      <c r="G6" t="s" s="22">
        <v>19</v>
      </c>
      <c r="H6" s="21" cm="1">
        <f t="array" ref="H6">ROUNDDOWN((F$30*0.25)*100/111,-2)</f>
        <v>22473900</v>
      </c>
      <c r="I6" s="21">
        <v>22735000</v>
      </c>
      <c r="J6" s="21">
        <v>22735000</v>
      </c>
      <c r="K6" s="21">
        <v>11</v>
      </c>
      <c r="L6" s="21" cm="1">
        <f t="array" ref="L6">IF(D6&gt;0,IF($D6&lt;=0,0,D6*H6),"")</f>
        <v>22473900</v>
      </c>
      <c r="M6" s="21" cm="1">
        <f t="array" ref="M6">IF(E6&gt;0,IF($D6&lt;=0,0,ROUND(E6*I6,2)),"")</f>
        <v>22735000</v>
      </c>
      <c r="N6" s="23" cm="1">
        <f t="array" ref="N6">IF(F6&gt;0,IF($D6&lt;=0,0,ROUND(F6*J6,2)),"")</f>
        <v>22735000</v>
      </c>
    </row>
    <row r="7" ht="68.5" customHeight="1">
      <c r="A7" s="95">
        <v>5</v>
      </c>
      <c r="B7" t="s" s="19">
        <v>113</v>
      </c>
      <c r="C7" s="24"/>
      <c r="D7" s="26">
        <v>1</v>
      </c>
      <c r="E7" s="26" cm="1">
        <f t="array" ref="E7">D7</f>
        <v>1</v>
      </c>
      <c r="F7" s="26" cm="1">
        <f t="array" ref="F7">D7</f>
        <v>1</v>
      </c>
      <c r="G7" t="s" s="27">
        <v>19</v>
      </c>
      <c r="H7" s="26" cm="1">
        <f t="array" ref="H7">ROUNDDOWN((F$30*0.25)*100/111,-2)</f>
        <v>22473900</v>
      </c>
      <c r="I7" s="26">
        <v>22600000</v>
      </c>
      <c r="J7" s="26">
        <v>22600000</v>
      </c>
      <c r="K7" s="26">
        <v>11</v>
      </c>
      <c r="L7" s="26" cm="1">
        <f t="array" ref="L7">IF(D7&gt;0,IF($D7&lt;=0,0,D7*H7),"")</f>
        <v>22473900</v>
      </c>
      <c r="M7" s="26" cm="1">
        <f t="array" ref="M7">IF(E7&gt;0,IF($D7&lt;=0,0,ROUND(E7*I7,2)),"")</f>
        <v>22600000</v>
      </c>
      <c r="N7" s="28" cm="1">
        <f t="array" ref="N7">IF(F7&gt;0,IF($D7&lt;=0,0,ROUND(F7*J7,2)),"")</f>
        <v>22600000</v>
      </c>
    </row>
    <row r="8" ht="32.5" customHeight="1">
      <c r="A8" s="95">
        <v>6</v>
      </c>
      <c r="B8" t="s" s="19">
        <v>114</v>
      </c>
      <c r="C8" s="20"/>
      <c r="D8" s="21">
        <v>1</v>
      </c>
      <c r="E8" s="21" cm="1">
        <f t="array" ref="E8">D8</f>
        <v>1</v>
      </c>
      <c r="F8" s="21" cm="1">
        <f t="array" ref="F8">D8</f>
        <v>1</v>
      </c>
      <c r="G8" t="s" s="22">
        <v>19</v>
      </c>
      <c r="H8" s="21" cm="1">
        <f t="array" ref="H8">ROUNDDOWN((F$30*0.05)*100/111,-2)</f>
        <v>4494700</v>
      </c>
      <c r="I8" s="21">
        <v>4600000</v>
      </c>
      <c r="J8" s="21">
        <v>4600000</v>
      </c>
      <c r="K8" s="21">
        <v>11</v>
      </c>
      <c r="L8" s="21" cm="1">
        <f t="array" ref="L8">IF(D8&gt;0,IF($D8&lt;=0,0,D8*H8),"")</f>
        <v>4494700</v>
      </c>
      <c r="M8" s="21" cm="1">
        <f t="array" ref="M8">IF(E8&gt;0,IF($D8&lt;=0,0,ROUND(E8*I8,2)),"")</f>
        <v>4600000</v>
      </c>
      <c r="N8" s="23" cm="1">
        <f t="array" ref="N8">IF(F8&gt;0,IF($D8&lt;=0,0,ROUND(F8*J8,2)),"")</f>
        <v>4600000</v>
      </c>
    </row>
    <row r="9" ht="20.5" customHeight="1">
      <c r="A9" s="95">
        <v>7</v>
      </c>
      <c r="B9" t="s" s="19">
        <v>115</v>
      </c>
      <c r="C9" s="24"/>
      <c r="D9" s="26">
        <v>1</v>
      </c>
      <c r="E9" s="26" cm="1">
        <f t="array" ref="E9">D9</f>
        <v>1</v>
      </c>
      <c r="F9" s="26" cm="1">
        <f t="array" ref="F9">D9</f>
        <v>1</v>
      </c>
      <c r="G9" t="s" s="27">
        <v>19</v>
      </c>
      <c r="H9" s="26" cm="1">
        <f t="array" ref="H9">ROUNDDOWN((F$30*0.15)*100/111,-2)</f>
        <v>13484300</v>
      </c>
      <c r="I9" s="26">
        <v>14000000</v>
      </c>
      <c r="J9" s="26">
        <v>14000000</v>
      </c>
      <c r="K9" s="26">
        <v>11</v>
      </c>
      <c r="L9" s="26" cm="1">
        <f t="array" ref="L9">IF(D9&gt;0,IF($D9&lt;=0,0,D9*H9),"")</f>
        <v>13484300</v>
      </c>
      <c r="M9" s="26" cm="1">
        <f t="array" ref="M9">IF(E9&gt;0,IF($D9&lt;=0,0,ROUND(E9*I9,2)),"")</f>
        <v>14000000</v>
      </c>
      <c r="N9" s="28" cm="1">
        <f t="array" ref="N9">IF(F9&gt;0,IF($D9&lt;=0,0,ROUND(F9*J9,2)),"")</f>
        <v>14000000</v>
      </c>
    </row>
    <row r="10" ht="20.6" customHeight="1">
      <c r="A10" s="33">
        <v>8</v>
      </c>
      <c r="B10" t="s" s="34">
        <v>37</v>
      </c>
      <c r="C10" s="35"/>
      <c r="D10" s="36">
        <v>1</v>
      </c>
      <c r="E10" s="36" cm="1">
        <f t="array" ref="E10">D10</f>
        <v>1</v>
      </c>
      <c r="F10" s="36" cm="1">
        <f t="array" ref="F10">D10</f>
        <v>1</v>
      </c>
      <c r="G10" t="s" s="37">
        <v>19</v>
      </c>
      <c r="H10" s="36">
        <v>215748.96</v>
      </c>
      <c r="I10" s="36">
        <v>215676</v>
      </c>
      <c r="J10" s="36">
        <v>215676</v>
      </c>
      <c r="K10" s="36">
        <v>0</v>
      </c>
      <c r="L10" s="36" cm="1">
        <f t="array" ref="L10">IF(D10&gt;0,IF($D10&lt;=0,0,D10*H10),"")</f>
        <v>215748.96</v>
      </c>
      <c r="M10" s="36" cm="1">
        <f t="array" ref="M10">IF(E10&gt;0,IF($D10&lt;=0,0,ROUND(E10*I10,2)),"")</f>
        <v>215676</v>
      </c>
      <c r="N10" s="38" cm="1">
        <f t="array" ref="N10">IF(F10&gt;0,IF($D10&lt;=0,0,ROUND(F10*J10,2)),"")</f>
        <v>215676</v>
      </c>
    </row>
    <row r="11" ht="8.75" customHeight="1" hidden="1">
      <c r="A11" s="39"/>
      <c r="B11" s="40"/>
      <c r="C11" s="41"/>
      <c r="D11" s="42"/>
      <c r="E11" s="42"/>
      <c r="F11" s="42"/>
      <c r="G11" s="43"/>
      <c r="H11" s="42"/>
      <c r="I11" s="42"/>
      <c r="J11" s="42"/>
      <c r="K11" s="42"/>
      <c r="L11" s="42"/>
      <c r="M11" s="42"/>
      <c r="N11" s="44"/>
    </row>
    <row r="12" ht="8.75" customHeight="1" hidden="1">
      <c r="A12" s="39"/>
      <c r="B12" s="40"/>
      <c r="C12" s="45"/>
      <c r="D12" s="46"/>
      <c r="E12" s="46"/>
      <c r="F12" s="46"/>
      <c r="G12" s="47"/>
      <c r="H12" s="46"/>
      <c r="I12" s="46"/>
      <c r="J12" s="46"/>
      <c r="K12" s="46"/>
      <c r="L12" s="46"/>
      <c r="M12" s="46"/>
      <c r="N12" s="48"/>
    </row>
    <row r="13" ht="8.75" customHeight="1" hidden="1">
      <c r="A13" s="39"/>
      <c r="B13" s="40"/>
      <c r="C13" s="41"/>
      <c r="D13" s="42"/>
      <c r="E13" s="42"/>
      <c r="F13" s="42"/>
      <c r="G13" s="43"/>
      <c r="H13" s="42"/>
      <c r="I13" s="42"/>
      <c r="J13" s="42"/>
      <c r="K13" s="42"/>
      <c r="L13" s="42"/>
      <c r="M13" s="42"/>
      <c r="N13" s="44"/>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2"/>
      <c r="I15" s="42"/>
      <c r="J15" s="42"/>
      <c r="K15" s="42"/>
      <c r="L15" s="42"/>
      <c r="M15" s="42"/>
      <c r="N15" s="44"/>
    </row>
    <row r="16" ht="8.75" customHeight="1" hidden="1">
      <c r="A16" s="39"/>
      <c r="B16" s="40"/>
      <c r="C16" s="45"/>
      <c r="D16" s="46"/>
      <c r="E16" s="46"/>
      <c r="F16" s="46"/>
      <c r="G16" s="47"/>
      <c r="H16" s="46"/>
      <c r="I16" s="46"/>
      <c r="J16" s="46"/>
      <c r="K16" s="46"/>
      <c r="L16" s="46"/>
      <c r="M16" s="46"/>
      <c r="N16" s="48"/>
    </row>
    <row r="17" ht="8.75" customHeight="1" hidden="1">
      <c r="A17" s="39"/>
      <c r="B17" s="40"/>
      <c r="C17" s="41"/>
      <c r="D17" s="42"/>
      <c r="E17" s="42"/>
      <c r="F17" s="42"/>
      <c r="G17" s="43"/>
      <c r="H17" s="43"/>
      <c r="I17" s="43"/>
      <c r="J17" s="43"/>
      <c r="K17" s="42"/>
      <c r="L17" s="43"/>
      <c r="M17" s="43"/>
      <c r="N17" s="49"/>
    </row>
    <row r="18" ht="8.75" customHeight="1" hidden="1">
      <c r="A18" s="39"/>
      <c r="B18" s="40"/>
      <c r="C18" s="45"/>
      <c r="D18" s="46"/>
      <c r="E18" s="46"/>
      <c r="F18" s="46"/>
      <c r="G18" s="47"/>
      <c r="H18" s="50"/>
      <c r="I18" s="50"/>
      <c r="J18" s="50"/>
      <c r="K18" s="46"/>
      <c r="L18" s="46"/>
      <c r="M18" s="46"/>
      <c r="N18" s="48"/>
    </row>
    <row r="19" ht="8.75" customHeight="1" hidden="1">
      <c r="A19" s="39"/>
      <c r="B19" s="40"/>
      <c r="C19" s="41"/>
      <c r="D19" s="42"/>
      <c r="E19" s="42"/>
      <c r="F19" s="42"/>
      <c r="G19" s="43"/>
      <c r="H19" s="43"/>
      <c r="I19" s="43"/>
      <c r="J19" s="43"/>
      <c r="K19" s="42"/>
      <c r="L19" s="43"/>
      <c r="M19" s="43"/>
      <c r="N19" s="49"/>
    </row>
    <row r="20" ht="8.75" customHeight="1" hidden="1">
      <c r="A20" s="39"/>
      <c r="B20" s="40"/>
      <c r="C20" s="45"/>
      <c r="D20" s="46"/>
      <c r="E20" s="46"/>
      <c r="F20" s="46"/>
      <c r="G20" s="47"/>
      <c r="H20" s="46"/>
      <c r="I20" s="46"/>
      <c r="J20" s="46"/>
      <c r="K20" s="46"/>
      <c r="L20" s="46"/>
      <c r="M20" s="46"/>
      <c r="N20" s="48"/>
    </row>
    <row r="21" ht="8.75" customHeight="1" hidden="1">
      <c r="A21" s="39"/>
      <c r="B21" s="40"/>
      <c r="C21" s="41"/>
      <c r="D21" s="42"/>
      <c r="E21" s="42"/>
      <c r="F21" s="42"/>
      <c r="G21" s="43"/>
      <c r="H21" s="42"/>
      <c r="I21" s="42"/>
      <c r="J21" s="42"/>
      <c r="K21" s="42"/>
      <c r="L21" s="42"/>
      <c r="M21" s="42"/>
      <c r="N21" s="44"/>
    </row>
    <row r="22" ht="8.75" customHeight="1" hidden="1">
      <c r="A22" s="51"/>
      <c r="B22" s="40"/>
      <c r="C22" s="45"/>
      <c r="D22" s="46"/>
      <c r="E22" s="46"/>
      <c r="F22" s="46"/>
      <c r="G22" s="47"/>
      <c r="H22" s="46"/>
      <c r="I22" s="46"/>
      <c r="J22" s="46"/>
      <c r="K22" s="46"/>
      <c r="L22" s="46"/>
      <c r="M22" s="46"/>
      <c r="N22" s="48"/>
    </row>
    <row r="23" ht="8.75" customHeight="1" hidden="1">
      <c r="A23" s="51"/>
      <c r="B23" s="40"/>
      <c r="C23" s="41"/>
      <c r="D23" s="42"/>
      <c r="E23" s="42"/>
      <c r="F23" s="42"/>
      <c r="G23" s="43"/>
      <c r="H23" s="42"/>
      <c r="I23" s="42"/>
      <c r="J23" s="42"/>
      <c r="K23" s="42"/>
      <c r="L23" s="42"/>
      <c r="M23" s="42"/>
      <c r="N23" s="44"/>
    </row>
    <row r="24" ht="8.75" customHeight="1" hidden="1">
      <c r="A24" s="39"/>
      <c r="B24" s="40"/>
      <c r="C24" s="45"/>
      <c r="D24" s="46"/>
      <c r="E24" s="46"/>
      <c r="F24" s="46"/>
      <c r="G24" s="47"/>
      <c r="H24" s="46"/>
      <c r="I24" s="46"/>
      <c r="J24" s="46"/>
      <c r="K24" s="46"/>
      <c r="L24" s="47"/>
      <c r="M24" s="47"/>
      <c r="N24" s="52"/>
    </row>
    <row r="25" ht="8.75" customHeight="1" hidden="1">
      <c r="A25" s="39"/>
      <c r="B25" s="40"/>
      <c r="C25" s="41"/>
      <c r="D25" s="42"/>
      <c r="E25" s="42"/>
      <c r="F25" s="42"/>
      <c r="G25" s="43"/>
      <c r="H25" s="42"/>
      <c r="I25" s="42"/>
      <c r="J25" s="42"/>
      <c r="K25" s="42"/>
      <c r="L25" s="42"/>
      <c r="M25" s="42"/>
      <c r="N25" s="44"/>
    </row>
    <row r="26" ht="8.75" customHeight="1" hidden="1">
      <c r="A26" s="39"/>
      <c r="B26" s="40"/>
      <c r="C26" s="45"/>
      <c r="D26" s="46"/>
      <c r="E26" s="46"/>
      <c r="F26" s="46"/>
      <c r="G26" s="47"/>
      <c r="H26" s="46"/>
      <c r="I26" s="46"/>
      <c r="J26" s="46"/>
      <c r="K26" s="46"/>
      <c r="L26" s="47"/>
      <c r="M26" s="47"/>
      <c r="N26" s="52"/>
    </row>
    <row r="27" ht="20.85" customHeight="1">
      <c r="A27" s="108"/>
      <c r="B27" s="54"/>
      <c r="C27" s="54"/>
      <c r="D27" s="55"/>
      <c r="E27" s="55"/>
      <c r="F27" s="55"/>
      <c r="G27" s="56"/>
      <c r="H27" s="56"/>
      <c r="I27" s="54"/>
      <c r="J27" s="57"/>
      <c r="K27" t="s" s="58">
        <v>38</v>
      </c>
      <c r="L27" s="59" cm="1">
        <f t="array" ref="L27">SUM(L1:L26)</f>
        <v>90111148.95999999</v>
      </c>
      <c r="M27" s="59" cm="1">
        <f t="array" ref="M27">SUM(M1:M26)</f>
        <v>90080676</v>
      </c>
      <c r="N27" s="59" cm="1">
        <f t="array" ref="N27">SUM(N1:N26)</f>
        <v>90080676</v>
      </c>
    </row>
    <row r="28" ht="21" customHeight="1">
      <c r="A28" s="63" cm="1">
        <f t="array" ref="A28">ROUND(IF(I28&lt;=100000000,I28*0.24%,IF(AND(I28&gt;100000000,I28&lt;=500000000),100000000*0.24%+(I28-100000000)*0.19%,IF(AND(I28&gt;500000000,I28&lt;=1000000000),100000000*0.24%+400000000*0.19%+(I28-500000000)*0.15%,IF(AND(I28&gt;1000000000,I28&lt;=5000000000),100000000*0.24%+400000000*0.19%+500000000*0.15%+(I28-1000000000)*0.12%,IF(I28&gt;5000000000,100000000*0.24%+400000000*0.19%+500000000*0.15%+4000000000*0.12%+(I28-5000000000)*0.1%,"Bingung komputer"))))),2)</f>
        <v>0</v>
      </c>
      <c r="B28" t="s" s="109">
        <v>39</v>
      </c>
      <c r="C28" s="62"/>
      <c r="D28" s="63" cm="1">
        <f t="array" ref="D28">ROUND(IF(L28&lt;=100000000,L28*0.24%,IF(AND(L28&gt;100000000,L28&lt;=500000000),100000000*0.24%+(L28-100000000)*0.19%,IF(AND(L28&gt;500000000,L28&lt;=1000000000),100000000*0.24%+400000000*0.19%+(L28-500000000)*0.15%,IF(AND(L28&gt;1000000000,L28&lt;=5000000000),100000000*0.24%+400000000*0.19%+500000000*0.15%+(L28-1000000000)*0.12%,IF(L28&gt;5000000000,100000000*0.24%+400000000*0.19%+500000000*0.15%+4000000000*0.12%+(L28-5000000000)*0.1%,"Bingung komputer"))))),2)</f>
        <v>215748.96</v>
      </c>
      <c r="E28" s="64" cm="1">
        <f t="array" ref="E28">ROUND(IF(M28&lt;=100000000,M28*0.24%,IF(AND(M28&gt;100000000,M28&lt;=500000000),100000000*0.24%+(M28-100000000)*0.19%,IF(AND(M28&gt;500000000,M28&lt;=1000000000),100000000*0.24%+400000000*0.19%+(M28-500000000)*0.15%,IF(AND(M28&gt;1000000000,M28&lt;=5000000000),100000000*0.24%+400000000*0.19%+500000000*0.15%+(M28-1000000000)*0.12%,IF(M28&gt;5000000000,100000000*0.24%+400000000*0.19%+500000000*0.15%+4000000000*0.12%+(M28-5000000000)*0.1%,"Bingung komputer"))))),2)</f>
        <v>215676</v>
      </c>
      <c r="F28" s="64" cm="1">
        <f t="array" ref="F28">ROUND(IF(N28&lt;=100000000,N28*0.24%,IF(AND(N28&gt;100000000,N28&lt;=500000000),100000000*0.24%+(N28-100000000)*0.19%,IF(AND(N28&gt;500000000,N28&lt;=1000000000),100000000*0.24%+400000000*0.19%+(N28-500000000)*0.15%,IF(AND(N28&gt;1000000000,N28&lt;=5000000000),100000000*0.24%+400000000*0.19%+500000000*0.15%+(N28-1000000000)*0.12%,IF(N28&gt;5000000000,100000000*0.24%+400000000*0.19%+500000000*0.15%+4000000000*0.12%+(N28-5000000000)*0.1%,"Bingung komputer"))))),2)</f>
        <v>215676</v>
      </c>
      <c r="G28" s="65"/>
      <c r="H28" s="66"/>
      <c r="I28" s="68"/>
      <c r="J28" s="67"/>
      <c r="K28" t="str" s="67" cm="1">
        <f t="array" ref="K28">"Jumlah Terkena Pajak "&amp;MAX(K3:K26)&amp;"% (B)"</f>
        <v>Jumlah Terkena Pajak 11,00% (B)</v>
      </c>
      <c r="L28" s="68" cm="1">
        <f t="array" ref="L28">SUMIF($K3:$K26,"&gt;0",L3:L26)</f>
        <v>89895400</v>
      </c>
      <c r="M28" s="69" cm="1">
        <f t="array" ref="M28">SUMIF($K3:$K26,"&gt;0",M3:M26)</f>
        <v>89865000</v>
      </c>
      <c r="N28" s="69" cm="1">
        <f t="array" ref="N28">SUMIF($K3:$K26,"&gt;0",N3:N26)</f>
        <v>89865000</v>
      </c>
    </row>
    <row r="29" ht="21" customHeight="1">
      <c r="A29" s="70"/>
      <c r="B29" s="71"/>
      <c r="C29" s="71"/>
      <c r="D29" s="72"/>
      <c r="E29" s="72"/>
      <c r="F29" s="71"/>
      <c r="G29" s="72"/>
      <c r="H29" s="72"/>
      <c r="I29" s="74"/>
      <c r="J29" s="73"/>
      <c r="K29" t="str" s="73" cm="1">
        <f t="array" ref="K29">"PPN (C) = "&amp;MAX(K3:K26)&amp;"% x B"</f>
        <v>PPN (C) = 11,00% x B</v>
      </c>
      <c r="L29" s="74" cm="1">
        <f t="array" ref="L29">L28*MAX($K3:$K26)%</f>
        <v>9888494</v>
      </c>
      <c r="M29" s="69" cm="1">
        <f t="array" ref="M29">M28*MAX($K3:$K26)%</f>
        <v>9885150</v>
      </c>
      <c r="N29" s="69" cm="1">
        <f t="array" ref="N29">N28*MAX($K3:$K26)%</f>
        <v>9885150</v>
      </c>
    </row>
    <row r="30" ht="21" customHeight="1">
      <c r="A30" s="70"/>
      <c r="B30" s="71"/>
      <c r="C30" s="71"/>
      <c r="D30" t="s" s="110">
        <v>116</v>
      </c>
      <c r="E30" s="112">
        <v>100000000</v>
      </c>
      <c r="F30" s="112">
        <v>99784500</v>
      </c>
      <c r="G30" s="72"/>
      <c r="H30" s="72"/>
      <c r="I30" s="71"/>
      <c r="J30" s="73"/>
      <c r="K30" t="s" s="75">
        <v>42</v>
      </c>
      <c r="L30" s="76" cm="1">
        <f t="array" ref="L30">L27+L29</f>
        <v>99999642.95999999</v>
      </c>
      <c r="M30" s="69" cm="1">
        <f t="array" ref="M30">M27+M29</f>
        <v>99965826</v>
      </c>
      <c r="N30" s="69" cm="1">
        <f t="array" ref="N30">N27+N29</f>
        <v>99965826</v>
      </c>
    </row>
    <row r="31" ht="20.5" customHeight="1">
      <c r="A31" s="70"/>
      <c r="B31" s="71"/>
      <c r="C31" s="71"/>
      <c r="D31" s="72"/>
      <c r="E31" s="72" cm="1">
        <f t="array" ref="E31">E$30-L$31</f>
        <v>357.04</v>
      </c>
      <c r="F31" s="113" cm="1">
        <f t="array" ref="F31">ROUNDDOWN(E$30-D$28,2)</f>
        <v>99784251.04000001</v>
      </c>
      <c r="G31" s="72"/>
      <c r="H31" s="72"/>
      <c r="I31" s="71"/>
      <c r="J31" s="73"/>
      <c r="K31" t="s" s="75">
        <v>43</v>
      </c>
      <c r="L31" s="68" cm="1">
        <f t="array" ref="L31">ROUNDDOWN(L30,2)</f>
        <v>99999642.95999999</v>
      </c>
      <c r="M31" s="68" cm="1">
        <f t="array" ref="M31">ROUNDDOWN(M30,2)</f>
        <v>99965826</v>
      </c>
      <c r="N31" s="68" cm="1">
        <f t="array" ref="N31">ROUNDDOWN(N30,-3)</f>
        <v>99965000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44.xml><?xml version="1.0" encoding="utf-8"?>
<worksheet xmlns:r="http://schemas.openxmlformats.org/officeDocument/2006/relationships" xmlns="http://schemas.openxmlformats.org/spreadsheetml/2006/main">
  <sheetPr>
    <pageSetUpPr fitToPage="1"/>
  </sheetPr>
  <dimension ref="A1:N34"/>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339" customWidth="1"/>
    <col min="2" max="2" width="43.0312" style="339" customWidth="1"/>
    <col min="3" max="3" width="2.75" style="339" customWidth="1"/>
    <col min="4" max="6" width="10.3672" style="339" customWidth="1"/>
    <col min="7" max="7" width="11.6875" style="339" customWidth="1"/>
    <col min="8" max="11" width="13.5156" style="339" customWidth="1"/>
    <col min="12" max="14" width="14.2344" style="339" customWidth="1"/>
    <col min="15" max="16384" width="16.3516" style="339"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133</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s="95">
        <v>1</v>
      </c>
      <c r="B4" t="s" s="19">
        <v>134</v>
      </c>
      <c r="C4" s="20"/>
      <c r="D4" s="21">
        <v>1</v>
      </c>
      <c r="E4" s="21" cm="1">
        <f t="array" ref="E4">D4</f>
        <v>1</v>
      </c>
      <c r="F4" s="21" cm="1">
        <f t="array" ref="F4">D4</f>
        <v>1</v>
      </c>
      <c r="G4" t="s" s="22">
        <v>19</v>
      </c>
      <c r="H4" s="21">
        <v>2165000</v>
      </c>
      <c r="I4" s="21">
        <v>2150000</v>
      </c>
      <c r="J4" s="21">
        <v>2150000</v>
      </c>
      <c r="K4" s="21">
        <v>11</v>
      </c>
      <c r="L4" s="21" cm="1">
        <f t="array" ref="L4">IF(D4&gt;0,IF($D4&lt;=0,0,D4*H4),"")</f>
        <v>2165000</v>
      </c>
      <c r="M4" s="21" cm="1">
        <f t="array" ref="M4">IF(E4&gt;0,IF($D4&lt;=0,0,ROUND(E4*I4,2)),"")</f>
        <v>2150000</v>
      </c>
      <c r="N4" s="23" cm="1">
        <f t="array" ref="N4">IF(F4&gt;0,IF($D4&lt;=0,0,ROUND(F4*J4,2)),"")</f>
        <v>2150000</v>
      </c>
    </row>
    <row r="5" ht="20.5" customHeight="1">
      <c r="A5" s="29"/>
      <c r="B5" t="s" s="19">
        <v>145</v>
      </c>
      <c r="C5" s="24"/>
      <c r="D5" s="30"/>
      <c r="E5" s="26"/>
      <c r="F5" s="26"/>
      <c r="G5" s="30"/>
      <c r="H5" s="26"/>
      <c r="I5" s="30"/>
      <c r="J5" s="30"/>
      <c r="K5" s="26"/>
      <c r="L5" t="str" s="30" cm="1">
        <f t="array" ref="L5">IF(D5&gt;0,IF($D5&lt;=0,0,D5*H5),"")</f>
      </c>
      <c r="M5" t="str" s="30" cm="1">
        <f t="array" ref="M5">IF(E5&gt;0,IF($D5&lt;=0,0,ROUND(E5*I5,2)),"")</f>
      </c>
      <c r="N5" t="str" s="31" cm="1">
        <f t="array" ref="N5">IF(F5&gt;0,IF($D5&lt;=0,0,ROUND(F5*J5,2)),"")</f>
      </c>
    </row>
    <row r="6" ht="20.5" customHeight="1">
      <c r="A6" s="29"/>
      <c r="B6" t="s" s="19">
        <v>570</v>
      </c>
      <c r="C6" s="20"/>
      <c r="D6" s="79"/>
      <c r="E6" s="21"/>
      <c r="F6" s="21"/>
      <c r="G6" s="79"/>
      <c r="H6" s="21"/>
      <c r="I6" s="79"/>
      <c r="J6" s="79"/>
      <c r="K6" s="21"/>
      <c r="L6" t="str" s="79" cm="1">
        <f t="array" ref="L6">IF(D6&gt;0,IF($D6&lt;=0,0,D6*H6),"")</f>
      </c>
      <c r="M6" t="str" s="79" cm="1">
        <f t="array" ref="M6">IF(E6&gt;0,IF($D6&lt;=0,0,ROUND(E6*I6,2)),"")</f>
      </c>
      <c r="N6" t="str" s="91" cm="1">
        <f t="array" ref="N6">IF(F6&gt;0,IF($D6&lt;=0,0,ROUND(F6*J6,2)),"")</f>
      </c>
    </row>
    <row r="7" ht="20.5" customHeight="1">
      <c r="A7" s="95">
        <v>1</v>
      </c>
      <c r="B7" t="s" s="19">
        <v>147</v>
      </c>
      <c r="C7" s="24"/>
      <c r="D7" s="25">
        <v>60</v>
      </c>
      <c r="E7" s="26" cm="1">
        <f t="array" ref="E7">D7</f>
        <v>60</v>
      </c>
      <c r="F7" s="26" cm="1">
        <f t="array" ref="F7">D7</f>
        <v>60</v>
      </c>
      <c r="G7" t="s" s="27">
        <v>140</v>
      </c>
      <c r="H7" s="26">
        <v>81075</v>
      </c>
      <c r="I7" s="26">
        <v>80643.75</v>
      </c>
      <c r="J7" s="26">
        <v>80643.75</v>
      </c>
      <c r="K7" s="26">
        <v>11</v>
      </c>
      <c r="L7" s="26" cm="1">
        <f t="array" ref="L7">IF(D7&gt;0,IF($D7&lt;=0,0,D7*H7),"")</f>
        <v>4864500</v>
      </c>
      <c r="M7" s="26" cm="1">
        <f t="array" ref="M7">IF(E7&gt;0,IF($D7&lt;=0,0,ROUND(E7*I7,2)),"")</f>
        <v>4838625</v>
      </c>
      <c r="N7" s="28" cm="1">
        <f t="array" ref="N7">IF(F7&gt;0,IF($D7&lt;=0,0,ROUND(F7*J7,2)),"")</f>
        <v>4838625</v>
      </c>
    </row>
    <row r="8" ht="20.5" customHeight="1">
      <c r="A8" s="29"/>
      <c r="B8" t="s" s="19">
        <v>136</v>
      </c>
      <c r="C8" s="20"/>
      <c r="D8" s="79"/>
      <c r="E8" s="21"/>
      <c r="F8" s="21"/>
      <c r="G8" s="79"/>
      <c r="H8" s="21"/>
      <c r="I8" s="79"/>
      <c r="J8" s="79"/>
      <c r="K8" s="21"/>
      <c r="L8" t="str" s="79" cm="1">
        <f t="array" ref="L8">IF(D8&gt;0,IF($D8&lt;=0,0,D8*H8),"")</f>
      </c>
      <c r="M8" t="str" s="79" cm="1">
        <f t="array" ref="M8">IF(E8&gt;0,IF($D8&lt;=0,0,ROUND(E8*I8,2)),"")</f>
      </c>
      <c r="N8" t="str" s="91" cm="1">
        <f t="array" ref="N8">IF(F8&gt;0,IF($D8&lt;=0,0,ROUND(F8*J8,2)),"")</f>
      </c>
    </row>
    <row r="9" ht="20.5" customHeight="1">
      <c r="A9" s="29"/>
      <c r="B9" t="s" s="19">
        <v>430</v>
      </c>
      <c r="C9" s="24"/>
      <c r="D9" s="30"/>
      <c r="E9" s="26"/>
      <c r="F9" s="26"/>
      <c r="G9" s="30"/>
      <c r="H9" s="26"/>
      <c r="I9" s="30"/>
      <c r="J9" s="30"/>
      <c r="K9" s="26"/>
      <c r="L9" t="str" s="30" cm="1">
        <f t="array" ref="L9">IF(D9&gt;0,IF($D9&lt;=0,0,D9*H9),"")</f>
      </c>
      <c r="M9" t="str" s="30" cm="1">
        <f t="array" ref="M9">IF(E9&gt;0,IF($D9&lt;=0,0,ROUND(E9*I9,2)),"")</f>
      </c>
      <c r="N9" t="str" s="31" cm="1">
        <f t="array" ref="N9">IF(F9&gt;0,IF($D9&lt;=0,0,ROUND(F9*J9,2)),"")</f>
      </c>
    </row>
    <row r="10" ht="20.5" customHeight="1">
      <c r="A10" s="95">
        <v>1</v>
      </c>
      <c r="B10" t="s" s="19">
        <v>139</v>
      </c>
      <c r="C10" s="20"/>
      <c r="D10" s="78">
        <v>102.3</v>
      </c>
      <c r="E10" s="21" cm="1">
        <f t="array" ref="E10">D10</f>
        <v>102.3</v>
      </c>
      <c r="F10" s="21" cm="1">
        <f t="array" ref="F10">D10</f>
        <v>102.3</v>
      </c>
      <c r="G10" t="s" s="22">
        <v>140</v>
      </c>
      <c r="H10" s="21">
        <v>1449813</v>
      </c>
      <c r="I10" s="21">
        <v>1448706.13</v>
      </c>
      <c r="J10" s="21">
        <v>1448706.13</v>
      </c>
      <c r="K10" s="21">
        <v>11</v>
      </c>
      <c r="L10" s="21" cm="1">
        <f t="array" ref="L10">IF(D10&gt;0,IF($D10&lt;=0,0,D10*H10),"")</f>
        <v>148315869.9</v>
      </c>
      <c r="M10" s="21" cm="1">
        <f t="array" ref="M10">IF(E10&gt;0,IF($D10&lt;=0,0,ROUND(E10*I10,2)),"")</f>
        <v>148202637.1</v>
      </c>
      <c r="N10" s="23" cm="1">
        <f t="array" ref="N10">IF(F10&gt;0,IF($D10&lt;=0,0,ROUND(F10*J10,2)),"")</f>
        <v>148202637.1</v>
      </c>
    </row>
    <row r="11" ht="20.5" customHeight="1">
      <c r="A11" s="95">
        <v>2</v>
      </c>
      <c r="B11" t="s" s="19">
        <v>141</v>
      </c>
      <c r="C11" s="24"/>
      <c r="D11" s="25">
        <v>17.05</v>
      </c>
      <c r="E11" s="26" cm="1">
        <f t="array" ref="E11">D11</f>
        <v>17.05</v>
      </c>
      <c r="F11" s="26" cm="1">
        <f t="array" ref="F11">D11</f>
        <v>17.05</v>
      </c>
      <c r="G11" t="s" s="27">
        <v>142</v>
      </c>
      <c r="H11" s="26">
        <v>297818.38</v>
      </c>
      <c r="I11" s="26">
        <v>297249.13</v>
      </c>
      <c r="J11" s="26">
        <v>297249.13</v>
      </c>
      <c r="K11" s="26">
        <v>11</v>
      </c>
      <c r="L11" s="26" cm="1">
        <f t="array" ref="L11">IF(D11&gt;0,IF($D11&lt;=0,0,D11*H11),"")</f>
        <v>5077803.379</v>
      </c>
      <c r="M11" s="26" cm="1">
        <f t="array" ref="M11">IF(E11&gt;0,IF($D11&lt;=0,0,ROUND(E11*I11,2)),"")</f>
        <v>5068097.67</v>
      </c>
      <c r="N11" s="28" cm="1">
        <f t="array" ref="N11">IF(F11&gt;0,IF($D11&lt;=0,0,ROUND(F11*J11,2)),"")</f>
        <v>5068097.67</v>
      </c>
    </row>
    <row r="12" ht="20.5" customHeight="1">
      <c r="A12" s="29"/>
      <c r="B12" t="s" s="19">
        <v>36</v>
      </c>
      <c r="C12" s="20"/>
      <c r="D12" s="21"/>
      <c r="E12" s="21"/>
      <c r="F12" s="21"/>
      <c r="G12" s="79"/>
      <c r="H12" s="79"/>
      <c r="I12" s="79"/>
      <c r="J12" s="79"/>
      <c r="K12" s="21"/>
      <c r="L12" t="str" s="79" cm="1">
        <f t="array" ref="L12">IF(D12&gt;0,IF($D12&lt;=0,0,D12*H12),"")</f>
      </c>
      <c r="M12" s="21"/>
      <c r="N12" s="23"/>
    </row>
    <row r="13" ht="20.6" customHeight="1">
      <c r="A13" s="33">
        <v>1</v>
      </c>
      <c r="B13" t="s" s="34">
        <v>37</v>
      </c>
      <c r="C13" s="80"/>
      <c r="D13" s="81">
        <v>1</v>
      </c>
      <c r="E13" s="81" cm="1">
        <f t="array" ref="E13">D13</f>
        <v>1</v>
      </c>
      <c r="F13" s="81" cm="1">
        <f t="array" ref="F13">D13</f>
        <v>1</v>
      </c>
      <c r="G13" t="s" s="82">
        <v>19</v>
      </c>
      <c r="H13" s="81">
        <v>354804.03</v>
      </c>
      <c r="I13" s="81">
        <v>354492.78</v>
      </c>
      <c r="J13" s="81">
        <v>354492.78</v>
      </c>
      <c r="K13" s="81">
        <v>0</v>
      </c>
      <c r="L13" s="81" cm="1">
        <f t="array" ref="L13">IF(D13&gt;0,IF($D13&lt;=0,0,D13*H13),"")</f>
        <v>354804.03</v>
      </c>
      <c r="M13" s="81" cm="1">
        <f t="array" ref="M13">IF(E13&gt;0,IF($D13&lt;=0,0,ROUND(E13*I13,2)),"")</f>
        <v>354492.78</v>
      </c>
      <c r="N13" s="83" cm="1">
        <f t="array" ref="N13">IF(F13&gt;0,IF($D13&lt;=0,0,ROUND(F13*J13,2)),"")</f>
        <v>354492.78</v>
      </c>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2"/>
      <c r="I15" s="42"/>
      <c r="J15" s="42"/>
      <c r="K15" s="42"/>
      <c r="L15" s="42"/>
      <c r="M15" s="42"/>
      <c r="N15" s="44"/>
    </row>
    <row r="16" ht="8.75" customHeight="1" hidden="1">
      <c r="A16" s="39"/>
      <c r="B16" s="40"/>
      <c r="C16" s="45"/>
      <c r="D16" s="46"/>
      <c r="E16" s="46"/>
      <c r="F16" s="46"/>
      <c r="G16" s="47"/>
      <c r="H16" s="46"/>
      <c r="I16" s="46"/>
      <c r="J16" s="46"/>
      <c r="K16" s="46"/>
      <c r="L16" s="46"/>
      <c r="M16" s="46"/>
      <c r="N16" s="48"/>
    </row>
    <row r="17" ht="8.75" customHeight="1" hidden="1">
      <c r="A17" s="39"/>
      <c r="B17" s="40"/>
      <c r="C17" s="41"/>
      <c r="D17" s="42"/>
      <c r="E17" s="42"/>
      <c r="F17" s="42"/>
      <c r="G17" s="43"/>
      <c r="H17" s="42"/>
      <c r="I17" s="42"/>
      <c r="J17" s="42"/>
      <c r="K17" s="42"/>
      <c r="L17" s="42"/>
      <c r="M17" s="42"/>
      <c r="N17" s="44"/>
    </row>
    <row r="18" ht="8.75" customHeight="1" hidden="1">
      <c r="A18" s="39"/>
      <c r="B18" s="40"/>
      <c r="C18" s="45"/>
      <c r="D18" s="46"/>
      <c r="E18" s="46"/>
      <c r="F18" s="46"/>
      <c r="G18" s="47"/>
      <c r="H18" s="46"/>
      <c r="I18" s="46"/>
      <c r="J18" s="46"/>
      <c r="K18" s="46"/>
      <c r="L18" s="46"/>
      <c r="M18" s="46"/>
      <c r="N18" s="48"/>
    </row>
    <row r="19" ht="8.75" customHeight="1" hidden="1">
      <c r="A19" s="39"/>
      <c r="B19" s="40"/>
      <c r="C19" s="41"/>
      <c r="D19" s="42"/>
      <c r="E19" s="42"/>
      <c r="F19" s="42"/>
      <c r="G19" s="43"/>
      <c r="H19" s="42"/>
      <c r="I19" s="42"/>
      <c r="J19" s="42"/>
      <c r="K19" s="42"/>
      <c r="L19" s="42"/>
      <c r="M19" s="42"/>
      <c r="N19" s="44"/>
    </row>
    <row r="20" ht="8.75" customHeight="1" hidden="1">
      <c r="A20" s="39"/>
      <c r="B20" s="40"/>
      <c r="C20" s="45"/>
      <c r="D20" s="46"/>
      <c r="E20" s="46"/>
      <c r="F20" s="46"/>
      <c r="G20" s="47"/>
      <c r="H20" s="47"/>
      <c r="I20" s="47"/>
      <c r="J20" s="47"/>
      <c r="K20" s="46"/>
      <c r="L20" s="47"/>
      <c r="M20" s="47"/>
      <c r="N20" s="52"/>
    </row>
    <row r="21" ht="8.75" customHeight="1" hidden="1">
      <c r="A21" s="39"/>
      <c r="B21" s="40"/>
      <c r="C21" s="41"/>
      <c r="D21" s="42"/>
      <c r="E21" s="42"/>
      <c r="F21" s="42"/>
      <c r="G21" s="43"/>
      <c r="H21" s="84"/>
      <c r="I21" s="84"/>
      <c r="J21" s="84"/>
      <c r="K21" s="42"/>
      <c r="L21" s="42"/>
      <c r="M21" s="42"/>
      <c r="N21" s="44"/>
    </row>
    <row r="22" ht="8.75" customHeight="1" hidden="1">
      <c r="A22" s="39"/>
      <c r="B22" s="40"/>
      <c r="C22" s="45"/>
      <c r="D22" s="46"/>
      <c r="E22" s="46"/>
      <c r="F22" s="46"/>
      <c r="G22" s="47"/>
      <c r="H22" s="47"/>
      <c r="I22" s="47"/>
      <c r="J22" s="47"/>
      <c r="K22" s="46"/>
      <c r="L22" s="47"/>
      <c r="M22" s="47"/>
      <c r="N22" s="52"/>
    </row>
    <row r="23" ht="8.75" customHeight="1" hidden="1">
      <c r="A23" s="39"/>
      <c r="B23" s="40"/>
      <c r="C23" s="41"/>
      <c r="D23" s="42"/>
      <c r="E23" s="42"/>
      <c r="F23" s="42"/>
      <c r="G23" s="43"/>
      <c r="H23" s="42"/>
      <c r="I23" s="42"/>
      <c r="J23" s="42"/>
      <c r="K23" s="42"/>
      <c r="L23" s="42"/>
      <c r="M23" s="42"/>
      <c r="N23" s="44"/>
    </row>
    <row r="24" ht="8.75" customHeight="1" hidden="1">
      <c r="A24" s="39"/>
      <c r="B24" s="40"/>
      <c r="C24" s="45"/>
      <c r="D24" s="46"/>
      <c r="E24" s="46"/>
      <c r="F24" s="46"/>
      <c r="G24" s="47"/>
      <c r="H24" s="46"/>
      <c r="I24" s="46"/>
      <c r="J24" s="46"/>
      <c r="K24" s="46"/>
      <c r="L24" s="46"/>
      <c r="M24" s="46"/>
      <c r="N24" s="48"/>
    </row>
    <row r="25" ht="8.75" customHeight="1" hidden="1">
      <c r="A25" s="51"/>
      <c r="B25" s="40"/>
      <c r="C25" s="41"/>
      <c r="D25" s="42"/>
      <c r="E25" s="42"/>
      <c r="F25" s="42"/>
      <c r="G25" s="43"/>
      <c r="H25" s="42"/>
      <c r="I25" s="42"/>
      <c r="J25" s="42"/>
      <c r="K25" s="42"/>
      <c r="L25" s="42"/>
      <c r="M25" s="42"/>
      <c r="N25" s="44"/>
    </row>
    <row r="26" ht="8.75" customHeight="1" hidden="1">
      <c r="A26" s="51"/>
      <c r="B26" s="40"/>
      <c r="C26" s="45"/>
      <c r="D26" s="46"/>
      <c r="E26" s="46"/>
      <c r="F26" s="46"/>
      <c r="G26" s="47"/>
      <c r="H26" s="46"/>
      <c r="I26" s="46"/>
      <c r="J26" s="46"/>
      <c r="K26" s="46"/>
      <c r="L26" s="46"/>
      <c r="M26" s="46"/>
      <c r="N26" s="48"/>
    </row>
    <row r="27" ht="8.75" customHeight="1" hidden="1">
      <c r="A27" s="39"/>
      <c r="B27" s="40"/>
      <c r="C27" s="41"/>
      <c r="D27" s="42"/>
      <c r="E27" s="42"/>
      <c r="F27" s="42"/>
      <c r="G27" s="43"/>
      <c r="H27" s="42"/>
      <c r="I27" s="42"/>
      <c r="J27" s="42"/>
      <c r="K27" s="42"/>
      <c r="L27" s="43"/>
      <c r="M27" s="43"/>
      <c r="N27" s="49"/>
    </row>
    <row r="28" ht="8.75" customHeight="1" hidden="1">
      <c r="A28" s="39"/>
      <c r="B28" s="40"/>
      <c r="C28" s="45"/>
      <c r="D28" s="46"/>
      <c r="E28" s="46"/>
      <c r="F28" s="46"/>
      <c r="G28" s="47"/>
      <c r="H28" s="46"/>
      <c r="I28" s="46"/>
      <c r="J28" s="46"/>
      <c r="K28" s="46"/>
      <c r="L28" s="46"/>
      <c r="M28" s="46"/>
      <c r="N28" s="48"/>
    </row>
    <row r="29" ht="8.75" customHeight="1" hidden="1">
      <c r="A29" s="39"/>
      <c r="B29" s="40"/>
      <c r="C29" s="41"/>
      <c r="D29" s="42"/>
      <c r="E29" s="42"/>
      <c r="F29" s="42"/>
      <c r="G29" s="43"/>
      <c r="H29" s="42"/>
      <c r="I29" s="42"/>
      <c r="J29" s="42"/>
      <c r="K29" s="42"/>
      <c r="L29" s="43"/>
      <c r="M29" s="43"/>
      <c r="N29" s="49"/>
    </row>
    <row r="30" ht="20.85" customHeight="1">
      <c r="A30" s="53"/>
      <c r="B30" s="54"/>
      <c r="C30" s="54"/>
      <c r="D30" s="55"/>
      <c r="E30" s="55"/>
      <c r="F30" s="55"/>
      <c r="G30" s="56"/>
      <c r="H30" s="56"/>
      <c r="I30" s="54"/>
      <c r="J30" s="57"/>
      <c r="K30" t="s" s="58">
        <v>38</v>
      </c>
      <c r="L30" s="59" cm="1">
        <f t="array" ref="L30">SUM(L1:L29)</f>
        <v>160777977.309</v>
      </c>
      <c r="M30" s="59" cm="1">
        <f t="array" ref="M30">SUM(M1:M29)</f>
        <v>160613852.55</v>
      </c>
      <c r="N30" s="59" cm="1">
        <f t="array" ref="N30">SUM(N1:N29)</f>
        <v>160613852.55</v>
      </c>
    </row>
    <row r="31" ht="21" customHeight="1">
      <c r="A31" s="60"/>
      <c r="B31" t="s" s="61">
        <v>39</v>
      </c>
      <c r="C31" s="62"/>
      <c r="D31" s="63" cm="1">
        <f t="array" ref="D31">ROUND(IF(L31&lt;=100000000,L31*0.24%,IF(AND(L31&gt;100000000,L31&lt;=500000000),100000000*0.24%+(L31-100000000)*0.19%,IF(AND(L31&gt;500000000,L31&lt;=1000000000),100000000*0.24%+400000000*0.19%+(L31-500000000)*0.15%,IF(AND(L31&gt;1000000000,L31&lt;=5000000000),100000000*0.24%+400000000*0.19%+500000000*0.15%+(L31-1000000000)*0.12%,IF(L31&gt;5000000000,100000000*0.24%+400000000*0.19%+500000000*0.15%+4000000000*0.12%+(L31-5000000000)*0.1%,"Bingung komputer"))))),2)</f>
        <v>354804.03</v>
      </c>
      <c r="E31" s="64" cm="1">
        <f t="array" ref="E31">ROUND(IF(M31&lt;=100000000,M31*0.24%,IF(AND(M31&gt;100000000,M31&lt;=500000000),100000000*0.24%+(M31-100000000)*0.19%,IF(AND(M31&gt;500000000,M31&lt;=1000000000),100000000*0.24%+400000000*0.19%+(M31-500000000)*0.15%,IF(AND(M31&gt;1000000000,M31&lt;=5000000000),100000000*0.24%+400000000*0.19%+500000000*0.15%+(M31-1000000000)*0.12%,IF(M31&gt;5000000000,100000000*0.24%+400000000*0.19%+500000000*0.15%+4000000000*0.12%+(M31-5000000000)*0.1%,"Bingung komputer"))))),2)</f>
        <v>354492.78</v>
      </c>
      <c r="F31" s="64" cm="1">
        <f t="array" ref="F31">ROUND(IF(N31&lt;=100000000,N31*0.24%,IF(AND(N31&gt;100000000,N31&lt;=500000000),100000000*0.24%+(N31-100000000)*0.19%,IF(AND(N31&gt;500000000,N31&lt;=1000000000),100000000*0.24%+400000000*0.19%+(N31-500000000)*0.15%,IF(AND(N31&gt;1000000000,N31&lt;=5000000000),100000000*0.24%+400000000*0.19%+500000000*0.15%+(N31-1000000000)*0.12%,IF(N31&gt;5000000000,100000000*0.24%+400000000*0.19%+500000000*0.15%+4000000000*0.12%+(N31-5000000000)*0.1%,"Bingung komputer"))))),2)</f>
        <v>354492.78</v>
      </c>
      <c r="G31" s="65"/>
      <c r="H31" s="66"/>
      <c r="I31" s="62"/>
      <c r="J31" s="67"/>
      <c r="K31" t="str" s="67" cm="1">
        <f t="array" ref="K31">"Jumlah Terkena Pajak "&amp;MAX(K3:K29)&amp;"% (B)"</f>
        <v>Jumlah Terkena Pajak 11,00% (B)</v>
      </c>
      <c r="L31" s="68" cm="1">
        <f t="array" ref="L31">SUMIF($K3:$K29,"&gt;0",L3:L29)</f>
        <v>160423173.279</v>
      </c>
      <c r="M31" s="69" cm="1">
        <f t="array" ref="M31">SUMIF($K3:$K29,"&gt;0",M3:M29)</f>
        <v>160259359.77</v>
      </c>
      <c r="N31" s="69" cm="1">
        <f t="array" ref="N31">SUMIF($K3:$K29,"&gt;0",N3:N29)</f>
        <v>160259359.77</v>
      </c>
    </row>
    <row r="32" ht="21" customHeight="1">
      <c r="A32" s="70"/>
      <c r="B32" s="71"/>
      <c r="C32" s="71"/>
      <c r="D32" s="72"/>
      <c r="E32" s="72"/>
      <c r="F32" s="71"/>
      <c r="G32" s="72"/>
      <c r="H32" s="72"/>
      <c r="I32" s="71"/>
      <c r="J32" s="73"/>
      <c r="K32" t="str" s="73" cm="1">
        <f t="array" ref="K32">"PPN (C) = "&amp;MAX(K3:K29)&amp;"% x B"</f>
        <v>PPN (C) = 11,00% x B</v>
      </c>
      <c r="L32" s="74" cm="1">
        <f t="array" ref="L32">L31*MAX($K3:$K29)%</f>
        <v>17646549.06069</v>
      </c>
      <c r="M32" s="69" cm="1">
        <f t="array" ref="M32">M31*MAX($K3:$K29)%</f>
        <v>17628529.5747</v>
      </c>
      <c r="N32" s="69" cm="1">
        <f t="array" ref="N32">N31*MAX($K3:$K29)%</f>
        <v>17628529.5747</v>
      </c>
    </row>
    <row r="33" ht="21" customHeight="1">
      <c r="A33" s="70"/>
      <c r="B33" s="71"/>
      <c r="C33" s="71"/>
      <c r="D33" s="72"/>
      <c r="E33" s="72"/>
      <c r="F33" s="72"/>
      <c r="G33" s="72"/>
      <c r="H33" s="72"/>
      <c r="I33" s="71"/>
      <c r="J33" s="73"/>
      <c r="K33" t="s" s="75">
        <v>42</v>
      </c>
      <c r="L33" s="76" cm="1">
        <f t="array" ref="L33">L30+L32</f>
        <v>178424526.36969</v>
      </c>
      <c r="M33" s="69" cm="1">
        <f t="array" ref="M33">M30+M32</f>
        <v>178242382.1247</v>
      </c>
      <c r="N33" s="69" cm="1">
        <f t="array" ref="N33">N30+N32</f>
        <v>178242382.1247</v>
      </c>
    </row>
    <row r="34" ht="20.5" customHeight="1">
      <c r="A34" s="70"/>
      <c r="B34" s="71"/>
      <c r="C34" s="71"/>
      <c r="D34" s="72"/>
      <c r="E34" s="72"/>
      <c r="F34" s="72"/>
      <c r="G34" s="72"/>
      <c r="H34" s="72"/>
      <c r="I34" s="71"/>
      <c r="J34" s="73"/>
      <c r="K34" t="s" s="75">
        <v>43</v>
      </c>
      <c r="L34" s="68" cm="1">
        <f t="array" ref="L34">ROUNDDOWN(L33,2)</f>
        <v>178424526.36</v>
      </c>
      <c r="M34" s="68" cm="1">
        <f t="array" ref="M34">ROUNDDOWN(M33,2)</f>
        <v>178242382.12</v>
      </c>
      <c r="N34" s="68" cm="1">
        <f t="array" ref="N34">ROUNDDOWN(N33,-3)</f>
        <v>178242000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45.xml><?xml version="1.0" encoding="utf-8"?>
<worksheet xmlns:r="http://schemas.openxmlformats.org/officeDocument/2006/relationships" xmlns="http://schemas.openxmlformats.org/spreadsheetml/2006/main">
  <sheetPr>
    <pageSetUpPr fitToPage="1"/>
  </sheetPr>
  <dimension ref="A1:N29"/>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340" customWidth="1"/>
    <col min="2" max="2" width="43.0312" style="340" customWidth="1"/>
    <col min="3" max="3" width="2.75" style="340" customWidth="1"/>
    <col min="4" max="6" width="10.3672" style="340" customWidth="1"/>
    <col min="7" max="7" width="11.6875" style="340" customWidth="1"/>
    <col min="8" max="11" width="13.5156" style="340" customWidth="1"/>
    <col min="12" max="14" width="14.2344" style="340" customWidth="1"/>
    <col min="15" max="16384" width="16.3516" style="340"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16</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t="s" s="18">
        <v>17</v>
      </c>
      <c r="B4" t="s" s="19">
        <v>18</v>
      </c>
      <c r="C4" s="20"/>
      <c r="D4" s="21">
        <v>1</v>
      </c>
      <c r="E4" s="21" cm="1">
        <f t="array" ref="E4">D4</f>
        <v>1</v>
      </c>
      <c r="F4" s="21" cm="1">
        <f t="array" ref="F4">D4</f>
        <v>1</v>
      </c>
      <c r="G4" t="s" s="22">
        <v>19</v>
      </c>
      <c r="H4" s="21">
        <v>16000000</v>
      </c>
      <c r="I4" s="21">
        <v>15920000</v>
      </c>
      <c r="J4" s="21">
        <v>15920000</v>
      </c>
      <c r="K4" s="21">
        <v>11</v>
      </c>
      <c r="L4" s="21" cm="1">
        <f t="array" ref="L4">IF(D4&gt;0,IF($D4&lt;=0,0,D4*H4),"")</f>
        <v>16000000</v>
      </c>
      <c r="M4" s="21" cm="1">
        <f t="array" ref="M4">IF(E4&gt;0,IF($D4&lt;=0,0,ROUND(E4*I4,2)),"")</f>
        <v>15920000</v>
      </c>
      <c r="N4" s="23" cm="1">
        <f t="array" ref="N4">IF(F4&gt;0,IF($D4&lt;=0,0,ROUND(F4*J4,2)),"")</f>
        <v>15920000</v>
      </c>
    </row>
    <row r="5" ht="20.5" customHeight="1">
      <c r="A5" s="29"/>
      <c r="B5" t="s" s="19">
        <v>28</v>
      </c>
      <c r="C5" s="24"/>
      <c r="D5" s="30"/>
      <c r="E5" s="26"/>
      <c r="F5" s="26"/>
      <c r="G5" s="30"/>
      <c r="H5" s="26"/>
      <c r="I5" s="30"/>
      <c r="J5" s="30"/>
      <c r="K5" s="26"/>
      <c r="L5" t="str" s="30" cm="1">
        <f t="array" ref="L5">IF(D5&gt;0,IF($D5&lt;=0,0,D5*H5),"")</f>
      </c>
      <c r="M5" t="str" s="30" cm="1">
        <f t="array" ref="M5">IF(E5&gt;0,IF($D5&lt;=0,0,ROUND(E5*I5,2)),"")</f>
      </c>
      <c r="N5" t="str" s="31" cm="1">
        <f t="array" ref="N5">IF(F5&gt;0,IF($D5&lt;=0,0,ROUND(F5*J5,2)),"")</f>
      </c>
    </row>
    <row r="6" ht="20.5" customHeight="1">
      <c r="A6" t="s" s="18">
        <v>86</v>
      </c>
      <c r="B6" t="s" s="19">
        <v>30</v>
      </c>
      <c r="C6" s="20"/>
      <c r="D6" s="21">
        <v>4254</v>
      </c>
      <c r="E6" s="21" cm="1">
        <f t="array" ref="E6">D6</f>
        <v>4254</v>
      </c>
      <c r="F6" s="21" cm="1">
        <f t="array" ref="F6">D6</f>
        <v>4254</v>
      </c>
      <c r="G6" t="s" s="22">
        <v>27</v>
      </c>
      <c r="H6" s="21">
        <v>38501.07</v>
      </c>
      <c r="I6" s="21">
        <v>38501.07</v>
      </c>
      <c r="J6" s="21">
        <v>38501.07</v>
      </c>
      <c r="K6" s="21">
        <v>11</v>
      </c>
      <c r="L6" s="21" cm="1">
        <f t="array" ref="L6">IF(D6&gt;0,IF($D6&lt;=0,0,D6*H6),"")</f>
        <v>163783551.78</v>
      </c>
      <c r="M6" s="21" cm="1">
        <f t="array" ref="M6">IF(E6&gt;0,IF($D6&lt;=0,0,ROUND(E6*I6,2)),"")</f>
        <v>163783551.78</v>
      </c>
      <c r="N6" s="23" cm="1">
        <f t="array" ref="N6">IF(F6&gt;0,IF($D6&lt;=0,0,ROUND(F6*J6,2)),"")</f>
        <v>163783551.78</v>
      </c>
    </row>
    <row r="7" ht="20.5" customHeight="1">
      <c r="A7" s="29"/>
      <c r="B7" t="s" s="19">
        <v>36</v>
      </c>
      <c r="C7" s="24"/>
      <c r="D7" s="26"/>
      <c r="E7" s="26"/>
      <c r="F7" s="26"/>
      <c r="G7" s="30"/>
      <c r="H7" s="30"/>
      <c r="I7" s="30"/>
      <c r="J7" s="30"/>
      <c r="K7" s="26"/>
      <c r="L7" t="str" s="30" cm="1">
        <f t="array" ref="L7">IF(D7&gt;0,IF($D7&lt;=0,0,D7*H7),"")</f>
      </c>
      <c r="M7" s="26"/>
      <c r="N7" s="28"/>
    </row>
    <row r="8" ht="20.6" customHeight="1">
      <c r="A8" s="33">
        <v>1</v>
      </c>
      <c r="B8" t="s" s="34">
        <v>37</v>
      </c>
      <c r="C8" s="35"/>
      <c r="D8" s="36">
        <v>1</v>
      </c>
      <c r="E8" s="36" cm="1">
        <f t="array" ref="E8">D8</f>
        <v>1</v>
      </c>
      <c r="F8" s="36" cm="1">
        <f t="array" ref="F8">D8</f>
        <v>1</v>
      </c>
      <c r="G8" t="s" s="37">
        <v>19</v>
      </c>
      <c r="H8" s="36">
        <v>391589</v>
      </c>
      <c r="I8" s="36">
        <v>391437</v>
      </c>
      <c r="J8" s="36">
        <v>391437</v>
      </c>
      <c r="K8" s="36">
        <v>0</v>
      </c>
      <c r="L8" s="36" cm="1">
        <f t="array" ref="L8">IF(D8&gt;0,IF($D8&lt;=0,0,D8*H8),"")</f>
        <v>391589</v>
      </c>
      <c r="M8" s="36" cm="1">
        <f t="array" ref="M8">IF(E8&gt;0,IF($D8&lt;=0,0,ROUND(E8*I8,2)),"")</f>
        <v>391437</v>
      </c>
      <c r="N8" s="38" cm="1">
        <f t="array" ref="N8">IF(F8&gt;0,IF($D8&lt;=0,0,ROUND(F8*J8,2)),"")</f>
        <v>391437</v>
      </c>
    </row>
    <row r="9" ht="8.75" customHeight="1" hidden="1">
      <c r="A9" s="39"/>
      <c r="B9" s="40"/>
      <c r="C9" s="41"/>
      <c r="D9" s="42"/>
      <c r="E9" s="42"/>
      <c r="F9" s="42"/>
      <c r="G9" s="43"/>
      <c r="H9" s="42"/>
      <c r="I9" s="42"/>
      <c r="J9" s="42"/>
      <c r="K9" s="42"/>
      <c r="L9" s="42"/>
      <c r="M9" s="42"/>
      <c r="N9" s="44"/>
    </row>
    <row r="10" ht="8.75" customHeight="1" hidden="1">
      <c r="A10" s="39"/>
      <c r="B10" s="40"/>
      <c r="C10" s="45"/>
      <c r="D10" s="46"/>
      <c r="E10" s="46"/>
      <c r="F10" s="46"/>
      <c r="G10" s="47"/>
      <c r="H10" s="46"/>
      <c r="I10" s="46"/>
      <c r="J10" s="46"/>
      <c r="K10" s="46"/>
      <c r="L10" s="46"/>
      <c r="M10" s="46"/>
      <c r="N10" s="48"/>
    </row>
    <row r="11" ht="8.75" customHeight="1" hidden="1">
      <c r="A11" s="39"/>
      <c r="B11" s="40"/>
      <c r="C11" s="41"/>
      <c r="D11" s="42"/>
      <c r="E11" s="42"/>
      <c r="F11" s="42"/>
      <c r="G11" s="43"/>
      <c r="H11" s="42"/>
      <c r="I11" s="42"/>
      <c r="J11" s="42"/>
      <c r="K11" s="42"/>
      <c r="L11" s="42"/>
      <c r="M11" s="42"/>
      <c r="N11" s="44"/>
    </row>
    <row r="12" ht="8.75" customHeight="1" hidden="1">
      <c r="A12" s="39"/>
      <c r="B12" s="40"/>
      <c r="C12" s="45"/>
      <c r="D12" s="46"/>
      <c r="E12" s="46"/>
      <c r="F12" s="46"/>
      <c r="G12" s="47"/>
      <c r="H12" s="46"/>
      <c r="I12" s="46"/>
      <c r="J12" s="46"/>
      <c r="K12" s="46"/>
      <c r="L12" s="46"/>
      <c r="M12" s="46"/>
      <c r="N12" s="48"/>
    </row>
    <row r="13" ht="8.75" customHeight="1" hidden="1">
      <c r="A13" s="39"/>
      <c r="B13" s="40"/>
      <c r="C13" s="41"/>
      <c r="D13" s="42"/>
      <c r="E13" s="42"/>
      <c r="F13" s="42"/>
      <c r="G13" s="43"/>
      <c r="H13" s="42"/>
      <c r="I13" s="42"/>
      <c r="J13" s="42"/>
      <c r="K13" s="42"/>
      <c r="L13" s="42"/>
      <c r="M13" s="42"/>
      <c r="N13" s="44"/>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3"/>
      <c r="I15" s="43"/>
      <c r="J15" s="43"/>
      <c r="K15" s="42"/>
      <c r="L15" s="43"/>
      <c r="M15" s="43"/>
      <c r="N15" s="49"/>
    </row>
    <row r="16" ht="8.75" customHeight="1" hidden="1">
      <c r="A16" s="39"/>
      <c r="B16" s="40"/>
      <c r="C16" s="45"/>
      <c r="D16" s="46"/>
      <c r="E16" s="46"/>
      <c r="F16" s="46"/>
      <c r="G16" s="47"/>
      <c r="H16" s="50"/>
      <c r="I16" s="50"/>
      <c r="J16" s="50"/>
      <c r="K16" s="46"/>
      <c r="L16" s="46"/>
      <c r="M16" s="46"/>
      <c r="N16" s="48"/>
    </row>
    <row r="17" ht="8.75" customHeight="1" hidden="1">
      <c r="A17" s="39"/>
      <c r="B17" s="40"/>
      <c r="C17" s="41"/>
      <c r="D17" s="42"/>
      <c r="E17" s="42"/>
      <c r="F17" s="42"/>
      <c r="G17" s="43"/>
      <c r="H17" s="43"/>
      <c r="I17" s="43"/>
      <c r="J17" s="43"/>
      <c r="K17" s="42"/>
      <c r="L17" s="43"/>
      <c r="M17" s="43"/>
      <c r="N17" s="49"/>
    </row>
    <row r="18" ht="8.75" customHeight="1" hidden="1">
      <c r="A18" s="39"/>
      <c r="B18" s="40"/>
      <c r="C18" s="45"/>
      <c r="D18" s="46"/>
      <c r="E18" s="46"/>
      <c r="F18" s="46"/>
      <c r="G18" s="47"/>
      <c r="H18" s="46"/>
      <c r="I18" s="46"/>
      <c r="J18" s="46"/>
      <c r="K18" s="46"/>
      <c r="L18" s="46"/>
      <c r="M18" s="46"/>
      <c r="N18" s="48"/>
    </row>
    <row r="19" ht="8.75" customHeight="1" hidden="1">
      <c r="A19" s="39"/>
      <c r="B19" s="40"/>
      <c r="C19" s="41"/>
      <c r="D19" s="42"/>
      <c r="E19" s="42"/>
      <c r="F19" s="42"/>
      <c r="G19" s="43"/>
      <c r="H19" s="42"/>
      <c r="I19" s="42"/>
      <c r="J19" s="42"/>
      <c r="K19" s="42"/>
      <c r="L19" s="42"/>
      <c r="M19" s="42"/>
      <c r="N19" s="44"/>
    </row>
    <row r="20" ht="8.75" customHeight="1" hidden="1">
      <c r="A20" s="51"/>
      <c r="B20" s="40"/>
      <c r="C20" s="45"/>
      <c r="D20" s="46"/>
      <c r="E20" s="46"/>
      <c r="F20" s="46"/>
      <c r="G20" s="47"/>
      <c r="H20" s="46"/>
      <c r="I20" s="46"/>
      <c r="J20" s="46"/>
      <c r="K20" s="46"/>
      <c r="L20" s="46"/>
      <c r="M20" s="46"/>
      <c r="N20" s="48"/>
    </row>
    <row r="21" ht="8.75" customHeight="1" hidden="1">
      <c r="A21" s="51"/>
      <c r="B21" s="40"/>
      <c r="C21" s="41"/>
      <c r="D21" s="42"/>
      <c r="E21" s="42"/>
      <c r="F21" s="42"/>
      <c r="G21" s="43"/>
      <c r="H21" s="42"/>
      <c r="I21" s="42"/>
      <c r="J21" s="42"/>
      <c r="K21" s="42"/>
      <c r="L21" s="42"/>
      <c r="M21" s="42"/>
      <c r="N21" s="44"/>
    </row>
    <row r="22" ht="8.75" customHeight="1" hidden="1">
      <c r="A22" s="39"/>
      <c r="B22" s="40"/>
      <c r="C22" s="45"/>
      <c r="D22" s="46"/>
      <c r="E22" s="46"/>
      <c r="F22" s="46"/>
      <c r="G22" s="47"/>
      <c r="H22" s="46"/>
      <c r="I22" s="46"/>
      <c r="J22" s="46"/>
      <c r="K22" s="46"/>
      <c r="L22" s="47"/>
      <c r="M22" s="47"/>
      <c r="N22" s="52"/>
    </row>
    <row r="23" ht="8.75" customHeight="1" hidden="1">
      <c r="A23" s="39"/>
      <c r="B23" s="40"/>
      <c r="C23" s="41"/>
      <c r="D23" s="42"/>
      <c r="E23" s="42"/>
      <c r="F23" s="42"/>
      <c r="G23" s="43"/>
      <c r="H23" s="42"/>
      <c r="I23" s="42"/>
      <c r="J23" s="42"/>
      <c r="K23" s="42"/>
      <c r="L23" s="42"/>
      <c r="M23" s="42"/>
      <c r="N23" s="44"/>
    </row>
    <row r="24" ht="8.75" customHeight="1" hidden="1">
      <c r="A24" s="39"/>
      <c r="B24" s="40"/>
      <c r="C24" s="45"/>
      <c r="D24" s="46"/>
      <c r="E24" s="46"/>
      <c r="F24" s="46"/>
      <c r="G24" s="47"/>
      <c r="H24" s="46"/>
      <c r="I24" s="46"/>
      <c r="J24" s="46"/>
      <c r="K24" s="46"/>
      <c r="L24" s="47"/>
      <c r="M24" s="47"/>
      <c r="N24" s="52"/>
    </row>
    <row r="25" ht="20.85" customHeight="1">
      <c r="A25" s="53"/>
      <c r="B25" s="54"/>
      <c r="C25" s="54"/>
      <c r="D25" s="55"/>
      <c r="E25" s="55"/>
      <c r="F25" s="55"/>
      <c r="G25" s="56"/>
      <c r="H25" s="56"/>
      <c r="I25" s="54"/>
      <c r="J25" s="57"/>
      <c r="K25" t="s" s="58">
        <v>38</v>
      </c>
      <c r="L25" s="59" cm="1">
        <f t="array" ref="L25">SUM(L1:L24)</f>
        <v>180175140.78</v>
      </c>
      <c r="M25" s="59" cm="1">
        <f t="array" ref="M25">SUM(M1:M24)</f>
        <v>180094988.78</v>
      </c>
      <c r="N25" s="59" cm="1">
        <f t="array" ref="N25">SUM(N1:N24)</f>
        <v>180094988.78</v>
      </c>
    </row>
    <row r="26" ht="21" customHeight="1">
      <c r="A26" s="60"/>
      <c r="B26" t="s" s="61">
        <v>39</v>
      </c>
      <c r="C26" s="62"/>
      <c r="D26" s="63" cm="1">
        <f t="array" ref="D26">ROUND(IF(L26&lt;=100000000,L26*0.24%,IF(AND(L26&gt;100000000,L26&lt;=500000000),100000000*0.24%+(L26-100000000)*0.19%,IF(AND(L26&gt;500000000,L26&lt;=1000000000),100000000*0.24%+400000000*0.19%+(L26-500000000)*0.15%,IF(AND(L26&gt;1000000000,L26&lt;=5000000000),100000000*0.24%+400000000*0.19%+500000000*0.15%+(L26-1000000000)*0.12%,IF(L26&gt;5000000000,100000000*0.24%+400000000*0.19%+500000000*0.15%+4000000000*0.12%+(L26-5000000000)*0.1%,"Bingung komputer"))))),2)</f>
        <v>391588.75</v>
      </c>
      <c r="E26" s="64" cm="1">
        <f t="array" ref="E26">ROUND(IF(M26&lt;=100000000,M26*0.24%,IF(AND(M26&gt;100000000,M26&lt;=500000000),100000000*0.24%+(M26-100000000)*0.19%,IF(AND(M26&gt;500000000,M26&lt;=1000000000),100000000*0.24%+400000000*0.19%+(M26-500000000)*0.15%,IF(AND(M26&gt;1000000000,M26&lt;=5000000000),100000000*0.24%+400000000*0.19%+500000000*0.15%+(M26-1000000000)*0.12%,IF(M26&gt;5000000000,100000000*0.24%+400000000*0.19%+500000000*0.15%+4000000000*0.12%+(M26-5000000000)*0.1%,"Bingung komputer"))))),2)</f>
        <v>391436.75</v>
      </c>
      <c r="F26" s="64" cm="1">
        <f t="array" ref="F26">ROUND(IF(N26&lt;=100000000,N26*0.24%,IF(AND(N26&gt;100000000,N26&lt;=500000000),100000000*0.24%+(N26-100000000)*0.19%,IF(AND(N26&gt;500000000,N26&lt;=1000000000),100000000*0.24%+400000000*0.19%+(N26-500000000)*0.15%,IF(AND(N26&gt;1000000000,N26&lt;=5000000000),100000000*0.24%+400000000*0.19%+500000000*0.15%+(N26-1000000000)*0.12%,IF(N26&gt;5000000000,100000000*0.24%+400000000*0.19%+500000000*0.15%+4000000000*0.12%+(N26-5000000000)*0.1%,"Bingung komputer"))))),2)</f>
        <v>391436.75</v>
      </c>
      <c r="G26" s="65"/>
      <c r="H26" s="66"/>
      <c r="I26" s="62"/>
      <c r="J26" s="67"/>
      <c r="K26" t="str" s="67" cm="1">
        <f t="array" ref="K26">"Jumlah Terkena Pajak "&amp;MAX(K3:K24)&amp;"% (B)"</f>
        <v>Jumlah Terkena Pajak 11,00% (B)</v>
      </c>
      <c r="L26" s="68" cm="1">
        <f t="array" ref="L26">SUMIF($K3:$K24,"&gt;0",L3:L24)</f>
        <v>179783551.78</v>
      </c>
      <c r="M26" s="69" cm="1">
        <f t="array" ref="M26">SUMIF($K3:$K24,"&gt;0",M3:M24)</f>
        <v>179703551.78</v>
      </c>
      <c r="N26" s="69" cm="1">
        <f t="array" ref="N26">SUMIF($K3:$K24,"&gt;0",N3:N24)</f>
        <v>179703551.78</v>
      </c>
    </row>
    <row r="27" ht="21" customHeight="1">
      <c r="A27" s="70"/>
      <c r="B27" s="71"/>
      <c r="C27" s="71"/>
      <c r="D27" s="72"/>
      <c r="E27" s="72"/>
      <c r="F27" s="71"/>
      <c r="G27" s="72"/>
      <c r="H27" s="72"/>
      <c r="I27" s="71"/>
      <c r="J27" s="73"/>
      <c r="K27" t="str" s="73" cm="1">
        <f t="array" ref="K27">"PPN (C) = "&amp;MAX(K3:K24)&amp;"% x B"</f>
        <v>PPN (C) = 11,00% x B</v>
      </c>
      <c r="L27" s="74" cm="1">
        <f t="array" ref="L27">L26*MAX($K3:$K24)%</f>
        <v>19776190.6958</v>
      </c>
      <c r="M27" s="69" cm="1">
        <f t="array" ref="M27">M26*MAX($K3:$K24)%</f>
        <v>19767390.6958</v>
      </c>
      <c r="N27" s="69" cm="1">
        <f t="array" ref="N27">N26*MAX($K3:$K24)%</f>
        <v>19767390.6958</v>
      </c>
    </row>
    <row r="28" ht="21" customHeight="1">
      <c r="A28" s="70"/>
      <c r="B28" s="71"/>
      <c r="C28" s="71"/>
      <c r="D28" s="72"/>
      <c r="E28" s="72"/>
      <c r="F28" s="72"/>
      <c r="G28" s="72"/>
      <c r="H28" s="72"/>
      <c r="I28" s="71"/>
      <c r="J28" s="73"/>
      <c r="K28" t="s" s="75">
        <v>42</v>
      </c>
      <c r="L28" s="76" cm="1">
        <f t="array" ref="L28">L25+L27</f>
        <v>199951331.4758</v>
      </c>
      <c r="M28" s="69" cm="1">
        <f t="array" ref="M28">M25+M27</f>
        <v>199862379.4758</v>
      </c>
      <c r="N28" s="69" cm="1">
        <f t="array" ref="N28">N25+N27</f>
        <v>199862379.4758</v>
      </c>
    </row>
    <row r="29" ht="20.5" customHeight="1">
      <c r="A29" s="70"/>
      <c r="B29" s="71"/>
      <c r="C29" s="71"/>
      <c r="D29" s="72"/>
      <c r="E29" s="72"/>
      <c r="F29" s="72"/>
      <c r="G29" s="72"/>
      <c r="H29" s="72"/>
      <c r="I29" s="71"/>
      <c r="J29" s="73"/>
      <c r="K29" t="s" s="75">
        <v>43</v>
      </c>
      <c r="L29" s="68" cm="1">
        <f t="array" ref="L29">ROUNDDOWN(L28,2)</f>
        <v>199951331.47</v>
      </c>
      <c r="M29" s="68" cm="1">
        <f t="array" ref="M29">ROUNDDOWN(M28,2)</f>
        <v>199862379.47</v>
      </c>
      <c r="N29" s="68" cm="1">
        <f t="array" ref="N29">ROUNDDOWN(N28,-3)</f>
        <v>199862000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46.xml><?xml version="1.0" encoding="utf-8"?>
<worksheet xmlns:r="http://schemas.openxmlformats.org/officeDocument/2006/relationships" xmlns="http://schemas.openxmlformats.org/spreadsheetml/2006/main">
  <sheetPr>
    <pageSetUpPr fitToPage="1"/>
  </sheetPr>
  <dimension ref="A1:N29"/>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341" customWidth="1"/>
    <col min="2" max="2" width="43.0312" style="341" customWidth="1"/>
    <col min="3" max="3" width="2.75" style="341" customWidth="1"/>
    <col min="4" max="6" width="10.3672" style="341" customWidth="1"/>
    <col min="7" max="7" width="11.6875" style="341" customWidth="1"/>
    <col min="8" max="11" width="13.5156" style="341" customWidth="1"/>
    <col min="12" max="14" width="14.2344" style="341" customWidth="1"/>
    <col min="15" max="16384" width="16.3516" style="341"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16</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t="s" s="18">
        <v>17</v>
      </c>
      <c r="B4" t="s" s="19">
        <v>18</v>
      </c>
      <c r="C4" s="20"/>
      <c r="D4" s="21">
        <v>1</v>
      </c>
      <c r="E4" s="21" cm="1">
        <f t="array" ref="E4">D4</f>
        <v>1</v>
      </c>
      <c r="F4" s="21" cm="1">
        <f t="array" ref="F4">D4</f>
        <v>1</v>
      </c>
      <c r="G4" t="s" s="22">
        <v>19</v>
      </c>
      <c r="H4" s="21">
        <v>16000000</v>
      </c>
      <c r="I4" s="21">
        <v>15920000</v>
      </c>
      <c r="J4" s="21">
        <v>15920000</v>
      </c>
      <c r="K4" s="21">
        <v>11</v>
      </c>
      <c r="L4" s="21" cm="1">
        <f t="array" ref="L4">IF(D4&gt;0,IF($D4&lt;=0,0,D4*H4),"")</f>
        <v>16000000</v>
      </c>
      <c r="M4" s="21" cm="1">
        <f t="array" ref="M4">IF(E4&gt;0,IF($D4&lt;=0,0,ROUND(E4*I4,2)),"")</f>
        <v>15920000</v>
      </c>
      <c r="N4" s="23" cm="1">
        <f t="array" ref="N4">IF(F4&gt;0,IF($D4&lt;=0,0,ROUND(F4*J4,2)),"")</f>
        <v>15920000</v>
      </c>
    </row>
    <row r="5" ht="20.5" customHeight="1">
      <c r="A5" s="29"/>
      <c r="B5" t="s" s="19">
        <v>28</v>
      </c>
      <c r="C5" s="24"/>
      <c r="D5" s="30"/>
      <c r="E5" s="26"/>
      <c r="F5" s="26"/>
      <c r="G5" s="30"/>
      <c r="H5" s="26"/>
      <c r="I5" s="30"/>
      <c r="J5" s="30"/>
      <c r="K5" s="26"/>
      <c r="L5" t="str" s="30" cm="1">
        <f t="array" ref="L5">IF(D5&gt;0,IF($D5&lt;=0,0,D5*H5),"")</f>
      </c>
      <c r="M5" t="str" s="30" cm="1">
        <f t="array" ref="M5">IF(E5&gt;0,IF($D5&lt;=0,0,ROUND(E5*I5,2)),"")</f>
      </c>
      <c r="N5" t="str" s="31" cm="1">
        <f t="array" ref="N5">IF(F5&gt;0,IF($D5&lt;=0,0,ROUND(F5*J5,2)),"")</f>
      </c>
    </row>
    <row r="6" ht="20.5" customHeight="1">
      <c r="A6" t="s" s="18">
        <v>86</v>
      </c>
      <c r="B6" t="s" s="19">
        <v>30</v>
      </c>
      <c r="C6" s="20"/>
      <c r="D6" s="21">
        <v>4254</v>
      </c>
      <c r="E6" s="21" cm="1">
        <f t="array" ref="E6">D6</f>
        <v>4254</v>
      </c>
      <c r="F6" s="21" cm="1">
        <f t="array" ref="F6">D6</f>
        <v>4254</v>
      </c>
      <c r="G6" t="s" s="22">
        <v>27</v>
      </c>
      <c r="H6" s="21">
        <v>38501.07</v>
      </c>
      <c r="I6" s="21">
        <v>38501.07</v>
      </c>
      <c r="J6" s="21">
        <v>38501.07</v>
      </c>
      <c r="K6" s="21">
        <v>11</v>
      </c>
      <c r="L6" s="21" cm="1">
        <f t="array" ref="L6">IF(D6&gt;0,IF($D6&lt;=0,0,D6*H6),"")</f>
        <v>163783551.78</v>
      </c>
      <c r="M6" s="21" cm="1">
        <f t="array" ref="M6">IF(E6&gt;0,IF($D6&lt;=0,0,ROUND(E6*I6,2)),"")</f>
        <v>163783551.78</v>
      </c>
      <c r="N6" s="23" cm="1">
        <f t="array" ref="N6">IF(F6&gt;0,IF($D6&lt;=0,0,ROUND(F6*J6,2)),"")</f>
        <v>163783551.78</v>
      </c>
    </row>
    <row r="7" ht="20.5" customHeight="1">
      <c r="A7" s="29"/>
      <c r="B7" t="s" s="19">
        <v>36</v>
      </c>
      <c r="C7" s="24"/>
      <c r="D7" s="26"/>
      <c r="E7" s="26"/>
      <c r="F7" s="26"/>
      <c r="G7" s="30"/>
      <c r="H7" s="30"/>
      <c r="I7" s="30"/>
      <c r="J7" s="30"/>
      <c r="K7" s="26"/>
      <c r="L7" t="str" s="30" cm="1">
        <f t="array" ref="L7">IF(D7&gt;0,IF($D7&lt;=0,0,D7*H7),"")</f>
      </c>
      <c r="M7" s="26"/>
      <c r="N7" s="28"/>
    </row>
    <row r="8" ht="20.6" customHeight="1">
      <c r="A8" s="33">
        <v>1</v>
      </c>
      <c r="B8" t="s" s="34">
        <v>37</v>
      </c>
      <c r="C8" s="35"/>
      <c r="D8" s="36">
        <v>1</v>
      </c>
      <c r="E8" s="36" cm="1">
        <f t="array" ref="E8">D8</f>
        <v>1</v>
      </c>
      <c r="F8" s="36" cm="1">
        <f t="array" ref="F8">D8</f>
        <v>1</v>
      </c>
      <c r="G8" t="s" s="37">
        <v>19</v>
      </c>
      <c r="H8" s="36">
        <v>391589</v>
      </c>
      <c r="I8" s="36">
        <v>391437</v>
      </c>
      <c r="J8" s="36">
        <v>391437</v>
      </c>
      <c r="K8" s="36">
        <v>0</v>
      </c>
      <c r="L8" s="36" cm="1">
        <f t="array" ref="L8">IF(D8&gt;0,IF($D8&lt;=0,0,D8*H8),"")</f>
        <v>391589</v>
      </c>
      <c r="M8" s="36" cm="1">
        <f t="array" ref="M8">IF(E8&gt;0,IF($D8&lt;=0,0,ROUND(E8*I8,2)),"")</f>
        <v>391437</v>
      </c>
      <c r="N8" s="38" cm="1">
        <f t="array" ref="N8">IF(F8&gt;0,IF($D8&lt;=0,0,ROUND(F8*J8,2)),"")</f>
        <v>391437</v>
      </c>
    </row>
    <row r="9" ht="8.75" customHeight="1" hidden="1">
      <c r="A9" s="39"/>
      <c r="B9" s="40"/>
      <c r="C9" s="41"/>
      <c r="D9" s="42"/>
      <c r="E9" s="42"/>
      <c r="F9" s="42"/>
      <c r="G9" s="43"/>
      <c r="H9" s="42"/>
      <c r="I9" s="42"/>
      <c r="J9" s="42"/>
      <c r="K9" s="42"/>
      <c r="L9" s="42"/>
      <c r="M9" s="42"/>
      <c r="N9" s="44"/>
    </row>
    <row r="10" ht="8.75" customHeight="1" hidden="1">
      <c r="A10" s="39"/>
      <c r="B10" s="40"/>
      <c r="C10" s="45"/>
      <c r="D10" s="46"/>
      <c r="E10" s="46"/>
      <c r="F10" s="46"/>
      <c r="G10" s="47"/>
      <c r="H10" s="46"/>
      <c r="I10" s="46"/>
      <c r="J10" s="46"/>
      <c r="K10" s="46"/>
      <c r="L10" s="46"/>
      <c r="M10" s="46"/>
      <c r="N10" s="48"/>
    </row>
    <row r="11" ht="8.75" customHeight="1" hidden="1">
      <c r="A11" s="39"/>
      <c r="B11" s="40"/>
      <c r="C11" s="41"/>
      <c r="D11" s="42"/>
      <c r="E11" s="42"/>
      <c r="F11" s="42"/>
      <c r="G11" s="43"/>
      <c r="H11" s="42"/>
      <c r="I11" s="42"/>
      <c r="J11" s="42"/>
      <c r="K11" s="42"/>
      <c r="L11" s="42"/>
      <c r="M11" s="42"/>
      <c r="N11" s="44"/>
    </row>
    <row r="12" ht="8.75" customHeight="1" hidden="1">
      <c r="A12" s="39"/>
      <c r="B12" s="40"/>
      <c r="C12" s="45"/>
      <c r="D12" s="46"/>
      <c r="E12" s="46"/>
      <c r="F12" s="46"/>
      <c r="G12" s="47"/>
      <c r="H12" s="46"/>
      <c r="I12" s="46"/>
      <c r="J12" s="46"/>
      <c r="K12" s="46"/>
      <c r="L12" s="46"/>
      <c r="M12" s="46"/>
      <c r="N12" s="48"/>
    </row>
    <row r="13" ht="8.75" customHeight="1" hidden="1">
      <c r="A13" s="39"/>
      <c r="B13" s="40"/>
      <c r="C13" s="41"/>
      <c r="D13" s="42"/>
      <c r="E13" s="42"/>
      <c r="F13" s="42"/>
      <c r="G13" s="43"/>
      <c r="H13" s="42"/>
      <c r="I13" s="42"/>
      <c r="J13" s="42"/>
      <c r="K13" s="42"/>
      <c r="L13" s="42"/>
      <c r="M13" s="42"/>
      <c r="N13" s="44"/>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3"/>
      <c r="I15" s="43"/>
      <c r="J15" s="43"/>
      <c r="K15" s="42"/>
      <c r="L15" s="43"/>
      <c r="M15" s="43"/>
      <c r="N15" s="49"/>
    </row>
    <row r="16" ht="8.75" customHeight="1" hidden="1">
      <c r="A16" s="39"/>
      <c r="B16" s="40"/>
      <c r="C16" s="45"/>
      <c r="D16" s="46"/>
      <c r="E16" s="46"/>
      <c r="F16" s="46"/>
      <c r="G16" s="47"/>
      <c r="H16" s="50"/>
      <c r="I16" s="50"/>
      <c r="J16" s="50"/>
      <c r="K16" s="46"/>
      <c r="L16" s="46"/>
      <c r="M16" s="46"/>
      <c r="N16" s="48"/>
    </row>
    <row r="17" ht="8.75" customHeight="1" hidden="1">
      <c r="A17" s="39"/>
      <c r="B17" s="40"/>
      <c r="C17" s="41"/>
      <c r="D17" s="42"/>
      <c r="E17" s="42"/>
      <c r="F17" s="42"/>
      <c r="G17" s="43"/>
      <c r="H17" s="43"/>
      <c r="I17" s="43"/>
      <c r="J17" s="43"/>
      <c r="K17" s="42"/>
      <c r="L17" s="43"/>
      <c r="M17" s="43"/>
      <c r="N17" s="49"/>
    </row>
    <row r="18" ht="8.75" customHeight="1" hidden="1">
      <c r="A18" s="39"/>
      <c r="B18" s="40"/>
      <c r="C18" s="45"/>
      <c r="D18" s="46"/>
      <c r="E18" s="46"/>
      <c r="F18" s="46"/>
      <c r="G18" s="47"/>
      <c r="H18" s="46"/>
      <c r="I18" s="46"/>
      <c r="J18" s="46"/>
      <c r="K18" s="46"/>
      <c r="L18" s="46"/>
      <c r="M18" s="46"/>
      <c r="N18" s="48"/>
    </row>
    <row r="19" ht="8.75" customHeight="1" hidden="1">
      <c r="A19" s="39"/>
      <c r="B19" s="40"/>
      <c r="C19" s="41"/>
      <c r="D19" s="42"/>
      <c r="E19" s="42"/>
      <c r="F19" s="42"/>
      <c r="G19" s="43"/>
      <c r="H19" s="42"/>
      <c r="I19" s="42"/>
      <c r="J19" s="42"/>
      <c r="K19" s="42"/>
      <c r="L19" s="42"/>
      <c r="M19" s="42"/>
      <c r="N19" s="44"/>
    </row>
    <row r="20" ht="8.75" customHeight="1" hidden="1">
      <c r="A20" s="51"/>
      <c r="B20" s="40"/>
      <c r="C20" s="45"/>
      <c r="D20" s="46"/>
      <c r="E20" s="46"/>
      <c r="F20" s="46"/>
      <c r="G20" s="47"/>
      <c r="H20" s="46"/>
      <c r="I20" s="46"/>
      <c r="J20" s="46"/>
      <c r="K20" s="46"/>
      <c r="L20" s="46"/>
      <c r="M20" s="46"/>
      <c r="N20" s="48"/>
    </row>
    <row r="21" ht="8.75" customHeight="1" hidden="1">
      <c r="A21" s="51"/>
      <c r="B21" s="40"/>
      <c r="C21" s="41"/>
      <c r="D21" s="42"/>
      <c r="E21" s="42"/>
      <c r="F21" s="42"/>
      <c r="G21" s="43"/>
      <c r="H21" s="42"/>
      <c r="I21" s="42"/>
      <c r="J21" s="42"/>
      <c r="K21" s="42"/>
      <c r="L21" s="42"/>
      <c r="M21" s="42"/>
      <c r="N21" s="44"/>
    </row>
    <row r="22" ht="8.75" customHeight="1" hidden="1">
      <c r="A22" s="39"/>
      <c r="B22" s="40"/>
      <c r="C22" s="45"/>
      <c r="D22" s="46"/>
      <c r="E22" s="46"/>
      <c r="F22" s="46"/>
      <c r="G22" s="47"/>
      <c r="H22" s="46"/>
      <c r="I22" s="46"/>
      <c r="J22" s="46"/>
      <c r="K22" s="46"/>
      <c r="L22" s="47"/>
      <c r="M22" s="47"/>
      <c r="N22" s="52"/>
    </row>
    <row r="23" ht="8.75" customHeight="1" hidden="1">
      <c r="A23" s="39"/>
      <c r="B23" s="40"/>
      <c r="C23" s="41"/>
      <c r="D23" s="42"/>
      <c r="E23" s="42"/>
      <c r="F23" s="42"/>
      <c r="G23" s="43"/>
      <c r="H23" s="42"/>
      <c r="I23" s="42"/>
      <c r="J23" s="42"/>
      <c r="K23" s="42"/>
      <c r="L23" s="42"/>
      <c r="M23" s="42"/>
      <c r="N23" s="44"/>
    </row>
    <row r="24" ht="8.75" customHeight="1" hidden="1">
      <c r="A24" s="39"/>
      <c r="B24" s="40"/>
      <c r="C24" s="45"/>
      <c r="D24" s="46"/>
      <c r="E24" s="46"/>
      <c r="F24" s="46"/>
      <c r="G24" s="47"/>
      <c r="H24" s="46"/>
      <c r="I24" s="46"/>
      <c r="J24" s="46"/>
      <c r="K24" s="46"/>
      <c r="L24" s="47"/>
      <c r="M24" s="47"/>
      <c r="N24" s="52"/>
    </row>
    <row r="25" ht="20.85" customHeight="1">
      <c r="A25" s="53"/>
      <c r="B25" s="54"/>
      <c r="C25" s="54"/>
      <c r="D25" s="55"/>
      <c r="E25" s="55"/>
      <c r="F25" s="55"/>
      <c r="G25" s="56"/>
      <c r="H25" s="56"/>
      <c r="I25" s="54"/>
      <c r="J25" s="57"/>
      <c r="K25" t="s" s="58">
        <v>38</v>
      </c>
      <c r="L25" s="59" cm="1">
        <f t="array" ref="L25">SUM(L1:L24)</f>
        <v>180175140.78</v>
      </c>
      <c r="M25" s="59" cm="1">
        <f t="array" ref="M25">SUM(M1:M24)</f>
        <v>180094988.78</v>
      </c>
      <c r="N25" s="59" cm="1">
        <f t="array" ref="N25">SUM(N1:N24)</f>
        <v>180094988.78</v>
      </c>
    </row>
    <row r="26" ht="21" customHeight="1">
      <c r="A26" s="60"/>
      <c r="B26" t="s" s="61">
        <v>39</v>
      </c>
      <c r="C26" s="62"/>
      <c r="D26" s="63" cm="1">
        <f t="array" ref="D26">ROUND(IF(L26&lt;=100000000,L26*0.24%,IF(AND(L26&gt;100000000,L26&lt;=500000000),100000000*0.24%+(L26-100000000)*0.19%,IF(AND(L26&gt;500000000,L26&lt;=1000000000),100000000*0.24%+400000000*0.19%+(L26-500000000)*0.15%,IF(AND(L26&gt;1000000000,L26&lt;=5000000000),100000000*0.24%+400000000*0.19%+500000000*0.15%+(L26-1000000000)*0.12%,IF(L26&gt;5000000000,100000000*0.24%+400000000*0.19%+500000000*0.15%+4000000000*0.12%+(L26-5000000000)*0.1%,"Bingung komputer"))))),2)</f>
        <v>391588.75</v>
      </c>
      <c r="E26" s="64" cm="1">
        <f t="array" ref="E26">ROUND(IF(M26&lt;=100000000,M26*0.24%,IF(AND(M26&gt;100000000,M26&lt;=500000000),100000000*0.24%+(M26-100000000)*0.19%,IF(AND(M26&gt;500000000,M26&lt;=1000000000),100000000*0.24%+400000000*0.19%+(M26-500000000)*0.15%,IF(AND(M26&gt;1000000000,M26&lt;=5000000000),100000000*0.24%+400000000*0.19%+500000000*0.15%+(M26-1000000000)*0.12%,IF(M26&gt;5000000000,100000000*0.24%+400000000*0.19%+500000000*0.15%+4000000000*0.12%+(M26-5000000000)*0.1%,"Bingung komputer"))))),2)</f>
        <v>391436.75</v>
      </c>
      <c r="F26" s="64" cm="1">
        <f t="array" ref="F26">ROUND(IF(N26&lt;=100000000,N26*0.24%,IF(AND(N26&gt;100000000,N26&lt;=500000000),100000000*0.24%+(N26-100000000)*0.19%,IF(AND(N26&gt;500000000,N26&lt;=1000000000),100000000*0.24%+400000000*0.19%+(N26-500000000)*0.15%,IF(AND(N26&gt;1000000000,N26&lt;=5000000000),100000000*0.24%+400000000*0.19%+500000000*0.15%+(N26-1000000000)*0.12%,IF(N26&gt;5000000000,100000000*0.24%+400000000*0.19%+500000000*0.15%+4000000000*0.12%+(N26-5000000000)*0.1%,"Bingung komputer"))))),2)</f>
        <v>391436.75</v>
      </c>
      <c r="G26" s="65"/>
      <c r="H26" s="66"/>
      <c r="I26" s="62"/>
      <c r="J26" s="67"/>
      <c r="K26" t="str" s="67" cm="1">
        <f t="array" ref="K26">"Jumlah Terkena Pajak "&amp;MAX(K3:K24)&amp;"% (B)"</f>
        <v>Jumlah Terkena Pajak 11,00% (B)</v>
      </c>
      <c r="L26" s="68" cm="1">
        <f t="array" ref="L26">SUMIF($K3:$K24,"&gt;0",L3:L24)</f>
        <v>179783551.78</v>
      </c>
      <c r="M26" s="69" cm="1">
        <f t="array" ref="M26">SUMIF($K3:$K24,"&gt;0",M3:M24)</f>
        <v>179703551.78</v>
      </c>
      <c r="N26" s="69" cm="1">
        <f t="array" ref="N26">SUMIF($K3:$K24,"&gt;0",N3:N24)</f>
        <v>179703551.78</v>
      </c>
    </row>
    <row r="27" ht="21" customHeight="1">
      <c r="A27" s="70"/>
      <c r="B27" s="71"/>
      <c r="C27" s="71"/>
      <c r="D27" s="72"/>
      <c r="E27" s="72"/>
      <c r="F27" s="71"/>
      <c r="G27" s="72"/>
      <c r="H27" s="72"/>
      <c r="I27" s="71"/>
      <c r="J27" s="73"/>
      <c r="K27" t="str" s="73" cm="1">
        <f t="array" ref="K27">"PPN (C) = "&amp;MAX(K3:K24)&amp;"% x B"</f>
        <v>PPN (C) = 11,00% x B</v>
      </c>
      <c r="L27" s="74" cm="1">
        <f t="array" ref="L27">L26*MAX($K3:$K24)%</f>
        <v>19776190.6958</v>
      </c>
      <c r="M27" s="69" cm="1">
        <f t="array" ref="M27">M26*MAX($K3:$K24)%</f>
        <v>19767390.6958</v>
      </c>
      <c r="N27" s="69" cm="1">
        <f t="array" ref="N27">N26*MAX($K3:$K24)%</f>
        <v>19767390.6958</v>
      </c>
    </row>
    <row r="28" ht="21" customHeight="1">
      <c r="A28" s="70"/>
      <c r="B28" s="71"/>
      <c r="C28" s="71"/>
      <c r="D28" s="72"/>
      <c r="E28" s="72"/>
      <c r="F28" s="72"/>
      <c r="G28" s="72"/>
      <c r="H28" s="72"/>
      <c r="I28" s="71"/>
      <c r="J28" s="73"/>
      <c r="K28" t="s" s="75">
        <v>42</v>
      </c>
      <c r="L28" s="76" cm="1">
        <f t="array" ref="L28">L25+L27</f>
        <v>199951331.4758</v>
      </c>
      <c r="M28" s="69" cm="1">
        <f t="array" ref="M28">M25+M27</f>
        <v>199862379.4758</v>
      </c>
      <c r="N28" s="69" cm="1">
        <f t="array" ref="N28">N25+N27</f>
        <v>199862379.4758</v>
      </c>
    </row>
    <row r="29" ht="20.5" customHeight="1">
      <c r="A29" s="70"/>
      <c r="B29" s="71"/>
      <c r="C29" s="71"/>
      <c r="D29" s="72"/>
      <c r="E29" s="72"/>
      <c r="F29" s="72"/>
      <c r="G29" s="72"/>
      <c r="H29" s="72"/>
      <c r="I29" s="71"/>
      <c r="J29" s="73"/>
      <c r="K29" t="s" s="75">
        <v>43</v>
      </c>
      <c r="L29" s="68" cm="1">
        <f t="array" ref="L29">ROUNDDOWN(L28,2)</f>
        <v>199951331.47</v>
      </c>
      <c r="M29" s="68" cm="1">
        <f t="array" ref="M29">ROUNDDOWN(M28,2)</f>
        <v>199862379.47</v>
      </c>
      <c r="N29" s="68" cm="1">
        <f t="array" ref="N29">ROUNDDOWN(N28,-3)</f>
        <v>199862000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47.xml><?xml version="1.0" encoding="utf-8"?>
<worksheet xmlns:r="http://schemas.openxmlformats.org/officeDocument/2006/relationships" xmlns="http://schemas.openxmlformats.org/spreadsheetml/2006/main">
  <sheetPr>
    <pageSetUpPr fitToPage="1"/>
  </sheetPr>
  <dimension ref="A1:N29"/>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342" customWidth="1"/>
    <col min="2" max="2" width="43.0312" style="342" customWidth="1"/>
    <col min="3" max="3" width="2.75" style="342" customWidth="1"/>
    <col min="4" max="6" width="10.3672" style="342" customWidth="1"/>
    <col min="7" max="7" width="11.6875" style="342" customWidth="1"/>
    <col min="8" max="11" width="13.5156" style="342" customWidth="1"/>
    <col min="12" max="14" width="14.2344" style="342" customWidth="1"/>
    <col min="15" max="16384" width="16.3516" style="342"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16</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t="s" s="18">
        <v>17</v>
      </c>
      <c r="B4" t="s" s="19">
        <v>18</v>
      </c>
      <c r="C4" s="20"/>
      <c r="D4" s="21">
        <v>1</v>
      </c>
      <c r="E4" s="21" cm="1">
        <f t="array" ref="E4">D4</f>
        <v>1</v>
      </c>
      <c r="F4" s="21" cm="1">
        <f t="array" ref="F4">D4</f>
        <v>1</v>
      </c>
      <c r="G4" t="s" s="22">
        <v>19</v>
      </c>
      <c r="H4" s="21">
        <v>16000000</v>
      </c>
      <c r="I4" s="21">
        <v>15920000</v>
      </c>
      <c r="J4" s="21">
        <v>15920000</v>
      </c>
      <c r="K4" s="21">
        <v>11</v>
      </c>
      <c r="L4" s="21" cm="1">
        <f t="array" ref="L4">IF(D4&gt;0,IF($D4&lt;=0,0,D4*H4),"")</f>
        <v>16000000</v>
      </c>
      <c r="M4" s="21" cm="1">
        <f t="array" ref="M4">IF(E4&gt;0,IF($D4&lt;=0,0,ROUND(E4*I4,2)),"")</f>
        <v>15920000</v>
      </c>
      <c r="N4" s="23" cm="1">
        <f t="array" ref="N4">IF(F4&gt;0,IF($D4&lt;=0,0,ROUND(F4*J4,2)),"")</f>
        <v>15920000</v>
      </c>
    </row>
    <row r="5" ht="20.5" customHeight="1">
      <c r="A5" s="29"/>
      <c r="B5" t="s" s="19">
        <v>28</v>
      </c>
      <c r="C5" s="24"/>
      <c r="D5" s="30"/>
      <c r="E5" s="26"/>
      <c r="F5" s="26"/>
      <c r="G5" s="30"/>
      <c r="H5" s="26"/>
      <c r="I5" s="30"/>
      <c r="J5" s="30"/>
      <c r="K5" s="26"/>
      <c r="L5" t="str" s="30" cm="1">
        <f t="array" ref="L5">IF(D5&gt;0,IF($D5&lt;=0,0,D5*H5),"")</f>
      </c>
      <c r="M5" t="str" s="30" cm="1">
        <f t="array" ref="M5">IF(E5&gt;0,IF($D5&lt;=0,0,ROUND(E5*I5,2)),"")</f>
      </c>
      <c r="N5" t="str" s="31" cm="1">
        <f t="array" ref="N5">IF(F5&gt;0,IF($D5&lt;=0,0,ROUND(F5*J5,2)),"")</f>
      </c>
    </row>
    <row r="6" ht="20.5" customHeight="1">
      <c r="A6" t="s" s="18">
        <v>86</v>
      </c>
      <c r="B6" t="s" s="19">
        <v>30</v>
      </c>
      <c r="C6" s="20"/>
      <c r="D6" s="21">
        <v>4254</v>
      </c>
      <c r="E6" s="21" cm="1">
        <f t="array" ref="E6">D6</f>
        <v>4254</v>
      </c>
      <c r="F6" s="21" cm="1">
        <f t="array" ref="F6">D6</f>
        <v>4254</v>
      </c>
      <c r="G6" t="s" s="22">
        <v>27</v>
      </c>
      <c r="H6" s="21">
        <v>38501.07</v>
      </c>
      <c r="I6" s="21">
        <v>38501.07</v>
      </c>
      <c r="J6" s="21">
        <v>38501.07</v>
      </c>
      <c r="K6" s="21">
        <v>11</v>
      </c>
      <c r="L6" s="21" cm="1">
        <f t="array" ref="L6">IF(D6&gt;0,IF($D6&lt;=0,0,D6*H6),"")</f>
        <v>163783551.78</v>
      </c>
      <c r="M6" s="21" cm="1">
        <f t="array" ref="M6">IF(E6&gt;0,IF($D6&lt;=0,0,ROUND(E6*I6,2)),"")</f>
        <v>163783551.78</v>
      </c>
      <c r="N6" s="23" cm="1">
        <f t="array" ref="N6">IF(F6&gt;0,IF($D6&lt;=0,0,ROUND(F6*J6,2)),"")</f>
        <v>163783551.78</v>
      </c>
    </row>
    <row r="7" ht="20.5" customHeight="1">
      <c r="A7" s="29"/>
      <c r="B7" t="s" s="19">
        <v>36</v>
      </c>
      <c r="C7" s="24"/>
      <c r="D7" s="26"/>
      <c r="E7" s="26"/>
      <c r="F7" s="26"/>
      <c r="G7" s="30"/>
      <c r="H7" s="30"/>
      <c r="I7" s="30"/>
      <c r="J7" s="30"/>
      <c r="K7" s="26"/>
      <c r="L7" t="str" s="30" cm="1">
        <f t="array" ref="L7">IF(D7&gt;0,IF($D7&lt;=0,0,D7*H7),"")</f>
      </c>
      <c r="M7" s="26"/>
      <c r="N7" s="28"/>
    </row>
    <row r="8" ht="20.6" customHeight="1">
      <c r="A8" s="33">
        <v>1</v>
      </c>
      <c r="B8" t="s" s="34">
        <v>37</v>
      </c>
      <c r="C8" s="35"/>
      <c r="D8" s="36">
        <v>1</v>
      </c>
      <c r="E8" s="36" cm="1">
        <f t="array" ref="E8">D8</f>
        <v>1</v>
      </c>
      <c r="F8" s="36" cm="1">
        <f t="array" ref="F8">D8</f>
        <v>1</v>
      </c>
      <c r="G8" t="s" s="37">
        <v>19</v>
      </c>
      <c r="H8" s="36">
        <v>391589</v>
      </c>
      <c r="I8" s="36">
        <v>391437</v>
      </c>
      <c r="J8" s="36">
        <v>391437</v>
      </c>
      <c r="K8" s="36">
        <v>0</v>
      </c>
      <c r="L8" s="36" cm="1">
        <f t="array" ref="L8">IF(D8&gt;0,IF($D8&lt;=0,0,D8*H8),"")</f>
        <v>391589</v>
      </c>
      <c r="M8" s="36" cm="1">
        <f t="array" ref="M8">IF(E8&gt;0,IF($D8&lt;=0,0,ROUND(E8*I8,2)),"")</f>
        <v>391437</v>
      </c>
      <c r="N8" s="38" cm="1">
        <f t="array" ref="N8">IF(F8&gt;0,IF($D8&lt;=0,0,ROUND(F8*J8,2)),"")</f>
        <v>391437</v>
      </c>
    </row>
    <row r="9" ht="8.75" customHeight="1" hidden="1">
      <c r="A9" s="39"/>
      <c r="B9" s="40"/>
      <c r="C9" s="41"/>
      <c r="D9" s="42"/>
      <c r="E9" s="42"/>
      <c r="F9" s="42"/>
      <c r="G9" s="43"/>
      <c r="H9" s="42"/>
      <c r="I9" s="42"/>
      <c r="J9" s="42"/>
      <c r="K9" s="42"/>
      <c r="L9" s="42"/>
      <c r="M9" s="42"/>
      <c r="N9" s="44"/>
    </row>
    <row r="10" ht="8.75" customHeight="1" hidden="1">
      <c r="A10" s="39"/>
      <c r="B10" s="40"/>
      <c r="C10" s="45"/>
      <c r="D10" s="46"/>
      <c r="E10" s="46"/>
      <c r="F10" s="46"/>
      <c r="G10" s="47"/>
      <c r="H10" s="46"/>
      <c r="I10" s="46"/>
      <c r="J10" s="46"/>
      <c r="K10" s="46"/>
      <c r="L10" s="46"/>
      <c r="M10" s="46"/>
      <c r="N10" s="48"/>
    </row>
    <row r="11" ht="8.75" customHeight="1" hidden="1">
      <c r="A11" s="39"/>
      <c r="B11" s="40"/>
      <c r="C11" s="41"/>
      <c r="D11" s="42"/>
      <c r="E11" s="42"/>
      <c r="F11" s="42"/>
      <c r="G11" s="43"/>
      <c r="H11" s="42"/>
      <c r="I11" s="42"/>
      <c r="J11" s="42"/>
      <c r="K11" s="42"/>
      <c r="L11" s="42"/>
      <c r="M11" s="42"/>
      <c r="N11" s="44"/>
    </row>
    <row r="12" ht="8.75" customHeight="1" hidden="1">
      <c r="A12" s="39"/>
      <c r="B12" s="40"/>
      <c r="C12" s="45"/>
      <c r="D12" s="46"/>
      <c r="E12" s="46"/>
      <c r="F12" s="46"/>
      <c r="G12" s="47"/>
      <c r="H12" s="46"/>
      <c r="I12" s="46"/>
      <c r="J12" s="46"/>
      <c r="K12" s="46"/>
      <c r="L12" s="46"/>
      <c r="M12" s="46"/>
      <c r="N12" s="48"/>
    </row>
    <row r="13" ht="8.75" customHeight="1" hidden="1">
      <c r="A13" s="39"/>
      <c r="B13" s="40"/>
      <c r="C13" s="41"/>
      <c r="D13" s="42"/>
      <c r="E13" s="42"/>
      <c r="F13" s="42"/>
      <c r="G13" s="43"/>
      <c r="H13" s="42"/>
      <c r="I13" s="42"/>
      <c r="J13" s="42"/>
      <c r="K13" s="42"/>
      <c r="L13" s="42"/>
      <c r="M13" s="42"/>
      <c r="N13" s="44"/>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3"/>
      <c r="I15" s="43"/>
      <c r="J15" s="43"/>
      <c r="K15" s="42"/>
      <c r="L15" s="43"/>
      <c r="M15" s="43"/>
      <c r="N15" s="49"/>
    </row>
    <row r="16" ht="8.75" customHeight="1" hidden="1">
      <c r="A16" s="39"/>
      <c r="B16" s="40"/>
      <c r="C16" s="45"/>
      <c r="D16" s="46"/>
      <c r="E16" s="46"/>
      <c r="F16" s="46"/>
      <c r="G16" s="47"/>
      <c r="H16" s="50"/>
      <c r="I16" s="50"/>
      <c r="J16" s="50"/>
      <c r="K16" s="46"/>
      <c r="L16" s="46"/>
      <c r="M16" s="46"/>
      <c r="N16" s="48"/>
    </row>
    <row r="17" ht="8.75" customHeight="1" hidden="1">
      <c r="A17" s="39"/>
      <c r="B17" s="40"/>
      <c r="C17" s="41"/>
      <c r="D17" s="42"/>
      <c r="E17" s="42"/>
      <c r="F17" s="42"/>
      <c r="G17" s="43"/>
      <c r="H17" s="43"/>
      <c r="I17" s="43"/>
      <c r="J17" s="43"/>
      <c r="K17" s="42"/>
      <c r="L17" s="43"/>
      <c r="M17" s="43"/>
      <c r="N17" s="49"/>
    </row>
    <row r="18" ht="8.75" customHeight="1" hidden="1">
      <c r="A18" s="39"/>
      <c r="B18" s="40"/>
      <c r="C18" s="45"/>
      <c r="D18" s="46"/>
      <c r="E18" s="46"/>
      <c r="F18" s="46"/>
      <c r="G18" s="47"/>
      <c r="H18" s="46"/>
      <c r="I18" s="46"/>
      <c r="J18" s="46"/>
      <c r="K18" s="46"/>
      <c r="L18" s="46"/>
      <c r="M18" s="46"/>
      <c r="N18" s="48"/>
    </row>
    <row r="19" ht="8.75" customHeight="1" hidden="1">
      <c r="A19" s="39"/>
      <c r="B19" s="40"/>
      <c r="C19" s="41"/>
      <c r="D19" s="42"/>
      <c r="E19" s="42"/>
      <c r="F19" s="42"/>
      <c r="G19" s="43"/>
      <c r="H19" s="42"/>
      <c r="I19" s="42"/>
      <c r="J19" s="42"/>
      <c r="K19" s="42"/>
      <c r="L19" s="42"/>
      <c r="M19" s="42"/>
      <c r="N19" s="44"/>
    </row>
    <row r="20" ht="8.75" customHeight="1" hidden="1">
      <c r="A20" s="51"/>
      <c r="B20" s="40"/>
      <c r="C20" s="45"/>
      <c r="D20" s="46"/>
      <c r="E20" s="46"/>
      <c r="F20" s="46"/>
      <c r="G20" s="47"/>
      <c r="H20" s="46"/>
      <c r="I20" s="46"/>
      <c r="J20" s="46"/>
      <c r="K20" s="46"/>
      <c r="L20" s="46"/>
      <c r="M20" s="46"/>
      <c r="N20" s="48"/>
    </row>
    <row r="21" ht="8.75" customHeight="1" hidden="1">
      <c r="A21" s="51"/>
      <c r="B21" s="40"/>
      <c r="C21" s="41"/>
      <c r="D21" s="42"/>
      <c r="E21" s="42"/>
      <c r="F21" s="42"/>
      <c r="G21" s="43"/>
      <c r="H21" s="42"/>
      <c r="I21" s="42"/>
      <c r="J21" s="42"/>
      <c r="K21" s="42"/>
      <c r="L21" s="42"/>
      <c r="M21" s="42"/>
      <c r="N21" s="44"/>
    </row>
    <row r="22" ht="8.75" customHeight="1" hidden="1">
      <c r="A22" s="39"/>
      <c r="B22" s="40"/>
      <c r="C22" s="45"/>
      <c r="D22" s="46"/>
      <c r="E22" s="46"/>
      <c r="F22" s="46"/>
      <c r="G22" s="47"/>
      <c r="H22" s="46"/>
      <c r="I22" s="46"/>
      <c r="J22" s="46"/>
      <c r="K22" s="46"/>
      <c r="L22" s="47"/>
      <c r="M22" s="47"/>
      <c r="N22" s="52"/>
    </row>
    <row r="23" ht="8.75" customHeight="1" hidden="1">
      <c r="A23" s="39"/>
      <c r="B23" s="40"/>
      <c r="C23" s="41"/>
      <c r="D23" s="42"/>
      <c r="E23" s="42"/>
      <c r="F23" s="42"/>
      <c r="G23" s="43"/>
      <c r="H23" s="42"/>
      <c r="I23" s="42"/>
      <c r="J23" s="42"/>
      <c r="K23" s="42"/>
      <c r="L23" s="42"/>
      <c r="M23" s="42"/>
      <c r="N23" s="44"/>
    </row>
    <row r="24" ht="8.75" customHeight="1" hidden="1">
      <c r="A24" s="39"/>
      <c r="B24" s="40"/>
      <c r="C24" s="45"/>
      <c r="D24" s="46"/>
      <c r="E24" s="46"/>
      <c r="F24" s="46"/>
      <c r="G24" s="47"/>
      <c r="H24" s="46"/>
      <c r="I24" s="46"/>
      <c r="J24" s="46"/>
      <c r="K24" s="46"/>
      <c r="L24" s="47"/>
      <c r="M24" s="47"/>
      <c r="N24" s="52"/>
    </row>
    <row r="25" ht="20.85" customHeight="1">
      <c r="A25" s="53"/>
      <c r="B25" s="54"/>
      <c r="C25" s="54"/>
      <c r="D25" s="55"/>
      <c r="E25" s="55"/>
      <c r="F25" s="55"/>
      <c r="G25" s="56"/>
      <c r="H25" s="56"/>
      <c r="I25" s="54"/>
      <c r="J25" s="57"/>
      <c r="K25" t="s" s="58">
        <v>38</v>
      </c>
      <c r="L25" s="59" cm="1">
        <f t="array" ref="L25">SUM(L1:L24)</f>
        <v>180175140.78</v>
      </c>
      <c r="M25" s="59" cm="1">
        <f t="array" ref="M25">SUM(M1:M24)</f>
        <v>180094988.78</v>
      </c>
      <c r="N25" s="59" cm="1">
        <f t="array" ref="N25">SUM(N1:N24)</f>
        <v>180094988.78</v>
      </c>
    </row>
    <row r="26" ht="21" customHeight="1">
      <c r="A26" s="60"/>
      <c r="B26" t="s" s="61">
        <v>39</v>
      </c>
      <c r="C26" s="62"/>
      <c r="D26" s="63" cm="1">
        <f t="array" ref="D26">ROUND(IF(L26&lt;=100000000,L26*0.24%,IF(AND(L26&gt;100000000,L26&lt;=500000000),100000000*0.24%+(L26-100000000)*0.19%,IF(AND(L26&gt;500000000,L26&lt;=1000000000),100000000*0.24%+400000000*0.19%+(L26-500000000)*0.15%,IF(AND(L26&gt;1000000000,L26&lt;=5000000000),100000000*0.24%+400000000*0.19%+500000000*0.15%+(L26-1000000000)*0.12%,IF(L26&gt;5000000000,100000000*0.24%+400000000*0.19%+500000000*0.15%+4000000000*0.12%+(L26-5000000000)*0.1%,"Bingung komputer"))))),2)</f>
        <v>391588.75</v>
      </c>
      <c r="E26" s="64" cm="1">
        <f t="array" ref="E26">ROUND(IF(M26&lt;=100000000,M26*0.24%,IF(AND(M26&gt;100000000,M26&lt;=500000000),100000000*0.24%+(M26-100000000)*0.19%,IF(AND(M26&gt;500000000,M26&lt;=1000000000),100000000*0.24%+400000000*0.19%+(M26-500000000)*0.15%,IF(AND(M26&gt;1000000000,M26&lt;=5000000000),100000000*0.24%+400000000*0.19%+500000000*0.15%+(M26-1000000000)*0.12%,IF(M26&gt;5000000000,100000000*0.24%+400000000*0.19%+500000000*0.15%+4000000000*0.12%+(M26-5000000000)*0.1%,"Bingung komputer"))))),2)</f>
        <v>391436.75</v>
      </c>
      <c r="F26" s="64" cm="1">
        <f t="array" ref="F26">ROUND(IF(N26&lt;=100000000,N26*0.24%,IF(AND(N26&gt;100000000,N26&lt;=500000000),100000000*0.24%+(N26-100000000)*0.19%,IF(AND(N26&gt;500000000,N26&lt;=1000000000),100000000*0.24%+400000000*0.19%+(N26-500000000)*0.15%,IF(AND(N26&gt;1000000000,N26&lt;=5000000000),100000000*0.24%+400000000*0.19%+500000000*0.15%+(N26-1000000000)*0.12%,IF(N26&gt;5000000000,100000000*0.24%+400000000*0.19%+500000000*0.15%+4000000000*0.12%+(N26-5000000000)*0.1%,"Bingung komputer"))))),2)</f>
        <v>391436.75</v>
      </c>
      <c r="G26" s="65"/>
      <c r="H26" s="66"/>
      <c r="I26" s="62"/>
      <c r="J26" s="67"/>
      <c r="K26" t="str" s="67" cm="1">
        <f t="array" ref="K26">"Jumlah Terkena Pajak "&amp;MAX(K3:K24)&amp;"% (B)"</f>
        <v>Jumlah Terkena Pajak 11,00% (B)</v>
      </c>
      <c r="L26" s="68" cm="1">
        <f t="array" ref="L26">SUMIF($K3:$K24,"&gt;0",L3:L24)</f>
        <v>179783551.78</v>
      </c>
      <c r="M26" s="69" cm="1">
        <f t="array" ref="M26">SUMIF($K3:$K24,"&gt;0",M3:M24)</f>
        <v>179703551.78</v>
      </c>
      <c r="N26" s="69" cm="1">
        <f t="array" ref="N26">SUMIF($K3:$K24,"&gt;0",N3:N24)</f>
        <v>179703551.78</v>
      </c>
    </row>
    <row r="27" ht="21" customHeight="1">
      <c r="A27" s="70"/>
      <c r="B27" s="71"/>
      <c r="C27" s="71"/>
      <c r="D27" s="72"/>
      <c r="E27" s="72"/>
      <c r="F27" s="71"/>
      <c r="G27" s="72"/>
      <c r="H27" s="72"/>
      <c r="I27" s="71"/>
      <c r="J27" s="73"/>
      <c r="K27" t="str" s="73" cm="1">
        <f t="array" ref="K27">"PPN (C) = "&amp;MAX(K3:K24)&amp;"% x B"</f>
        <v>PPN (C) = 11,00% x B</v>
      </c>
      <c r="L27" s="74" cm="1">
        <f t="array" ref="L27">L26*MAX($K3:$K24)%</f>
        <v>19776190.6958</v>
      </c>
      <c r="M27" s="69" cm="1">
        <f t="array" ref="M27">M26*MAX($K3:$K24)%</f>
        <v>19767390.6958</v>
      </c>
      <c r="N27" s="69" cm="1">
        <f t="array" ref="N27">N26*MAX($K3:$K24)%</f>
        <v>19767390.6958</v>
      </c>
    </row>
    <row r="28" ht="21" customHeight="1">
      <c r="A28" s="70"/>
      <c r="B28" s="71"/>
      <c r="C28" s="71"/>
      <c r="D28" s="72"/>
      <c r="E28" s="72"/>
      <c r="F28" s="72"/>
      <c r="G28" s="72"/>
      <c r="H28" s="72"/>
      <c r="I28" s="71"/>
      <c r="J28" s="73"/>
      <c r="K28" t="s" s="75">
        <v>42</v>
      </c>
      <c r="L28" s="76" cm="1">
        <f t="array" ref="L28">L25+L27</f>
        <v>199951331.4758</v>
      </c>
      <c r="M28" s="69" cm="1">
        <f t="array" ref="M28">M25+M27</f>
        <v>199862379.4758</v>
      </c>
      <c r="N28" s="69" cm="1">
        <f t="array" ref="N28">N25+N27</f>
        <v>199862379.4758</v>
      </c>
    </row>
    <row r="29" ht="20.5" customHeight="1">
      <c r="A29" s="70"/>
      <c r="B29" s="71"/>
      <c r="C29" s="71"/>
      <c r="D29" s="72"/>
      <c r="E29" s="72"/>
      <c r="F29" s="72"/>
      <c r="G29" s="72"/>
      <c r="H29" s="72"/>
      <c r="I29" s="71"/>
      <c r="J29" s="73"/>
      <c r="K29" t="s" s="75">
        <v>43</v>
      </c>
      <c r="L29" s="68" cm="1">
        <f t="array" ref="L29">ROUNDDOWN(L28,2)</f>
        <v>199951331.47</v>
      </c>
      <c r="M29" s="68" cm="1">
        <f t="array" ref="M29">ROUNDDOWN(M28,2)</f>
        <v>199862379.47</v>
      </c>
      <c r="N29" s="68" cm="1">
        <f t="array" ref="N29">ROUNDDOWN(N28,-3)</f>
        <v>199862000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48.xml><?xml version="1.0" encoding="utf-8"?>
<worksheet xmlns:r="http://schemas.openxmlformats.org/officeDocument/2006/relationships" xmlns="http://schemas.openxmlformats.org/spreadsheetml/2006/main">
  <sheetPr>
    <pageSetUpPr fitToPage="1"/>
  </sheetPr>
  <dimension ref="A1:N29"/>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343" customWidth="1"/>
    <col min="2" max="2" width="43.0312" style="343" customWidth="1"/>
    <col min="3" max="3" width="2.75" style="343" customWidth="1"/>
    <col min="4" max="6" width="10.3672" style="343" customWidth="1"/>
    <col min="7" max="7" width="11.6875" style="343" customWidth="1"/>
    <col min="8" max="11" width="13.5156" style="343" customWidth="1"/>
    <col min="12" max="14" width="14.2344" style="343" customWidth="1"/>
    <col min="15" max="16384" width="16.3516" style="343"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16</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t="s" s="18">
        <v>17</v>
      </c>
      <c r="B4" t="s" s="19">
        <v>18</v>
      </c>
      <c r="C4" s="20"/>
      <c r="D4" s="21">
        <v>1</v>
      </c>
      <c r="E4" s="21" cm="1">
        <f t="array" ref="E4">D4</f>
        <v>1</v>
      </c>
      <c r="F4" s="21" cm="1">
        <f t="array" ref="F4">D4</f>
        <v>1</v>
      </c>
      <c r="G4" t="s" s="22">
        <v>19</v>
      </c>
      <c r="H4" s="21">
        <v>16000000</v>
      </c>
      <c r="I4" s="21">
        <v>15900000</v>
      </c>
      <c r="J4" s="21">
        <v>15900000</v>
      </c>
      <c r="K4" s="21">
        <v>11</v>
      </c>
      <c r="L4" s="21" cm="1">
        <f t="array" ref="L4">IF(D4&gt;0,IF($D4&lt;=0,0,D4*H4),"")</f>
        <v>16000000</v>
      </c>
      <c r="M4" s="21" cm="1">
        <f t="array" ref="M4">IF(E4&gt;0,IF($D4&lt;=0,0,ROUND(E4*I4,2)),"")</f>
        <v>15900000</v>
      </c>
      <c r="N4" s="23" cm="1">
        <f t="array" ref="N4">IF(F4&gt;0,IF($D4&lt;=0,0,ROUND(F4*J4,2)),"")</f>
        <v>15900000</v>
      </c>
    </row>
    <row r="5" ht="20.5" customHeight="1">
      <c r="A5" s="29"/>
      <c r="B5" t="s" s="19">
        <v>28</v>
      </c>
      <c r="C5" s="24"/>
      <c r="D5" s="30"/>
      <c r="E5" s="26"/>
      <c r="F5" s="26"/>
      <c r="G5" s="30"/>
      <c r="H5" s="26"/>
      <c r="I5" s="30"/>
      <c r="J5" s="30"/>
      <c r="K5" s="26"/>
      <c r="L5" t="str" s="30" cm="1">
        <f t="array" ref="L5">IF(D5&gt;0,IF($D5&lt;=0,0,D5*H5),"")</f>
      </c>
      <c r="M5" t="str" s="30" cm="1">
        <f t="array" ref="M5">IF(E5&gt;0,IF($D5&lt;=0,0,ROUND(E5*I5,2)),"")</f>
      </c>
      <c r="N5" t="str" s="31" cm="1">
        <f t="array" ref="N5">IF(F5&gt;0,IF($D5&lt;=0,0,ROUND(F5*J5,2)),"")</f>
      </c>
    </row>
    <row r="6" ht="20.5" customHeight="1">
      <c r="A6" t="s" s="18">
        <v>86</v>
      </c>
      <c r="B6" t="s" s="19">
        <v>30</v>
      </c>
      <c r="C6" s="20"/>
      <c r="D6" s="21">
        <v>4254</v>
      </c>
      <c r="E6" s="21" cm="1">
        <f t="array" ref="E6">D6</f>
        <v>4254</v>
      </c>
      <c r="F6" s="21" cm="1">
        <f t="array" ref="F6">D6</f>
        <v>4254</v>
      </c>
      <c r="G6" t="s" s="22">
        <v>27</v>
      </c>
      <c r="H6" s="21">
        <v>38501.07</v>
      </c>
      <c r="I6" s="21">
        <v>38501.07</v>
      </c>
      <c r="J6" s="21">
        <v>38501.07</v>
      </c>
      <c r="K6" s="21">
        <v>11</v>
      </c>
      <c r="L6" s="21" cm="1">
        <f t="array" ref="L6">IF(D6&gt;0,IF($D6&lt;=0,0,D6*H6),"")</f>
        <v>163783551.78</v>
      </c>
      <c r="M6" s="21" cm="1">
        <f t="array" ref="M6">IF(E6&gt;0,IF($D6&lt;=0,0,ROUND(E6*I6,2)),"")</f>
        <v>163783551.78</v>
      </c>
      <c r="N6" s="23" cm="1">
        <f t="array" ref="N6">IF(F6&gt;0,IF($D6&lt;=0,0,ROUND(F6*J6,2)),"")</f>
        <v>163783551.78</v>
      </c>
    </row>
    <row r="7" ht="20.5" customHeight="1">
      <c r="A7" s="29"/>
      <c r="B7" t="s" s="19">
        <v>36</v>
      </c>
      <c r="C7" s="24"/>
      <c r="D7" s="26"/>
      <c r="E7" s="26"/>
      <c r="F7" s="26"/>
      <c r="G7" s="30"/>
      <c r="H7" s="30"/>
      <c r="I7" s="30"/>
      <c r="J7" s="30"/>
      <c r="K7" s="26"/>
      <c r="L7" t="str" s="30" cm="1">
        <f t="array" ref="L7">IF(D7&gt;0,IF($D7&lt;=0,0,D7*H7),"")</f>
      </c>
      <c r="M7" s="26"/>
      <c r="N7" s="28"/>
    </row>
    <row r="8" ht="20.6" customHeight="1">
      <c r="A8" s="33">
        <v>1</v>
      </c>
      <c r="B8" t="s" s="34">
        <v>37</v>
      </c>
      <c r="C8" s="35"/>
      <c r="D8" s="36">
        <v>1</v>
      </c>
      <c r="E8" s="36" cm="1">
        <f t="array" ref="E8">D8</f>
        <v>1</v>
      </c>
      <c r="F8" s="36" cm="1">
        <f t="array" ref="F8">D8</f>
        <v>1</v>
      </c>
      <c r="G8" t="s" s="37">
        <v>19</v>
      </c>
      <c r="H8" s="36">
        <v>391589</v>
      </c>
      <c r="I8" s="36">
        <v>391399</v>
      </c>
      <c r="J8" s="36">
        <v>391399</v>
      </c>
      <c r="K8" s="36">
        <v>0</v>
      </c>
      <c r="L8" s="36" cm="1">
        <f t="array" ref="L8">IF(D8&gt;0,IF($D8&lt;=0,0,D8*H8),"")</f>
        <v>391589</v>
      </c>
      <c r="M8" s="36" cm="1">
        <f t="array" ref="M8">IF(E8&gt;0,IF($D8&lt;=0,0,ROUND(E8*I8,2)),"")</f>
        <v>391399</v>
      </c>
      <c r="N8" s="38" cm="1">
        <f t="array" ref="N8">IF(F8&gt;0,IF($D8&lt;=0,0,ROUND(F8*J8,2)),"")</f>
        <v>391399</v>
      </c>
    </row>
    <row r="9" ht="8.75" customHeight="1" hidden="1">
      <c r="A9" s="39"/>
      <c r="B9" s="40"/>
      <c r="C9" s="41"/>
      <c r="D9" s="42"/>
      <c r="E9" s="42"/>
      <c r="F9" s="42"/>
      <c r="G9" s="43"/>
      <c r="H9" s="42"/>
      <c r="I9" s="42"/>
      <c r="J9" s="42"/>
      <c r="K9" s="42"/>
      <c r="L9" s="42"/>
      <c r="M9" s="42"/>
      <c r="N9" s="44"/>
    </row>
    <row r="10" ht="8.75" customHeight="1" hidden="1">
      <c r="A10" s="39"/>
      <c r="B10" s="40"/>
      <c r="C10" s="45"/>
      <c r="D10" s="46"/>
      <c r="E10" s="46"/>
      <c r="F10" s="46"/>
      <c r="G10" s="47"/>
      <c r="H10" s="46"/>
      <c r="I10" s="46"/>
      <c r="J10" s="46"/>
      <c r="K10" s="46"/>
      <c r="L10" s="46"/>
      <c r="M10" s="46"/>
      <c r="N10" s="48"/>
    </row>
    <row r="11" ht="8.75" customHeight="1" hidden="1">
      <c r="A11" s="39"/>
      <c r="B11" s="40"/>
      <c r="C11" s="41"/>
      <c r="D11" s="42"/>
      <c r="E11" s="42"/>
      <c r="F11" s="42"/>
      <c r="G11" s="43"/>
      <c r="H11" s="42"/>
      <c r="I11" s="42"/>
      <c r="J11" s="42"/>
      <c r="K11" s="42"/>
      <c r="L11" s="42"/>
      <c r="M11" s="42"/>
      <c r="N11" s="44"/>
    </row>
    <row r="12" ht="8.75" customHeight="1" hidden="1">
      <c r="A12" s="39"/>
      <c r="B12" s="40"/>
      <c r="C12" s="45"/>
      <c r="D12" s="46"/>
      <c r="E12" s="46"/>
      <c r="F12" s="46"/>
      <c r="G12" s="47"/>
      <c r="H12" s="46"/>
      <c r="I12" s="46"/>
      <c r="J12" s="46"/>
      <c r="K12" s="46"/>
      <c r="L12" s="46"/>
      <c r="M12" s="46"/>
      <c r="N12" s="48"/>
    </row>
    <row r="13" ht="8.75" customHeight="1" hidden="1">
      <c r="A13" s="39"/>
      <c r="B13" s="40"/>
      <c r="C13" s="41"/>
      <c r="D13" s="42"/>
      <c r="E13" s="42"/>
      <c r="F13" s="42"/>
      <c r="G13" s="43"/>
      <c r="H13" s="42"/>
      <c r="I13" s="42"/>
      <c r="J13" s="42"/>
      <c r="K13" s="42"/>
      <c r="L13" s="42"/>
      <c r="M13" s="42"/>
      <c r="N13" s="44"/>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3"/>
      <c r="I15" s="43"/>
      <c r="J15" s="43"/>
      <c r="K15" s="42"/>
      <c r="L15" s="43"/>
      <c r="M15" s="43"/>
      <c r="N15" s="49"/>
    </row>
    <row r="16" ht="8.75" customHeight="1" hidden="1">
      <c r="A16" s="39"/>
      <c r="B16" s="40"/>
      <c r="C16" s="45"/>
      <c r="D16" s="46"/>
      <c r="E16" s="46"/>
      <c r="F16" s="46"/>
      <c r="G16" s="47"/>
      <c r="H16" s="50"/>
      <c r="I16" s="50"/>
      <c r="J16" s="50"/>
      <c r="K16" s="46"/>
      <c r="L16" s="46"/>
      <c r="M16" s="46"/>
      <c r="N16" s="48"/>
    </row>
    <row r="17" ht="8.75" customHeight="1" hidden="1">
      <c r="A17" s="39"/>
      <c r="B17" s="40"/>
      <c r="C17" s="41"/>
      <c r="D17" s="42"/>
      <c r="E17" s="42"/>
      <c r="F17" s="42"/>
      <c r="G17" s="43"/>
      <c r="H17" s="43"/>
      <c r="I17" s="43"/>
      <c r="J17" s="43"/>
      <c r="K17" s="42"/>
      <c r="L17" s="43"/>
      <c r="M17" s="43"/>
      <c r="N17" s="49"/>
    </row>
    <row r="18" ht="8.75" customHeight="1" hidden="1">
      <c r="A18" s="39"/>
      <c r="B18" s="40"/>
      <c r="C18" s="45"/>
      <c r="D18" s="46"/>
      <c r="E18" s="46"/>
      <c r="F18" s="46"/>
      <c r="G18" s="47"/>
      <c r="H18" s="46"/>
      <c r="I18" s="46"/>
      <c r="J18" s="46"/>
      <c r="K18" s="46"/>
      <c r="L18" s="46"/>
      <c r="M18" s="46"/>
      <c r="N18" s="48"/>
    </row>
    <row r="19" ht="8.75" customHeight="1" hidden="1">
      <c r="A19" s="39"/>
      <c r="B19" s="40"/>
      <c r="C19" s="41"/>
      <c r="D19" s="42"/>
      <c r="E19" s="42"/>
      <c r="F19" s="42"/>
      <c r="G19" s="43"/>
      <c r="H19" s="42"/>
      <c r="I19" s="42"/>
      <c r="J19" s="42"/>
      <c r="K19" s="42"/>
      <c r="L19" s="42"/>
      <c r="M19" s="42"/>
      <c r="N19" s="44"/>
    </row>
    <row r="20" ht="8.75" customHeight="1" hidden="1">
      <c r="A20" s="51"/>
      <c r="B20" s="40"/>
      <c r="C20" s="45"/>
      <c r="D20" s="46"/>
      <c r="E20" s="46"/>
      <c r="F20" s="46"/>
      <c r="G20" s="47"/>
      <c r="H20" s="46"/>
      <c r="I20" s="46"/>
      <c r="J20" s="46"/>
      <c r="K20" s="46"/>
      <c r="L20" s="46"/>
      <c r="M20" s="46"/>
      <c r="N20" s="48"/>
    </row>
    <row r="21" ht="8.75" customHeight="1" hidden="1">
      <c r="A21" s="51"/>
      <c r="B21" s="40"/>
      <c r="C21" s="41"/>
      <c r="D21" s="42"/>
      <c r="E21" s="42"/>
      <c r="F21" s="42"/>
      <c r="G21" s="43"/>
      <c r="H21" s="42"/>
      <c r="I21" s="42"/>
      <c r="J21" s="42"/>
      <c r="K21" s="42"/>
      <c r="L21" s="42"/>
      <c r="M21" s="42"/>
      <c r="N21" s="44"/>
    </row>
    <row r="22" ht="8.75" customHeight="1" hidden="1">
      <c r="A22" s="39"/>
      <c r="B22" s="40"/>
      <c r="C22" s="45"/>
      <c r="D22" s="46"/>
      <c r="E22" s="46"/>
      <c r="F22" s="46"/>
      <c r="G22" s="47"/>
      <c r="H22" s="46"/>
      <c r="I22" s="46"/>
      <c r="J22" s="46"/>
      <c r="K22" s="46"/>
      <c r="L22" s="47"/>
      <c r="M22" s="47"/>
      <c r="N22" s="52"/>
    </row>
    <row r="23" ht="8.75" customHeight="1" hidden="1">
      <c r="A23" s="39"/>
      <c r="B23" s="40"/>
      <c r="C23" s="41"/>
      <c r="D23" s="42"/>
      <c r="E23" s="42"/>
      <c r="F23" s="42"/>
      <c r="G23" s="43"/>
      <c r="H23" s="42"/>
      <c r="I23" s="42"/>
      <c r="J23" s="42"/>
      <c r="K23" s="42"/>
      <c r="L23" s="42"/>
      <c r="M23" s="42"/>
      <c r="N23" s="44"/>
    </row>
    <row r="24" ht="8.75" customHeight="1" hidden="1">
      <c r="A24" s="39"/>
      <c r="B24" s="40"/>
      <c r="C24" s="45"/>
      <c r="D24" s="46"/>
      <c r="E24" s="46"/>
      <c r="F24" s="46"/>
      <c r="G24" s="47"/>
      <c r="H24" s="46"/>
      <c r="I24" s="46"/>
      <c r="J24" s="46"/>
      <c r="K24" s="46"/>
      <c r="L24" s="47"/>
      <c r="M24" s="47"/>
      <c r="N24" s="52"/>
    </row>
    <row r="25" ht="20.85" customHeight="1">
      <c r="A25" s="53"/>
      <c r="B25" s="54"/>
      <c r="C25" s="54"/>
      <c r="D25" s="55"/>
      <c r="E25" s="55"/>
      <c r="F25" s="55"/>
      <c r="G25" s="56"/>
      <c r="H25" s="56"/>
      <c r="I25" s="54"/>
      <c r="J25" s="57"/>
      <c r="K25" t="s" s="58">
        <v>38</v>
      </c>
      <c r="L25" s="59" cm="1">
        <f t="array" ref="L25">SUM(L1:L24)</f>
        <v>180175140.78</v>
      </c>
      <c r="M25" s="59" cm="1">
        <f t="array" ref="M25">SUM(M1:M24)</f>
        <v>180074950.78</v>
      </c>
      <c r="N25" s="59" cm="1">
        <f t="array" ref="N25">SUM(N1:N24)</f>
        <v>180074950.78</v>
      </c>
    </row>
    <row r="26" ht="21" customHeight="1">
      <c r="A26" s="60"/>
      <c r="B26" t="s" s="61">
        <v>39</v>
      </c>
      <c r="C26" s="62"/>
      <c r="D26" s="63" cm="1">
        <f t="array" ref="D26">ROUND(IF(L26&lt;=100000000,L26*0.24%,IF(AND(L26&gt;100000000,L26&lt;=500000000),100000000*0.24%+(L26-100000000)*0.19%,IF(AND(L26&gt;500000000,L26&lt;=1000000000),100000000*0.24%+400000000*0.19%+(L26-500000000)*0.15%,IF(AND(L26&gt;1000000000,L26&lt;=5000000000),100000000*0.24%+400000000*0.19%+500000000*0.15%+(L26-1000000000)*0.12%,IF(L26&gt;5000000000,100000000*0.24%+400000000*0.19%+500000000*0.15%+4000000000*0.12%+(L26-5000000000)*0.1%,"Bingung komputer"))))),2)</f>
        <v>391588.75</v>
      </c>
      <c r="E26" s="64" cm="1">
        <f t="array" ref="E26">ROUND(IF(M26&lt;=100000000,M26*0.24%,IF(AND(M26&gt;100000000,M26&lt;=500000000),100000000*0.24%+(M26-100000000)*0.19%,IF(AND(M26&gt;500000000,M26&lt;=1000000000),100000000*0.24%+400000000*0.19%+(M26-500000000)*0.15%,IF(AND(M26&gt;1000000000,M26&lt;=5000000000),100000000*0.24%+400000000*0.19%+500000000*0.15%+(M26-1000000000)*0.12%,IF(M26&gt;5000000000,100000000*0.24%+400000000*0.19%+500000000*0.15%+4000000000*0.12%+(M26-5000000000)*0.1%,"Bingung komputer"))))),2)</f>
        <v>391398.75</v>
      </c>
      <c r="F26" s="64" cm="1">
        <f t="array" ref="F26">ROUND(IF(N26&lt;=100000000,N26*0.24%,IF(AND(N26&gt;100000000,N26&lt;=500000000),100000000*0.24%+(N26-100000000)*0.19%,IF(AND(N26&gt;500000000,N26&lt;=1000000000),100000000*0.24%+400000000*0.19%+(N26-500000000)*0.15%,IF(AND(N26&gt;1000000000,N26&lt;=5000000000),100000000*0.24%+400000000*0.19%+500000000*0.15%+(N26-1000000000)*0.12%,IF(N26&gt;5000000000,100000000*0.24%+400000000*0.19%+500000000*0.15%+4000000000*0.12%+(N26-5000000000)*0.1%,"Bingung komputer"))))),2)</f>
        <v>391398.75</v>
      </c>
      <c r="G26" s="65"/>
      <c r="H26" s="66"/>
      <c r="I26" s="62"/>
      <c r="J26" s="67"/>
      <c r="K26" t="str" s="67" cm="1">
        <f t="array" ref="K26">"Jumlah Terkena Pajak "&amp;MAX(K3:K24)&amp;"% (B)"</f>
        <v>Jumlah Terkena Pajak 11,00% (B)</v>
      </c>
      <c r="L26" s="68" cm="1">
        <f t="array" ref="L26">SUMIF($K3:$K24,"&gt;0",L3:L24)</f>
        <v>179783551.78</v>
      </c>
      <c r="M26" s="69" cm="1">
        <f t="array" ref="M26">SUMIF($K3:$K24,"&gt;0",M3:M24)</f>
        <v>179683551.78</v>
      </c>
      <c r="N26" s="69" cm="1">
        <f t="array" ref="N26">SUMIF($K3:$K24,"&gt;0",N3:N24)</f>
        <v>179683551.78</v>
      </c>
    </row>
    <row r="27" ht="21" customHeight="1">
      <c r="A27" s="70"/>
      <c r="B27" s="71"/>
      <c r="C27" s="71"/>
      <c r="D27" s="72"/>
      <c r="E27" s="72"/>
      <c r="F27" s="71"/>
      <c r="G27" s="72"/>
      <c r="H27" s="72"/>
      <c r="I27" s="71"/>
      <c r="J27" s="73"/>
      <c r="K27" t="str" s="73" cm="1">
        <f t="array" ref="K27">"PPN (C) = "&amp;MAX(K3:K24)&amp;"% x B"</f>
        <v>PPN (C) = 11,00% x B</v>
      </c>
      <c r="L27" s="74" cm="1">
        <f t="array" ref="L27">L26*MAX($K3:$K24)%</f>
        <v>19776190.6958</v>
      </c>
      <c r="M27" s="69" cm="1">
        <f t="array" ref="M27">M26*MAX($K3:$K24)%</f>
        <v>19765190.6958</v>
      </c>
      <c r="N27" s="69" cm="1">
        <f t="array" ref="N27">N26*MAX($K3:$K24)%</f>
        <v>19765190.6958</v>
      </c>
    </row>
    <row r="28" ht="21" customHeight="1">
      <c r="A28" s="70"/>
      <c r="B28" s="71"/>
      <c r="C28" s="71"/>
      <c r="D28" s="72"/>
      <c r="E28" s="72"/>
      <c r="F28" s="72"/>
      <c r="G28" s="72"/>
      <c r="H28" s="72"/>
      <c r="I28" s="71"/>
      <c r="J28" s="73"/>
      <c r="K28" t="s" s="75">
        <v>42</v>
      </c>
      <c r="L28" s="76" cm="1">
        <f t="array" ref="L28">L25+L27</f>
        <v>199951331.4758</v>
      </c>
      <c r="M28" s="69" cm="1">
        <f t="array" ref="M28">M25+M27</f>
        <v>199840141.4758</v>
      </c>
      <c r="N28" s="69" cm="1">
        <f t="array" ref="N28">N25+N27</f>
        <v>199840141.4758</v>
      </c>
    </row>
    <row r="29" ht="20.5" customHeight="1">
      <c r="A29" s="70"/>
      <c r="B29" s="71"/>
      <c r="C29" s="71"/>
      <c r="D29" s="72"/>
      <c r="E29" s="72"/>
      <c r="F29" s="72"/>
      <c r="G29" s="72"/>
      <c r="H29" s="72"/>
      <c r="I29" s="71"/>
      <c r="J29" s="73"/>
      <c r="K29" t="s" s="75">
        <v>43</v>
      </c>
      <c r="L29" s="68" cm="1">
        <f t="array" ref="L29">ROUNDDOWN(L28,2)</f>
        <v>199951331.47</v>
      </c>
      <c r="M29" s="68" cm="1">
        <f t="array" ref="M29">ROUNDDOWN(M28,2)</f>
        <v>199840141.47</v>
      </c>
      <c r="N29" s="68" cm="1">
        <f t="array" ref="N29">ROUNDDOWN(N28,-3)</f>
        <v>199840000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49.xml><?xml version="1.0" encoding="utf-8"?>
<worksheet xmlns:r="http://schemas.openxmlformats.org/officeDocument/2006/relationships" xmlns="http://schemas.openxmlformats.org/spreadsheetml/2006/main">
  <sheetPr>
    <pageSetUpPr fitToPage="1"/>
  </sheetPr>
  <dimension ref="A1:N31"/>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344" customWidth="1"/>
    <col min="2" max="2" width="43.0312" style="344" customWidth="1"/>
    <col min="3" max="3" width="2.75" style="344" customWidth="1"/>
    <col min="4" max="6" width="10.3672" style="344" customWidth="1"/>
    <col min="7" max="7" width="11.6875" style="344" customWidth="1"/>
    <col min="8" max="11" width="13.5156" style="344" customWidth="1"/>
    <col min="12" max="14" width="14.2344" style="344" customWidth="1"/>
    <col min="15" max="16384" width="16.3516" style="344"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109</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s="95">
        <v>1</v>
      </c>
      <c r="B4" t="s" s="19">
        <v>110</v>
      </c>
      <c r="C4" s="20"/>
      <c r="D4" s="21">
        <v>1</v>
      </c>
      <c r="E4" s="21" cm="1">
        <f t="array" ref="E4">D4</f>
        <v>1</v>
      </c>
      <c r="F4" s="21" cm="1">
        <f t="array" ref="F4">D4</f>
        <v>1</v>
      </c>
      <c r="G4" t="s" s="22">
        <v>19</v>
      </c>
      <c r="H4" s="21" cm="1">
        <f t="array" ref="H4">ROUNDDOWN((F$30*0.1)*100/111,-2)</f>
        <v>8988300</v>
      </c>
      <c r="I4" s="21">
        <v>8990000</v>
      </c>
      <c r="J4" s="21">
        <v>8990000</v>
      </c>
      <c r="K4" s="21">
        <v>11</v>
      </c>
      <c r="L4" s="21" cm="1">
        <f t="array" ref="L4">IF(D4&gt;0,IF($D4&lt;=0,0,D4*H4),"")</f>
        <v>8988300</v>
      </c>
      <c r="M4" s="21" cm="1">
        <f t="array" ref="M4">IF(E4&gt;0,IF($D4&lt;=0,0,ROUND(E4*I4,2)),"")</f>
        <v>8990000</v>
      </c>
      <c r="N4" s="23" cm="1">
        <f t="array" ref="N4">IF(F4&gt;0,IF($D4&lt;=0,0,ROUND(F4*J4,2)),"")</f>
        <v>8990000</v>
      </c>
    </row>
    <row r="5" ht="20.5" customHeight="1">
      <c r="A5" s="95">
        <v>2</v>
      </c>
      <c r="B5" t="s" s="19">
        <v>111</v>
      </c>
      <c r="C5" s="24"/>
      <c r="D5" s="26">
        <v>1</v>
      </c>
      <c r="E5" s="26" cm="1">
        <f t="array" ref="E5">D5</f>
        <v>1</v>
      </c>
      <c r="F5" s="26" cm="1">
        <f t="array" ref="F5">D5</f>
        <v>1</v>
      </c>
      <c r="G5" t="s" s="27">
        <v>19</v>
      </c>
      <c r="H5" s="26" cm="1">
        <f t="array" ref="H5">ROUNDDOWN((F$30*0.2)*100/111,-2)</f>
        <v>17976600</v>
      </c>
      <c r="I5" s="26">
        <v>17980000</v>
      </c>
      <c r="J5" s="26">
        <v>17980000</v>
      </c>
      <c r="K5" s="26">
        <v>11</v>
      </c>
      <c r="L5" s="26" cm="1">
        <f t="array" ref="L5">IF(D5&gt;0,IF($D5&lt;=0,0,D5*H5),"")</f>
        <v>17976600</v>
      </c>
      <c r="M5" s="26" cm="1">
        <f t="array" ref="M5">IF(E5&gt;0,IF($D5&lt;=0,0,ROUND(E5*I5,2)),"")</f>
        <v>17980000</v>
      </c>
      <c r="N5" s="28" cm="1">
        <f t="array" ref="N5">IF(F5&gt;0,IF($D5&lt;=0,0,ROUND(F5*J5,2)),"")</f>
        <v>17980000</v>
      </c>
    </row>
    <row r="6" ht="20.5" customHeight="1">
      <c r="A6" s="95">
        <v>3</v>
      </c>
      <c r="B6" t="s" s="19">
        <v>112</v>
      </c>
      <c r="C6" s="20"/>
      <c r="D6" s="21">
        <v>1</v>
      </c>
      <c r="E6" s="21" cm="1">
        <f t="array" ref="E6">D6</f>
        <v>1</v>
      </c>
      <c r="F6" s="21" cm="1">
        <f t="array" ref="F6">D6</f>
        <v>1</v>
      </c>
      <c r="G6" t="s" s="22">
        <v>19</v>
      </c>
      <c r="H6" s="21" cm="1">
        <f t="array" ref="H6">ROUNDDOWN((F$30*0.25)*100/111,-2)</f>
        <v>22470800</v>
      </c>
      <c r="I6" s="21">
        <v>22470000</v>
      </c>
      <c r="J6" s="21">
        <v>22470000</v>
      </c>
      <c r="K6" s="21">
        <v>11</v>
      </c>
      <c r="L6" s="21" cm="1">
        <f t="array" ref="L6">IF(D6&gt;0,IF($D6&lt;=0,0,D6*H6),"")</f>
        <v>22470800</v>
      </c>
      <c r="M6" s="21" cm="1">
        <f t="array" ref="M6">IF(E6&gt;0,IF($D6&lt;=0,0,ROUND(E6*I6,2)),"")</f>
        <v>22470000</v>
      </c>
      <c r="N6" s="23" cm="1">
        <f t="array" ref="N6">IF(F6&gt;0,IF($D6&lt;=0,0,ROUND(F6*J6,2)),"")</f>
        <v>22470000</v>
      </c>
    </row>
    <row r="7" ht="68.5" customHeight="1">
      <c r="A7" s="95">
        <v>5</v>
      </c>
      <c r="B7" t="s" s="19">
        <v>113</v>
      </c>
      <c r="C7" s="24"/>
      <c r="D7" s="26">
        <v>1</v>
      </c>
      <c r="E7" s="26" cm="1">
        <f t="array" ref="E7">D7</f>
        <v>1</v>
      </c>
      <c r="F7" s="26" cm="1">
        <f t="array" ref="F7">D7</f>
        <v>1</v>
      </c>
      <c r="G7" t="s" s="27">
        <v>19</v>
      </c>
      <c r="H7" s="26" cm="1">
        <f t="array" ref="H7">ROUNDDOWN((F$30*0.25)*100/111,-2)</f>
        <v>22470800</v>
      </c>
      <c r="I7" s="26">
        <v>22470000</v>
      </c>
      <c r="J7" s="26">
        <v>22470000</v>
      </c>
      <c r="K7" s="26">
        <v>11</v>
      </c>
      <c r="L7" s="26" cm="1">
        <f t="array" ref="L7">IF(D7&gt;0,IF($D7&lt;=0,0,D7*H7),"")</f>
        <v>22470800</v>
      </c>
      <c r="M7" s="26" cm="1">
        <f t="array" ref="M7">IF(E7&gt;0,IF($D7&lt;=0,0,ROUND(E7*I7,2)),"")</f>
        <v>22470000</v>
      </c>
      <c r="N7" s="28" cm="1">
        <f t="array" ref="N7">IF(F7&gt;0,IF($D7&lt;=0,0,ROUND(F7*J7,2)),"")</f>
        <v>22470000</v>
      </c>
    </row>
    <row r="8" ht="32.5" customHeight="1">
      <c r="A8" s="95">
        <v>6</v>
      </c>
      <c r="B8" t="s" s="19">
        <v>114</v>
      </c>
      <c r="C8" s="20"/>
      <c r="D8" s="21">
        <v>1</v>
      </c>
      <c r="E8" s="21" cm="1">
        <f t="array" ref="E8">D8</f>
        <v>1</v>
      </c>
      <c r="F8" s="21" cm="1">
        <f t="array" ref="F8">D8</f>
        <v>1</v>
      </c>
      <c r="G8" t="s" s="22">
        <v>19</v>
      </c>
      <c r="H8" s="21" cm="1">
        <f t="array" ref="H8">ROUNDDOWN((F$30*0.05)*100/111,-2)</f>
        <v>4494100</v>
      </c>
      <c r="I8" s="21">
        <v>4490000</v>
      </c>
      <c r="J8" s="21">
        <v>4490000</v>
      </c>
      <c r="K8" s="21">
        <v>11</v>
      </c>
      <c r="L8" s="21" cm="1">
        <f t="array" ref="L8">IF(D8&gt;0,IF($D8&lt;=0,0,D8*H8),"")</f>
        <v>4494100</v>
      </c>
      <c r="M8" s="21" cm="1">
        <f t="array" ref="M8">IF(E8&gt;0,IF($D8&lt;=0,0,ROUND(E8*I8,2)),"")</f>
        <v>4490000</v>
      </c>
      <c r="N8" s="23" cm="1">
        <f t="array" ref="N8">IF(F8&gt;0,IF($D8&lt;=0,0,ROUND(F8*J8,2)),"")</f>
        <v>4490000</v>
      </c>
    </row>
    <row r="9" ht="20.5" customHeight="1">
      <c r="A9" s="95">
        <v>7</v>
      </c>
      <c r="B9" t="s" s="19">
        <v>115</v>
      </c>
      <c r="C9" s="24"/>
      <c r="D9" s="26">
        <v>1</v>
      </c>
      <c r="E9" s="26" cm="1">
        <f t="array" ref="E9">D9</f>
        <v>1</v>
      </c>
      <c r="F9" s="26" cm="1">
        <f t="array" ref="F9">D9</f>
        <v>1</v>
      </c>
      <c r="G9" t="s" s="27">
        <v>19</v>
      </c>
      <c r="H9" s="26" cm="1">
        <f t="array" ref="H9">ROUNDDOWN((F$30*0.15)*100/111,-2)</f>
        <v>13482500</v>
      </c>
      <c r="I9" s="26">
        <v>13430000</v>
      </c>
      <c r="J9" s="26">
        <v>13430000</v>
      </c>
      <c r="K9" s="26">
        <v>11</v>
      </c>
      <c r="L9" s="26" cm="1">
        <f t="array" ref="L9">IF(D9&gt;0,IF($D9&lt;=0,0,D9*H9),"")</f>
        <v>13482500</v>
      </c>
      <c r="M9" s="26" cm="1">
        <f t="array" ref="M9">IF(E9&gt;0,IF($D9&lt;=0,0,ROUND(E9*I9,2)),"")</f>
        <v>13430000</v>
      </c>
      <c r="N9" s="28" cm="1">
        <f t="array" ref="N9">IF(F9&gt;0,IF($D9&lt;=0,0,ROUND(F9*J9,2)),"")</f>
        <v>13430000</v>
      </c>
    </row>
    <row r="10" ht="20.6" customHeight="1">
      <c r="A10" s="33">
        <v>8</v>
      </c>
      <c r="B10" t="s" s="34">
        <v>37</v>
      </c>
      <c r="C10" s="35"/>
      <c r="D10" s="36">
        <v>1</v>
      </c>
      <c r="E10" s="36" cm="1">
        <f t="array" ref="E10">D10</f>
        <v>1</v>
      </c>
      <c r="F10" s="36" cm="1">
        <f t="array" ref="F10">D10</f>
        <v>1</v>
      </c>
      <c r="G10" t="s" s="37">
        <v>19</v>
      </c>
      <c r="H10" s="36">
        <v>215748.96</v>
      </c>
      <c r="I10" s="36">
        <v>215592</v>
      </c>
      <c r="J10" s="36">
        <v>215592</v>
      </c>
      <c r="K10" s="36">
        <v>0</v>
      </c>
      <c r="L10" s="36" cm="1">
        <f t="array" ref="L10">IF(D10&gt;0,IF($D10&lt;=0,0,D10*H10),"")</f>
        <v>215748.96</v>
      </c>
      <c r="M10" s="36" cm="1">
        <f t="array" ref="M10">IF(E10&gt;0,IF($D10&lt;=0,0,ROUND(E10*I10,2)),"")</f>
        <v>215592</v>
      </c>
      <c r="N10" s="38" cm="1">
        <f t="array" ref="N10">IF(F10&gt;0,IF($D10&lt;=0,0,ROUND(F10*J10,2)),"")</f>
        <v>215592</v>
      </c>
    </row>
    <row r="11" ht="8.75" customHeight="1" hidden="1">
      <c r="A11" s="39"/>
      <c r="B11" s="40"/>
      <c r="C11" s="41"/>
      <c r="D11" s="42"/>
      <c r="E11" s="42"/>
      <c r="F11" s="42"/>
      <c r="G11" s="43"/>
      <c r="H11" s="42"/>
      <c r="I11" s="42"/>
      <c r="J11" s="42"/>
      <c r="K11" s="42"/>
      <c r="L11" s="42"/>
      <c r="M11" s="42"/>
      <c r="N11" s="44"/>
    </row>
    <row r="12" ht="8.75" customHeight="1" hidden="1">
      <c r="A12" s="39"/>
      <c r="B12" s="40"/>
      <c r="C12" s="45"/>
      <c r="D12" s="46"/>
      <c r="E12" s="46"/>
      <c r="F12" s="46"/>
      <c r="G12" s="47"/>
      <c r="H12" s="46"/>
      <c r="I12" s="46"/>
      <c r="J12" s="46"/>
      <c r="K12" s="46"/>
      <c r="L12" s="46"/>
      <c r="M12" s="46"/>
      <c r="N12" s="48"/>
    </row>
    <row r="13" ht="8.75" customHeight="1" hidden="1">
      <c r="A13" s="39"/>
      <c r="B13" s="40"/>
      <c r="C13" s="41"/>
      <c r="D13" s="42"/>
      <c r="E13" s="42"/>
      <c r="F13" s="42"/>
      <c r="G13" s="43"/>
      <c r="H13" s="42"/>
      <c r="I13" s="42"/>
      <c r="J13" s="42"/>
      <c r="K13" s="42"/>
      <c r="L13" s="42"/>
      <c r="M13" s="42"/>
      <c r="N13" s="44"/>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2"/>
      <c r="I15" s="42"/>
      <c r="J15" s="42"/>
      <c r="K15" s="42"/>
      <c r="L15" s="42"/>
      <c r="M15" s="42"/>
      <c r="N15" s="44"/>
    </row>
    <row r="16" ht="8.75" customHeight="1" hidden="1">
      <c r="A16" s="39"/>
      <c r="B16" s="40"/>
      <c r="C16" s="45"/>
      <c r="D16" s="46"/>
      <c r="E16" s="46"/>
      <c r="F16" s="46"/>
      <c r="G16" s="47"/>
      <c r="H16" s="46"/>
      <c r="I16" s="46"/>
      <c r="J16" s="46"/>
      <c r="K16" s="46"/>
      <c r="L16" s="46"/>
      <c r="M16" s="46"/>
      <c r="N16" s="48"/>
    </row>
    <row r="17" ht="8.75" customHeight="1" hidden="1">
      <c r="A17" s="39"/>
      <c r="B17" s="40"/>
      <c r="C17" s="41"/>
      <c r="D17" s="42"/>
      <c r="E17" s="42"/>
      <c r="F17" s="42"/>
      <c r="G17" s="43"/>
      <c r="H17" s="43"/>
      <c r="I17" s="43"/>
      <c r="J17" s="43"/>
      <c r="K17" s="42"/>
      <c r="L17" s="43"/>
      <c r="M17" s="43"/>
      <c r="N17" s="49"/>
    </row>
    <row r="18" ht="8.75" customHeight="1" hidden="1">
      <c r="A18" s="39"/>
      <c r="B18" s="40"/>
      <c r="C18" s="45"/>
      <c r="D18" s="46"/>
      <c r="E18" s="46"/>
      <c r="F18" s="46"/>
      <c r="G18" s="47"/>
      <c r="H18" s="50"/>
      <c r="I18" s="50"/>
      <c r="J18" s="50"/>
      <c r="K18" s="46"/>
      <c r="L18" s="46"/>
      <c r="M18" s="46"/>
      <c r="N18" s="48"/>
    </row>
    <row r="19" ht="8.75" customHeight="1" hidden="1">
      <c r="A19" s="39"/>
      <c r="B19" s="40"/>
      <c r="C19" s="41"/>
      <c r="D19" s="42"/>
      <c r="E19" s="42"/>
      <c r="F19" s="42"/>
      <c r="G19" s="43"/>
      <c r="H19" s="43"/>
      <c r="I19" s="43"/>
      <c r="J19" s="43"/>
      <c r="K19" s="42"/>
      <c r="L19" s="43"/>
      <c r="M19" s="43"/>
      <c r="N19" s="49"/>
    </row>
    <row r="20" ht="8.75" customHeight="1" hidden="1">
      <c r="A20" s="39"/>
      <c r="B20" s="40"/>
      <c r="C20" s="45"/>
      <c r="D20" s="46"/>
      <c r="E20" s="46"/>
      <c r="F20" s="46"/>
      <c r="G20" s="47"/>
      <c r="H20" s="46"/>
      <c r="I20" s="46"/>
      <c r="J20" s="46"/>
      <c r="K20" s="46"/>
      <c r="L20" s="46"/>
      <c r="M20" s="46"/>
      <c r="N20" s="48"/>
    </row>
    <row r="21" ht="8.75" customHeight="1" hidden="1">
      <c r="A21" s="39"/>
      <c r="B21" s="40"/>
      <c r="C21" s="41"/>
      <c r="D21" s="42"/>
      <c r="E21" s="42"/>
      <c r="F21" s="42"/>
      <c r="G21" s="43"/>
      <c r="H21" s="42"/>
      <c r="I21" s="42"/>
      <c r="J21" s="42"/>
      <c r="K21" s="42"/>
      <c r="L21" s="42"/>
      <c r="M21" s="42"/>
      <c r="N21" s="44"/>
    </row>
    <row r="22" ht="8.75" customHeight="1" hidden="1">
      <c r="A22" s="51"/>
      <c r="B22" s="40"/>
      <c r="C22" s="45"/>
      <c r="D22" s="46"/>
      <c r="E22" s="46"/>
      <c r="F22" s="46"/>
      <c r="G22" s="47"/>
      <c r="H22" s="46"/>
      <c r="I22" s="46"/>
      <c r="J22" s="46"/>
      <c r="K22" s="46"/>
      <c r="L22" s="46"/>
      <c r="M22" s="46"/>
      <c r="N22" s="48"/>
    </row>
    <row r="23" ht="8.75" customHeight="1" hidden="1">
      <c r="A23" s="51"/>
      <c r="B23" s="40"/>
      <c r="C23" s="41"/>
      <c r="D23" s="42"/>
      <c r="E23" s="42"/>
      <c r="F23" s="42"/>
      <c r="G23" s="43"/>
      <c r="H23" s="42"/>
      <c r="I23" s="42"/>
      <c r="J23" s="42"/>
      <c r="K23" s="42"/>
      <c r="L23" s="42"/>
      <c r="M23" s="42"/>
      <c r="N23" s="44"/>
    </row>
    <row r="24" ht="8.75" customHeight="1" hidden="1">
      <c r="A24" s="39"/>
      <c r="B24" s="40"/>
      <c r="C24" s="45"/>
      <c r="D24" s="46"/>
      <c r="E24" s="46"/>
      <c r="F24" s="46"/>
      <c r="G24" s="47"/>
      <c r="H24" s="46"/>
      <c r="I24" s="46"/>
      <c r="J24" s="46"/>
      <c r="K24" s="46"/>
      <c r="L24" s="47"/>
      <c r="M24" s="47"/>
      <c r="N24" s="52"/>
    </row>
    <row r="25" ht="8.75" customHeight="1" hidden="1">
      <c r="A25" s="39"/>
      <c r="B25" s="40"/>
      <c r="C25" s="41"/>
      <c r="D25" s="42"/>
      <c r="E25" s="42"/>
      <c r="F25" s="42"/>
      <c r="G25" s="43"/>
      <c r="H25" s="42"/>
      <c r="I25" s="42"/>
      <c r="J25" s="42"/>
      <c r="K25" s="42"/>
      <c r="L25" s="42"/>
      <c r="M25" s="42"/>
      <c r="N25" s="44"/>
    </row>
    <row r="26" ht="8.75" customHeight="1" hidden="1">
      <c r="A26" s="39"/>
      <c r="B26" s="40"/>
      <c r="C26" s="45"/>
      <c r="D26" s="46"/>
      <c r="E26" s="46"/>
      <c r="F26" s="46"/>
      <c r="G26" s="47"/>
      <c r="H26" s="46"/>
      <c r="I26" s="46"/>
      <c r="J26" s="46"/>
      <c r="K26" s="46"/>
      <c r="L26" s="47"/>
      <c r="M26" s="47"/>
      <c r="N26" s="52"/>
    </row>
    <row r="27" ht="20.85" customHeight="1">
      <c r="A27" s="108"/>
      <c r="B27" s="54"/>
      <c r="C27" s="54"/>
      <c r="D27" s="55"/>
      <c r="E27" s="55"/>
      <c r="F27" s="55"/>
      <c r="G27" s="56"/>
      <c r="H27" s="56"/>
      <c r="I27" s="54"/>
      <c r="J27" s="57"/>
      <c r="K27" t="s" s="58">
        <v>38</v>
      </c>
      <c r="L27" s="59" cm="1">
        <f t="array" ref="L27">SUM(L1:L26)</f>
        <v>90098848.95999999</v>
      </c>
      <c r="M27" s="59" cm="1">
        <f t="array" ref="M27">SUM(M1:M26)</f>
        <v>90045592</v>
      </c>
      <c r="N27" s="59" cm="1">
        <f t="array" ref="N27">SUM(N1:N26)</f>
        <v>90045592</v>
      </c>
    </row>
    <row r="28" ht="21" customHeight="1">
      <c r="A28" s="63" cm="1">
        <f t="array" ref="A28">ROUND(IF(I28&lt;=100000000,I28*0.24%,IF(AND(I28&gt;100000000,I28&lt;=500000000),100000000*0.24%+(I28-100000000)*0.19%,IF(AND(I28&gt;500000000,I28&lt;=1000000000),100000000*0.24%+400000000*0.19%+(I28-500000000)*0.15%,IF(AND(I28&gt;1000000000,I28&lt;=5000000000),100000000*0.24%+400000000*0.19%+500000000*0.15%+(I28-1000000000)*0.12%,IF(I28&gt;5000000000,100000000*0.24%+400000000*0.19%+500000000*0.15%+4000000000*0.12%+(I28-5000000000)*0.1%,"Bingung komputer"))))),2)</f>
        <v>0</v>
      </c>
      <c r="B28" t="s" s="109">
        <v>39</v>
      </c>
      <c r="C28" s="62"/>
      <c r="D28" s="63" cm="1">
        <f t="array" ref="D28">ROUND(IF(L28&lt;=100000000,L28*0.24%,IF(AND(L28&gt;100000000,L28&lt;=500000000),100000000*0.24%+(L28-100000000)*0.19%,IF(AND(L28&gt;500000000,L28&lt;=1000000000),100000000*0.24%+400000000*0.19%+(L28-500000000)*0.15%,IF(AND(L28&gt;1000000000,L28&lt;=5000000000),100000000*0.24%+400000000*0.19%+500000000*0.15%+(L28-1000000000)*0.12%,IF(L28&gt;5000000000,100000000*0.24%+400000000*0.19%+500000000*0.15%+4000000000*0.12%+(L28-5000000000)*0.1%,"Bingung komputer"))))),2)</f>
        <v>215719.44</v>
      </c>
      <c r="E28" s="64" cm="1">
        <f t="array" ref="E28">ROUND(IF(M28&lt;=100000000,M28*0.24%,IF(AND(M28&gt;100000000,M28&lt;=500000000),100000000*0.24%+(M28-100000000)*0.19%,IF(AND(M28&gt;500000000,M28&lt;=1000000000),100000000*0.24%+400000000*0.19%+(M28-500000000)*0.15%,IF(AND(M28&gt;1000000000,M28&lt;=5000000000),100000000*0.24%+400000000*0.19%+500000000*0.15%+(M28-1000000000)*0.12%,IF(M28&gt;5000000000,100000000*0.24%+400000000*0.19%+500000000*0.15%+4000000000*0.12%+(M28-5000000000)*0.1%,"Bingung komputer"))))),2)</f>
        <v>215592</v>
      </c>
      <c r="F28" s="64" cm="1">
        <f t="array" ref="F28">ROUND(IF(N28&lt;=100000000,N28*0.24%,IF(AND(N28&gt;100000000,N28&lt;=500000000),100000000*0.24%+(N28-100000000)*0.19%,IF(AND(N28&gt;500000000,N28&lt;=1000000000),100000000*0.24%+400000000*0.19%+(N28-500000000)*0.15%,IF(AND(N28&gt;1000000000,N28&lt;=5000000000),100000000*0.24%+400000000*0.19%+500000000*0.15%+(N28-1000000000)*0.12%,IF(N28&gt;5000000000,100000000*0.24%+400000000*0.19%+500000000*0.15%+4000000000*0.12%+(N28-5000000000)*0.1%,"Bingung komputer"))))),2)</f>
        <v>215592</v>
      </c>
      <c r="G28" s="65"/>
      <c r="H28" s="66"/>
      <c r="I28" s="68"/>
      <c r="J28" s="67"/>
      <c r="K28" t="str" s="67" cm="1">
        <f t="array" ref="K28">"Jumlah Terkena Pajak "&amp;MAX(K3:K26)&amp;"% (B)"</f>
        <v>Jumlah Terkena Pajak 11,00% (B)</v>
      </c>
      <c r="L28" s="68" cm="1">
        <f t="array" ref="L28">SUMIF($K3:$K26,"&gt;0",L3:L26)</f>
        <v>89883100</v>
      </c>
      <c r="M28" s="69" cm="1">
        <f t="array" ref="M28">SUMIF($K3:$K26,"&gt;0",M3:M26)</f>
        <v>89830000</v>
      </c>
      <c r="N28" s="69" cm="1">
        <f t="array" ref="N28">SUMIF($K3:$K26,"&gt;0",N3:N26)</f>
        <v>89830000</v>
      </c>
    </row>
    <row r="29" ht="21" customHeight="1">
      <c r="A29" s="70"/>
      <c r="B29" s="71"/>
      <c r="C29" s="71"/>
      <c r="D29" s="72"/>
      <c r="E29" s="72"/>
      <c r="F29" s="71"/>
      <c r="G29" s="72"/>
      <c r="H29" s="72"/>
      <c r="I29" s="74"/>
      <c r="J29" s="73"/>
      <c r="K29" t="str" s="73" cm="1">
        <f t="array" ref="K29">"PPN (C) = "&amp;MAX(K3:K26)&amp;"% x B"</f>
        <v>PPN (C) = 11,00% x B</v>
      </c>
      <c r="L29" s="74" cm="1">
        <f t="array" ref="L29">L28*MAX($K3:$K26)%</f>
        <v>9887141</v>
      </c>
      <c r="M29" s="69" cm="1">
        <f t="array" ref="M29">M28*MAX($K3:$K26)%</f>
        <v>9881300</v>
      </c>
      <c r="N29" s="69" cm="1">
        <f t="array" ref="N29">N28*MAX($K3:$K26)%</f>
        <v>9881300</v>
      </c>
    </row>
    <row r="30" ht="21" customHeight="1">
      <c r="A30" s="70"/>
      <c r="B30" s="71"/>
      <c r="C30" s="71"/>
      <c r="D30" t="s" s="110">
        <v>116</v>
      </c>
      <c r="E30" s="112">
        <v>100000000</v>
      </c>
      <c r="F30" s="112">
        <v>99770500</v>
      </c>
      <c r="G30" s="72"/>
      <c r="H30" s="72"/>
      <c r="I30" s="71"/>
      <c r="J30" s="73"/>
      <c r="K30" t="s" s="75">
        <v>42</v>
      </c>
      <c r="L30" s="76" cm="1">
        <f t="array" ref="L30">L27+L29</f>
        <v>99985989.95999999</v>
      </c>
      <c r="M30" s="69" cm="1">
        <f t="array" ref="M30">M27+M29</f>
        <v>99926892</v>
      </c>
      <c r="N30" s="69" cm="1">
        <f t="array" ref="N30">N27+N29</f>
        <v>99926892</v>
      </c>
    </row>
    <row r="31" ht="20.5" customHeight="1">
      <c r="A31" s="70"/>
      <c r="B31" s="71"/>
      <c r="C31" s="71"/>
      <c r="D31" s="72"/>
      <c r="E31" s="72" cm="1">
        <f t="array" ref="E31">E$30-L$31</f>
        <v>14010.04</v>
      </c>
      <c r="F31" s="113" cm="1">
        <f t="array" ref="F31">ROUNDDOWN(E$30-D$28,2)</f>
        <v>99784280.56</v>
      </c>
      <c r="G31" s="72"/>
      <c r="H31" s="72"/>
      <c r="I31" s="71"/>
      <c r="J31" s="73"/>
      <c r="K31" t="s" s="75">
        <v>43</v>
      </c>
      <c r="L31" s="68" cm="1">
        <f t="array" ref="L31">ROUNDDOWN(L30,2)</f>
        <v>99985989.95999999</v>
      </c>
      <c r="M31" s="68" cm="1">
        <f t="array" ref="M31">ROUNDDOWN(M30,2)</f>
        <v>99926892</v>
      </c>
      <c r="N31" s="68" cm="1">
        <f t="array" ref="N31">ROUNDDOWN(N30,-3)</f>
        <v>99926000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50.xml><?xml version="1.0" encoding="utf-8"?>
<worksheet xmlns:r="http://schemas.openxmlformats.org/officeDocument/2006/relationships" xmlns="http://schemas.openxmlformats.org/spreadsheetml/2006/main">
  <sheetPr>
    <pageSetUpPr fitToPage="1"/>
  </sheetPr>
  <dimension ref="A1:N31"/>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345" customWidth="1"/>
    <col min="2" max="2" width="43.0312" style="345" customWidth="1"/>
    <col min="3" max="3" width="2.75" style="345" customWidth="1"/>
    <col min="4" max="6" width="10.3672" style="345" customWidth="1"/>
    <col min="7" max="7" width="11.6875" style="345" customWidth="1"/>
    <col min="8" max="11" width="13.5156" style="345" customWidth="1"/>
    <col min="12" max="14" width="14.2344" style="345" customWidth="1"/>
    <col min="15" max="16384" width="16.3516" style="345"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109</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s="95">
        <v>1</v>
      </c>
      <c r="B4" t="s" s="19">
        <v>110</v>
      </c>
      <c r="C4" s="20"/>
      <c r="D4" s="21">
        <v>1</v>
      </c>
      <c r="E4" s="21" cm="1">
        <f t="array" ref="E4">D4</f>
        <v>1</v>
      </c>
      <c r="F4" s="21" cm="1">
        <f t="array" ref="F4">D4</f>
        <v>1</v>
      </c>
      <c r="G4" t="s" s="22">
        <v>19</v>
      </c>
      <c r="H4" s="21" cm="1">
        <f t="array" ref="H4">ROUNDDOWN((F$30*0.1)*100/111,-2)</f>
        <v>8988300</v>
      </c>
      <c r="I4" s="21">
        <v>8990000</v>
      </c>
      <c r="J4" s="21">
        <v>8990000</v>
      </c>
      <c r="K4" s="21">
        <v>11</v>
      </c>
      <c r="L4" s="21" cm="1">
        <f t="array" ref="L4">IF(D4&gt;0,IF($D4&lt;=0,0,D4*H4),"")</f>
        <v>8988300</v>
      </c>
      <c r="M4" s="21" cm="1">
        <f t="array" ref="M4">IF(E4&gt;0,IF($D4&lt;=0,0,ROUND(E4*I4,2)),"")</f>
        <v>8990000</v>
      </c>
      <c r="N4" s="23" cm="1">
        <f t="array" ref="N4">IF(F4&gt;0,IF($D4&lt;=0,0,ROUND(F4*J4,2)),"")</f>
        <v>8990000</v>
      </c>
    </row>
    <row r="5" ht="20.5" customHeight="1">
      <c r="A5" s="95">
        <v>2</v>
      </c>
      <c r="B5" t="s" s="19">
        <v>111</v>
      </c>
      <c r="C5" s="24"/>
      <c r="D5" s="26">
        <v>1</v>
      </c>
      <c r="E5" s="26" cm="1">
        <f t="array" ref="E5">D5</f>
        <v>1</v>
      </c>
      <c r="F5" s="26" cm="1">
        <f t="array" ref="F5">D5</f>
        <v>1</v>
      </c>
      <c r="G5" t="s" s="27">
        <v>19</v>
      </c>
      <c r="H5" s="26" cm="1">
        <f t="array" ref="H5">ROUNDDOWN((F$30*0.2)*100/111,-2)</f>
        <v>17976600</v>
      </c>
      <c r="I5" s="26">
        <v>17980000</v>
      </c>
      <c r="J5" s="26">
        <v>17980000</v>
      </c>
      <c r="K5" s="26">
        <v>11</v>
      </c>
      <c r="L5" s="26" cm="1">
        <f t="array" ref="L5">IF(D5&gt;0,IF($D5&lt;=0,0,D5*H5),"")</f>
        <v>17976600</v>
      </c>
      <c r="M5" s="26" cm="1">
        <f t="array" ref="M5">IF(E5&gt;0,IF($D5&lt;=0,0,ROUND(E5*I5,2)),"")</f>
        <v>17980000</v>
      </c>
      <c r="N5" s="28" cm="1">
        <f t="array" ref="N5">IF(F5&gt;0,IF($D5&lt;=0,0,ROUND(F5*J5,2)),"")</f>
        <v>17980000</v>
      </c>
    </row>
    <row r="6" ht="20.5" customHeight="1">
      <c r="A6" s="95">
        <v>3</v>
      </c>
      <c r="B6" t="s" s="19">
        <v>112</v>
      </c>
      <c r="C6" s="20"/>
      <c r="D6" s="21">
        <v>1</v>
      </c>
      <c r="E6" s="21" cm="1">
        <f t="array" ref="E6">D6</f>
        <v>1</v>
      </c>
      <c r="F6" s="21" cm="1">
        <f t="array" ref="F6">D6</f>
        <v>1</v>
      </c>
      <c r="G6" t="s" s="22">
        <v>19</v>
      </c>
      <c r="H6" s="21" cm="1">
        <f t="array" ref="H6">ROUNDDOWN((F$30*0.25)*100/111,-2)</f>
        <v>22470800</v>
      </c>
      <c r="I6" s="21">
        <v>22470000</v>
      </c>
      <c r="J6" s="21">
        <v>22470000</v>
      </c>
      <c r="K6" s="21">
        <v>11</v>
      </c>
      <c r="L6" s="21" cm="1">
        <f t="array" ref="L6">IF(D6&gt;0,IF($D6&lt;=0,0,D6*H6),"")</f>
        <v>22470800</v>
      </c>
      <c r="M6" s="21" cm="1">
        <f t="array" ref="M6">IF(E6&gt;0,IF($D6&lt;=0,0,ROUND(E6*I6,2)),"")</f>
        <v>22470000</v>
      </c>
      <c r="N6" s="23" cm="1">
        <f t="array" ref="N6">IF(F6&gt;0,IF($D6&lt;=0,0,ROUND(F6*J6,2)),"")</f>
        <v>22470000</v>
      </c>
    </row>
    <row r="7" ht="68.5" customHeight="1">
      <c r="A7" s="95">
        <v>5</v>
      </c>
      <c r="B7" t="s" s="19">
        <v>113</v>
      </c>
      <c r="C7" s="24"/>
      <c r="D7" s="26">
        <v>1</v>
      </c>
      <c r="E7" s="26" cm="1">
        <f t="array" ref="E7">D7</f>
        <v>1</v>
      </c>
      <c r="F7" s="26" cm="1">
        <f t="array" ref="F7">D7</f>
        <v>1</v>
      </c>
      <c r="G7" t="s" s="27">
        <v>19</v>
      </c>
      <c r="H7" s="26" cm="1">
        <f t="array" ref="H7">ROUNDDOWN((F$30*0.25)*100/111,-2)</f>
        <v>22470800</v>
      </c>
      <c r="I7" s="26">
        <v>22470000</v>
      </c>
      <c r="J7" s="26">
        <v>22470000</v>
      </c>
      <c r="K7" s="26">
        <v>11</v>
      </c>
      <c r="L7" s="26" cm="1">
        <f t="array" ref="L7">IF(D7&gt;0,IF($D7&lt;=0,0,D7*H7),"")</f>
        <v>22470800</v>
      </c>
      <c r="M7" s="26" cm="1">
        <f t="array" ref="M7">IF(E7&gt;0,IF($D7&lt;=0,0,ROUND(E7*I7,2)),"")</f>
        <v>22470000</v>
      </c>
      <c r="N7" s="28" cm="1">
        <f t="array" ref="N7">IF(F7&gt;0,IF($D7&lt;=0,0,ROUND(F7*J7,2)),"")</f>
        <v>22470000</v>
      </c>
    </row>
    <row r="8" ht="32.5" customHeight="1">
      <c r="A8" s="95">
        <v>6</v>
      </c>
      <c r="B8" t="s" s="19">
        <v>114</v>
      </c>
      <c r="C8" s="20"/>
      <c r="D8" s="21">
        <v>1</v>
      </c>
      <c r="E8" s="21" cm="1">
        <f t="array" ref="E8">D8</f>
        <v>1</v>
      </c>
      <c r="F8" s="21" cm="1">
        <f t="array" ref="F8">D8</f>
        <v>1</v>
      </c>
      <c r="G8" t="s" s="22">
        <v>19</v>
      </c>
      <c r="H8" s="21" cm="1">
        <f t="array" ref="H8">ROUNDDOWN((F$30*0.05)*100/111,-2)</f>
        <v>4494100</v>
      </c>
      <c r="I8" s="21">
        <v>4490000</v>
      </c>
      <c r="J8" s="21">
        <v>4490000</v>
      </c>
      <c r="K8" s="21">
        <v>11</v>
      </c>
      <c r="L8" s="21" cm="1">
        <f t="array" ref="L8">IF(D8&gt;0,IF($D8&lt;=0,0,D8*H8),"")</f>
        <v>4494100</v>
      </c>
      <c r="M8" s="21" cm="1">
        <f t="array" ref="M8">IF(E8&gt;0,IF($D8&lt;=0,0,ROUND(E8*I8,2)),"")</f>
        <v>4490000</v>
      </c>
      <c r="N8" s="23" cm="1">
        <f t="array" ref="N8">IF(F8&gt;0,IF($D8&lt;=0,0,ROUND(F8*J8,2)),"")</f>
        <v>4490000</v>
      </c>
    </row>
    <row r="9" ht="20.5" customHeight="1">
      <c r="A9" s="95">
        <v>7</v>
      </c>
      <c r="B9" t="s" s="19">
        <v>115</v>
      </c>
      <c r="C9" s="24"/>
      <c r="D9" s="26">
        <v>1</v>
      </c>
      <c r="E9" s="26" cm="1">
        <f t="array" ref="E9">D9</f>
        <v>1</v>
      </c>
      <c r="F9" s="26" cm="1">
        <f t="array" ref="F9">D9</f>
        <v>1</v>
      </c>
      <c r="G9" t="s" s="27">
        <v>19</v>
      </c>
      <c r="H9" s="26" cm="1">
        <f t="array" ref="H9">ROUNDDOWN((F$30*0.15)*100/111,-2)</f>
        <v>13482500</v>
      </c>
      <c r="I9" s="26">
        <v>13430000</v>
      </c>
      <c r="J9" s="26">
        <v>13430000</v>
      </c>
      <c r="K9" s="26">
        <v>11</v>
      </c>
      <c r="L9" s="26" cm="1">
        <f t="array" ref="L9">IF(D9&gt;0,IF($D9&lt;=0,0,D9*H9),"")</f>
        <v>13482500</v>
      </c>
      <c r="M9" s="26" cm="1">
        <f t="array" ref="M9">IF(E9&gt;0,IF($D9&lt;=0,0,ROUND(E9*I9,2)),"")</f>
        <v>13430000</v>
      </c>
      <c r="N9" s="28" cm="1">
        <f t="array" ref="N9">IF(F9&gt;0,IF($D9&lt;=0,0,ROUND(F9*J9,2)),"")</f>
        <v>13430000</v>
      </c>
    </row>
    <row r="10" ht="20.6" customHeight="1">
      <c r="A10" s="33">
        <v>8</v>
      </c>
      <c r="B10" t="s" s="34">
        <v>37</v>
      </c>
      <c r="C10" s="35"/>
      <c r="D10" s="36">
        <v>1</v>
      </c>
      <c r="E10" s="36" cm="1">
        <f t="array" ref="E10">D10</f>
        <v>1</v>
      </c>
      <c r="F10" s="36" cm="1">
        <f t="array" ref="F10">D10</f>
        <v>1</v>
      </c>
      <c r="G10" t="s" s="37">
        <v>19</v>
      </c>
      <c r="H10" s="36">
        <v>215748.96</v>
      </c>
      <c r="I10" s="36">
        <v>215592</v>
      </c>
      <c r="J10" s="36">
        <v>215592</v>
      </c>
      <c r="K10" s="36">
        <v>0</v>
      </c>
      <c r="L10" s="36" cm="1">
        <f t="array" ref="L10">IF(D10&gt;0,IF($D10&lt;=0,0,D10*H10),"")</f>
        <v>215748.96</v>
      </c>
      <c r="M10" s="36" cm="1">
        <f t="array" ref="M10">IF(E10&gt;0,IF($D10&lt;=0,0,ROUND(E10*I10,2)),"")</f>
        <v>215592</v>
      </c>
      <c r="N10" s="38" cm="1">
        <f t="array" ref="N10">IF(F10&gt;0,IF($D10&lt;=0,0,ROUND(F10*J10,2)),"")</f>
        <v>215592</v>
      </c>
    </row>
    <row r="11" ht="8.75" customHeight="1" hidden="1">
      <c r="A11" s="39"/>
      <c r="B11" s="40"/>
      <c r="C11" s="41"/>
      <c r="D11" s="42"/>
      <c r="E11" s="42"/>
      <c r="F11" s="42"/>
      <c r="G11" s="43"/>
      <c r="H11" s="42"/>
      <c r="I11" s="42"/>
      <c r="J11" s="42"/>
      <c r="K11" s="42"/>
      <c r="L11" s="42"/>
      <c r="M11" s="42"/>
      <c r="N11" s="44"/>
    </row>
    <row r="12" ht="8.75" customHeight="1" hidden="1">
      <c r="A12" s="39"/>
      <c r="B12" s="40"/>
      <c r="C12" s="45"/>
      <c r="D12" s="46"/>
      <c r="E12" s="46"/>
      <c r="F12" s="46"/>
      <c r="G12" s="47"/>
      <c r="H12" s="46"/>
      <c r="I12" s="46"/>
      <c r="J12" s="46"/>
      <c r="K12" s="46"/>
      <c r="L12" s="46"/>
      <c r="M12" s="46"/>
      <c r="N12" s="48"/>
    </row>
    <row r="13" ht="8.75" customHeight="1" hidden="1">
      <c r="A13" s="39"/>
      <c r="B13" s="40"/>
      <c r="C13" s="41"/>
      <c r="D13" s="42"/>
      <c r="E13" s="42"/>
      <c r="F13" s="42"/>
      <c r="G13" s="43"/>
      <c r="H13" s="42"/>
      <c r="I13" s="42"/>
      <c r="J13" s="42"/>
      <c r="K13" s="42"/>
      <c r="L13" s="42"/>
      <c r="M13" s="42"/>
      <c r="N13" s="44"/>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2"/>
      <c r="I15" s="42"/>
      <c r="J15" s="42"/>
      <c r="K15" s="42"/>
      <c r="L15" s="42"/>
      <c r="M15" s="42"/>
      <c r="N15" s="44"/>
    </row>
    <row r="16" ht="8.75" customHeight="1" hidden="1">
      <c r="A16" s="39"/>
      <c r="B16" s="40"/>
      <c r="C16" s="45"/>
      <c r="D16" s="46"/>
      <c r="E16" s="46"/>
      <c r="F16" s="46"/>
      <c r="G16" s="47"/>
      <c r="H16" s="46"/>
      <c r="I16" s="46"/>
      <c r="J16" s="46"/>
      <c r="K16" s="46"/>
      <c r="L16" s="46"/>
      <c r="M16" s="46"/>
      <c r="N16" s="48"/>
    </row>
    <row r="17" ht="8.75" customHeight="1" hidden="1">
      <c r="A17" s="39"/>
      <c r="B17" s="40"/>
      <c r="C17" s="41"/>
      <c r="D17" s="42"/>
      <c r="E17" s="42"/>
      <c r="F17" s="42"/>
      <c r="G17" s="43"/>
      <c r="H17" s="43"/>
      <c r="I17" s="43"/>
      <c r="J17" s="43"/>
      <c r="K17" s="42"/>
      <c r="L17" s="43"/>
      <c r="M17" s="43"/>
      <c r="N17" s="49"/>
    </row>
    <row r="18" ht="8.75" customHeight="1" hidden="1">
      <c r="A18" s="39"/>
      <c r="B18" s="40"/>
      <c r="C18" s="45"/>
      <c r="D18" s="46"/>
      <c r="E18" s="46"/>
      <c r="F18" s="46"/>
      <c r="G18" s="47"/>
      <c r="H18" s="50"/>
      <c r="I18" s="50"/>
      <c r="J18" s="50"/>
      <c r="K18" s="46"/>
      <c r="L18" s="46"/>
      <c r="M18" s="46"/>
      <c r="N18" s="48"/>
    </row>
    <row r="19" ht="8.75" customHeight="1" hidden="1">
      <c r="A19" s="39"/>
      <c r="B19" s="40"/>
      <c r="C19" s="41"/>
      <c r="D19" s="42"/>
      <c r="E19" s="42"/>
      <c r="F19" s="42"/>
      <c r="G19" s="43"/>
      <c r="H19" s="43"/>
      <c r="I19" s="43"/>
      <c r="J19" s="43"/>
      <c r="K19" s="42"/>
      <c r="L19" s="43"/>
      <c r="M19" s="43"/>
      <c r="N19" s="49"/>
    </row>
    <row r="20" ht="8.75" customHeight="1" hidden="1">
      <c r="A20" s="39"/>
      <c r="B20" s="40"/>
      <c r="C20" s="45"/>
      <c r="D20" s="46"/>
      <c r="E20" s="46"/>
      <c r="F20" s="46"/>
      <c r="G20" s="47"/>
      <c r="H20" s="46"/>
      <c r="I20" s="46"/>
      <c r="J20" s="46"/>
      <c r="K20" s="46"/>
      <c r="L20" s="46"/>
      <c r="M20" s="46"/>
      <c r="N20" s="48"/>
    </row>
    <row r="21" ht="8.75" customHeight="1" hidden="1">
      <c r="A21" s="39"/>
      <c r="B21" s="40"/>
      <c r="C21" s="41"/>
      <c r="D21" s="42"/>
      <c r="E21" s="42"/>
      <c r="F21" s="42"/>
      <c r="G21" s="43"/>
      <c r="H21" s="42"/>
      <c r="I21" s="42"/>
      <c r="J21" s="42"/>
      <c r="K21" s="42"/>
      <c r="L21" s="42"/>
      <c r="M21" s="42"/>
      <c r="N21" s="44"/>
    </row>
    <row r="22" ht="8.75" customHeight="1" hidden="1">
      <c r="A22" s="51"/>
      <c r="B22" s="40"/>
      <c r="C22" s="45"/>
      <c r="D22" s="46"/>
      <c r="E22" s="46"/>
      <c r="F22" s="46"/>
      <c r="G22" s="47"/>
      <c r="H22" s="46"/>
      <c r="I22" s="46"/>
      <c r="J22" s="46"/>
      <c r="K22" s="46"/>
      <c r="L22" s="46"/>
      <c r="M22" s="46"/>
      <c r="N22" s="48"/>
    </row>
    <row r="23" ht="8.75" customHeight="1" hidden="1">
      <c r="A23" s="51"/>
      <c r="B23" s="40"/>
      <c r="C23" s="41"/>
      <c r="D23" s="42"/>
      <c r="E23" s="42"/>
      <c r="F23" s="42"/>
      <c r="G23" s="43"/>
      <c r="H23" s="42"/>
      <c r="I23" s="42"/>
      <c r="J23" s="42"/>
      <c r="K23" s="42"/>
      <c r="L23" s="42"/>
      <c r="M23" s="42"/>
      <c r="N23" s="44"/>
    </row>
    <row r="24" ht="8.75" customHeight="1" hidden="1">
      <c r="A24" s="39"/>
      <c r="B24" s="40"/>
      <c r="C24" s="45"/>
      <c r="D24" s="46"/>
      <c r="E24" s="46"/>
      <c r="F24" s="46"/>
      <c r="G24" s="47"/>
      <c r="H24" s="46"/>
      <c r="I24" s="46"/>
      <c r="J24" s="46"/>
      <c r="K24" s="46"/>
      <c r="L24" s="47"/>
      <c r="M24" s="47"/>
      <c r="N24" s="52"/>
    </row>
    <row r="25" ht="8.75" customHeight="1" hidden="1">
      <c r="A25" s="39"/>
      <c r="B25" s="40"/>
      <c r="C25" s="41"/>
      <c r="D25" s="42"/>
      <c r="E25" s="42"/>
      <c r="F25" s="42"/>
      <c r="G25" s="43"/>
      <c r="H25" s="42"/>
      <c r="I25" s="42"/>
      <c r="J25" s="42"/>
      <c r="K25" s="42"/>
      <c r="L25" s="42"/>
      <c r="M25" s="42"/>
      <c r="N25" s="44"/>
    </row>
    <row r="26" ht="8.75" customHeight="1" hidden="1">
      <c r="A26" s="39"/>
      <c r="B26" s="40"/>
      <c r="C26" s="45"/>
      <c r="D26" s="46"/>
      <c r="E26" s="46"/>
      <c r="F26" s="46"/>
      <c r="G26" s="47"/>
      <c r="H26" s="46"/>
      <c r="I26" s="46"/>
      <c r="J26" s="46"/>
      <c r="K26" s="46"/>
      <c r="L26" s="47"/>
      <c r="M26" s="47"/>
      <c r="N26" s="52"/>
    </row>
    <row r="27" ht="20.85" customHeight="1">
      <c r="A27" s="108"/>
      <c r="B27" s="54"/>
      <c r="C27" s="54"/>
      <c r="D27" s="55"/>
      <c r="E27" s="55"/>
      <c r="F27" s="55"/>
      <c r="G27" s="56"/>
      <c r="H27" s="56"/>
      <c r="I27" s="54"/>
      <c r="J27" s="57"/>
      <c r="K27" t="s" s="58">
        <v>38</v>
      </c>
      <c r="L27" s="59" cm="1">
        <f t="array" ref="L27">SUM(L1:L26)</f>
        <v>90098848.95999999</v>
      </c>
      <c r="M27" s="59" cm="1">
        <f t="array" ref="M27">SUM(M1:M26)</f>
        <v>90045592</v>
      </c>
      <c r="N27" s="59" cm="1">
        <f t="array" ref="N27">SUM(N1:N26)</f>
        <v>90045592</v>
      </c>
    </row>
    <row r="28" ht="21" customHeight="1">
      <c r="A28" s="63" cm="1">
        <f t="array" ref="A28">ROUND(IF(I28&lt;=100000000,I28*0.24%,IF(AND(I28&gt;100000000,I28&lt;=500000000),100000000*0.24%+(I28-100000000)*0.19%,IF(AND(I28&gt;500000000,I28&lt;=1000000000),100000000*0.24%+400000000*0.19%+(I28-500000000)*0.15%,IF(AND(I28&gt;1000000000,I28&lt;=5000000000),100000000*0.24%+400000000*0.19%+500000000*0.15%+(I28-1000000000)*0.12%,IF(I28&gt;5000000000,100000000*0.24%+400000000*0.19%+500000000*0.15%+4000000000*0.12%+(I28-5000000000)*0.1%,"Bingung komputer"))))),2)</f>
        <v>0</v>
      </c>
      <c r="B28" t="s" s="109">
        <v>39</v>
      </c>
      <c r="C28" s="62"/>
      <c r="D28" s="63" cm="1">
        <f t="array" ref="D28">ROUND(IF(L28&lt;=100000000,L28*0.24%,IF(AND(L28&gt;100000000,L28&lt;=500000000),100000000*0.24%+(L28-100000000)*0.19%,IF(AND(L28&gt;500000000,L28&lt;=1000000000),100000000*0.24%+400000000*0.19%+(L28-500000000)*0.15%,IF(AND(L28&gt;1000000000,L28&lt;=5000000000),100000000*0.24%+400000000*0.19%+500000000*0.15%+(L28-1000000000)*0.12%,IF(L28&gt;5000000000,100000000*0.24%+400000000*0.19%+500000000*0.15%+4000000000*0.12%+(L28-5000000000)*0.1%,"Bingung komputer"))))),2)</f>
        <v>215719.44</v>
      </c>
      <c r="E28" s="64" cm="1">
        <f t="array" ref="E28">ROUND(IF(M28&lt;=100000000,M28*0.24%,IF(AND(M28&gt;100000000,M28&lt;=500000000),100000000*0.24%+(M28-100000000)*0.19%,IF(AND(M28&gt;500000000,M28&lt;=1000000000),100000000*0.24%+400000000*0.19%+(M28-500000000)*0.15%,IF(AND(M28&gt;1000000000,M28&lt;=5000000000),100000000*0.24%+400000000*0.19%+500000000*0.15%+(M28-1000000000)*0.12%,IF(M28&gt;5000000000,100000000*0.24%+400000000*0.19%+500000000*0.15%+4000000000*0.12%+(M28-5000000000)*0.1%,"Bingung komputer"))))),2)</f>
        <v>215592</v>
      </c>
      <c r="F28" s="64" cm="1">
        <f t="array" ref="F28">ROUND(IF(N28&lt;=100000000,N28*0.24%,IF(AND(N28&gt;100000000,N28&lt;=500000000),100000000*0.24%+(N28-100000000)*0.19%,IF(AND(N28&gt;500000000,N28&lt;=1000000000),100000000*0.24%+400000000*0.19%+(N28-500000000)*0.15%,IF(AND(N28&gt;1000000000,N28&lt;=5000000000),100000000*0.24%+400000000*0.19%+500000000*0.15%+(N28-1000000000)*0.12%,IF(N28&gt;5000000000,100000000*0.24%+400000000*0.19%+500000000*0.15%+4000000000*0.12%+(N28-5000000000)*0.1%,"Bingung komputer"))))),2)</f>
        <v>215592</v>
      </c>
      <c r="G28" s="65"/>
      <c r="H28" s="66"/>
      <c r="I28" s="68"/>
      <c r="J28" s="67"/>
      <c r="K28" t="str" s="67" cm="1">
        <f t="array" ref="K28">"Jumlah Terkena Pajak "&amp;MAX(K3:K26)&amp;"% (B)"</f>
        <v>Jumlah Terkena Pajak 11,00% (B)</v>
      </c>
      <c r="L28" s="68" cm="1">
        <f t="array" ref="L28">SUMIF($K3:$K26,"&gt;0",L3:L26)</f>
        <v>89883100</v>
      </c>
      <c r="M28" s="69" cm="1">
        <f t="array" ref="M28">SUMIF($K3:$K26,"&gt;0",M3:M26)</f>
        <v>89830000</v>
      </c>
      <c r="N28" s="69" cm="1">
        <f t="array" ref="N28">SUMIF($K3:$K26,"&gt;0",N3:N26)</f>
        <v>89830000</v>
      </c>
    </row>
    <row r="29" ht="21" customHeight="1">
      <c r="A29" s="70"/>
      <c r="B29" s="71"/>
      <c r="C29" s="71"/>
      <c r="D29" s="72"/>
      <c r="E29" s="72"/>
      <c r="F29" s="71"/>
      <c r="G29" s="72"/>
      <c r="H29" s="72"/>
      <c r="I29" s="74"/>
      <c r="J29" s="73"/>
      <c r="K29" t="str" s="73" cm="1">
        <f t="array" ref="K29">"PPN (C) = "&amp;MAX(K3:K26)&amp;"% x B"</f>
        <v>PPN (C) = 11,00% x B</v>
      </c>
      <c r="L29" s="74" cm="1">
        <f t="array" ref="L29">L28*MAX($K3:$K26)%</f>
        <v>9887141</v>
      </c>
      <c r="M29" s="69" cm="1">
        <f t="array" ref="M29">M28*MAX($K3:$K26)%</f>
        <v>9881300</v>
      </c>
      <c r="N29" s="69" cm="1">
        <f t="array" ref="N29">N28*MAX($K3:$K26)%</f>
        <v>9881300</v>
      </c>
    </row>
    <row r="30" ht="21" customHeight="1">
      <c r="A30" s="70"/>
      <c r="B30" s="71"/>
      <c r="C30" s="71"/>
      <c r="D30" t="s" s="110">
        <v>116</v>
      </c>
      <c r="E30" s="112">
        <v>100000000</v>
      </c>
      <c r="F30" s="112">
        <v>99770500</v>
      </c>
      <c r="G30" s="72"/>
      <c r="H30" s="72"/>
      <c r="I30" s="71"/>
      <c r="J30" s="73"/>
      <c r="K30" t="s" s="75">
        <v>42</v>
      </c>
      <c r="L30" s="76" cm="1">
        <f t="array" ref="L30">L27+L29</f>
        <v>99985989.95999999</v>
      </c>
      <c r="M30" s="69" cm="1">
        <f t="array" ref="M30">M27+M29</f>
        <v>99926892</v>
      </c>
      <c r="N30" s="69" cm="1">
        <f t="array" ref="N30">N27+N29</f>
        <v>99926892</v>
      </c>
    </row>
    <row r="31" ht="20.5" customHeight="1">
      <c r="A31" s="70"/>
      <c r="B31" s="71"/>
      <c r="C31" s="71"/>
      <c r="D31" s="72"/>
      <c r="E31" s="72" cm="1">
        <f t="array" ref="E31">E$30-L$31</f>
        <v>14010.04</v>
      </c>
      <c r="F31" s="113" cm="1">
        <f t="array" ref="F31">ROUNDDOWN(E$30-D$28,2)</f>
        <v>99784280.56</v>
      </c>
      <c r="G31" s="72"/>
      <c r="H31" s="72"/>
      <c r="I31" s="71"/>
      <c r="J31" s="73"/>
      <c r="K31" t="s" s="75">
        <v>43</v>
      </c>
      <c r="L31" s="68" cm="1">
        <f t="array" ref="L31">ROUNDDOWN(L30,2)</f>
        <v>99985989.95999999</v>
      </c>
      <c r="M31" s="68" cm="1">
        <f t="array" ref="M31">ROUNDDOWN(M30,2)</f>
        <v>99926892</v>
      </c>
      <c r="N31" s="68" cm="1">
        <f t="array" ref="N31">ROUNDDOWN(N30,-3)</f>
        <v>99926000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51.xml><?xml version="1.0" encoding="utf-8"?>
<worksheet xmlns:r="http://schemas.openxmlformats.org/officeDocument/2006/relationships" xmlns="http://schemas.openxmlformats.org/spreadsheetml/2006/main">
  <sheetPr>
    <pageSetUpPr fitToPage="1"/>
  </sheetPr>
  <dimension ref="A1:N31"/>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346" customWidth="1"/>
    <col min="2" max="2" width="43.0312" style="346" customWidth="1"/>
    <col min="3" max="3" width="2.75" style="346" customWidth="1"/>
    <col min="4" max="6" width="10.3672" style="346" customWidth="1"/>
    <col min="7" max="7" width="11.6875" style="346" customWidth="1"/>
    <col min="8" max="11" width="13.5156" style="346" customWidth="1"/>
    <col min="12" max="14" width="14.2344" style="346" customWidth="1"/>
    <col min="15" max="16384" width="16.3516" style="346"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109</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s="95">
        <v>1</v>
      </c>
      <c r="B4" t="s" s="19">
        <v>110</v>
      </c>
      <c r="C4" s="20"/>
      <c r="D4" s="21">
        <v>1</v>
      </c>
      <c r="E4" s="21" cm="1">
        <f t="array" ref="E4">D4</f>
        <v>1</v>
      </c>
      <c r="F4" s="21" cm="1">
        <f t="array" ref="F4">D4</f>
        <v>1</v>
      </c>
      <c r="G4" t="s" s="22">
        <v>19</v>
      </c>
      <c r="H4" s="21" cm="1">
        <f t="array" ref="H4">ROUNDDOWN((F$30*0.1)*100/111,-2)</f>
        <v>8988300</v>
      </c>
      <c r="I4" s="21">
        <v>8990000</v>
      </c>
      <c r="J4" s="21">
        <v>8990000</v>
      </c>
      <c r="K4" s="21">
        <v>11</v>
      </c>
      <c r="L4" s="21" cm="1">
        <f t="array" ref="L4">IF(D4&gt;0,IF($D4&lt;=0,0,D4*H4),"")</f>
        <v>8988300</v>
      </c>
      <c r="M4" s="21" cm="1">
        <f t="array" ref="M4">IF(E4&gt;0,IF($D4&lt;=0,0,ROUND(E4*I4,2)),"")</f>
        <v>8990000</v>
      </c>
      <c r="N4" s="23" cm="1">
        <f t="array" ref="N4">IF(F4&gt;0,IF($D4&lt;=0,0,ROUND(F4*J4,2)),"")</f>
        <v>8990000</v>
      </c>
    </row>
    <row r="5" ht="20.5" customHeight="1">
      <c r="A5" s="95">
        <v>2</v>
      </c>
      <c r="B5" t="s" s="19">
        <v>111</v>
      </c>
      <c r="C5" s="24"/>
      <c r="D5" s="26">
        <v>1</v>
      </c>
      <c r="E5" s="26" cm="1">
        <f t="array" ref="E5">D5</f>
        <v>1</v>
      </c>
      <c r="F5" s="26" cm="1">
        <f t="array" ref="F5">D5</f>
        <v>1</v>
      </c>
      <c r="G5" t="s" s="27">
        <v>19</v>
      </c>
      <c r="H5" s="26" cm="1">
        <f t="array" ref="H5">ROUNDDOWN((F$30*0.2)*100/111,-2)</f>
        <v>17976600</v>
      </c>
      <c r="I5" s="26">
        <v>17985000</v>
      </c>
      <c r="J5" s="26">
        <v>17985000</v>
      </c>
      <c r="K5" s="26">
        <v>11</v>
      </c>
      <c r="L5" s="26" cm="1">
        <f t="array" ref="L5">IF(D5&gt;0,IF($D5&lt;=0,0,D5*H5),"")</f>
        <v>17976600</v>
      </c>
      <c r="M5" s="26" cm="1">
        <f t="array" ref="M5">IF(E5&gt;0,IF($D5&lt;=0,0,ROUND(E5*I5,2)),"")</f>
        <v>17985000</v>
      </c>
      <c r="N5" s="28" cm="1">
        <f t="array" ref="N5">IF(F5&gt;0,IF($D5&lt;=0,0,ROUND(F5*J5,2)),"")</f>
        <v>17985000</v>
      </c>
    </row>
    <row r="6" ht="20.5" customHeight="1">
      <c r="A6" s="95">
        <v>3</v>
      </c>
      <c r="B6" t="s" s="19">
        <v>112</v>
      </c>
      <c r="C6" s="20"/>
      <c r="D6" s="21">
        <v>1</v>
      </c>
      <c r="E6" s="21" cm="1">
        <f t="array" ref="E6">D6</f>
        <v>1</v>
      </c>
      <c r="F6" s="21" cm="1">
        <f t="array" ref="F6">D6</f>
        <v>1</v>
      </c>
      <c r="G6" t="s" s="22">
        <v>19</v>
      </c>
      <c r="H6" s="21" cm="1">
        <f t="array" ref="H6">ROUNDDOWN((F$30*0.25)*100/111,-2)</f>
        <v>22470800</v>
      </c>
      <c r="I6" s="21">
        <v>22470000</v>
      </c>
      <c r="J6" s="21">
        <v>22470000</v>
      </c>
      <c r="K6" s="21">
        <v>11</v>
      </c>
      <c r="L6" s="21" cm="1">
        <f t="array" ref="L6">IF(D6&gt;0,IF($D6&lt;=0,0,D6*H6),"")</f>
        <v>22470800</v>
      </c>
      <c r="M6" s="21" cm="1">
        <f t="array" ref="M6">IF(E6&gt;0,IF($D6&lt;=0,0,ROUND(E6*I6,2)),"")</f>
        <v>22470000</v>
      </c>
      <c r="N6" s="23" cm="1">
        <f t="array" ref="N6">IF(F6&gt;0,IF($D6&lt;=0,0,ROUND(F6*J6,2)),"")</f>
        <v>22470000</v>
      </c>
    </row>
    <row r="7" ht="68.5" customHeight="1">
      <c r="A7" s="95">
        <v>5</v>
      </c>
      <c r="B7" t="s" s="19">
        <v>113</v>
      </c>
      <c r="C7" s="24"/>
      <c r="D7" s="26">
        <v>1</v>
      </c>
      <c r="E7" s="26" cm="1">
        <f t="array" ref="E7">D7</f>
        <v>1</v>
      </c>
      <c r="F7" s="26" cm="1">
        <f t="array" ref="F7">D7</f>
        <v>1</v>
      </c>
      <c r="G7" t="s" s="27">
        <v>19</v>
      </c>
      <c r="H7" s="26" cm="1">
        <f t="array" ref="H7">ROUNDDOWN((F$30*0.25)*100/111,-2)</f>
        <v>22470800</v>
      </c>
      <c r="I7" s="26">
        <v>22490000</v>
      </c>
      <c r="J7" s="26">
        <v>22490000</v>
      </c>
      <c r="K7" s="26">
        <v>11</v>
      </c>
      <c r="L7" s="26" cm="1">
        <f t="array" ref="L7">IF(D7&gt;0,IF($D7&lt;=0,0,D7*H7),"")</f>
        <v>22470800</v>
      </c>
      <c r="M7" s="26" cm="1">
        <f t="array" ref="M7">IF(E7&gt;0,IF($D7&lt;=0,0,ROUND(E7*I7,2)),"")</f>
        <v>22490000</v>
      </c>
      <c r="N7" s="28" cm="1">
        <f t="array" ref="N7">IF(F7&gt;0,IF($D7&lt;=0,0,ROUND(F7*J7,2)),"")</f>
        <v>22490000</v>
      </c>
    </row>
    <row r="8" ht="32.5" customHeight="1">
      <c r="A8" s="95">
        <v>6</v>
      </c>
      <c r="B8" t="s" s="19">
        <v>114</v>
      </c>
      <c r="C8" s="20"/>
      <c r="D8" s="21">
        <v>1</v>
      </c>
      <c r="E8" s="21" cm="1">
        <f t="array" ref="E8">D8</f>
        <v>1</v>
      </c>
      <c r="F8" s="21" cm="1">
        <f t="array" ref="F8">D8</f>
        <v>1</v>
      </c>
      <c r="G8" t="s" s="22">
        <v>19</v>
      </c>
      <c r="H8" s="21" cm="1">
        <f t="array" ref="H8">ROUNDDOWN((F$30*0.05)*100/111,-2)</f>
        <v>4494100</v>
      </c>
      <c r="I8" s="21">
        <v>4495000</v>
      </c>
      <c r="J8" s="21">
        <v>4495000</v>
      </c>
      <c r="K8" s="21">
        <v>11</v>
      </c>
      <c r="L8" s="21" cm="1">
        <f t="array" ref="L8">IF(D8&gt;0,IF($D8&lt;=0,0,D8*H8),"")</f>
        <v>4494100</v>
      </c>
      <c r="M8" s="21" cm="1">
        <f t="array" ref="M8">IF(E8&gt;0,IF($D8&lt;=0,0,ROUND(E8*I8,2)),"")</f>
        <v>4495000</v>
      </c>
      <c r="N8" s="23" cm="1">
        <f t="array" ref="N8">IF(F8&gt;0,IF($D8&lt;=0,0,ROUND(F8*J8,2)),"")</f>
        <v>4495000</v>
      </c>
    </row>
    <row r="9" ht="20.5" customHeight="1">
      <c r="A9" s="95">
        <v>7</v>
      </c>
      <c r="B9" t="s" s="19">
        <v>115</v>
      </c>
      <c r="C9" s="24"/>
      <c r="D9" s="26">
        <v>1</v>
      </c>
      <c r="E9" s="26" cm="1">
        <f t="array" ref="E9">D9</f>
        <v>1</v>
      </c>
      <c r="F9" s="26" cm="1">
        <f t="array" ref="F9">D9</f>
        <v>1</v>
      </c>
      <c r="G9" t="s" s="27">
        <v>19</v>
      </c>
      <c r="H9" s="26" cm="1">
        <f t="array" ref="H9">ROUNDDOWN((F$30*0.15)*100/111,-2)</f>
        <v>13482500</v>
      </c>
      <c r="I9" s="26">
        <v>13420000</v>
      </c>
      <c r="J9" s="26">
        <v>13420000</v>
      </c>
      <c r="K9" s="26">
        <v>11</v>
      </c>
      <c r="L9" s="26" cm="1">
        <f t="array" ref="L9">IF(D9&gt;0,IF($D9&lt;=0,0,D9*H9),"")</f>
        <v>13482500</v>
      </c>
      <c r="M9" s="26" cm="1">
        <f t="array" ref="M9">IF(E9&gt;0,IF($D9&lt;=0,0,ROUND(E9*I9,2)),"")</f>
        <v>13420000</v>
      </c>
      <c r="N9" s="28" cm="1">
        <f t="array" ref="N9">IF(F9&gt;0,IF($D9&lt;=0,0,ROUND(F9*J9,2)),"")</f>
        <v>13420000</v>
      </c>
    </row>
    <row r="10" ht="20.6" customHeight="1">
      <c r="A10" s="33">
        <v>8</v>
      </c>
      <c r="B10" t="s" s="34">
        <v>37</v>
      </c>
      <c r="C10" s="35"/>
      <c r="D10" s="36">
        <v>1</v>
      </c>
      <c r="E10" s="36" cm="1">
        <f t="array" ref="E10">D10</f>
        <v>1</v>
      </c>
      <c r="F10" s="36" cm="1">
        <f t="array" ref="F10">D10</f>
        <v>1</v>
      </c>
      <c r="G10" t="s" s="37">
        <v>19</v>
      </c>
      <c r="H10" s="36">
        <v>215748.96</v>
      </c>
      <c r="I10" s="36">
        <v>215640</v>
      </c>
      <c r="J10" s="36">
        <v>215640</v>
      </c>
      <c r="K10" s="36">
        <v>0</v>
      </c>
      <c r="L10" s="36" cm="1">
        <f t="array" ref="L10">IF(D10&gt;0,IF($D10&lt;=0,0,D10*H10),"")</f>
        <v>215748.96</v>
      </c>
      <c r="M10" s="36" cm="1">
        <f t="array" ref="M10">IF(E10&gt;0,IF($D10&lt;=0,0,ROUND(E10*I10,2)),"")</f>
        <v>215640</v>
      </c>
      <c r="N10" s="38" cm="1">
        <f t="array" ref="N10">IF(F10&gt;0,IF($D10&lt;=0,0,ROUND(F10*J10,2)),"")</f>
        <v>215640</v>
      </c>
    </row>
    <row r="11" ht="8.75" customHeight="1" hidden="1">
      <c r="A11" s="39"/>
      <c r="B11" s="40"/>
      <c r="C11" s="41"/>
      <c r="D11" s="42"/>
      <c r="E11" s="42"/>
      <c r="F11" s="42"/>
      <c r="G11" s="43"/>
      <c r="H11" s="42"/>
      <c r="I11" s="42"/>
      <c r="J11" s="42"/>
      <c r="K11" s="42"/>
      <c r="L11" s="42"/>
      <c r="M11" s="42"/>
      <c r="N11" s="44"/>
    </row>
    <row r="12" ht="8.75" customHeight="1" hidden="1">
      <c r="A12" s="39"/>
      <c r="B12" s="40"/>
      <c r="C12" s="45"/>
      <c r="D12" s="46"/>
      <c r="E12" s="46"/>
      <c r="F12" s="46"/>
      <c r="G12" s="47"/>
      <c r="H12" s="46"/>
      <c r="I12" s="46"/>
      <c r="J12" s="46"/>
      <c r="K12" s="46"/>
      <c r="L12" s="46"/>
      <c r="M12" s="46"/>
      <c r="N12" s="48"/>
    </row>
    <row r="13" ht="8.75" customHeight="1" hidden="1">
      <c r="A13" s="39"/>
      <c r="B13" s="40"/>
      <c r="C13" s="41"/>
      <c r="D13" s="42"/>
      <c r="E13" s="42"/>
      <c r="F13" s="42"/>
      <c r="G13" s="43"/>
      <c r="H13" s="42"/>
      <c r="I13" s="42"/>
      <c r="J13" s="42"/>
      <c r="K13" s="42"/>
      <c r="L13" s="42"/>
      <c r="M13" s="42"/>
      <c r="N13" s="44"/>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2"/>
      <c r="I15" s="42"/>
      <c r="J15" s="42"/>
      <c r="K15" s="42"/>
      <c r="L15" s="42"/>
      <c r="M15" s="42"/>
      <c r="N15" s="44"/>
    </row>
    <row r="16" ht="8.75" customHeight="1" hidden="1">
      <c r="A16" s="39"/>
      <c r="B16" s="40"/>
      <c r="C16" s="45"/>
      <c r="D16" s="46"/>
      <c r="E16" s="46"/>
      <c r="F16" s="46"/>
      <c r="G16" s="47"/>
      <c r="H16" s="46"/>
      <c r="I16" s="46"/>
      <c r="J16" s="46"/>
      <c r="K16" s="46"/>
      <c r="L16" s="46"/>
      <c r="M16" s="46"/>
      <c r="N16" s="48"/>
    </row>
    <row r="17" ht="8.75" customHeight="1" hidden="1">
      <c r="A17" s="39"/>
      <c r="B17" s="40"/>
      <c r="C17" s="41"/>
      <c r="D17" s="42"/>
      <c r="E17" s="42"/>
      <c r="F17" s="42"/>
      <c r="G17" s="43"/>
      <c r="H17" s="43"/>
      <c r="I17" s="43"/>
      <c r="J17" s="43"/>
      <c r="K17" s="42"/>
      <c r="L17" s="43"/>
      <c r="M17" s="43"/>
      <c r="N17" s="49"/>
    </row>
    <row r="18" ht="8.75" customHeight="1" hidden="1">
      <c r="A18" s="39"/>
      <c r="B18" s="40"/>
      <c r="C18" s="45"/>
      <c r="D18" s="46"/>
      <c r="E18" s="46"/>
      <c r="F18" s="46"/>
      <c r="G18" s="47"/>
      <c r="H18" s="50"/>
      <c r="I18" s="50"/>
      <c r="J18" s="50"/>
      <c r="K18" s="46"/>
      <c r="L18" s="46"/>
      <c r="M18" s="46"/>
      <c r="N18" s="48"/>
    </row>
    <row r="19" ht="8.75" customHeight="1" hidden="1">
      <c r="A19" s="39"/>
      <c r="B19" s="40"/>
      <c r="C19" s="41"/>
      <c r="D19" s="42"/>
      <c r="E19" s="42"/>
      <c r="F19" s="42"/>
      <c r="G19" s="43"/>
      <c r="H19" s="43"/>
      <c r="I19" s="43"/>
      <c r="J19" s="43"/>
      <c r="K19" s="42"/>
      <c r="L19" s="43"/>
      <c r="M19" s="43"/>
      <c r="N19" s="49"/>
    </row>
    <row r="20" ht="8.75" customHeight="1" hidden="1">
      <c r="A20" s="39"/>
      <c r="B20" s="40"/>
      <c r="C20" s="45"/>
      <c r="D20" s="46"/>
      <c r="E20" s="46"/>
      <c r="F20" s="46"/>
      <c r="G20" s="47"/>
      <c r="H20" s="46"/>
      <c r="I20" s="46"/>
      <c r="J20" s="46"/>
      <c r="K20" s="46"/>
      <c r="L20" s="46"/>
      <c r="M20" s="46"/>
      <c r="N20" s="48"/>
    </row>
    <row r="21" ht="8.75" customHeight="1" hidden="1">
      <c r="A21" s="39"/>
      <c r="B21" s="40"/>
      <c r="C21" s="41"/>
      <c r="D21" s="42"/>
      <c r="E21" s="42"/>
      <c r="F21" s="42"/>
      <c r="G21" s="43"/>
      <c r="H21" s="42"/>
      <c r="I21" s="42"/>
      <c r="J21" s="42"/>
      <c r="K21" s="42"/>
      <c r="L21" s="42"/>
      <c r="M21" s="42"/>
      <c r="N21" s="44"/>
    </row>
    <row r="22" ht="8.75" customHeight="1" hidden="1">
      <c r="A22" s="51"/>
      <c r="B22" s="40"/>
      <c r="C22" s="45"/>
      <c r="D22" s="46"/>
      <c r="E22" s="46"/>
      <c r="F22" s="46"/>
      <c r="G22" s="47"/>
      <c r="H22" s="46"/>
      <c r="I22" s="46"/>
      <c r="J22" s="46"/>
      <c r="K22" s="46"/>
      <c r="L22" s="46"/>
      <c r="M22" s="46"/>
      <c r="N22" s="48"/>
    </row>
    <row r="23" ht="8.75" customHeight="1" hidden="1">
      <c r="A23" s="51"/>
      <c r="B23" s="40"/>
      <c r="C23" s="41"/>
      <c r="D23" s="42"/>
      <c r="E23" s="42"/>
      <c r="F23" s="42"/>
      <c r="G23" s="43"/>
      <c r="H23" s="42"/>
      <c r="I23" s="42"/>
      <c r="J23" s="42"/>
      <c r="K23" s="42"/>
      <c r="L23" s="42"/>
      <c r="M23" s="42"/>
      <c r="N23" s="44"/>
    </row>
    <row r="24" ht="8.75" customHeight="1" hidden="1">
      <c r="A24" s="39"/>
      <c r="B24" s="40"/>
      <c r="C24" s="45"/>
      <c r="D24" s="46"/>
      <c r="E24" s="46"/>
      <c r="F24" s="46"/>
      <c r="G24" s="47"/>
      <c r="H24" s="46"/>
      <c r="I24" s="46"/>
      <c r="J24" s="46"/>
      <c r="K24" s="46"/>
      <c r="L24" s="47"/>
      <c r="M24" s="47"/>
      <c r="N24" s="52"/>
    </row>
    <row r="25" ht="8.75" customHeight="1" hidden="1">
      <c r="A25" s="39"/>
      <c r="B25" s="40"/>
      <c r="C25" s="41"/>
      <c r="D25" s="42"/>
      <c r="E25" s="42"/>
      <c r="F25" s="42"/>
      <c r="G25" s="43"/>
      <c r="H25" s="42"/>
      <c r="I25" s="42"/>
      <c r="J25" s="42"/>
      <c r="K25" s="42"/>
      <c r="L25" s="42"/>
      <c r="M25" s="42"/>
      <c r="N25" s="44"/>
    </row>
    <row r="26" ht="8.75" customHeight="1" hidden="1">
      <c r="A26" s="39"/>
      <c r="B26" s="40"/>
      <c r="C26" s="45"/>
      <c r="D26" s="46"/>
      <c r="E26" s="46"/>
      <c r="F26" s="46"/>
      <c r="G26" s="47"/>
      <c r="H26" s="46"/>
      <c r="I26" s="46"/>
      <c r="J26" s="46"/>
      <c r="K26" s="46"/>
      <c r="L26" s="47"/>
      <c r="M26" s="47"/>
      <c r="N26" s="52"/>
    </row>
    <row r="27" ht="20.85" customHeight="1">
      <c r="A27" s="108"/>
      <c r="B27" s="54"/>
      <c r="C27" s="54"/>
      <c r="D27" s="55"/>
      <c r="E27" s="55"/>
      <c r="F27" s="55"/>
      <c r="G27" s="56"/>
      <c r="H27" s="56"/>
      <c r="I27" s="54"/>
      <c r="J27" s="57"/>
      <c r="K27" t="s" s="58">
        <v>38</v>
      </c>
      <c r="L27" s="59" cm="1">
        <f t="array" ref="L27">SUM(L1:L26)</f>
        <v>90098848.95999999</v>
      </c>
      <c r="M27" s="59" cm="1">
        <f t="array" ref="M27">SUM(M1:M26)</f>
        <v>90065640</v>
      </c>
      <c r="N27" s="59" cm="1">
        <f t="array" ref="N27">SUM(N1:N26)</f>
        <v>90065640</v>
      </c>
    </row>
    <row r="28" ht="21" customHeight="1">
      <c r="A28" s="63" cm="1">
        <f t="array" ref="A28">ROUND(IF(I28&lt;=100000000,I28*0.24%,IF(AND(I28&gt;100000000,I28&lt;=500000000),100000000*0.24%+(I28-100000000)*0.19%,IF(AND(I28&gt;500000000,I28&lt;=1000000000),100000000*0.24%+400000000*0.19%+(I28-500000000)*0.15%,IF(AND(I28&gt;1000000000,I28&lt;=5000000000),100000000*0.24%+400000000*0.19%+500000000*0.15%+(I28-1000000000)*0.12%,IF(I28&gt;5000000000,100000000*0.24%+400000000*0.19%+500000000*0.15%+4000000000*0.12%+(I28-5000000000)*0.1%,"Bingung komputer"))))),2)</f>
        <v>0</v>
      </c>
      <c r="B28" t="s" s="109">
        <v>39</v>
      </c>
      <c r="C28" s="62"/>
      <c r="D28" s="63" cm="1">
        <f t="array" ref="D28">ROUND(IF(L28&lt;=100000000,L28*0.24%,IF(AND(L28&gt;100000000,L28&lt;=500000000),100000000*0.24%+(L28-100000000)*0.19%,IF(AND(L28&gt;500000000,L28&lt;=1000000000),100000000*0.24%+400000000*0.19%+(L28-500000000)*0.15%,IF(AND(L28&gt;1000000000,L28&lt;=5000000000),100000000*0.24%+400000000*0.19%+500000000*0.15%+(L28-1000000000)*0.12%,IF(L28&gt;5000000000,100000000*0.24%+400000000*0.19%+500000000*0.15%+4000000000*0.12%+(L28-5000000000)*0.1%,"Bingung komputer"))))),2)</f>
        <v>215719.44</v>
      </c>
      <c r="E28" s="64" cm="1">
        <f t="array" ref="E28">ROUND(IF(M28&lt;=100000000,M28*0.24%,IF(AND(M28&gt;100000000,M28&lt;=500000000),100000000*0.24%+(M28-100000000)*0.19%,IF(AND(M28&gt;500000000,M28&lt;=1000000000),100000000*0.24%+400000000*0.19%+(M28-500000000)*0.15%,IF(AND(M28&gt;1000000000,M28&lt;=5000000000),100000000*0.24%+400000000*0.19%+500000000*0.15%+(M28-1000000000)*0.12%,IF(M28&gt;5000000000,100000000*0.24%+400000000*0.19%+500000000*0.15%+4000000000*0.12%+(M28-5000000000)*0.1%,"Bingung komputer"))))),2)</f>
        <v>215640</v>
      </c>
      <c r="F28" s="64" cm="1">
        <f t="array" ref="F28">ROUND(IF(N28&lt;=100000000,N28*0.24%,IF(AND(N28&gt;100000000,N28&lt;=500000000),100000000*0.24%+(N28-100000000)*0.19%,IF(AND(N28&gt;500000000,N28&lt;=1000000000),100000000*0.24%+400000000*0.19%+(N28-500000000)*0.15%,IF(AND(N28&gt;1000000000,N28&lt;=5000000000),100000000*0.24%+400000000*0.19%+500000000*0.15%+(N28-1000000000)*0.12%,IF(N28&gt;5000000000,100000000*0.24%+400000000*0.19%+500000000*0.15%+4000000000*0.12%+(N28-5000000000)*0.1%,"Bingung komputer"))))),2)</f>
        <v>215640</v>
      </c>
      <c r="G28" s="65"/>
      <c r="H28" s="66"/>
      <c r="I28" s="68"/>
      <c r="J28" s="67"/>
      <c r="K28" t="str" s="67" cm="1">
        <f t="array" ref="K28">"Jumlah Terkena Pajak "&amp;MAX(K3:K26)&amp;"% (B)"</f>
        <v>Jumlah Terkena Pajak 11,00% (B)</v>
      </c>
      <c r="L28" s="68" cm="1">
        <f t="array" ref="L28">SUMIF($K3:$K26,"&gt;0",L3:L26)</f>
        <v>89883100</v>
      </c>
      <c r="M28" s="69" cm="1">
        <f t="array" ref="M28">SUMIF($K3:$K26,"&gt;0",M3:M26)</f>
        <v>89850000</v>
      </c>
      <c r="N28" s="69" cm="1">
        <f t="array" ref="N28">SUMIF($K3:$K26,"&gt;0",N3:N26)</f>
        <v>89850000</v>
      </c>
    </row>
    <row r="29" ht="21" customHeight="1">
      <c r="A29" s="70"/>
      <c r="B29" s="71"/>
      <c r="C29" s="71"/>
      <c r="D29" s="72"/>
      <c r="E29" s="72"/>
      <c r="F29" s="71"/>
      <c r="G29" s="72"/>
      <c r="H29" s="72"/>
      <c r="I29" s="74"/>
      <c r="J29" s="73"/>
      <c r="K29" t="str" s="73" cm="1">
        <f t="array" ref="K29">"PPN (C) = "&amp;MAX(K3:K26)&amp;"% x B"</f>
        <v>PPN (C) = 11,00% x B</v>
      </c>
      <c r="L29" s="74" cm="1">
        <f t="array" ref="L29">L28*MAX($K3:$K26)%</f>
        <v>9887141</v>
      </c>
      <c r="M29" s="69" cm="1">
        <f t="array" ref="M29">M28*MAX($K3:$K26)%</f>
        <v>9883500</v>
      </c>
      <c r="N29" s="69" cm="1">
        <f t="array" ref="N29">N28*MAX($K3:$K26)%</f>
        <v>9883500</v>
      </c>
    </row>
    <row r="30" ht="21" customHeight="1">
      <c r="A30" s="70"/>
      <c r="B30" s="71"/>
      <c r="C30" s="71"/>
      <c r="D30" t="s" s="110">
        <v>116</v>
      </c>
      <c r="E30" s="112">
        <v>100000000</v>
      </c>
      <c r="F30" s="112">
        <v>99770500</v>
      </c>
      <c r="G30" s="72"/>
      <c r="H30" s="72"/>
      <c r="I30" s="71"/>
      <c r="J30" s="73"/>
      <c r="K30" t="s" s="75">
        <v>42</v>
      </c>
      <c r="L30" s="76" cm="1">
        <f t="array" ref="L30">L27+L29</f>
        <v>99985989.95999999</v>
      </c>
      <c r="M30" s="69" cm="1">
        <f t="array" ref="M30">M27+M29</f>
        <v>99949140</v>
      </c>
      <c r="N30" s="69" cm="1">
        <f t="array" ref="N30">N27+N29</f>
        <v>99949140</v>
      </c>
    </row>
    <row r="31" ht="20.5" customHeight="1">
      <c r="A31" s="70"/>
      <c r="B31" s="71"/>
      <c r="C31" s="71"/>
      <c r="D31" s="72"/>
      <c r="E31" s="72" cm="1">
        <f t="array" ref="E31">E$30-L$31</f>
        <v>14010.04</v>
      </c>
      <c r="F31" s="113" cm="1">
        <f t="array" ref="F31">ROUNDDOWN(E$30-D$28,2)</f>
        <v>99784280.56</v>
      </c>
      <c r="G31" s="72"/>
      <c r="H31" s="72"/>
      <c r="I31" s="71"/>
      <c r="J31" s="73"/>
      <c r="K31" t="s" s="75">
        <v>43</v>
      </c>
      <c r="L31" s="68" cm="1">
        <f t="array" ref="L31">ROUNDDOWN(L30,2)</f>
        <v>99985989.95999999</v>
      </c>
      <c r="M31" s="68" cm="1">
        <f t="array" ref="M31">ROUNDDOWN(M30,2)</f>
        <v>99949140</v>
      </c>
      <c r="N31" s="68" cm="1">
        <f t="array" ref="N31">ROUNDDOWN(N30,-3)</f>
        <v>99949000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52.xml><?xml version="1.0" encoding="utf-8"?>
<worksheet xmlns:r="http://schemas.openxmlformats.org/officeDocument/2006/relationships" xmlns="http://schemas.openxmlformats.org/spreadsheetml/2006/main">
  <sheetPr>
    <pageSetUpPr fitToPage="1"/>
  </sheetPr>
  <dimension ref="A1:N31"/>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347" customWidth="1"/>
    <col min="2" max="2" width="43.0312" style="347" customWidth="1"/>
    <col min="3" max="3" width="2.75" style="347" customWidth="1"/>
    <col min="4" max="6" width="10.3672" style="347" customWidth="1"/>
    <col min="7" max="7" width="11.6875" style="347" customWidth="1"/>
    <col min="8" max="11" width="13.5156" style="347" customWidth="1"/>
    <col min="12" max="14" width="14.2344" style="347" customWidth="1"/>
    <col min="15" max="16384" width="16.3516" style="347"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109</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s="95">
        <v>1</v>
      </c>
      <c r="B4" t="s" s="19">
        <v>110</v>
      </c>
      <c r="C4" s="20"/>
      <c r="D4" s="21">
        <v>1</v>
      </c>
      <c r="E4" s="21" cm="1">
        <f t="array" ref="E4">D4</f>
        <v>1</v>
      </c>
      <c r="F4" s="21" cm="1">
        <f t="array" ref="F4">D4</f>
        <v>1</v>
      </c>
      <c r="G4" t="s" s="22">
        <v>19</v>
      </c>
      <c r="H4" s="21" cm="1">
        <f t="array" ref="H4">ROUNDDOWN((F$30*0.1)*100/111,-2)</f>
        <v>8988300</v>
      </c>
      <c r="I4" s="21">
        <v>8990000</v>
      </c>
      <c r="J4" s="21">
        <v>8990000</v>
      </c>
      <c r="K4" s="21">
        <v>11</v>
      </c>
      <c r="L4" s="21" cm="1">
        <f t="array" ref="L4">IF(D4&gt;0,IF($D4&lt;=0,0,D4*H4),"")</f>
        <v>8988300</v>
      </c>
      <c r="M4" s="21" cm="1">
        <f t="array" ref="M4">IF(E4&gt;0,IF($D4&lt;=0,0,ROUND(E4*I4,2)),"")</f>
        <v>8990000</v>
      </c>
      <c r="N4" s="23" cm="1">
        <f t="array" ref="N4">IF(F4&gt;0,IF($D4&lt;=0,0,ROUND(F4*J4,2)),"")</f>
        <v>8990000</v>
      </c>
    </row>
    <row r="5" ht="20.5" customHeight="1">
      <c r="A5" s="95">
        <v>2</v>
      </c>
      <c r="B5" t="s" s="19">
        <v>111</v>
      </c>
      <c r="C5" s="24"/>
      <c r="D5" s="26">
        <v>1</v>
      </c>
      <c r="E5" s="26" cm="1">
        <f t="array" ref="E5">D5</f>
        <v>1</v>
      </c>
      <c r="F5" s="26" cm="1">
        <f t="array" ref="F5">D5</f>
        <v>1</v>
      </c>
      <c r="G5" t="s" s="27">
        <v>19</v>
      </c>
      <c r="H5" s="26" cm="1">
        <f t="array" ref="H5">ROUNDDOWN((F$30*0.2)*100/111,-2)</f>
        <v>17976600</v>
      </c>
      <c r="I5" s="26">
        <v>17985000</v>
      </c>
      <c r="J5" s="26">
        <v>17985000</v>
      </c>
      <c r="K5" s="26">
        <v>11</v>
      </c>
      <c r="L5" s="26" cm="1">
        <f t="array" ref="L5">IF(D5&gt;0,IF($D5&lt;=0,0,D5*H5),"")</f>
        <v>17976600</v>
      </c>
      <c r="M5" s="26" cm="1">
        <f t="array" ref="M5">IF(E5&gt;0,IF($D5&lt;=0,0,ROUND(E5*I5,2)),"")</f>
        <v>17985000</v>
      </c>
      <c r="N5" s="28" cm="1">
        <f t="array" ref="N5">IF(F5&gt;0,IF($D5&lt;=0,0,ROUND(F5*J5,2)),"")</f>
        <v>17985000</v>
      </c>
    </row>
    <row r="6" ht="20.5" customHeight="1">
      <c r="A6" s="95">
        <v>3</v>
      </c>
      <c r="B6" t="s" s="19">
        <v>112</v>
      </c>
      <c r="C6" s="20"/>
      <c r="D6" s="21">
        <v>1</v>
      </c>
      <c r="E6" s="21" cm="1">
        <f t="array" ref="E6">D6</f>
        <v>1</v>
      </c>
      <c r="F6" s="21" cm="1">
        <f t="array" ref="F6">D6</f>
        <v>1</v>
      </c>
      <c r="G6" t="s" s="22">
        <v>19</v>
      </c>
      <c r="H6" s="21" cm="1">
        <f t="array" ref="H6">ROUNDDOWN((F$30*0.25)*100/111,-2)</f>
        <v>22470800</v>
      </c>
      <c r="I6" s="21">
        <v>22470000</v>
      </c>
      <c r="J6" s="21">
        <v>22470000</v>
      </c>
      <c r="K6" s="21">
        <v>11</v>
      </c>
      <c r="L6" s="21" cm="1">
        <f t="array" ref="L6">IF(D6&gt;0,IF($D6&lt;=0,0,D6*H6),"")</f>
        <v>22470800</v>
      </c>
      <c r="M6" s="21" cm="1">
        <f t="array" ref="M6">IF(E6&gt;0,IF($D6&lt;=0,0,ROUND(E6*I6,2)),"")</f>
        <v>22470000</v>
      </c>
      <c r="N6" s="23" cm="1">
        <f t="array" ref="N6">IF(F6&gt;0,IF($D6&lt;=0,0,ROUND(F6*J6,2)),"")</f>
        <v>22470000</v>
      </c>
    </row>
    <row r="7" ht="68.5" customHeight="1">
      <c r="A7" s="95">
        <v>5</v>
      </c>
      <c r="B7" t="s" s="19">
        <v>113</v>
      </c>
      <c r="C7" s="24"/>
      <c r="D7" s="26">
        <v>1</v>
      </c>
      <c r="E7" s="26" cm="1">
        <f t="array" ref="E7">D7</f>
        <v>1</v>
      </c>
      <c r="F7" s="26" cm="1">
        <f t="array" ref="F7">D7</f>
        <v>1</v>
      </c>
      <c r="G7" t="s" s="27">
        <v>19</v>
      </c>
      <c r="H7" s="26" cm="1">
        <f t="array" ref="H7">ROUNDDOWN((F$30*0.25)*100/111,-2)</f>
        <v>22470800</v>
      </c>
      <c r="I7" s="26">
        <v>22490000</v>
      </c>
      <c r="J7" s="26">
        <v>22490000</v>
      </c>
      <c r="K7" s="26">
        <v>11</v>
      </c>
      <c r="L7" s="26" cm="1">
        <f t="array" ref="L7">IF(D7&gt;0,IF($D7&lt;=0,0,D7*H7),"")</f>
        <v>22470800</v>
      </c>
      <c r="M7" s="26" cm="1">
        <f t="array" ref="M7">IF(E7&gt;0,IF($D7&lt;=0,0,ROUND(E7*I7,2)),"")</f>
        <v>22490000</v>
      </c>
      <c r="N7" s="28" cm="1">
        <f t="array" ref="N7">IF(F7&gt;0,IF($D7&lt;=0,0,ROUND(F7*J7,2)),"")</f>
        <v>22490000</v>
      </c>
    </row>
    <row r="8" ht="32.5" customHeight="1">
      <c r="A8" s="95">
        <v>6</v>
      </c>
      <c r="B8" t="s" s="19">
        <v>114</v>
      </c>
      <c r="C8" s="20"/>
      <c r="D8" s="21">
        <v>1</v>
      </c>
      <c r="E8" s="21" cm="1">
        <f t="array" ref="E8">D8</f>
        <v>1</v>
      </c>
      <c r="F8" s="21" cm="1">
        <f t="array" ref="F8">D8</f>
        <v>1</v>
      </c>
      <c r="G8" t="s" s="22">
        <v>19</v>
      </c>
      <c r="H8" s="21" cm="1">
        <f t="array" ref="H8">ROUNDDOWN((F$30*0.05)*100/111,-2)</f>
        <v>4494100</v>
      </c>
      <c r="I8" s="21">
        <v>4495000</v>
      </c>
      <c r="J8" s="21">
        <v>4495000</v>
      </c>
      <c r="K8" s="21">
        <v>11</v>
      </c>
      <c r="L8" s="21" cm="1">
        <f t="array" ref="L8">IF(D8&gt;0,IF($D8&lt;=0,0,D8*H8),"")</f>
        <v>4494100</v>
      </c>
      <c r="M8" s="21" cm="1">
        <f t="array" ref="M8">IF(E8&gt;0,IF($D8&lt;=0,0,ROUND(E8*I8,2)),"")</f>
        <v>4495000</v>
      </c>
      <c r="N8" s="23" cm="1">
        <f t="array" ref="N8">IF(F8&gt;0,IF($D8&lt;=0,0,ROUND(F8*J8,2)),"")</f>
        <v>4495000</v>
      </c>
    </row>
    <row r="9" ht="20.5" customHeight="1">
      <c r="A9" s="95">
        <v>7</v>
      </c>
      <c r="B9" t="s" s="19">
        <v>115</v>
      </c>
      <c r="C9" s="24"/>
      <c r="D9" s="26">
        <v>1</v>
      </c>
      <c r="E9" s="26" cm="1">
        <f t="array" ref="E9">D9</f>
        <v>1</v>
      </c>
      <c r="F9" s="26" cm="1">
        <f t="array" ref="F9">D9</f>
        <v>1</v>
      </c>
      <c r="G9" t="s" s="27">
        <v>19</v>
      </c>
      <c r="H9" s="26" cm="1">
        <f t="array" ref="H9">ROUNDDOWN((F$30*0.15)*100/111,-2)</f>
        <v>13482500</v>
      </c>
      <c r="I9" s="26">
        <v>13420000</v>
      </c>
      <c r="J9" s="26">
        <v>13420000</v>
      </c>
      <c r="K9" s="26">
        <v>11</v>
      </c>
      <c r="L9" s="26" cm="1">
        <f t="array" ref="L9">IF(D9&gt;0,IF($D9&lt;=0,0,D9*H9),"")</f>
        <v>13482500</v>
      </c>
      <c r="M9" s="26" cm="1">
        <f t="array" ref="M9">IF(E9&gt;0,IF($D9&lt;=0,0,ROUND(E9*I9,2)),"")</f>
        <v>13420000</v>
      </c>
      <c r="N9" s="28" cm="1">
        <f t="array" ref="N9">IF(F9&gt;0,IF($D9&lt;=0,0,ROUND(F9*J9,2)),"")</f>
        <v>13420000</v>
      </c>
    </row>
    <row r="10" ht="20.6" customHeight="1">
      <c r="A10" s="33">
        <v>8</v>
      </c>
      <c r="B10" t="s" s="34">
        <v>37</v>
      </c>
      <c r="C10" s="35"/>
      <c r="D10" s="36">
        <v>1</v>
      </c>
      <c r="E10" s="36" cm="1">
        <f t="array" ref="E10">D10</f>
        <v>1</v>
      </c>
      <c r="F10" s="36" cm="1">
        <f t="array" ref="F10">D10</f>
        <v>1</v>
      </c>
      <c r="G10" t="s" s="37">
        <v>19</v>
      </c>
      <c r="H10" s="36">
        <v>215748.96</v>
      </c>
      <c r="I10" s="36">
        <v>215640</v>
      </c>
      <c r="J10" s="36">
        <v>215640</v>
      </c>
      <c r="K10" s="36">
        <v>0</v>
      </c>
      <c r="L10" s="36" cm="1">
        <f t="array" ref="L10">IF(D10&gt;0,IF($D10&lt;=0,0,D10*H10),"")</f>
        <v>215748.96</v>
      </c>
      <c r="M10" s="36" cm="1">
        <f t="array" ref="M10">IF(E10&gt;0,IF($D10&lt;=0,0,ROUND(E10*I10,2)),"")</f>
        <v>215640</v>
      </c>
      <c r="N10" s="38" cm="1">
        <f t="array" ref="N10">IF(F10&gt;0,IF($D10&lt;=0,0,ROUND(F10*J10,2)),"")</f>
        <v>215640</v>
      </c>
    </row>
    <row r="11" ht="8.75" customHeight="1" hidden="1">
      <c r="A11" s="39"/>
      <c r="B11" s="40"/>
      <c r="C11" s="41"/>
      <c r="D11" s="42"/>
      <c r="E11" s="42"/>
      <c r="F11" s="42"/>
      <c r="G11" s="43"/>
      <c r="H11" s="42"/>
      <c r="I11" s="42"/>
      <c r="J11" s="42"/>
      <c r="K11" s="42"/>
      <c r="L11" s="42"/>
      <c r="M11" s="42"/>
      <c r="N11" s="44"/>
    </row>
    <row r="12" ht="8.75" customHeight="1" hidden="1">
      <c r="A12" s="39"/>
      <c r="B12" s="40"/>
      <c r="C12" s="45"/>
      <c r="D12" s="46"/>
      <c r="E12" s="46"/>
      <c r="F12" s="46"/>
      <c r="G12" s="47"/>
      <c r="H12" s="46"/>
      <c r="I12" s="46"/>
      <c r="J12" s="46"/>
      <c r="K12" s="46"/>
      <c r="L12" s="46"/>
      <c r="M12" s="46"/>
      <c r="N12" s="48"/>
    </row>
    <row r="13" ht="8.75" customHeight="1" hidden="1">
      <c r="A13" s="39"/>
      <c r="B13" s="40"/>
      <c r="C13" s="41"/>
      <c r="D13" s="42"/>
      <c r="E13" s="42"/>
      <c r="F13" s="42"/>
      <c r="G13" s="43"/>
      <c r="H13" s="42"/>
      <c r="I13" s="42"/>
      <c r="J13" s="42"/>
      <c r="K13" s="42"/>
      <c r="L13" s="42"/>
      <c r="M13" s="42"/>
      <c r="N13" s="44"/>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2"/>
      <c r="I15" s="42"/>
      <c r="J15" s="42"/>
      <c r="K15" s="42"/>
      <c r="L15" s="42"/>
      <c r="M15" s="42"/>
      <c r="N15" s="44"/>
    </row>
    <row r="16" ht="8.75" customHeight="1" hidden="1">
      <c r="A16" s="39"/>
      <c r="B16" s="40"/>
      <c r="C16" s="45"/>
      <c r="D16" s="46"/>
      <c r="E16" s="46"/>
      <c r="F16" s="46"/>
      <c r="G16" s="47"/>
      <c r="H16" s="46"/>
      <c r="I16" s="46"/>
      <c r="J16" s="46"/>
      <c r="K16" s="46"/>
      <c r="L16" s="46"/>
      <c r="M16" s="46"/>
      <c r="N16" s="48"/>
    </row>
    <row r="17" ht="8.75" customHeight="1" hidden="1">
      <c r="A17" s="39"/>
      <c r="B17" s="40"/>
      <c r="C17" s="41"/>
      <c r="D17" s="42"/>
      <c r="E17" s="42"/>
      <c r="F17" s="42"/>
      <c r="G17" s="43"/>
      <c r="H17" s="43"/>
      <c r="I17" s="43"/>
      <c r="J17" s="43"/>
      <c r="K17" s="42"/>
      <c r="L17" s="43"/>
      <c r="M17" s="43"/>
      <c r="N17" s="49"/>
    </row>
    <row r="18" ht="8.75" customHeight="1" hidden="1">
      <c r="A18" s="39"/>
      <c r="B18" s="40"/>
      <c r="C18" s="45"/>
      <c r="D18" s="46"/>
      <c r="E18" s="46"/>
      <c r="F18" s="46"/>
      <c r="G18" s="47"/>
      <c r="H18" s="50"/>
      <c r="I18" s="50"/>
      <c r="J18" s="50"/>
      <c r="K18" s="46"/>
      <c r="L18" s="46"/>
      <c r="M18" s="46"/>
      <c r="N18" s="48"/>
    </row>
    <row r="19" ht="8.75" customHeight="1" hidden="1">
      <c r="A19" s="39"/>
      <c r="B19" s="40"/>
      <c r="C19" s="41"/>
      <c r="D19" s="42"/>
      <c r="E19" s="42"/>
      <c r="F19" s="42"/>
      <c r="G19" s="43"/>
      <c r="H19" s="43"/>
      <c r="I19" s="43"/>
      <c r="J19" s="43"/>
      <c r="K19" s="42"/>
      <c r="L19" s="43"/>
      <c r="M19" s="43"/>
      <c r="N19" s="49"/>
    </row>
    <row r="20" ht="8.75" customHeight="1" hidden="1">
      <c r="A20" s="39"/>
      <c r="B20" s="40"/>
      <c r="C20" s="45"/>
      <c r="D20" s="46"/>
      <c r="E20" s="46"/>
      <c r="F20" s="46"/>
      <c r="G20" s="47"/>
      <c r="H20" s="46"/>
      <c r="I20" s="46"/>
      <c r="J20" s="46"/>
      <c r="K20" s="46"/>
      <c r="L20" s="46"/>
      <c r="M20" s="46"/>
      <c r="N20" s="48"/>
    </row>
    <row r="21" ht="8.75" customHeight="1" hidden="1">
      <c r="A21" s="39"/>
      <c r="B21" s="40"/>
      <c r="C21" s="41"/>
      <c r="D21" s="42"/>
      <c r="E21" s="42"/>
      <c r="F21" s="42"/>
      <c r="G21" s="43"/>
      <c r="H21" s="42"/>
      <c r="I21" s="42"/>
      <c r="J21" s="42"/>
      <c r="K21" s="42"/>
      <c r="L21" s="42"/>
      <c r="M21" s="42"/>
      <c r="N21" s="44"/>
    </row>
    <row r="22" ht="8.75" customHeight="1" hidden="1">
      <c r="A22" s="51"/>
      <c r="B22" s="40"/>
      <c r="C22" s="45"/>
      <c r="D22" s="46"/>
      <c r="E22" s="46"/>
      <c r="F22" s="46"/>
      <c r="G22" s="47"/>
      <c r="H22" s="46"/>
      <c r="I22" s="46"/>
      <c r="J22" s="46"/>
      <c r="K22" s="46"/>
      <c r="L22" s="46"/>
      <c r="M22" s="46"/>
      <c r="N22" s="48"/>
    </row>
    <row r="23" ht="8.75" customHeight="1" hidden="1">
      <c r="A23" s="51"/>
      <c r="B23" s="40"/>
      <c r="C23" s="41"/>
      <c r="D23" s="42"/>
      <c r="E23" s="42"/>
      <c r="F23" s="42"/>
      <c r="G23" s="43"/>
      <c r="H23" s="42"/>
      <c r="I23" s="42"/>
      <c r="J23" s="42"/>
      <c r="K23" s="42"/>
      <c r="L23" s="42"/>
      <c r="M23" s="42"/>
      <c r="N23" s="44"/>
    </row>
    <row r="24" ht="8.75" customHeight="1" hidden="1">
      <c r="A24" s="39"/>
      <c r="B24" s="40"/>
      <c r="C24" s="45"/>
      <c r="D24" s="46"/>
      <c r="E24" s="46"/>
      <c r="F24" s="46"/>
      <c r="G24" s="47"/>
      <c r="H24" s="46"/>
      <c r="I24" s="46"/>
      <c r="J24" s="46"/>
      <c r="K24" s="46"/>
      <c r="L24" s="47"/>
      <c r="M24" s="47"/>
      <c r="N24" s="52"/>
    </row>
    <row r="25" ht="8.75" customHeight="1" hidden="1">
      <c r="A25" s="39"/>
      <c r="B25" s="40"/>
      <c r="C25" s="41"/>
      <c r="D25" s="42"/>
      <c r="E25" s="42"/>
      <c r="F25" s="42"/>
      <c r="G25" s="43"/>
      <c r="H25" s="42"/>
      <c r="I25" s="42"/>
      <c r="J25" s="42"/>
      <c r="K25" s="42"/>
      <c r="L25" s="42"/>
      <c r="M25" s="42"/>
      <c r="N25" s="44"/>
    </row>
    <row r="26" ht="8.75" customHeight="1" hidden="1">
      <c r="A26" s="39"/>
      <c r="B26" s="40"/>
      <c r="C26" s="45"/>
      <c r="D26" s="46"/>
      <c r="E26" s="46"/>
      <c r="F26" s="46"/>
      <c r="G26" s="47"/>
      <c r="H26" s="46"/>
      <c r="I26" s="46"/>
      <c r="J26" s="46"/>
      <c r="K26" s="46"/>
      <c r="L26" s="47"/>
      <c r="M26" s="47"/>
      <c r="N26" s="52"/>
    </row>
    <row r="27" ht="20.85" customHeight="1">
      <c r="A27" s="108"/>
      <c r="B27" s="54"/>
      <c r="C27" s="54"/>
      <c r="D27" s="55"/>
      <c r="E27" s="55"/>
      <c r="F27" s="55"/>
      <c r="G27" s="56"/>
      <c r="H27" s="56"/>
      <c r="I27" s="54"/>
      <c r="J27" s="57"/>
      <c r="K27" t="s" s="58">
        <v>38</v>
      </c>
      <c r="L27" s="59" cm="1">
        <f t="array" ref="L27">SUM(L1:L26)</f>
        <v>90098848.95999999</v>
      </c>
      <c r="M27" s="59" cm="1">
        <f t="array" ref="M27">SUM(M1:M26)</f>
        <v>90065640</v>
      </c>
      <c r="N27" s="59" cm="1">
        <f t="array" ref="N27">SUM(N1:N26)</f>
        <v>90065640</v>
      </c>
    </row>
    <row r="28" ht="21" customHeight="1">
      <c r="A28" s="63" cm="1">
        <f t="array" ref="A28">ROUND(IF(I28&lt;=100000000,I28*0.24%,IF(AND(I28&gt;100000000,I28&lt;=500000000),100000000*0.24%+(I28-100000000)*0.19%,IF(AND(I28&gt;500000000,I28&lt;=1000000000),100000000*0.24%+400000000*0.19%+(I28-500000000)*0.15%,IF(AND(I28&gt;1000000000,I28&lt;=5000000000),100000000*0.24%+400000000*0.19%+500000000*0.15%+(I28-1000000000)*0.12%,IF(I28&gt;5000000000,100000000*0.24%+400000000*0.19%+500000000*0.15%+4000000000*0.12%+(I28-5000000000)*0.1%,"Bingung komputer"))))),2)</f>
        <v>0</v>
      </c>
      <c r="B28" t="s" s="109">
        <v>39</v>
      </c>
      <c r="C28" s="62"/>
      <c r="D28" s="63" cm="1">
        <f t="array" ref="D28">ROUND(IF(L28&lt;=100000000,L28*0.24%,IF(AND(L28&gt;100000000,L28&lt;=500000000),100000000*0.24%+(L28-100000000)*0.19%,IF(AND(L28&gt;500000000,L28&lt;=1000000000),100000000*0.24%+400000000*0.19%+(L28-500000000)*0.15%,IF(AND(L28&gt;1000000000,L28&lt;=5000000000),100000000*0.24%+400000000*0.19%+500000000*0.15%+(L28-1000000000)*0.12%,IF(L28&gt;5000000000,100000000*0.24%+400000000*0.19%+500000000*0.15%+4000000000*0.12%+(L28-5000000000)*0.1%,"Bingung komputer"))))),2)</f>
        <v>215719.44</v>
      </c>
      <c r="E28" s="64" cm="1">
        <f t="array" ref="E28">ROUND(IF(M28&lt;=100000000,M28*0.24%,IF(AND(M28&gt;100000000,M28&lt;=500000000),100000000*0.24%+(M28-100000000)*0.19%,IF(AND(M28&gt;500000000,M28&lt;=1000000000),100000000*0.24%+400000000*0.19%+(M28-500000000)*0.15%,IF(AND(M28&gt;1000000000,M28&lt;=5000000000),100000000*0.24%+400000000*0.19%+500000000*0.15%+(M28-1000000000)*0.12%,IF(M28&gt;5000000000,100000000*0.24%+400000000*0.19%+500000000*0.15%+4000000000*0.12%+(M28-5000000000)*0.1%,"Bingung komputer"))))),2)</f>
        <v>215640</v>
      </c>
      <c r="F28" s="64" cm="1">
        <f t="array" ref="F28">ROUND(IF(N28&lt;=100000000,N28*0.24%,IF(AND(N28&gt;100000000,N28&lt;=500000000),100000000*0.24%+(N28-100000000)*0.19%,IF(AND(N28&gt;500000000,N28&lt;=1000000000),100000000*0.24%+400000000*0.19%+(N28-500000000)*0.15%,IF(AND(N28&gt;1000000000,N28&lt;=5000000000),100000000*0.24%+400000000*0.19%+500000000*0.15%+(N28-1000000000)*0.12%,IF(N28&gt;5000000000,100000000*0.24%+400000000*0.19%+500000000*0.15%+4000000000*0.12%+(N28-5000000000)*0.1%,"Bingung komputer"))))),2)</f>
        <v>215640</v>
      </c>
      <c r="G28" s="65"/>
      <c r="H28" s="66"/>
      <c r="I28" s="68"/>
      <c r="J28" s="67"/>
      <c r="K28" t="str" s="67" cm="1">
        <f t="array" ref="K28">"Jumlah Terkena Pajak "&amp;MAX(K3:K26)&amp;"% (B)"</f>
        <v>Jumlah Terkena Pajak 11,00% (B)</v>
      </c>
      <c r="L28" s="68" cm="1">
        <f t="array" ref="L28">SUMIF($K3:$K26,"&gt;0",L3:L26)</f>
        <v>89883100</v>
      </c>
      <c r="M28" s="69" cm="1">
        <f t="array" ref="M28">SUMIF($K3:$K26,"&gt;0",M3:M26)</f>
        <v>89850000</v>
      </c>
      <c r="N28" s="69" cm="1">
        <f t="array" ref="N28">SUMIF($K3:$K26,"&gt;0",N3:N26)</f>
        <v>89850000</v>
      </c>
    </row>
    <row r="29" ht="21" customHeight="1">
      <c r="A29" s="70"/>
      <c r="B29" s="71"/>
      <c r="C29" s="71"/>
      <c r="D29" s="72"/>
      <c r="E29" s="72"/>
      <c r="F29" s="71"/>
      <c r="G29" s="72"/>
      <c r="H29" s="72"/>
      <c r="I29" s="74"/>
      <c r="J29" s="73"/>
      <c r="K29" t="str" s="73" cm="1">
        <f t="array" ref="K29">"PPN (C) = "&amp;MAX(K3:K26)&amp;"% x B"</f>
        <v>PPN (C) = 11,00% x B</v>
      </c>
      <c r="L29" s="74" cm="1">
        <f t="array" ref="L29">L28*MAX($K3:$K26)%</f>
        <v>9887141</v>
      </c>
      <c r="M29" s="69" cm="1">
        <f t="array" ref="M29">M28*MAX($K3:$K26)%</f>
        <v>9883500</v>
      </c>
      <c r="N29" s="69" cm="1">
        <f t="array" ref="N29">N28*MAX($K3:$K26)%</f>
        <v>9883500</v>
      </c>
    </row>
    <row r="30" ht="21" customHeight="1">
      <c r="A30" s="70"/>
      <c r="B30" s="71"/>
      <c r="C30" s="71"/>
      <c r="D30" t="s" s="110">
        <v>116</v>
      </c>
      <c r="E30" s="112">
        <v>100000000</v>
      </c>
      <c r="F30" s="112">
        <v>99770500</v>
      </c>
      <c r="G30" s="72"/>
      <c r="H30" s="72"/>
      <c r="I30" s="71"/>
      <c r="J30" s="73"/>
      <c r="K30" t="s" s="75">
        <v>42</v>
      </c>
      <c r="L30" s="76" cm="1">
        <f t="array" ref="L30">L27+L29</f>
        <v>99985989.95999999</v>
      </c>
      <c r="M30" s="69" cm="1">
        <f t="array" ref="M30">M27+M29</f>
        <v>99949140</v>
      </c>
      <c r="N30" s="69" cm="1">
        <f t="array" ref="N30">N27+N29</f>
        <v>99949140</v>
      </c>
    </row>
    <row r="31" ht="20.5" customHeight="1">
      <c r="A31" s="70"/>
      <c r="B31" s="71"/>
      <c r="C31" s="71"/>
      <c r="D31" s="72"/>
      <c r="E31" s="72" cm="1">
        <f t="array" ref="E31">E$30-L$31</f>
        <v>14010.04</v>
      </c>
      <c r="F31" s="113" cm="1">
        <f t="array" ref="F31">ROUNDDOWN(E$30-D$28,2)</f>
        <v>99784280.56</v>
      </c>
      <c r="G31" s="72"/>
      <c r="H31" s="72"/>
      <c r="I31" s="71"/>
      <c r="J31" s="73"/>
      <c r="K31" t="s" s="75">
        <v>43</v>
      </c>
      <c r="L31" s="68" cm="1">
        <f t="array" ref="L31">ROUNDDOWN(L30,2)</f>
        <v>99985989.95999999</v>
      </c>
      <c r="M31" s="68" cm="1">
        <f t="array" ref="M31">ROUNDDOWN(M30,2)</f>
        <v>99949140</v>
      </c>
      <c r="N31" s="68" cm="1">
        <f t="array" ref="N31">ROUNDDOWN(N30,-3)</f>
        <v>99949000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53.xml><?xml version="1.0" encoding="utf-8"?>
<worksheet xmlns:r="http://schemas.openxmlformats.org/officeDocument/2006/relationships" xmlns="http://schemas.openxmlformats.org/spreadsheetml/2006/main">
  <sheetPr>
    <pageSetUpPr fitToPage="1"/>
  </sheetPr>
  <dimension ref="A1:N31"/>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348" customWidth="1"/>
    <col min="2" max="2" width="43.0312" style="348" customWidth="1"/>
    <col min="3" max="3" width="2.75" style="348" customWidth="1"/>
    <col min="4" max="6" width="10.3672" style="348" customWidth="1"/>
    <col min="7" max="7" width="11.6875" style="348" customWidth="1"/>
    <col min="8" max="11" width="13.5156" style="348" customWidth="1"/>
    <col min="12" max="14" width="14.2344" style="348" customWidth="1"/>
    <col min="15" max="16384" width="16.3516" style="348"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109</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s="95">
        <v>1</v>
      </c>
      <c r="B4" t="s" s="19">
        <v>110</v>
      </c>
      <c r="C4" s="20"/>
      <c r="D4" s="21">
        <v>1</v>
      </c>
      <c r="E4" s="21" cm="1">
        <f t="array" ref="E4">D4</f>
        <v>1</v>
      </c>
      <c r="F4" s="21" cm="1">
        <f t="array" ref="F4">D4</f>
        <v>1</v>
      </c>
      <c r="G4" t="s" s="22">
        <v>19</v>
      </c>
      <c r="H4" s="21" cm="1">
        <f t="array" ref="H4">ROUNDDOWN((F$30*0.1)*100/111,-2)</f>
        <v>8988300</v>
      </c>
      <c r="I4" s="21">
        <v>8980000</v>
      </c>
      <c r="J4" s="21">
        <v>8980000</v>
      </c>
      <c r="K4" s="21">
        <v>11</v>
      </c>
      <c r="L4" s="21" cm="1">
        <f t="array" ref="L4">IF(D4&gt;0,IF($D4&lt;=0,0,D4*H4),"")</f>
        <v>8988300</v>
      </c>
      <c r="M4" s="21" cm="1">
        <f t="array" ref="M4">IF(E4&gt;0,IF($D4&lt;=0,0,ROUND(E4*I4,2)),"")</f>
        <v>8980000</v>
      </c>
      <c r="N4" s="23" cm="1">
        <f t="array" ref="N4">IF(F4&gt;0,IF($D4&lt;=0,0,ROUND(F4*J4,2)),"")</f>
        <v>8980000</v>
      </c>
    </row>
    <row r="5" ht="20.5" customHeight="1">
      <c r="A5" s="95">
        <v>2</v>
      </c>
      <c r="B5" t="s" s="19">
        <v>111</v>
      </c>
      <c r="C5" s="24"/>
      <c r="D5" s="26">
        <v>1</v>
      </c>
      <c r="E5" s="26" cm="1">
        <f t="array" ref="E5">D5</f>
        <v>1</v>
      </c>
      <c r="F5" s="26" cm="1">
        <f t="array" ref="F5">D5</f>
        <v>1</v>
      </c>
      <c r="G5" t="s" s="27">
        <v>19</v>
      </c>
      <c r="H5" s="26" cm="1">
        <f t="array" ref="H5">ROUNDDOWN((F$30*0.2)*100/111,-2)</f>
        <v>17976600</v>
      </c>
      <c r="I5" s="26">
        <v>17980000</v>
      </c>
      <c r="J5" s="26">
        <v>17980000</v>
      </c>
      <c r="K5" s="26">
        <v>11</v>
      </c>
      <c r="L5" s="26" cm="1">
        <f t="array" ref="L5">IF(D5&gt;0,IF($D5&lt;=0,0,D5*H5),"")</f>
        <v>17976600</v>
      </c>
      <c r="M5" s="26" cm="1">
        <f t="array" ref="M5">IF(E5&gt;0,IF($D5&lt;=0,0,ROUND(E5*I5,2)),"")</f>
        <v>17980000</v>
      </c>
      <c r="N5" s="28" cm="1">
        <f t="array" ref="N5">IF(F5&gt;0,IF($D5&lt;=0,0,ROUND(F5*J5,2)),"")</f>
        <v>17980000</v>
      </c>
    </row>
    <row r="6" ht="20.5" customHeight="1">
      <c r="A6" s="95">
        <v>3</v>
      </c>
      <c r="B6" t="s" s="19">
        <v>112</v>
      </c>
      <c r="C6" s="20"/>
      <c r="D6" s="21">
        <v>1</v>
      </c>
      <c r="E6" s="21" cm="1">
        <f t="array" ref="E6">D6</f>
        <v>1</v>
      </c>
      <c r="F6" s="21" cm="1">
        <f t="array" ref="F6">D6</f>
        <v>1</v>
      </c>
      <c r="G6" t="s" s="22">
        <v>19</v>
      </c>
      <c r="H6" s="21" cm="1">
        <f t="array" ref="H6">ROUNDDOWN((F$30*0.25)*100/111,-2)</f>
        <v>22470800</v>
      </c>
      <c r="I6" s="21">
        <v>22485000</v>
      </c>
      <c r="J6" s="21">
        <v>22485000</v>
      </c>
      <c r="K6" s="21">
        <v>11</v>
      </c>
      <c r="L6" s="21" cm="1">
        <f t="array" ref="L6">IF(D6&gt;0,IF($D6&lt;=0,0,D6*H6),"")</f>
        <v>22470800</v>
      </c>
      <c r="M6" s="21" cm="1">
        <f t="array" ref="M6">IF(E6&gt;0,IF($D6&lt;=0,0,ROUND(E6*I6,2)),"")</f>
        <v>22485000</v>
      </c>
      <c r="N6" s="23" cm="1">
        <f t="array" ref="N6">IF(F6&gt;0,IF($D6&lt;=0,0,ROUND(F6*J6,2)),"")</f>
        <v>22485000</v>
      </c>
    </row>
    <row r="7" ht="68.5" customHeight="1">
      <c r="A7" s="95">
        <v>5</v>
      </c>
      <c r="B7" t="s" s="19">
        <v>113</v>
      </c>
      <c r="C7" s="24"/>
      <c r="D7" s="26">
        <v>1</v>
      </c>
      <c r="E7" s="26" cm="1">
        <f t="array" ref="E7">D7</f>
        <v>1</v>
      </c>
      <c r="F7" s="26" cm="1">
        <f t="array" ref="F7">D7</f>
        <v>1</v>
      </c>
      <c r="G7" t="s" s="27">
        <v>19</v>
      </c>
      <c r="H7" s="26" cm="1">
        <f t="array" ref="H7">ROUNDDOWN((F$30*0.25)*100/111,-2)</f>
        <v>22470800</v>
      </c>
      <c r="I7" s="26">
        <v>22485000</v>
      </c>
      <c r="J7" s="26">
        <v>22485000</v>
      </c>
      <c r="K7" s="26">
        <v>11</v>
      </c>
      <c r="L7" s="26" cm="1">
        <f t="array" ref="L7">IF(D7&gt;0,IF($D7&lt;=0,0,D7*H7),"")</f>
        <v>22470800</v>
      </c>
      <c r="M7" s="26" cm="1">
        <f t="array" ref="M7">IF(E7&gt;0,IF($D7&lt;=0,0,ROUND(E7*I7,2)),"")</f>
        <v>22485000</v>
      </c>
      <c r="N7" s="28" cm="1">
        <f t="array" ref="N7">IF(F7&gt;0,IF($D7&lt;=0,0,ROUND(F7*J7,2)),"")</f>
        <v>22485000</v>
      </c>
    </row>
    <row r="8" ht="32.5" customHeight="1">
      <c r="A8" s="95">
        <v>6</v>
      </c>
      <c r="B8" t="s" s="19">
        <v>114</v>
      </c>
      <c r="C8" s="20"/>
      <c r="D8" s="21">
        <v>1</v>
      </c>
      <c r="E8" s="21" cm="1">
        <f t="array" ref="E8">D8</f>
        <v>1</v>
      </c>
      <c r="F8" s="21" cm="1">
        <f t="array" ref="F8">D8</f>
        <v>1</v>
      </c>
      <c r="G8" t="s" s="22">
        <v>19</v>
      </c>
      <c r="H8" s="21" cm="1">
        <f t="array" ref="H8">ROUNDDOWN((F$30*0.05)*100/111,-2)</f>
        <v>4494100</v>
      </c>
      <c r="I8" s="21">
        <v>4495000</v>
      </c>
      <c r="J8" s="21">
        <v>4495000</v>
      </c>
      <c r="K8" s="21">
        <v>11</v>
      </c>
      <c r="L8" s="21" cm="1">
        <f t="array" ref="L8">IF(D8&gt;0,IF($D8&lt;=0,0,D8*H8),"")</f>
        <v>4494100</v>
      </c>
      <c r="M8" s="21" cm="1">
        <f t="array" ref="M8">IF(E8&gt;0,IF($D8&lt;=0,0,ROUND(E8*I8,2)),"")</f>
        <v>4495000</v>
      </c>
      <c r="N8" s="23" cm="1">
        <f t="array" ref="N8">IF(F8&gt;0,IF($D8&lt;=0,0,ROUND(F8*J8,2)),"")</f>
        <v>4495000</v>
      </c>
    </row>
    <row r="9" ht="20.5" customHeight="1">
      <c r="A9" s="95">
        <v>7</v>
      </c>
      <c r="B9" t="s" s="19">
        <v>115</v>
      </c>
      <c r="C9" s="24"/>
      <c r="D9" s="26">
        <v>1</v>
      </c>
      <c r="E9" s="26" cm="1">
        <f t="array" ref="E9">D9</f>
        <v>1</v>
      </c>
      <c r="F9" s="26" cm="1">
        <f t="array" ref="F9">D9</f>
        <v>1</v>
      </c>
      <c r="G9" t="s" s="27">
        <v>19</v>
      </c>
      <c r="H9" s="26" cm="1">
        <f t="array" ref="H9">ROUNDDOWN((F$30*0.15)*100/111,-2)</f>
        <v>13482500</v>
      </c>
      <c r="I9" s="26">
        <v>13420000</v>
      </c>
      <c r="J9" s="26">
        <v>13420000</v>
      </c>
      <c r="K9" s="26">
        <v>11</v>
      </c>
      <c r="L9" s="26" cm="1">
        <f t="array" ref="L9">IF(D9&gt;0,IF($D9&lt;=0,0,D9*H9),"")</f>
        <v>13482500</v>
      </c>
      <c r="M9" s="26" cm="1">
        <f t="array" ref="M9">IF(E9&gt;0,IF($D9&lt;=0,0,ROUND(E9*I9,2)),"")</f>
        <v>13420000</v>
      </c>
      <c r="N9" s="28" cm="1">
        <f t="array" ref="N9">IF(F9&gt;0,IF($D9&lt;=0,0,ROUND(F9*J9,2)),"")</f>
        <v>13420000</v>
      </c>
    </row>
    <row r="10" ht="20.6" customHeight="1">
      <c r="A10" s="33">
        <v>8</v>
      </c>
      <c r="B10" t="s" s="34">
        <v>37</v>
      </c>
      <c r="C10" s="35"/>
      <c r="D10" s="36">
        <v>1</v>
      </c>
      <c r="E10" s="36" cm="1">
        <f t="array" ref="E10">D10</f>
        <v>1</v>
      </c>
      <c r="F10" s="36" cm="1">
        <f t="array" ref="F10">D10</f>
        <v>1</v>
      </c>
      <c r="G10" t="s" s="37">
        <v>19</v>
      </c>
      <c r="H10" s="36">
        <v>215748.96</v>
      </c>
      <c r="I10" s="36">
        <v>215628</v>
      </c>
      <c r="J10" s="36">
        <v>215628</v>
      </c>
      <c r="K10" s="36">
        <v>0</v>
      </c>
      <c r="L10" s="36" cm="1">
        <f t="array" ref="L10">IF(D10&gt;0,IF($D10&lt;=0,0,D10*H10),"")</f>
        <v>215748.96</v>
      </c>
      <c r="M10" s="36" cm="1">
        <f t="array" ref="M10">IF(E10&gt;0,IF($D10&lt;=0,0,ROUND(E10*I10,2)),"")</f>
        <v>215628</v>
      </c>
      <c r="N10" s="38" cm="1">
        <f t="array" ref="N10">IF(F10&gt;0,IF($D10&lt;=0,0,ROUND(F10*J10,2)),"")</f>
        <v>215628</v>
      </c>
    </row>
    <row r="11" ht="8.75" customHeight="1" hidden="1">
      <c r="A11" s="39"/>
      <c r="B11" s="40"/>
      <c r="C11" s="41"/>
      <c r="D11" s="42"/>
      <c r="E11" s="42"/>
      <c r="F11" s="42"/>
      <c r="G11" s="43"/>
      <c r="H11" s="42"/>
      <c r="I11" s="42"/>
      <c r="J11" s="42"/>
      <c r="K11" s="42"/>
      <c r="L11" s="42"/>
      <c r="M11" s="42"/>
      <c r="N11" s="44"/>
    </row>
    <row r="12" ht="8.75" customHeight="1" hidden="1">
      <c r="A12" s="39"/>
      <c r="B12" s="40"/>
      <c r="C12" s="45"/>
      <c r="D12" s="46"/>
      <c r="E12" s="46"/>
      <c r="F12" s="46"/>
      <c r="G12" s="47"/>
      <c r="H12" s="46"/>
      <c r="I12" s="46"/>
      <c r="J12" s="46"/>
      <c r="K12" s="46"/>
      <c r="L12" s="46"/>
      <c r="M12" s="46"/>
      <c r="N12" s="48"/>
    </row>
    <row r="13" ht="8.75" customHeight="1" hidden="1">
      <c r="A13" s="39"/>
      <c r="B13" s="40"/>
      <c r="C13" s="41"/>
      <c r="D13" s="42"/>
      <c r="E13" s="42"/>
      <c r="F13" s="42"/>
      <c r="G13" s="43"/>
      <c r="H13" s="42"/>
      <c r="I13" s="42"/>
      <c r="J13" s="42"/>
      <c r="K13" s="42"/>
      <c r="L13" s="42"/>
      <c r="M13" s="42"/>
      <c r="N13" s="44"/>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2"/>
      <c r="I15" s="42"/>
      <c r="J15" s="42"/>
      <c r="K15" s="42"/>
      <c r="L15" s="42"/>
      <c r="M15" s="42"/>
      <c r="N15" s="44"/>
    </row>
    <row r="16" ht="8.75" customHeight="1" hidden="1">
      <c r="A16" s="39"/>
      <c r="B16" s="40"/>
      <c r="C16" s="45"/>
      <c r="D16" s="46"/>
      <c r="E16" s="46"/>
      <c r="F16" s="46"/>
      <c r="G16" s="47"/>
      <c r="H16" s="46"/>
      <c r="I16" s="46"/>
      <c r="J16" s="46"/>
      <c r="K16" s="46"/>
      <c r="L16" s="46"/>
      <c r="M16" s="46"/>
      <c r="N16" s="48"/>
    </row>
    <row r="17" ht="8.75" customHeight="1" hidden="1">
      <c r="A17" s="39"/>
      <c r="B17" s="40"/>
      <c r="C17" s="41"/>
      <c r="D17" s="42"/>
      <c r="E17" s="42"/>
      <c r="F17" s="42"/>
      <c r="G17" s="43"/>
      <c r="H17" s="43"/>
      <c r="I17" s="43"/>
      <c r="J17" s="43"/>
      <c r="K17" s="42"/>
      <c r="L17" s="43"/>
      <c r="M17" s="43"/>
      <c r="N17" s="49"/>
    </row>
    <row r="18" ht="8.75" customHeight="1" hidden="1">
      <c r="A18" s="39"/>
      <c r="B18" s="40"/>
      <c r="C18" s="45"/>
      <c r="D18" s="46"/>
      <c r="E18" s="46"/>
      <c r="F18" s="46"/>
      <c r="G18" s="47"/>
      <c r="H18" s="50"/>
      <c r="I18" s="50"/>
      <c r="J18" s="50"/>
      <c r="K18" s="46"/>
      <c r="L18" s="46"/>
      <c r="M18" s="46"/>
      <c r="N18" s="48"/>
    </row>
    <row r="19" ht="8.75" customHeight="1" hidden="1">
      <c r="A19" s="39"/>
      <c r="B19" s="40"/>
      <c r="C19" s="41"/>
      <c r="D19" s="42"/>
      <c r="E19" s="42"/>
      <c r="F19" s="42"/>
      <c r="G19" s="43"/>
      <c r="H19" s="43"/>
      <c r="I19" s="43"/>
      <c r="J19" s="43"/>
      <c r="K19" s="42"/>
      <c r="L19" s="43"/>
      <c r="M19" s="43"/>
      <c r="N19" s="49"/>
    </row>
    <row r="20" ht="8.75" customHeight="1" hidden="1">
      <c r="A20" s="39"/>
      <c r="B20" s="40"/>
      <c r="C20" s="45"/>
      <c r="D20" s="46"/>
      <c r="E20" s="46"/>
      <c r="F20" s="46"/>
      <c r="G20" s="47"/>
      <c r="H20" s="46"/>
      <c r="I20" s="46"/>
      <c r="J20" s="46"/>
      <c r="K20" s="46"/>
      <c r="L20" s="46"/>
      <c r="M20" s="46"/>
      <c r="N20" s="48"/>
    </row>
    <row r="21" ht="8.75" customHeight="1" hidden="1">
      <c r="A21" s="39"/>
      <c r="B21" s="40"/>
      <c r="C21" s="41"/>
      <c r="D21" s="42"/>
      <c r="E21" s="42"/>
      <c r="F21" s="42"/>
      <c r="G21" s="43"/>
      <c r="H21" s="42"/>
      <c r="I21" s="42"/>
      <c r="J21" s="42"/>
      <c r="K21" s="42"/>
      <c r="L21" s="42"/>
      <c r="M21" s="42"/>
      <c r="N21" s="44"/>
    </row>
    <row r="22" ht="8.75" customHeight="1" hidden="1">
      <c r="A22" s="51"/>
      <c r="B22" s="40"/>
      <c r="C22" s="45"/>
      <c r="D22" s="46"/>
      <c r="E22" s="46"/>
      <c r="F22" s="46"/>
      <c r="G22" s="47"/>
      <c r="H22" s="46"/>
      <c r="I22" s="46"/>
      <c r="J22" s="46"/>
      <c r="K22" s="46"/>
      <c r="L22" s="46"/>
      <c r="M22" s="46"/>
      <c r="N22" s="48"/>
    </row>
    <row r="23" ht="8.75" customHeight="1" hidden="1">
      <c r="A23" s="51"/>
      <c r="B23" s="40"/>
      <c r="C23" s="41"/>
      <c r="D23" s="42"/>
      <c r="E23" s="42"/>
      <c r="F23" s="42"/>
      <c r="G23" s="43"/>
      <c r="H23" s="42"/>
      <c r="I23" s="42"/>
      <c r="J23" s="42"/>
      <c r="K23" s="42"/>
      <c r="L23" s="42"/>
      <c r="M23" s="42"/>
      <c r="N23" s="44"/>
    </row>
    <row r="24" ht="8.75" customHeight="1" hidden="1">
      <c r="A24" s="39"/>
      <c r="B24" s="40"/>
      <c r="C24" s="45"/>
      <c r="D24" s="46"/>
      <c r="E24" s="46"/>
      <c r="F24" s="46"/>
      <c r="G24" s="47"/>
      <c r="H24" s="46"/>
      <c r="I24" s="46"/>
      <c r="J24" s="46"/>
      <c r="K24" s="46"/>
      <c r="L24" s="47"/>
      <c r="M24" s="47"/>
      <c r="N24" s="52"/>
    </row>
    <row r="25" ht="8.75" customHeight="1" hidden="1">
      <c r="A25" s="39"/>
      <c r="B25" s="40"/>
      <c r="C25" s="41"/>
      <c r="D25" s="42"/>
      <c r="E25" s="42"/>
      <c r="F25" s="42"/>
      <c r="G25" s="43"/>
      <c r="H25" s="42"/>
      <c r="I25" s="42"/>
      <c r="J25" s="42"/>
      <c r="K25" s="42"/>
      <c r="L25" s="42"/>
      <c r="M25" s="42"/>
      <c r="N25" s="44"/>
    </row>
    <row r="26" ht="8.75" customHeight="1" hidden="1">
      <c r="A26" s="39"/>
      <c r="B26" s="40"/>
      <c r="C26" s="45"/>
      <c r="D26" s="46"/>
      <c r="E26" s="46"/>
      <c r="F26" s="46"/>
      <c r="G26" s="47"/>
      <c r="H26" s="46"/>
      <c r="I26" s="46"/>
      <c r="J26" s="46"/>
      <c r="K26" s="46"/>
      <c r="L26" s="47"/>
      <c r="M26" s="47"/>
      <c r="N26" s="52"/>
    </row>
    <row r="27" ht="20.85" customHeight="1">
      <c r="A27" s="108"/>
      <c r="B27" s="54"/>
      <c r="C27" s="54"/>
      <c r="D27" s="55"/>
      <c r="E27" s="55"/>
      <c r="F27" s="55"/>
      <c r="G27" s="56"/>
      <c r="H27" s="56"/>
      <c r="I27" s="54"/>
      <c r="J27" s="57"/>
      <c r="K27" t="s" s="58">
        <v>38</v>
      </c>
      <c r="L27" s="59" cm="1">
        <f t="array" ref="L27">SUM(L1:L26)</f>
        <v>90098848.95999999</v>
      </c>
      <c r="M27" s="59" cm="1">
        <f t="array" ref="M27">SUM(M1:M26)</f>
        <v>90060628</v>
      </c>
      <c r="N27" s="59" cm="1">
        <f t="array" ref="N27">SUM(N1:N26)</f>
        <v>90060628</v>
      </c>
    </row>
    <row r="28" ht="21" customHeight="1">
      <c r="A28" s="63" cm="1">
        <f t="array" ref="A28">ROUND(IF(I28&lt;=100000000,I28*0.24%,IF(AND(I28&gt;100000000,I28&lt;=500000000),100000000*0.24%+(I28-100000000)*0.19%,IF(AND(I28&gt;500000000,I28&lt;=1000000000),100000000*0.24%+400000000*0.19%+(I28-500000000)*0.15%,IF(AND(I28&gt;1000000000,I28&lt;=5000000000),100000000*0.24%+400000000*0.19%+500000000*0.15%+(I28-1000000000)*0.12%,IF(I28&gt;5000000000,100000000*0.24%+400000000*0.19%+500000000*0.15%+4000000000*0.12%+(I28-5000000000)*0.1%,"Bingung komputer"))))),2)</f>
        <v>0</v>
      </c>
      <c r="B28" t="s" s="109">
        <v>39</v>
      </c>
      <c r="C28" s="62"/>
      <c r="D28" s="63" cm="1">
        <f t="array" ref="D28">ROUND(IF(L28&lt;=100000000,L28*0.24%,IF(AND(L28&gt;100000000,L28&lt;=500000000),100000000*0.24%+(L28-100000000)*0.19%,IF(AND(L28&gt;500000000,L28&lt;=1000000000),100000000*0.24%+400000000*0.19%+(L28-500000000)*0.15%,IF(AND(L28&gt;1000000000,L28&lt;=5000000000),100000000*0.24%+400000000*0.19%+500000000*0.15%+(L28-1000000000)*0.12%,IF(L28&gt;5000000000,100000000*0.24%+400000000*0.19%+500000000*0.15%+4000000000*0.12%+(L28-5000000000)*0.1%,"Bingung komputer"))))),2)</f>
        <v>215719.44</v>
      </c>
      <c r="E28" s="64" cm="1">
        <f t="array" ref="E28">ROUND(IF(M28&lt;=100000000,M28*0.24%,IF(AND(M28&gt;100000000,M28&lt;=500000000),100000000*0.24%+(M28-100000000)*0.19%,IF(AND(M28&gt;500000000,M28&lt;=1000000000),100000000*0.24%+400000000*0.19%+(M28-500000000)*0.15%,IF(AND(M28&gt;1000000000,M28&lt;=5000000000),100000000*0.24%+400000000*0.19%+500000000*0.15%+(M28-1000000000)*0.12%,IF(M28&gt;5000000000,100000000*0.24%+400000000*0.19%+500000000*0.15%+4000000000*0.12%+(M28-5000000000)*0.1%,"Bingung komputer"))))),2)</f>
        <v>215628</v>
      </c>
      <c r="F28" s="64" cm="1">
        <f t="array" ref="F28">ROUND(IF(N28&lt;=100000000,N28*0.24%,IF(AND(N28&gt;100000000,N28&lt;=500000000),100000000*0.24%+(N28-100000000)*0.19%,IF(AND(N28&gt;500000000,N28&lt;=1000000000),100000000*0.24%+400000000*0.19%+(N28-500000000)*0.15%,IF(AND(N28&gt;1000000000,N28&lt;=5000000000),100000000*0.24%+400000000*0.19%+500000000*0.15%+(N28-1000000000)*0.12%,IF(N28&gt;5000000000,100000000*0.24%+400000000*0.19%+500000000*0.15%+4000000000*0.12%+(N28-5000000000)*0.1%,"Bingung komputer"))))),2)</f>
        <v>215628</v>
      </c>
      <c r="G28" s="65"/>
      <c r="H28" s="66"/>
      <c r="I28" s="68"/>
      <c r="J28" s="67"/>
      <c r="K28" t="str" s="67" cm="1">
        <f t="array" ref="K28">"Jumlah Terkena Pajak "&amp;MAX(K3:K26)&amp;"% (B)"</f>
        <v>Jumlah Terkena Pajak 11,00% (B)</v>
      </c>
      <c r="L28" s="68" cm="1">
        <f t="array" ref="L28">SUMIF($K3:$K26,"&gt;0",L3:L26)</f>
        <v>89883100</v>
      </c>
      <c r="M28" s="69" cm="1">
        <f t="array" ref="M28">SUMIF($K3:$K26,"&gt;0",M3:M26)</f>
        <v>89845000</v>
      </c>
      <c r="N28" s="69" cm="1">
        <f t="array" ref="N28">SUMIF($K3:$K26,"&gt;0",N3:N26)</f>
        <v>89845000</v>
      </c>
    </row>
    <row r="29" ht="21" customHeight="1">
      <c r="A29" s="70"/>
      <c r="B29" s="71"/>
      <c r="C29" s="71"/>
      <c r="D29" s="72"/>
      <c r="E29" s="72"/>
      <c r="F29" s="71"/>
      <c r="G29" s="72"/>
      <c r="H29" s="72"/>
      <c r="I29" s="74"/>
      <c r="J29" s="73"/>
      <c r="K29" t="str" s="73" cm="1">
        <f t="array" ref="K29">"PPN (C) = "&amp;MAX(K3:K26)&amp;"% x B"</f>
        <v>PPN (C) = 11,00% x B</v>
      </c>
      <c r="L29" s="74" cm="1">
        <f t="array" ref="L29">L28*MAX($K3:$K26)%</f>
        <v>9887141</v>
      </c>
      <c r="M29" s="69" cm="1">
        <f t="array" ref="M29">M28*MAX($K3:$K26)%</f>
        <v>9882950</v>
      </c>
      <c r="N29" s="69" cm="1">
        <f t="array" ref="N29">N28*MAX($K3:$K26)%</f>
        <v>9882950</v>
      </c>
    </row>
    <row r="30" ht="21" customHeight="1">
      <c r="A30" s="70"/>
      <c r="B30" s="71"/>
      <c r="C30" s="71"/>
      <c r="D30" t="s" s="110">
        <v>116</v>
      </c>
      <c r="E30" s="112">
        <v>100000000</v>
      </c>
      <c r="F30" s="112">
        <v>99770500</v>
      </c>
      <c r="G30" s="72"/>
      <c r="H30" s="72"/>
      <c r="I30" s="71"/>
      <c r="J30" s="73"/>
      <c r="K30" t="s" s="75">
        <v>42</v>
      </c>
      <c r="L30" s="76" cm="1">
        <f t="array" ref="L30">L27+L29</f>
        <v>99985989.95999999</v>
      </c>
      <c r="M30" s="69" cm="1">
        <f t="array" ref="M30">M27+M29</f>
        <v>99943578</v>
      </c>
      <c r="N30" s="69" cm="1">
        <f t="array" ref="N30">N27+N29</f>
        <v>99943578</v>
      </c>
    </row>
    <row r="31" ht="20.5" customHeight="1">
      <c r="A31" s="70"/>
      <c r="B31" s="71"/>
      <c r="C31" s="71"/>
      <c r="D31" s="72"/>
      <c r="E31" s="72" cm="1">
        <f t="array" ref="E31">E$30-L$31</f>
        <v>14010.04</v>
      </c>
      <c r="F31" s="113" cm="1">
        <f t="array" ref="F31">ROUNDDOWN(E$30-D$28,2)</f>
        <v>99784280.56</v>
      </c>
      <c r="G31" s="72"/>
      <c r="H31" s="72"/>
      <c r="I31" s="71"/>
      <c r="J31" s="73"/>
      <c r="K31" t="s" s="75">
        <v>43</v>
      </c>
      <c r="L31" s="68" cm="1">
        <f t="array" ref="L31">ROUNDDOWN(L30,2)</f>
        <v>99985989.95999999</v>
      </c>
      <c r="M31" s="68" cm="1">
        <f t="array" ref="M31">ROUNDDOWN(M30,2)</f>
        <v>99943578</v>
      </c>
      <c r="N31" s="68" cm="1">
        <f t="array" ref="N31">ROUNDDOWN(N30,-3)</f>
        <v>99943000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54.xml><?xml version="1.0" encoding="utf-8"?>
<worksheet xmlns:r="http://schemas.openxmlformats.org/officeDocument/2006/relationships" xmlns="http://schemas.openxmlformats.org/spreadsheetml/2006/main">
  <sheetPr>
    <pageSetUpPr fitToPage="1"/>
  </sheetPr>
  <dimension ref="A1:N31"/>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349" customWidth="1"/>
    <col min="2" max="2" width="43.0312" style="349" customWidth="1"/>
    <col min="3" max="3" width="2.75" style="349" customWidth="1"/>
    <col min="4" max="6" width="10.3672" style="349" customWidth="1"/>
    <col min="7" max="7" width="11.6875" style="349" customWidth="1"/>
    <col min="8" max="11" width="13.5156" style="349" customWidth="1"/>
    <col min="12" max="14" width="14.2344" style="349" customWidth="1"/>
    <col min="15" max="16384" width="16.3516" style="349"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109</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s="95">
        <v>1</v>
      </c>
      <c r="B4" t="s" s="19">
        <v>110</v>
      </c>
      <c r="C4" s="20"/>
      <c r="D4" s="21">
        <v>1</v>
      </c>
      <c r="E4" s="21" cm="1">
        <f t="array" ref="E4">D4</f>
        <v>1</v>
      </c>
      <c r="F4" s="21" cm="1">
        <f t="array" ref="F4">D4</f>
        <v>1</v>
      </c>
      <c r="G4" t="s" s="22">
        <v>19</v>
      </c>
      <c r="H4" s="21" cm="1">
        <f t="array" ref="H4">ROUNDDOWN((F$30*0.1)*100/111,-2)</f>
        <v>8988300</v>
      </c>
      <c r="I4" s="21">
        <v>8980000</v>
      </c>
      <c r="J4" s="21">
        <v>8980000</v>
      </c>
      <c r="K4" s="21">
        <v>11</v>
      </c>
      <c r="L4" s="21" cm="1">
        <f t="array" ref="L4">IF(D4&gt;0,IF($D4&lt;=0,0,D4*H4),"")</f>
        <v>8988300</v>
      </c>
      <c r="M4" s="21" cm="1">
        <f t="array" ref="M4">IF(E4&gt;0,IF($D4&lt;=0,0,ROUND(E4*I4,2)),"")</f>
        <v>8980000</v>
      </c>
      <c r="N4" s="23" cm="1">
        <f t="array" ref="N4">IF(F4&gt;0,IF($D4&lt;=0,0,ROUND(F4*J4,2)),"")</f>
        <v>8980000</v>
      </c>
    </row>
    <row r="5" ht="20.5" customHeight="1">
      <c r="A5" s="95">
        <v>2</v>
      </c>
      <c r="B5" t="s" s="19">
        <v>111</v>
      </c>
      <c r="C5" s="24"/>
      <c r="D5" s="26">
        <v>1</v>
      </c>
      <c r="E5" s="26" cm="1">
        <f t="array" ref="E5">D5</f>
        <v>1</v>
      </c>
      <c r="F5" s="26" cm="1">
        <f t="array" ref="F5">D5</f>
        <v>1</v>
      </c>
      <c r="G5" t="s" s="27">
        <v>19</v>
      </c>
      <c r="H5" s="26" cm="1">
        <f t="array" ref="H5">ROUNDDOWN((F$30*0.2)*100/111,-2)</f>
        <v>17976600</v>
      </c>
      <c r="I5" s="26">
        <v>17980000</v>
      </c>
      <c r="J5" s="26">
        <v>17980000</v>
      </c>
      <c r="K5" s="26">
        <v>11</v>
      </c>
      <c r="L5" s="26" cm="1">
        <f t="array" ref="L5">IF(D5&gt;0,IF($D5&lt;=0,0,D5*H5),"")</f>
        <v>17976600</v>
      </c>
      <c r="M5" s="26" cm="1">
        <f t="array" ref="M5">IF(E5&gt;0,IF($D5&lt;=0,0,ROUND(E5*I5,2)),"")</f>
        <v>17980000</v>
      </c>
      <c r="N5" s="28" cm="1">
        <f t="array" ref="N5">IF(F5&gt;0,IF($D5&lt;=0,0,ROUND(F5*J5,2)),"")</f>
        <v>17980000</v>
      </c>
    </row>
    <row r="6" ht="20.5" customHeight="1">
      <c r="A6" s="95">
        <v>3</v>
      </c>
      <c r="B6" t="s" s="19">
        <v>112</v>
      </c>
      <c r="C6" s="20"/>
      <c r="D6" s="21">
        <v>1</v>
      </c>
      <c r="E6" s="21" cm="1">
        <f t="array" ref="E6">D6</f>
        <v>1</v>
      </c>
      <c r="F6" s="21" cm="1">
        <f t="array" ref="F6">D6</f>
        <v>1</v>
      </c>
      <c r="G6" t="s" s="22">
        <v>19</v>
      </c>
      <c r="H6" s="21" cm="1">
        <f t="array" ref="H6">ROUNDDOWN((F$30*0.25)*100/111,-2)</f>
        <v>22470800</v>
      </c>
      <c r="I6" s="21">
        <v>22485000</v>
      </c>
      <c r="J6" s="21">
        <v>22485000</v>
      </c>
      <c r="K6" s="21">
        <v>11</v>
      </c>
      <c r="L6" s="21" cm="1">
        <f t="array" ref="L6">IF(D6&gt;0,IF($D6&lt;=0,0,D6*H6),"")</f>
        <v>22470800</v>
      </c>
      <c r="M6" s="21" cm="1">
        <f t="array" ref="M6">IF(E6&gt;0,IF($D6&lt;=0,0,ROUND(E6*I6,2)),"")</f>
        <v>22485000</v>
      </c>
      <c r="N6" s="23" cm="1">
        <f t="array" ref="N6">IF(F6&gt;0,IF($D6&lt;=0,0,ROUND(F6*J6,2)),"")</f>
        <v>22485000</v>
      </c>
    </row>
    <row r="7" ht="68.5" customHeight="1">
      <c r="A7" s="95">
        <v>5</v>
      </c>
      <c r="B7" t="s" s="19">
        <v>113</v>
      </c>
      <c r="C7" s="24"/>
      <c r="D7" s="26">
        <v>1</v>
      </c>
      <c r="E7" s="26" cm="1">
        <f t="array" ref="E7">D7</f>
        <v>1</v>
      </c>
      <c r="F7" s="26" cm="1">
        <f t="array" ref="F7">D7</f>
        <v>1</v>
      </c>
      <c r="G7" t="s" s="27">
        <v>19</v>
      </c>
      <c r="H7" s="26" cm="1">
        <f t="array" ref="H7">ROUNDDOWN((F$30*0.25)*100/111,-2)</f>
        <v>22470800</v>
      </c>
      <c r="I7" s="26">
        <v>22485000</v>
      </c>
      <c r="J7" s="26">
        <v>22485000</v>
      </c>
      <c r="K7" s="26">
        <v>11</v>
      </c>
      <c r="L7" s="26" cm="1">
        <f t="array" ref="L7">IF(D7&gt;0,IF($D7&lt;=0,0,D7*H7),"")</f>
        <v>22470800</v>
      </c>
      <c r="M7" s="26" cm="1">
        <f t="array" ref="M7">IF(E7&gt;0,IF($D7&lt;=0,0,ROUND(E7*I7,2)),"")</f>
        <v>22485000</v>
      </c>
      <c r="N7" s="28" cm="1">
        <f t="array" ref="N7">IF(F7&gt;0,IF($D7&lt;=0,0,ROUND(F7*J7,2)),"")</f>
        <v>22485000</v>
      </c>
    </row>
    <row r="8" ht="32.5" customHeight="1">
      <c r="A8" s="95">
        <v>6</v>
      </c>
      <c r="B8" t="s" s="19">
        <v>114</v>
      </c>
      <c r="C8" s="20"/>
      <c r="D8" s="21">
        <v>1</v>
      </c>
      <c r="E8" s="21" cm="1">
        <f t="array" ref="E8">D8</f>
        <v>1</v>
      </c>
      <c r="F8" s="21" cm="1">
        <f t="array" ref="F8">D8</f>
        <v>1</v>
      </c>
      <c r="G8" t="s" s="22">
        <v>19</v>
      </c>
      <c r="H8" s="21" cm="1">
        <f t="array" ref="H8">ROUNDDOWN((F$30*0.05)*100/111,-2)</f>
        <v>4494100</v>
      </c>
      <c r="I8" s="21">
        <v>4495000</v>
      </c>
      <c r="J8" s="21">
        <v>4495000</v>
      </c>
      <c r="K8" s="21">
        <v>11</v>
      </c>
      <c r="L8" s="21" cm="1">
        <f t="array" ref="L8">IF(D8&gt;0,IF($D8&lt;=0,0,D8*H8),"")</f>
        <v>4494100</v>
      </c>
      <c r="M8" s="21" cm="1">
        <f t="array" ref="M8">IF(E8&gt;0,IF($D8&lt;=0,0,ROUND(E8*I8,2)),"")</f>
        <v>4495000</v>
      </c>
      <c r="N8" s="23" cm="1">
        <f t="array" ref="N8">IF(F8&gt;0,IF($D8&lt;=0,0,ROUND(F8*J8,2)),"")</f>
        <v>4495000</v>
      </c>
    </row>
    <row r="9" ht="20.5" customHeight="1">
      <c r="A9" s="95">
        <v>7</v>
      </c>
      <c r="B9" t="s" s="19">
        <v>115</v>
      </c>
      <c r="C9" s="24"/>
      <c r="D9" s="26">
        <v>1</v>
      </c>
      <c r="E9" s="26" cm="1">
        <f t="array" ref="E9">D9</f>
        <v>1</v>
      </c>
      <c r="F9" s="26" cm="1">
        <f t="array" ref="F9">D9</f>
        <v>1</v>
      </c>
      <c r="G9" t="s" s="27">
        <v>19</v>
      </c>
      <c r="H9" s="26" cm="1">
        <f t="array" ref="H9">ROUNDDOWN((F$30*0.15)*100/111,-2)</f>
        <v>13482500</v>
      </c>
      <c r="I9" s="26">
        <v>13420000</v>
      </c>
      <c r="J9" s="26">
        <v>13420000</v>
      </c>
      <c r="K9" s="26">
        <v>11</v>
      </c>
      <c r="L9" s="26" cm="1">
        <f t="array" ref="L9">IF(D9&gt;0,IF($D9&lt;=0,0,D9*H9),"")</f>
        <v>13482500</v>
      </c>
      <c r="M9" s="26" cm="1">
        <f t="array" ref="M9">IF(E9&gt;0,IF($D9&lt;=0,0,ROUND(E9*I9,2)),"")</f>
        <v>13420000</v>
      </c>
      <c r="N9" s="28" cm="1">
        <f t="array" ref="N9">IF(F9&gt;0,IF($D9&lt;=0,0,ROUND(F9*J9,2)),"")</f>
        <v>13420000</v>
      </c>
    </row>
    <row r="10" ht="20.6" customHeight="1">
      <c r="A10" s="33">
        <v>8</v>
      </c>
      <c r="B10" t="s" s="34">
        <v>37</v>
      </c>
      <c r="C10" s="35"/>
      <c r="D10" s="36">
        <v>1</v>
      </c>
      <c r="E10" s="36" cm="1">
        <f t="array" ref="E10">D10</f>
        <v>1</v>
      </c>
      <c r="F10" s="36" cm="1">
        <f t="array" ref="F10">D10</f>
        <v>1</v>
      </c>
      <c r="G10" t="s" s="37">
        <v>19</v>
      </c>
      <c r="H10" s="36">
        <v>215748.96</v>
      </c>
      <c r="I10" s="36">
        <v>215628</v>
      </c>
      <c r="J10" s="36">
        <v>215628</v>
      </c>
      <c r="K10" s="36">
        <v>0</v>
      </c>
      <c r="L10" s="36" cm="1">
        <f t="array" ref="L10">IF(D10&gt;0,IF($D10&lt;=0,0,D10*H10),"")</f>
        <v>215748.96</v>
      </c>
      <c r="M10" s="36" cm="1">
        <f t="array" ref="M10">IF(E10&gt;0,IF($D10&lt;=0,0,ROUND(E10*I10,2)),"")</f>
        <v>215628</v>
      </c>
      <c r="N10" s="38" cm="1">
        <f t="array" ref="N10">IF(F10&gt;0,IF($D10&lt;=0,0,ROUND(F10*J10,2)),"")</f>
        <v>215628</v>
      </c>
    </row>
    <row r="11" ht="8.75" customHeight="1" hidden="1">
      <c r="A11" s="39"/>
      <c r="B11" s="40"/>
      <c r="C11" s="41"/>
      <c r="D11" s="42"/>
      <c r="E11" s="42"/>
      <c r="F11" s="42"/>
      <c r="G11" s="43"/>
      <c r="H11" s="42"/>
      <c r="I11" s="42"/>
      <c r="J11" s="42"/>
      <c r="K11" s="42"/>
      <c r="L11" s="42"/>
      <c r="M11" s="42"/>
      <c r="N11" s="44"/>
    </row>
    <row r="12" ht="8.75" customHeight="1" hidden="1">
      <c r="A12" s="39"/>
      <c r="B12" s="40"/>
      <c r="C12" s="45"/>
      <c r="D12" s="46"/>
      <c r="E12" s="46"/>
      <c r="F12" s="46"/>
      <c r="G12" s="47"/>
      <c r="H12" s="46"/>
      <c r="I12" s="46"/>
      <c r="J12" s="46"/>
      <c r="K12" s="46"/>
      <c r="L12" s="46"/>
      <c r="M12" s="46"/>
      <c r="N12" s="48"/>
    </row>
    <row r="13" ht="8.75" customHeight="1" hidden="1">
      <c r="A13" s="39"/>
      <c r="B13" s="40"/>
      <c r="C13" s="41"/>
      <c r="D13" s="42"/>
      <c r="E13" s="42"/>
      <c r="F13" s="42"/>
      <c r="G13" s="43"/>
      <c r="H13" s="42"/>
      <c r="I13" s="42"/>
      <c r="J13" s="42"/>
      <c r="K13" s="42"/>
      <c r="L13" s="42"/>
      <c r="M13" s="42"/>
      <c r="N13" s="44"/>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2"/>
      <c r="I15" s="42"/>
      <c r="J15" s="42"/>
      <c r="K15" s="42"/>
      <c r="L15" s="42"/>
      <c r="M15" s="42"/>
      <c r="N15" s="44"/>
    </row>
    <row r="16" ht="8.75" customHeight="1" hidden="1">
      <c r="A16" s="39"/>
      <c r="B16" s="40"/>
      <c r="C16" s="45"/>
      <c r="D16" s="46"/>
      <c r="E16" s="46"/>
      <c r="F16" s="46"/>
      <c r="G16" s="47"/>
      <c r="H16" s="46"/>
      <c r="I16" s="46"/>
      <c r="J16" s="46"/>
      <c r="K16" s="46"/>
      <c r="L16" s="46"/>
      <c r="M16" s="46"/>
      <c r="N16" s="48"/>
    </row>
    <row r="17" ht="8.75" customHeight="1" hidden="1">
      <c r="A17" s="39"/>
      <c r="B17" s="40"/>
      <c r="C17" s="41"/>
      <c r="D17" s="42"/>
      <c r="E17" s="42"/>
      <c r="F17" s="42"/>
      <c r="G17" s="43"/>
      <c r="H17" s="43"/>
      <c r="I17" s="43"/>
      <c r="J17" s="43"/>
      <c r="K17" s="42"/>
      <c r="L17" s="43"/>
      <c r="M17" s="43"/>
      <c r="N17" s="49"/>
    </row>
    <row r="18" ht="8.75" customHeight="1" hidden="1">
      <c r="A18" s="39"/>
      <c r="B18" s="40"/>
      <c r="C18" s="45"/>
      <c r="D18" s="46"/>
      <c r="E18" s="46"/>
      <c r="F18" s="46"/>
      <c r="G18" s="47"/>
      <c r="H18" s="50"/>
      <c r="I18" s="50"/>
      <c r="J18" s="50"/>
      <c r="K18" s="46"/>
      <c r="L18" s="46"/>
      <c r="M18" s="46"/>
      <c r="N18" s="48"/>
    </row>
    <row r="19" ht="8.75" customHeight="1" hidden="1">
      <c r="A19" s="39"/>
      <c r="B19" s="40"/>
      <c r="C19" s="41"/>
      <c r="D19" s="42"/>
      <c r="E19" s="42"/>
      <c r="F19" s="42"/>
      <c r="G19" s="43"/>
      <c r="H19" s="43"/>
      <c r="I19" s="43"/>
      <c r="J19" s="43"/>
      <c r="K19" s="42"/>
      <c r="L19" s="43"/>
      <c r="M19" s="43"/>
      <c r="N19" s="49"/>
    </row>
    <row r="20" ht="8.75" customHeight="1" hidden="1">
      <c r="A20" s="39"/>
      <c r="B20" s="40"/>
      <c r="C20" s="45"/>
      <c r="D20" s="46"/>
      <c r="E20" s="46"/>
      <c r="F20" s="46"/>
      <c r="G20" s="47"/>
      <c r="H20" s="46"/>
      <c r="I20" s="46"/>
      <c r="J20" s="46"/>
      <c r="K20" s="46"/>
      <c r="L20" s="46"/>
      <c r="M20" s="46"/>
      <c r="N20" s="48"/>
    </row>
    <row r="21" ht="8.75" customHeight="1" hidden="1">
      <c r="A21" s="39"/>
      <c r="B21" s="40"/>
      <c r="C21" s="41"/>
      <c r="D21" s="42"/>
      <c r="E21" s="42"/>
      <c r="F21" s="42"/>
      <c r="G21" s="43"/>
      <c r="H21" s="42"/>
      <c r="I21" s="42"/>
      <c r="J21" s="42"/>
      <c r="K21" s="42"/>
      <c r="L21" s="42"/>
      <c r="M21" s="42"/>
      <c r="N21" s="44"/>
    </row>
    <row r="22" ht="8.75" customHeight="1" hidden="1">
      <c r="A22" s="51"/>
      <c r="B22" s="40"/>
      <c r="C22" s="45"/>
      <c r="D22" s="46"/>
      <c r="E22" s="46"/>
      <c r="F22" s="46"/>
      <c r="G22" s="47"/>
      <c r="H22" s="46"/>
      <c r="I22" s="46"/>
      <c r="J22" s="46"/>
      <c r="K22" s="46"/>
      <c r="L22" s="46"/>
      <c r="M22" s="46"/>
      <c r="N22" s="48"/>
    </row>
    <row r="23" ht="8.75" customHeight="1" hidden="1">
      <c r="A23" s="51"/>
      <c r="B23" s="40"/>
      <c r="C23" s="41"/>
      <c r="D23" s="42"/>
      <c r="E23" s="42"/>
      <c r="F23" s="42"/>
      <c r="G23" s="43"/>
      <c r="H23" s="42"/>
      <c r="I23" s="42"/>
      <c r="J23" s="42"/>
      <c r="K23" s="42"/>
      <c r="L23" s="42"/>
      <c r="M23" s="42"/>
      <c r="N23" s="44"/>
    </row>
    <row r="24" ht="8.75" customHeight="1" hidden="1">
      <c r="A24" s="39"/>
      <c r="B24" s="40"/>
      <c r="C24" s="45"/>
      <c r="D24" s="46"/>
      <c r="E24" s="46"/>
      <c r="F24" s="46"/>
      <c r="G24" s="47"/>
      <c r="H24" s="46"/>
      <c r="I24" s="46"/>
      <c r="J24" s="46"/>
      <c r="K24" s="46"/>
      <c r="L24" s="47"/>
      <c r="M24" s="47"/>
      <c r="N24" s="52"/>
    </row>
    <row r="25" ht="8.75" customHeight="1" hidden="1">
      <c r="A25" s="39"/>
      <c r="B25" s="40"/>
      <c r="C25" s="41"/>
      <c r="D25" s="42"/>
      <c r="E25" s="42"/>
      <c r="F25" s="42"/>
      <c r="G25" s="43"/>
      <c r="H25" s="42"/>
      <c r="I25" s="42"/>
      <c r="J25" s="42"/>
      <c r="K25" s="42"/>
      <c r="L25" s="42"/>
      <c r="M25" s="42"/>
      <c r="N25" s="44"/>
    </row>
    <row r="26" ht="8.75" customHeight="1" hidden="1">
      <c r="A26" s="39"/>
      <c r="B26" s="40"/>
      <c r="C26" s="45"/>
      <c r="D26" s="46"/>
      <c r="E26" s="46"/>
      <c r="F26" s="46"/>
      <c r="G26" s="47"/>
      <c r="H26" s="46"/>
      <c r="I26" s="46"/>
      <c r="J26" s="46"/>
      <c r="K26" s="46"/>
      <c r="L26" s="47"/>
      <c r="M26" s="47"/>
      <c r="N26" s="52"/>
    </row>
    <row r="27" ht="20.85" customHeight="1">
      <c r="A27" s="108"/>
      <c r="B27" s="54"/>
      <c r="C27" s="54"/>
      <c r="D27" s="55"/>
      <c r="E27" s="55"/>
      <c r="F27" s="55"/>
      <c r="G27" s="56"/>
      <c r="H27" s="56"/>
      <c r="I27" s="54"/>
      <c r="J27" s="57"/>
      <c r="K27" t="s" s="58">
        <v>38</v>
      </c>
      <c r="L27" s="59" cm="1">
        <f t="array" ref="L27">SUM(L1:L26)</f>
        <v>90098848.95999999</v>
      </c>
      <c r="M27" s="59" cm="1">
        <f t="array" ref="M27">SUM(M1:M26)</f>
        <v>90060628</v>
      </c>
      <c r="N27" s="59" cm="1">
        <f t="array" ref="N27">SUM(N1:N26)</f>
        <v>90060628</v>
      </c>
    </row>
    <row r="28" ht="21" customHeight="1">
      <c r="A28" s="63" cm="1">
        <f t="array" ref="A28">ROUND(IF(I28&lt;=100000000,I28*0.24%,IF(AND(I28&gt;100000000,I28&lt;=500000000),100000000*0.24%+(I28-100000000)*0.19%,IF(AND(I28&gt;500000000,I28&lt;=1000000000),100000000*0.24%+400000000*0.19%+(I28-500000000)*0.15%,IF(AND(I28&gt;1000000000,I28&lt;=5000000000),100000000*0.24%+400000000*0.19%+500000000*0.15%+(I28-1000000000)*0.12%,IF(I28&gt;5000000000,100000000*0.24%+400000000*0.19%+500000000*0.15%+4000000000*0.12%+(I28-5000000000)*0.1%,"Bingung komputer"))))),2)</f>
        <v>0</v>
      </c>
      <c r="B28" t="s" s="109">
        <v>39</v>
      </c>
      <c r="C28" s="62"/>
      <c r="D28" s="63" cm="1">
        <f t="array" ref="D28">ROUND(IF(L28&lt;=100000000,L28*0.24%,IF(AND(L28&gt;100000000,L28&lt;=500000000),100000000*0.24%+(L28-100000000)*0.19%,IF(AND(L28&gt;500000000,L28&lt;=1000000000),100000000*0.24%+400000000*0.19%+(L28-500000000)*0.15%,IF(AND(L28&gt;1000000000,L28&lt;=5000000000),100000000*0.24%+400000000*0.19%+500000000*0.15%+(L28-1000000000)*0.12%,IF(L28&gt;5000000000,100000000*0.24%+400000000*0.19%+500000000*0.15%+4000000000*0.12%+(L28-5000000000)*0.1%,"Bingung komputer"))))),2)</f>
        <v>215719.44</v>
      </c>
      <c r="E28" s="64" cm="1">
        <f t="array" ref="E28">ROUND(IF(M28&lt;=100000000,M28*0.24%,IF(AND(M28&gt;100000000,M28&lt;=500000000),100000000*0.24%+(M28-100000000)*0.19%,IF(AND(M28&gt;500000000,M28&lt;=1000000000),100000000*0.24%+400000000*0.19%+(M28-500000000)*0.15%,IF(AND(M28&gt;1000000000,M28&lt;=5000000000),100000000*0.24%+400000000*0.19%+500000000*0.15%+(M28-1000000000)*0.12%,IF(M28&gt;5000000000,100000000*0.24%+400000000*0.19%+500000000*0.15%+4000000000*0.12%+(M28-5000000000)*0.1%,"Bingung komputer"))))),2)</f>
        <v>215628</v>
      </c>
      <c r="F28" s="64" cm="1">
        <f t="array" ref="F28">ROUND(IF(N28&lt;=100000000,N28*0.24%,IF(AND(N28&gt;100000000,N28&lt;=500000000),100000000*0.24%+(N28-100000000)*0.19%,IF(AND(N28&gt;500000000,N28&lt;=1000000000),100000000*0.24%+400000000*0.19%+(N28-500000000)*0.15%,IF(AND(N28&gt;1000000000,N28&lt;=5000000000),100000000*0.24%+400000000*0.19%+500000000*0.15%+(N28-1000000000)*0.12%,IF(N28&gt;5000000000,100000000*0.24%+400000000*0.19%+500000000*0.15%+4000000000*0.12%+(N28-5000000000)*0.1%,"Bingung komputer"))))),2)</f>
        <v>215628</v>
      </c>
      <c r="G28" s="65"/>
      <c r="H28" s="66"/>
      <c r="I28" s="68"/>
      <c r="J28" s="67"/>
      <c r="K28" t="str" s="67" cm="1">
        <f t="array" ref="K28">"Jumlah Terkena Pajak "&amp;MAX(K3:K26)&amp;"% (B)"</f>
        <v>Jumlah Terkena Pajak 11,00% (B)</v>
      </c>
      <c r="L28" s="68" cm="1">
        <f t="array" ref="L28">SUMIF($K3:$K26,"&gt;0",L3:L26)</f>
        <v>89883100</v>
      </c>
      <c r="M28" s="69" cm="1">
        <f t="array" ref="M28">SUMIF($K3:$K26,"&gt;0",M3:M26)</f>
        <v>89845000</v>
      </c>
      <c r="N28" s="69" cm="1">
        <f t="array" ref="N28">SUMIF($K3:$K26,"&gt;0",N3:N26)</f>
        <v>89845000</v>
      </c>
    </row>
    <row r="29" ht="21" customHeight="1">
      <c r="A29" s="70"/>
      <c r="B29" s="71"/>
      <c r="C29" s="71"/>
      <c r="D29" s="72"/>
      <c r="E29" s="72"/>
      <c r="F29" s="71"/>
      <c r="G29" s="72"/>
      <c r="H29" s="72"/>
      <c r="I29" s="74"/>
      <c r="J29" s="73"/>
      <c r="K29" t="str" s="73" cm="1">
        <f t="array" ref="K29">"PPN (C) = "&amp;MAX(K3:K26)&amp;"% x B"</f>
        <v>PPN (C) = 11,00% x B</v>
      </c>
      <c r="L29" s="74" cm="1">
        <f t="array" ref="L29">L28*MAX($K3:$K26)%</f>
        <v>9887141</v>
      </c>
      <c r="M29" s="69" cm="1">
        <f t="array" ref="M29">M28*MAX($K3:$K26)%</f>
        <v>9882950</v>
      </c>
      <c r="N29" s="69" cm="1">
        <f t="array" ref="N29">N28*MAX($K3:$K26)%</f>
        <v>9882950</v>
      </c>
    </row>
    <row r="30" ht="21" customHeight="1">
      <c r="A30" s="70"/>
      <c r="B30" s="71"/>
      <c r="C30" s="71"/>
      <c r="D30" t="s" s="110">
        <v>116</v>
      </c>
      <c r="E30" s="112">
        <v>100000000</v>
      </c>
      <c r="F30" s="112">
        <v>99770500</v>
      </c>
      <c r="G30" s="72"/>
      <c r="H30" s="72"/>
      <c r="I30" s="71"/>
      <c r="J30" s="73"/>
      <c r="K30" t="s" s="75">
        <v>42</v>
      </c>
      <c r="L30" s="76" cm="1">
        <f t="array" ref="L30">L27+L29</f>
        <v>99985989.95999999</v>
      </c>
      <c r="M30" s="69" cm="1">
        <f t="array" ref="M30">M27+M29</f>
        <v>99943578</v>
      </c>
      <c r="N30" s="69" cm="1">
        <f t="array" ref="N30">N27+N29</f>
        <v>99943578</v>
      </c>
    </row>
    <row r="31" ht="20.5" customHeight="1">
      <c r="A31" s="70"/>
      <c r="B31" s="71"/>
      <c r="C31" s="71"/>
      <c r="D31" s="72"/>
      <c r="E31" s="72" cm="1">
        <f t="array" ref="E31">E$30-L$31</f>
        <v>14010.04</v>
      </c>
      <c r="F31" s="113" cm="1">
        <f t="array" ref="F31">ROUNDDOWN(E$30-D$28,2)</f>
        <v>99784280.56</v>
      </c>
      <c r="G31" s="72"/>
      <c r="H31" s="72"/>
      <c r="I31" s="71"/>
      <c r="J31" s="73"/>
      <c r="K31" t="s" s="75">
        <v>43</v>
      </c>
      <c r="L31" s="68" cm="1">
        <f t="array" ref="L31">ROUNDDOWN(L30,2)</f>
        <v>99985989.95999999</v>
      </c>
      <c r="M31" s="68" cm="1">
        <f t="array" ref="M31">ROUNDDOWN(M30,2)</f>
        <v>99943578</v>
      </c>
      <c r="N31" s="68" cm="1">
        <f t="array" ref="N31">ROUNDDOWN(N30,-3)</f>
        <v>99943000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55.xml><?xml version="1.0" encoding="utf-8"?>
<worksheet xmlns:r="http://schemas.openxmlformats.org/officeDocument/2006/relationships" xmlns="http://schemas.openxmlformats.org/spreadsheetml/2006/main">
  <sheetPr>
    <pageSetUpPr fitToPage="1"/>
  </sheetPr>
  <dimension ref="A1:N31"/>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350" customWidth="1"/>
    <col min="2" max="2" width="43.0312" style="350" customWidth="1"/>
    <col min="3" max="3" width="2.75" style="350" customWidth="1"/>
    <col min="4" max="6" width="10.3672" style="350" customWidth="1"/>
    <col min="7" max="7" width="11.6875" style="350" customWidth="1"/>
    <col min="8" max="11" width="13.5156" style="350" customWidth="1"/>
    <col min="12" max="14" width="14.2344" style="350" customWidth="1"/>
    <col min="15" max="16384" width="16.3516" style="350"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109</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s="95">
        <v>1</v>
      </c>
      <c r="B4" t="s" s="19">
        <v>110</v>
      </c>
      <c r="C4" s="20"/>
      <c r="D4" s="21">
        <v>1</v>
      </c>
      <c r="E4" s="21" cm="1">
        <f t="array" ref="E4">D4</f>
        <v>1</v>
      </c>
      <c r="F4" s="21" cm="1">
        <f t="array" ref="F4">D4</f>
        <v>1</v>
      </c>
      <c r="G4" t="s" s="22">
        <v>19</v>
      </c>
      <c r="H4" s="21" cm="1">
        <f t="array" ref="H4">ROUNDDOWN((F$30*0.1)*100/111,-2)</f>
        <v>8988300</v>
      </c>
      <c r="I4" s="21">
        <v>8980000</v>
      </c>
      <c r="J4" s="21">
        <v>8980000</v>
      </c>
      <c r="K4" s="21">
        <v>11</v>
      </c>
      <c r="L4" s="21" cm="1">
        <f t="array" ref="L4">IF(D4&gt;0,IF($D4&lt;=0,0,D4*H4),"")</f>
        <v>8988300</v>
      </c>
      <c r="M4" s="21" cm="1">
        <f t="array" ref="M4">IF(E4&gt;0,IF($D4&lt;=0,0,ROUND(E4*I4,2)),"")</f>
        <v>8980000</v>
      </c>
      <c r="N4" s="23" cm="1">
        <f t="array" ref="N4">IF(F4&gt;0,IF($D4&lt;=0,0,ROUND(F4*J4,2)),"")</f>
        <v>8980000</v>
      </c>
    </row>
    <row r="5" ht="20.5" customHeight="1">
      <c r="A5" s="95">
        <v>2</v>
      </c>
      <c r="B5" t="s" s="19">
        <v>111</v>
      </c>
      <c r="C5" s="24"/>
      <c r="D5" s="26">
        <v>1</v>
      </c>
      <c r="E5" s="26" cm="1">
        <f t="array" ref="E5">D5</f>
        <v>1</v>
      </c>
      <c r="F5" s="26" cm="1">
        <f t="array" ref="F5">D5</f>
        <v>1</v>
      </c>
      <c r="G5" t="s" s="27">
        <v>19</v>
      </c>
      <c r="H5" s="26" cm="1">
        <f t="array" ref="H5">ROUNDDOWN((F$30*0.2)*100/111,-2)</f>
        <v>17976600</v>
      </c>
      <c r="I5" s="26">
        <v>17980000</v>
      </c>
      <c r="J5" s="26">
        <v>17980000</v>
      </c>
      <c r="K5" s="26">
        <v>11</v>
      </c>
      <c r="L5" s="26" cm="1">
        <f t="array" ref="L5">IF(D5&gt;0,IF($D5&lt;=0,0,D5*H5),"")</f>
        <v>17976600</v>
      </c>
      <c r="M5" s="26" cm="1">
        <f t="array" ref="M5">IF(E5&gt;0,IF($D5&lt;=0,0,ROUND(E5*I5,2)),"")</f>
        <v>17980000</v>
      </c>
      <c r="N5" s="28" cm="1">
        <f t="array" ref="N5">IF(F5&gt;0,IF($D5&lt;=0,0,ROUND(F5*J5,2)),"")</f>
        <v>17980000</v>
      </c>
    </row>
    <row r="6" ht="20.5" customHeight="1">
      <c r="A6" s="95">
        <v>3</v>
      </c>
      <c r="B6" t="s" s="19">
        <v>112</v>
      </c>
      <c r="C6" s="20"/>
      <c r="D6" s="21">
        <v>1</v>
      </c>
      <c r="E6" s="21" cm="1">
        <f t="array" ref="E6">D6</f>
        <v>1</v>
      </c>
      <c r="F6" s="21" cm="1">
        <f t="array" ref="F6">D6</f>
        <v>1</v>
      </c>
      <c r="G6" t="s" s="22">
        <v>19</v>
      </c>
      <c r="H6" s="21" cm="1">
        <f t="array" ref="H6">ROUNDDOWN((F$30*0.25)*100/111,-2)</f>
        <v>22470800</v>
      </c>
      <c r="I6" s="21">
        <v>22485000</v>
      </c>
      <c r="J6" s="21">
        <v>22485000</v>
      </c>
      <c r="K6" s="21">
        <v>11</v>
      </c>
      <c r="L6" s="21" cm="1">
        <f t="array" ref="L6">IF(D6&gt;0,IF($D6&lt;=0,0,D6*H6),"")</f>
        <v>22470800</v>
      </c>
      <c r="M6" s="21" cm="1">
        <f t="array" ref="M6">IF(E6&gt;0,IF($D6&lt;=0,0,ROUND(E6*I6,2)),"")</f>
        <v>22485000</v>
      </c>
      <c r="N6" s="23" cm="1">
        <f t="array" ref="N6">IF(F6&gt;0,IF($D6&lt;=0,0,ROUND(F6*J6,2)),"")</f>
        <v>22485000</v>
      </c>
    </row>
    <row r="7" ht="68.5" customHeight="1">
      <c r="A7" s="95">
        <v>5</v>
      </c>
      <c r="B7" t="s" s="19">
        <v>113</v>
      </c>
      <c r="C7" s="24"/>
      <c r="D7" s="26">
        <v>1</v>
      </c>
      <c r="E7" s="26" cm="1">
        <f t="array" ref="E7">D7</f>
        <v>1</v>
      </c>
      <c r="F7" s="26" cm="1">
        <f t="array" ref="F7">D7</f>
        <v>1</v>
      </c>
      <c r="G7" t="s" s="27">
        <v>19</v>
      </c>
      <c r="H7" s="26" cm="1">
        <f t="array" ref="H7">ROUNDDOWN((F$30*0.25)*100/111,-2)</f>
        <v>22470800</v>
      </c>
      <c r="I7" s="26">
        <v>22485000</v>
      </c>
      <c r="J7" s="26">
        <v>22485000</v>
      </c>
      <c r="K7" s="26">
        <v>11</v>
      </c>
      <c r="L7" s="26" cm="1">
        <f t="array" ref="L7">IF(D7&gt;0,IF($D7&lt;=0,0,D7*H7),"")</f>
        <v>22470800</v>
      </c>
      <c r="M7" s="26" cm="1">
        <f t="array" ref="M7">IF(E7&gt;0,IF($D7&lt;=0,0,ROUND(E7*I7,2)),"")</f>
        <v>22485000</v>
      </c>
      <c r="N7" s="28" cm="1">
        <f t="array" ref="N7">IF(F7&gt;0,IF($D7&lt;=0,0,ROUND(F7*J7,2)),"")</f>
        <v>22485000</v>
      </c>
    </row>
    <row r="8" ht="32.5" customHeight="1">
      <c r="A8" s="95">
        <v>6</v>
      </c>
      <c r="B8" t="s" s="19">
        <v>114</v>
      </c>
      <c r="C8" s="20"/>
      <c r="D8" s="21">
        <v>1</v>
      </c>
      <c r="E8" s="21" cm="1">
        <f t="array" ref="E8">D8</f>
        <v>1</v>
      </c>
      <c r="F8" s="21" cm="1">
        <f t="array" ref="F8">D8</f>
        <v>1</v>
      </c>
      <c r="G8" t="s" s="22">
        <v>19</v>
      </c>
      <c r="H8" s="21" cm="1">
        <f t="array" ref="H8">ROUNDDOWN((F$30*0.05)*100/111,-2)</f>
        <v>4494100</v>
      </c>
      <c r="I8" s="21">
        <v>4495000</v>
      </c>
      <c r="J8" s="21">
        <v>4495000</v>
      </c>
      <c r="K8" s="21">
        <v>11</v>
      </c>
      <c r="L8" s="21" cm="1">
        <f t="array" ref="L8">IF(D8&gt;0,IF($D8&lt;=0,0,D8*H8),"")</f>
        <v>4494100</v>
      </c>
      <c r="M8" s="21" cm="1">
        <f t="array" ref="M8">IF(E8&gt;0,IF($D8&lt;=0,0,ROUND(E8*I8,2)),"")</f>
        <v>4495000</v>
      </c>
      <c r="N8" s="23" cm="1">
        <f t="array" ref="N8">IF(F8&gt;0,IF($D8&lt;=0,0,ROUND(F8*J8,2)),"")</f>
        <v>4495000</v>
      </c>
    </row>
    <row r="9" ht="20.5" customHeight="1">
      <c r="A9" s="95">
        <v>7</v>
      </c>
      <c r="B9" t="s" s="19">
        <v>115</v>
      </c>
      <c r="C9" s="24"/>
      <c r="D9" s="26">
        <v>1</v>
      </c>
      <c r="E9" s="26" cm="1">
        <f t="array" ref="E9">D9</f>
        <v>1</v>
      </c>
      <c r="F9" s="26" cm="1">
        <f t="array" ref="F9">D9</f>
        <v>1</v>
      </c>
      <c r="G9" t="s" s="27">
        <v>19</v>
      </c>
      <c r="H9" s="26" cm="1">
        <f t="array" ref="H9">ROUNDDOWN((F$30*0.15)*100/111,-2)</f>
        <v>13482500</v>
      </c>
      <c r="I9" s="26">
        <v>13420000</v>
      </c>
      <c r="J9" s="26">
        <v>13420000</v>
      </c>
      <c r="K9" s="26">
        <v>11</v>
      </c>
      <c r="L9" s="26" cm="1">
        <f t="array" ref="L9">IF(D9&gt;0,IF($D9&lt;=0,0,D9*H9),"")</f>
        <v>13482500</v>
      </c>
      <c r="M9" s="26" cm="1">
        <f t="array" ref="M9">IF(E9&gt;0,IF($D9&lt;=0,0,ROUND(E9*I9,2)),"")</f>
        <v>13420000</v>
      </c>
      <c r="N9" s="28" cm="1">
        <f t="array" ref="N9">IF(F9&gt;0,IF($D9&lt;=0,0,ROUND(F9*J9,2)),"")</f>
        <v>13420000</v>
      </c>
    </row>
    <row r="10" ht="20.6" customHeight="1">
      <c r="A10" s="33">
        <v>8</v>
      </c>
      <c r="B10" t="s" s="34">
        <v>37</v>
      </c>
      <c r="C10" s="35"/>
      <c r="D10" s="36">
        <v>1</v>
      </c>
      <c r="E10" s="36" cm="1">
        <f t="array" ref="E10">D10</f>
        <v>1</v>
      </c>
      <c r="F10" s="36" cm="1">
        <f t="array" ref="F10">D10</f>
        <v>1</v>
      </c>
      <c r="G10" t="s" s="37">
        <v>19</v>
      </c>
      <c r="H10" s="36">
        <v>215748.96</v>
      </c>
      <c r="I10" s="36">
        <v>215628</v>
      </c>
      <c r="J10" s="36">
        <v>215628</v>
      </c>
      <c r="K10" s="36">
        <v>0</v>
      </c>
      <c r="L10" s="36" cm="1">
        <f t="array" ref="L10">IF(D10&gt;0,IF($D10&lt;=0,0,D10*H10),"")</f>
        <v>215748.96</v>
      </c>
      <c r="M10" s="36" cm="1">
        <f t="array" ref="M10">IF(E10&gt;0,IF($D10&lt;=0,0,ROUND(E10*I10,2)),"")</f>
        <v>215628</v>
      </c>
      <c r="N10" s="38" cm="1">
        <f t="array" ref="N10">IF(F10&gt;0,IF($D10&lt;=0,0,ROUND(F10*J10,2)),"")</f>
        <v>215628</v>
      </c>
    </row>
    <row r="11" ht="8.75" customHeight="1" hidden="1">
      <c r="A11" s="39"/>
      <c r="B11" s="40"/>
      <c r="C11" s="41"/>
      <c r="D11" s="42"/>
      <c r="E11" s="42"/>
      <c r="F11" s="42"/>
      <c r="G11" s="43"/>
      <c r="H11" s="42"/>
      <c r="I11" s="42"/>
      <c r="J11" s="42"/>
      <c r="K11" s="42"/>
      <c r="L11" s="42"/>
      <c r="M11" s="42"/>
      <c r="N11" s="44"/>
    </row>
    <row r="12" ht="8.75" customHeight="1" hidden="1">
      <c r="A12" s="39"/>
      <c r="B12" s="40"/>
      <c r="C12" s="45"/>
      <c r="D12" s="46"/>
      <c r="E12" s="46"/>
      <c r="F12" s="46"/>
      <c r="G12" s="47"/>
      <c r="H12" s="46"/>
      <c r="I12" s="46"/>
      <c r="J12" s="46"/>
      <c r="K12" s="46"/>
      <c r="L12" s="46"/>
      <c r="M12" s="46"/>
      <c r="N12" s="48"/>
    </row>
    <row r="13" ht="8.75" customHeight="1" hidden="1">
      <c r="A13" s="39"/>
      <c r="B13" s="40"/>
      <c r="C13" s="41"/>
      <c r="D13" s="42"/>
      <c r="E13" s="42"/>
      <c r="F13" s="42"/>
      <c r="G13" s="43"/>
      <c r="H13" s="42"/>
      <c r="I13" s="42"/>
      <c r="J13" s="42"/>
      <c r="K13" s="42"/>
      <c r="L13" s="42"/>
      <c r="M13" s="42"/>
      <c r="N13" s="44"/>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2"/>
      <c r="I15" s="42"/>
      <c r="J15" s="42"/>
      <c r="K15" s="42"/>
      <c r="L15" s="42"/>
      <c r="M15" s="42"/>
      <c r="N15" s="44"/>
    </row>
    <row r="16" ht="8.75" customHeight="1" hidden="1">
      <c r="A16" s="39"/>
      <c r="B16" s="40"/>
      <c r="C16" s="45"/>
      <c r="D16" s="46"/>
      <c r="E16" s="46"/>
      <c r="F16" s="46"/>
      <c r="G16" s="47"/>
      <c r="H16" s="46"/>
      <c r="I16" s="46"/>
      <c r="J16" s="46"/>
      <c r="K16" s="46"/>
      <c r="L16" s="46"/>
      <c r="M16" s="46"/>
      <c r="N16" s="48"/>
    </row>
    <row r="17" ht="8.75" customHeight="1" hidden="1">
      <c r="A17" s="39"/>
      <c r="B17" s="40"/>
      <c r="C17" s="41"/>
      <c r="D17" s="42"/>
      <c r="E17" s="42"/>
      <c r="F17" s="42"/>
      <c r="G17" s="43"/>
      <c r="H17" s="43"/>
      <c r="I17" s="43"/>
      <c r="J17" s="43"/>
      <c r="K17" s="42"/>
      <c r="L17" s="43"/>
      <c r="M17" s="43"/>
      <c r="N17" s="49"/>
    </row>
    <row r="18" ht="8.75" customHeight="1" hidden="1">
      <c r="A18" s="39"/>
      <c r="B18" s="40"/>
      <c r="C18" s="45"/>
      <c r="D18" s="46"/>
      <c r="E18" s="46"/>
      <c r="F18" s="46"/>
      <c r="G18" s="47"/>
      <c r="H18" s="50"/>
      <c r="I18" s="50"/>
      <c r="J18" s="50"/>
      <c r="K18" s="46"/>
      <c r="L18" s="46"/>
      <c r="M18" s="46"/>
      <c r="N18" s="48"/>
    </row>
    <row r="19" ht="8.75" customHeight="1" hidden="1">
      <c r="A19" s="39"/>
      <c r="B19" s="40"/>
      <c r="C19" s="41"/>
      <c r="D19" s="42"/>
      <c r="E19" s="42"/>
      <c r="F19" s="42"/>
      <c r="G19" s="43"/>
      <c r="H19" s="43"/>
      <c r="I19" s="43"/>
      <c r="J19" s="43"/>
      <c r="K19" s="42"/>
      <c r="L19" s="43"/>
      <c r="M19" s="43"/>
      <c r="N19" s="49"/>
    </row>
    <row r="20" ht="8.75" customHeight="1" hidden="1">
      <c r="A20" s="39"/>
      <c r="B20" s="40"/>
      <c r="C20" s="45"/>
      <c r="D20" s="46"/>
      <c r="E20" s="46"/>
      <c r="F20" s="46"/>
      <c r="G20" s="47"/>
      <c r="H20" s="46"/>
      <c r="I20" s="46"/>
      <c r="J20" s="46"/>
      <c r="K20" s="46"/>
      <c r="L20" s="46"/>
      <c r="M20" s="46"/>
      <c r="N20" s="48"/>
    </row>
    <row r="21" ht="8.75" customHeight="1" hidden="1">
      <c r="A21" s="39"/>
      <c r="B21" s="40"/>
      <c r="C21" s="41"/>
      <c r="D21" s="42"/>
      <c r="E21" s="42"/>
      <c r="F21" s="42"/>
      <c r="G21" s="43"/>
      <c r="H21" s="42"/>
      <c r="I21" s="42"/>
      <c r="J21" s="42"/>
      <c r="K21" s="42"/>
      <c r="L21" s="42"/>
      <c r="M21" s="42"/>
      <c r="N21" s="44"/>
    </row>
    <row r="22" ht="8.75" customHeight="1" hidden="1">
      <c r="A22" s="51"/>
      <c r="B22" s="40"/>
      <c r="C22" s="45"/>
      <c r="D22" s="46"/>
      <c r="E22" s="46"/>
      <c r="F22" s="46"/>
      <c r="G22" s="47"/>
      <c r="H22" s="46"/>
      <c r="I22" s="46"/>
      <c r="J22" s="46"/>
      <c r="K22" s="46"/>
      <c r="L22" s="46"/>
      <c r="M22" s="46"/>
      <c r="N22" s="48"/>
    </row>
    <row r="23" ht="8.75" customHeight="1" hidden="1">
      <c r="A23" s="51"/>
      <c r="B23" s="40"/>
      <c r="C23" s="41"/>
      <c r="D23" s="42"/>
      <c r="E23" s="42"/>
      <c r="F23" s="42"/>
      <c r="G23" s="43"/>
      <c r="H23" s="42"/>
      <c r="I23" s="42"/>
      <c r="J23" s="42"/>
      <c r="K23" s="42"/>
      <c r="L23" s="42"/>
      <c r="M23" s="42"/>
      <c r="N23" s="44"/>
    </row>
    <row r="24" ht="8.75" customHeight="1" hidden="1">
      <c r="A24" s="39"/>
      <c r="B24" s="40"/>
      <c r="C24" s="45"/>
      <c r="D24" s="46"/>
      <c r="E24" s="46"/>
      <c r="F24" s="46"/>
      <c r="G24" s="47"/>
      <c r="H24" s="46"/>
      <c r="I24" s="46"/>
      <c r="J24" s="46"/>
      <c r="K24" s="46"/>
      <c r="L24" s="47"/>
      <c r="M24" s="47"/>
      <c r="N24" s="52"/>
    </row>
    <row r="25" ht="8.75" customHeight="1" hidden="1">
      <c r="A25" s="39"/>
      <c r="B25" s="40"/>
      <c r="C25" s="41"/>
      <c r="D25" s="42"/>
      <c r="E25" s="42"/>
      <c r="F25" s="42"/>
      <c r="G25" s="43"/>
      <c r="H25" s="42"/>
      <c r="I25" s="42"/>
      <c r="J25" s="42"/>
      <c r="K25" s="42"/>
      <c r="L25" s="42"/>
      <c r="M25" s="42"/>
      <c r="N25" s="44"/>
    </row>
    <row r="26" ht="8.75" customHeight="1" hidden="1">
      <c r="A26" s="39"/>
      <c r="B26" s="40"/>
      <c r="C26" s="45"/>
      <c r="D26" s="46"/>
      <c r="E26" s="46"/>
      <c r="F26" s="46"/>
      <c r="G26" s="47"/>
      <c r="H26" s="46"/>
      <c r="I26" s="46"/>
      <c r="J26" s="46"/>
      <c r="K26" s="46"/>
      <c r="L26" s="47"/>
      <c r="M26" s="47"/>
      <c r="N26" s="52"/>
    </row>
    <row r="27" ht="20.85" customHeight="1">
      <c r="A27" s="108"/>
      <c r="B27" s="54"/>
      <c r="C27" s="54"/>
      <c r="D27" s="55"/>
      <c r="E27" s="55"/>
      <c r="F27" s="55"/>
      <c r="G27" s="56"/>
      <c r="H27" s="56"/>
      <c r="I27" s="54"/>
      <c r="J27" s="57"/>
      <c r="K27" t="s" s="58">
        <v>38</v>
      </c>
      <c r="L27" s="59" cm="1">
        <f t="array" ref="L27">SUM(L1:L26)</f>
        <v>90098848.95999999</v>
      </c>
      <c r="M27" s="59" cm="1">
        <f t="array" ref="M27">SUM(M1:M26)</f>
        <v>90060628</v>
      </c>
      <c r="N27" s="59" cm="1">
        <f t="array" ref="N27">SUM(N1:N26)</f>
        <v>90060628</v>
      </c>
    </row>
    <row r="28" ht="21" customHeight="1">
      <c r="A28" s="63" cm="1">
        <f t="array" ref="A28">ROUND(IF(I28&lt;=100000000,I28*0.24%,IF(AND(I28&gt;100000000,I28&lt;=500000000),100000000*0.24%+(I28-100000000)*0.19%,IF(AND(I28&gt;500000000,I28&lt;=1000000000),100000000*0.24%+400000000*0.19%+(I28-500000000)*0.15%,IF(AND(I28&gt;1000000000,I28&lt;=5000000000),100000000*0.24%+400000000*0.19%+500000000*0.15%+(I28-1000000000)*0.12%,IF(I28&gt;5000000000,100000000*0.24%+400000000*0.19%+500000000*0.15%+4000000000*0.12%+(I28-5000000000)*0.1%,"Bingung komputer"))))),2)</f>
        <v>0</v>
      </c>
      <c r="B28" t="s" s="109">
        <v>39</v>
      </c>
      <c r="C28" s="62"/>
      <c r="D28" s="63" cm="1">
        <f t="array" ref="D28">ROUND(IF(L28&lt;=100000000,L28*0.24%,IF(AND(L28&gt;100000000,L28&lt;=500000000),100000000*0.24%+(L28-100000000)*0.19%,IF(AND(L28&gt;500000000,L28&lt;=1000000000),100000000*0.24%+400000000*0.19%+(L28-500000000)*0.15%,IF(AND(L28&gt;1000000000,L28&lt;=5000000000),100000000*0.24%+400000000*0.19%+500000000*0.15%+(L28-1000000000)*0.12%,IF(L28&gt;5000000000,100000000*0.24%+400000000*0.19%+500000000*0.15%+4000000000*0.12%+(L28-5000000000)*0.1%,"Bingung komputer"))))),2)</f>
        <v>215719.44</v>
      </c>
      <c r="E28" s="64" cm="1">
        <f t="array" ref="E28">ROUND(IF(M28&lt;=100000000,M28*0.24%,IF(AND(M28&gt;100000000,M28&lt;=500000000),100000000*0.24%+(M28-100000000)*0.19%,IF(AND(M28&gt;500000000,M28&lt;=1000000000),100000000*0.24%+400000000*0.19%+(M28-500000000)*0.15%,IF(AND(M28&gt;1000000000,M28&lt;=5000000000),100000000*0.24%+400000000*0.19%+500000000*0.15%+(M28-1000000000)*0.12%,IF(M28&gt;5000000000,100000000*0.24%+400000000*0.19%+500000000*0.15%+4000000000*0.12%+(M28-5000000000)*0.1%,"Bingung komputer"))))),2)</f>
        <v>215628</v>
      </c>
      <c r="F28" s="64" cm="1">
        <f t="array" ref="F28">ROUND(IF(N28&lt;=100000000,N28*0.24%,IF(AND(N28&gt;100000000,N28&lt;=500000000),100000000*0.24%+(N28-100000000)*0.19%,IF(AND(N28&gt;500000000,N28&lt;=1000000000),100000000*0.24%+400000000*0.19%+(N28-500000000)*0.15%,IF(AND(N28&gt;1000000000,N28&lt;=5000000000),100000000*0.24%+400000000*0.19%+500000000*0.15%+(N28-1000000000)*0.12%,IF(N28&gt;5000000000,100000000*0.24%+400000000*0.19%+500000000*0.15%+4000000000*0.12%+(N28-5000000000)*0.1%,"Bingung komputer"))))),2)</f>
        <v>215628</v>
      </c>
      <c r="G28" s="65"/>
      <c r="H28" s="66"/>
      <c r="I28" s="68"/>
      <c r="J28" s="67"/>
      <c r="K28" t="str" s="67" cm="1">
        <f t="array" ref="K28">"Jumlah Terkena Pajak "&amp;MAX(K3:K26)&amp;"% (B)"</f>
        <v>Jumlah Terkena Pajak 11,00% (B)</v>
      </c>
      <c r="L28" s="68" cm="1">
        <f t="array" ref="L28">SUMIF($K3:$K26,"&gt;0",L3:L26)</f>
        <v>89883100</v>
      </c>
      <c r="M28" s="69" cm="1">
        <f t="array" ref="M28">SUMIF($K3:$K26,"&gt;0",M3:M26)</f>
        <v>89845000</v>
      </c>
      <c r="N28" s="69" cm="1">
        <f t="array" ref="N28">SUMIF($K3:$K26,"&gt;0",N3:N26)</f>
        <v>89845000</v>
      </c>
    </row>
    <row r="29" ht="21" customHeight="1">
      <c r="A29" s="70"/>
      <c r="B29" s="71"/>
      <c r="C29" s="71"/>
      <c r="D29" s="72"/>
      <c r="E29" s="72"/>
      <c r="F29" s="71"/>
      <c r="G29" s="72"/>
      <c r="H29" s="72"/>
      <c r="I29" s="74"/>
      <c r="J29" s="73"/>
      <c r="K29" t="str" s="73" cm="1">
        <f t="array" ref="K29">"PPN (C) = "&amp;MAX(K3:K26)&amp;"% x B"</f>
        <v>PPN (C) = 11,00% x B</v>
      </c>
      <c r="L29" s="74" cm="1">
        <f t="array" ref="L29">L28*MAX($K3:$K26)%</f>
        <v>9887141</v>
      </c>
      <c r="M29" s="69" cm="1">
        <f t="array" ref="M29">M28*MAX($K3:$K26)%</f>
        <v>9882950</v>
      </c>
      <c r="N29" s="69" cm="1">
        <f t="array" ref="N29">N28*MAX($K3:$K26)%</f>
        <v>9882950</v>
      </c>
    </row>
    <row r="30" ht="21" customHeight="1">
      <c r="A30" s="70"/>
      <c r="B30" s="71"/>
      <c r="C30" s="71"/>
      <c r="D30" t="s" s="110">
        <v>116</v>
      </c>
      <c r="E30" s="112">
        <v>100000000</v>
      </c>
      <c r="F30" s="112">
        <v>99770500</v>
      </c>
      <c r="G30" s="72"/>
      <c r="H30" s="72"/>
      <c r="I30" s="71"/>
      <c r="J30" s="73"/>
      <c r="K30" t="s" s="75">
        <v>42</v>
      </c>
      <c r="L30" s="76" cm="1">
        <f t="array" ref="L30">L27+L29</f>
        <v>99985989.95999999</v>
      </c>
      <c r="M30" s="69" cm="1">
        <f t="array" ref="M30">M27+M29</f>
        <v>99943578</v>
      </c>
      <c r="N30" s="69" cm="1">
        <f t="array" ref="N30">N27+N29</f>
        <v>99943578</v>
      </c>
    </row>
    <row r="31" ht="20.5" customHeight="1">
      <c r="A31" s="70"/>
      <c r="B31" s="71"/>
      <c r="C31" s="71"/>
      <c r="D31" s="72"/>
      <c r="E31" s="72" cm="1">
        <f t="array" ref="E31">E$30-L$31</f>
        <v>14010.04</v>
      </c>
      <c r="F31" s="113" cm="1">
        <f t="array" ref="F31">ROUNDDOWN(E$30-D$28,2)</f>
        <v>99784280.56</v>
      </c>
      <c r="G31" s="72"/>
      <c r="H31" s="72"/>
      <c r="I31" s="71"/>
      <c r="J31" s="73"/>
      <c r="K31" t="s" s="75">
        <v>43</v>
      </c>
      <c r="L31" s="68" cm="1">
        <f t="array" ref="L31">ROUNDDOWN(L30,2)</f>
        <v>99985989.95999999</v>
      </c>
      <c r="M31" s="68" cm="1">
        <f t="array" ref="M31">ROUNDDOWN(M30,2)</f>
        <v>99943578</v>
      </c>
      <c r="N31" s="68" cm="1">
        <f t="array" ref="N31">ROUNDDOWN(N30,-3)</f>
        <v>99943000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56.xml><?xml version="1.0" encoding="utf-8"?>
<worksheet xmlns:r="http://schemas.openxmlformats.org/officeDocument/2006/relationships" xmlns="http://schemas.openxmlformats.org/spreadsheetml/2006/main">
  <sheetPr>
    <pageSetUpPr fitToPage="1"/>
  </sheetPr>
  <dimension ref="A1:N31"/>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351" customWidth="1"/>
    <col min="2" max="2" width="43.0312" style="351" customWidth="1"/>
    <col min="3" max="3" width="2.75" style="351" customWidth="1"/>
    <col min="4" max="6" width="10.3672" style="351" customWidth="1"/>
    <col min="7" max="7" width="11.6875" style="351" customWidth="1"/>
    <col min="8" max="11" width="13.5156" style="351" customWidth="1"/>
    <col min="12" max="14" width="14.2344" style="351" customWidth="1"/>
    <col min="15" max="16384" width="16.3516" style="351"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109</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s="95">
        <v>1</v>
      </c>
      <c r="B4" t="s" s="19">
        <v>110</v>
      </c>
      <c r="C4" s="20"/>
      <c r="D4" s="21">
        <v>1</v>
      </c>
      <c r="E4" s="21" cm="1">
        <f t="array" ref="E4">D4</f>
        <v>1</v>
      </c>
      <c r="F4" s="21" cm="1">
        <f t="array" ref="F4">D4</f>
        <v>1</v>
      </c>
      <c r="G4" t="s" s="22">
        <v>19</v>
      </c>
      <c r="H4" s="21" cm="1">
        <f t="array" ref="H4">ROUNDDOWN((F$30*0.1)*100/111,-2)</f>
        <v>8988300</v>
      </c>
      <c r="I4" s="21">
        <v>8980000</v>
      </c>
      <c r="J4" s="21">
        <v>8980000</v>
      </c>
      <c r="K4" s="21">
        <v>11</v>
      </c>
      <c r="L4" s="21" cm="1">
        <f t="array" ref="L4">IF(D4&gt;0,IF($D4&lt;=0,0,D4*H4),"")</f>
        <v>8988300</v>
      </c>
      <c r="M4" s="21" cm="1">
        <f t="array" ref="M4">IF(E4&gt;0,IF($D4&lt;=0,0,ROUND(E4*I4,2)),"")</f>
        <v>8980000</v>
      </c>
      <c r="N4" s="23" cm="1">
        <f t="array" ref="N4">IF(F4&gt;0,IF($D4&lt;=0,0,ROUND(F4*J4,2)),"")</f>
        <v>8980000</v>
      </c>
    </row>
    <row r="5" ht="20.5" customHeight="1">
      <c r="A5" s="95">
        <v>2</v>
      </c>
      <c r="B5" t="s" s="19">
        <v>111</v>
      </c>
      <c r="C5" s="24"/>
      <c r="D5" s="26">
        <v>1</v>
      </c>
      <c r="E5" s="26" cm="1">
        <f t="array" ref="E5">D5</f>
        <v>1</v>
      </c>
      <c r="F5" s="26" cm="1">
        <f t="array" ref="F5">D5</f>
        <v>1</v>
      </c>
      <c r="G5" t="s" s="27">
        <v>19</v>
      </c>
      <c r="H5" s="26" cm="1">
        <f t="array" ref="H5">ROUNDDOWN((F$30*0.2)*100/111,-2)</f>
        <v>17976600</v>
      </c>
      <c r="I5" s="26">
        <v>17980000</v>
      </c>
      <c r="J5" s="26">
        <v>17980000</v>
      </c>
      <c r="K5" s="26">
        <v>11</v>
      </c>
      <c r="L5" s="26" cm="1">
        <f t="array" ref="L5">IF(D5&gt;0,IF($D5&lt;=0,0,D5*H5),"")</f>
        <v>17976600</v>
      </c>
      <c r="M5" s="26" cm="1">
        <f t="array" ref="M5">IF(E5&gt;0,IF($D5&lt;=0,0,ROUND(E5*I5,2)),"")</f>
        <v>17980000</v>
      </c>
      <c r="N5" s="28" cm="1">
        <f t="array" ref="N5">IF(F5&gt;0,IF($D5&lt;=0,0,ROUND(F5*J5,2)),"")</f>
        <v>17980000</v>
      </c>
    </row>
    <row r="6" ht="20.5" customHeight="1">
      <c r="A6" s="95">
        <v>3</v>
      </c>
      <c r="B6" t="s" s="19">
        <v>112</v>
      </c>
      <c r="C6" s="20"/>
      <c r="D6" s="21">
        <v>1</v>
      </c>
      <c r="E6" s="21" cm="1">
        <f t="array" ref="E6">D6</f>
        <v>1</v>
      </c>
      <c r="F6" s="21" cm="1">
        <f t="array" ref="F6">D6</f>
        <v>1</v>
      </c>
      <c r="G6" t="s" s="22">
        <v>19</v>
      </c>
      <c r="H6" s="21" cm="1">
        <f t="array" ref="H6">ROUNDDOWN((F$30*0.25)*100/111,-2)</f>
        <v>22470800</v>
      </c>
      <c r="I6" s="21">
        <v>22485000</v>
      </c>
      <c r="J6" s="21">
        <v>22485000</v>
      </c>
      <c r="K6" s="21">
        <v>11</v>
      </c>
      <c r="L6" s="21" cm="1">
        <f t="array" ref="L6">IF(D6&gt;0,IF($D6&lt;=0,0,D6*H6),"")</f>
        <v>22470800</v>
      </c>
      <c r="M6" s="21" cm="1">
        <f t="array" ref="M6">IF(E6&gt;0,IF($D6&lt;=0,0,ROUND(E6*I6,2)),"")</f>
        <v>22485000</v>
      </c>
      <c r="N6" s="23" cm="1">
        <f t="array" ref="N6">IF(F6&gt;0,IF($D6&lt;=0,0,ROUND(F6*J6,2)),"")</f>
        <v>22485000</v>
      </c>
    </row>
    <row r="7" ht="68.5" customHeight="1">
      <c r="A7" s="95">
        <v>5</v>
      </c>
      <c r="B7" t="s" s="19">
        <v>113</v>
      </c>
      <c r="C7" s="24"/>
      <c r="D7" s="26">
        <v>1</v>
      </c>
      <c r="E7" s="26" cm="1">
        <f t="array" ref="E7">D7</f>
        <v>1</v>
      </c>
      <c r="F7" s="26" cm="1">
        <f t="array" ref="F7">D7</f>
        <v>1</v>
      </c>
      <c r="G7" t="s" s="27">
        <v>19</v>
      </c>
      <c r="H7" s="26" cm="1">
        <f t="array" ref="H7">ROUNDDOWN((F$30*0.25)*100/111,-2)</f>
        <v>22470800</v>
      </c>
      <c r="I7" s="26">
        <v>22485000</v>
      </c>
      <c r="J7" s="26">
        <v>22485000</v>
      </c>
      <c r="K7" s="26">
        <v>11</v>
      </c>
      <c r="L7" s="26" cm="1">
        <f t="array" ref="L7">IF(D7&gt;0,IF($D7&lt;=0,0,D7*H7),"")</f>
        <v>22470800</v>
      </c>
      <c r="M7" s="26" cm="1">
        <f t="array" ref="M7">IF(E7&gt;0,IF($D7&lt;=0,0,ROUND(E7*I7,2)),"")</f>
        <v>22485000</v>
      </c>
      <c r="N7" s="28" cm="1">
        <f t="array" ref="N7">IF(F7&gt;0,IF($D7&lt;=0,0,ROUND(F7*J7,2)),"")</f>
        <v>22485000</v>
      </c>
    </row>
    <row r="8" ht="32.5" customHeight="1">
      <c r="A8" s="95">
        <v>6</v>
      </c>
      <c r="B8" t="s" s="19">
        <v>114</v>
      </c>
      <c r="C8" s="20"/>
      <c r="D8" s="21">
        <v>1</v>
      </c>
      <c r="E8" s="21" cm="1">
        <f t="array" ref="E8">D8</f>
        <v>1</v>
      </c>
      <c r="F8" s="21" cm="1">
        <f t="array" ref="F8">D8</f>
        <v>1</v>
      </c>
      <c r="G8" t="s" s="22">
        <v>19</v>
      </c>
      <c r="H8" s="21" cm="1">
        <f t="array" ref="H8">ROUNDDOWN((F$30*0.05)*100/111,-2)</f>
        <v>4494100</v>
      </c>
      <c r="I8" s="21">
        <v>4495000</v>
      </c>
      <c r="J8" s="21">
        <v>4495000</v>
      </c>
      <c r="K8" s="21">
        <v>11</v>
      </c>
      <c r="L8" s="21" cm="1">
        <f t="array" ref="L8">IF(D8&gt;0,IF($D8&lt;=0,0,D8*H8),"")</f>
        <v>4494100</v>
      </c>
      <c r="M8" s="21" cm="1">
        <f t="array" ref="M8">IF(E8&gt;0,IF($D8&lt;=0,0,ROUND(E8*I8,2)),"")</f>
        <v>4495000</v>
      </c>
      <c r="N8" s="23" cm="1">
        <f t="array" ref="N8">IF(F8&gt;0,IF($D8&lt;=0,0,ROUND(F8*J8,2)),"")</f>
        <v>4495000</v>
      </c>
    </row>
    <row r="9" ht="20.5" customHeight="1">
      <c r="A9" s="95">
        <v>7</v>
      </c>
      <c r="B9" t="s" s="19">
        <v>115</v>
      </c>
      <c r="C9" s="24"/>
      <c r="D9" s="26">
        <v>1</v>
      </c>
      <c r="E9" s="26" cm="1">
        <f t="array" ref="E9">D9</f>
        <v>1</v>
      </c>
      <c r="F9" s="26" cm="1">
        <f t="array" ref="F9">D9</f>
        <v>1</v>
      </c>
      <c r="G9" t="s" s="27">
        <v>19</v>
      </c>
      <c r="H9" s="26" cm="1">
        <f t="array" ref="H9">ROUNDDOWN((F$30*0.15)*100/111,-2)</f>
        <v>13482500</v>
      </c>
      <c r="I9" s="26">
        <v>13420000</v>
      </c>
      <c r="J9" s="26">
        <v>13420000</v>
      </c>
      <c r="K9" s="26">
        <v>11</v>
      </c>
      <c r="L9" s="26" cm="1">
        <f t="array" ref="L9">IF(D9&gt;0,IF($D9&lt;=0,0,D9*H9),"")</f>
        <v>13482500</v>
      </c>
      <c r="M9" s="26" cm="1">
        <f t="array" ref="M9">IF(E9&gt;0,IF($D9&lt;=0,0,ROUND(E9*I9,2)),"")</f>
        <v>13420000</v>
      </c>
      <c r="N9" s="28" cm="1">
        <f t="array" ref="N9">IF(F9&gt;0,IF($D9&lt;=0,0,ROUND(F9*J9,2)),"")</f>
        <v>13420000</v>
      </c>
    </row>
    <row r="10" ht="20.6" customHeight="1">
      <c r="A10" s="33">
        <v>8</v>
      </c>
      <c r="B10" t="s" s="34">
        <v>37</v>
      </c>
      <c r="C10" s="35"/>
      <c r="D10" s="36">
        <v>1</v>
      </c>
      <c r="E10" s="36" cm="1">
        <f t="array" ref="E10">D10</f>
        <v>1</v>
      </c>
      <c r="F10" s="36" cm="1">
        <f t="array" ref="F10">D10</f>
        <v>1</v>
      </c>
      <c r="G10" t="s" s="37">
        <v>19</v>
      </c>
      <c r="H10" s="36">
        <v>215748.96</v>
      </c>
      <c r="I10" s="36">
        <v>215628</v>
      </c>
      <c r="J10" s="36">
        <v>215628</v>
      </c>
      <c r="K10" s="36">
        <v>0</v>
      </c>
      <c r="L10" s="36" cm="1">
        <f t="array" ref="L10">IF(D10&gt;0,IF($D10&lt;=0,0,D10*H10),"")</f>
        <v>215748.96</v>
      </c>
      <c r="M10" s="36" cm="1">
        <f t="array" ref="M10">IF(E10&gt;0,IF($D10&lt;=0,0,ROUND(E10*I10,2)),"")</f>
        <v>215628</v>
      </c>
      <c r="N10" s="38" cm="1">
        <f t="array" ref="N10">IF(F10&gt;0,IF($D10&lt;=0,0,ROUND(F10*J10,2)),"")</f>
        <v>215628</v>
      </c>
    </row>
    <row r="11" ht="8.75" customHeight="1" hidden="1">
      <c r="A11" s="39"/>
      <c r="B11" s="40"/>
      <c r="C11" s="41"/>
      <c r="D11" s="42"/>
      <c r="E11" s="42"/>
      <c r="F11" s="42"/>
      <c r="G11" s="43"/>
      <c r="H11" s="42"/>
      <c r="I11" s="42"/>
      <c r="J11" s="42"/>
      <c r="K11" s="42"/>
      <c r="L11" s="42"/>
      <c r="M11" s="42"/>
      <c r="N11" s="44"/>
    </row>
    <row r="12" ht="8.75" customHeight="1" hidden="1">
      <c r="A12" s="39"/>
      <c r="B12" s="40"/>
      <c r="C12" s="45"/>
      <c r="D12" s="46"/>
      <c r="E12" s="46"/>
      <c r="F12" s="46"/>
      <c r="G12" s="47"/>
      <c r="H12" s="46"/>
      <c r="I12" s="46"/>
      <c r="J12" s="46"/>
      <c r="K12" s="46"/>
      <c r="L12" s="46"/>
      <c r="M12" s="46"/>
      <c r="N12" s="48"/>
    </row>
    <row r="13" ht="8.75" customHeight="1" hidden="1">
      <c r="A13" s="39"/>
      <c r="B13" s="40"/>
      <c r="C13" s="41"/>
      <c r="D13" s="42"/>
      <c r="E13" s="42"/>
      <c r="F13" s="42"/>
      <c r="G13" s="43"/>
      <c r="H13" s="42"/>
      <c r="I13" s="42"/>
      <c r="J13" s="42"/>
      <c r="K13" s="42"/>
      <c r="L13" s="42"/>
      <c r="M13" s="42"/>
      <c r="N13" s="44"/>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2"/>
      <c r="I15" s="42"/>
      <c r="J15" s="42"/>
      <c r="K15" s="42"/>
      <c r="L15" s="42"/>
      <c r="M15" s="42"/>
      <c r="N15" s="44"/>
    </row>
    <row r="16" ht="8.75" customHeight="1" hidden="1">
      <c r="A16" s="39"/>
      <c r="B16" s="40"/>
      <c r="C16" s="45"/>
      <c r="D16" s="46"/>
      <c r="E16" s="46"/>
      <c r="F16" s="46"/>
      <c r="G16" s="47"/>
      <c r="H16" s="46"/>
      <c r="I16" s="46"/>
      <c r="J16" s="46"/>
      <c r="K16" s="46"/>
      <c r="L16" s="46"/>
      <c r="M16" s="46"/>
      <c r="N16" s="48"/>
    </row>
    <row r="17" ht="8.75" customHeight="1" hidden="1">
      <c r="A17" s="39"/>
      <c r="B17" s="40"/>
      <c r="C17" s="41"/>
      <c r="D17" s="42"/>
      <c r="E17" s="42"/>
      <c r="F17" s="42"/>
      <c r="G17" s="43"/>
      <c r="H17" s="43"/>
      <c r="I17" s="43"/>
      <c r="J17" s="43"/>
      <c r="K17" s="42"/>
      <c r="L17" s="43"/>
      <c r="M17" s="43"/>
      <c r="N17" s="49"/>
    </row>
    <row r="18" ht="8.75" customHeight="1" hidden="1">
      <c r="A18" s="39"/>
      <c r="B18" s="40"/>
      <c r="C18" s="45"/>
      <c r="D18" s="46"/>
      <c r="E18" s="46"/>
      <c r="F18" s="46"/>
      <c r="G18" s="47"/>
      <c r="H18" s="50"/>
      <c r="I18" s="50"/>
      <c r="J18" s="50"/>
      <c r="K18" s="46"/>
      <c r="L18" s="46"/>
      <c r="M18" s="46"/>
      <c r="N18" s="48"/>
    </row>
    <row r="19" ht="8.75" customHeight="1" hidden="1">
      <c r="A19" s="39"/>
      <c r="B19" s="40"/>
      <c r="C19" s="41"/>
      <c r="D19" s="42"/>
      <c r="E19" s="42"/>
      <c r="F19" s="42"/>
      <c r="G19" s="43"/>
      <c r="H19" s="43"/>
      <c r="I19" s="43"/>
      <c r="J19" s="43"/>
      <c r="K19" s="42"/>
      <c r="L19" s="43"/>
      <c r="M19" s="43"/>
      <c r="N19" s="49"/>
    </row>
    <row r="20" ht="8.75" customHeight="1" hidden="1">
      <c r="A20" s="39"/>
      <c r="B20" s="40"/>
      <c r="C20" s="45"/>
      <c r="D20" s="46"/>
      <c r="E20" s="46"/>
      <c r="F20" s="46"/>
      <c r="G20" s="47"/>
      <c r="H20" s="46"/>
      <c r="I20" s="46"/>
      <c r="J20" s="46"/>
      <c r="K20" s="46"/>
      <c r="L20" s="46"/>
      <c r="M20" s="46"/>
      <c r="N20" s="48"/>
    </row>
    <row r="21" ht="8.75" customHeight="1" hidden="1">
      <c r="A21" s="39"/>
      <c r="B21" s="40"/>
      <c r="C21" s="41"/>
      <c r="D21" s="42"/>
      <c r="E21" s="42"/>
      <c r="F21" s="42"/>
      <c r="G21" s="43"/>
      <c r="H21" s="42"/>
      <c r="I21" s="42"/>
      <c r="J21" s="42"/>
      <c r="K21" s="42"/>
      <c r="L21" s="42"/>
      <c r="M21" s="42"/>
      <c r="N21" s="44"/>
    </row>
    <row r="22" ht="8.75" customHeight="1" hidden="1">
      <c r="A22" s="51"/>
      <c r="B22" s="40"/>
      <c r="C22" s="45"/>
      <c r="D22" s="46"/>
      <c r="E22" s="46"/>
      <c r="F22" s="46"/>
      <c r="G22" s="47"/>
      <c r="H22" s="46"/>
      <c r="I22" s="46"/>
      <c r="J22" s="46"/>
      <c r="K22" s="46"/>
      <c r="L22" s="46"/>
      <c r="M22" s="46"/>
      <c r="N22" s="48"/>
    </row>
    <row r="23" ht="8.75" customHeight="1" hidden="1">
      <c r="A23" s="51"/>
      <c r="B23" s="40"/>
      <c r="C23" s="41"/>
      <c r="D23" s="42"/>
      <c r="E23" s="42"/>
      <c r="F23" s="42"/>
      <c r="G23" s="43"/>
      <c r="H23" s="42"/>
      <c r="I23" s="42"/>
      <c r="J23" s="42"/>
      <c r="K23" s="42"/>
      <c r="L23" s="42"/>
      <c r="M23" s="42"/>
      <c r="N23" s="44"/>
    </row>
    <row r="24" ht="8.75" customHeight="1" hidden="1">
      <c r="A24" s="39"/>
      <c r="B24" s="40"/>
      <c r="C24" s="45"/>
      <c r="D24" s="46"/>
      <c r="E24" s="46"/>
      <c r="F24" s="46"/>
      <c r="G24" s="47"/>
      <c r="H24" s="46"/>
      <c r="I24" s="46"/>
      <c r="J24" s="46"/>
      <c r="K24" s="46"/>
      <c r="L24" s="47"/>
      <c r="M24" s="47"/>
      <c r="N24" s="52"/>
    </row>
    <row r="25" ht="8.75" customHeight="1" hidden="1">
      <c r="A25" s="39"/>
      <c r="B25" s="40"/>
      <c r="C25" s="41"/>
      <c r="D25" s="42"/>
      <c r="E25" s="42"/>
      <c r="F25" s="42"/>
      <c r="G25" s="43"/>
      <c r="H25" s="42"/>
      <c r="I25" s="42"/>
      <c r="J25" s="42"/>
      <c r="K25" s="42"/>
      <c r="L25" s="42"/>
      <c r="M25" s="42"/>
      <c r="N25" s="44"/>
    </row>
    <row r="26" ht="8.75" customHeight="1" hidden="1">
      <c r="A26" s="39"/>
      <c r="B26" s="40"/>
      <c r="C26" s="45"/>
      <c r="D26" s="46"/>
      <c r="E26" s="46"/>
      <c r="F26" s="46"/>
      <c r="G26" s="47"/>
      <c r="H26" s="46"/>
      <c r="I26" s="46"/>
      <c r="J26" s="46"/>
      <c r="K26" s="46"/>
      <c r="L26" s="47"/>
      <c r="M26" s="47"/>
      <c r="N26" s="52"/>
    </row>
    <row r="27" ht="20.85" customHeight="1">
      <c r="A27" s="108"/>
      <c r="B27" s="54"/>
      <c r="C27" s="54"/>
      <c r="D27" s="55"/>
      <c r="E27" s="55"/>
      <c r="F27" s="55"/>
      <c r="G27" s="56"/>
      <c r="H27" s="56"/>
      <c r="I27" s="54"/>
      <c r="J27" s="57"/>
      <c r="K27" t="s" s="58">
        <v>38</v>
      </c>
      <c r="L27" s="59" cm="1">
        <f t="array" ref="L27">SUM(L1:L26)</f>
        <v>90098848.95999999</v>
      </c>
      <c r="M27" s="59" cm="1">
        <f t="array" ref="M27">SUM(M1:M26)</f>
        <v>90060628</v>
      </c>
      <c r="N27" s="59" cm="1">
        <f t="array" ref="N27">SUM(N1:N26)</f>
        <v>90060628</v>
      </c>
    </row>
    <row r="28" ht="21" customHeight="1">
      <c r="A28" s="63" cm="1">
        <f t="array" ref="A28">ROUND(IF(I28&lt;=100000000,I28*0.24%,IF(AND(I28&gt;100000000,I28&lt;=500000000),100000000*0.24%+(I28-100000000)*0.19%,IF(AND(I28&gt;500000000,I28&lt;=1000000000),100000000*0.24%+400000000*0.19%+(I28-500000000)*0.15%,IF(AND(I28&gt;1000000000,I28&lt;=5000000000),100000000*0.24%+400000000*0.19%+500000000*0.15%+(I28-1000000000)*0.12%,IF(I28&gt;5000000000,100000000*0.24%+400000000*0.19%+500000000*0.15%+4000000000*0.12%+(I28-5000000000)*0.1%,"Bingung komputer"))))),2)</f>
        <v>0</v>
      </c>
      <c r="B28" t="s" s="109">
        <v>39</v>
      </c>
      <c r="C28" s="62"/>
      <c r="D28" s="63" cm="1">
        <f t="array" ref="D28">ROUND(IF(L28&lt;=100000000,L28*0.24%,IF(AND(L28&gt;100000000,L28&lt;=500000000),100000000*0.24%+(L28-100000000)*0.19%,IF(AND(L28&gt;500000000,L28&lt;=1000000000),100000000*0.24%+400000000*0.19%+(L28-500000000)*0.15%,IF(AND(L28&gt;1000000000,L28&lt;=5000000000),100000000*0.24%+400000000*0.19%+500000000*0.15%+(L28-1000000000)*0.12%,IF(L28&gt;5000000000,100000000*0.24%+400000000*0.19%+500000000*0.15%+4000000000*0.12%+(L28-5000000000)*0.1%,"Bingung komputer"))))),2)</f>
        <v>215719.44</v>
      </c>
      <c r="E28" s="64" cm="1">
        <f t="array" ref="E28">ROUND(IF(M28&lt;=100000000,M28*0.24%,IF(AND(M28&gt;100000000,M28&lt;=500000000),100000000*0.24%+(M28-100000000)*0.19%,IF(AND(M28&gt;500000000,M28&lt;=1000000000),100000000*0.24%+400000000*0.19%+(M28-500000000)*0.15%,IF(AND(M28&gt;1000000000,M28&lt;=5000000000),100000000*0.24%+400000000*0.19%+500000000*0.15%+(M28-1000000000)*0.12%,IF(M28&gt;5000000000,100000000*0.24%+400000000*0.19%+500000000*0.15%+4000000000*0.12%+(M28-5000000000)*0.1%,"Bingung komputer"))))),2)</f>
        <v>215628</v>
      </c>
      <c r="F28" s="64" cm="1">
        <f t="array" ref="F28">ROUND(IF(N28&lt;=100000000,N28*0.24%,IF(AND(N28&gt;100000000,N28&lt;=500000000),100000000*0.24%+(N28-100000000)*0.19%,IF(AND(N28&gt;500000000,N28&lt;=1000000000),100000000*0.24%+400000000*0.19%+(N28-500000000)*0.15%,IF(AND(N28&gt;1000000000,N28&lt;=5000000000),100000000*0.24%+400000000*0.19%+500000000*0.15%+(N28-1000000000)*0.12%,IF(N28&gt;5000000000,100000000*0.24%+400000000*0.19%+500000000*0.15%+4000000000*0.12%+(N28-5000000000)*0.1%,"Bingung komputer"))))),2)</f>
        <v>215628</v>
      </c>
      <c r="G28" s="65"/>
      <c r="H28" s="66"/>
      <c r="I28" s="68"/>
      <c r="J28" s="67"/>
      <c r="K28" t="str" s="67" cm="1">
        <f t="array" ref="K28">"Jumlah Terkena Pajak "&amp;MAX(K3:K26)&amp;"% (B)"</f>
        <v>Jumlah Terkena Pajak 11,00% (B)</v>
      </c>
      <c r="L28" s="68" cm="1">
        <f t="array" ref="L28">SUMIF($K3:$K26,"&gt;0",L3:L26)</f>
        <v>89883100</v>
      </c>
      <c r="M28" s="69" cm="1">
        <f t="array" ref="M28">SUMIF($K3:$K26,"&gt;0",M3:M26)</f>
        <v>89845000</v>
      </c>
      <c r="N28" s="69" cm="1">
        <f t="array" ref="N28">SUMIF($K3:$K26,"&gt;0",N3:N26)</f>
        <v>89845000</v>
      </c>
    </row>
    <row r="29" ht="21" customHeight="1">
      <c r="A29" s="70"/>
      <c r="B29" s="71"/>
      <c r="C29" s="71"/>
      <c r="D29" s="72"/>
      <c r="E29" s="72"/>
      <c r="F29" s="71"/>
      <c r="G29" s="72"/>
      <c r="H29" s="72"/>
      <c r="I29" s="74"/>
      <c r="J29" s="73"/>
      <c r="K29" t="str" s="73" cm="1">
        <f t="array" ref="K29">"PPN (C) = "&amp;MAX(K3:K26)&amp;"% x B"</f>
        <v>PPN (C) = 11,00% x B</v>
      </c>
      <c r="L29" s="74" cm="1">
        <f t="array" ref="L29">L28*MAX($K3:$K26)%</f>
        <v>9887141</v>
      </c>
      <c r="M29" s="69" cm="1">
        <f t="array" ref="M29">M28*MAX($K3:$K26)%</f>
        <v>9882950</v>
      </c>
      <c r="N29" s="69" cm="1">
        <f t="array" ref="N29">N28*MAX($K3:$K26)%</f>
        <v>9882950</v>
      </c>
    </row>
    <row r="30" ht="21" customHeight="1">
      <c r="A30" s="70"/>
      <c r="B30" s="71"/>
      <c r="C30" s="71"/>
      <c r="D30" t="s" s="110">
        <v>116</v>
      </c>
      <c r="E30" s="112">
        <v>100000000</v>
      </c>
      <c r="F30" s="112">
        <v>99770500</v>
      </c>
      <c r="G30" s="72"/>
      <c r="H30" s="72"/>
      <c r="I30" s="71"/>
      <c r="J30" s="73"/>
      <c r="K30" t="s" s="75">
        <v>42</v>
      </c>
      <c r="L30" s="76" cm="1">
        <f t="array" ref="L30">L27+L29</f>
        <v>99985989.95999999</v>
      </c>
      <c r="M30" s="69" cm="1">
        <f t="array" ref="M30">M27+M29</f>
        <v>99943578</v>
      </c>
      <c r="N30" s="69" cm="1">
        <f t="array" ref="N30">N27+N29</f>
        <v>99943578</v>
      </c>
    </row>
    <row r="31" ht="20.5" customHeight="1">
      <c r="A31" s="70"/>
      <c r="B31" s="71"/>
      <c r="C31" s="71"/>
      <c r="D31" s="72"/>
      <c r="E31" s="72" cm="1">
        <f t="array" ref="E31">E$30-L$31</f>
        <v>14010.04</v>
      </c>
      <c r="F31" s="113" cm="1">
        <f t="array" ref="F31">ROUNDDOWN(E$30-D$28,2)</f>
        <v>99784280.56</v>
      </c>
      <c r="G31" s="72"/>
      <c r="H31" s="72"/>
      <c r="I31" s="71"/>
      <c r="J31" s="73"/>
      <c r="K31" t="s" s="75">
        <v>43</v>
      </c>
      <c r="L31" s="68" cm="1">
        <f t="array" ref="L31">ROUNDDOWN(L30,2)</f>
        <v>99985989.95999999</v>
      </c>
      <c r="M31" s="68" cm="1">
        <f t="array" ref="M31">ROUNDDOWN(M30,2)</f>
        <v>99943578</v>
      </c>
      <c r="N31" s="68" cm="1">
        <f t="array" ref="N31">ROUNDDOWN(N30,-3)</f>
        <v>99943000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57.xml><?xml version="1.0" encoding="utf-8"?>
<worksheet xmlns:r="http://schemas.openxmlformats.org/officeDocument/2006/relationships" xmlns="http://schemas.openxmlformats.org/spreadsheetml/2006/main">
  <sheetPr>
    <pageSetUpPr fitToPage="1"/>
  </sheetPr>
  <dimension ref="A1:N31"/>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352" customWidth="1"/>
    <col min="2" max="2" width="43.0312" style="352" customWidth="1"/>
    <col min="3" max="3" width="2.75" style="352" customWidth="1"/>
    <col min="4" max="6" width="10.3672" style="352" customWidth="1"/>
    <col min="7" max="7" width="11.6875" style="352" customWidth="1"/>
    <col min="8" max="11" width="13.5156" style="352" customWidth="1"/>
    <col min="12" max="14" width="14.2344" style="352" customWidth="1"/>
    <col min="15" max="16384" width="16.3516" style="352"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109</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s="95">
        <v>1</v>
      </c>
      <c r="B4" t="s" s="19">
        <v>110</v>
      </c>
      <c r="C4" s="20"/>
      <c r="D4" s="21">
        <v>1</v>
      </c>
      <c r="E4" s="21" cm="1">
        <f t="array" ref="E4">D4</f>
        <v>1</v>
      </c>
      <c r="F4" s="21" cm="1">
        <f t="array" ref="F4">D4</f>
        <v>1</v>
      </c>
      <c r="G4" t="s" s="22">
        <v>19</v>
      </c>
      <c r="H4" s="21" cm="1">
        <f t="array" ref="H4">ROUNDDOWN((F$30*0.1)*100/111,-2)</f>
        <v>8988300</v>
      </c>
      <c r="I4" s="21">
        <v>8980000</v>
      </c>
      <c r="J4" s="21">
        <v>8980000</v>
      </c>
      <c r="K4" s="21">
        <v>11</v>
      </c>
      <c r="L4" s="21" cm="1">
        <f t="array" ref="L4">IF(D4&gt;0,IF($D4&lt;=0,0,D4*H4),"")</f>
        <v>8988300</v>
      </c>
      <c r="M4" s="21" cm="1">
        <f t="array" ref="M4">IF(E4&gt;0,IF($D4&lt;=0,0,ROUND(E4*I4,2)),"")</f>
        <v>8980000</v>
      </c>
      <c r="N4" s="23" cm="1">
        <f t="array" ref="N4">IF(F4&gt;0,IF($D4&lt;=0,0,ROUND(F4*J4,2)),"")</f>
        <v>8980000</v>
      </c>
    </row>
    <row r="5" ht="20.5" customHeight="1">
      <c r="A5" s="95">
        <v>2</v>
      </c>
      <c r="B5" t="s" s="19">
        <v>111</v>
      </c>
      <c r="C5" s="24"/>
      <c r="D5" s="26">
        <v>1</v>
      </c>
      <c r="E5" s="26" cm="1">
        <f t="array" ref="E5">D5</f>
        <v>1</v>
      </c>
      <c r="F5" s="26" cm="1">
        <f t="array" ref="F5">D5</f>
        <v>1</v>
      </c>
      <c r="G5" t="s" s="27">
        <v>19</v>
      </c>
      <c r="H5" s="26" cm="1">
        <f t="array" ref="H5">ROUNDDOWN((F$30*0.2)*100/111,-2)</f>
        <v>17976600</v>
      </c>
      <c r="I5" s="26">
        <v>17980000</v>
      </c>
      <c r="J5" s="26">
        <v>17980000</v>
      </c>
      <c r="K5" s="26">
        <v>11</v>
      </c>
      <c r="L5" s="26" cm="1">
        <f t="array" ref="L5">IF(D5&gt;0,IF($D5&lt;=0,0,D5*H5),"")</f>
        <v>17976600</v>
      </c>
      <c r="M5" s="26" cm="1">
        <f t="array" ref="M5">IF(E5&gt;0,IF($D5&lt;=0,0,ROUND(E5*I5,2)),"")</f>
        <v>17980000</v>
      </c>
      <c r="N5" s="28" cm="1">
        <f t="array" ref="N5">IF(F5&gt;0,IF($D5&lt;=0,0,ROUND(F5*J5,2)),"")</f>
        <v>17980000</v>
      </c>
    </row>
    <row r="6" ht="20.5" customHeight="1">
      <c r="A6" s="95">
        <v>3</v>
      </c>
      <c r="B6" t="s" s="19">
        <v>112</v>
      </c>
      <c r="C6" s="20"/>
      <c r="D6" s="21">
        <v>1</v>
      </c>
      <c r="E6" s="21" cm="1">
        <f t="array" ref="E6">D6</f>
        <v>1</v>
      </c>
      <c r="F6" s="21" cm="1">
        <f t="array" ref="F6">D6</f>
        <v>1</v>
      </c>
      <c r="G6" t="s" s="22">
        <v>19</v>
      </c>
      <c r="H6" s="21" cm="1">
        <f t="array" ref="H6">ROUNDDOWN((F$30*0.25)*100/111,-2)</f>
        <v>22470800</v>
      </c>
      <c r="I6" s="21">
        <v>22485000</v>
      </c>
      <c r="J6" s="21">
        <v>22485000</v>
      </c>
      <c r="K6" s="21">
        <v>11</v>
      </c>
      <c r="L6" s="21" cm="1">
        <f t="array" ref="L6">IF(D6&gt;0,IF($D6&lt;=0,0,D6*H6),"")</f>
        <v>22470800</v>
      </c>
      <c r="M6" s="21" cm="1">
        <f t="array" ref="M6">IF(E6&gt;0,IF($D6&lt;=0,0,ROUND(E6*I6,2)),"")</f>
        <v>22485000</v>
      </c>
      <c r="N6" s="23" cm="1">
        <f t="array" ref="N6">IF(F6&gt;0,IF($D6&lt;=0,0,ROUND(F6*J6,2)),"")</f>
        <v>22485000</v>
      </c>
    </row>
    <row r="7" ht="68.5" customHeight="1">
      <c r="A7" s="95">
        <v>5</v>
      </c>
      <c r="B7" t="s" s="19">
        <v>113</v>
      </c>
      <c r="C7" s="24"/>
      <c r="D7" s="26">
        <v>1</v>
      </c>
      <c r="E7" s="26" cm="1">
        <f t="array" ref="E7">D7</f>
        <v>1</v>
      </c>
      <c r="F7" s="26" cm="1">
        <f t="array" ref="F7">D7</f>
        <v>1</v>
      </c>
      <c r="G7" t="s" s="27">
        <v>19</v>
      </c>
      <c r="H7" s="26" cm="1">
        <f t="array" ref="H7">ROUNDDOWN((F$30*0.25)*100/111,-2)</f>
        <v>22470800</v>
      </c>
      <c r="I7" s="26">
        <v>22485000</v>
      </c>
      <c r="J7" s="26">
        <v>22485000</v>
      </c>
      <c r="K7" s="26">
        <v>11</v>
      </c>
      <c r="L7" s="26" cm="1">
        <f t="array" ref="L7">IF(D7&gt;0,IF($D7&lt;=0,0,D7*H7),"")</f>
        <v>22470800</v>
      </c>
      <c r="M7" s="26" cm="1">
        <f t="array" ref="M7">IF(E7&gt;0,IF($D7&lt;=0,0,ROUND(E7*I7,2)),"")</f>
        <v>22485000</v>
      </c>
      <c r="N7" s="28" cm="1">
        <f t="array" ref="N7">IF(F7&gt;0,IF($D7&lt;=0,0,ROUND(F7*J7,2)),"")</f>
        <v>22485000</v>
      </c>
    </row>
    <row r="8" ht="32.5" customHeight="1">
      <c r="A8" s="95">
        <v>6</v>
      </c>
      <c r="B8" t="s" s="19">
        <v>114</v>
      </c>
      <c r="C8" s="20"/>
      <c r="D8" s="21">
        <v>1</v>
      </c>
      <c r="E8" s="21" cm="1">
        <f t="array" ref="E8">D8</f>
        <v>1</v>
      </c>
      <c r="F8" s="21" cm="1">
        <f t="array" ref="F8">D8</f>
        <v>1</v>
      </c>
      <c r="G8" t="s" s="22">
        <v>19</v>
      </c>
      <c r="H8" s="21" cm="1">
        <f t="array" ref="H8">ROUNDDOWN((F$30*0.05)*100/111,-2)</f>
        <v>4494100</v>
      </c>
      <c r="I8" s="21">
        <v>4495000</v>
      </c>
      <c r="J8" s="21">
        <v>4495000</v>
      </c>
      <c r="K8" s="21">
        <v>11</v>
      </c>
      <c r="L8" s="21" cm="1">
        <f t="array" ref="L8">IF(D8&gt;0,IF($D8&lt;=0,0,D8*H8),"")</f>
        <v>4494100</v>
      </c>
      <c r="M8" s="21" cm="1">
        <f t="array" ref="M8">IF(E8&gt;0,IF($D8&lt;=0,0,ROUND(E8*I8,2)),"")</f>
        <v>4495000</v>
      </c>
      <c r="N8" s="23" cm="1">
        <f t="array" ref="N8">IF(F8&gt;0,IF($D8&lt;=0,0,ROUND(F8*J8,2)),"")</f>
        <v>4495000</v>
      </c>
    </row>
    <row r="9" ht="20.5" customHeight="1">
      <c r="A9" s="95">
        <v>7</v>
      </c>
      <c r="B9" t="s" s="19">
        <v>115</v>
      </c>
      <c r="C9" s="24"/>
      <c r="D9" s="26">
        <v>1</v>
      </c>
      <c r="E9" s="26" cm="1">
        <f t="array" ref="E9">D9</f>
        <v>1</v>
      </c>
      <c r="F9" s="26" cm="1">
        <f t="array" ref="F9">D9</f>
        <v>1</v>
      </c>
      <c r="G9" t="s" s="27">
        <v>19</v>
      </c>
      <c r="H9" s="26" cm="1">
        <f t="array" ref="H9">ROUNDDOWN((F$30*0.15)*100/111,-2)</f>
        <v>13482500</v>
      </c>
      <c r="I9" s="26">
        <v>13420000</v>
      </c>
      <c r="J9" s="26">
        <v>13420000</v>
      </c>
      <c r="K9" s="26">
        <v>11</v>
      </c>
      <c r="L9" s="26" cm="1">
        <f t="array" ref="L9">IF(D9&gt;0,IF($D9&lt;=0,0,D9*H9),"")</f>
        <v>13482500</v>
      </c>
      <c r="M9" s="26" cm="1">
        <f t="array" ref="M9">IF(E9&gt;0,IF($D9&lt;=0,0,ROUND(E9*I9,2)),"")</f>
        <v>13420000</v>
      </c>
      <c r="N9" s="28" cm="1">
        <f t="array" ref="N9">IF(F9&gt;0,IF($D9&lt;=0,0,ROUND(F9*J9,2)),"")</f>
        <v>13420000</v>
      </c>
    </row>
    <row r="10" ht="20.6" customHeight="1">
      <c r="A10" s="33">
        <v>8</v>
      </c>
      <c r="B10" t="s" s="34">
        <v>37</v>
      </c>
      <c r="C10" s="35"/>
      <c r="D10" s="36">
        <v>1</v>
      </c>
      <c r="E10" s="36" cm="1">
        <f t="array" ref="E10">D10</f>
        <v>1</v>
      </c>
      <c r="F10" s="36" cm="1">
        <f t="array" ref="F10">D10</f>
        <v>1</v>
      </c>
      <c r="G10" t="s" s="37">
        <v>19</v>
      </c>
      <c r="H10" s="36">
        <v>215748.96</v>
      </c>
      <c r="I10" s="36">
        <v>215628</v>
      </c>
      <c r="J10" s="36">
        <v>215628</v>
      </c>
      <c r="K10" s="36">
        <v>0</v>
      </c>
      <c r="L10" s="36" cm="1">
        <f t="array" ref="L10">IF(D10&gt;0,IF($D10&lt;=0,0,D10*H10),"")</f>
        <v>215748.96</v>
      </c>
      <c r="M10" s="36" cm="1">
        <f t="array" ref="M10">IF(E10&gt;0,IF($D10&lt;=0,0,ROUND(E10*I10,2)),"")</f>
        <v>215628</v>
      </c>
      <c r="N10" s="38" cm="1">
        <f t="array" ref="N10">IF(F10&gt;0,IF($D10&lt;=0,0,ROUND(F10*J10,2)),"")</f>
        <v>215628</v>
      </c>
    </row>
    <row r="11" ht="8.75" customHeight="1" hidden="1">
      <c r="A11" s="39"/>
      <c r="B11" s="40"/>
      <c r="C11" s="41"/>
      <c r="D11" s="42"/>
      <c r="E11" s="42"/>
      <c r="F11" s="42"/>
      <c r="G11" s="43"/>
      <c r="H11" s="42"/>
      <c r="I11" s="42"/>
      <c r="J11" s="42"/>
      <c r="K11" s="42"/>
      <c r="L11" s="42"/>
      <c r="M11" s="42"/>
      <c r="N11" s="44"/>
    </row>
    <row r="12" ht="8.75" customHeight="1" hidden="1">
      <c r="A12" s="39"/>
      <c r="B12" s="40"/>
      <c r="C12" s="45"/>
      <c r="D12" s="46"/>
      <c r="E12" s="46"/>
      <c r="F12" s="46"/>
      <c r="G12" s="47"/>
      <c r="H12" s="46"/>
      <c r="I12" s="46"/>
      <c r="J12" s="46"/>
      <c r="K12" s="46"/>
      <c r="L12" s="46"/>
      <c r="M12" s="46"/>
      <c r="N12" s="48"/>
    </row>
    <row r="13" ht="8.75" customHeight="1" hidden="1">
      <c r="A13" s="39"/>
      <c r="B13" s="40"/>
      <c r="C13" s="41"/>
      <c r="D13" s="42"/>
      <c r="E13" s="42"/>
      <c r="F13" s="42"/>
      <c r="G13" s="43"/>
      <c r="H13" s="42"/>
      <c r="I13" s="42"/>
      <c r="J13" s="42"/>
      <c r="K13" s="42"/>
      <c r="L13" s="42"/>
      <c r="M13" s="42"/>
      <c r="N13" s="44"/>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2"/>
      <c r="I15" s="42"/>
      <c r="J15" s="42"/>
      <c r="K15" s="42"/>
      <c r="L15" s="42"/>
      <c r="M15" s="42"/>
      <c r="N15" s="44"/>
    </row>
    <row r="16" ht="8.75" customHeight="1" hidden="1">
      <c r="A16" s="39"/>
      <c r="B16" s="40"/>
      <c r="C16" s="45"/>
      <c r="D16" s="46"/>
      <c r="E16" s="46"/>
      <c r="F16" s="46"/>
      <c r="G16" s="47"/>
      <c r="H16" s="46"/>
      <c r="I16" s="46"/>
      <c r="J16" s="46"/>
      <c r="K16" s="46"/>
      <c r="L16" s="46"/>
      <c r="M16" s="46"/>
      <c r="N16" s="48"/>
    </row>
    <row r="17" ht="8.75" customHeight="1" hidden="1">
      <c r="A17" s="39"/>
      <c r="B17" s="40"/>
      <c r="C17" s="41"/>
      <c r="D17" s="42"/>
      <c r="E17" s="42"/>
      <c r="F17" s="42"/>
      <c r="G17" s="43"/>
      <c r="H17" s="43"/>
      <c r="I17" s="43"/>
      <c r="J17" s="43"/>
      <c r="K17" s="42"/>
      <c r="L17" s="43"/>
      <c r="M17" s="43"/>
      <c r="N17" s="49"/>
    </row>
    <row r="18" ht="8.75" customHeight="1" hidden="1">
      <c r="A18" s="39"/>
      <c r="B18" s="40"/>
      <c r="C18" s="45"/>
      <c r="D18" s="46"/>
      <c r="E18" s="46"/>
      <c r="F18" s="46"/>
      <c r="G18" s="47"/>
      <c r="H18" s="50"/>
      <c r="I18" s="50"/>
      <c r="J18" s="50"/>
      <c r="K18" s="46"/>
      <c r="L18" s="46"/>
      <c r="M18" s="46"/>
      <c r="N18" s="48"/>
    </row>
    <row r="19" ht="8.75" customHeight="1" hidden="1">
      <c r="A19" s="39"/>
      <c r="B19" s="40"/>
      <c r="C19" s="41"/>
      <c r="D19" s="42"/>
      <c r="E19" s="42"/>
      <c r="F19" s="42"/>
      <c r="G19" s="43"/>
      <c r="H19" s="43"/>
      <c r="I19" s="43"/>
      <c r="J19" s="43"/>
      <c r="K19" s="42"/>
      <c r="L19" s="43"/>
      <c r="M19" s="43"/>
      <c r="N19" s="49"/>
    </row>
    <row r="20" ht="8.75" customHeight="1" hidden="1">
      <c r="A20" s="39"/>
      <c r="B20" s="40"/>
      <c r="C20" s="45"/>
      <c r="D20" s="46"/>
      <c r="E20" s="46"/>
      <c r="F20" s="46"/>
      <c r="G20" s="47"/>
      <c r="H20" s="46"/>
      <c r="I20" s="46"/>
      <c r="J20" s="46"/>
      <c r="K20" s="46"/>
      <c r="L20" s="46"/>
      <c r="M20" s="46"/>
      <c r="N20" s="48"/>
    </row>
    <row r="21" ht="8.75" customHeight="1" hidden="1">
      <c r="A21" s="39"/>
      <c r="B21" s="40"/>
      <c r="C21" s="41"/>
      <c r="D21" s="42"/>
      <c r="E21" s="42"/>
      <c r="F21" s="42"/>
      <c r="G21" s="43"/>
      <c r="H21" s="42"/>
      <c r="I21" s="42"/>
      <c r="J21" s="42"/>
      <c r="K21" s="42"/>
      <c r="L21" s="42"/>
      <c r="M21" s="42"/>
      <c r="N21" s="44"/>
    </row>
    <row r="22" ht="8.75" customHeight="1" hidden="1">
      <c r="A22" s="51"/>
      <c r="B22" s="40"/>
      <c r="C22" s="45"/>
      <c r="D22" s="46"/>
      <c r="E22" s="46"/>
      <c r="F22" s="46"/>
      <c r="G22" s="47"/>
      <c r="H22" s="46"/>
      <c r="I22" s="46"/>
      <c r="J22" s="46"/>
      <c r="K22" s="46"/>
      <c r="L22" s="46"/>
      <c r="M22" s="46"/>
      <c r="N22" s="48"/>
    </row>
    <row r="23" ht="8.75" customHeight="1" hidden="1">
      <c r="A23" s="51"/>
      <c r="B23" s="40"/>
      <c r="C23" s="41"/>
      <c r="D23" s="42"/>
      <c r="E23" s="42"/>
      <c r="F23" s="42"/>
      <c r="G23" s="43"/>
      <c r="H23" s="42"/>
      <c r="I23" s="42"/>
      <c r="J23" s="42"/>
      <c r="K23" s="42"/>
      <c r="L23" s="42"/>
      <c r="M23" s="42"/>
      <c r="N23" s="44"/>
    </row>
    <row r="24" ht="8.75" customHeight="1" hidden="1">
      <c r="A24" s="39"/>
      <c r="B24" s="40"/>
      <c r="C24" s="45"/>
      <c r="D24" s="46"/>
      <c r="E24" s="46"/>
      <c r="F24" s="46"/>
      <c r="G24" s="47"/>
      <c r="H24" s="46"/>
      <c r="I24" s="46"/>
      <c r="J24" s="46"/>
      <c r="K24" s="46"/>
      <c r="L24" s="47"/>
      <c r="M24" s="47"/>
      <c r="N24" s="52"/>
    </row>
    <row r="25" ht="8.75" customHeight="1" hidden="1">
      <c r="A25" s="39"/>
      <c r="B25" s="40"/>
      <c r="C25" s="41"/>
      <c r="D25" s="42"/>
      <c r="E25" s="42"/>
      <c r="F25" s="42"/>
      <c r="G25" s="43"/>
      <c r="H25" s="42"/>
      <c r="I25" s="42"/>
      <c r="J25" s="42"/>
      <c r="K25" s="42"/>
      <c r="L25" s="42"/>
      <c r="M25" s="42"/>
      <c r="N25" s="44"/>
    </row>
    <row r="26" ht="8.75" customHeight="1" hidden="1">
      <c r="A26" s="39"/>
      <c r="B26" s="40"/>
      <c r="C26" s="45"/>
      <c r="D26" s="46"/>
      <c r="E26" s="46"/>
      <c r="F26" s="46"/>
      <c r="G26" s="47"/>
      <c r="H26" s="46"/>
      <c r="I26" s="46"/>
      <c r="J26" s="46"/>
      <c r="K26" s="46"/>
      <c r="L26" s="47"/>
      <c r="M26" s="47"/>
      <c r="N26" s="52"/>
    </row>
    <row r="27" ht="20.85" customHeight="1">
      <c r="A27" s="108"/>
      <c r="B27" s="54"/>
      <c r="C27" s="54"/>
      <c r="D27" s="55"/>
      <c r="E27" s="55"/>
      <c r="F27" s="55"/>
      <c r="G27" s="56"/>
      <c r="H27" s="56"/>
      <c r="I27" s="54"/>
      <c r="J27" s="57"/>
      <c r="K27" t="s" s="58">
        <v>38</v>
      </c>
      <c r="L27" s="59" cm="1">
        <f t="array" ref="L27">SUM(L1:L26)</f>
        <v>90098848.95999999</v>
      </c>
      <c r="M27" s="59" cm="1">
        <f t="array" ref="M27">SUM(M1:M26)</f>
        <v>90060628</v>
      </c>
      <c r="N27" s="59" cm="1">
        <f t="array" ref="N27">SUM(N1:N26)</f>
        <v>90060628</v>
      </c>
    </row>
    <row r="28" ht="21" customHeight="1">
      <c r="A28" s="63" cm="1">
        <f t="array" ref="A28">ROUND(IF(I28&lt;=100000000,I28*0.24%,IF(AND(I28&gt;100000000,I28&lt;=500000000),100000000*0.24%+(I28-100000000)*0.19%,IF(AND(I28&gt;500000000,I28&lt;=1000000000),100000000*0.24%+400000000*0.19%+(I28-500000000)*0.15%,IF(AND(I28&gt;1000000000,I28&lt;=5000000000),100000000*0.24%+400000000*0.19%+500000000*0.15%+(I28-1000000000)*0.12%,IF(I28&gt;5000000000,100000000*0.24%+400000000*0.19%+500000000*0.15%+4000000000*0.12%+(I28-5000000000)*0.1%,"Bingung komputer"))))),2)</f>
        <v>0</v>
      </c>
      <c r="B28" t="s" s="109">
        <v>39</v>
      </c>
      <c r="C28" s="62"/>
      <c r="D28" s="63" cm="1">
        <f t="array" ref="D28">ROUND(IF(L28&lt;=100000000,L28*0.24%,IF(AND(L28&gt;100000000,L28&lt;=500000000),100000000*0.24%+(L28-100000000)*0.19%,IF(AND(L28&gt;500000000,L28&lt;=1000000000),100000000*0.24%+400000000*0.19%+(L28-500000000)*0.15%,IF(AND(L28&gt;1000000000,L28&lt;=5000000000),100000000*0.24%+400000000*0.19%+500000000*0.15%+(L28-1000000000)*0.12%,IF(L28&gt;5000000000,100000000*0.24%+400000000*0.19%+500000000*0.15%+4000000000*0.12%+(L28-5000000000)*0.1%,"Bingung komputer"))))),2)</f>
        <v>215719.44</v>
      </c>
      <c r="E28" s="64" cm="1">
        <f t="array" ref="E28">ROUND(IF(M28&lt;=100000000,M28*0.24%,IF(AND(M28&gt;100000000,M28&lt;=500000000),100000000*0.24%+(M28-100000000)*0.19%,IF(AND(M28&gt;500000000,M28&lt;=1000000000),100000000*0.24%+400000000*0.19%+(M28-500000000)*0.15%,IF(AND(M28&gt;1000000000,M28&lt;=5000000000),100000000*0.24%+400000000*0.19%+500000000*0.15%+(M28-1000000000)*0.12%,IF(M28&gt;5000000000,100000000*0.24%+400000000*0.19%+500000000*0.15%+4000000000*0.12%+(M28-5000000000)*0.1%,"Bingung komputer"))))),2)</f>
        <v>215628</v>
      </c>
      <c r="F28" s="64" cm="1">
        <f t="array" ref="F28">ROUND(IF(N28&lt;=100000000,N28*0.24%,IF(AND(N28&gt;100000000,N28&lt;=500000000),100000000*0.24%+(N28-100000000)*0.19%,IF(AND(N28&gt;500000000,N28&lt;=1000000000),100000000*0.24%+400000000*0.19%+(N28-500000000)*0.15%,IF(AND(N28&gt;1000000000,N28&lt;=5000000000),100000000*0.24%+400000000*0.19%+500000000*0.15%+(N28-1000000000)*0.12%,IF(N28&gt;5000000000,100000000*0.24%+400000000*0.19%+500000000*0.15%+4000000000*0.12%+(N28-5000000000)*0.1%,"Bingung komputer"))))),2)</f>
        <v>215628</v>
      </c>
      <c r="G28" s="65"/>
      <c r="H28" s="66"/>
      <c r="I28" s="68"/>
      <c r="J28" s="67"/>
      <c r="K28" t="str" s="67" cm="1">
        <f t="array" ref="K28">"Jumlah Terkena Pajak "&amp;MAX(K3:K26)&amp;"% (B)"</f>
        <v>Jumlah Terkena Pajak 11,00% (B)</v>
      </c>
      <c r="L28" s="68" cm="1">
        <f t="array" ref="L28">SUMIF($K3:$K26,"&gt;0",L3:L26)</f>
        <v>89883100</v>
      </c>
      <c r="M28" s="69" cm="1">
        <f t="array" ref="M28">SUMIF($K3:$K26,"&gt;0",M3:M26)</f>
        <v>89845000</v>
      </c>
      <c r="N28" s="69" cm="1">
        <f t="array" ref="N28">SUMIF($K3:$K26,"&gt;0",N3:N26)</f>
        <v>89845000</v>
      </c>
    </row>
    <row r="29" ht="21" customHeight="1">
      <c r="A29" s="70"/>
      <c r="B29" s="71"/>
      <c r="C29" s="71"/>
      <c r="D29" s="72"/>
      <c r="E29" s="72"/>
      <c r="F29" s="71"/>
      <c r="G29" s="72"/>
      <c r="H29" s="72"/>
      <c r="I29" s="74"/>
      <c r="J29" s="73"/>
      <c r="K29" t="str" s="73" cm="1">
        <f t="array" ref="K29">"PPN (C) = "&amp;MAX(K3:K26)&amp;"% x B"</f>
        <v>PPN (C) = 11,00% x B</v>
      </c>
      <c r="L29" s="74" cm="1">
        <f t="array" ref="L29">L28*MAX($K3:$K26)%</f>
        <v>9887141</v>
      </c>
      <c r="M29" s="69" cm="1">
        <f t="array" ref="M29">M28*MAX($K3:$K26)%</f>
        <v>9882950</v>
      </c>
      <c r="N29" s="69" cm="1">
        <f t="array" ref="N29">N28*MAX($K3:$K26)%</f>
        <v>9882950</v>
      </c>
    </row>
    <row r="30" ht="21" customHeight="1">
      <c r="A30" s="70"/>
      <c r="B30" s="71"/>
      <c r="C30" s="71"/>
      <c r="D30" t="s" s="110">
        <v>116</v>
      </c>
      <c r="E30" s="112">
        <v>100000000</v>
      </c>
      <c r="F30" s="112">
        <v>99770500</v>
      </c>
      <c r="G30" s="72"/>
      <c r="H30" s="72"/>
      <c r="I30" s="71"/>
      <c r="J30" s="73"/>
      <c r="K30" t="s" s="75">
        <v>42</v>
      </c>
      <c r="L30" s="76" cm="1">
        <f t="array" ref="L30">L27+L29</f>
        <v>99985989.95999999</v>
      </c>
      <c r="M30" s="69" cm="1">
        <f t="array" ref="M30">M27+M29</f>
        <v>99943578</v>
      </c>
      <c r="N30" s="69" cm="1">
        <f t="array" ref="N30">N27+N29</f>
        <v>99943578</v>
      </c>
    </row>
    <row r="31" ht="20.5" customHeight="1">
      <c r="A31" s="70"/>
      <c r="B31" s="71"/>
      <c r="C31" s="71"/>
      <c r="D31" s="72"/>
      <c r="E31" s="72" cm="1">
        <f t="array" ref="E31">E$30-L$31</f>
        <v>14010.04</v>
      </c>
      <c r="F31" s="113" cm="1">
        <f t="array" ref="F31">ROUNDDOWN(E$30-D$28,2)</f>
        <v>99784280.56</v>
      </c>
      <c r="G31" s="72"/>
      <c r="H31" s="72"/>
      <c r="I31" s="71"/>
      <c r="J31" s="73"/>
      <c r="K31" t="s" s="75">
        <v>43</v>
      </c>
      <c r="L31" s="68" cm="1">
        <f t="array" ref="L31">ROUNDDOWN(L30,2)</f>
        <v>99985989.95999999</v>
      </c>
      <c r="M31" s="68" cm="1">
        <f t="array" ref="M31">ROUNDDOWN(M30,2)</f>
        <v>99943578</v>
      </c>
      <c r="N31" s="68" cm="1">
        <f t="array" ref="N31">ROUNDDOWN(N30,-3)</f>
        <v>99943000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58.xml><?xml version="1.0" encoding="utf-8"?>
<worksheet xmlns:r="http://schemas.openxmlformats.org/officeDocument/2006/relationships" xmlns="http://schemas.openxmlformats.org/spreadsheetml/2006/main">
  <sheetPr>
    <pageSetUpPr fitToPage="1"/>
  </sheetPr>
  <dimension ref="A1:N31"/>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353" customWidth="1"/>
    <col min="2" max="2" width="43.0312" style="353" customWidth="1"/>
    <col min="3" max="3" width="2.75" style="353" customWidth="1"/>
    <col min="4" max="6" width="10.3672" style="353" customWidth="1"/>
    <col min="7" max="7" width="11.6875" style="353" customWidth="1"/>
    <col min="8" max="11" width="13.5156" style="353" customWidth="1"/>
    <col min="12" max="14" width="14.2344" style="353" customWidth="1"/>
    <col min="15" max="16384" width="16.3516" style="353"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109</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s="95">
        <v>1</v>
      </c>
      <c r="B4" t="s" s="19">
        <v>110</v>
      </c>
      <c r="C4" s="20"/>
      <c r="D4" s="21">
        <v>1</v>
      </c>
      <c r="E4" s="21" cm="1">
        <f t="array" ref="E4">D4</f>
        <v>1</v>
      </c>
      <c r="F4" s="21" cm="1">
        <f t="array" ref="F4">D4</f>
        <v>1</v>
      </c>
      <c r="G4" t="s" s="22">
        <v>19</v>
      </c>
      <c r="H4" s="21" cm="1">
        <f t="array" ref="H4">ROUNDDOWN((F$30*0.1)*100/111,-2)</f>
        <v>8988300</v>
      </c>
      <c r="I4" s="21">
        <v>8980000</v>
      </c>
      <c r="J4" s="21">
        <v>8980000</v>
      </c>
      <c r="K4" s="21">
        <v>11</v>
      </c>
      <c r="L4" s="21" cm="1">
        <f t="array" ref="L4">IF(D4&gt;0,IF($D4&lt;=0,0,D4*H4),"")</f>
        <v>8988300</v>
      </c>
      <c r="M4" s="21" cm="1">
        <f t="array" ref="M4">IF(E4&gt;0,IF($D4&lt;=0,0,ROUND(E4*I4,2)),"")</f>
        <v>8980000</v>
      </c>
      <c r="N4" s="23" cm="1">
        <f t="array" ref="N4">IF(F4&gt;0,IF($D4&lt;=0,0,ROUND(F4*J4,2)),"")</f>
        <v>8980000</v>
      </c>
    </row>
    <row r="5" ht="20.5" customHeight="1">
      <c r="A5" s="95">
        <v>2</v>
      </c>
      <c r="B5" t="s" s="19">
        <v>111</v>
      </c>
      <c r="C5" s="24"/>
      <c r="D5" s="26">
        <v>1</v>
      </c>
      <c r="E5" s="26" cm="1">
        <f t="array" ref="E5">D5</f>
        <v>1</v>
      </c>
      <c r="F5" s="26" cm="1">
        <f t="array" ref="F5">D5</f>
        <v>1</v>
      </c>
      <c r="G5" t="s" s="27">
        <v>19</v>
      </c>
      <c r="H5" s="26" cm="1">
        <f t="array" ref="H5">ROUNDDOWN((F$30*0.2)*100/111,-2)</f>
        <v>17976600</v>
      </c>
      <c r="I5" s="26">
        <v>17980000</v>
      </c>
      <c r="J5" s="26">
        <v>17980000</v>
      </c>
      <c r="K5" s="26">
        <v>11</v>
      </c>
      <c r="L5" s="26" cm="1">
        <f t="array" ref="L5">IF(D5&gt;0,IF($D5&lt;=0,0,D5*H5),"")</f>
        <v>17976600</v>
      </c>
      <c r="M5" s="26" cm="1">
        <f t="array" ref="M5">IF(E5&gt;0,IF($D5&lt;=0,0,ROUND(E5*I5,2)),"")</f>
        <v>17980000</v>
      </c>
      <c r="N5" s="28" cm="1">
        <f t="array" ref="N5">IF(F5&gt;0,IF($D5&lt;=0,0,ROUND(F5*J5,2)),"")</f>
        <v>17980000</v>
      </c>
    </row>
    <row r="6" ht="20.5" customHeight="1">
      <c r="A6" s="95">
        <v>3</v>
      </c>
      <c r="B6" t="s" s="19">
        <v>112</v>
      </c>
      <c r="C6" s="20"/>
      <c r="D6" s="21">
        <v>1</v>
      </c>
      <c r="E6" s="21" cm="1">
        <f t="array" ref="E6">D6</f>
        <v>1</v>
      </c>
      <c r="F6" s="21" cm="1">
        <f t="array" ref="F6">D6</f>
        <v>1</v>
      </c>
      <c r="G6" t="s" s="22">
        <v>19</v>
      </c>
      <c r="H6" s="21" cm="1">
        <f t="array" ref="H6">ROUNDDOWN((F$30*0.25)*100/111,-2)</f>
        <v>22470800</v>
      </c>
      <c r="I6" s="21">
        <v>22485000</v>
      </c>
      <c r="J6" s="21">
        <v>22485000</v>
      </c>
      <c r="K6" s="21">
        <v>11</v>
      </c>
      <c r="L6" s="21" cm="1">
        <f t="array" ref="L6">IF(D6&gt;0,IF($D6&lt;=0,0,D6*H6),"")</f>
        <v>22470800</v>
      </c>
      <c r="M6" s="21" cm="1">
        <f t="array" ref="M6">IF(E6&gt;0,IF($D6&lt;=0,0,ROUND(E6*I6,2)),"")</f>
        <v>22485000</v>
      </c>
      <c r="N6" s="23" cm="1">
        <f t="array" ref="N6">IF(F6&gt;0,IF($D6&lt;=0,0,ROUND(F6*J6,2)),"")</f>
        <v>22485000</v>
      </c>
    </row>
    <row r="7" ht="68.5" customHeight="1">
      <c r="A7" s="95">
        <v>5</v>
      </c>
      <c r="B7" t="s" s="19">
        <v>113</v>
      </c>
      <c r="C7" s="24"/>
      <c r="D7" s="26">
        <v>1</v>
      </c>
      <c r="E7" s="26" cm="1">
        <f t="array" ref="E7">D7</f>
        <v>1</v>
      </c>
      <c r="F7" s="26" cm="1">
        <f t="array" ref="F7">D7</f>
        <v>1</v>
      </c>
      <c r="G7" t="s" s="27">
        <v>19</v>
      </c>
      <c r="H7" s="26" cm="1">
        <f t="array" ref="H7">ROUNDDOWN((F$30*0.25)*100/111,-2)</f>
        <v>22470800</v>
      </c>
      <c r="I7" s="26">
        <v>22485000</v>
      </c>
      <c r="J7" s="26">
        <v>22485000</v>
      </c>
      <c r="K7" s="26">
        <v>11</v>
      </c>
      <c r="L7" s="26" cm="1">
        <f t="array" ref="L7">IF(D7&gt;0,IF($D7&lt;=0,0,D7*H7),"")</f>
        <v>22470800</v>
      </c>
      <c r="M7" s="26" cm="1">
        <f t="array" ref="M7">IF(E7&gt;0,IF($D7&lt;=0,0,ROUND(E7*I7,2)),"")</f>
        <v>22485000</v>
      </c>
      <c r="N7" s="28" cm="1">
        <f t="array" ref="N7">IF(F7&gt;0,IF($D7&lt;=0,0,ROUND(F7*J7,2)),"")</f>
        <v>22485000</v>
      </c>
    </row>
    <row r="8" ht="32.5" customHeight="1">
      <c r="A8" s="95">
        <v>6</v>
      </c>
      <c r="B8" t="s" s="19">
        <v>114</v>
      </c>
      <c r="C8" s="20"/>
      <c r="D8" s="21">
        <v>1</v>
      </c>
      <c r="E8" s="21" cm="1">
        <f t="array" ref="E8">D8</f>
        <v>1</v>
      </c>
      <c r="F8" s="21" cm="1">
        <f t="array" ref="F8">D8</f>
        <v>1</v>
      </c>
      <c r="G8" t="s" s="22">
        <v>19</v>
      </c>
      <c r="H8" s="21" cm="1">
        <f t="array" ref="H8">ROUNDDOWN((F$30*0.05)*100/111,-2)</f>
        <v>4494100</v>
      </c>
      <c r="I8" s="21">
        <v>4495000</v>
      </c>
      <c r="J8" s="21">
        <v>4495000</v>
      </c>
      <c r="K8" s="21">
        <v>11</v>
      </c>
      <c r="L8" s="21" cm="1">
        <f t="array" ref="L8">IF(D8&gt;0,IF($D8&lt;=0,0,D8*H8),"")</f>
        <v>4494100</v>
      </c>
      <c r="M8" s="21" cm="1">
        <f t="array" ref="M8">IF(E8&gt;0,IF($D8&lt;=0,0,ROUND(E8*I8,2)),"")</f>
        <v>4495000</v>
      </c>
      <c r="N8" s="23" cm="1">
        <f t="array" ref="N8">IF(F8&gt;0,IF($D8&lt;=0,0,ROUND(F8*J8,2)),"")</f>
        <v>4495000</v>
      </c>
    </row>
    <row r="9" ht="20.5" customHeight="1">
      <c r="A9" s="95">
        <v>7</v>
      </c>
      <c r="B9" t="s" s="19">
        <v>115</v>
      </c>
      <c r="C9" s="24"/>
      <c r="D9" s="26">
        <v>1</v>
      </c>
      <c r="E9" s="26" cm="1">
        <f t="array" ref="E9">D9</f>
        <v>1</v>
      </c>
      <c r="F9" s="26" cm="1">
        <f t="array" ref="F9">D9</f>
        <v>1</v>
      </c>
      <c r="G9" t="s" s="27">
        <v>19</v>
      </c>
      <c r="H9" s="26" cm="1">
        <f t="array" ref="H9">ROUNDDOWN((F$30*0.15)*100/111,-2)</f>
        <v>13482500</v>
      </c>
      <c r="I9" s="26">
        <v>13420000</v>
      </c>
      <c r="J9" s="26">
        <v>13420000</v>
      </c>
      <c r="K9" s="26">
        <v>11</v>
      </c>
      <c r="L9" s="26" cm="1">
        <f t="array" ref="L9">IF(D9&gt;0,IF($D9&lt;=0,0,D9*H9),"")</f>
        <v>13482500</v>
      </c>
      <c r="M9" s="26" cm="1">
        <f t="array" ref="M9">IF(E9&gt;0,IF($D9&lt;=0,0,ROUND(E9*I9,2)),"")</f>
        <v>13420000</v>
      </c>
      <c r="N9" s="28" cm="1">
        <f t="array" ref="N9">IF(F9&gt;0,IF($D9&lt;=0,0,ROUND(F9*J9,2)),"")</f>
        <v>13420000</v>
      </c>
    </row>
    <row r="10" ht="20.6" customHeight="1">
      <c r="A10" s="33">
        <v>8</v>
      </c>
      <c r="B10" t="s" s="34">
        <v>37</v>
      </c>
      <c r="C10" s="35"/>
      <c r="D10" s="36">
        <v>1</v>
      </c>
      <c r="E10" s="36" cm="1">
        <f t="array" ref="E10">D10</f>
        <v>1</v>
      </c>
      <c r="F10" s="36" cm="1">
        <f t="array" ref="F10">D10</f>
        <v>1</v>
      </c>
      <c r="G10" t="s" s="37">
        <v>19</v>
      </c>
      <c r="H10" s="36">
        <v>215748.96</v>
      </c>
      <c r="I10" s="36">
        <v>215628</v>
      </c>
      <c r="J10" s="36">
        <v>215628</v>
      </c>
      <c r="K10" s="36">
        <v>0</v>
      </c>
      <c r="L10" s="36" cm="1">
        <f t="array" ref="L10">IF(D10&gt;0,IF($D10&lt;=0,0,D10*H10),"")</f>
        <v>215748.96</v>
      </c>
      <c r="M10" s="36" cm="1">
        <f t="array" ref="M10">IF(E10&gt;0,IF($D10&lt;=0,0,ROUND(E10*I10,2)),"")</f>
        <v>215628</v>
      </c>
      <c r="N10" s="38" cm="1">
        <f t="array" ref="N10">IF(F10&gt;0,IF($D10&lt;=0,0,ROUND(F10*J10,2)),"")</f>
        <v>215628</v>
      </c>
    </row>
    <row r="11" ht="8.75" customHeight="1" hidden="1">
      <c r="A11" s="39"/>
      <c r="B11" s="40"/>
      <c r="C11" s="41"/>
      <c r="D11" s="42"/>
      <c r="E11" s="42"/>
      <c r="F11" s="42"/>
      <c r="G11" s="43"/>
      <c r="H11" s="42"/>
      <c r="I11" s="42"/>
      <c r="J11" s="42"/>
      <c r="K11" s="42"/>
      <c r="L11" s="42"/>
      <c r="M11" s="42"/>
      <c r="N11" s="44"/>
    </row>
    <row r="12" ht="8.75" customHeight="1" hidden="1">
      <c r="A12" s="39"/>
      <c r="B12" s="40"/>
      <c r="C12" s="45"/>
      <c r="D12" s="46"/>
      <c r="E12" s="46"/>
      <c r="F12" s="46"/>
      <c r="G12" s="47"/>
      <c r="H12" s="46"/>
      <c r="I12" s="46"/>
      <c r="J12" s="46"/>
      <c r="K12" s="46"/>
      <c r="L12" s="46"/>
      <c r="M12" s="46"/>
      <c r="N12" s="48"/>
    </row>
    <row r="13" ht="8.75" customHeight="1" hidden="1">
      <c r="A13" s="39"/>
      <c r="B13" s="40"/>
      <c r="C13" s="41"/>
      <c r="D13" s="42"/>
      <c r="E13" s="42"/>
      <c r="F13" s="42"/>
      <c r="G13" s="43"/>
      <c r="H13" s="42"/>
      <c r="I13" s="42"/>
      <c r="J13" s="42"/>
      <c r="K13" s="42"/>
      <c r="L13" s="42"/>
      <c r="M13" s="42"/>
      <c r="N13" s="44"/>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2"/>
      <c r="I15" s="42"/>
      <c r="J15" s="42"/>
      <c r="K15" s="42"/>
      <c r="L15" s="42"/>
      <c r="M15" s="42"/>
      <c r="N15" s="44"/>
    </row>
    <row r="16" ht="8.75" customHeight="1" hidden="1">
      <c r="A16" s="39"/>
      <c r="B16" s="40"/>
      <c r="C16" s="45"/>
      <c r="D16" s="46"/>
      <c r="E16" s="46"/>
      <c r="F16" s="46"/>
      <c r="G16" s="47"/>
      <c r="H16" s="46"/>
      <c r="I16" s="46"/>
      <c r="J16" s="46"/>
      <c r="K16" s="46"/>
      <c r="L16" s="46"/>
      <c r="M16" s="46"/>
      <c r="N16" s="48"/>
    </row>
    <row r="17" ht="8.75" customHeight="1" hidden="1">
      <c r="A17" s="39"/>
      <c r="B17" s="40"/>
      <c r="C17" s="41"/>
      <c r="D17" s="42"/>
      <c r="E17" s="42"/>
      <c r="F17" s="42"/>
      <c r="G17" s="43"/>
      <c r="H17" s="43"/>
      <c r="I17" s="43"/>
      <c r="J17" s="43"/>
      <c r="K17" s="42"/>
      <c r="L17" s="43"/>
      <c r="M17" s="43"/>
      <c r="N17" s="49"/>
    </row>
    <row r="18" ht="8.75" customHeight="1" hidden="1">
      <c r="A18" s="39"/>
      <c r="B18" s="40"/>
      <c r="C18" s="45"/>
      <c r="D18" s="46"/>
      <c r="E18" s="46"/>
      <c r="F18" s="46"/>
      <c r="G18" s="47"/>
      <c r="H18" s="50"/>
      <c r="I18" s="50"/>
      <c r="J18" s="50"/>
      <c r="K18" s="46"/>
      <c r="L18" s="46"/>
      <c r="M18" s="46"/>
      <c r="N18" s="48"/>
    </row>
    <row r="19" ht="8.75" customHeight="1" hidden="1">
      <c r="A19" s="39"/>
      <c r="B19" s="40"/>
      <c r="C19" s="41"/>
      <c r="D19" s="42"/>
      <c r="E19" s="42"/>
      <c r="F19" s="42"/>
      <c r="G19" s="43"/>
      <c r="H19" s="43"/>
      <c r="I19" s="43"/>
      <c r="J19" s="43"/>
      <c r="K19" s="42"/>
      <c r="L19" s="43"/>
      <c r="M19" s="43"/>
      <c r="N19" s="49"/>
    </row>
    <row r="20" ht="8.75" customHeight="1" hidden="1">
      <c r="A20" s="39"/>
      <c r="B20" s="40"/>
      <c r="C20" s="45"/>
      <c r="D20" s="46"/>
      <c r="E20" s="46"/>
      <c r="F20" s="46"/>
      <c r="G20" s="47"/>
      <c r="H20" s="46"/>
      <c r="I20" s="46"/>
      <c r="J20" s="46"/>
      <c r="K20" s="46"/>
      <c r="L20" s="46"/>
      <c r="M20" s="46"/>
      <c r="N20" s="48"/>
    </row>
    <row r="21" ht="8.75" customHeight="1" hidden="1">
      <c r="A21" s="39"/>
      <c r="B21" s="40"/>
      <c r="C21" s="41"/>
      <c r="D21" s="42"/>
      <c r="E21" s="42"/>
      <c r="F21" s="42"/>
      <c r="G21" s="43"/>
      <c r="H21" s="42"/>
      <c r="I21" s="42"/>
      <c r="J21" s="42"/>
      <c r="K21" s="42"/>
      <c r="L21" s="42"/>
      <c r="M21" s="42"/>
      <c r="N21" s="44"/>
    </row>
    <row r="22" ht="8.75" customHeight="1" hidden="1">
      <c r="A22" s="51"/>
      <c r="B22" s="40"/>
      <c r="C22" s="45"/>
      <c r="D22" s="46"/>
      <c r="E22" s="46"/>
      <c r="F22" s="46"/>
      <c r="G22" s="47"/>
      <c r="H22" s="46"/>
      <c r="I22" s="46"/>
      <c r="J22" s="46"/>
      <c r="K22" s="46"/>
      <c r="L22" s="46"/>
      <c r="M22" s="46"/>
      <c r="N22" s="48"/>
    </row>
    <row r="23" ht="8.75" customHeight="1" hidden="1">
      <c r="A23" s="51"/>
      <c r="B23" s="40"/>
      <c r="C23" s="41"/>
      <c r="D23" s="42"/>
      <c r="E23" s="42"/>
      <c r="F23" s="42"/>
      <c r="G23" s="43"/>
      <c r="H23" s="42"/>
      <c r="I23" s="42"/>
      <c r="J23" s="42"/>
      <c r="K23" s="42"/>
      <c r="L23" s="42"/>
      <c r="M23" s="42"/>
      <c r="N23" s="44"/>
    </row>
    <row r="24" ht="8.75" customHeight="1" hidden="1">
      <c r="A24" s="39"/>
      <c r="B24" s="40"/>
      <c r="C24" s="45"/>
      <c r="D24" s="46"/>
      <c r="E24" s="46"/>
      <c r="F24" s="46"/>
      <c r="G24" s="47"/>
      <c r="H24" s="46"/>
      <c r="I24" s="46"/>
      <c r="J24" s="46"/>
      <c r="K24" s="46"/>
      <c r="L24" s="47"/>
      <c r="M24" s="47"/>
      <c r="N24" s="52"/>
    </row>
    <row r="25" ht="8.75" customHeight="1" hidden="1">
      <c r="A25" s="39"/>
      <c r="B25" s="40"/>
      <c r="C25" s="41"/>
      <c r="D25" s="42"/>
      <c r="E25" s="42"/>
      <c r="F25" s="42"/>
      <c r="G25" s="43"/>
      <c r="H25" s="42"/>
      <c r="I25" s="42"/>
      <c r="J25" s="42"/>
      <c r="K25" s="42"/>
      <c r="L25" s="42"/>
      <c r="M25" s="42"/>
      <c r="N25" s="44"/>
    </row>
    <row r="26" ht="8.75" customHeight="1" hidden="1">
      <c r="A26" s="39"/>
      <c r="B26" s="40"/>
      <c r="C26" s="45"/>
      <c r="D26" s="46"/>
      <c r="E26" s="46"/>
      <c r="F26" s="46"/>
      <c r="G26" s="47"/>
      <c r="H26" s="46"/>
      <c r="I26" s="46"/>
      <c r="J26" s="46"/>
      <c r="K26" s="46"/>
      <c r="L26" s="47"/>
      <c r="M26" s="47"/>
      <c r="N26" s="52"/>
    </row>
    <row r="27" ht="20.85" customHeight="1">
      <c r="A27" s="108"/>
      <c r="B27" s="54"/>
      <c r="C27" s="54"/>
      <c r="D27" s="55"/>
      <c r="E27" s="55"/>
      <c r="F27" s="55"/>
      <c r="G27" s="56"/>
      <c r="H27" s="56"/>
      <c r="I27" s="54"/>
      <c r="J27" s="57"/>
      <c r="K27" t="s" s="58">
        <v>38</v>
      </c>
      <c r="L27" s="59" cm="1">
        <f t="array" ref="L27">SUM(L1:L26)</f>
        <v>90098848.95999999</v>
      </c>
      <c r="M27" s="59" cm="1">
        <f t="array" ref="M27">SUM(M1:M26)</f>
        <v>90060628</v>
      </c>
      <c r="N27" s="59" cm="1">
        <f t="array" ref="N27">SUM(N1:N26)</f>
        <v>90060628</v>
      </c>
    </row>
    <row r="28" ht="21" customHeight="1">
      <c r="A28" s="63" cm="1">
        <f t="array" ref="A28">ROUND(IF(I28&lt;=100000000,I28*0.24%,IF(AND(I28&gt;100000000,I28&lt;=500000000),100000000*0.24%+(I28-100000000)*0.19%,IF(AND(I28&gt;500000000,I28&lt;=1000000000),100000000*0.24%+400000000*0.19%+(I28-500000000)*0.15%,IF(AND(I28&gt;1000000000,I28&lt;=5000000000),100000000*0.24%+400000000*0.19%+500000000*0.15%+(I28-1000000000)*0.12%,IF(I28&gt;5000000000,100000000*0.24%+400000000*0.19%+500000000*0.15%+4000000000*0.12%+(I28-5000000000)*0.1%,"Bingung komputer"))))),2)</f>
        <v>0</v>
      </c>
      <c r="B28" t="s" s="109">
        <v>39</v>
      </c>
      <c r="C28" s="62"/>
      <c r="D28" s="63" cm="1">
        <f t="array" ref="D28">ROUND(IF(L28&lt;=100000000,L28*0.24%,IF(AND(L28&gt;100000000,L28&lt;=500000000),100000000*0.24%+(L28-100000000)*0.19%,IF(AND(L28&gt;500000000,L28&lt;=1000000000),100000000*0.24%+400000000*0.19%+(L28-500000000)*0.15%,IF(AND(L28&gt;1000000000,L28&lt;=5000000000),100000000*0.24%+400000000*0.19%+500000000*0.15%+(L28-1000000000)*0.12%,IF(L28&gt;5000000000,100000000*0.24%+400000000*0.19%+500000000*0.15%+4000000000*0.12%+(L28-5000000000)*0.1%,"Bingung komputer"))))),2)</f>
        <v>215719.44</v>
      </c>
      <c r="E28" s="64" cm="1">
        <f t="array" ref="E28">ROUND(IF(M28&lt;=100000000,M28*0.24%,IF(AND(M28&gt;100000000,M28&lt;=500000000),100000000*0.24%+(M28-100000000)*0.19%,IF(AND(M28&gt;500000000,M28&lt;=1000000000),100000000*0.24%+400000000*0.19%+(M28-500000000)*0.15%,IF(AND(M28&gt;1000000000,M28&lt;=5000000000),100000000*0.24%+400000000*0.19%+500000000*0.15%+(M28-1000000000)*0.12%,IF(M28&gt;5000000000,100000000*0.24%+400000000*0.19%+500000000*0.15%+4000000000*0.12%+(M28-5000000000)*0.1%,"Bingung komputer"))))),2)</f>
        <v>215628</v>
      </c>
      <c r="F28" s="64" cm="1">
        <f t="array" ref="F28">ROUND(IF(N28&lt;=100000000,N28*0.24%,IF(AND(N28&gt;100000000,N28&lt;=500000000),100000000*0.24%+(N28-100000000)*0.19%,IF(AND(N28&gt;500000000,N28&lt;=1000000000),100000000*0.24%+400000000*0.19%+(N28-500000000)*0.15%,IF(AND(N28&gt;1000000000,N28&lt;=5000000000),100000000*0.24%+400000000*0.19%+500000000*0.15%+(N28-1000000000)*0.12%,IF(N28&gt;5000000000,100000000*0.24%+400000000*0.19%+500000000*0.15%+4000000000*0.12%+(N28-5000000000)*0.1%,"Bingung komputer"))))),2)</f>
        <v>215628</v>
      </c>
      <c r="G28" s="65"/>
      <c r="H28" s="66"/>
      <c r="I28" s="68"/>
      <c r="J28" s="67"/>
      <c r="K28" t="str" s="67" cm="1">
        <f t="array" ref="K28">"Jumlah Terkena Pajak "&amp;MAX(K3:K26)&amp;"% (B)"</f>
        <v>Jumlah Terkena Pajak 11,00% (B)</v>
      </c>
      <c r="L28" s="68" cm="1">
        <f t="array" ref="L28">SUMIF($K3:$K26,"&gt;0",L3:L26)</f>
        <v>89883100</v>
      </c>
      <c r="M28" s="69" cm="1">
        <f t="array" ref="M28">SUMIF($K3:$K26,"&gt;0",M3:M26)</f>
        <v>89845000</v>
      </c>
      <c r="N28" s="69" cm="1">
        <f t="array" ref="N28">SUMIF($K3:$K26,"&gt;0",N3:N26)</f>
        <v>89845000</v>
      </c>
    </row>
    <row r="29" ht="21" customHeight="1">
      <c r="A29" s="70"/>
      <c r="B29" s="71"/>
      <c r="C29" s="71"/>
      <c r="D29" s="72"/>
      <c r="E29" s="72"/>
      <c r="F29" s="71"/>
      <c r="G29" s="72"/>
      <c r="H29" s="72"/>
      <c r="I29" s="74"/>
      <c r="J29" s="73"/>
      <c r="K29" t="str" s="73" cm="1">
        <f t="array" ref="K29">"PPN (C) = "&amp;MAX(K3:K26)&amp;"% x B"</f>
        <v>PPN (C) = 11,00% x B</v>
      </c>
      <c r="L29" s="74" cm="1">
        <f t="array" ref="L29">L28*MAX($K3:$K26)%</f>
        <v>9887141</v>
      </c>
      <c r="M29" s="69" cm="1">
        <f t="array" ref="M29">M28*MAX($K3:$K26)%</f>
        <v>9882950</v>
      </c>
      <c r="N29" s="69" cm="1">
        <f t="array" ref="N29">N28*MAX($K3:$K26)%</f>
        <v>9882950</v>
      </c>
    </row>
    <row r="30" ht="21" customHeight="1">
      <c r="A30" s="70"/>
      <c r="B30" s="71"/>
      <c r="C30" s="71"/>
      <c r="D30" t="s" s="110">
        <v>116</v>
      </c>
      <c r="E30" s="112">
        <v>100000000</v>
      </c>
      <c r="F30" s="112">
        <v>99770500</v>
      </c>
      <c r="G30" s="72"/>
      <c r="H30" s="72"/>
      <c r="I30" s="71"/>
      <c r="J30" s="73"/>
      <c r="K30" t="s" s="75">
        <v>42</v>
      </c>
      <c r="L30" s="76" cm="1">
        <f t="array" ref="L30">L27+L29</f>
        <v>99985989.95999999</v>
      </c>
      <c r="M30" s="69" cm="1">
        <f t="array" ref="M30">M27+M29</f>
        <v>99943578</v>
      </c>
      <c r="N30" s="69" cm="1">
        <f t="array" ref="N30">N27+N29</f>
        <v>99943578</v>
      </c>
    </row>
    <row r="31" ht="20.5" customHeight="1">
      <c r="A31" s="70"/>
      <c r="B31" s="71"/>
      <c r="C31" s="71"/>
      <c r="D31" s="72"/>
      <c r="E31" s="72" cm="1">
        <f t="array" ref="E31">E$30-L$31</f>
        <v>14010.04</v>
      </c>
      <c r="F31" s="113" cm="1">
        <f t="array" ref="F31">ROUNDDOWN(E$30-D$28,2)</f>
        <v>99784280.56</v>
      </c>
      <c r="G31" s="72"/>
      <c r="H31" s="72"/>
      <c r="I31" s="71"/>
      <c r="J31" s="73"/>
      <c r="K31" t="s" s="75">
        <v>43</v>
      </c>
      <c r="L31" s="68" cm="1">
        <f t="array" ref="L31">ROUNDDOWN(L30,2)</f>
        <v>99985989.95999999</v>
      </c>
      <c r="M31" s="68" cm="1">
        <f t="array" ref="M31">ROUNDDOWN(M30,2)</f>
        <v>99943578</v>
      </c>
      <c r="N31" s="68" cm="1">
        <f t="array" ref="N31">ROUNDDOWN(N30,-3)</f>
        <v>99943000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59.xml><?xml version="1.0" encoding="utf-8"?>
<worksheet xmlns:r="http://schemas.openxmlformats.org/officeDocument/2006/relationships" xmlns="http://schemas.openxmlformats.org/spreadsheetml/2006/main">
  <sheetPr>
    <pageSetUpPr fitToPage="1"/>
  </sheetPr>
  <dimension ref="A1:N31"/>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354" customWidth="1"/>
    <col min="2" max="2" width="43.0312" style="354" customWidth="1"/>
    <col min="3" max="3" width="2.75" style="354" customWidth="1"/>
    <col min="4" max="6" width="10.3672" style="354" customWidth="1"/>
    <col min="7" max="7" width="11.6875" style="354" customWidth="1"/>
    <col min="8" max="11" width="13.5156" style="354" customWidth="1"/>
    <col min="12" max="14" width="14.2344" style="354" customWidth="1"/>
    <col min="15" max="16384" width="16.3516" style="354"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109</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s="95">
        <v>1</v>
      </c>
      <c r="B4" t="s" s="19">
        <v>110</v>
      </c>
      <c r="C4" s="20"/>
      <c r="D4" s="21">
        <v>1</v>
      </c>
      <c r="E4" s="21" cm="1">
        <f t="array" ref="E4">D4</f>
        <v>1</v>
      </c>
      <c r="F4" s="21" cm="1">
        <f t="array" ref="F4">D4</f>
        <v>1</v>
      </c>
      <c r="G4" t="s" s="22">
        <v>19</v>
      </c>
      <c r="H4" s="21" cm="1">
        <f t="array" ref="H4">ROUNDDOWN((F$30*0.1)*100/111,-2)</f>
        <v>3595800</v>
      </c>
      <c r="I4" s="21">
        <v>3590000</v>
      </c>
      <c r="J4" s="21">
        <v>3590000</v>
      </c>
      <c r="K4" s="21">
        <v>11</v>
      </c>
      <c r="L4" s="21" cm="1">
        <f t="array" ref="L4">IF(D4&gt;0,IF($D4&lt;=0,0,D4*H4),"")</f>
        <v>3595800</v>
      </c>
      <c r="M4" s="21" cm="1">
        <f t="array" ref="M4">IF(E4&gt;0,IF($D4&lt;=0,0,ROUND(E4*I4,2)),"")</f>
        <v>3590000</v>
      </c>
      <c r="N4" s="23" cm="1">
        <f t="array" ref="N4">IF(F4&gt;0,IF($D4&lt;=0,0,ROUND(F4*J4,2)),"")</f>
        <v>3590000</v>
      </c>
    </row>
    <row r="5" ht="20.5" customHeight="1">
      <c r="A5" s="95">
        <v>2</v>
      </c>
      <c r="B5" t="s" s="19">
        <v>111</v>
      </c>
      <c r="C5" s="24"/>
      <c r="D5" s="26">
        <v>1</v>
      </c>
      <c r="E5" s="26" cm="1">
        <f t="array" ref="E5">D5</f>
        <v>1</v>
      </c>
      <c r="F5" s="26" cm="1">
        <f t="array" ref="F5">D5</f>
        <v>1</v>
      </c>
      <c r="G5" t="s" s="27">
        <v>19</v>
      </c>
      <c r="H5" s="26" cm="1">
        <f t="array" ref="H5">ROUNDDOWN((F$30*0.2)*100/111,-2)</f>
        <v>7191700</v>
      </c>
      <c r="I5" s="26">
        <v>7180000</v>
      </c>
      <c r="J5" s="26">
        <v>7180000</v>
      </c>
      <c r="K5" s="26">
        <v>11</v>
      </c>
      <c r="L5" s="26" cm="1">
        <f t="array" ref="L5">IF(D5&gt;0,IF($D5&lt;=0,0,D5*H5),"")</f>
        <v>7191700</v>
      </c>
      <c r="M5" s="26" cm="1">
        <f t="array" ref="M5">IF(E5&gt;0,IF($D5&lt;=0,0,ROUND(E5*I5,2)),"")</f>
        <v>7180000</v>
      </c>
      <c r="N5" s="28" cm="1">
        <f t="array" ref="N5">IF(F5&gt;0,IF($D5&lt;=0,0,ROUND(F5*J5,2)),"")</f>
        <v>7180000</v>
      </c>
    </row>
    <row r="6" ht="20.5" customHeight="1">
      <c r="A6" s="95">
        <v>3</v>
      </c>
      <c r="B6" t="s" s="19">
        <v>112</v>
      </c>
      <c r="C6" s="20"/>
      <c r="D6" s="21">
        <v>1</v>
      </c>
      <c r="E6" s="21" cm="1">
        <f t="array" ref="E6">D6</f>
        <v>1</v>
      </c>
      <c r="F6" s="21" cm="1">
        <f t="array" ref="F6">D6</f>
        <v>1</v>
      </c>
      <c r="G6" t="s" s="22">
        <v>19</v>
      </c>
      <c r="H6" s="21" cm="1">
        <f t="array" ref="H6">ROUNDDOWN((F$30*0.25)*100/111,-2)</f>
        <v>8989600</v>
      </c>
      <c r="I6" s="21">
        <v>8990000</v>
      </c>
      <c r="J6" s="21">
        <v>8990000</v>
      </c>
      <c r="K6" s="21">
        <v>11</v>
      </c>
      <c r="L6" s="21" cm="1">
        <f t="array" ref="L6">IF(D6&gt;0,IF($D6&lt;=0,0,D6*H6),"")</f>
        <v>8989600</v>
      </c>
      <c r="M6" s="21" cm="1">
        <f t="array" ref="M6">IF(E6&gt;0,IF($D6&lt;=0,0,ROUND(E6*I6,2)),"")</f>
        <v>8990000</v>
      </c>
      <c r="N6" s="23" cm="1">
        <f t="array" ref="N6">IF(F6&gt;0,IF($D6&lt;=0,0,ROUND(F6*J6,2)),"")</f>
        <v>8990000</v>
      </c>
    </row>
    <row r="7" ht="68.5" customHeight="1">
      <c r="A7" s="95">
        <v>5</v>
      </c>
      <c r="B7" t="s" s="19">
        <v>113</v>
      </c>
      <c r="C7" s="24"/>
      <c r="D7" s="26">
        <v>1</v>
      </c>
      <c r="E7" s="26" cm="1">
        <f t="array" ref="E7">D7</f>
        <v>1</v>
      </c>
      <c r="F7" s="26" cm="1">
        <f t="array" ref="F7">D7</f>
        <v>1</v>
      </c>
      <c r="G7" t="s" s="27">
        <v>19</v>
      </c>
      <c r="H7" s="26" cm="1">
        <f t="array" ref="H7">ROUNDDOWN((F$30*0.25)*100/111,-2)</f>
        <v>8989600</v>
      </c>
      <c r="I7" s="26">
        <v>8985000</v>
      </c>
      <c r="J7" s="26">
        <v>8985000</v>
      </c>
      <c r="K7" s="26">
        <v>11</v>
      </c>
      <c r="L7" s="26" cm="1">
        <f t="array" ref="L7">IF(D7&gt;0,IF($D7&lt;=0,0,D7*H7),"")</f>
        <v>8989600</v>
      </c>
      <c r="M7" s="26" cm="1">
        <f t="array" ref="M7">IF(E7&gt;0,IF($D7&lt;=0,0,ROUND(E7*I7,2)),"")</f>
        <v>8985000</v>
      </c>
      <c r="N7" s="28" cm="1">
        <f t="array" ref="N7">IF(F7&gt;0,IF($D7&lt;=0,0,ROUND(F7*J7,2)),"")</f>
        <v>8985000</v>
      </c>
    </row>
    <row r="8" ht="32.5" customHeight="1">
      <c r="A8" s="95">
        <v>6</v>
      </c>
      <c r="B8" t="s" s="19">
        <v>114</v>
      </c>
      <c r="C8" s="20"/>
      <c r="D8" s="21">
        <v>1</v>
      </c>
      <c r="E8" s="21" cm="1">
        <f t="array" ref="E8">D8</f>
        <v>1</v>
      </c>
      <c r="F8" s="21" cm="1">
        <f t="array" ref="F8">D8</f>
        <v>1</v>
      </c>
      <c r="G8" t="s" s="22">
        <v>19</v>
      </c>
      <c r="H8" s="21" cm="1">
        <f t="array" ref="H8">ROUNDDOWN((F$30*0.05)*100/111,-2)</f>
        <v>1797900</v>
      </c>
      <c r="I8" s="21">
        <v>1795000</v>
      </c>
      <c r="J8" s="21">
        <v>1795000</v>
      </c>
      <c r="K8" s="21">
        <v>11</v>
      </c>
      <c r="L8" s="21" cm="1">
        <f t="array" ref="L8">IF(D8&gt;0,IF($D8&lt;=0,0,D8*H8),"")</f>
        <v>1797900</v>
      </c>
      <c r="M8" s="21" cm="1">
        <f t="array" ref="M8">IF(E8&gt;0,IF($D8&lt;=0,0,ROUND(E8*I8,2)),"")</f>
        <v>1795000</v>
      </c>
      <c r="N8" s="23" cm="1">
        <f t="array" ref="N8">IF(F8&gt;0,IF($D8&lt;=0,0,ROUND(F8*J8,2)),"")</f>
        <v>1795000</v>
      </c>
    </row>
    <row r="9" ht="20.5" customHeight="1">
      <c r="A9" s="95">
        <v>7</v>
      </c>
      <c r="B9" t="s" s="19">
        <v>115</v>
      </c>
      <c r="C9" s="24"/>
      <c r="D9" s="26">
        <v>1</v>
      </c>
      <c r="E9" s="26" cm="1">
        <f t="array" ref="E9">D9</f>
        <v>1</v>
      </c>
      <c r="F9" s="26" cm="1">
        <f t="array" ref="F9">D9</f>
        <v>1</v>
      </c>
      <c r="G9" t="s" s="27">
        <v>19</v>
      </c>
      <c r="H9" s="26" cm="1">
        <f t="array" ref="H9">ROUNDDOWN((F$30*0.15)*100/111,-2)</f>
        <v>5393700</v>
      </c>
      <c r="I9" s="26">
        <v>5390000</v>
      </c>
      <c r="J9" s="26">
        <v>5390000</v>
      </c>
      <c r="K9" s="26">
        <v>11</v>
      </c>
      <c r="L9" s="26" cm="1">
        <f t="array" ref="L9">IF(D9&gt;0,IF($D9&lt;=0,0,D9*H9),"")</f>
        <v>5393700</v>
      </c>
      <c r="M9" s="26" cm="1">
        <f t="array" ref="M9">IF(E9&gt;0,IF($D9&lt;=0,0,ROUND(E9*I9,2)),"")</f>
        <v>5390000</v>
      </c>
      <c r="N9" s="28" cm="1">
        <f t="array" ref="N9">IF(F9&gt;0,IF($D9&lt;=0,0,ROUND(F9*J9,2)),"")</f>
        <v>5390000</v>
      </c>
    </row>
    <row r="10" ht="20.6" customHeight="1">
      <c r="A10" s="33">
        <v>8</v>
      </c>
      <c r="B10" t="s" s="34">
        <v>37</v>
      </c>
      <c r="C10" s="35"/>
      <c r="D10" s="36">
        <v>1</v>
      </c>
      <c r="E10" s="36" cm="1">
        <f t="array" ref="E10">D10</f>
        <v>1</v>
      </c>
      <c r="F10" s="36" cm="1">
        <f t="array" ref="F10">D10</f>
        <v>1</v>
      </c>
      <c r="G10" t="s" s="37">
        <v>19</v>
      </c>
      <c r="H10" s="36">
        <v>86299.92</v>
      </c>
      <c r="I10" s="36">
        <v>86232</v>
      </c>
      <c r="J10" s="36">
        <v>86232</v>
      </c>
      <c r="K10" s="36">
        <v>0</v>
      </c>
      <c r="L10" s="36" cm="1">
        <f t="array" ref="L10">IF(D10&gt;0,IF($D10&lt;=0,0,D10*H10),"")</f>
        <v>86299.92</v>
      </c>
      <c r="M10" s="36" cm="1">
        <f t="array" ref="M10">IF(E10&gt;0,IF($D10&lt;=0,0,ROUND(E10*I10,2)),"")</f>
        <v>86232</v>
      </c>
      <c r="N10" s="38" cm="1">
        <f t="array" ref="N10">IF(F10&gt;0,IF($D10&lt;=0,0,ROUND(F10*J10,2)),"")</f>
        <v>86232</v>
      </c>
    </row>
    <row r="11" ht="8.75" customHeight="1" hidden="1">
      <c r="A11" s="39"/>
      <c r="B11" s="40"/>
      <c r="C11" s="41"/>
      <c r="D11" s="42"/>
      <c r="E11" s="42"/>
      <c r="F11" s="42"/>
      <c r="G11" s="43"/>
      <c r="H11" s="42"/>
      <c r="I11" s="42"/>
      <c r="J11" s="42"/>
      <c r="K11" s="42"/>
      <c r="L11" s="42"/>
      <c r="M11" s="42"/>
      <c r="N11" s="44"/>
    </row>
    <row r="12" ht="8.75" customHeight="1" hidden="1">
      <c r="A12" s="39"/>
      <c r="B12" s="40"/>
      <c r="C12" s="45"/>
      <c r="D12" s="46"/>
      <c r="E12" s="46"/>
      <c r="F12" s="46"/>
      <c r="G12" s="47"/>
      <c r="H12" s="46"/>
      <c r="I12" s="46"/>
      <c r="J12" s="46"/>
      <c r="K12" s="46"/>
      <c r="L12" s="46"/>
      <c r="M12" s="46"/>
      <c r="N12" s="48"/>
    </row>
    <row r="13" ht="8.75" customHeight="1" hidden="1">
      <c r="A13" s="39"/>
      <c r="B13" s="40"/>
      <c r="C13" s="41"/>
      <c r="D13" s="42"/>
      <c r="E13" s="42"/>
      <c r="F13" s="42"/>
      <c r="G13" s="43"/>
      <c r="H13" s="42"/>
      <c r="I13" s="42"/>
      <c r="J13" s="42"/>
      <c r="K13" s="42"/>
      <c r="L13" s="42"/>
      <c r="M13" s="42"/>
      <c r="N13" s="44"/>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2"/>
      <c r="I15" s="42"/>
      <c r="J15" s="42"/>
      <c r="K15" s="42"/>
      <c r="L15" s="42"/>
      <c r="M15" s="42"/>
      <c r="N15" s="44"/>
    </row>
    <row r="16" ht="8.75" customHeight="1" hidden="1">
      <c r="A16" s="39"/>
      <c r="B16" s="40"/>
      <c r="C16" s="45"/>
      <c r="D16" s="46"/>
      <c r="E16" s="46"/>
      <c r="F16" s="46"/>
      <c r="G16" s="47"/>
      <c r="H16" s="46"/>
      <c r="I16" s="46"/>
      <c r="J16" s="46"/>
      <c r="K16" s="46"/>
      <c r="L16" s="46"/>
      <c r="M16" s="46"/>
      <c r="N16" s="48"/>
    </row>
    <row r="17" ht="8.75" customHeight="1" hidden="1">
      <c r="A17" s="39"/>
      <c r="B17" s="40"/>
      <c r="C17" s="41"/>
      <c r="D17" s="42"/>
      <c r="E17" s="42"/>
      <c r="F17" s="42"/>
      <c r="G17" s="43"/>
      <c r="H17" s="43"/>
      <c r="I17" s="43"/>
      <c r="J17" s="43"/>
      <c r="K17" s="42"/>
      <c r="L17" s="43"/>
      <c r="M17" s="43"/>
      <c r="N17" s="49"/>
    </row>
    <row r="18" ht="8.75" customHeight="1" hidden="1">
      <c r="A18" s="39"/>
      <c r="B18" s="40"/>
      <c r="C18" s="45"/>
      <c r="D18" s="46"/>
      <c r="E18" s="46"/>
      <c r="F18" s="46"/>
      <c r="G18" s="47"/>
      <c r="H18" s="50"/>
      <c r="I18" s="50"/>
      <c r="J18" s="50"/>
      <c r="K18" s="46"/>
      <c r="L18" s="46"/>
      <c r="M18" s="46"/>
      <c r="N18" s="48"/>
    </row>
    <row r="19" ht="8.75" customHeight="1" hidden="1">
      <c r="A19" s="39"/>
      <c r="B19" s="40"/>
      <c r="C19" s="41"/>
      <c r="D19" s="42"/>
      <c r="E19" s="42"/>
      <c r="F19" s="42"/>
      <c r="G19" s="43"/>
      <c r="H19" s="43"/>
      <c r="I19" s="43"/>
      <c r="J19" s="43"/>
      <c r="K19" s="42"/>
      <c r="L19" s="43"/>
      <c r="M19" s="43"/>
      <c r="N19" s="49"/>
    </row>
    <row r="20" ht="8.75" customHeight="1" hidden="1">
      <c r="A20" s="39"/>
      <c r="B20" s="40"/>
      <c r="C20" s="45"/>
      <c r="D20" s="46"/>
      <c r="E20" s="46"/>
      <c r="F20" s="46"/>
      <c r="G20" s="47"/>
      <c r="H20" s="46"/>
      <c r="I20" s="46"/>
      <c r="J20" s="46"/>
      <c r="K20" s="46"/>
      <c r="L20" s="46"/>
      <c r="M20" s="46"/>
      <c r="N20" s="48"/>
    </row>
    <row r="21" ht="8.75" customHeight="1" hidden="1">
      <c r="A21" s="39"/>
      <c r="B21" s="40"/>
      <c r="C21" s="41"/>
      <c r="D21" s="42"/>
      <c r="E21" s="42"/>
      <c r="F21" s="42"/>
      <c r="G21" s="43"/>
      <c r="H21" s="42"/>
      <c r="I21" s="42"/>
      <c r="J21" s="42"/>
      <c r="K21" s="42"/>
      <c r="L21" s="42"/>
      <c r="M21" s="42"/>
      <c r="N21" s="44"/>
    </row>
    <row r="22" ht="8.75" customHeight="1" hidden="1">
      <c r="A22" s="51"/>
      <c r="B22" s="40"/>
      <c r="C22" s="45"/>
      <c r="D22" s="46"/>
      <c r="E22" s="46"/>
      <c r="F22" s="46"/>
      <c r="G22" s="47"/>
      <c r="H22" s="46"/>
      <c r="I22" s="46"/>
      <c r="J22" s="46"/>
      <c r="K22" s="46"/>
      <c r="L22" s="46"/>
      <c r="M22" s="46"/>
      <c r="N22" s="48"/>
    </row>
    <row r="23" ht="8.75" customHeight="1" hidden="1">
      <c r="A23" s="51"/>
      <c r="B23" s="40"/>
      <c r="C23" s="41"/>
      <c r="D23" s="42"/>
      <c r="E23" s="42"/>
      <c r="F23" s="42"/>
      <c r="G23" s="43"/>
      <c r="H23" s="42"/>
      <c r="I23" s="42"/>
      <c r="J23" s="42"/>
      <c r="K23" s="42"/>
      <c r="L23" s="42"/>
      <c r="M23" s="42"/>
      <c r="N23" s="44"/>
    </row>
    <row r="24" ht="8.75" customHeight="1" hidden="1">
      <c r="A24" s="39"/>
      <c r="B24" s="40"/>
      <c r="C24" s="45"/>
      <c r="D24" s="46"/>
      <c r="E24" s="46"/>
      <c r="F24" s="46"/>
      <c r="G24" s="47"/>
      <c r="H24" s="46"/>
      <c r="I24" s="46"/>
      <c r="J24" s="46"/>
      <c r="K24" s="46"/>
      <c r="L24" s="47"/>
      <c r="M24" s="47"/>
      <c r="N24" s="52"/>
    </row>
    <row r="25" ht="8.75" customHeight="1" hidden="1">
      <c r="A25" s="39"/>
      <c r="B25" s="40"/>
      <c r="C25" s="41"/>
      <c r="D25" s="42"/>
      <c r="E25" s="42"/>
      <c r="F25" s="42"/>
      <c r="G25" s="43"/>
      <c r="H25" s="42"/>
      <c r="I25" s="42"/>
      <c r="J25" s="42"/>
      <c r="K25" s="42"/>
      <c r="L25" s="42"/>
      <c r="M25" s="42"/>
      <c r="N25" s="44"/>
    </row>
    <row r="26" ht="8.75" customHeight="1" hidden="1">
      <c r="A26" s="39"/>
      <c r="B26" s="40"/>
      <c r="C26" s="45"/>
      <c r="D26" s="46"/>
      <c r="E26" s="46"/>
      <c r="F26" s="46"/>
      <c r="G26" s="47"/>
      <c r="H26" s="46"/>
      <c r="I26" s="46"/>
      <c r="J26" s="46"/>
      <c r="K26" s="46"/>
      <c r="L26" s="47"/>
      <c r="M26" s="47"/>
      <c r="N26" s="52"/>
    </row>
    <row r="27" ht="20.85" customHeight="1">
      <c r="A27" s="108"/>
      <c r="B27" s="54"/>
      <c r="C27" s="54"/>
      <c r="D27" s="55"/>
      <c r="E27" s="55"/>
      <c r="F27" s="55"/>
      <c r="G27" s="56"/>
      <c r="H27" s="56"/>
      <c r="I27" s="54"/>
      <c r="J27" s="57"/>
      <c r="K27" t="s" s="58">
        <v>38</v>
      </c>
      <c r="L27" s="59" cm="1">
        <f t="array" ref="L27">SUM(L1:L26)</f>
        <v>36044599.92</v>
      </c>
      <c r="M27" s="59" cm="1">
        <f t="array" ref="M27">SUM(M1:M26)</f>
        <v>36016232</v>
      </c>
      <c r="N27" s="59" cm="1">
        <f t="array" ref="N27">SUM(N1:N26)</f>
        <v>36016232</v>
      </c>
    </row>
    <row r="28" ht="21" customHeight="1">
      <c r="A28" s="63" cm="1">
        <f t="array" ref="A28">ROUND(IF(I28&lt;=100000000,I28*0.24%,IF(AND(I28&gt;100000000,I28&lt;=500000000),100000000*0.24%+(I28-100000000)*0.19%,IF(AND(I28&gt;500000000,I28&lt;=1000000000),100000000*0.24%+400000000*0.19%+(I28-500000000)*0.15%,IF(AND(I28&gt;1000000000,I28&lt;=5000000000),100000000*0.24%+400000000*0.19%+500000000*0.15%+(I28-1000000000)*0.12%,IF(I28&gt;5000000000,100000000*0.24%+400000000*0.19%+500000000*0.15%+4000000000*0.12%+(I28-5000000000)*0.1%,"Bingung komputer"))))),2)</f>
        <v>0</v>
      </c>
      <c r="B28" t="s" s="109">
        <v>39</v>
      </c>
      <c r="C28" s="62"/>
      <c r="D28" s="63" cm="1">
        <f t="array" ref="D28">ROUND(IF(L28&lt;=100000000,L28*0.24%,IF(AND(L28&gt;100000000,L28&lt;=500000000),100000000*0.24%+(L28-100000000)*0.19%,IF(AND(L28&gt;500000000,L28&lt;=1000000000),100000000*0.24%+400000000*0.19%+(L28-500000000)*0.15%,IF(AND(L28&gt;1000000000,L28&lt;=5000000000),100000000*0.24%+400000000*0.19%+500000000*0.15%+(L28-1000000000)*0.12%,IF(L28&gt;5000000000,100000000*0.24%+400000000*0.19%+500000000*0.15%+4000000000*0.12%+(L28-5000000000)*0.1%,"Bingung komputer"))))),2)</f>
        <v>86299.92</v>
      </c>
      <c r="E28" s="64" cm="1">
        <f t="array" ref="E28">ROUND(IF(M28&lt;=100000000,M28*0.24%,IF(AND(M28&gt;100000000,M28&lt;=500000000),100000000*0.24%+(M28-100000000)*0.19%,IF(AND(M28&gt;500000000,M28&lt;=1000000000),100000000*0.24%+400000000*0.19%+(M28-500000000)*0.15%,IF(AND(M28&gt;1000000000,M28&lt;=5000000000),100000000*0.24%+400000000*0.19%+500000000*0.15%+(M28-1000000000)*0.12%,IF(M28&gt;5000000000,100000000*0.24%+400000000*0.19%+500000000*0.15%+4000000000*0.12%+(M28-5000000000)*0.1%,"Bingung komputer"))))),2)</f>
        <v>86232</v>
      </c>
      <c r="F28" s="64" cm="1">
        <f t="array" ref="F28">ROUND(IF(N28&lt;=100000000,N28*0.24%,IF(AND(N28&gt;100000000,N28&lt;=500000000),100000000*0.24%+(N28-100000000)*0.19%,IF(AND(N28&gt;500000000,N28&lt;=1000000000),100000000*0.24%+400000000*0.19%+(N28-500000000)*0.15%,IF(AND(N28&gt;1000000000,N28&lt;=5000000000),100000000*0.24%+400000000*0.19%+500000000*0.15%+(N28-1000000000)*0.12%,IF(N28&gt;5000000000,100000000*0.24%+400000000*0.19%+500000000*0.15%+4000000000*0.12%+(N28-5000000000)*0.1%,"Bingung komputer"))))),2)</f>
        <v>86232</v>
      </c>
      <c r="G28" s="65"/>
      <c r="H28" s="66"/>
      <c r="I28" s="68"/>
      <c r="J28" s="67"/>
      <c r="K28" t="str" s="67" cm="1">
        <f t="array" ref="K28">"Jumlah Terkena Pajak "&amp;MAX(K3:K26)&amp;"% (B)"</f>
        <v>Jumlah Terkena Pajak 11,00% (B)</v>
      </c>
      <c r="L28" s="68" cm="1">
        <f t="array" ref="L28">SUMIF($K3:$K26,"&gt;0",L3:L26)</f>
        <v>35958300</v>
      </c>
      <c r="M28" s="69" cm="1">
        <f t="array" ref="M28">SUMIF($K3:$K26,"&gt;0",M3:M26)</f>
        <v>35930000</v>
      </c>
      <c r="N28" s="69" cm="1">
        <f t="array" ref="N28">SUMIF($K3:$K26,"&gt;0",N3:N26)</f>
        <v>35930000</v>
      </c>
    </row>
    <row r="29" ht="21" customHeight="1">
      <c r="A29" s="70"/>
      <c r="B29" s="71"/>
      <c r="C29" s="71"/>
      <c r="D29" s="72"/>
      <c r="E29" s="72"/>
      <c r="F29" s="71"/>
      <c r="G29" s="72"/>
      <c r="H29" s="72"/>
      <c r="I29" s="74"/>
      <c r="J29" s="73"/>
      <c r="K29" t="str" s="73" cm="1">
        <f t="array" ref="K29">"PPN (C) = "&amp;MAX(K3:K26)&amp;"% x B"</f>
        <v>PPN (C) = 11,00% x B</v>
      </c>
      <c r="L29" s="74" cm="1">
        <f t="array" ref="L29">L28*MAX($K3:$K26)%</f>
        <v>3955413</v>
      </c>
      <c r="M29" s="69" cm="1">
        <f t="array" ref="M29">M28*MAX($K3:$K26)%</f>
        <v>3952300</v>
      </c>
      <c r="N29" s="69" cm="1">
        <f t="array" ref="N29">N28*MAX($K3:$K26)%</f>
        <v>3952300</v>
      </c>
    </row>
    <row r="30" ht="21" customHeight="1">
      <c r="A30" s="70"/>
      <c r="B30" s="71"/>
      <c r="C30" s="71"/>
      <c r="D30" t="s" s="110">
        <v>116</v>
      </c>
      <c r="E30" s="112">
        <v>40000000</v>
      </c>
      <c r="F30" s="112">
        <v>39914000</v>
      </c>
      <c r="G30" s="72"/>
      <c r="H30" s="72"/>
      <c r="I30" s="71"/>
      <c r="J30" s="73"/>
      <c r="K30" t="s" s="75">
        <v>42</v>
      </c>
      <c r="L30" s="76" cm="1">
        <f t="array" ref="L30">L27+L29</f>
        <v>40000012.92</v>
      </c>
      <c r="M30" s="69" cm="1">
        <f t="array" ref="M30">M27+M29</f>
        <v>39968532</v>
      </c>
      <c r="N30" s="69" cm="1">
        <f t="array" ref="N30">N27+N29</f>
        <v>39968532</v>
      </c>
    </row>
    <row r="31" ht="20.5" customHeight="1">
      <c r="A31" s="70"/>
      <c r="B31" s="71"/>
      <c r="C31" s="71"/>
      <c r="D31" s="72"/>
      <c r="E31" s="72" cm="1">
        <f t="array" ref="E31">E$30-L$31</f>
        <v>-12.92</v>
      </c>
      <c r="F31" s="113" cm="1">
        <f t="array" ref="F31">ROUNDDOWN(E$30-D$28,2)</f>
        <v>39913700.08</v>
      </c>
      <c r="G31" s="72"/>
      <c r="H31" s="72"/>
      <c r="I31" s="71"/>
      <c r="J31" s="73"/>
      <c r="K31" t="s" s="75">
        <v>43</v>
      </c>
      <c r="L31" s="68" cm="1">
        <f t="array" ref="L31">ROUNDDOWN(L30,2)</f>
        <v>40000012.92</v>
      </c>
      <c r="M31" s="68" cm="1">
        <f t="array" ref="M31">ROUNDDOWN(M30,2)</f>
        <v>39968532</v>
      </c>
      <c r="N31" s="68" cm="1">
        <f t="array" ref="N31">ROUNDDOWN(N30,-3)</f>
        <v>39968000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60.xml><?xml version="1.0" encoding="utf-8"?>
<worksheet xmlns:r="http://schemas.openxmlformats.org/officeDocument/2006/relationships" xmlns="http://schemas.openxmlformats.org/spreadsheetml/2006/main">
  <sheetPr>
    <pageSetUpPr fitToPage="1"/>
  </sheetPr>
  <dimension ref="A1:N33"/>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355" customWidth="1"/>
    <col min="2" max="2" width="43.0312" style="355" customWidth="1"/>
    <col min="3" max="3" width="2.75" style="355" customWidth="1"/>
    <col min="4" max="6" width="10.3672" style="355" customWidth="1"/>
    <col min="7" max="7" width="11.6875" style="355" customWidth="1"/>
    <col min="8" max="11" width="13.5156" style="355" customWidth="1"/>
    <col min="12" max="14" width="14.2344" style="355" customWidth="1"/>
    <col min="15" max="16384" width="16.3516" style="355"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t="s" s="90">
        <v>51</v>
      </c>
      <c r="B3" t="s" s="12">
        <v>133</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s="95">
        <v>1</v>
      </c>
      <c r="B4" t="s" s="19">
        <v>134</v>
      </c>
      <c r="C4" s="20"/>
      <c r="D4" s="21">
        <v>1</v>
      </c>
      <c r="E4" s="21" cm="1">
        <f t="array" ref="E4">D4</f>
        <v>1</v>
      </c>
      <c r="F4" s="21" cm="1">
        <f t="array" ref="F4">D4</f>
        <v>1</v>
      </c>
      <c r="G4" t="s" s="22">
        <v>19</v>
      </c>
      <c r="H4" s="21">
        <v>500000</v>
      </c>
      <c r="I4" s="21">
        <v>460000</v>
      </c>
      <c r="J4" s="21">
        <v>460000</v>
      </c>
      <c r="K4" s="21">
        <v>11</v>
      </c>
      <c r="L4" s="21" cm="1">
        <f t="array" ref="L4">IF(D4&gt;0,IF($D4&lt;=0,0,D4*H4),"")</f>
        <v>500000</v>
      </c>
      <c r="M4" s="21" cm="1">
        <f t="array" ref="M4">IF(E4&gt;0,IF($D4&lt;=0,0,ROUND(E4*I4,2)),"")</f>
        <v>460000</v>
      </c>
      <c r="N4" s="23" cm="1">
        <f t="array" ref="N4">IF(F4&gt;0,IF($D4&lt;=0,0,ROUND(F4*J4,2)),"")</f>
        <v>460000</v>
      </c>
    </row>
    <row r="5" ht="20.5" customHeight="1">
      <c r="A5" s="95">
        <v>2</v>
      </c>
      <c r="B5" t="s" s="19">
        <v>587</v>
      </c>
      <c r="C5" s="24"/>
      <c r="D5" s="26">
        <v>1</v>
      </c>
      <c r="E5" s="26" cm="1">
        <f t="array" ref="E5">D5</f>
        <v>1</v>
      </c>
      <c r="F5" s="26" cm="1">
        <f t="array" ref="F5">D5</f>
        <v>1</v>
      </c>
      <c r="G5" t="s" s="27">
        <v>19</v>
      </c>
      <c r="H5" s="26">
        <v>2270000</v>
      </c>
      <c r="I5" s="26">
        <v>2230000</v>
      </c>
      <c r="J5" s="26">
        <v>2230000</v>
      </c>
      <c r="K5" s="26">
        <v>11</v>
      </c>
      <c r="L5" s="26" cm="1">
        <f t="array" ref="L5">IF(D5&gt;0,IF($D5&lt;=0,0,D5*H5),"")</f>
        <v>2270000</v>
      </c>
      <c r="M5" s="26" cm="1">
        <f t="array" ref="M5">IF(E5&gt;0,IF($D5&lt;=0,0,ROUND(E5*I5,2)),"")</f>
        <v>2230000</v>
      </c>
      <c r="N5" s="28" cm="1">
        <f t="array" ref="N5">IF(F5&gt;0,IF($D5&lt;=0,0,ROUND(F5*J5,2)),"")</f>
        <v>2230000</v>
      </c>
    </row>
    <row r="6" ht="20.5" customHeight="1">
      <c r="A6" t="s" s="93">
        <v>58</v>
      </c>
      <c r="B6" t="s" s="19">
        <v>588</v>
      </c>
      <c r="C6" s="20"/>
      <c r="D6" s="21"/>
      <c r="E6" s="21"/>
      <c r="F6" s="21"/>
      <c r="G6" s="263"/>
      <c r="H6" s="21"/>
      <c r="I6" s="263"/>
      <c r="J6" s="263"/>
      <c r="K6" s="21"/>
      <c r="L6" t="str" s="79" cm="1">
        <f t="array" ref="L6">IF(D6&gt;0,IF($D6&lt;=0,0,D6*H6),"")</f>
      </c>
      <c r="M6" t="str" s="79" cm="1">
        <f t="array" ref="M6">IF(E6&gt;0,IF($D6&lt;=0,0,ROUND(E6*I6,2)),"")</f>
      </c>
      <c r="N6" t="str" s="91" cm="1">
        <f t="array" ref="N6">IF(F6&gt;0,IF($D6&lt;=0,0,ROUND(F6*J6,2)),"")</f>
      </c>
    </row>
    <row r="7" ht="20.5" customHeight="1">
      <c r="A7" s="95">
        <v>1</v>
      </c>
      <c r="B7" t="s" s="19">
        <v>589</v>
      </c>
      <c r="C7" s="24"/>
      <c r="D7" s="26">
        <v>178.6</v>
      </c>
      <c r="E7" s="26" cm="1">
        <f t="array" ref="E7">D7</f>
        <v>178.6</v>
      </c>
      <c r="F7" s="26" cm="1">
        <f t="array" ref="F7">D7</f>
        <v>178.6</v>
      </c>
      <c r="G7" t="s" s="27">
        <v>142</v>
      </c>
      <c r="H7" s="26">
        <v>155920.83</v>
      </c>
      <c r="I7" s="26">
        <v>155777.08</v>
      </c>
      <c r="J7" s="26">
        <v>155777.08</v>
      </c>
      <c r="K7" s="26">
        <v>11</v>
      </c>
      <c r="L7" s="26" cm="1">
        <f t="array" ref="L7">IF(D7&gt;0,IF($D7&lt;=0,0,D7*H7),"")</f>
        <v>27847460.238</v>
      </c>
      <c r="M7" s="26" cm="1">
        <f t="array" ref="M7">IF(E7&gt;0,IF($D7&lt;=0,0,ROUND(E7*I7,2)),"")</f>
        <v>27821786.49</v>
      </c>
      <c r="N7" s="28" cm="1">
        <f t="array" ref="N7">IF(F7&gt;0,IF($D7&lt;=0,0,ROUND(F7*J7,2)),"")</f>
        <v>27821786.49</v>
      </c>
    </row>
    <row r="8" ht="20.5" customHeight="1">
      <c r="A8" s="95">
        <v>2</v>
      </c>
      <c r="B8" t="s" s="19">
        <v>590</v>
      </c>
      <c r="C8" s="20"/>
      <c r="D8" s="21">
        <v>357.2</v>
      </c>
      <c r="E8" s="21" cm="1">
        <f t="array" ref="E8">D8</f>
        <v>357.2</v>
      </c>
      <c r="F8" s="21" cm="1">
        <f t="array" ref="F8">D8</f>
        <v>357.2</v>
      </c>
      <c r="G8" t="s" s="22">
        <v>142</v>
      </c>
      <c r="H8" s="21">
        <v>52322.13</v>
      </c>
      <c r="I8" s="21">
        <v>52264.63</v>
      </c>
      <c r="J8" s="21">
        <v>52264.63</v>
      </c>
      <c r="K8" s="21">
        <v>11</v>
      </c>
      <c r="L8" s="21" cm="1">
        <f t="array" ref="L8">IF(D8&gt;0,IF($D8&lt;=0,0,D8*H8),"")</f>
        <v>18689464.836</v>
      </c>
      <c r="M8" s="21" cm="1">
        <f t="array" ref="M8">IF(E8&gt;0,IF($D8&lt;=0,0,ROUND(E8*I8,2)),"")</f>
        <v>18668925.84</v>
      </c>
      <c r="N8" s="23" cm="1">
        <f t="array" ref="N8">IF(F8&gt;0,IF($D8&lt;=0,0,ROUND(F8*J8,2)),"")</f>
        <v>18668925.84</v>
      </c>
    </row>
    <row r="9" ht="20.5" customHeight="1">
      <c r="A9" s="95">
        <v>3</v>
      </c>
      <c r="B9" t="s" s="19">
        <v>591</v>
      </c>
      <c r="C9" s="24"/>
      <c r="D9" s="26">
        <v>1150.98</v>
      </c>
      <c r="E9" s="26" cm="1">
        <f t="array" ref="E9">D9</f>
        <v>1150.98</v>
      </c>
      <c r="F9" s="26" cm="1">
        <f t="array" ref="F9">D9</f>
        <v>1150.98</v>
      </c>
      <c r="G9" t="s" s="27">
        <v>142</v>
      </c>
      <c r="H9" s="26">
        <v>63882.5</v>
      </c>
      <c r="I9" s="26">
        <v>63855</v>
      </c>
      <c r="J9" s="26">
        <v>63855</v>
      </c>
      <c r="K9" s="26">
        <v>11</v>
      </c>
      <c r="L9" s="26" cm="1">
        <f t="array" ref="L9">IF(D9&gt;0,IF($D9&lt;=0,0,D9*H9),"")</f>
        <v>73527479.84999999</v>
      </c>
      <c r="M9" s="26" cm="1">
        <f t="array" ref="M9">IF(E9&gt;0,IF($D9&lt;=0,0,ROUND(E9*I9,2)),"")</f>
        <v>73495827.90000001</v>
      </c>
      <c r="N9" s="28" cm="1">
        <f t="array" ref="N9">IF(F9&gt;0,IF($D9&lt;=0,0,ROUND(F9*J9,2)),"")</f>
        <v>73495827.90000001</v>
      </c>
    </row>
    <row r="10" ht="20.5" customHeight="1">
      <c r="A10" s="95">
        <v>4</v>
      </c>
      <c r="B10" t="s" s="19">
        <v>592</v>
      </c>
      <c r="C10" s="20"/>
      <c r="D10" s="21">
        <v>8</v>
      </c>
      <c r="E10" s="21" cm="1">
        <f t="array" ref="E10">D10</f>
        <v>8</v>
      </c>
      <c r="F10" s="21" cm="1">
        <f t="array" ref="F10">D10</f>
        <v>8</v>
      </c>
      <c r="G10" t="s" s="22">
        <v>405</v>
      </c>
      <c r="H10" s="21">
        <v>3412182.09</v>
      </c>
      <c r="I10" s="21">
        <v>3411887.12</v>
      </c>
      <c r="J10" s="21">
        <v>3411887.12</v>
      </c>
      <c r="K10" s="21">
        <v>11</v>
      </c>
      <c r="L10" s="21" cm="1">
        <f t="array" ref="L10">IF(D10&gt;0,IF($D10&lt;=0,0,D10*H10),"")</f>
        <v>27297456.72</v>
      </c>
      <c r="M10" s="21" cm="1">
        <f t="array" ref="M10">IF(E10&gt;0,IF($D10&lt;=0,0,ROUND(E10*I10,2)),"")</f>
        <v>27295096.96</v>
      </c>
      <c r="N10" s="23" cm="1">
        <f t="array" ref="N10">IF(F10&gt;0,IF($D10&lt;=0,0,ROUND(F10*J10,2)),"")</f>
        <v>27295096.96</v>
      </c>
    </row>
    <row r="11" ht="20.5" customHeight="1">
      <c r="A11" s="29"/>
      <c r="B11" t="s" s="19">
        <v>81</v>
      </c>
      <c r="C11" s="24"/>
      <c r="D11" s="26"/>
      <c r="E11" s="26"/>
      <c r="F11" s="26"/>
      <c r="G11" s="30"/>
      <c r="H11" s="26"/>
      <c r="I11" s="26"/>
      <c r="J11" s="26"/>
      <c r="K11" s="26"/>
      <c r="L11" t="str" s="30" cm="1">
        <f t="array" ref="L11">IF(D11&gt;0,IF($D11&lt;=0,0,D11*H11),"")</f>
      </c>
      <c r="M11" t="str" s="30" cm="1">
        <f t="array" ref="M11">IF(E11&gt;0,IF($D11&lt;=0,0,ROUND(E11*I11,2)),"")</f>
      </c>
      <c r="N11" t="str" s="31" cm="1">
        <f t="array" ref="N11">IF(F11&gt;0,IF($D11&lt;=0,0,ROUND(F11*J11,2)),"")</f>
      </c>
    </row>
    <row r="12" ht="20.6" customHeight="1">
      <c r="A12" s="33">
        <v>8</v>
      </c>
      <c r="B12" t="s" s="34">
        <v>37</v>
      </c>
      <c r="C12" s="35"/>
      <c r="D12" s="36">
        <v>1</v>
      </c>
      <c r="E12" s="36" cm="1">
        <f t="array" ref="E12">D12</f>
        <v>1</v>
      </c>
      <c r="F12" s="36" cm="1">
        <f t="array" ref="F12">D12</f>
        <v>1</v>
      </c>
      <c r="G12" t="s" s="37">
        <v>19</v>
      </c>
      <c r="H12" s="36">
        <v>354000</v>
      </c>
      <c r="I12" s="36">
        <v>334946.11</v>
      </c>
      <c r="J12" s="36">
        <v>334946.11</v>
      </c>
      <c r="K12" s="36">
        <v>0</v>
      </c>
      <c r="L12" s="36" cm="1">
        <f t="array" ref="L12">IF(D12&gt;0,IF($D12&lt;=0,0,D12*H12),"")</f>
        <v>354000</v>
      </c>
      <c r="M12" s="36" cm="1">
        <f t="array" ref="M12">IF(E12&gt;0,IF($D12&lt;=0,0,ROUND(E12*I12,2)),"")</f>
        <v>334946.11</v>
      </c>
      <c r="N12" s="38" cm="1">
        <f t="array" ref="N12">IF(F12&gt;0,IF($D12&lt;=0,0,ROUND(F12*J12,2)),"")</f>
        <v>334946.11</v>
      </c>
    </row>
    <row r="13" ht="8.75" customHeight="1" hidden="1">
      <c r="A13" s="39"/>
      <c r="B13" s="40"/>
      <c r="C13" s="41"/>
      <c r="D13" s="42"/>
      <c r="E13" s="42"/>
      <c r="F13" s="42"/>
      <c r="G13" s="43"/>
      <c r="H13" s="42"/>
      <c r="I13" s="42"/>
      <c r="J13" s="42"/>
      <c r="K13" s="42"/>
      <c r="L13" s="42"/>
      <c r="M13" s="42"/>
      <c r="N13" s="44"/>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2"/>
      <c r="I15" s="42"/>
      <c r="J15" s="42"/>
      <c r="K15" s="42"/>
      <c r="L15" s="42"/>
      <c r="M15" s="42"/>
      <c r="N15" s="44"/>
    </row>
    <row r="16" ht="8.75" customHeight="1" hidden="1">
      <c r="A16" s="39"/>
      <c r="B16" s="40"/>
      <c r="C16" s="45"/>
      <c r="D16" s="46"/>
      <c r="E16" s="46"/>
      <c r="F16" s="46"/>
      <c r="G16" s="47"/>
      <c r="H16" s="46"/>
      <c r="I16" s="46"/>
      <c r="J16" s="46"/>
      <c r="K16" s="46"/>
      <c r="L16" s="46"/>
      <c r="M16" s="46"/>
      <c r="N16" s="48"/>
    </row>
    <row r="17" ht="8.75" customHeight="1" hidden="1">
      <c r="A17" s="39"/>
      <c r="B17" s="40"/>
      <c r="C17" s="41"/>
      <c r="D17" s="42"/>
      <c r="E17" s="42"/>
      <c r="F17" s="42"/>
      <c r="G17" s="43"/>
      <c r="H17" s="42"/>
      <c r="I17" s="42"/>
      <c r="J17" s="42"/>
      <c r="K17" s="42"/>
      <c r="L17" s="42"/>
      <c r="M17" s="42"/>
      <c r="N17" s="44"/>
    </row>
    <row r="18" ht="8.75" customHeight="1" hidden="1">
      <c r="A18" s="39"/>
      <c r="B18" s="40"/>
      <c r="C18" s="45"/>
      <c r="D18" s="46"/>
      <c r="E18" s="46"/>
      <c r="F18" s="46"/>
      <c r="G18" s="47"/>
      <c r="H18" s="46"/>
      <c r="I18" s="46"/>
      <c r="J18" s="46"/>
      <c r="K18" s="46"/>
      <c r="L18" s="46"/>
      <c r="M18" s="46"/>
      <c r="N18" s="48"/>
    </row>
    <row r="19" ht="8.75" customHeight="1" hidden="1">
      <c r="A19" s="39"/>
      <c r="B19" s="40"/>
      <c r="C19" s="41"/>
      <c r="D19" s="42"/>
      <c r="E19" s="42"/>
      <c r="F19" s="42"/>
      <c r="G19" s="43"/>
      <c r="H19" s="43"/>
      <c r="I19" s="43"/>
      <c r="J19" s="43"/>
      <c r="K19" s="42"/>
      <c r="L19" s="43"/>
      <c r="M19" s="43"/>
      <c r="N19" s="49"/>
    </row>
    <row r="20" ht="8.75" customHeight="1" hidden="1">
      <c r="A20" s="39"/>
      <c r="B20" s="40"/>
      <c r="C20" s="45"/>
      <c r="D20" s="46"/>
      <c r="E20" s="46"/>
      <c r="F20" s="46"/>
      <c r="G20" s="47"/>
      <c r="H20" s="50"/>
      <c r="I20" s="50"/>
      <c r="J20" s="50"/>
      <c r="K20" s="46"/>
      <c r="L20" s="46"/>
      <c r="M20" s="46"/>
      <c r="N20" s="48"/>
    </row>
    <row r="21" ht="8.75" customHeight="1" hidden="1">
      <c r="A21" s="39"/>
      <c r="B21" s="40"/>
      <c r="C21" s="41"/>
      <c r="D21" s="42"/>
      <c r="E21" s="42"/>
      <c r="F21" s="42"/>
      <c r="G21" s="43"/>
      <c r="H21" s="43"/>
      <c r="I21" s="43"/>
      <c r="J21" s="43"/>
      <c r="K21" s="42"/>
      <c r="L21" s="43"/>
      <c r="M21" s="43"/>
      <c r="N21" s="49"/>
    </row>
    <row r="22" ht="8.75" customHeight="1" hidden="1">
      <c r="A22" s="39"/>
      <c r="B22" s="40"/>
      <c r="C22" s="45"/>
      <c r="D22" s="46"/>
      <c r="E22" s="46"/>
      <c r="F22" s="46"/>
      <c r="G22" s="47"/>
      <c r="H22" s="46"/>
      <c r="I22" s="46"/>
      <c r="J22" s="46"/>
      <c r="K22" s="46"/>
      <c r="L22" s="46"/>
      <c r="M22" s="46"/>
      <c r="N22" s="48"/>
    </row>
    <row r="23" ht="8.75" customHeight="1" hidden="1">
      <c r="A23" s="39"/>
      <c r="B23" s="40"/>
      <c r="C23" s="41"/>
      <c r="D23" s="42"/>
      <c r="E23" s="42"/>
      <c r="F23" s="42"/>
      <c r="G23" s="43"/>
      <c r="H23" s="42"/>
      <c r="I23" s="42"/>
      <c r="J23" s="42"/>
      <c r="K23" s="42"/>
      <c r="L23" s="42"/>
      <c r="M23" s="42"/>
      <c r="N23" s="44"/>
    </row>
    <row r="24" ht="8.75" customHeight="1" hidden="1">
      <c r="A24" s="51"/>
      <c r="B24" s="40"/>
      <c r="C24" s="45"/>
      <c r="D24" s="46"/>
      <c r="E24" s="46"/>
      <c r="F24" s="46"/>
      <c r="G24" s="47"/>
      <c r="H24" s="46"/>
      <c r="I24" s="46"/>
      <c r="J24" s="46"/>
      <c r="K24" s="46"/>
      <c r="L24" s="46"/>
      <c r="M24" s="46"/>
      <c r="N24" s="48"/>
    </row>
    <row r="25" ht="8.75" customHeight="1" hidden="1">
      <c r="A25" s="51"/>
      <c r="B25" s="40"/>
      <c r="C25" s="41"/>
      <c r="D25" s="42"/>
      <c r="E25" s="42"/>
      <c r="F25" s="42"/>
      <c r="G25" s="43"/>
      <c r="H25" s="42"/>
      <c r="I25" s="42"/>
      <c r="J25" s="42"/>
      <c r="K25" s="42"/>
      <c r="L25" s="42"/>
      <c r="M25" s="42"/>
      <c r="N25" s="44"/>
    </row>
    <row r="26" ht="8.75" customHeight="1" hidden="1">
      <c r="A26" s="39"/>
      <c r="B26" s="40"/>
      <c r="C26" s="45"/>
      <c r="D26" s="46"/>
      <c r="E26" s="46"/>
      <c r="F26" s="46"/>
      <c r="G26" s="47"/>
      <c r="H26" s="46"/>
      <c r="I26" s="46"/>
      <c r="J26" s="46"/>
      <c r="K26" s="46"/>
      <c r="L26" s="47"/>
      <c r="M26" s="47"/>
      <c r="N26" s="52"/>
    </row>
    <row r="27" ht="8.75" customHeight="1" hidden="1">
      <c r="A27" s="39"/>
      <c r="B27" s="40"/>
      <c r="C27" s="41"/>
      <c r="D27" s="42"/>
      <c r="E27" s="42"/>
      <c r="F27" s="42"/>
      <c r="G27" s="43"/>
      <c r="H27" s="42"/>
      <c r="I27" s="42"/>
      <c r="J27" s="42"/>
      <c r="K27" s="42"/>
      <c r="L27" s="42"/>
      <c r="M27" s="42"/>
      <c r="N27" s="44"/>
    </row>
    <row r="28" ht="8.75" customHeight="1" hidden="1">
      <c r="A28" s="39"/>
      <c r="B28" s="40"/>
      <c r="C28" s="45"/>
      <c r="D28" s="46"/>
      <c r="E28" s="46"/>
      <c r="F28" s="46"/>
      <c r="G28" s="47"/>
      <c r="H28" s="46"/>
      <c r="I28" s="46"/>
      <c r="J28" s="46"/>
      <c r="K28" s="46"/>
      <c r="L28" s="47"/>
      <c r="M28" s="47"/>
      <c r="N28" s="52"/>
    </row>
    <row r="29" ht="20.85" customHeight="1">
      <c r="A29" s="108"/>
      <c r="B29" s="54"/>
      <c r="C29" s="54"/>
      <c r="D29" s="55"/>
      <c r="E29" s="55"/>
      <c r="F29" s="55"/>
      <c r="G29" s="56"/>
      <c r="H29" s="56"/>
      <c r="I29" s="54"/>
      <c r="J29" s="57"/>
      <c r="K29" t="s" s="58">
        <v>38</v>
      </c>
      <c r="L29" s="59" cm="1">
        <f t="array" ref="L29">SUM(L1:L28)</f>
        <v>150485861.644</v>
      </c>
      <c r="M29" s="59" cm="1">
        <f t="array" ref="M29">SUM(M1:M28)</f>
        <v>150306583.3</v>
      </c>
      <c r="N29" s="59" cm="1">
        <f t="array" ref="N29">SUM(N1:N28)</f>
        <v>150306583.3</v>
      </c>
    </row>
    <row r="30" ht="21" customHeight="1">
      <c r="A30" s="63" cm="1">
        <f t="array" ref="A30">ROUND(IF(I30&lt;=100000000,I30*0.24%,IF(AND(I30&gt;100000000,I30&lt;=500000000),100000000*0.24%+(I30-100000000)*0.19%,IF(AND(I30&gt;500000000,I30&lt;=1000000000),100000000*0.24%+400000000*0.19%+(I30-500000000)*0.15%,IF(AND(I30&gt;1000000000,I30&lt;=5000000000),100000000*0.24%+400000000*0.19%+500000000*0.15%+(I30-1000000000)*0.12%,IF(I30&gt;5000000000,100000000*0.24%+400000000*0.19%+500000000*0.15%+4000000000*0.12%+(I30-5000000000)*0.1%,"Bingung komputer"))))),2)</f>
        <v>0</v>
      </c>
      <c r="B30" t="s" s="109">
        <v>39</v>
      </c>
      <c r="C30" s="62"/>
      <c r="D30" s="63" cm="1">
        <f t="array" ref="D30">ROUND(IF(L30&lt;=100000000,L30*0.24%,IF(AND(L30&gt;100000000,L30&lt;=500000000),100000000*0.24%+(L30-100000000)*0.19%,IF(AND(L30&gt;500000000,L30&lt;=1000000000),100000000*0.24%+400000000*0.19%+(L30-500000000)*0.15%,IF(AND(L30&gt;1000000000,L30&lt;=5000000000),100000000*0.24%+400000000*0.19%+500000000*0.15%+(L30-1000000000)*0.12%,IF(L30&gt;5000000000,100000000*0.24%+400000000*0.19%+500000000*0.15%+4000000000*0.12%+(L30-5000000000)*0.1%,"Bingung komputer"))))),2)</f>
        <v>335250.54</v>
      </c>
      <c r="E30" s="64" cm="1">
        <f t="array" ref="E30">ROUND(IF(M30&lt;=100000000,M30*0.24%,IF(AND(M30&gt;100000000,M30&lt;=500000000),100000000*0.24%+(M30-100000000)*0.19%,IF(AND(M30&gt;500000000,M30&lt;=1000000000),100000000*0.24%+400000000*0.19%+(M30-500000000)*0.15%,IF(AND(M30&gt;1000000000,M30&lt;=5000000000),100000000*0.24%+400000000*0.19%+500000000*0.15%+(M30-1000000000)*0.12%,IF(M30&gt;5000000000,100000000*0.24%+400000000*0.19%+500000000*0.15%+4000000000*0.12%+(M30-5000000000)*0.1%,"Bingung komputer"))))),2)</f>
        <v>334946.11</v>
      </c>
      <c r="F30" s="64" cm="1">
        <f t="array" ref="F30">ROUND(IF(N30&lt;=100000000,N30*0.24%,IF(AND(N30&gt;100000000,N30&lt;=500000000),100000000*0.24%+(N30-100000000)*0.19%,IF(AND(N30&gt;500000000,N30&lt;=1000000000),100000000*0.24%+400000000*0.19%+(N30-500000000)*0.15%,IF(AND(N30&gt;1000000000,N30&lt;=5000000000),100000000*0.24%+400000000*0.19%+500000000*0.15%+(N30-1000000000)*0.12%,IF(N30&gt;5000000000,100000000*0.24%+400000000*0.19%+500000000*0.15%+4000000000*0.12%+(N30-5000000000)*0.1%,"Bingung komputer"))))),2)</f>
        <v>334946.11</v>
      </c>
      <c r="G30" s="65"/>
      <c r="H30" s="66"/>
      <c r="I30" s="68"/>
      <c r="J30" s="67"/>
      <c r="K30" t="str" s="67" cm="1">
        <f t="array" ref="K30">"Jumlah Terkena Pajak "&amp;MAX(K3:K28)&amp;"% (B)"</f>
        <v>Jumlah Terkena Pajak 11,00% (B)</v>
      </c>
      <c r="L30" s="68" cm="1">
        <f t="array" ref="L30">SUMIF($K3:$K28,"&gt;0",L3:L28)</f>
        <v>150131861.644</v>
      </c>
      <c r="M30" s="69" cm="1">
        <f t="array" ref="M30">SUMIF($K3:$K28,"&gt;0",M3:M28)</f>
        <v>149971637.19</v>
      </c>
      <c r="N30" s="69" cm="1">
        <f t="array" ref="N30">SUMIF($K3:$K28,"&gt;0",N3:N28)</f>
        <v>149971637.19</v>
      </c>
    </row>
    <row r="31" ht="21" customHeight="1">
      <c r="A31" s="70"/>
      <c r="B31" s="71"/>
      <c r="C31" s="71"/>
      <c r="D31" s="72"/>
      <c r="E31" s="72"/>
      <c r="F31" s="71"/>
      <c r="G31" s="72"/>
      <c r="H31" s="72"/>
      <c r="I31" s="74"/>
      <c r="J31" s="73"/>
      <c r="K31" t="str" s="73" cm="1">
        <f t="array" ref="K31">"PPN (C) = "&amp;MAX(K3:K28)&amp;"% x B"</f>
        <v>PPN (C) = 11,00% x B</v>
      </c>
      <c r="L31" s="74" cm="1">
        <f t="array" ref="L31">L30*MAX($K3:$K28)%</f>
        <v>16514504.78084</v>
      </c>
      <c r="M31" s="69" cm="1">
        <f t="array" ref="M31">M30*MAX($K3:$K28)%</f>
        <v>16496880.0909</v>
      </c>
      <c r="N31" s="69" cm="1">
        <f t="array" ref="N31">N30*MAX($K3:$K28)%</f>
        <v>16496880.0909</v>
      </c>
    </row>
    <row r="32" ht="21" customHeight="1">
      <c r="A32" s="70"/>
      <c r="B32" s="71"/>
      <c r="C32" s="71"/>
      <c r="D32" t="s" s="110">
        <v>116</v>
      </c>
      <c r="E32" s="112">
        <v>100000000</v>
      </c>
      <c r="F32" s="112">
        <v>99770500</v>
      </c>
      <c r="G32" s="72"/>
      <c r="H32" s="72"/>
      <c r="I32" s="71"/>
      <c r="J32" s="73"/>
      <c r="K32" t="s" s="75">
        <v>42</v>
      </c>
      <c r="L32" s="76" cm="1">
        <f t="array" ref="L32">L29+L31</f>
        <v>167000366.42484</v>
      </c>
      <c r="M32" s="69" cm="1">
        <f t="array" ref="M32">M29+M31</f>
        <v>166803463.3909</v>
      </c>
      <c r="N32" s="69" cm="1">
        <f t="array" ref="N32">N29+N31</f>
        <v>166803463.3909</v>
      </c>
    </row>
    <row r="33" ht="20.5" customHeight="1">
      <c r="A33" s="70"/>
      <c r="B33" s="71"/>
      <c r="C33" s="71"/>
      <c r="D33" s="72"/>
      <c r="E33" s="72" cm="1">
        <f t="array" ref="E33">E$32-L$33</f>
        <v>-67000366.42</v>
      </c>
      <c r="F33" s="113" cm="1">
        <f t="array" ref="F33">ROUNDDOWN(E$32-D$30,2)</f>
        <v>99664749.45999999</v>
      </c>
      <c r="G33" s="72"/>
      <c r="H33" s="72"/>
      <c r="I33" s="71"/>
      <c r="J33" s="73"/>
      <c r="K33" t="s" s="75">
        <v>43</v>
      </c>
      <c r="L33" s="68" cm="1">
        <f t="array" ref="L33">ROUNDDOWN(L32,2)</f>
        <v>167000366.42</v>
      </c>
      <c r="M33" s="68" cm="1">
        <f t="array" ref="M33">ROUNDDOWN(M32,2)</f>
        <v>166803463.39</v>
      </c>
      <c r="N33" s="68" cm="1">
        <f t="array" ref="N33">ROUNDDOWN(N32,-3)</f>
        <v>166803000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61.xml><?xml version="1.0" encoding="utf-8"?>
<worksheet xmlns:r="http://schemas.openxmlformats.org/officeDocument/2006/relationships" xmlns="http://schemas.openxmlformats.org/spreadsheetml/2006/main">
  <sheetPr>
    <pageSetUpPr fitToPage="1"/>
  </sheetPr>
  <dimension ref="A1:N31"/>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356" customWidth="1"/>
    <col min="2" max="2" width="43.0312" style="356" customWidth="1"/>
    <col min="3" max="3" width="2.75" style="356" customWidth="1"/>
    <col min="4" max="6" width="10.3672" style="356" customWidth="1"/>
    <col min="7" max="7" width="11.6875" style="356" customWidth="1"/>
    <col min="8" max="11" width="13.5156" style="356" customWidth="1"/>
    <col min="12" max="14" width="14.2344" style="356" customWidth="1"/>
    <col min="15" max="16384" width="16.3516" style="356"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109</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s="95">
        <v>1</v>
      </c>
      <c r="B4" t="s" s="19">
        <v>110</v>
      </c>
      <c r="C4" s="20"/>
      <c r="D4" s="21">
        <v>1</v>
      </c>
      <c r="E4" s="21" cm="1">
        <f t="array" ref="E4">D4</f>
        <v>1</v>
      </c>
      <c r="F4" s="21" cm="1">
        <f t="array" ref="F4">D4</f>
        <v>1</v>
      </c>
      <c r="G4" t="s" s="22">
        <v>19</v>
      </c>
      <c r="H4" s="21" cm="1">
        <f t="array" ref="H4">ROUNDDOWN((F$30*0.1)*100/111,-2)</f>
        <v>4494500</v>
      </c>
      <c r="I4" s="21">
        <v>4480000</v>
      </c>
      <c r="J4" s="21">
        <v>4480000</v>
      </c>
      <c r="K4" s="21">
        <v>11</v>
      </c>
      <c r="L4" s="21" cm="1">
        <f t="array" ref="L4">IF(D4&gt;0,IF($D4&lt;=0,0,D4*H4),"")</f>
        <v>4494500</v>
      </c>
      <c r="M4" s="21" cm="1">
        <f t="array" ref="M4">IF(E4&gt;0,IF($D4&lt;=0,0,ROUND(E4*I4,2)),"")</f>
        <v>4480000</v>
      </c>
      <c r="N4" s="23" cm="1">
        <f t="array" ref="N4">IF(F4&gt;0,IF($D4&lt;=0,0,ROUND(F4*J4,2)),"")</f>
        <v>4480000</v>
      </c>
    </row>
    <row r="5" ht="20.5" customHeight="1">
      <c r="A5" s="95">
        <v>2</v>
      </c>
      <c r="B5" t="s" s="19">
        <v>111</v>
      </c>
      <c r="C5" s="24"/>
      <c r="D5" s="26">
        <v>1</v>
      </c>
      <c r="E5" s="26" cm="1">
        <f t="array" ref="E5">D5</f>
        <v>1</v>
      </c>
      <c r="F5" s="26" cm="1">
        <f t="array" ref="F5">D5</f>
        <v>1</v>
      </c>
      <c r="G5" t="s" s="27">
        <v>19</v>
      </c>
      <c r="H5" s="26" cm="1">
        <f t="array" ref="H5">ROUNDDOWN((F$30*0.2)*100/111,-2)</f>
        <v>8989100</v>
      </c>
      <c r="I5" s="26">
        <v>8900000</v>
      </c>
      <c r="J5" s="26">
        <v>8900000</v>
      </c>
      <c r="K5" s="26">
        <v>11</v>
      </c>
      <c r="L5" s="26" cm="1">
        <f t="array" ref="L5">IF(D5&gt;0,IF($D5&lt;=0,0,D5*H5),"")</f>
        <v>8989100</v>
      </c>
      <c r="M5" s="26" cm="1">
        <f t="array" ref="M5">IF(E5&gt;0,IF($D5&lt;=0,0,ROUND(E5*I5,2)),"")</f>
        <v>8900000</v>
      </c>
      <c r="N5" s="28" cm="1">
        <f t="array" ref="N5">IF(F5&gt;0,IF($D5&lt;=0,0,ROUND(F5*J5,2)),"")</f>
        <v>8900000</v>
      </c>
    </row>
    <row r="6" ht="20.5" customHeight="1">
      <c r="A6" s="95">
        <v>3</v>
      </c>
      <c r="B6" t="s" s="19">
        <v>112</v>
      </c>
      <c r="C6" s="20"/>
      <c r="D6" s="21">
        <v>1</v>
      </c>
      <c r="E6" s="21" cm="1">
        <f t="array" ref="E6">D6</f>
        <v>1</v>
      </c>
      <c r="F6" s="21" cm="1">
        <f t="array" ref="F6">D6</f>
        <v>1</v>
      </c>
      <c r="G6" t="s" s="22">
        <v>19</v>
      </c>
      <c r="H6" s="21" cm="1">
        <f t="array" ref="H6">ROUNDDOWN((F$30*0.25)*100/111,-2)</f>
        <v>11236400</v>
      </c>
      <c r="I6" s="21">
        <v>11300000</v>
      </c>
      <c r="J6" s="21">
        <v>11300000</v>
      </c>
      <c r="K6" s="21">
        <v>11</v>
      </c>
      <c r="L6" s="21" cm="1">
        <f t="array" ref="L6">IF(D6&gt;0,IF($D6&lt;=0,0,D6*H6),"")</f>
        <v>11236400</v>
      </c>
      <c r="M6" s="21" cm="1">
        <f t="array" ref="M6">IF(E6&gt;0,IF($D6&lt;=0,0,ROUND(E6*I6,2)),"")</f>
        <v>11300000</v>
      </c>
      <c r="N6" s="23" cm="1">
        <f t="array" ref="N6">IF(F6&gt;0,IF($D6&lt;=0,0,ROUND(F6*J6,2)),"")</f>
        <v>11300000</v>
      </c>
    </row>
    <row r="7" ht="68.5" customHeight="1">
      <c r="A7" s="95">
        <v>5</v>
      </c>
      <c r="B7" t="s" s="19">
        <v>113</v>
      </c>
      <c r="C7" s="24"/>
      <c r="D7" s="26">
        <v>1</v>
      </c>
      <c r="E7" s="26" cm="1">
        <f t="array" ref="E7">D7</f>
        <v>1</v>
      </c>
      <c r="F7" s="26" cm="1">
        <f t="array" ref="F7">D7</f>
        <v>1</v>
      </c>
      <c r="G7" t="s" s="27">
        <v>19</v>
      </c>
      <c r="H7" s="26" cm="1">
        <f t="array" ref="H7">ROUNDDOWN((F$30*0.25)*100/111,-2)</f>
        <v>11236400</v>
      </c>
      <c r="I7" s="26">
        <v>11200000</v>
      </c>
      <c r="J7" s="26">
        <v>11200000</v>
      </c>
      <c r="K7" s="26">
        <v>11</v>
      </c>
      <c r="L7" s="26" cm="1">
        <f t="array" ref="L7">IF(D7&gt;0,IF($D7&lt;=0,0,D7*H7),"")</f>
        <v>11236400</v>
      </c>
      <c r="M7" s="26" cm="1">
        <f t="array" ref="M7">IF(E7&gt;0,IF($D7&lt;=0,0,ROUND(E7*I7,2)),"")</f>
        <v>11200000</v>
      </c>
      <c r="N7" s="28" cm="1">
        <f t="array" ref="N7">IF(F7&gt;0,IF($D7&lt;=0,0,ROUND(F7*J7,2)),"")</f>
        <v>11200000</v>
      </c>
    </row>
    <row r="8" ht="32.5" customHeight="1">
      <c r="A8" s="95">
        <v>6</v>
      </c>
      <c r="B8" t="s" s="19">
        <v>114</v>
      </c>
      <c r="C8" s="20"/>
      <c r="D8" s="21">
        <v>1</v>
      </c>
      <c r="E8" s="21" cm="1">
        <f t="array" ref="E8">D8</f>
        <v>1</v>
      </c>
      <c r="F8" s="21" cm="1">
        <f t="array" ref="F8">D8</f>
        <v>1</v>
      </c>
      <c r="G8" t="s" s="22">
        <v>19</v>
      </c>
      <c r="H8" s="21" cm="1">
        <f t="array" ref="H8">ROUNDDOWN((F$30*0.05)*100/111,-2)</f>
        <v>2247200</v>
      </c>
      <c r="I8" s="21">
        <v>2200000</v>
      </c>
      <c r="J8" s="21">
        <v>2200000</v>
      </c>
      <c r="K8" s="21">
        <v>11</v>
      </c>
      <c r="L8" s="21" cm="1">
        <f t="array" ref="L8">IF(D8&gt;0,IF($D8&lt;=0,0,D8*H8),"")</f>
        <v>2247200</v>
      </c>
      <c r="M8" s="21" cm="1">
        <f t="array" ref="M8">IF(E8&gt;0,IF($D8&lt;=0,0,ROUND(E8*I8,2)),"")</f>
        <v>2200000</v>
      </c>
      <c r="N8" s="23" cm="1">
        <f t="array" ref="N8">IF(F8&gt;0,IF($D8&lt;=0,0,ROUND(F8*J8,2)),"")</f>
        <v>2200000</v>
      </c>
    </row>
    <row r="9" ht="20.5" customHeight="1">
      <c r="A9" s="95">
        <v>7</v>
      </c>
      <c r="B9" t="s" s="19">
        <v>115</v>
      </c>
      <c r="C9" s="24"/>
      <c r="D9" s="26">
        <v>1</v>
      </c>
      <c r="E9" s="26" cm="1">
        <f t="array" ref="E9">D9</f>
        <v>1</v>
      </c>
      <c r="F9" s="26" cm="1">
        <f t="array" ref="F9">D9</f>
        <v>1</v>
      </c>
      <c r="G9" t="s" s="27">
        <v>19</v>
      </c>
      <c r="H9" s="26" cm="1">
        <f t="array" ref="H9">ROUNDDOWN((F$30*0.15)*100/111,-2)</f>
        <v>6741800</v>
      </c>
      <c r="I9" s="26">
        <v>6800000</v>
      </c>
      <c r="J9" s="26">
        <v>6800000</v>
      </c>
      <c r="K9" s="26">
        <v>11</v>
      </c>
      <c r="L9" s="26" cm="1">
        <f t="array" ref="L9">IF(D9&gt;0,IF($D9&lt;=0,0,D9*H9),"")</f>
        <v>6741800</v>
      </c>
      <c r="M9" s="26" cm="1">
        <f t="array" ref="M9">IF(E9&gt;0,IF($D9&lt;=0,0,ROUND(E9*I9,2)),"")</f>
        <v>6800000</v>
      </c>
      <c r="N9" s="28" cm="1">
        <f t="array" ref="N9">IF(F9&gt;0,IF($D9&lt;=0,0,ROUND(F9*J9,2)),"")</f>
        <v>6800000</v>
      </c>
    </row>
    <row r="10" ht="20.6" customHeight="1">
      <c r="A10" s="33">
        <v>8</v>
      </c>
      <c r="B10" t="s" s="34">
        <v>37</v>
      </c>
      <c r="C10" s="35"/>
      <c r="D10" s="36">
        <v>1</v>
      </c>
      <c r="E10" s="36" cm="1">
        <f t="array" ref="E10">D10</f>
        <v>1</v>
      </c>
      <c r="F10" s="36" cm="1">
        <f t="array" ref="F10">D10</f>
        <v>1</v>
      </c>
      <c r="G10" t="s" s="37">
        <v>19</v>
      </c>
      <c r="H10" s="36">
        <v>107868.96</v>
      </c>
      <c r="I10" s="36">
        <v>107712</v>
      </c>
      <c r="J10" s="36">
        <v>107712</v>
      </c>
      <c r="K10" s="36">
        <v>0</v>
      </c>
      <c r="L10" s="36" cm="1">
        <f t="array" ref="L10">IF(D10&gt;0,IF($D10&lt;=0,0,D10*H10),"")</f>
        <v>107868.96</v>
      </c>
      <c r="M10" s="36" cm="1">
        <f t="array" ref="M10">IF(E10&gt;0,IF($D10&lt;=0,0,ROUND(E10*I10,2)),"")</f>
        <v>107712</v>
      </c>
      <c r="N10" s="38" cm="1">
        <f t="array" ref="N10">IF(F10&gt;0,IF($D10&lt;=0,0,ROUND(F10*J10,2)),"")</f>
        <v>107712</v>
      </c>
    </row>
    <row r="11" ht="8.75" customHeight="1" hidden="1">
      <c r="A11" s="39"/>
      <c r="B11" s="40"/>
      <c r="C11" s="41"/>
      <c r="D11" s="42"/>
      <c r="E11" s="42"/>
      <c r="F11" s="42"/>
      <c r="G11" s="43"/>
      <c r="H11" s="42"/>
      <c r="I11" s="42"/>
      <c r="J11" s="42"/>
      <c r="K11" s="42"/>
      <c r="L11" s="42"/>
      <c r="M11" s="42"/>
      <c r="N11" s="44"/>
    </row>
    <row r="12" ht="8.75" customHeight="1" hidden="1">
      <c r="A12" s="39"/>
      <c r="B12" s="40"/>
      <c r="C12" s="45"/>
      <c r="D12" s="46"/>
      <c r="E12" s="46"/>
      <c r="F12" s="46"/>
      <c r="G12" s="47"/>
      <c r="H12" s="46"/>
      <c r="I12" s="46"/>
      <c r="J12" s="46"/>
      <c r="K12" s="46"/>
      <c r="L12" s="46"/>
      <c r="M12" s="46"/>
      <c r="N12" s="48"/>
    </row>
    <row r="13" ht="8.75" customHeight="1" hidden="1">
      <c r="A13" s="39"/>
      <c r="B13" s="40"/>
      <c r="C13" s="41"/>
      <c r="D13" s="42"/>
      <c r="E13" s="42"/>
      <c r="F13" s="42"/>
      <c r="G13" s="43"/>
      <c r="H13" s="42"/>
      <c r="I13" s="42"/>
      <c r="J13" s="42"/>
      <c r="K13" s="42"/>
      <c r="L13" s="42"/>
      <c r="M13" s="42"/>
      <c r="N13" s="44"/>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2"/>
      <c r="I15" s="42"/>
      <c r="J15" s="42"/>
      <c r="K15" s="42"/>
      <c r="L15" s="42"/>
      <c r="M15" s="42"/>
      <c r="N15" s="44"/>
    </row>
    <row r="16" ht="8.75" customHeight="1" hidden="1">
      <c r="A16" s="39"/>
      <c r="B16" s="40"/>
      <c r="C16" s="45"/>
      <c r="D16" s="46"/>
      <c r="E16" s="46"/>
      <c r="F16" s="46"/>
      <c r="G16" s="47"/>
      <c r="H16" s="46"/>
      <c r="I16" s="46"/>
      <c r="J16" s="46"/>
      <c r="K16" s="46"/>
      <c r="L16" s="46"/>
      <c r="M16" s="46"/>
      <c r="N16" s="48"/>
    </row>
    <row r="17" ht="8.75" customHeight="1" hidden="1">
      <c r="A17" s="39"/>
      <c r="B17" s="40"/>
      <c r="C17" s="41"/>
      <c r="D17" s="42"/>
      <c r="E17" s="42"/>
      <c r="F17" s="42"/>
      <c r="G17" s="43"/>
      <c r="H17" s="43"/>
      <c r="I17" s="43"/>
      <c r="J17" s="43"/>
      <c r="K17" s="42"/>
      <c r="L17" s="43"/>
      <c r="M17" s="43"/>
      <c r="N17" s="49"/>
    </row>
    <row r="18" ht="8.75" customHeight="1" hidden="1">
      <c r="A18" s="39"/>
      <c r="B18" s="40"/>
      <c r="C18" s="45"/>
      <c r="D18" s="46"/>
      <c r="E18" s="46"/>
      <c r="F18" s="46"/>
      <c r="G18" s="47"/>
      <c r="H18" s="50"/>
      <c r="I18" s="50"/>
      <c r="J18" s="50"/>
      <c r="K18" s="46"/>
      <c r="L18" s="46"/>
      <c r="M18" s="46"/>
      <c r="N18" s="48"/>
    </row>
    <row r="19" ht="8.75" customHeight="1" hidden="1">
      <c r="A19" s="39"/>
      <c r="B19" s="40"/>
      <c r="C19" s="41"/>
      <c r="D19" s="42"/>
      <c r="E19" s="42"/>
      <c r="F19" s="42"/>
      <c r="G19" s="43"/>
      <c r="H19" s="43"/>
      <c r="I19" s="43"/>
      <c r="J19" s="43"/>
      <c r="K19" s="42"/>
      <c r="L19" s="43"/>
      <c r="M19" s="43"/>
      <c r="N19" s="49"/>
    </row>
    <row r="20" ht="8.75" customHeight="1" hidden="1">
      <c r="A20" s="39"/>
      <c r="B20" s="40"/>
      <c r="C20" s="45"/>
      <c r="D20" s="46"/>
      <c r="E20" s="46"/>
      <c r="F20" s="46"/>
      <c r="G20" s="47"/>
      <c r="H20" s="46"/>
      <c r="I20" s="46"/>
      <c r="J20" s="46"/>
      <c r="K20" s="46"/>
      <c r="L20" s="46"/>
      <c r="M20" s="46"/>
      <c r="N20" s="48"/>
    </row>
    <row r="21" ht="8.75" customHeight="1" hidden="1">
      <c r="A21" s="39"/>
      <c r="B21" s="40"/>
      <c r="C21" s="41"/>
      <c r="D21" s="42"/>
      <c r="E21" s="42"/>
      <c r="F21" s="42"/>
      <c r="G21" s="43"/>
      <c r="H21" s="42"/>
      <c r="I21" s="42"/>
      <c r="J21" s="42"/>
      <c r="K21" s="42"/>
      <c r="L21" s="42"/>
      <c r="M21" s="42"/>
      <c r="N21" s="44"/>
    </row>
    <row r="22" ht="8.75" customHeight="1" hidden="1">
      <c r="A22" s="51"/>
      <c r="B22" s="40"/>
      <c r="C22" s="45"/>
      <c r="D22" s="46"/>
      <c r="E22" s="46"/>
      <c r="F22" s="46"/>
      <c r="G22" s="47"/>
      <c r="H22" s="46"/>
      <c r="I22" s="46"/>
      <c r="J22" s="46"/>
      <c r="K22" s="46"/>
      <c r="L22" s="46"/>
      <c r="M22" s="46"/>
      <c r="N22" s="48"/>
    </row>
    <row r="23" ht="8.75" customHeight="1" hidden="1">
      <c r="A23" s="51"/>
      <c r="B23" s="40"/>
      <c r="C23" s="41"/>
      <c r="D23" s="42"/>
      <c r="E23" s="42"/>
      <c r="F23" s="42"/>
      <c r="G23" s="43"/>
      <c r="H23" s="42"/>
      <c r="I23" s="42"/>
      <c r="J23" s="42"/>
      <c r="K23" s="42"/>
      <c r="L23" s="42"/>
      <c r="M23" s="42"/>
      <c r="N23" s="44"/>
    </row>
    <row r="24" ht="8.75" customHeight="1" hidden="1">
      <c r="A24" s="39"/>
      <c r="B24" s="40"/>
      <c r="C24" s="45"/>
      <c r="D24" s="46"/>
      <c r="E24" s="46"/>
      <c r="F24" s="46"/>
      <c r="G24" s="47"/>
      <c r="H24" s="46"/>
      <c r="I24" s="46"/>
      <c r="J24" s="46"/>
      <c r="K24" s="46"/>
      <c r="L24" s="47"/>
      <c r="M24" s="47"/>
      <c r="N24" s="52"/>
    </row>
    <row r="25" ht="8.75" customHeight="1" hidden="1">
      <c r="A25" s="39"/>
      <c r="B25" s="40"/>
      <c r="C25" s="41"/>
      <c r="D25" s="42"/>
      <c r="E25" s="42"/>
      <c r="F25" s="42"/>
      <c r="G25" s="43"/>
      <c r="H25" s="42"/>
      <c r="I25" s="42"/>
      <c r="J25" s="42"/>
      <c r="K25" s="42"/>
      <c r="L25" s="42"/>
      <c r="M25" s="42"/>
      <c r="N25" s="44"/>
    </row>
    <row r="26" ht="8.75" customHeight="1" hidden="1">
      <c r="A26" s="39"/>
      <c r="B26" s="40"/>
      <c r="C26" s="45"/>
      <c r="D26" s="46"/>
      <c r="E26" s="46"/>
      <c r="F26" s="46"/>
      <c r="G26" s="47"/>
      <c r="H26" s="46"/>
      <c r="I26" s="46"/>
      <c r="J26" s="46"/>
      <c r="K26" s="46"/>
      <c r="L26" s="47"/>
      <c r="M26" s="47"/>
      <c r="N26" s="52"/>
    </row>
    <row r="27" ht="20.85" customHeight="1">
      <c r="A27" s="108"/>
      <c r="B27" s="54"/>
      <c r="C27" s="54"/>
      <c r="D27" s="55"/>
      <c r="E27" s="55"/>
      <c r="F27" s="55"/>
      <c r="G27" s="56"/>
      <c r="H27" s="56"/>
      <c r="I27" s="54"/>
      <c r="J27" s="57"/>
      <c r="K27" t="s" s="58">
        <v>38</v>
      </c>
      <c r="L27" s="59" cm="1">
        <f t="array" ref="L27">SUM(L1:L26)</f>
        <v>45053268.96</v>
      </c>
      <c r="M27" s="59" cm="1">
        <f t="array" ref="M27">SUM(M1:M26)</f>
        <v>44987712</v>
      </c>
      <c r="N27" s="59" cm="1">
        <f t="array" ref="N27">SUM(N1:N26)</f>
        <v>44987712</v>
      </c>
    </row>
    <row r="28" ht="21" customHeight="1">
      <c r="A28" s="63" cm="1">
        <f t="array" ref="A28">ROUND(IF(I28&lt;=100000000,I28*0.24%,IF(AND(I28&gt;100000000,I28&lt;=500000000),100000000*0.24%+(I28-100000000)*0.19%,IF(AND(I28&gt;500000000,I28&lt;=1000000000),100000000*0.24%+400000000*0.19%+(I28-500000000)*0.15%,IF(AND(I28&gt;1000000000,I28&lt;=5000000000),100000000*0.24%+400000000*0.19%+500000000*0.15%+(I28-1000000000)*0.12%,IF(I28&gt;5000000000,100000000*0.24%+400000000*0.19%+500000000*0.15%+4000000000*0.12%+(I28-5000000000)*0.1%,"Bingung komputer"))))),2)</f>
        <v>0</v>
      </c>
      <c r="B28" t="s" s="109">
        <v>39</v>
      </c>
      <c r="C28" s="62"/>
      <c r="D28" s="63" cm="1">
        <f t="array" ref="D28">ROUND(IF(L28&lt;=100000000,L28*0.24%,IF(AND(L28&gt;100000000,L28&lt;=500000000),100000000*0.24%+(L28-100000000)*0.19%,IF(AND(L28&gt;500000000,L28&lt;=1000000000),100000000*0.24%+400000000*0.19%+(L28-500000000)*0.15%,IF(AND(L28&gt;1000000000,L28&lt;=5000000000),100000000*0.24%+400000000*0.19%+500000000*0.15%+(L28-1000000000)*0.12%,IF(L28&gt;5000000000,100000000*0.24%+400000000*0.19%+500000000*0.15%+4000000000*0.12%+(L28-5000000000)*0.1%,"Bingung komputer"))))),2)</f>
        <v>107868.96</v>
      </c>
      <c r="E28" s="64" cm="1">
        <f t="array" ref="E28">ROUND(IF(M28&lt;=100000000,M28*0.24%,IF(AND(M28&gt;100000000,M28&lt;=500000000),100000000*0.24%+(M28-100000000)*0.19%,IF(AND(M28&gt;500000000,M28&lt;=1000000000),100000000*0.24%+400000000*0.19%+(M28-500000000)*0.15%,IF(AND(M28&gt;1000000000,M28&lt;=5000000000),100000000*0.24%+400000000*0.19%+500000000*0.15%+(M28-1000000000)*0.12%,IF(M28&gt;5000000000,100000000*0.24%+400000000*0.19%+500000000*0.15%+4000000000*0.12%+(M28-5000000000)*0.1%,"Bingung komputer"))))),2)</f>
        <v>107712</v>
      </c>
      <c r="F28" s="64" cm="1">
        <f t="array" ref="F28">ROUND(IF(N28&lt;=100000000,N28*0.24%,IF(AND(N28&gt;100000000,N28&lt;=500000000),100000000*0.24%+(N28-100000000)*0.19%,IF(AND(N28&gt;500000000,N28&lt;=1000000000),100000000*0.24%+400000000*0.19%+(N28-500000000)*0.15%,IF(AND(N28&gt;1000000000,N28&lt;=5000000000),100000000*0.24%+400000000*0.19%+500000000*0.15%+(N28-1000000000)*0.12%,IF(N28&gt;5000000000,100000000*0.24%+400000000*0.19%+500000000*0.15%+4000000000*0.12%+(N28-5000000000)*0.1%,"Bingung komputer"))))),2)</f>
        <v>107712</v>
      </c>
      <c r="G28" s="65"/>
      <c r="H28" s="66"/>
      <c r="I28" s="68"/>
      <c r="J28" s="67"/>
      <c r="K28" t="str" s="67" cm="1">
        <f t="array" ref="K28">"Jumlah Terkena Pajak "&amp;MAX(K3:K26)&amp;"% (B)"</f>
        <v>Jumlah Terkena Pajak 11,00% (B)</v>
      </c>
      <c r="L28" s="68" cm="1">
        <f t="array" ref="L28">SUMIF($K3:$K26,"&gt;0",L3:L26)</f>
        <v>44945400</v>
      </c>
      <c r="M28" s="69" cm="1">
        <f t="array" ref="M28">SUMIF($K3:$K26,"&gt;0",M3:M26)</f>
        <v>44880000</v>
      </c>
      <c r="N28" s="69" cm="1">
        <f t="array" ref="N28">SUMIF($K3:$K26,"&gt;0",N3:N26)</f>
        <v>44880000</v>
      </c>
    </row>
    <row r="29" ht="21" customHeight="1">
      <c r="A29" s="70"/>
      <c r="B29" s="71"/>
      <c r="C29" s="71"/>
      <c r="D29" s="72"/>
      <c r="E29" s="72"/>
      <c r="F29" s="71"/>
      <c r="G29" s="72"/>
      <c r="H29" s="72"/>
      <c r="I29" s="74"/>
      <c r="J29" s="73"/>
      <c r="K29" t="str" s="73" cm="1">
        <f t="array" ref="K29">"PPN (C) = "&amp;MAX(K3:K26)&amp;"% x B"</f>
        <v>PPN (C) = 11,00% x B</v>
      </c>
      <c r="L29" s="74" cm="1">
        <f t="array" ref="L29">L28*MAX($K3:$K26)%</f>
        <v>4943994</v>
      </c>
      <c r="M29" s="69" cm="1">
        <f t="array" ref="M29">M28*MAX($K3:$K26)%</f>
        <v>4936800</v>
      </c>
      <c r="N29" s="69" cm="1">
        <f t="array" ref="N29">N28*MAX($K3:$K26)%</f>
        <v>4936800</v>
      </c>
    </row>
    <row r="30" ht="21" customHeight="1">
      <c r="A30" s="70"/>
      <c r="B30" s="71"/>
      <c r="C30" s="71"/>
      <c r="D30" t="s" s="110">
        <v>116</v>
      </c>
      <c r="E30" s="112">
        <v>50000000</v>
      </c>
      <c r="F30" s="112">
        <v>49890000</v>
      </c>
      <c r="G30" s="72"/>
      <c r="H30" s="72"/>
      <c r="I30" s="71"/>
      <c r="J30" s="73"/>
      <c r="K30" t="s" s="75">
        <v>42</v>
      </c>
      <c r="L30" s="76" cm="1">
        <f t="array" ref="L30">L27+L29</f>
        <v>49997262.96</v>
      </c>
      <c r="M30" s="69" cm="1">
        <f t="array" ref="M30">M27+M29</f>
        <v>49924512</v>
      </c>
      <c r="N30" s="69" cm="1">
        <f t="array" ref="N30">N27+N29</f>
        <v>49924512</v>
      </c>
    </row>
    <row r="31" ht="20.5" customHeight="1">
      <c r="A31" s="70"/>
      <c r="B31" s="71"/>
      <c r="C31" s="71"/>
      <c r="D31" s="72"/>
      <c r="E31" s="72" cm="1">
        <f t="array" ref="E31">E$30-L$31</f>
        <v>2737.04</v>
      </c>
      <c r="F31" s="113" cm="1">
        <f t="array" ref="F31">ROUNDDOWN(E$30-D$28,2)</f>
        <v>49892131.04</v>
      </c>
      <c r="G31" s="72"/>
      <c r="H31" s="72"/>
      <c r="I31" s="71"/>
      <c r="J31" s="73"/>
      <c r="K31" t="s" s="75">
        <v>43</v>
      </c>
      <c r="L31" s="68" cm="1">
        <f t="array" ref="L31">ROUNDDOWN(L30,2)</f>
        <v>49997262.96</v>
      </c>
      <c r="M31" s="68" cm="1">
        <f t="array" ref="M31">ROUNDDOWN(M30,2)</f>
        <v>49924512</v>
      </c>
      <c r="N31" s="68" cm="1">
        <f t="array" ref="N31">ROUNDDOWN(N30,-3)</f>
        <v>49924000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62.xml><?xml version="1.0" encoding="utf-8"?>
<worksheet xmlns:r="http://schemas.openxmlformats.org/officeDocument/2006/relationships" xmlns="http://schemas.openxmlformats.org/spreadsheetml/2006/main">
  <sheetPr>
    <pageSetUpPr fitToPage="1"/>
  </sheetPr>
  <dimension ref="A1:N31"/>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357" customWidth="1"/>
    <col min="2" max="2" width="43.0312" style="357" customWidth="1"/>
    <col min="3" max="3" width="2.75" style="357" customWidth="1"/>
    <col min="4" max="6" width="10.3672" style="357" customWidth="1"/>
    <col min="7" max="7" width="11.6875" style="357" customWidth="1"/>
    <col min="8" max="11" width="13.5156" style="357" customWidth="1"/>
    <col min="12" max="14" width="14.2344" style="357" customWidth="1"/>
    <col min="15" max="16384" width="16.3516" style="357"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s="11"/>
      <c r="B3" t="s" s="12">
        <v>109</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s="95">
        <v>1</v>
      </c>
      <c r="B4" t="s" s="19">
        <v>110</v>
      </c>
      <c r="C4" s="20"/>
      <c r="D4" s="21">
        <v>1</v>
      </c>
      <c r="E4" s="21" cm="1">
        <f t="array" ref="E4">D4</f>
        <v>1</v>
      </c>
      <c r="F4" s="21" cm="1">
        <f t="array" ref="F4">D4</f>
        <v>1</v>
      </c>
      <c r="G4" t="s" s="22">
        <v>19</v>
      </c>
      <c r="H4" s="21" cm="1">
        <f t="array" ref="H4">ROUNDDOWN((F$30*0.1)*100/111,-2)</f>
        <v>4494500</v>
      </c>
      <c r="I4" s="21">
        <v>4480000</v>
      </c>
      <c r="J4" s="21">
        <v>4480000</v>
      </c>
      <c r="K4" s="21">
        <v>11</v>
      </c>
      <c r="L4" s="21" cm="1">
        <f t="array" ref="L4">IF(D4&gt;0,IF($D4&lt;=0,0,D4*H4),"")</f>
        <v>4494500</v>
      </c>
      <c r="M4" s="21" cm="1">
        <f t="array" ref="M4">IF(E4&gt;0,IF($D4&lt;=0,0,ROUND(E4*I4,2)),"")</f>
        <v>4480000</v>
      </c>
      <c r="N4" s="23" cm="1">
        <f t="array" ref="N4">IF(F4&gt;0,IF($D4&lt;=0,0,ROUND(F4*J4,2)),"")</f>
        <v>4480000</v>
      </c>
    </row>
    <row r="5" ht="20.5" customHeight="1">
      <c r="A5" s="95">
        <v>2</v>
      </c>
      <c r="B5" t="s" s="19">
        <v>111</v>
      </c>
      <c r="C5" s="24"/>
      <c r="D5" s="26">
        <v>1</v>
      </c>
      <c r="E5" s="26" cm="1">
        <f t="array" ref="E5">D5</f>
        <v>1</v>
      </c>
      <c r="F5" s="26" cm="1">
        <f t="array" ref="F5">D5</f>
        <v>1</v>
      </c>
      <c r="G5" t="s" s="27">
        <v>19</v>
      </c>
      <c r="H5" s="26" cm="1">
        <f t="array" ref="H5">ROUNDDOWN((F$30*0.2)*100/111,-2)</f>
        <v>8989100</v>
      </c>
      <c r="I5" s="26">
        <v>8900000</v>
      </c>
      <c r="J5" s="26">
        <v>8900000</v>
      </c>
      <c r="K5" s="26">
        <v>11</v>
      </c>
      <c r="L5" s="26" cm="1">
        <f t="array" ref="L5">IF(D5&gt;0,IF($D5&lt;=0,0,D5*H5),"")</f>
        <v>8989100</v>
      </c>
      <c r="M5" s="26" cm="1">
        <f t="array" ref="M5">IF(E5&gt;0,IF($D5&lt;=0,0,ROUND(E5*I5,2)),"")</f>
        <v>8900000</v>
      </c>
      <c r="N5" s="28" cm="1">
        <f t="array" ref="N5">IF(F5&gt;0,IF($D5&lt;=0,0,ROUND(F5*J5,2)),"")</f>
        <v>8900000</v>
      </c>
    </row>
    <row r="6" ht="20.5" customHeight="1">
      <c r="A6" s="95">
        <v>3</v>
      </c>
      <c r="B6" t="s" s="19">
        <v>112</v>
      </c>
      <c r="C6" s="20"/>
      <c r="D6" s="21">
        <v>1</v>
      </c>
      <c r="E6" s="21" cm="1">
        <f t="array" ref="E6">D6</f>
        <v>1</v>
      </c>
      <c r="F6" s="21" cm="1">
        <f t="array" ref="F6">D6</f>
        <v>1</v>
      </c>
      <c r="G6" t="s" s="22">
        <v>19</v>
      </c>
      <c r="H6" s="21" cm="1">
        <f t="array" ref="H6">ROUNDDOWN((F$30*0.25)*100/111,-2)</f>
        <v>11236400</v>
      </c>
      <c r="I6" s="21">
        <v>11300000</v>
      </c>
      <c r="J6" s="21">
        <v>11300000</v>
      </c>
      <c r="K6" s="21">
        <v>11</v>
      </c>
      <c r="L6" s="21" cm="1">
        <f t="array" ref="L6">IF(D6&gt;0,IF($D6&lt;=0,0,D6*H6),"")</f>
        <v>11236400</v>
      </c>
      <c r="M6" s="21" cm="1">
        <f t="array" ref="M6">IF(E6&gt;0,IF($D6&lt;=0,0,ROUND(E6*I6,2)),"")</f>
        <v>11300000</v>
      </c>
      <c r="N6" s="23" cm="1">
        <f t="array" ref="N6">IF(F6&gt;0,IF($D6&lt;=0,0,ROUND(F6*J6,2)),"")</f>
        <v>11300000</v>
      </c>
    </row>
    <row r="7" ht="68.5" customHeight="1">
      <c r="A7" s="95">
        <v>5</v>
      </c>
      <c r="B7" t="s" s="19">
        <v>113</v>
      </c>
      <c r="C7" s="24"/>
      <c r="D7" s="26">
        <v>1</v>
      </c>
      <c r="E7" s="26" cm="1">
        <f t="array" ref="E7">D7</f>
        <v>1</v>
      </c>
      <c r="F7" s="26" cm="1">
        <f t="array" ref="F7">D7</f>
        <v>1</v>
      </c>
      <c r="G7" t="s" s="27">
        <v>19</v>
      </c>
      <c r="H7" s="26" cm="1">
        <f t="array" ref="H7">ROUNDDOWN((F$30*0.25)*100/111,-2)</f>
        <v>11236400</v>
      </c>
      <c r="I7" s="26">
        <v>11200000</v>
      </c>
      <c r="J7" s="26">
        <v>11200000</v>
      </c>
      <c r="K7" s="26">
        <v>11</v>
      </c>
      <c r="L7" s="26" cm="1">
        <f t="array" ref="L7">IF(D7&gt;0,IF($D7&lt;=0,0,D7*H7),"")</f>
        <v>11236400</v>
      </c>
      <c r="M7" s="26" cm="1">
        <f t="array" ref="M7">IF(E7&gt;0,IF($D7&lt;=0,0,ROUND(E7*I7,2)),"")</f>
        <v>11200000</v>
      </c>
      <c r="N7" s="28" cm="1">
        <f t="array" ref="N7">IF(F7&gt;0,IF($D7&lt;=0,0,ROUND(F7*J7,2)),"")</f>
        <v>11200000</v>
      </c>
    </row>
    <row r="8" ht="32.5" customHeight="1">
      <c r="A8" s="95">
        <v>6</v>
      </c>
      <c r="B8" t="s" s="19">
        <v>114</v>
      </c>
      <c r="C8" s="20"/>
      <c r="D8" s="21">
        <v>1</v>
      </c>
      <c r="E8" s="21" cm="1">
        <f t="array" ref="E8">D8</f>
        <v>1</v>
      </c>
      <c r="F8" s="21" cm="1">
        <f t="array" ref="F8">D8</f>
        <v>1</v>
      </c>
      <c r="G8" t="s" s="22">
        <v>19</v>
      </c>
      <c r="H8" s="21" cm="1">
        <f t="array" ref="H8">ROUNDDOWN((F$30*0.05)*100/111,-2)</f>
        <v>2247200</v>
      </c>
      <c r="I8" s="21">
        <v>2200000</v>
      </c>
      <c r="J8" s="21">
        <v>2200000</v>
      </c>
      <c r="K8" s="21">
        <v>11</v>
      </c>
      <c r="L8" s="21" cm="1">
        <f t="array" ref="L8">IF(D8&gt;0,IF($D8&lt;=0,0,D8*H8),"")</f>
        <v>2247200</v>
      </c>
      <c r="M8" s="21" cm="1">
        <f t="array" ref="M8">IF(E8&gt;0,IF($D8&lt;=0,0,ROUND(E8*I8,2)),"")</f>
        <v>2200000</v>
      </c>
      <c r="N8" s="23" cm="1">
        <f t="array" ref="N8">IF(F8&gt;0,IF($D8&lt;=0,0,ROUND(F8*J8,2)),"")</f>
        <v>2200000</v>
      </c>
    </row>
    <row r="9" ht="20.5" customHeight="1">
      <c r="A9" s="95">
        <v>7</v>
      </c>
      <c r="B9" t="s" s="19">
        <v>115</v>
      </c>
      <c r="C9" s="24"/>
      <c r="D9" s="26">
        <v>1</v>
      </c>
      <c r="E9" s="26" cm="1">
        <f t="array" ref="E9">D9</f>
        <v>1</v>
      </c>
      <c r="F9" s="26" cm="1">
        <f t="array" ref="F9">D9</f>
        <v>1</v>
      </c>
      <c r="G9" t="s" s="27">
        <v>19</v>
      </c>
      <c r="H9" s="26" cm="1">
        <f t="array" ref="H9">ROUNDDOWN((F$30*0.15)*100/111,-2)</f>
        <v>6741800</v>
      </c>
      <c r="I9" s="26">
        <v>6800000</v>
      </c>
      <c r="J9" s="26">
        <v>6800000</v>
      </c>
      <c r="K9" s="26">
        <v>11</v>
      </c>
      <c r="L9" s="26" cm="1">
        <f t="array" ref="L9">IF(D9&gt;0,IF($D9&lt;=0,0,D9*H9),"")</f>
        <v>6741800</v>
      </c>
      <c r="M9" s="26" cm="1">
        <f t="array" ref="M9">IF(E9&gt;0,IF($D9&lt;=0,0,ROUND(E9*I9,2)),"")</f>
        <v>6800000</v>
      </c>
      <c r="N9" s="28" cm="1">
        <f t="array" ref="N9">IF(F9&gt;0,IF($D9&lt;=0,0,ROUND(F9*J9,2)),"")</f>
        <v>6800000</v>
      </c>
    </row>
    <row r="10" ht="20.6" customHeight="1">
      <c r="A10" s="33">
        <v>8</v>
      </c>
      <c r="B10" t="s" s="34">
        <v>37</v>
      </c>
      <c r="C10" s="35"/>
      <c r="D10" s="36">
        <v>1</v>
      </c>
      <c r="E10" s="36" cm="1">
        <f t="array" ref="E10">D10</f>
        <v>1</v>
      </c>
      <c r="F10" s="36" cm="1">
        <f t="array" ref="F10">D10</f>
        <v>1</v>
      </c>
      <c r="G10" t="s" s="37">
        <v>19</v>
      </c>
      <c r="H10" s="36">
        <v>107868.96</v>
      </c>
      <c r="I10" s="36">
        <v>107712</v>
      </c>
      <c r="J10" s="36">
        <v>107712</v>
      </c>
      <c r="K10" s="36">
        <v>0</v>
      </c>
      <c r="L10" s="36" cm="1">
        <f t="array" ref="L10">IF(D10&gt;0,IF($D10&lt;=0,0,D10*H10),"")</f>
        <v>107868.96</v>
      </c>
      <c r="M10" s="36" cm="1">
        <f t="array" ref="M10">IF(E10&gt;0,IF($D10&lt;=0,0,ROUND(E10*I10,2)),"")</f>
        <v>107712</v>
      </c>
      <c r="N10" s="38" cm="1">
        <f t="array" ref="N10">IF(F10&gt;0,IF($D10&lt;=0,0,ROUND(F10*J10,2)),"")</f>
        <v>107712</v>
      </c>
    </row>
    <row r="11" ht="8.75" customHeight="1" hidden="1">
      <c r="A11" s="39"/>
      <c r="B11" s="40"/>
      <c r="C11" s="41"/>
      <c r="D11" s="42"/>
      <c r="E11" s="42"/>
      <c r="F11" s="42"/>
      <c r="G11" s="43"/>
      <c r="H11" s="42"/>
      <c r="I11" s="42"/>
      <c r="J11" s="42"/>
      <c r="K11" s="42"/>
      <c r="L11" s="42"/>
      <c r="M11" s="42"/>
      <c r="N11" s="44"/>
    </row>
    <row r="12" ht="8.75" customHeight="1" hidden="1">
      <c r="A12" s="39"/>
      <c r="B12" s="40"/>
      <c r="C12" s="45"/>
      <c r="D12" s="46"/>
      <c r="E12" s="46"/>
      <c r="F12" s="46"/>
      <c r="G12" s="47"/>
      <c r="H12" s="46"/>
      <c r="I12" s="46"/>
      <c r="J12" s="46"/>
      <c r="K12" s="46"/>
      <c r="L12" s="46"/>
      <c r="M12" s="46"/>
      <c r="N12" s="48"/>
    </row>
    <row r="13" ht="8.75" customHeight="1" hidden="1">
      <c r="A13" s="39"/>
      <c r="B13" s="40"/>
      <c r="C13" s="41"/>
      <c r="D13" s="42"/>
      <c r="E13" s="42"/>
      <c r="F13" s="42"/>
      <c r="G13" s="43"/>
      <c r="H13" s="42"/>
      <c r="I13" s="42"/>
      <c r="J13" s="42"/>
      <c r="K13" s="42"/>
      <c r="L13" s="42"/>
      <c r="M13" s="42"/>
      <c r="N13" s="44"/>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2"/>
      <c r="I15" s="42"/>
      <c r="J15" s="42"/>
      <c r="K15" s="42"/>
      <c r="L15" s="42"/>
      <c r="M15" s="42"/>
      <c r="N15" s="44"/>
    </row>
    <row r="16" ht="8.75" customHeight="1" hidden="1">
      <c r="A16" s="39"/>
      <c r="B16" s="40"/>
      <c r="C16" s="45"/>
      <c r="D16" s="46"/>
      <c r="E16" s="46"/>
      <c r="F16" s="46"/>
      <c r="G16" s="47"/>
      <c r="H16" s="46"/>
      <c r="I16" s="46"/>
      <c r="J16" s="46"/>
      <c r="K16" s="46"/>
      <c r="L16" s="46"/>
      <c r="M16" s="46"/>
      <c r="N16" s="48"/>
    </row>
    <row r="17" ht="8.75" customHeight="1" hidden="1">
      <c r="A17" s="39"/>
      <c r="B17" s="40"/>
      <c r="C17" s="41"/>
      <c r="D17" s="42"/>
      <c r="E17" s="42"/>
      <c r="F17" s="42"/>
      <c r="G17" s="43"/>
      <c r="H17" s="43"/>
      <c r="I17" s="43"/>
      <c r="J17" s="43"/>
      <c r="K17" s="42"/>
      <c r="L17" s="43"/>
      <c r="M17" s="43"/>
      <c r="N17" s="49"/>
    </row>
    <row r="18" ht="8.75" customHeight="1" hidden="1">
      <c r="A18" s="39"/>
      <c r="B18" s="40"/>
      <c r="C18" s="45"/>
      <c r="D18" s="46"/>
      <c r="E18" s="46"/>
      <c r="F18" s="46"/>
      <c r="G18" s="47"/>
      <c r="H18" s="50"/>
      <c r="I18" s="50"/>
      <c r="J18" s="50"/>
      <c r="K18" s="46"/>
      <c r="L18" s="46"/>
      <c r="M18" s="46"/>
      <c r="N18" s="48"/>
    </row>
    <row r="19" ht="8.75" customHeight="1" hidden="1">
      <c r="A19" s="39"/>
      <c r="B19" s="40"/>
      <c r="C19" s="41"/>
      <c r="D19" s="42"/>
      <c r="E19" s="42"/>
      <c r="F19" s="42"/>
      <c r="G19" s="43"/>
      <c r="H19" s="43"/>
      <c r="I19" s="43"/>
      <c r="J19" s="43"/>
      <c r="K19" s="42"/>
      <c r="L19" s="43"/>
      <c r="M19" s="43"/>
      <c r="N19" s="49"/>
    </row>
    <row r="20" ht="8.75" customHeight="1" hidden="1">
      <c r="A20" s="39"/>
      <c r="B20" s="40"/>
      <c r="C20" s="45"/>
      <c r="D20" s="46"/>
      <c r="E20" s="46"/>
      <c r="F20" s="46"/>
      <c r="G20" s="47"/>
      <c r="H20" s="46"/>
      <c r="I20" s="46"/>
      <c r="J20" s="46"/>
      <c r="K20" s="46"/>
      <c r="L20" s="46"/>
      <c r="M20" s="46"/>
      <c r="N20" s="48"/>
    </row>
    <row r="21" ht="8.75" customHeight="1" hidden="1">
      <c r="A21" s="39"/>
      <c r="B21" s="40"/>
      <c r="C21" s="41"/>
      <c r="D21" s="42"/>
      <c r="E21" s="42"/>
      <c r="F21" s="42"/>
      <c r="G21" s="43"/>
      <c r="H21" s="42"/>
      <c r="I21" s="42"/>
      <c r="J21" s="42"/>
      <c r="K21" s="42"/>
      <c r="L21" s="42"/>
      <c r="M21" s="42"/>
      <c r="N21" s="44"/>
    </row>
    <row r="22" ht="8.75" customHeight="1" hidden="1">
      <c r="A22" s="51"/>
      <c r="B22" s="40"/>
      <c r="C22" s="45"/>
      <c r="D22" s="46"/>
      <c r="E22" s="46"/>
      <c r="F22" s="46"/>
      <c r="G22" s="47"/>
      <c r="H22" s="46"/>
      <c r="I22" s="46"/>
      <c r="J22" s="46"/>
      <c r="K22" s="46"/>
      <c r="L22" s="46"/>
      <c r="M22" s="46"/>
      <c r="N22" s="48"/>
    </row>
    <row r="23" ht="8.75" customHeight="1" hidden="1">
      <c r="A23" s="51"/>
      <c r="B23" s="40"/>
      <c r="C23" s="41"/>
      <c r="D23" s="42"/>
      <c r="E23" s="42"/>
      <c r="F23" s="42"/>
      <c r="G23" s="43"/>
      <c r="H23" s="42"/>
      <c r="I23" s="42"/>
      <c r="J23" s="42"/>
      <c r="K23" s="42"/>
      <c r="L23" s="42"/>
      <c r="M23" s="42"/>
      <c r="N23" s="44"/>
    </row>
    <row r="24" ht="8.75" customHeight="1" hidden="1">
      <c r="A24" s="39"/>
      <c r="B24" s="40"/>
      <c r="C24" s="45"/>
      <c r="D24" s="46"/>
      <c r="E24" s="46"/>
      <c r="F24" s="46"/>
      <c r="G24" s="47"/>
      <c r="H24" s="46"/>
      <c r="I24" s="46"/>
      <c r="J24" s="46"/>
      <c r="K24" s="46"/>
      <c r="L24" s="47"/>
      <c r="M24" s="47"/>
      <c r="N24" s="52"/>
    </row>
    <row r="25" ht="8.75" customHeight="1" hidden="1">
      <c r="A25" s="39"/>
      <c r="B25" s="40"/>
      <c r="C25" s="41"/>
      <c r="D25" s="42"/>
      <c r="E25" s="42"/>
      <c r="F25" s="42"/>
      <c r="G25" s="43"/>
      <c r="H25" s="42"/>
      <c r="I25" s="42"/>
      <c r="J25" s="42"/>
      <c r="K25" s="42"/>
      <c r="L25" s="42"/>
      <c r="M25" s="42"/>
      <c r="N25" s="44"/>
    </row>
    <row r="26" ht="8.75" customHeight="1" hidden="1">
      <c r="A26" s="39"/>
      <c r="B26" s="40"/>
      <c r="C26" s="45"/>
      <c r="D26" s="46"/>
      <c r="E26" s="46"/>
      <c r="F26" s="46"/>
      <c r="G26" s="47"/>
      <c r="H26" s="46"/>
      <c r="I26" s="46"/>
      <c r="J26" s="46"/>
      <c r="K26" s="46"/>
      <c r="L26" s="47"/>
      <c r="M26" s="47"/>
      <c r="N26" s="52"/>
    </row>
    <row r="27" ht="20.85" customHeight="1">
      <c r="A27" s="108"/>
      <c r="B27" s="54"/>
      <c r="C27" s="54"/>
      <c r="D27" s="55"/>
      <c r="E27" s="55"/>
      <c r="F27" s="55"/>
      <c r="G27" s="56"/>
      <c r="H27" s="56"/>
      <c r="I27" s="54"/>
      <c r="J27" s="57"/>
      <c r="K27" t="s" s="58">
        <v>38</v>
      </c>
      <c r="L27" s="59" cm="1">
        <f t="array" ref="L27">SUM(L1:L26)</f>
        <v>45053268.96</v>
      </c>
      <c r="M27" s="59" cm="1">
        <f t="array" ref="M27">SUM(M1:M26)</f>
        <v>44987712</v>
      </c>
      <c r="N27" s="59" cm="1">
        <f t="array" ref="N27">SUM(N1:N26)</f>
        <v>44987712</v>
      </c>
    </row>
    <row r="28" ht="21" customHeight="1">
      <c r="A28" s="63" cm="1">
        <f t="array" ref="A28">ROUND(IF(I28&lt;=100000000,I28*0.24%,IF(AND(I28&gt;100000000,I28&lt;=500000000),100000000*0.24%+(I28-100000000)*0.19%,IF(AND(I28&gt;500000000,I28&lt;=1000000000),100000000*0.24%+400000000*0.19%+(I28-500000000)*0.15%,IF(AND(I28&gt;1000000000,I28&lt;=5000000000),100000000*0.24%+400000000*0.19%+500000000*0.15%+(I28-1000000000)*0.12%,IF(I28&gt;5000000000,100000000*0.24%+400000000*0.19%+500000000*0.15%+4000000000*0.12%+(I28-5000000000)*0.1%,"Bingung komputer"))))),2)</f>
        <v>0</v>
      </c>
      <c r="B28" t="s" s="109">
        <v>39</v>
      </c>
      <c r="C28" s="62"/>
      <c r="D28" s="63" cm="1">
        <f t="array" ref="D28">ROUND(IF(L28&lt;=100000000,L28*0.24%,IF(AND(L28&gt;100000000,L28&lt;=500000000),100000000*0.24%+(L28-100000000)*0.19%,IF(AND(L28&gt;500000000,L28&lt;=1000000000),100000000*0.24%+400000000*0.19%+(L28-500000000)*0.15%,IF(AND(L28&gt;1000000000,L28&lt;=5000000000),100000000*0.24%+400000000*0.19%+500000000*0.15%+(L28-1000000000)*0.12%,IF(L28&gt;5000000000,100000000*0.24%+400000000*0.19%+500000000*0.15%+4000000000*0.12%+(L28-5000000000)*0.1%,"Bingung komputer"))))),2)</f>
        <v>107868.96</v>
      </c>
      <c r="E28" s="64" cm="1">
        <f t="array" ref="E28">ROUND(IF(M28&lt;=100000000,M28*0.24%,IF(AND(M28&gt;100000000,M28&lt;=500000000),100000000*0.24%+(M28-100000000)*0.19%,IF(AND(M28&gt;500000000,M28&lt;=1000000000),100000000*0.24%+400000000*0.19%+(M28-500000000)*0.15%,IF(AND(M28&gt;1000000000,M28&lt;=5000000000),100000000*0.24%+400000000*0.19%+500000000*0.15%+(M28-1000000000)*0.12%,IF(M28&gt;5000000000,100000000*0.24%+400000000*0.19%+500000000*0.15%+4000000000*0.12%+(M28-5000000000)*0.1%,"Bingung komputer"))))),2)</f>
        <v>107712</v>
      </c>
      <c r="F28" s="64" cm="1">
        <f t="array" ref="F28">ROUND(IF(N28&lt;=100000000,N28*0.24%,IF(AND(N28&gt;100000000,N28&lt;=500000000),100000000*0.24%+(N28-100000000)*0.19%,IF(AND(N28&gt;500000000,N28&lt;=1000000000),100000000*0.24%+400000000*0.19%+(N28-500000000)*0.15%,IF(AND(N28&gt;1000000000,N28&lt;=5000000000),100000000*0.24%+400000000*0.19%+500000000*0.15%+(N28-1000000000)*0.12%,IF(N28&gt;5000000000,100000000*0.24%+400000000*0.19%+500000000*0.15%+4000000000*0.12%+(N28-5000000000)*0.1%,"Bingung komputer"))))),2)</f>
        <v>107712</v>
      </c>
      <c r="G28" s="65"/>
      <c r="H28" s="66"/>
      <c r="I28" s="68"/>
      <c r="J28" s="67"/>
      <c r="K28" t="str" s="67" cm="1">
        <f t="array" ref="K28">"Jumlah Terkena Pajak "&amp;MAX(K3:K26)&amp;"% (B)"</f>
        <v>Jumlah Terkena Pajak 11,00% (B)</v>
      </c>
      <c r="L28" s="68" cm="1">
        <f t="array" ref="L28">SUMIF($K3:$K26,"&gt;0",L3:L26)</f>
        <v>44945400</v>
      </c>
      <c r="M28" s="69" cm="1">
        <f t="array" ref="M28">SUMIF($K3:$K26,"&gt;0",M3:M26)</f>
        <v>44880000</v>
      </c>
      <c r="N28" s="69" cm="1">
        <f t="array" ref="N28">SUMIF($K3:$K26,"&gt;0",N3:N26)</f>
        <v>44880000</v>
      </c>
    </row>
    <row r="29" ht="21" customHeight="1">
      <c r="A29" s="70"/>
      <c r="B29" s="71"/>
      <c r="C29" s="71"/>
      <c r="D29" s="72"/>
      <c r="E29" s="72"/>
      <c r="F29" s="71"/>
      <c r="G29" s="72"/>
      <c r="H29" s="72"/>
      <c r="I29" s="74"/>
      <c r="J29" s="73"/>
      <c r="K29" t="str" s="73" cm="1">
        <f t="array" ref="K29">"PPN (C) = "&amp;MAX(K3:K26)&amp;"% x B"</f>
        <v>PPN (C) = 11,00% x B</v>
      </c>
      <c r="L29" s="74" cm="1">
        <f t="array" ref="L29">L28*MAX($K3:$K26)%</f>
        <v>4943994</v>
      </c>
      <c r="M29" s="69" cm="1">
        <f t="array" ref="M29">M28*MAX($K3:$K26)%</f>
        <v>4936800</v>
      </c>
      <c r="N29" s="69" cm="1">
        <f t="array" ref="N29">N28*MAX($K3:$K26)%</f>
        <v>4936800</v>
      </c>
    </row>
    <row r="30" ht="21" customHeight="1">
      <c r="A30" s="70"/>
      <c r="B30" s="71"/>
      <c r="C30" s="71"/>
      <c r="D30" t="s" s="110">
        <v>116</v>
      </c>
      <c r="E30" s="112">
        <v>50000000</v>
      </c>
      <c r="F30" s="112">
        <v>49890000</v>
      </c>
      <c r="G30" s="72"/>
      <c r="H30" s="72"/>
      <c r="I30" s="71"/>
      <c r="J30" s="73"/>
      <c r="K30" t="s" s="75">
        <v>42</v>
      </c>
      <c r="L30" s="76" cm="1">
        <f t="array" ref="L30">L27+L29</f>
        <v>49997262.96</v>
      </c>
      <c r="M30" s="69" cm="1">
        <f t="array" ref="M30">M27+M29</f>
        <v>49924512</v>
      </c>
      <c r="N30" s="69" cm="1">
        <f t="array" ref="N30">N27+N29</f>
        <v>49924512</v>
      </c>
    </row>
    <row r="31" ht="20.5" customHeight="1">
      <c r="A31" s="70"/>
      <c r="B31" s="71"/>
      <c r="C31" s="71"/>
      <c r="D31" s="72"/>
      <c r="E31" s="72" cm="1">
        <f t="array" ref="E31">E$30-L$31</f>
        <v>2737.04</v>
      </c>
      <c r="F31" s="113" cm="1">
        <f t="array" ref="F31">ROUNDDOWN(E$30-D$28,2)</f>
        <v>49892131.04</v>
      </c>
      <c r="G31" s="72"/>
      <c r="H31" s="72"/>
      <c r="I31" s="71"/>
      <c r="J31" s="73"/>
      <c r="K31" t="s" s="75">
        <v>43</v>
      </c>
      <c r="L31" s="68" cm="1">
        <f t="array" ref="L31">ROUNDDOWN(L30,2)</f>
        <v>49997262.96</v>
      </c>
      <c r="M31" s="68" cm="1">
        <f t="array" ref="M31">ROUNDDOWN(M30,2)</f>
        <v>49924512</v>
      </c>
      <c r="N31" s="68" cm="1">
        <f t="array" ref="N31">ROUNDDOWN(N30,-3)</f>
        <v>49924000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63.xml><?xml version="1.0" encoding="utf-8"?>
<worksheet xmlns:r="http://schemas.openxmlformats.org/officeDocument/2006/relationships" xmlns="http://schemas.openxmlformats.org/spreadsheetml/2006/main">
  <sheetPr>
    <pageSetUpPr fitToPage="1"/>
  </sheetPr>
  <dimension ref="A1:O28"/>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7.17188" style="358" customWidth="1"/>
    <col min="2" max="2" width="43.0312" style="358" customWidth="1"/>
    <col min="3" max="3" width="2.75" style="358" customWidth="1"/>
    <col min="4" max="6" width="10.3672" style="358" customWidth="1"/>
    <col min="7" max="7" width="11.6875" style="358" customWidth="1"/>
    <col min="8" max="11" width="13.5156" style="358" customWidth="1"/>
    <col min="12" max="15" width="14.2344" style="358" customWidth="1"/>
    <col min="16" max="16384" width="16.3516" style="358" customWidth="1"/>
  </cols>
  <sheetData>
    <row r="1" ht="20.5" customHeight="1">
      <c r="A1" t="s" s="7">
        <v>6</v>
      </c>
      <c r="B1" t="s" s="7">
        <v>7</v>
      </c>
      <c r="C1" s="8"/>
      <c r="D1" t="s" s="7">
        <v>8</v>
      </c>
      <c r="E1" s="8"/>
      <c r="F1" s="8"/>
      <c r="G1" t="s" s="7">
        <v>9</v>
      </c>
      <c r="H1" t="s" s="7">
        <v>10</v>
      </c>
      <c r="I1" s="8"/>
      <c r="J1" s="8"/>
      <c r="K1" t="s" s="7">
        <v>11</v>
      </c>
      <c r="L1" t="s" s="7">
        <v>12</v>
      </c>
      <c r="M1" s="8"/>
      <c r="N1" s="8"/>
      <c r="O1" s="88"/>
    </row>
    <row r="2" ht="20.85" customHeight="1">
      <c r="A2" s="9"/>
      <c r="B2" s="9"/>
      <c r="C2" s="9"/>
      <c r="D2" t="s" s="10">
        <v>13</v>
      </c>
      <c r="E2" t="s" s="10">
        <v>14</v>
      </c>
      <c r="F2" t="s" s="10">
        <v>15</v>
      </c>
      <c r="G2" s="9"/>
      <c r="H2" t="s" s="10">
        <v>13</v>
      </c>
      <c r="I2" t="s" s="10">
        <v>14</v>
      </c>
      <c r="J2" t="s" s="10">
        <v>15</v>
      </c>
      <c r="K2" s="9"/>
      <c r="L2" t="s" s="10">
        <v>13</v>
      </c>
      <c r="M2" t="s" s="10">
        <v>14</v>
      </c>
      <c r="N2" t="s" s="10">
        <v>15</v>
      </c>
      <c r="O2" s="89"/>
    </row>
    <row r="3" ht="20.6" customHeight="1">
      <c r="A3" t="s" s="90">
        <v>51</v>
      </c>
      <c r="B3" t="s" s="12">
        <v>52</v>
      </c>
      <c r="C3" s="13"/>
      <c r="D3" s="14"/>
      <c r="E3" s="14"/>
      <c r="F3" s="14"/>
      <c r="G3" s="15"/>
      <c r="H3" s="15"/>
      <c r="I3" s="15"/>
      <c r="J3" s="15"/>
      <c r="K3" s="15"/>
      <c r="L3" t="str" s="16" cm="1">
        <f t="array" ref="L3">IF(D3&gt;0,IF($D3&lt;=0,0,D3*H3),"")</f>
      </c>
      <c r="M3" t="str" s="16" cm="1">
        <f t="array" ref="M3">IF(E3&gt;0,IF($D3&lt;=0,0,ROUND(E3*I3,2)),"")</f>
      </c>
      <c r="N3" t="str" s="16" cm="1">
        <f t="array" ref="N3">IF(F3&gt;0,IF($D3&lt;=0,0,ROUND(F3*J3,2)),"")</f>
      </c>
      <c r="O3" s="17"/>
    </row>
    <row r="4" ht="20.5" customHeight="1">
      <c r="A4" t="s" s="18">
        <v>53</v>
      </c>
      <c r="B4" t="s" s="19">
        <v>54</v>
      </c>
      <c r="C4" s="20"/>
      <c r="D4" s="21"/>
      <c r="E4" s="21"/>
      <c r="F4" s="21"/>
      <c r="G4" s="79"/>
      <c r="H4" s="21"/>
      <c r="I4" s="79"/>
      <c r="J4" s="21"/>
      <c r="K4" s="21"/>
      <c r="L4" t="str" s="79" cm="1">
        <f t="array" ref="L4">IF(D4&gt;0,IF($D4&lt;=0,0,D4*H4),"")</f>
      </c>
      <c r="M4" t="str" s="79" cm="1">
        <f t="array" ref="M4">IF(E4&gt;0,IF($D4&lt;=0,0,ROUND(E4*I4,2)),"")</f>
      </c>
      <c r="N4" t="str" s="79" cm="1">
        <f t="array" ref="N4">IF(F4&gt;0,IF($D4&lt;=0,0,ROUND(F4*J4,2)),"")</f>
      </c>
      <c r="O4" s="91"/>
    </row>
    <row r="5" ht="20.5" customHeight="1">
      <c r="A5" s="92">
        <v>1</v>
      </c>
      <c r="B5" t="s" s="19">
        <v>55</v>
      </c>
      <c r="C5" s="24"/>
      <c r="D5" s="26">
        <v>2</v>
      </c>
      <c r="E5" s="26" cm="1">
        <f t="array" ref="E5">D5</f>
        <v>2</v>
      </c>
      <c r="F5" s="26" cm="1">
        <f t="array" ref="F5">D5</f>
        <v>2</v>
      </c>
      <c r="G5" t="s" s="27">
        <v>56</v>
      </c>
      <c r="H5" s="26">
        <v>15000000</v>
      </c>
      <c r="I5" s="26">
        <v>15000000</v>
      </c>
      <c r="J5" s="26">
        <v>15000000</v>
      </c>
      <c r="K5" s="26">
        <v>11</v>
      </c>
      <c r="L5" s="26" cm="1">
        <f t="array" ref="L5">IF(D5&gt;0,IF($D5&lt;=0,0,D5*H5),"")</f>
        <v>30000000</v>
      </c>
      <c r="M5" s="26" cm="1">
        <f t="array" ref="M5">IF(E5&gt;0,IF($D5&lt;=0,0,ROUND(E5*I5,2)),"")</f>
        <v>30000000</v>
      </c>
      <c r="N5" s="26" cm="1">
        <f t="array" ref="N5">IF(F5&gt;0,IF($D5&lt;=0,0,ROUND(F5*J5,2)),"")</f>
        <v>30000000</v>
      </c>
      <c r="O5" s="28" cm="1">
        <f t="array" ref="O5">(L5+L6)/L$24</f>
        <v>0.74028327857606</v>
      </c>
    </row>
    <row r="6" ht="20.5" customHeight="1">
      <c r="A6" s="92">
        <v>2</v>
      </c>
      <c r="B6" t="s" s="19">
        <v>57</v>
      </c>
      <c r="C6" s="20"/>
      <c r="D6" s="21">
        <v>2</v>
      </c>
      <c r="E6" s="21" cm="1">
        <f t="array" ref="E6">D6</f>
        <v>2</v>
      </c>
      <c r="F6" s="21" cm="1">
        <f t="array" ref="F6">D6</f>
        <v>2</v>
      </c>
      <c r="G6" t="s" s="22">
        <v>56</v>
      </c>
      <c r="H6" s="21">
        <v>5000000</v>
      </c>
      <c r="I6" s="21">
        <v>5000000</v>
      </c>
      <c r="J6" s="21">
        <v>5000000</v>
      </c>
      <c r="K6" s="21">
        <v>11</v>
      </c>
      <c r="L6" s="21" cm="1">
        <f t="array" ref="L6">IF(D6&gt;0,IF($D6&lt;=0,0,D6*H6),"")</f>
        <v>10000000</v>
      </c>
      <c r="M6" s="21" cm="1">
        <f t="array" ref="M6">IF(E6&gt;0,IF($D6&lt;=0,0,ROUND(E6*I6,2)),"")</f>
        <v>10000000</v>
      </c>
      <c r="N6" s="21" cm="1">
        <f t="array" ref="N6">IF(F6&gt;0,IF($D6&lt;=0,0,ROUND(F6*J6,2)),"")</f>
        <v>10000000</v>
      </c>
      <c r="O6" s="23"/>
    </row>
    <row r="7" ht="20.5" customHeight="1">
      <c r="A7" t="s" s="93">
        <v>58</v>
      </c>
      <c r="B7" t="s" s="19">
        <v>59</v>
      </c>
      <c r="C7" s="24"/>
      <c r="D7" s="26"/>
      <c r="E7" s="26"/>
      <c r="F7" s="26"/>
      <c r="G7" s="30"/>
      <c r="H7" s="26"/>
      <c r="I7" s="26"/>
      <c r="J7" s="26"/>
      <c r="K7" s="26"/>
      <c r="L7" t="str" s="30" cm="1">
        <f t="array" ref="L7">IF(D7&gt;0,IF($D7&lt;=0,0,D7*H7),"")</f>
      </c>
      <c r="M7" t="str" s="30" cm="1">
        <f t="array" ref="M7">IF(E7&gt;0,IF($D7&lt;=0,0,ROUND(E7*I7,2)),"")</f>
      </c>
      <c r="N7" t="str" s="30" cm="1">
        <f t="array" ref="N7">IF(F7&gt;0,IF($D7&lt;=0,0,ROUND(F7*J7,2)),"")</f>
      </c>
      <c r="O7" s="31"/>
    </row>
    <row r="8" ht="20.5" customHeight="1">
      <c r="A8" t="s" s="18">
        <v>53</v>
      </c>
      <c r="B8" t="s" s="19">
        <v>60</v>
      </c>
      <c r="C8" s="20"/>
      <c r="D8" s="21"/>
      <c r="E8" s="21"/>
      <c r="F8" s="21"/>
      <c r="G8" s="79"/>
      <c r="H8" s="21"/>
      <c r="I8" s="21"/>
      <c r="J8" s="21"/>
      <c r="K8" s="21"/>
      <c r="L8" t="str" s="79" cm="1">
        <f t="array" ref="L8">IF(D8&gt;0,IF($D8&lt;=0,0,D8*H8),"")</f>
      </c>
      <c r="M8" t="str" s="79" cm="1">
        <f t="array" ref="M8">IF(E8&gt;0,IF($D8&lt;=0,0,ROUND(E8*I8,2)),"")</f>
      </c>
      <c r="N8" t="str" s="79" cm="1">
        <f t="array" ref="N8">IF(F8&gt;0,IF($D8&lt;=0,0,ROUND(F8*J8,2)),"")</f>
      </c>
      <c r="O8" s="91"/>
    </row>
    <row r="9" ht="20.5" customHeight="1">
      <c r="A9" s="94">
        <v>1</v>
      </c>
      <c r="B9" t="s" s="19">
        <v>61</v>
      </c>
      <c r="C9" s="24"/>
      <c r="D9" s="26">
        <v>2</v>
      </c>
      <c r="E9" s="26" cm="1">
        <f t="array" ref="E9">D9</f>
        <v>2</v>
      </c>
      <c r="F9" s="26" cm="1">
        <f t="array" ref="F9">D9</f>
        <v>2</v>
      </c>
      <c r="G9" t="s" s="27">
        <v>62</v>
      </c>
      <c r="H9" s="26">
        <v>500000</v>
      </c>
      <c r="I9" s="26">
        <v>500000</v>
      </c>
      <c r="J9" s="26">
        <v>500000</v>
      </c>
      <c r="K9" s="26">
        <v>11</v>
      </c>
      <c r="L9" s="26" cm="1">
        <f t="array" ref="L9">IF(D9&gt;0,IF($D9&lt;=0,0,D9*H9),"")</f>
        <v>1000000</v>
      </c>
      <c r="M9" s="26" cm="1">
        <f t="array" ref="M9">IF(E9&gt;0,IF($D9&lt;=0,0,ROUND(E9*I9,2)),"")</f>
        <v>1000000</v>
      </c>
      <c r="N9" s="26" cm="1">
        <f t="array" ref="N9">IF(F9&gt;0,IF($D9&lt;=0,0,ROUND(F9*J9,2)),"")</f>
        <v>1000000</v>
      </c>
      <c r="O9" s="28"/>
    </row>
    <row r="10" ht="32.5" customHeight="1">
      <c r="A10" s="95">
        <v>2</v>
      </c>
      <c r="B10" t="s" s="19">
        <v>63</v>
      </c>
      <c r="C10" s="20"/>
      <c r="D10" s="21">
        <v>2</v>
      </c>
      <c r="E10" s="21" cm="1">
        <f t="array" ref="E10">D10</f>
        <v>2</v>
      </c>
      <c r="F10" s="21" cm="1">
        <f t="array" ref="F10">D10</f>
        <v>2</v>
      </c>
      <c r="G10" t="s" s="22">
        <v>64</v>
      </c>
      <c r="H10" s="21">
        <v>2450000</v>
      </c>
      <c r="I10" s="21">
        <v>2400000</v>
      </c>
      <c r="J10" s="21">
        <v>2400000</v>
      </c>
      <c r="K10" s="21">
        <v>11</v>
      </c>
      <c r="L10" s="21" cm="1">
        <f t="array" ref="L10">IF(D10&gt;0,IF($D10&lt;=0,0,D10*H10),"")</f>
        <v>4900000</v>
      </c>
      <c r="M10" s="21" cm="1">
        <f t="array" ref="M10">IF(E10&gt;0,IF($D10&lt;=0,0,ROUND(E10*I10,2)),"")</f>
        <v>4800000</v>
      </c>
      <c r="N10" s="21" cm="1">
        <f t="array" ref="N10">IF(F10&gt;0,IF($D10&lt;=0,0,ROUND(F10*J10,2)),"")</f>
        <v>4800000</v>
      </c>
      <c r="O10" s="23"/>
    </row>
    <row r="11" ht="20.5" customHeight="1">
      <c r="A11" s="94">
        <v>3</v>
      </c>
      <c r="B11" t="s" s="19">
        <v>65</v>
      </c>
      <c r="C11" s="24"/>
      <c r="D11" s="26">
        <v>2</v>
      </c>
      <c r="E11" s="26" cm="1">
        <f t="array" ref="E11">D11</f>
        <v>2</v>
      </c>
      <c r="F11" s="26" cm="1">
        <f t="array" ref="F11">D11</f>
        <v>2</v>
      </c>
      <c r="G11" t="s" s="27">
        <v>62</v>
      </c>
      <c r="H11" s="26">
        <v>550000</v>
      </c>
      <c r="I11" s="26">
        <v>550000</v>
      </c>
      <c r="J11" s="26">
        <v>550000</v>
      </c>
      <c r="K11" s="26">
        <v>11</v>
      </c>
      <c r="L11" s="26" cm="1">
        <f t="array" ref="L11">IF(D11&gt;0,IF($D11&lt;=0,0,D11*H11),"")</f>
        <v>1100000</v>
      </c>
      <c r="M11" s="26" cm="1">
        <f t="array" ref="M11">IF(E11&gt;0,IF($D11&lt;=0,0,ROUND(E11*I11,2)),"")</f>
        <v>1100000</v>
      </c>
      <c r="N11" s="26" cm="1">
        <f t="array" ref="N11">IF(F11&gt;0,IF($D11&lt;=0,0,ROUND(F11*J11,2)),"")</f>
        <v>1100000</v>
      </c>
      <c r="O11" s="28"/>
    </row>
    <row r="12" ht="20.5" customHeight="1">
      <c r="A12" s="94"/>
      <c r="B12" t="s" s="19">
        <v>66</v>
      </c>
      <c r="C12" s="20"/>
      <c r="D12" s="21"/>
      <c r="E12" s="21"/>
      <c r="F12" s="21"/>
      <c r="G12" s="79"/>
      <c r="H12" s="21"/>
      <c r="I12" s="21"/>
      <c r="J12" s="21"/>
      <c r="K12" s="21"/>
      <c r="L12" t="str" s="79" cm="1">
        <f t="array" ref="L12">IF(D12&gt;0,IF($D12&lt;=0,0,D12*H12),"")</f>
      </c>
      <c r="M12" t="str" s="79" cm="1">
        <f t="array" ref="M12">IF(E12&gt;0,IF($D12&lt;=0,0,ROUND(E12*I12,2)),"")</f>
      </c>
      <c r="N12" t="str" s="79" cm="1">
        <f t="array" ref="N12">IF(F12&gt;0,IF($D12&lt;=0,0,ROUND(F12*J12,2)),"")</f>
      </c>
      <c r="O12" s="23"/>
    </row>
    <row r="13" ht="20.5" customHeight="1">
      <c r="A13" s="94">
        <v>4</v>
      </c>
      <c r="B13" t="s" s="19">
        <v>67</v>
      </c>
      <c r="C13" s="24"/>
      <c r="D13" s="26">
        <v>2</v>
      </c>
      <c r="E13" s="26" cm="1">
        <f t="array" ref="E13">D13</f>
        <v>2</v>
      </c>
      <c r="F13" s="26" cm="1">
        <f t="array" ref="F13">D13</f>
        <v>2</v>
      </c>
      <c r="G13" t="s" s="27">
        <v>68</v>
      </c>
      <c r="H13" s="26">
        <v>77000</v>
      </c>
      <c r="I13" s="26">
        <v>77000</v>
      </c>
      <c r="J13" s="26">
        <v>77000</v>
      </c>
      <c r="K13" s="26">
        <v>11</v>
      </c>
      <c r="L13" s="26" cm="1">
        <f t="array" ref="L13">IF(D13&gt;0,IF($D13&lt;=0,0,D13*H13),"")</f>
        <v>154000</v>
      </c>
      <c r="M13" s="26" cm="1">
        <f t="array" ref="M13">IF(E13&gt;0,IF($D13&lt;=0,0,ROUND(E13*I13,2)),"")</f>
        <v>154000</v>
      </c>
      <c r="N13" s="26" cm="1">
        <f t="array" ref="N13">IF(F13&gt;0,IF($D13&lt;=0,0,ROUND(F13*J13,2)),"")</f>
        <v>154000</v>
      </c>
      <c r="O13" s="28"/>
    </row>
    <row r="14" ht="20.5" customHeight="1">
      <c r="A14" s="94">
        <v>5</v>
      </c>
      <c r="B14" t="s" s="19">
        <v>69</v>
      </c>
      <c r="C14" s="20"/>
      <c r="D14" s="21">
        <v>2</v>
      </c>
      <c r="E14" s="21" cm="1">
        <f t="array" ref="E14">D14</f>
        <v>2</v>
      </c>
      <c r="F14" s="21" cm="1">
        <f t="array" ref="F14">D14</f>
        <v>2</v>
      </c>
      <c r="G14" t="s" s="22">
        <v>68</v>
      </c>
      <c r="H14" s="21">
        <v>250000</v>
      </c>
      <c r="I14" s="21">
        <v>250000</v>
      </c>
      <c r="J14" s="21">
        <v>250000</v>
      </c>
      <c r="K14" s="21">
        <v>11</v>
      </c>
      <c r="L14" s="21" cm="1">
        <f t="array" ref="L14">IF(D14&gt;0,IF($D14&lt;=0,0,D14*H14),"")</f>
        <v>500000</v>
      </c>
      <c r="M14" s="21" cm="1">
        <f t="array" ref="M14">IF(E14&gt;0,IF($D14&lt;=0,0,ROUND(E14*I14,2)),"")</f>
        <v>500000</v>
      </c>
      <c r="N14" s="21" cm="1">
        <f t="array" ref="N14">IF(F14&gt;0,IF($D14&lt;=0,0,ROUND(F14*J14,2)),"")</f>
        <v>500000</v>
      </c>
      <c r="O14" s="23"/>
    </row>
    <row r="15" ht="20.5" customHeight="1">
      <c r="A15" s="29"/>
      <c r="B15" t="s" s="19">
        <v>70</v>
      </c>
      <c r="C15" s="24"/>
      <c r="D15" s="26"/>
      <c r="E15" s="26"/>
      <c r="F15" s="26"/>
      <c r="G15" s="30"/>
      <c r="H15" s="26"/>
      <c r="I15" s="26"/>
      <c r="J15" s="26"/>
      <c r="K15" s="26"/>
      <c r="L15" t="str" s="30" cm="1">
        <f t="array" ref="L15">IF(D15&gt;0,IF($D15&lt;=0,0,D15*H15),"")</f>
      </c>
      <c r="M15" t="str" s="30" cm="1">
        <f t="array" ref="M15">IF(E15&gt;0,IF($D15&lt;=0,0,ROUND(E15*I15,2)),"")</f>
      </c>
      <c r="N15" t="str" s="30" cm="1">
        <f t="array" ref="N15">IF(F15&gt;0,IF($D15&lt;=0,0,ROUND(F15*J15,2)),"")</f>
      </c>
      <c r="O15" s="31"/>
    </row>
    <row r="16" ht="20.5" customHeight="1">
      <c r="A16" t="s" s="18">
        <v>71</v>
      </c>
      <c r="B16" t="s" s="19">
        <v>72</v>
      </c>
      <c r="C16" s="20"/>
      <c r="D16" s="21">
        <v>2</v>
      </c>
      <c r="E16" s="21" cm="1">
        <f t="array" ref="E16">D16</f>
        <v>2</v>
      </c>
      <c r="F16" s="21" cm="1">
        <f t="array" ref="F16">D16</f>
        <v>2</v>
      </c>
      <c r="G16" t="s" s="22">
        <v>73</v>
      </c>
      <c r="H16" s="21">
        <v>625000</v>
      </c>
      <c r="I16" s="21">
        <v>650000</v>
      </c>
      <c r="J16" s="21">
        <v>625000</v>
      </c>
      <c r="K16" s="21">
        <v>11</v>
      </c>
      <c r="L16" s="21" cm="1">
        <f t="array" ref="L16">IF(D16&gt;0,IF($D16&lt;=0,0,D16*H16),"")</f>
        <v>1250000</v>
      </c>
      <c r="M16" s="21" cm="1">
        <f t="array" ref="M16">IF(E16&gt;0,IF($D16&lt;=0,0,ROUND(E16*I16,2)),"")</f>
        <v>1300000</v>
      </c>
      <c r="N16" s="21" cm="1">
        <f t="array" ref="N16">IF(F16&gt;0,IF($D16&lt;=0,0,ROUND(F16*J16,2)),"")</f>
        <v>1250000</v>
      </c>
      <c r="O16" s="91"/>
    </row>
    <row r="17" ht="20.5" customHeight="1">
      <c r="A17" s="95">
        <v>1</v>
      </c>
      <c r="B17" t="s" s="19">
        <v>74</v>
      </c>
      <c r="C17" s="24"/>
      <c r="D17" s="26">
        <v>3</v>
      </c>
      <c r="E17" s="26" cm="1">
        <f t="array" ref="E17">D17</f>
        <v>3</v>
      </c>
      <c r="F17" s="26" cm="1">
        <f t="array" ref="F17">D17</f>
        <v>3</v>
      </c>
      <c r="G17" t="s" s="27">
        <v>75</v>
      </c>
      <c r="H17" s="26">
        <v>200000</v>
      </c>
      <c r="I17" s="26">
        <v>200000</v>
      </c>
      <c r="J17" s="26">
        <v>200000</v>
      </c>
      <c r="K17" s="26">
        <v>11</v>
      </c>
      <c r="L17" s="26" cm="1">
        <f t="array" ref="L17">IF(D17&gt;0,IF($D17&lt;=0,0,D17*H17),"")</f>
        <v>600000</v>
      </c>
      <c r="M17" s="26" cm="1">
        <f t="array" ref="M17">IF(E17&gt;0,IF($D17&lt;=0,0,ROUND(E17*I17,2)),"")</f>
        <v>600000</v>
      </c>
      <c r="N17" s="26" cm="1">
        <f t="array" ref="N17">IF(F17&gt;0,IF($D17&lt;=0,0,ROUND(F17*J17,2)),"")</f>
        <v>600000</v>
      </c>
      <c r="O17" s="28"/>
    </row>
    <row r="18" ht="20.5" customHeight="1">
      <c r="A18" s="95">
        <v>2</v>
      </c>
      <c r="B18" t="s" s="19">
        <v>76</v>
      </c>
      <c r="C18" s="20"/>
      <c r="D18" s="21">
        <v>6</v>
      </c>
      <c r="E18" s="21" cm="1">
        <f t="array" ref="E18">D18</f>
        <v>6</v>
      </c>
      <c r="F18" s="21" cm="1">
        <f t="array" ref="F18">D18</f>
        <v>6</v>
      </c>
      <c r="G18" t="s" s="22">
        <v>75</v>
      </c>
      <c r="H18" s="21">
        <v>150000</v>
      </c>
      <c r="I18" s="21">
        <v>150000</v>
      </c>
      <c r="J18" s="21">
        <v>150000</v>
      </c>
      <c r="K18" s="21">
        <v>11</v>
      </c>
      <c r="L18" s="21" cm="1">
        <f t="array" ref="L18">IF(D18&gt;0,IF($D18&lt;=0,0,D18*H18),"")</f>
        <v>900000</v>
      </c>
      <c r="M18" s="21" cm="1">
        <f t="array" ref="M18">IF(E18&gt;0,IF($D18&lt;=0,0,ROUND(E18*I18,2)),"")</f>
        <v>900000</v>
      </c>
      <c r="N18" s="21" cm="1">
        <f t="array" ref="N18">IF(F18&gt;0,IF($D18&lt;=0,0,ROUND(F18*J18,2)),"")</f>
        <v>900000</v>
      </c>
      <c r="O18" s="23"/>
    </row>
    <row r="19" ht="20.5" customHeight="1">
      <c r="A19" s="95">
        <v>3</v>
      </c>
      <c r="B19" t="s" s="19">
        <v>77</v>
      </c>
      <c r="C19" s="24"/>
      <c r="D19" s="26">
        <v>3</v>
      </c>
      <c r="E19" s="26" cm="1">
        <f t="array" ref="E19">D19</f>
        <v>3</v>
      </c>
      <c r="F19" s="26" cm="1">
        <f t="array" ref="F19">D19</f>
        <v>3</v>
      </c>
      <c r="G19" t="s" s="27">
        <v>75</v>
      </c>
      <c r="H19" s="26">
        <v>500000</v>
      </c>
      <c r="I19" s="26">
        <v>500000</v>
      </c>
      <c r="J19" s="26">
        <v>500000</v>
      </c>
      <c r="K19" s="26">
        <v>11</v>
      </c>
      <c r="L19" s="26" cm="1">
        <f t="array" ref="L19">IF(D19&gt;0,IF($D19&lt;=0,0,D19*H19),"")</f>
        <v>1500000</v>
      </c>
      <c r="M19" s="26" cm="1">
        <f t="array" ref="M19">IF(E19&gt;0,IF($D19&lt;=0,0,ROUND(E19*I19,2)),"")</f>
        <v>1500000</v>
      </c>
      <c r="N19" s="26" cm="1">
        <f t="array" ref="N19">IF(F19&gt;0,IF($D19&lt;=0,0,ROUND(F19*J19,2)),"")</f>
        <v>1500000</v>
      </c>
      <c r="O19" s="28"/>
    </row>
    <row r="20" ht="20.5" customHeight="1">
      <c r="A20" s="95">
        <v>4</v>
      </c>
      <c r="B20" t="s" s="19">
        <v>78</v>
      </c>
      <c r="C20" s="20"/>
      <c r="D20" s="21">
        <v>1</v>
      </c>
      <c r="E20" s="21" cm="1">
        <f t="array" ref="E20">D20</f>
        <v>1</v>
      </c>
      <c r="F20" s="21" cm="1">
        <f t="array" ref="F20">D20</f>
        <v>1</v>
      </c>
      <c r="G20" t="s" s="22">
        <v>79</v>
      </c>
      <c r="H20" s="21">
        <v>2000000</v>
      </c>
      <c r="I20" s="21">
        <v>2000000</v>
      </c>
      <c r="J20" s="21">
        <v>2000000</v>
      </c>
      <c r="K20" s="21">
        <v>11</v>
      </c>
      <c r="L20" s="21" cm="1">
        <f t="array" ref="L20">IF(D20&gt;0,IF($D20&lt;=0,0,D20*H20),"")</f>
        <v>2000000</v>
      </c>
      <c r="M20" s="21" cm="1">
        <f t="array" ref="M20">IF(E20&gt;0,IF($D20&lt;=0,0,ROUND(E20*I20,2)),"")</f>
        <v>2000000</v>
      </c>
      <c r="N20" s="21" cm="1">
        <f t="array" ref="N20">IF(F20&gt;0,IF($D20&lt;=0,0,ROUND(F20*J20,2)),"")</f>
        <v>2000000</v>
      </c>
      <c r="O20" s="91"/>
    </row>
    <row r="21" ht="20.5" customHeight="1">
      <c r="A21" t="s" s="18">
        <v>80</v>
      </c>
      <c r="B21" t="s" s="19">
        <v>81</v>
      </c>
      <c r="C21" s="24"/>
      <c r="D21" s="26"/>
      <c r="E21" s="26"/>
      <c r="F21" s="26"/>
      <c r="G21" s="30"/>
      <c r="H21" s="26"/>
      <c r="I21" s="26"/>
      <c r="J21" s="26"/>
      <c r="K21" s="26"/>
      <c r="L21" t="str" s="30" cm="1">
        <f t="array" ref="L21">IF(D21&gt;0,IF($D21&lt;=0,0,D21*H21),"")</f>
      </c>
      <c r="M21" t="str" s="30" cm="1">
        <f t="array" ref="M21">IF(E21&gt;0,IF($D21&lt;=0,0,ROUND(E21*I21,2)),"")</f>
      </c>
      <c r="N21" t="str" s="30" cm="1">
        <f t="array" ref="N21">IF(F21&gt;0,IF($D21&lt;=0,0,ROUND(F21*J21,2)),"")</f>
      </c>
      <c r="O21" s="31"/>
    </row>
    <row r="22" ht="20.5" customHeight="1">
      <c r="A22" s="29"/>
      <c r="B22" t="s" s="19">
        <v>82</v>
      </c>
      <c r="C22" s="20"/>
      <c r="D22" s="21">
        <v>1</v>
      </c>
      <c r="E22" s="21" cm="1">
        <f t="array" ref="E22">D22</f>
        <v>1</v>
      </c>
      <c r="F22" s="21" cm="1">
        <f t="array" ref="F22">D22</f>
        <v>1</v>
      </c>
      <c r="G22" t="s" s="22">
        <v>19</v>
      </c>
      <c r="H22" s="21">
        <v>129369.6</v>
      </c>
      <c r="I22" s="21">
        <v>129249.6</v>
      </c>
      <c r="J22" s="21">
        <v>129249.6</v>
      </c>
      <c r="K22" s="21">
        <v>0</v>
      </c>
      <c r="L22" s="21" cm="1">
        <f t="array" ref="L22">IF(D22&gt;0,IF($D22&lt;=0,0,D22*H22),"")</f>
        <v>129369.6</v>
      </c>
      <c r="M22" s="21" cm="1">
        <f t="array" ref="M22">IF(E22&gt;0,IF($D22&lt;=0,0,ROUND(E22*I22,2)),"")</f>
        <v>129249.6</v>
      </c>
      <c r="N22" s="21" cm="1">
        <f t="array" ref="N22">IF(F22&gt;0,IF($D22&lt;=0,0,ROUND(F22*J22,2)),"")</f>
        <v>129249.6</v>
      </c>
      <c r="O22" s="23"/>
    </row>
    <row r="23" ht="20.6" customHeight="1">
      <c r="A23" s="96"/>
      <c r="B23" s="97"/>
      <c r="C23" s="80"/>
      <c r="D23" s="81"/>
      <c r="E23" s="81"/>
      <c r="F23" s="81"/>
      <c r="G23" s="98"/>
      <c r="H23" s="81"/>
      <c r="I23" s="81"/>
      <c r="J23" s="81"/>
      <c r="K23" s="81"/>
      <c r="L23" t="str" s="98" cm="1">
        <f t="array" ref="L23">IF(D23&gt;0,IF($D23&lt;=0,0,D23*H23),"")</f>
      </c>
      <c r="M23" t="str" s="98" cm="1">
        <f t="array" ref="M23">IF(E23&gt;0,IF($D23&lt;=0,0,ROUND(E23*I23,2)),"")</f>
      </c>
      <c r="N23" t="str" s="98" cm="1">
        <f t="array" ref="N23">IF(F23&gt;0,IF($D23&lt;=0,0,ROUND(F23*J23,2)),"")</f>
      </c>
      <c r="O23" s="99"/>
    </row>
    <row r="24" ht="20.85" customHeight="1">
      <c r="A24" s="54"/>
      <c r="B24" s="54"/>
      <c r="C24" s="54"/>
      <c r="D24" s="55"/>
      <c r="E24" s="55"/>
      <c r="F24" s="55"/>
      <c r="G24" s="56"/>
      <c r="H24" s="56"/>
      <c r="I24" s="54"/>
      <c r="J24" s="57"/>
      <c r="K24" t="s" s="58">
        <v>38</v>
      </c>
      <c r="L24" s="59" cm="1">
        <f t="array" ref="L24">SUM(L1:L23)</f>
        <v>54033369.6</v>
      </c>
      <c r="M24" s="59" cm="1">
        <f t="array" ref="M24">SUM(M1:M23)</f>
        <v>53983249.6</v>
      </c>
      <c r="N24" s="59" cm="1">
        <f t="array" ref="N24">SUM(N1:N23)</f>
        <v>53933249.6</v>
      </c>
      <c r="O24" s="59"/>
    </row>
    <row r="25" ht="21" customHeight="1">
      <c r="A25" s="62"/>
      <c r="B25" t="s" s="61">
        <v>39</v>
      </c>
      <c r="C25" s="62"/>
      <c r="D25" s="63" cm="1">
        <f t="array" ref="D25">ROUND(IF(L25&lt;=100000000,L25*0.24%,IF(AND(L25&gt;100000000,L25&lt;=500000000),100000000*0.24%+(L25-100000000)*0.19%,IF(AND(L25&gt;500000000,L25&lt;=1000000000),100000000*0.24%+400000000*0.19%+(L25-500000000)*0.15%,IF(AND(L25&gt;1000000000,L25&lt;=5000000000),100000000*0.24%+400000000*0.19%+500000000*0.15%+(L25-1000000000)*0.12%,IF(L25&gt;5000000000,100000000*0.24%+400000000*0.19%+500000000*0.15%+4000000000*0.12%+(L25-5000000000)*0.1%,"Bingung komputer"))))),2)</f>
        <v>129369.6</v>
      </c>
      <c r="E25" s="64" cm="1">
        <f t="array" ref="E25">ROUND(IF(M25&lt;=100000000,M25*0.24%,IF(AND(M25&gt;100000000,M25&lt;=500000000),100000000*0.24%+(M25-100000000)*0.19%,IF(AND(M25&gt;500000000,M25&lt;=1000000000),100000000*0.24%+400000000*0.19%+(M25-500000000)*0.15%,IF(AND(M25&gt;1000000000,M25&lt;=5000000000),100000000*0.24%+400000000*0.19%+500000000*0.15%+(M25-1000000000)*0.12%,IF(M25&gt;5000000000,100000000*0.24%+400000000*0.19%+500000000*0.15%+4000000000*0.12%+(M25-5000000000)*0.1%,"Bingung komputer"))))),2)</f>
        <v>129249.6</v>
      </c>
      <c r="F25" s="64" cm="1">
        <f t="array" ref="F25">ROUND(IF(N25&lt;=100000000,N25*0.24%,IF(AND(N25&gt;100000000,N25&lt;=500000000),100000000*0.24%+(N25-100000000)*0.19%,IF(AND(N25&gt;500000000,N25&lt;=1000000000),100000000*0.24%+400000000*0.19%+(N25-500000000)*0.15%,IF(AND(N25&gt;1000000000,N25&lt;=5000000000),100000000*0.24%+400000000*0.19%+500000000*0.15%+(N25-1000000000)*0.12%,IF(N25&gt;5000000000,100000000*0.24%+400000000*0.19%+500000000*0.15%+4000000000*0.12%+(N25-5000000000)*0.1%,"Bingung komputer"))))),2)</f>
        <v>129129.6</v>
      </c>
      <c r="G25" s="65"/>
      <c r="H25" s="66"/>
      <c r="I25" s="62"/>
      <c r="J25" s="67"/>
      <c r="K25" t="str" s="67" cm="1">
        <f t="array" ref="K25">"Jumlah Terkena Pajak "&amp;MAX(K3:K23)&amp;"% (B)"</f>
        <v>Jumlah Terkena Pajak 11,00% (B)</v>
      </c>
      <c r="L25" s="68" cm="1">
        <f t="array" ref="L25">SUMIF($K3:$K23,"&gt;0",L3:L23)</f>
        <v>53904000</v>
      </c>
      <c r="M25" s="68" cm="1">
        <f t="array" ref="M25">SUMIF($K3:$K23,"&gt;0",M3:M23)</f>
        <v>53854000</v>
      </c>
      <c r="N25" s="68" cm="1">
        <f t="array" ref="N25">SUMIF($K3:$K23,"&gt;0",N3:N23)</f>
        <v>53804000</v>
      </c>
      <c r="O25" s="69"/>
    </row>
    <row r="26" ht="21" customHeight="1">
      <c r="A26" s="71"/>
      <c r="B26" s="71"/>
      <c r="C26" s="71"/>
      <c r="D26" s="72"/>
      <c r="E26" s="72"/>
      <c r="F26" s="71"/>
      <c r="G26" s="72"/>
      <c r="H26" s="72"/>
      <c r="I26" s="71"/>
      <c r="J26" s="73"/>
      <c r="K26" t="str" s="73" cm="1">
        <f t="array" ref="K26">"PPN (C) = "&amp;MAX(K3:K23)&amp;"% x B"</f>
        <v>PPN (C) = 11,00% x B</v>
      </c>
      <c r="L26" s="74" cm="1">
        <f t="array" ref="L26">L25*MAX($K3:$K23)%</f>
        <v>5929440</v>
      </c>
      <c r="M26" s="74" cm="1">
        <f t="array" ref="M26">M25*MAX($K3:$K23)%</f>
        <v>5923940</v>
      </c>
      <c r="N26" s="74" cm="1">
        <f t="array" ref="N26">N25*MAX($K3:$K23)%</f>
        <v>5918440</v>
      </c>
      <c r="O26" s="69"/>
    </row>
    <row r="27" ht="21" customHeight="1">
      <c r="A27" s="71"/>
      <c r="B27" s="71"/>
      <c r="C27" s="71"/>
      <c r="D27" s="72"/>
      <c r="E27" s="72"/>
      <c r="F27" s="72"/>
      <c r="G27" s="72"/>
      <c r="H27" s="72"/>
      <c r="I27" s="71"/>
      <c r="J27" s="73"/>
      <c r="K27" t="s" s="75">
        <v>42</v>
      </c>
      <c r="L27" s="74" cm="1">
        <f t="array" ref="L27">L24+L26</f>
        <v>59962809.6</v>
      </c>
      <c r="M27" s="74" cm="1">
        <f t="array" ref="M27">M24+M26</f>
        <v>59907189.6</v>
      </c>
      <c r="N27" s="74" cm="1">
        <f t="array" ref="N27">N24+N26</f>
        <v>59851689.6</v>
      </c>
      <c r="O27" s="69"/>
    </row>
    <row r="28" ht="20.5" customHeight="1">
      <c r="A28" s="71"/>
      <c r="B28" s="71"/>
      <c r="C28" s="71"/>
      <c r="D28" s="72"/>
      <c r="E28" s="72"/>
      <c r="F28" s="72"/>
      <c r="G28" s="72"/>
      <c r="H28" s="72"/>
      <c r="I28" s="71"/>
      <c r="J28" s="73"/>
      <c r="K28" t="s" s="75">
        <v>43</v>
      </c>
      <c r="L28" s="74" cm="1">
        <f t="array" ref="L28">ROUNDDOWN(L27,2)</f>
        <v>59962809.6</v>
      </c>
      <c r="M28" s="74" cm="1">
        <f t="array" ref="M28">ROUNDDOWN(M27,2)</f>
        <v>59907189.6</v>
      </c>
      <c r="N28" s="74" cm="1">
        <f t="array" ref="N28">ROUNDDOWN(N27,-3)</f>
        <v>59851000</v>
      </c>
      <c r="O28" s="68"/>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64.xml><?xml version="1.0" encoding="utf-8"?>
<worksheet xmlns:r="http://schemas.openxmlformats.org/officeDocument/2006/relationships" xmlns="http://schemas.openxmlformats.org/spreadsheetml/2006/main">
  <sheetPr>
    <pageSetUpPr fitToPage="1"/>
  </sheetPr>
  <dimension ref="A1:O28"/>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7.17188" style="359" customWidth="1"/>
    <col min="2" max="2" width="43.0312" style="359" customWidth="1"/>
    <col min="3" max="3" width="2.75" style="359" customWidth="1"/>
    <col min="4" max="6" width="10.3672" style="359" customWidth="1"/>
    <col min="7" max="7" width="11.6875" style="359" customWidth="1"/>
    <col min="8" max="11" width="13.5156" style="359" customWidth="1"/>
    <col min="12" max="15" width="14.2344" style="359" customWidth="1"/>
    <col min="16" max="16384" width="16.3516" style="359" customWidth="1"/>
  </cols>
  <sheetData>
    <row r="1" ht="20.5" customHeight="1">
      <c r="A1" t="s" s="7">
        <v>6</v>
      </c>
      <c r="B1" t="s" s="7">
        <v>7</v>
      </c>
      <c r="C1" s="8"/>
      <c r="D1" t="s" s="7">
        <v>8</v>
      </c>
      <c r="E1" s="8"/>
      <c r="F1" s="8"/>
      <c r="G1" t="s" s="7">
        <v>9</v>
      </c>
      <c r="H1" t="s" s="7">
        <v>10</v>
      </c>
      <c r="I1" s="8"/>
      <c r="J1" s="8"/>
      <c r="K1" t="s" s="7">
        <v>11</v>
      </c>
      <c r="L1" t="s" s="7">
        <v>12</v>
      </c>
      <c r="M1" s="8"/>
      <c r="N1" s="8"/>
      <c r="O1" s="88"/>
    </row>
    <row r="2" ht="20.85" customHeight="1">
      <c r="A2" s="9"/>
      <c r="B2" s="9"/>
      <c r="C2" s="9"/>
      <c r="D2" t="s" s="10">
        <v>13</v>
      </c>
      <c r="E2" t="s" s="10">
        <v>14</v>
      </c>
      <c r="F2" t="s" s="10">
        <v>15</v>
      </c>
      <c r="G2" s="9"/>
      <c r="H2" t="s" s="10">
        <v>13</v>
      </c>
      <c r="I2" t="s" s="10">
        <v>14</v>
      </c>
      <c r="J2" t="s" s="10">
        <v>15</v>
      </c>
      <c r="K2" s="9"/>
      <c r="L2" t="s" s="10">
        <v>13</v>
      </c>
      <c r="M2" t="s" s="10">
        <v>14</v>
      </c>
      <c r="N2" t="s" s="10">
        <v>15</v>
      </c>
      <c r="O2" s="89"/>
    </row>
    <row r="3" ht="20.6" customHeight="1">
      <c r="A3" t="s" s="90">
        <v>51</v>
      </c>
      <c r="B3" t="s" s="12">
        <v>52</v>
      </c>
      <c r="C3" s="13"/>
      <c r="D3" s="14"/>
      <c r="E3" s="14"/>
      <c r="F3" s="14"/>
      <c r="G3" s="15"/>
      <c r="H3" s="15"/>
      <c r="I3" s="15"/>
      <c r="J3" s="15"/>
      <c r="K3" s="15"/>
      <c r="L3" t="str" s="16" cm="1">
        <f t="array" ref="L3">IF(D3&gt;0,IF($D3&lt;=0,0,D3*H3),"")</f>
      </c>
      <c r="M3" t="str" s="16" cm="1">
        <f t="array" ref="M3">IF(E3&gt;0,IF($D3&lt;=0,0,ROUND(E3*I3,2)),"")</f>
      </c>
      <c r="N3" t="str" s="16" cm="1">
        <f t="array" ref="N3">IF(F3&gt;0,IF($D3&lt;=0,0,ROUND(F3*J3,2)),"")</f>
      </c>
      <c r="O3" s="17"/>
    </row>
    <row r="4" ht="20.5" customHeight="1">
      <c r="A4" t="s" s="18">
        <v>53</v>
      </c>
      <c r="B4" t="s" s="19">
        <v>54</v>
      </c>
      <c r="C4" s="20"/>
      <c r="D4" s="21"/>
      <c r="E4" s="21"/>
      <c r="F4" s="21"/>
      <c r="G4" s="79"/>
      <c r="H4" s="21"/>
      <c r="I4" s="79"/>
      <c r="J4" s="21"/>
      <c r="K4" s="21"/>
      <c r="L4" t="str" s="79" cm="1">
        <f t="array" ref="L4">IF(D4&gt;0,IF($D4&lt;=0,0,D4*H4),"")</f>
      </c>
      <c r="M4" t="str" s="79" cm="1">
        <f t="array" ref="M4">IF(E4&gt;0,IF($D4&lt;=0,0,ROUND(E4*I4,2)),"")</f>
      </c>
      <c r="N4" t="str" s="79" cm="1">
        <f t="array" ref="N4">IF(F4&gt;0,IF($D4&lt;=0,0,ROUND(F4*J4,2)),"")</f>
      </c>
      <c r="O4" s="91"/>
    </row>
    <row r="5" ht="20.5" customHeight="1">
      <c r="A5" s="92">
        <v>1</v>
      </c>
      <c r="B5" t="s" s="19">
        <v>55</v>
      </c>
      <c r="C5" s="24"/>
      <c r="D5" s="26">
        <v>6</v>
      </c>
      <c r="E5" s="26" cm="1">
        <f t="array" ref="E5">D5</f>
        <v>6</v>
      </c>
      <c r="F5" s="26" cm="1">
        <f t="array" ref="F5">D5</f>
        <v>6</v>
      </c>
      <c r="G5" t="s" s="27">
        <v>56</v>
      </c>
      <c r="H5" s="26">
        <v>9500000</v>
      </c>
      <c r="I5" s="26">
        <v>9500000</v>
      </c>
      <c r="J5" s="26">
        <v>9500000</v>
      </c>
      <c r="K5" s="26">
        <v>11</v>
      </c>
      <c r="L5" s="26" cm="1">
        <f t="array" ref="L5">IF(D5&gt;0,IF($D5&lt;=0,0,D5*H5),"")</f>
        <v>57000000</v>
      </c>
      <c r="M5" s="26" cm="1">
        <f t="array" ref="M5">IF(E5&gt;0,IF($D5&lt;=0,0,ROUND(E5*I5,2)),"")</f>
        <v>57000000</v>
      </c>
      <c r="N5" s="26" cm="1">
        <f t="array" ref="N5">IF(F5&gt;0,IF($D5&lt;=0,0,ROUND(F5*J5,2)),"")</f>
        <v>57000000</v>
      </c>
      <c r="O5" s="28"/>
    </row>
    <row r="6" ht="20.5" customHeight="1">
      <c r="A6" t="s" s="93">
        <v>58</v>
      </c>
      <c r="B6" t="s" s="19">
        <v>59</v>
      </c>
      <c r="C6" s="20"/>
      <c r="D6" s="21"/>
      <c r="E6" s="21"/>
      <c r="F6" s="21"/>
      <c r="G6" s="79"/>
      <c r="H6" s="21"/>
      <c r="I6" s="21"/>
      <c r="J6" s="21"/>
      <c r="K6" s="21"/>
      <c r="L6" t="str" s="79" cm="1">
        <f t="array" ref="L6">IF(D6&gt;0,IF($D6&lt;=0,0,D6*H6),"")</f>
      </c>
      <c r="M6" t="str" s="79" cm="1">
        <f t="array" ref="M6">IF(E6&gt;0,IF($D6&lt;=0,0,ROUND(E6*I6,2)),"")</f>
      </c>
      <c r="N6" t="str" s="79" cm="1">
        <f t="array" ref="N6">IF(F6&gt;0,IF($D6&lt;=0,0,ROUND(F6*J6,2)),"")</f>
      </c>
      <c r="O6" s="91"/>
    </row>
    <row r="7" ht="20.5" customHeight="1">
      <c r="A7" t="s" s="18">
        <v>53</v>
      </c>
      <c r="B7" t="s" s="19">
        <v>60</v>
      </c>
      <c r="C7" s="24"/>
      <c r="D7" s="26"/>
      <c r="E7" s="26"/>
      <c r="F7" s="26"/>
      <c r="G7" s="30"/>
      <c r="H7" s="26"/>
      <c r="I7" s="26"/>
      <c r="J7" s="26"/>
      <c r="K7" s="26"/>
      <c r="L7" t="str" s="30" cm="1">
        <f t="array" ref="L7">IF(D7&gt;0,IF($D7&lt;=0,0,D7*H7),"")</f>
      </c>
      <c r="M7" t="str" s="30" cm="1">
        <f t="array" ref="M7">IF(E7&gt;0,IF($D7&lt;=0,0,ROUND(E7*I7,2)),"")</f>
      </c>
      <c r="N7" t="str" s="30" cm="1">
        <f t="array" ref="N7">IF(F7&gt;0,IF($D7&lt;=0,0,ROUND(F7*J7,2)),"")</f>
      </c>
      <c r="O7" s="31"/>
    </row>
    <row r="8" ht="20.5" customHeight="1">
      <c r="A8" s="94">
        <v>1</v>
      </c>
      <c r="B8" t="s" s="19">
        <v>61</v>
      </c>
      <c r="C8" s="20"/>
      <c r="D8" s="21">
        <v>6</v>
      </c>
      <c r="E8" s="21" cm="1">
        <f t="array" ref="E8">D8</f>
        <v>6</v>
      </c>
      <c r="F8" s="21" cm="1">
        <f t="array" ref="F8">D8</f>
        <v>6</v>
      </c>
      <c r="G8" t="s" s="22">
        <v>62</v>
      </c>
      <c r="H8" s="21">
        <v>500000</v>
      </c>
      <c r="I8" s="21">
        <v>495000</v>
      </c>
      <c r="J8" s="21">
        <v>495000</v>
      </c>
      <c r="K8" s="21">
        <v>11</v>
      </c>
      <c r="L8" s="21" cm="1">
        <f t="array" ref="L8">IF(D8&gt;0,IF($D8&lt;=0,0,D8*H8),"")</f>
        <v>3000000</v>
      </c>
      <c r="M8" s="21" cm="1">
        <f t="array" ref="M8">IF(E8&gt;0,IF($D8&lt;=0,0,ROUND(E8*I8,2)),"")</f>
        <v>2970000</v>
      </c>
      <c r="N8" s="21" cm="1">
        <f t="array" ref="N8">IF(F8&gt;0,IF($D8&lt;=0,0,ROUND(F8*J8,2)),"")</f>
        <v>2970000</v>
      </c>
      <c r="O8" s="23"/>
    </row>
    <row r="9" ht="32.5" customHeight="1">
      <c r="A9" s="95">
        <v>2</v>
      </c>
      <c r="B9" t="s" s="19">
        <v>63</v>
      </c>
      <c r="C9" s="24"/>
      <c r="D9" s="26">
        <v>6</v>
      </c>
      <c r="E9" s="26" cm="1">
        <f t="array" ref="E9">D9</f>
        <v>6</v>
      </c>
      <c r="F9" s="26" cm="1">
        <f t="array" ref="F9">D9</f>
        <v>6</v>
      </c>
      <c r="G9" t="s" s="27">
        <v>64</v>
      </c>
      <c r="H9" s="26">
        <v>600000</v>
      </c>
      <c r="I9" s="26">
        <v>600000</v>
      </c>
      <c r="J9" s="26">
        <v>600000</v>
      </c>
      <c r="K9" s="26">
        <v>11</v>
      </c>
      <c r="L9" s="26" cm="1">
        <f t="array" ref="L9">IF(D9&gt;0,IF($D9&lt;=0,0,D9*H9),"")</f>
        <v>3600000</v>
      </c>
      <c r="M9" s="26" cm="1">
        <f t="array" ref="M9">IF(E9&gt;0,IF($D9&lt;=0,0,ROUND(E9*I9,2)),"")</f>
        <v>3600000</v>
      </c>
      <c r="N9" s="26" cm="1">
        <f t="array" ref="N9">IF(F9&gt;0,IF($D9&lt;=0,0,ROUND(F9*J9,2)),"")</f>
        <v>3600000</v>
      </c>
      <c r="O9" s="28"/>
    </row>
    <row r="10" ht="20.5" customHeight="1">
      <c r="A10" s="94">
        <v>3</v>
      </c>
      <c r="B10" t="s" s="19">
        <v>65</v>
      </c>
      <c r="C10" s="20"/>
      <c r="D10" s="21">
        <v>6</v>
      </c>
      <c r="E10" s="21" cm="1">
        <f t="array" ref="E10">D10</f>
        <v>6</v>
      </c>
      <c r="F10" s="21" cm="1">
        <f t="array" ref="F10">D10</f>
        <v>6</v>
      </c>
      <c r="G10" t="s" s="22">
        <v>62</v>
      </c>
      <c r="H10" s="21">
        <v>700000</v>
      </c>
      <c r="I10" s="21">
        <v>700000</v>
      </c>
      <c r="J10" s="21">
        <v>700000</v>
      </c>
      <c r="K10" s="21">
        <v>11</v>
      </c>
      <c r="L10" s="21" cm="1">
        <f t="array" ref="L10">IF(D10&gt;0,IF($D10&lt;=0,0,D10*H10),"")</f>
        <v>4200000</v>
      </c>
      <c r="M10" s="21" cm="1">
        <f t="array" ref="M10">IF(E10&gt;0,IF($D10&lt;=0,0,ROUND(E10*I10,2)),"")</f>
        <v>4200000</v>
      </c>
      <c r="N10" s="21" cm="1">
        <f t="array" ref="N10">IF(F10&gt;0,IF($D10&lt;=0,0,ROUND(F10*J10,2)),"")</f>
        <v>4200000</v>
      </c>
      <c r="O10" s="23"/>
    </row>
    <row r="11" ht="20.5" customHeight="1">
      <c r="A11" s="94"/>
      <c r="B11" t="s" s="19">
        <v>66</v>
      </c>
      <c r="C11" s="24"/>
      <c r="D11" s="26"/>
      <c r="E11" s="26"/>
      <c r="F11" s="26"/>
      <c r="G11" s="30"/>
      <c r="H11" s="26"/>
      <c r="I11" s="26"/>
      <c r="J11" s="26"/>
      <c r="K11" s="26"/>
      <c r="L11" t="str" s="30" cm="1">
        <f t="array" ref="L11">IF(D11&gt;0,IF($D11&lt;=0,0,D11*H11),"")</f>
      </c>
      <c r="M11" t="str" s="30" cm="1">
        <f t="array" ref="M11">IF(E11&gt;0,IF($D11&lt;=0,0,ROUND(E11*I11,2)),"")</f>
      </c>
      <c r="N11" t="str" s="30" cm="1">
        <f t="array" ref="N11">IF(F11&gt;0,IF($D11&lt;=0,0,ROUND(F11*J11,2)),"")</f>
      </c>
      <c r="O11" s="28"/>
    </row>
    <row r="12" ht="20.5" customHeight="1">
      <c r="A12" s="94">
        <v>4</v>
      </c>
      <c r="B12" t="s" s="19">
        <v>67</v>
      </c>
      <c r="C12" s="20"/>
      <c r="D12" s="21">
        <v>2</v>
      </c>
      <c r="E12" s="21" cm="1">
        <f t="array" ref="E12">D12</f>
        <v>2</v>
      </c>
      <c r="F12" s="21" cm="1">
        <f t="array" ref="F12">D12</f>
        <v>2</v>
      </c>
      <c r="G12" t="s" s="22">
        <v>68</v>
      </c>
      <c r="H12" s="21">
        <v>150000</v>
      </c>
      <c r="I12" s="21">
        <v>150000</v>
      </c>
      <c r="J12" s="21">
        <v>150000</v>
      </c>
      <c r="K12" s="21">
        <v>11</v>
      </c>
      <c r="L12" s="21" cm="1">
        <f t="array" ref="L12">IF(D12&gt;0,IF($D12&lt;=0,0,D12*H12),"")</f>
        <v>300000</v>
      </c>
      <c r="M12" s="21" cm="1">
        <f t="array" ref="M12">IF(E12&gt;0,IF($D12&lt;=0,0,ROUND(E12*I12,2)),"")</f>
        <v>300000</v>
      </c>
      <c r="N12" s="21" cm="1">
        <f t="array" ref="N12">IF(F12&gt;0,IF($D12&lt;=0,0,ROUND(F12*J12,2)),"")</f>
        <v>300000</v>
      </c>
      <c r="O12" s="23"/>
    </row>
    <row r="13" ht="20.5" customHeight="1">
      <c r="A13" s="94">
        <v>5</v>
      </c>
      <c r="B13" t="s" s="19">
        <v>69</v>
      </c>
      <c r="C13" s="24"/>
      <c r="D13" s="26">
        <v>2</v>
      </c>
      <c r="E13" s="26" cm="1">
        <f t="array" ref="E13">D13</f>
        <v>2</v>
      </c>
      <c r="F13" s="26" cm="1">
        <f t="array" ref="F13">D13</f>
        <v>2</v>
      </c>
      <c r="G13" t="s" s="27">
        <v>68</v>
      </c>
      <c r="H13" s="26">
        <v>400000</v>
      </c>
      <c r="I13" s="26">
        <v>450000</v>
      </c>
      <c r="J13" s="26">
        <v>400000</v>
      </c>
      <c r="K13" s="26">
        <v>11</v>
      </c>
      <c r="L13" s="26" cm="1">
        <f t="array" ref="L13">IF(D13&gt;0,IF($D13&lt;=0,0,D13*H13),"")</f>
        <v>800000</v>
      </c>
      <c r="M13" s="26" cm="1">
        <f t="array" ref="M13">IF(E13&gt;0,IF($D13&lt;=0,0,ROUND(E13*I13,2)),"")</f>
        <v>900000</v>
      </c>
      <c r="N13" s="26" cm="1">
        <f t="array" ref="N13">IF(F13&gt;0,IF($D13&lt;=0,0,ROUND(F13*J13,2)),"")</f>
        <v>800000</v>
      </c>
      <c r="O13" s="28"/>
    </row>
    <row r="14" ht="32.5" customHeight="1">
      <c r="A14" s="29"/>
      <c r="B14" t="s" s="19">
        <v>597</v>
      </c>
      <c r="C14" s="20"/>
      <c r="D14" s="21"/>
      <c r="E14" s="21"/>
      <c r="F14" s="21"/>
      <c r="G14" s="79"/>
      <c r="H14" s="21"/>
      <c r="I14" s="21"/>
      <c r="J14" s="21"/>
      <c r="K14" s="21"/>
      <c r="L14" t="str" s="79" cm="1">
        <f t="array" ref="L14">IF(D14&gt;0,IF($D14&lt;=0,0,D14*H14),"")</f>
      </c>
      <c r="M14" t="str" s="79" cm="1">
        <f t="array" ref="M14">IF(E14&gt;0,IF($D14&lt;=0,0,ROUND(E14*I14,2)),"")</f>
      </c>
      <c r="N14" t="str" s="79" cm="1">
        <f t="array" ref="N14">IF(F14&gt;0,IF($D14&lt;=0,0,ROUND(F14*J14,2)),"")</f>
      </c>
      <c r="O14" s="91"/>
    </row>
    <row r="15" ht="20.5" customHeight="1">
      <c r="A15" s="95">
        <v>1</v>
      </c>
      <c r="B15" t="s" s="19">
        <v>598</v>
      </c>
      <c r="C15" s="24"/>
      <c r="D15" s="26">
        <v>6</v>
      </c>
      <c r="E15" s="26" cm="1">
        <f t="array" ref="E15">D15</f>
        <v>6</v>
      </c>
      <c r="F15" s="26" cm="1">
        <f t="array" ref="F15">D15</f>
        <v>6</v>
      </c>
      <c r="G15" t="s" s="27">
        <v>73</v>
      </c>
      <c r="H15" s="26">
        <v>800000</v>
      </c>
      <c r="I15" s="26">
        <v>780000</v>
      </c>
      <c r="J15" s="26">
        <v>780000</v>
      </c>
      <c r="K15" s="26">
        <v>11</v>
      </c>
      <c r="L15" s="26" cm="1">
        <f t="array" ref="L15">IF(D15&gt;0,IF($D15&lt;=0,0,D15*H15),"")</f>
        <v>4800000</v>
      </c>
      <c r="M15" s="26" cm="1">
        <f t="array" ref="M15">IF(E15&gt;0,IF($D15&lt;=0,0,ROUND(E15*I15,2)),"")</f>
        <v>4680000</v>
      </c>
      <c r="N15" s="26" cm="1">
        <f t="array" ref="N15">IF(F15&gt;0,IF($D15&lt;=0,0,ROUND(F15*J15,2)),"")</f>
        <v>4680000</v>
      </c>
      <c r="O15" s="28"/>
    </row>
    <row r="16" ht="20.5" customHeight="1">
      <c r="A16" s="95">
        <v>2</v>
      </c>
      <c r="B16" t="s" s="19">
        <v>74</v>
      </c>
      <c r="C16" s="20"/>
      <c r="D16" s="21">
        <v>3</v>
      </c>
      <c r="E16" s="21" cm="1">
        <f t="array" ref="E16">D16</f>
        <v>3</v>
      </c>
      <c r="F16" s="21" cm="1">
        <f t="array" ref="F16">D16</f>
        <v>3</v>
      </c>
      <c r="G16" t="s" s="22">
        <v>75</v>
      </c>
      <c r="H16" s="21">
        <v>250000</v>
      </c>
      <c r="I16" s="21">
        <v>250000</v>
      </c>
      <c r="J16" s="21">
        <v>250000</v>
      </c>
      <c r="K16" s="21">
        <v>11</v>
      </c>
      <c r="L16" s="21" cm="1">
        <f t="array" ref="L16">IF(D16&gt;0,IF($D16&lt;=0,0,D16*H16),"")</f>
        <v>750000</v>
      </c>
      <c r="M16" s="21" cm="1">
        <f t="array" ref="M16">IF(E16&gt;0,IF($D16&lt;=0,0,ROUND(E16*I16,2)),"")</f>
        <v>750000</v>
      </c>
      <c r="N16" s="21" cm="1">
        <f t="array" ref="N16">IF(F16&gt;0,IF($D16&lt;=0,0,ROUND(F16*J16,2)),"")</f>
        <v>750000</v>
      </c>
      <c r="O16" s="23"/>
    </row>
    <row r="17" ht="20.5" customHeight="1">
      <c r="A17" s="95">
        <v>3</v>
      </c>
      <c r="B17" t="s" s="19">
        <v>76</v>
      </c>
      <c r="C17" s="24"/>
      <c r="D17" s="26">
        <v>3</v>
      </c>
      <c r="E17" s="26" cm="1">
        <f t="array" ref="E17">D17</f>
        <v>3</v>
      </c>
      <c r="F17" s="26" cm="1">
        <f t="array" ref="F17">D17</f>
        <v>3</v>
      </c>
      <c r="G17" t="s" s="27">
        <v>75</v>
      </c>
      <c r="H17" s="26">
        <v>250000</v>
      </c>
      <c r="I17" s="26">
        <v>250000</v>
      </c>
      <c r="J17" s="26">
        <v>250000</v>
      </c>
      <c r="K17" s="26">
        <v>11</v>
      </c>
      <c r="L17" s="26" cm="1">
        <f t="array" ref="L17">IF(D17&gt;0,IF($D17&lt;=0,0,D17*H17),"")</f>
        <v>750000</v>
      </c>
      <c r="M17" s="26" cm="1">
        <f t="array" ref="M17">IF(E17&gt;0,IF($D17&lt;=0,0,ROUND(E17*I17,2)),"")</f>
        <v>750000</v>
      </c>
      <c r="N17" s="26" cm="1">
        <f t="array" ref="N17">IF(F17&gt;0,IF($D17&lt;=0,0,ROUND(F17*J17,2)),"")</f>
        <v>750000</v>
      </c>
      <c r="O17" s="28"/>
    </row>
    <row r="18" ht="20.5" customHeight="1">
      <c r="A18" s="95">
        <v>4</v>
      </c>
      <c r="B18" t="s" s="19">
        <v>77</v>
      </c>
      <c r="C18" s="20"/>
      <c r="D18" s="21">
        <v>3</v>
      </c>
      <c r="E18" s="21" cm="1">
        <f t="array" ref="E18">D18</f>
        <v>3</v>
      </c>
      <c r="F18" s="21" cm="1">
        <f t="array" ref="F18">D18</f>
        <v>3</v>
      </c>
      <c r="G18" t="s" s="22">
        <v>75</v>
      </c>
      <c r="H18" s="21">
        <v>250000</v>
      </c>
      <c r="I18" s="21">
        <v>250000</v>
      </c>
      <c r="J18" s="21">
        <v>250000</v>
      </c>
      <c r="K18" s="21">
        <v>11</v>
      </c>
      <c r="L18" s="21" cm="1">
        <f t="array" ref="L18">IF(D18&gt;0,IF($D18&lt;=0,0,D18*H18),"")</f>
        <v>750000</v>
      </c>
      <c r="M18" s="21" cm="1">
        <f t="array" ref="M18">IF(E18&gt;0,IF($D18&lt;=0,0,ROUND(E18*I18,2)),"")</f>
        <v>750000</v>
      </c>
      <c r="N18" s="21" cm="1">
        <f t="array" ref="N18">IF(F18&gt;0,IF($D18&lt;=0,0,ROUND(F18*J18,2)),"")</f>
        <v>750000</v>
      </c>
      <c r="O18" s="23"/>
    </row>
    <row r="19" ht="32.5" customHeight="1">
      <c r="A19" s="29"/>
      <c r="B19" t="s" s="19">
        <v>599</v>
      </c>
      <c r="C19" s="24"/>
      <c r="D19" s="26"/>
      <c r="E19" s="26"/>
      <c r="F19" s="26"/>
      <c r="G19" s="30"/>
      <c r="H19" s="26"/>
      <c r="I19" s="26"/>
      <c r="J19" s="26"/>
      <c r="K19" s="26"/>
      <c r="L19" t="str" s="30" cm="1">
        <f t="array" ref="L19">IF(D19&gt;0,IF($D19&lt;=0,0,D19*H19),"")</f>
      </c>
      <c r="M19" t="str" s="30" cm="1">
        <f t="array" ref="M19">IF(E19&gt;0,IF($D19&lt;=0,0,ROUND(E19*I19,2)),"")</f>
      </c>
      <c r="N19" t="str" s="30" cm="1">
        <f t="array" ref="N19">IF(F19&gt;0,IF($D19&lt;=0,0,ROUND(F19*J19,2)),"")</f>
      </c>
      <c r="O19" s="31"/>
    </row>
    <row r="20" ht="20.5" customHeight="1">
      <c r="A20" s="29"/>
      <c r="B20" t="s" s="19">
        <v>600</v>
      </c>
      <c r="C20" s="20"/>
      <c r="D20" s="21">
        <v>6</v>
      </c>
      <c r="E20" s="21" cm="1">
        <f t="array" ref="E20">D20</f>
        <v>6</v>
      </c>
      <c r="F20" s="21" cm="1">
        <f t="array" ref="F20">D20</f>
        <v>6</v>
      </c>
      <c r="G20" t="s" s="22">
        <v>56</v>
      </c>
      <c r="H20" s="21">
        <v>1870000</v>
      </c>
      <c r="I20" s="21">
        <v>1850000</v>
      </c>
      <c r="J20" s="21">
        <v>1850000</v>
      </c>
      <c r="K20" s="21">
        <v>11</v>
      </c>
      <c r="L20" s="21" cm="1">
        <f t="array" ref="L20">IF(D20&gt;0,IF($D20&lt;=0,0,D20*H20),"")</f>
        <v>11220000</v>
      </c>
      <c r="M20" s="21" cm="1">
        <f t="array" ref="M20">IF(E20&gt;0,IF($D20&lt;=0,0,ROUND(E20*I20,2)),"")</f>
        <v>11100000</v>
      </c>
      <c r="N20" s="21" cm="1">
        <f t="array" ref="N20">IF(F20&gt;0,IF($D20&lt;=0,0,ROUND(F20*J20,2)),"")</f>
        <v>11100000</v>
      </c>
      <c r="O20" s="91"/>
    </row>
    <row r="21" ht="20.5" customHeight="1">
      <c r="A21" t="s" s="18">
        <v>80</v>
      </c>
      <c r="B21" t="s" s="19">
        <v>81</v>
      </c>
      <c r="C21" s="24"/>
      <c r="D21" s="26"/>
      <c r="E21" s="26"/>
      <c r="F21" s="26"/>
      <c r="G21" s="30"/>
      <c r="H21" s="26"/>
      <c r="I21" s="26"/>
      <c r="J21" s="26"/>
      <c r="K21" s="26"/>
      <c r="L21" t="str" s="30" cm="1">
        <f t="array" ref="L21">IF(D21&gt;0,IF($D21&lt;=0,0,D21*H21),"")</f>
      </c>
      <c r="M21" t="str" s="30" cm="1">
        <f t="array" ref="M21">IF(E21&gt;0,IF($D21&lt;=0,0,ROUND(E21*I21,2)),"")</f>
      </c>
      <c r="N21" t="str" s="30" cm="1">
        <f t="array" ref="N21">IF(F21&gt;0,IF($D21&lt;=0,0,ROUND(F21*J21,2)),"")</f>
      </c>
      <c r="O21" s="31"/>
    </row>
    <row r="22" ht="20.5" customHeight="1">
      <c r="A22" s="29"/>
      <c r="B22" t="s" s="19">
        <v>82</v>
      </c>
      <c r="C22" s="20"/>
      <c r="D22" s="21">
        <v>1</v>
      </c>
      <c r="E22" s="21" cm="1">
        <f t="array" ref="E22">D22</f>
        <v>1</v>
      </c>
      <c r="F22" s="21" cm="1">
        <f t="array" ref="F22">D22</f>
        <v>1</v>
      </c>
      <c r="G22" t="s" s="22">
        <v>19</v>
      </c>
      <c r="H22" s="21">
        <v>232221</v>
      </c>
      <c r="I22" s="21">
        <v>208800</v>
      </c>
      <c r="J22" s="21">
        <v>208800</v>
      </c>
      <c r="K22" s="21">
        <v>0</v>
      </c>
      <c r="L22" s="21" cm="1">
        <f t="array" ref="L22">IF(D22&gt;0,IF($D22&lt;=0,0,D22*H22),"")</f>
        <v>232221</v>
      </c>
      <c r="M22" s="21" cm="1">
        <f t="array" ref="M22">IF(E22&gt;0,IF($D22&lt;=0,0,ROUND(E22*I22,2)),"")</f>
        <v>208800</v>
      </c>
      <c r="N22" s="21" cm="1">
        <f t="array" ref="N22">IF(F22&gt;0,IF($D22&lt;=0,0,ROUND(F22*J22,2)),"")</f>
        <v>208800</v>
      </c>
      <c r="O22" s="23"/>
    </row>
    <row r="23" ht="20.6" customHeight="1">
      <c r="A23" s="96"/>
      <c r="B23" s="97"/>
      <c r="C23" s="80"/>
      <c r="D23" s="81"/>
      <c r="E23" s="81"/>
      <c r="F23" s="81"/>
      <c r="G23" s="98"/>
      <c r="H23" s="81"/>
      <c r="I23" s="81"/>
      <c r="J23" s="81"/>
      <c r="K23" s="81"/>
      <c r="L23" t="str" s="98" cm="1">
        <f t="array" ref="L23">IF(D23&gt;0,IF($D23&lt;=0,0,D23*H23),"")</f>
      </c>
      <c r="M23" t="str" s="98" cm="1">
        <f t="array" ref="M23">IF(E23&gt;0,IF($D23&lt;=0,0,ROUND(E23*I23,2)),"")</f>
      </c>
      <c r="N23" t="str" s="98" cm="1">
        <f t="array" ref="N23">IF(F23&gt;0,IF($D23&lt;=0,0,ROUND(F23*J23,2)),"")</f>
      </c>
      <c r="O23" s="99"/>
    </row>
    <row r="24" ht="20.85" customHeight="1">
      <c r="A24" s="54"/>
      <c r="B24" s="54"/>
      <c r="C24" s="54"/>
      <c r="D24" s="55"/>
      <c r="E24" s="55"/>
      <c r="F24" s="55"/>
      <c r="G24" s="56"/>
      <c r="H24" s="56"/>
      <c r="I24" s="54"/>
      <c r="J24" s="57"/>
      <c r="K24" t="s" s="58">
        <v>38</v>
      </c>
      <c r="L24" s="59" cm="1">
        <f t="array" ref="L24">SUM(L1:L23)</f>
        <v>87402221</v>
      </c>
      <c r="M24" s="59" cm="1">
        <f t="array" ref="M24">SUM(M1:M23)</f>
        <v>87208800</v>
      </c>
      <c r="N24" s="59" cm="1">
        <f t="array" ref="N24">SUM(N1:N23)</f>
        <v>87108800</v>
      </c>
      <c r="O24" s="59"/>
    </row>
    <row r="25" ht="21" customHeight="1">
      <c r="A25" s="62"/>
      <c r="B25" t="s" s="61">
        <v>39</v>
      </c>
      <c r="C25" s="62"/>
      <c r="D25" s="63" cm="1">
        <f t="array" ref="D25">ROUND(IF(L25&lt;=100000000,L25*0.24%,IF(AND(L25&gt;100000000,L25&lt;=500000000),100000000*0.24%+(L25-100000000)*0.19%,IF(AND(L25&gt;500000000,L25&lt;=1000000000),100000000*0.24%+400000000*0.19%+(L25-500000000)*0.15%,IF(AND(L25&gt;1000000000,L25&lt;=5000000000),100000000*0.24%+400000000*0.19%+500000000*0.15%+(L25-1000000000)*0.12%,IF(L25&gt;5000000000,100000000*0.24%+400000000*0.19%+500000000*0.15%+4000000000*0.12%+(L25-5000000000)*0.1%,"Bingung komputer"))))),2)</f>
        <v>209208</v>
      </c>
      <c r="E25" s="64" cm="1">
        <f t="array" ref="E25">ROUND(IF(M25&lt;=100000000,M25*0.24%,IF(AND(M25&gt;100000000,M25&lt;=500000000),100000000*0.24%+(M25-100000000)*0.19%,IF(AND(M25&gt;500000000,M25&lt;=1000000000),100000000*0.24%+400000000*0.19%+(M25-500000000)*0.15%,IF(AND(M25&gt;1000000000,M25&lt;=5000000000),100000000*0.24%+400000000*0.19%+500000000*0.15%+(M25-1000000000)*0.12%,IF(M25&gt;5000000000,100000000*0.24%+400000000*0.19%+500000000*0.15%+4000000000*0.12%+(M25-5000000000)*0.1%,"Bingung komputer"))))),2)</f>
        <v>208800</v>
      </c>
      <c r="F25" s="64" cm="1">
        <f t="array" ref="F25">ROUND(IF(N25&lt;=100000000,N25*0.24%,IF(AND(N25&gt;100000000,N25&lt;=500000000),100000000*0.24%+(N25-100000000)*0.19%,IF(AND(N25&gt;500000000,N25&lt;=1000000000),100000000*0.24%+400000000*0.19%+(N25-500000000)*0.15%,IF(AND(N25&gt;1000000000,N25&lt;=5000000000),100000000*0.24%+400000000*0.19%+500000000*0.15%+(N25-1000000000)*0.12%,IF(N25&gt;5000000000,100000000*0.24%+400000000*0.19%+500000000*0.15%+4000000000*0.12%+(N25-5000000000)*0.1%,"Bingung komputer"))))),2)</f>
        <v>208560</v>
      </c>
      <c r="G25" s="65"/>
      <c r="H25" s="66"/>
      <c r="I25" s="62"/>
      <c r="J25" s="67"/>
      <c r="K25" t="str" s="67" cm="1">
        <f t="array" ref="K25">"Jumlah Terkena Pajak "&amp;MAX(K3:K23)&amp;"% (B)"</f>
        <v>Jumlah Terkena Pajak 11,00% (B)</v>
      </c>
      <c r="L25" s="68" cm="1">
        <f t="array" ref="L25">SUMIF($K3:$K23,"&gt;0",L3:L23)</f>
        <v>87170000</v>
      </c>
      <c r="M25" s="68" cm="1">
        <f t="array" ref="M25">SUMIF($K3:$K23,"&gt;0",M3:M23)</f>
        <v>87000000</v>
      </c>
      <c r="N25" s="68" cm="1">
        <f t="array" ref="N25">SUMIF($K3:$K23,"&gt;0",N3:N23)</f>
        <v>86900000</v>
      </c>
      <c r="O25" s="69"/>
    </row>
    <row r="26" ht="21" customHeight="1">
      <c r="A26" s="71"/>
      <c r="B26" s="71"/>
      <c r="C26" s="71"/>
      <c r="D26" s="72"/>
      <c r="E26" s="72"/>
      <c r="F26" s="71"/>
      <c r="G26" s="72"/>
      <c r="H26" s="72"/>
      <c r="I26" s="71"/>
      <c r="J26" s="73"/>
      <c r="K26" t="str" s="73" cm="1">
        <f t="array" ref="K26">"PPN (C) = "&amp;MAX(K3:K23)&amp;"% x B"</f>
        <v>PPN (C) = 11,00% x B</v>
      </c>
      <c r="L26" s="74" cm="1">
        <f t="array" ref="L26">L25*MAX($K3:$K23)%</f>
        <v>9588700</v>
      </c>
      <c r="M26" s="74" cm="1">
        <f t="array" ref="M26">M25*MAX($K3:$K23)%</f>
        <v>9570000</v>
      </c>
      <c r="N26" s="74" cm="1">
        <f t="array" ref="N26">N25*MAX($K3:$K23)%</f>
        <v>9559000</v>
      </c>
      <c r="O26" s="69"/>
    </row>
    <row r="27" ht="21" customHeight="1">
      <c r="A27" s="71"/>
      <c r="B27" s="71"/>
      <c r="C27" s="71"/>
      <c r="D27" s="72"/>
      <c r="E27" s="72"/>
      <c r="F27" s="72"/>
      <c r="G27" s="72"/>
      <c r="H27" s="72"/>
      <c r="I27" s="71"/>
      <c r="J27" s="73"/>
      <c r="K27" t="s" s="75">
        <v>42</v>
      </c>
      <c r="L27" s="74" cm="1">
        <f t="array" ref="L27">L24+L26</f>
        <v>96990921</v>
      </c>
      <c r="M27" s="74" cm="1">
        <f t="array" ref="M27">M24+M26</f>
        <v>96778800</v>
      </c>
      <c r="N27" s="74" cm="1">
        <f t="array" ref="N27">N24+N26</f>
        <v>96667800</v>
      </c>
      <c r="O27" s="69"/>
    </row>
    <row r="28" ht="20.5" customHeight="1">
      <c r="A28" s="71"/>
      <c r="B28" s="71"/>
      <c r="C28" s="71"/>
      <c r="D28" s="72"/>
      <c r="E28" s="72"/>
      <c r="F28" s="72"/>
      <c r="G28" s="72"/>
      <c r="H28" s="72"/>
      <c r="I28" s="71"/>
      <c r="J28" s="73"/>
      <c r="K28" t="s" s="75">
        <v>43</v>
      </c>
      <c r="L28" s="74" cm="1">
        <f t="array" ref="L28">ROUNDDOWN(L27,2)</f>
        <v>96990921</v>
      </c>
      <c r="M28" s="74" cm="1">
        <f t="array" ref="M28">ROUNDDOWN(M27,2)</f>
        <v>96778800</v>
      </c>
      <c r="N28" s="74" cm="1">
        <f t="array" ref="N28">ROUNDDOWN(N27,-3)</f>
        <v>96667000</v>
      </c>
      <c r="O28" s="68"/>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65.xml><?xml version="1.0" encoding="utf-8"?>
<worksheet xmlns:r="http://schemas.openxmlformats.org/officeDocument/2006/relationships" xmlns="http://schemas.openxmlformats.org/spreadsheetml/2006/main">
  <sheetPr>
    <pageSetUpPr fitToPage="1"/>
  </sheetPr>
  <dimension ref="A1:O13"/>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7.17188" style="360" customWidth="1"/>
    <col min="2" max="2" width="43.0312" style="360" customWidth="1"/>
    <col min="3" max="3" width="2.75" style="360" customWidth="1"/>
    <col min="4" max="6" width="10.3672" style="360" customWidth="1"/>
    <col min="7" max="7" width="11.6875" style="360" customWidth="1"/>
    <col min="8" max="11" width="13.5156" style="360" customWidth="1"/>
    <col min="12" max="15" width="14.2344" style="360" customWidth="1"/>
    <col min="16" max="16384" width="16.3516" style="360" customWidth="1"/>
  </cols>
  <sheetData>
    <row r="1" ht="20.5" customHeight="1">
      <c r="A1" t="s" s="7">
        <v>6</v>
      </c>
      <c r="B1" t="s" s="7">
        <v>7</v>
      </c>
      <c r="C1" s="8"/>
      <c r="D1" t="s" s="7">
        <v>8</v>
      </c>
      <c r="E1" s="8"/>
      <c r="F1" s="8"/>
      <c r="G1" t="s" s="7">
        <v>9</v>
      </c>
      <c r="H1" t="s" s="7">
        <v>10</v>
      </c>
      <c r="I1" s="8"/>
      <c r="J1" s="8"/>
      <c r="K1" t="s" s="7">
        <v>11</v>
      </c>
      <c r="L1" t="s" s="7">
        <v>12</v>
      </c>
      <c r="M1" s="8"/>
      <c r="N1" s="8"/>
      <c r="O1" s="88"/>
    </row>
    <row r="2" ht="20.85" customHeight="1">
      <c r="A2" s="9"/>
      <c r="B2" s="9"/>
      <c r="C2" s="9"/>
      <c r="D2" t="s" s="10">
        <v>13</v>
      </c>
      <c r="E2" t="s" s="10">
        <v>14</v>
      </c>
      <c r="F2" t="s" s="10">
        <v>15</v>
      </c>
      <c r="G2" s="9"/>
      <c r="H2" t="s" s="10">
        <v>13</v>
      </c>
      <c r="I2" t="s" s="10">
        <v>14</v>
      </c>
      <c r="J2" t="s" s="10">
        <v>15</v>
      </c>
      <c r="K2" s="9"/>
      <c r="L2" t="s" s="10">
        <v>13</v>
      </c>
      <c r="M2" t="s" s="10">
        <v>14</v>
      </c>
      <c r="N2" t="s" s="10">
        <v>15</v>
      </c>
      <c r="O2" s="89"/>
    </row>
    <row r="3" ht="20.6" customHeight="1">
      <c r="A3" t="s" s="90">
        <v>51</v>
      </c>
      <c r="B3" t="s" s="12">
        <v>52</v>
      </c>
      <c r="C3" s="13"/>
      <c r="D3" s="14"/>
      <c r="E3" s="14"/>
      <c r="F3" s="14"/>
      <c r="G3" s="15"/>
      <c r="H3" s="15"/>
      <c r="I3" s="15"/>
      <c r="J3" s="15"/>
      <c r="K3" s="15"/>
      <c r="L3" t="str" s="16" cm="1">
        <f t="array" ref="L3">IF(D3&gt;0,IF($D3&lt;=0,0,D3*H3),"")</f>
      </c>
      <c r="M3" t="str" s="16" cm="1">
        <f t="array" ref="M3">IF(E3&gt;0,IF($D3&lt;=0,0,ROUND(E3*I3,2)),"")</f>
      </c>
      <c r="N3" t="str" s="16" cm="1">
        <f t="array" ref="N3">IF(F3&gt;0,IF($D3&lt;=0,0,ROUND(F3*J3,2)),"")</f>
      </c>
      <c r="O3" s="17"/>
    </row>
    <row r="4" ht="20.5" customHeight="1">
      <c r="A4" t="s" s="18">
        <v>53</v>
      </c>
      <c r="B4" t="s" s="19">
        <v>54</v>
      </c>
      <c r="C4" s="20"/>
      <c r="D4" s="21"/>
      <c r="E4" s="21"/>
      <c r="F4" s="21"/>
      <c r="G4" s="79"/>
      <c r="H4" s="21"/>
      <c r="I4" s="79"/>
      <c r="J4" s="21"/>
      <c r="K4" s="21"/>
      <c r="L4" t="str" s="79" cm="1">
        <f t="array" ref="L4">IF(D4&gt;0,IF($D4&lt;=0,0,D4*H4),"")</f>
      </c>
      <c r="M4" t="str" s="79" cm="1">
        <f t="array" ref="M4">IF(E4&gt;0,IF($D4&lt;=0,0,ROUND(E4*I4,2)),"")</f>
      </c>
      <c r="N4" t="str" s="79" cm="1">
        <f t="array" ref="N4">IF(F4&gt;0,IF($D4&lt;=0,0,ROUND(F4*J4,2)),"")</f>
      </c>
      <c r="O4" s="91"/>
    </row>
    <row r="5" ht="20.5" customHeight="1">
      <c r="A5" s="92">
        <v>1</v>
      </c>
      <c r="B5" t="s" s="19">
        <v>602</v>
      </c>
      <c r="C5" s="24"/>
      <c r="D5" s="26">
        <v>6</v>
      </c>
      <c r="E5" s="26" cm="1">
        <f t="array" ref="E5">D5</f>
        <v>6</v>
      </c>
      <c r="F5" s="26" cm="1">
        <f t="array" ref="F5">D5</f>
        <v>6</v>
      </c>
      <c r="G5" t="s" s="27">
        <v>56</v>
      </c>
      <c r="H5" s="26">
        <v>4700000</v>
      </c>
      <c r="I5" s="26">
        <v>4680000</v>
      </c>
      <c r="J5" s="26">
        <v>4680000</v>
      </c>
      <c r="K5" s="26">
        <v>11</v>
      </c>
      <c r="L5" s="26" cm="1">
        <f t="array" ref="L5">IF(D5&gt;0,IF($D5&lt;=0,0,D5*H5),"")</f>
        <v>28200000</v>
      </c>
      <c r="M5" s="26" cm="1">
        <f t="array" ref="M5">IF(E5&gt;0,IF($D5&lt;=0,0,ROUND(E5*I5,2)),"")</f>
        <v>28080000</v>
      </c>
      <c r="N5" s="26" cm="1">
        <f t="array" ref="N5">IF(F5&gt;0,IF($D5&lt;=0,0,ROUND(F5*J5,2)),"")</f>
        <v>28080000</v>
      </c>
      <c r="O5" s="28"/>
    </row>
    <row r="6" ht="20.5" customHeight="1">
      <c r="A6" t="s" s="18">
        <v>80</v>
      </c>
      <c r="B6" t="s" s="19">
        <v>81</v>
      </c>
      <c r="C6" s="20"/>
      <c r="D6" s="21"/>
      <c r="E6" s="21"/>
      <c r="F6" s="21"/>
      <c r="G6" s="79"/>
      <c r="H6" s="21"/>
      <c r="I6" s="21"/>
      <c r="J6" s="21"/>
      <c r="K6" s="21"/>
      <c r="L6" t="str" s="79" cm="1">
        <f t="array" ref="L6">IF(D6&gt;0,IF($D6&lt;=0,0,D6*H6),"")</f>
      </c>
      <c r="M6" t="str" s="79" cm="1">
        <f t="array" ref="M6">IF(E6&gt;0,IF($D6&lt;=0,0,ROUND(E6*I6,2)),"")</f>
      </c>
      <c r="N6" t="str" s="79" cm="1">
        <f t="array" ref="N6">IF(F6&gt;0,IF($D6&lt;=0,0,ROUND(F6*J6,2)),"")</f>
      </c>
      <c r="O6" s="91"/>
    </row>
    <row r="7" ht="20.5" customHeight="1">
      <c r="A7" s="29"/>
      <c r="B7" t="s" s="19">
        <v>82</v>
      </c>
      <c r="C7" s="24"/>
      <c r="D7" s="26">
        <v>1</v>
      </c>
      <c r="E7" s="26" cm="1">
        <f t="array" ref="E7">D7</f>
        <v>1</v>
      </c>
      <c r="F7" s="26" cm="1">
        <f t="array" ref="F7">D7</f>
        <v>1</v>
      </c>
      <c r="G7" t="s" s="27">
        <v>19</v>
      </c>
      <c r="H7" s="26">
        <v>75124.8</v>
      </c>
      <c r="I7" s="26">
        <v>67392</v>
      </c>
      <c r="J7" s="26">
        <v>67392</v>
      </c>
      <c r="K7" s="26">
        <v>0</v>
      </c>
      <c r="L7" s="26" cm="1">
        <f t="array" ref="L7">IF(D7&gt;0,IF($D7&lt;=0,0,D7*H7),"")</f>
        <v>75124.8</v>
      </c>
      <c r="M7" s="26" cm="1">
        <f t="array" ref="M7">IF(E7&gt;0,IF($D7&lt;=0,0,ROUND(E7*I7,2)),"")</f>
        <v>67392</v>
      </c>
      <c r="N7" s="26" cm="1">
        <f t="array" ref="N7">IF(F7&gt;0,IF($D7&lt;=0,0,ROUND(F7*J7,2)),"")</f>
        <v>67392</v>
      </c>
      <c r="O7" s="28"/>
    </row>
    <row r="8" ht="20.6" customHeight="1">
      <c r="A8" s="96"/>
      <c r="B8" s="97"/>
      <c r="C8" s="35"/>
      <c r="D8" s="36"/>
      <c r="E8" s="36"/>
      <c r="F8" s="36"/>
      <c r="G8" s="101"/>
      <c r="H8" s="36"/>
      <c r="I8" s="36"/>
      <c r="J8" s="36"/>
      <c r="K8" s="36"/>
      <c r="L8" t="str" s="101" cm="1">
        <f t="array" ref="L8">IF(D8&gt;0,IF($D8&lt;=0,0,D8*H8),"")</f>
      </c>
      <c r="M8" t="str" s="101" cm="1">
        <f t="array" ref="M8">IF(E8&gt;0,IF($D8&lt;=0,0,ROUND(E8*I8,2)),"")</f>
      </c>
      <c r="N8" t="str" s="101" cm="1">
        <f t="array" ref="N8">IF(F8&gt;0,IF($D8&lt;=0,0,ROUND(F8*J8,2)),"")</f>
      </c>
      <c r="O8" s="102"/>
    </row>
    <row r="9" ht="20.85" customHeight="1">
      <c r="A9" s="54"/>
      <c r="B9" s="54"/>
      <c r="C9" s="54"/>
      <c r="D9" s="55"/>
      <c r="E9" s="55"/>
      <c r="F9" s="55"/>
      <c r="G9" s="56"/>
      <c r="H9" s="56"/>
      <c r="I9" s="54"/>
      <c r="J9" s="57"/>
      <c r="K9" t="s" s="58">
        <v>38</v>
      </c>
      <c r="L9" s="59" cm="1">
        <f t="array" ref="L9">SUM(L1:L8)</f>
        <v>28275124.8</v>
      </c>
      <c r="M9" s="59" cm="1">
        <f t="array" ref="M9">SUM(M1:M8)</f>
        <v>28147392</v>
      </c>
      <c r="N9" s="59" cm="1">
        <f t="array" ref="N9">SUM(N1:N8)</f>
        <v>28147392</v>
      </c>
      <c r="O9" s="59"/>
    </row>
    <row r="10" ht="21" customHeight="1">
      <c r="A10" s="62"/>
      <c r="B10" t="s" s="61">
        <v>39</v>
      </c>
      <c r="C10" s="62"/>
      <c r="D10" s="63" cm="1">
        <f t="array" ref="D10">ROUND(IF(L10&lt;=100000000,L10*0.24%,IF(AND(L10&gt;100000000,L10&lt;=500000000),100000000*0.24%+(L10-100000000)*0.19%,IF(AND(L10&gt;500000000,L10&lt;=1000000000),100000000*0.24%+400000000*0.19%+(L10-500000000)*0.15%,IF(AND(L10&gt;1000000000,L10&lt;=5000000000),100000000*0.24%+400000000*0.19%+500000000*0.15%+(L10-1000000000)*0.12%,IF(L10&gt;5000000000,100000000*0.24%+400000000*0.19%+500000000*0.15%+4000000000*0.12%+(L10-5000000000)*0.1%,"Bingung komputer"))))),2)</f>
        <v>67680</v>
      </c>
      <c r="E10" s="64" cm="1">
        <f t="array" ref="E10">ROUND(IF(M10&lt;=100000000,M10*0.24%,IF(AND(M10&gt;100000000,M10&lt;=500000000),100000000*0.24%+(M10-100000000)*0.19%,IF(AND(M10&gt;500000000,M10&lt;=1000000000),100000000*0.24%+400000000*0.19%+(M10-500000000)*0.15%,IF(AND(M10&gt;1000000000,M10&lt;=5000000000),100000000*0.24%+400000000*0.19%+500000000*0.15%+(M10-1000000000)*0.12%,IF(M10&gt;5000000000,100000000*0.24%+400000000*0.19%+500000000*0.15%+4000000000*0.12%+(M10-5000000000)*0.1%,"Bingung komputer"))))),2)</f>
        <v>67392</v>
      </c>
      <c r="F10" s="64" cm="1">
        <f t="array" ref="F10">ROUND(IF(N10&lt;=100000000,N10*0.24%,IF(AND(N10&gt;100000000,N10&lt;=500000000),100000000*0.24%+(N10-100000000)*0.19%,IF(AND(N10&gt;500000000,N10&lt;=1000000000),100000000*0.24%+400000000*0.19%+(N10-500000000)*0.15%,IF(AND(N10&gt;1000000000,N10&lt;=5000000000),100000000*0.24%+400000000*0.19%+500000000*0.15%+(N10-1000000000)*0.12%,IF(N10&gt;5000000000,100000000*0.24%+400000000*0.19%+500000000*0.15%+4000000000*0.12%+(N10-5000000000)*0.1%,"Bingung komputer"))))),2)</f>
        <v>67392</v>
      </c>
      <c r="G10" s="65"/>
      <c r="H10" s="66"/>
      <c r="I10" s="62"/>
      <c r="J10" s="67"/>
      <c r="K10" t="str" s="67" cm="1">
        <f t="array" ref="K10">"Jumlah Terkena Pajak "&amp;MAX(K3:K8)&amp;"% (B)"</f>
        <v>Jumlah Terkena Pajak 11,00% (B)</v>
      </c>
      <c r="L10" s="68" cm="1">
        <f t="array" ref="L10">SUMIF($K3:$K8,"&gt;0",L3:L8)</f>
        <v>28200000</v>
      </c>
      <c r="M10" s="68" cm="1">
        <f t="array" ref="M10">SUMIF($K3:$K8,"&gt;0",M3:M8)</f>
        <v>28080000</v>
      </c>
      <c r="N10" s="68" cm="1">
        <f t="array" ref="N10">SUMIF($K3:$K8,"&gt;0",N3:N8)</f>
        <v>28080000</v>
      </c>
      <c r="O10" s="69"/>
    </row>
    <row r="11" ht="21" customHeight="1">
      <c r="A11" s="71"/>
      <c r="B11" s="71"/>
      <c r="C11" s="71"/>
      <c r="D11" s="72"/>
      <c r="E11" s="72"/>
      <c r="F11" s="71"/>
      <c r="G11" s="72"/>
      <c r="H11" s="72"/>
      <c r="I11" s="71"/>
      <c r="J11" s="73"/>
      <c r="K11" t="str" s="73" cm="1">
        <f t="array" ref="K11">"PPN (C) = "&amp;MAX(K3:K8)&amp;"% x B"</f>
        <v>PPN (C) = 11,00% x B</v>
      </c>
      <c r="L11" s="74" cm="1">
        <f t="array" ref="L11">L10*MAX($K3:$K8)%</f>
        <v>3102000</v>
      </c>
      <c r="M11" s="74" cm="1">
        <f t="array" ref="M11">M10*MAX($K3:$K8)%</f>
        <v>3088800</v>
      </c>
      <c r="N11" s="74" cm="1">
        <f t="array" ref="N11">N10*MAX($K3:$K8)%</f>
        <v>3088800</v>
      </c>
      <c r="O11" s="69"/>
    </row>
    <row r="12" ht="21" customHeight="1">
      <c r="A12" s="71"/>
      <c r="B12" s="71"/>
      <c r="C12" s="71"/>
      <c r="D12" s="72"/>
      <c r="E12" s="72"/>
      <c r="F12" s="72"/>
      <c r="G12" s="72"/>
      <c r="H12" s="72"/>
      <c r="I12" s="71"/>
      <c r="J12" s="73"/>
      <c r="K12" t="s" s="75">
        <v>42</v>
      </c>
      <c r="L12" s="74" cm="1">
        <f t="array" ref="L12">L9+L11</f>
        <v>31377124.8</v>
      </c>
      <c r="M12" s="74" cm="1">
        <f t="array" ref="M12">M9+M11</f>
        <v>31236192</v>
      </c>
      <c r="N12" s="74" cm="1">
        <f t="array" ref="N12">N9+N11</f>
        <v>31236192</v>
      </c>
      <c r="O12" s="69"/>
    </row>
    <row r="13" ht="20.5" customHeight="1">
      <c r="A13" s="71"/>
      <c r="B13" s="71"/>
      <c r="C13" s="71"/>
      <c r="D13" s="72"/>
      <c r="E13" s="72"/>
      <c r="F13" s="72"/>
      <c r="G13" s="72"/>
      <c r="H13" s="72"/>
      <c r="I13" s="71"/>
      <c r="J13" s="73"/>
      <c r="K13" t="s" s="75">
        <v>43</v>
      </c>
      <c r="L13" s="74" cm="1">
        <f t="array" ref="L13">ROUNDDOWN(L12,2)</f>
        <v>31377124.8</v>
      </c>
      <c r="M13" s="74" cm="1">
        <f t="array" ref="M13">ROUNDDOWN(M12,2)</f>
        <v>31236192</v>
      </c>
      <c r="N13" s="74" cm="1">
        <f t="array" ref="N13">ROUNDDOWN(N12,-3)</f>
        <v>31236000</v>
      </c>
      <c r="O13" s="68"/>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66.xml><?xml version="1.0" encoding="utf-8"?>
<worksheet xmlns:r="http://schemas.openxmlformats.org/officeDocument/2006/relationships" xmlns="http://schemas.openxmlformats.org/spreadsheetml/2006/main">
  <sheetPr>
    <pageSetUpPr fitToPage="1"/>
  </sheetPr>
  <dimension ref="A1:O28"/>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7.17188" style="361" customWidth="1"/>
    <col min="2" max="2" width="43.0312" style="361" customWidth="1"/>
    <col min="3" max="3" width="2.75" style="361" customWidth="1"/>
    <col min="4" max="6" width="10.3672" style="361" customWidth="1"/>
    <col min="7" max="7" width="11.6875" style="361" customWidth="1"/>
    <col min="8" max="11" width="13.5156" style="361" customWidth="1"/>
    <col min="12" max="15" width="14.2344" style="361" customWidth="1"/>
    <col min="16" max="16384" width="16.3516" style="361" customWidth="1"/>
  </cols>
  <sheetData>
    <row r="1" ht="20.5" customHeight="1">
      <c r="A1" t="s" s="7">
        <v>6</v>
      </c>
      <c r="B1" t="s" s="7">
        <v>7</v>
      </c>
      <c r="C1" s="8"/>
      <c r="D1" t="s" s="7">
        <v>8</v>
      </c>
      <c r="E1" s="8"/>
      <c r="F1" s="8"/>
      <c r="G1" t="s" s="7">
        <v>9</v>
      </c>
      <c r="H1" t="s" s="7">
        <v>10</v>
      </c>
      <c r="I1" s="8"/>
      <c r="J1" s="8"/>
      <c r="K1" t="s" s="7">
        <v>11</v>
      </c>
      <c r="L1" t="s" s="7">
        <v>12</v>
      </c>
      <c r="M1" s="8"/>
      <c r="N1" s="8"/>
      <c r="O1" s="88"/>
    </row>
    <row r="2" ht="20.85" customHeight="1">
      <c r="A2" s="9"/>
      <c r="B2" s="9"/>
      <c r="C2" s="9"/>
      <c r="D2" t="s" s="10">
        <v>13</v>
      </c>
      <c r="E2" t="s" s="10">
        <v>14</v>
      </c>
      <c r="F2" t="s" s="10">
        <v>15</v>
      </c>
      <c r="G2" s="9"/>
      <c r="H2" t="s" s="10">
        <v>13</v>
      </c>
      <c r="I2" t="s" s="10">
        <v>14</v>
      </c>
      <c r="J2" t="s" s="10">
        <v>15</v>
      </c>
      <c r="K2" s="9"/>
      <c r="L2" t="s" s="10">
        <v>13</v>
      </c>
      <c r="M2" t="s" s="10">
        <v>14</v>
      </c>
      <c r="N2" t="s" s="10">
        <v>15</v>
      </c>
      <c r="O2" s="89"/>
    </row>
    <row r="3" ht="20.6" customHeight="1">
      <c r="A3" t="s" s="90">
        <v>51</v>
      </c>
      <c r="B3" t="s" s="12">
        <v>52</v>
      </c>
      <c r="C3" s="13"/>
      <c r="D3" s="14"/>
      <c r="E3" s="14"/>
      <c r="F3" s="14"/>
      <c r="G3" s="15"/>
      <c r="H3" s="15"/>
      <c r="I3" s="15"/>
      <c r="J3" s="15"/>
      <c r="K3" s="15"/>
      <c r="L3" t="str" s="16" cm="1">
        <f t="array" ref="L3">IF(D3&gt;0,IF($D3&lt;=0,0,D3*H3),"")</f>
      </c>
      <c r="M3" t="str" s="16" cm="1">
        <f t="array" ref="M3">IF(E3&gt;0,IF($D3&lt;=0,0,ROUND(E3*I3,2)),"")</f>
      </c>
      <c r="N3" t="str" s="16" cm="1">
        <f t="array" ref="N3">IF(F3&gt;0,IF($D3&lt;=0,0,ROUND(F3*J3,2)),"")</f>
      </c>
      <c r="O3" s="17"/>
    </row>
    <row r="4" ht="20.5" customHeight="1">
      <c r="A4" t="s" s="18">
        <v>53</v>
      </c>
      <c r="B4" t="s" s="19">
        <v>54</v>
      </c>
      <c r="C4" s="20"/>
      <c r="D4" s="21"/>
      <c r="E4" s="21"/>
      <c r="F4" s="21"/>
      <c r="G4" s="79"/>
      <c r="H4" s="21"/>
      <c r="I4" s="79"/>
      <c r="J4" s="21"/>
      <c r="K4" s="21"/>
      <c r="L4" t="str" s="79" cm="1">
        <f t="array" ref="L4">IF(D4&gt;0,IF($D4&lt;=0,0,D4*H4),"")</f>
      </c>
      <c r="M4" t="str" s="79" cm="1">
        <f t="array" ref="M4">IF(E4&gt;0,IF($D4&lt;=0,0,ROUND(E4*I4,2)),"")</f>
      </c>
      <c r="N4" t="str" s="79" cm="1">
        <f t="array" ref="N4">IF(F4&gt;0,IF($D4&lt;=0,0,ROUND(F4*J4,2)),"")</f>
      </c>
      <c r="O4" s="91"/>
    </row>
    <row r="5" ht="20.5" customHeight="1">
      <c r="A5" s="92">
        <v>1</v>
      </c>
      <c r="B5" t="s" s="19">
        <v>57</v>
      </c>
      <c r="C5" s="24"/>
      <c r="D5" s="26">
        <v>1</v>
      </c>
      <c r="E5" s="26" cm="1">
        <f t="array" ref="E5">D5</f>
        <v>1</v>
      </c>
      <c r="F5" s="26" cm="1">
        <f t="array" ref="F5">D5</f>
        <v>1</v>
      </c>
      <c r="G5" t="s" s="27">
        <v>56</v>
      </c>
      <c r="H5" s="26">
        <v>3000000</v>
      </c>
      <c r="I5" s="26">
        <v>3000000</v>
      </c>
      <c r="J5" s="26">
        <v>3000000</v>
      </c>
      <c r="K5" s="26">
        <v>11</v>
      </c>
      <c r="L5" s="26" cm="1">
        <f t="array" ref="L5">IF(D5&gt;0,IF($D5&lt;=0,0,D5*H5),"")</f>
        <v>3000000</v>
      </c>
      <c r="M5" s="26" cm="1">
        <f t="array" ref="M5">IF(E5&gt;0,IF($D5&lt;=0,0,ROUND(E5*I5,2)),"")</f>
        <v>3000000</v>
      </c>
      <c r="N5" s="26" cm="1">
        <f t="array" ref="N5">IF(F5&gt;0,IF($D5&lt;=0,0,ROUND(F5*J5,2)),"")</f>
        <v>3000000</v>
      </c>
      <c r="O5" s="28" cm="1">
        <f t="array" ref="O5">H5*D5*(1+(K5/100))</f>
        <v>3330000</v>
      </c>
    </row>
    <row r="6" ht="20.5" customHeight="1">
      <c r="A6" t="s" s="93">
        <v>58</v>
      </c>
      <c r="B6" t="s" s="19">
        <v>59</v>
      </c>
      <c r="C6" s="20"/>
      <c r="D6" s="21"/>
      <c r="E6" s="21"/>
      <c r="F6" s="21"/>
      <c r="G6" s="79"/>
      <c r="H6" s="79"/>
      <c r="I6" s="21"/>
      <c r="J6" s="21"/>
      <c r="K6" s="21"/>
      <c r="L6" t="str" s="79" cm="1">
        <f t="array" ref="L6">IF(D6&gt;0,IF($D6&lt;=0,0,D6*H6),"")</f>
      </c>
      <c r="M6" t="str" s="79" cm="1">
        <f t="array" ref="M6">IF(E6&gt;0,IF($D6&lt;=0,0,ROUND(E6*I6,2)),"")</f>
      </c>
      <c r="N6" t="str" s="79" cm="1">
        <f t="array" ref="N6">IF(F6&gt;0,IF($D6&lt;=0,0,ROUND(F6*J6,2)),"")</f>
      </c>
      <c r="O6" s="91"/>
    </row>
    <row r="7" ht="20.5" customHeight="1">
      <c r="A7" t="s" s="18">
        <v>53</v>
      </c>
      <c r="B7" t="s" s="19">
        <v>60</v>
      </c>
      <c r="C7" s="24"/>
      <c r="D7" s="26"/>
      <c r="E7" s="26"/>
      <c r="F7" s="26"/>
      <c r="G7" s="30"/>
      <c r="H7" s="30"/>
      <c r="I7" s="26"/>
      <c r="J7" s="26"/>
      <c r="K7" s="26"/>
      <c r="L7" t="str" s="30" cm="1">
        <f t="array" ref="L7">IF(D7&gt;0,IF($D7&lt;=0,0,D7*H7),"")</f>
      </c>
      <c r="M7" t="str" s="30" cm="1">
        <f t="array" ref="M7">IF(E7&gt;0,IF($D7&lt;=0,0,ROUND(E7*I7,2)),"")</f>
      </c>
      <c r="N7" t="str" s="30" cm="1">
        <f t="array" ref="N7">IF(F7&gt;0,IF($D7&lt;=0,0,ROUND(F7*J7,2)),"")</f>
      </c>
      <c r="O7" s="31"/>
    </row>
    <row r="8" ht="20.5" customHeight="1">
      <c r="A8" s="94">
        <v>1</v>
      </c>
      <c r="B8" t="s" s="19">
        <v>513</v>
      </c>
      <c r="C8" s="20"/>
      <c r="D8" s="21">
        <v>2</v>
      </c>
      <c r="E8" s="21" cm="1">
        <f t="array" ref="E8">D8</f>
        <v>2</v>
      </c>
      <c r="F8" s="21" cm="1">
        <f t="array" ref="F8">D8</f>
        <v>2</v>
      </c>
      <c r="G8" t="s" s="22">
        <v>62</v>
      </c>
      <c r="H8" s="21">
        <v>360000</v>
      </c>
      <c r="I8" s="21">
        <v>350000</v>
      </c>
      <c r="J8" s="21">
        <v>350000</v>
      </c>
      <c r="K8" s="21">
        <v>11</v>
      </c>
      <c r="L8" s="21" cm="1">
        <f t="array" ref="L8">IF(D8&gt;0,IF($D8&lt;=0,0,D8*H8),"")</f>
        <v>720000</v>
      </c>
      <c r="M8" s="21" cm="1">
        <f t="array" ref="M8">IF(E8&gt;0,IF($D8&lt;=0,0,ROUND(E8*I8,2)),"")</f>
        <v>700000</v>
      </c>
      <c r="N8" s="21" cm="1">
        <f t="array" ref="N8">IF(F8&gt;0,IF($D8&lt;=0,0,ROUND(F8*J8,2)),"")</f>
        <v>700000</v>
      </c>
      <c r="O8" s="23" cm="1">
        <f t="array" ref="O8">H8*D8*(1+(K8/100))</f>
        <v>799200</v>
      </c>
    </row>
    <row r="9" ht="20.5" customHeight="1">
      <c r="A9" s="95">
        <v>2</v>
      </c>
      <c r="B9" t="s" s="19">
        <v>604</v>
      </c>
      <c r="C9" s="24"/>
      <c r="D9" s="26">
        <v>2</v>
      </c>
      <c r="E9" s="26" cm="1">
        <f t="array" ref="E9">D9</f>
        <v>2</v>
      </c>
      <c r="F9" s="26" cm="1">
        <f t="array" ref="F9">D9</f>
        <v>2</v>
      </c>
      <c r="G9" t="s" s="27">
        <v>62</v>
      </c>
      <c r="H9" s="26">
        <v>250000</v>
      </c>
      <c r="I9" s="26">
        <v>240000</v>
      </c>
      <c r="J9" s="26">
        <v>240000</v>
      </c>
      <c r="K9" s="26">
        <v>11</v>
      </c>
      <c r="L9" s="26" cm="1">
        <f t="array" ref="L9">IF(D9&gt;0,IF($D9&lt;=0,0,D9*H9),"")</f>
        <v>500000</v>
      </c>
      <c r="M9" s="26" cm="1">
        <f t="array" ref="M9">IF(E9&gt;0,IF($D9&lt;=0,0,ROUND(E9*I9,2)),"")</f>
        <v>480000</v>
      </c>
      <c r="N9" s="26" cm="1">
        <f t="array" ref="N9">IF(F9&gt;0,IF($D9&lt;=0,0,ROUND(F9*J9,2)),"")</f>
        <v>480000</v>
      </c>
      <c r="O9" s="28" cm="1">
        <f t="array" ref="O9">H9*D9*(1+(K9/100))</f>
        <v>555000</v>
      </c>
    </row>
    <row r="10" ht="20.5" customHeight="1">
      <c r="A10" s="94">
        <v>3</v>
      </c>
      <c r="B10" t="s" s="19">
        <v>514</v>
      </c>
      <c r="C10" s="20"/>
      <c r="D10" s="21">
        <v>2</v>
      </c>
      <c r="E10" s="21" cm="1">
        <f t="array" ref="E10">D10</f>
        <v>2</v>
      </c>
      <c r="F10" s="21" cm="1">
        <f t="array" ref="F10">D10</f>
        <v>2</v>
      </c>
      <c r="G10" t="s" s="22">
        <v>79</v>
      </c>
      <c r="H10" s="21">
        <v>100000</v>
      </c>
      <c r="I10" s="21">
        <v>100000</v>
      </c>
      <c r="J10" s="21">
        <v>100000</v>
      </c>
      <c r="K10" s="21">
        <v>11</v>
      </c>
      <c r="L10" s="21" cm="1">
        <f t="array" ref="L10">IF(D10&gt;0,IF($D10&lt;=0,0,D10*H10),"")</f>
        <v>200000</v>
      </c>
      <c r="M10" s="21" cm="1">
        <f t="array" ref="M10">IF(E10&gt;0,IF($D10&lt;=0,0,ROUND(E10*I10,2)),"")</f>
        <v>200000</v>
      </c>
      <c r="N10" s="21" cm="1">
        <f t="array" ref="N10">IF(F10&gt;0,IF($D10&lt;=0,0,ROUND(F10*J10,2)),"")</f>
        <v>200000</v>
      </c>
      <c r="O10" s="23" cm="1">
        <f t="array" ref="O10">H10*D10*(1+(K10/100))</f>
        <v>222000</v>
      </c>
    </row>
    <row r="11" ht="32.5" customHeight="1">
      <c r="A11" s="95">
        <v>4</v>
      </c>
      <c r="B11" t="s" s="19">
        <v>63</v>
      </c>
      <c r="C11" s="24"/>
      <c r="D11" s="26">
        <v>1</v>
      </c>
      <c r="E11" s="26" cm="1">
        <f t="array" ref="E11">D11</f>
        <v>1</v>
      </c>
      <c r="F11" s="26" cm="1">
        <f t="array" ref="F11">D11</f>
        <v>1</v>
      </c>
      <c r="G11" t="s" s="27">
        <v>515</v>
      </c>
      <c r="H11" s="26">
        <v>803000</v>
      </c>
      <c r="I11" s="26">
        <v>800000</v>
      </c>
      <c r="J11" s="26">
        <v>800000</v>
      </c>
      <c r="K11" s="26">
        <v>11</v>
      </c>
      <c r="L11" s="26" cm="1">
        <f t="array" ref="L11">IF(D11&gt;0,IF($D11&lt;=0,0,D11*H11),"")</f>
        <v>803000</v>
      </c>
      <c r="M11" s="26" cm="1">
        <f t="array" ref="M11">IF(E11&gt;0,IF($D11&lt;=0,0,ROUND(E11*I11,2)),"")</f>
        <v>800000</v>
      </c>
      <c r="N11" s="26" cm="1">
        <f t="array" ref="N11">IF(F11&gt;0,IF($D11&lt;=0,0,ROUND(F11*J11,2)),"")</f>
        <v>800000</v>
      </c>
      <c r="O11" s="28" cm="1">
        <f t="array" ref="O11">H11*D11*(1+(K11/100))</f>
        <v>891330</v>
      </c>
    </row>
    <row r="12" ht="20.5" customHeight="1">
      <c r="A12" s="95">
        <v>5</v>
      </c>
      <c r="B12" t="s" s="19">
        <v>65</v>
      </c>
      <c r="C12" s="20"/>
      <c r="D12" s="21">
        <v>1</v>
      </c>
      <c r="E12" s="21" cm="1">
        <f t="array" ref="E12">D12</f>
        <v>1</v>
      </c>
      <c r="F12" s="21" cm="1">
        <f t="array" ref="F12">D12</f>
        <v>1</v>
      </c>
      <c r="G12" t="s" s="22">
        <v>62</v>
      </c>
      <c r="H12" s="21">
        <v>1800000</v>
      </c>
      <c r="I12" s="21">
        <v>1800000</v>
      </c>
      <c r="J12" s="21">
        <v>1800000</v>
      </c>
      <c r="K12" s="21">
        <v>11</v>
      </c>
      <c r="L12" s="21" cm="1">
        <f t="array" ref="L12">IF(D12&gt;0,IF($D12&lt;=0,0,D12*H12),"")</f>
        <v>1800000</v>
      </c>
      <c r="M12" s="21" cm="1">
        <f t="array" ref="M12">IF(E12&gt;0,IF($D12&lt;=0,0,ROUND(E12*I12,2)),"")</f>
        <v>1800000</v>
      </c>
      <c r="N12" s="21" cm="1">
        <f t="array" ref="N12">IF(F12&gt;0,IF($D12&lt;=0,0,ROUND(F12*J12,2)),"")</f>
        <v>1800000</v>
      </c>
      <c r="O12" s="23" cm="1">
        <f t="array" ref="O12">H12*D12*(1+(K12/100))</f>
        <v>1998000</v>
      </c>
    </row>
    <row r="13" ht="20.5" customHeight="1">
      <c r="A13" s="94"/>
      <c r="B13" t="s" s="19">
        <v>66</v>
      </c>
      <c r="C13" s="24"/>
      <c r="D13" s="26"/>
      <c r="E13" s="26"/>
      <c r="F13" s="26"/>
      <c r="G13" s="30"/>
      <c r="H13" s="30"/>
      <c r="I13" s="26"/>
      <c r="J13" s="26"/>
      <c r="K13" s="26"/>
      <c r="L13" t="str" s="30" cm="1">
        <f t="array" ref="L13">IF(D13&gt;0,IF($D13&lt;=0,0,D13*H13),"")</f>
      </c>
      <c r="M13" t="str" s="30" cm="1">
        <f t="array" ref="M13">IF(E13&gt;0,IF($D13&lt;=0,0,ROUND(E13*I13,2)),"")</f>
      </c>
      <c r="N13" t="str" s="30" cm="1">
        <f t="array" ref="N13">IF(F13&gt;0,IF($D13&lt;=0,0,ROUND(F13*J13,2)),"")</f>
      </c>
      <c r="O13" s="28" cm="1">
        <f t="array" ref="O13">H13*D13*(1+(K13/100))</f>
        <v>0</v>
      </c>
    </row>
    <row r="14" ht="20.5" customHeight="1">
      <c r="A14" s="94">
        <v>6</v>
      </c>
      <c r="B14" t="s" s="19">
        <v>67</v>
      </c>
      <c r="C14" s="20"/>
      <c r="D14" s="21">
        <v>1</v>
      </c>
      <c r="E14" s="21" cm="1">
        <f t="array" ref="E14">D14</f>
        <v>1</v>
      </c>
      <c r="F14" s="21" cm="1">
        <f t="array" ref="F14">D14</f>
        <v>1</v>
      </c>
      <c r="G14" t="s" s="22">
        <v>68</v>
      </c>
      <c r="H14" s="21">
        <v>55000</v>
      </c>
      <c r="I14" s="21">
        <v>55000</v>
      </c>
      <c r="J14" s="21">
        <v>55000</v>
      </c>
      <c r="K14" s="21">
        <v>11</v>
      </c>
      <c r="L14" s="21" cm="1">
        <f t="array" ref="L14">IF(D14&gt;0,IF($D14&lt;=0,0,D14*H14),"")</f>
        <v>55000</v>
      </c>
      <c r="M14" s="21" cm="1">
        <f t="array" ref="M14">IF(E14&gt;0,IF($D14&lt;=0,0,ROUND(E14*I14,2)),"")</f>
        <v>55000</v>
      </c>
      <c r="N14" s="21" cm="1">
        <f t="array" ref="N14">IF(F14&gt;0,IF($D14&lt;=0,0,ROUND(F14*J14,2)),"")</f>
        <v>55000</v>
      </c>
      <c r="O14" s="23" cm="1">
        <f t="array" ref="O14">H14*D14*(1+(K14/100))</f>
        <v>61050</v>
      </c>
    </row>
    <row r="15" ht="20.5" customHeight="1">
      <c r="A15" s="94">
        <v>7</v>
      </c>
      <c r="B15" t="s" s="19">
        <v>605</v>
      </c>
      <c r="C15" s="24"/>
      <c r="D15" s="26">
        <v>1</v>
      </c>
      <c r="E15" s="26" cm="1">
        <f t="array" ref="E15">D15</f>
        <v>1</v>
      </c>
      <c r="F15" s="26" cm="1">
        <f t="array" ref="F15">D15</f>
        <v>1</v>
      </c>
      <c r="G15" t="s" s="27">
        <v>68</v>
      </c>
      <c r="H15" s="26">
        <v>250000</v>
      </c>
      <c r="I15" s="26">
        <v>250000</v>
      </c>
      <c r="J15" s="26">
        <v>250000</v>
      </c>
      <c r="K15" s="26">
        <v>11</v>
      </c>
      <c r="L15" s="26" cm="1">
        <f t="array" ref="L15">IF(D15&gt;0,IF($D15&lt;=0,0,D15*H15),"")</f>
        <v>250000</v>
      </c>
      <c r="M15" s="26" cm="1">
        <f t="array" ref="M15">IF(E15&gt;0,IF($D15&lt;=0,0,ROUND(E15*I15,2)),"")</f>
        <v>250000</v>
      </c>
      <c r="N15" s="26" cm="1">
        <f t="array" ref="N15">IF(F15&gt;0,IF($D15&lt;=0,0,ROUND(F15*J15,2)),"")</f>
        <v>250000</v>
      </c>
      <c r="O15" s="28" cm="1">
        <f t="array" ref="O15">H15*D15*(1+(K15/100))</f>
        <v>277500</v>
      </c>
    </row>
    <row r="16" ht="20.5" customHeight="1">
      <c r="A16" s="29"/>
      <c r="B16" t="s" s="19">
        <v>70</v>
      </c>
      <c r="C16" s="20"/>
      <c r="D16" s="21"/>
      <c r="E16" s="21"/>
      <c r="F16" s="21"/>
      <c r="G16" s="79"/>
      <c r="H16" s="79"/>
      <c r="I16" s="21"/>
      <c r="J16" s="21"/>
      <c r="K16" s="21"/>
      <c r="L16" t="str" s="79" cm="1">
        <f t="array" ref="L16">IF(D16&gt;0,IF($D16&lt;=0,0,D16*H16),"")</f>
      </c>
      <c r="M16" t="str" s="79" cm="1">
        <f t="array" ref="M16">IF(E16&gt;0,IF($D16&lt;=0,0,ROUND(E16*I16,2)),"")</f>
      </c>
      <c r="N16" t="str" s="79" cm="1">
        <f t="array" ref="N16">IF(F16&gt;0,IF($D16&lt;=0,0,ROUND(F16*J16,2)),"")</f>
      </c>
      <c r="O16" s="23" cm="1">
        <f t="array" ref="O16">H16*D16*(1+(K16/100))</f>
        <v>0</v>
      </c>
    </row>
    <row r="17" ht="20.5" customHeight="1">
      <c r="A17" s="95">
        <v>1</v>
      </c>
      <c r="B17" t="s" s="19">
        <v>74</v>
      </c>
      <c r="C17" s="24"/>
      <c r="D17" s="26">
        <v>3</v>
      </c>
      <c r="E17" s="26" cm="1">
        <f t="array" ref="E17">D17</f>
        <v>3</v>
      </c>
      <c r="F17" s="26" cm="1">
        <f t="array" ref="F17">D17</f>
        <v>3</v>
      </c>
      <c r="G17" t="s" s="27">
        <v>75</v>
      </c>
      <c r="H17" s="26">
        <v>350000</v>
      </c>
      <c r="I17" s="26">
        <v>350000</v>
      </c>
      <c r="J17" s="26">
        <v>350000</v>
      </c>
      <c r="K17" s="26">
        <v>11</v>
      </c>
      <c r="L17" s="26" cm="1">
        <f t="array" ref="L17">IF(D17&gt;0,IF($D17&lt;=0,0,D17*H17),"")</f>
        <v>1050000</v>
      </c>
      <c r="M17" s="26" cm="1">
        <f t="array" ref="M17">IF(E17&gt;0,IF($D17&lt;=0,0,ROUND(E17*I17,2)),"")</f>
        <v>1050000</v>
      </c>
      <c r="N17" s="26" cm="1">
        <f t="array" ref="N17">IF(F17&gt;0,IF($D17&lt;=0,0,ROUND(F17*J17,2)),"")</f>
        <v>1050000</v>
      </c>
      <c r="O17" s="28" cm="1">
        <f t="array" ref="O17">H17*D17*(1+(K17/100))</f>
        <v>1165500</v>
      </c>
    </row>
    <row r="18" ht="20.5" customHeight="1">
      <c r="A18" s="95">
        <v>2</v>
      </c>
      <c r="B18" t="s" s="19">
        <v>76</v>
      </c>
      <c r="C18" s="20"/>
      <c r="D18" s="21">
        <v>3</v>
      </c>
      <c r="E18" s="21" cm="1">
        <f t="array" ref="E18">D18</f>
        <v>3</v>
      </c>
      <c r="F18" s="21" cm="1">
        <f t="array" ref="F18">D18</f>
        <v>3</v>
      </c>
      <c r="G18" t="s" s="22">
        <v>75</v>
      </c>
      <c r="H18" s="21">
        <v>250000</v>
      </c>
      <c r="I18" s="21">
        <v>250000</v>
      </c>
      <c r="J18" s="21">
        <v>250000</v>
      </c>
      <c r="K18" s="21">
        <v>11</v>
      </c>
      <c r="L18" s="21" cm="1">
        <f t="array" ref="L18">IF(D18&gt;0,IF($D18&lt;=0,0,D18*H18),"")</f>
        <v>750000</v>
      </c>
      <c r="M18" s="21" cm="1">
        <f t="array" ref="M18">IF(E18&gt;0,IF($D18&lt;=0,0,ROUND(E18*I18,2)),"")</f>
        <v>750000</v>
      </c>
      <c r="N18" s="21" cm="1">
        <f t="array" ref="N18">IF(F18&gt;0,IF($D18&lt;=0,0,ROUND(F18*J18,2)),"")</f>
        <v>750000</v>
      </c>
      <c r="O18" s="23" cm="1">
        <f t="array" ref="O18">H18*D18*(1+(K18/100))</f>
        <v>832500</v>
      </c>
    </row>
    <row r="19" ht="20.5" customHeight="1">
      <c r="A19" s="95">
        <v>3</v>
      </c>
      <c r="B19" t="s" s="19">
        <v>77</v>
      </c>
      <c r="C19" s="24"/>
      <c r="D19" s="26">
        <v>3</v>
      </c>
      <c r="E19" s="26" cm="1">
        <f t="array" ref="E19">D19</f>
        <v>3</v>
      </c>
      <c r="F19" s="26" cm="1">
        <f t="array" ref="F19">D19</f>
        <v>3</v>
      </c>
      <c r="G19" t="s" s="27">
        <v>75</v>
      </c>
      <c r="H19" s="26">
        <v>550000</v>
      </c>
      <c r="I19" s="26">
        <v>550000</v>
      </c>
      <c r="J19" s="26">
        <v>550000</v>
      </c>
      <c r="K19" s="26">
        <v>11</v>
      </c>
      <c r="L19" s="26" cm="1">
        <f t="array" ref="L19">IF(D19&gt;0,IF($D19&lt;=0,0,D19*H19),"")</f>
        <v>1650000</v>
      </c>
      <c r="M19" s="26" cm="1">
        <f t="array" ref="M19">IF(E19&gt;0,IF($D19&lt;=0,0,ROUND(E19*I19,2)),"")</f>
        <v>1650000</v>
      </c>
      <c r="N19" s="26" cm="1">
        <f t="array" ref="N19">IF(F19&gt;0,IF($D19&lt;=0,0,ROUND(F19*J19,2)),"")</f>
        <v>1650000</v>
      </c>
      <c r="O19" s="28" cm="1">
        <f t="array" ref="O19">H19*D19*(1+(K19/100))</f>
        <v>1831500</v>
      </c>
    </row>
    <row r="20" ht="20.5" customHeight="1">
      <c r="A20" s="95">
        <v>4</v>
      </c>
      <c r="B20" t="s" s="19">
        <v>606</v>
      </c>
      <c r="C20" s="20"/>
      <c r="D20" s="21">
        <v>1</v>
      </c>
      <c r="E20" s="21" cm="1">
        <f t="array" ref="E20">D20</f>
        <v>1</v>
      </c>
      <c r="F20" s="21" cm="1">
        <f t="array" ref="F20">D20</f>
        <v>1</v>
      </c>
      <c r="G20" t="s" s="22">
        <v>79</v>
      </c>
      <c r="H20" s="21">
        <v>970000</v>
      </c>
      <c r="I20" s="21">
        <v>950000</v>
      </c>
      <c r="J20" s="21">
        <v>950000</v>
      </c>
      <c r="K20" s="21">
        <v>11</v>
      </c>
      <c r="L20" s="21" cm="1">
        <f t="array" ref="L20">IF(D20&gt;0,IF($D20&lt;=0,0,D20*H20),"")</f>
        <v>970000</v>
      </c>
      <c r="M20" s="21" cm="1">
        <f t="array" ref="M20">IF(E20&gt;0,IF($D20&lt;=0,0,ROUND(E20*I20,2)),"")</f>
        <v>950000</v>
      </c>
      <c r="N20" s="21" cm="1">
        <f t="array" ref="N20">IF(F20&gt;0,IF($D20&lt;=0,0,ROUND(F20*J20,2)),"")</f>
        <v>950000</v>
      </c>
      <c r="O20" s="23" cm="1">
        <f t="array" ref="O20">H20*D20*(1+(K20/100))</f>
        <v>1076700</v>
      </c>
    </row>
    <row r="21" ht="20.5" customHeight="1">
      <c r="A21" t="s" s="18">
        <v>80</v>
      </c>
      <c r="B21" t="s" s="19">
        <v>81</v>
      </c>
      <c r="C21" s="24"/>
      <c r="D21" s="26"/>
      <c r="E21" s="26"/>
      <c r="F21" s="26"/>
      <c r="G21" s="30"/>
      <c r="H21" s="30"/>
      <c r="I21" s="26"/>
      <c r="J21" s="26"/>
      <c r="K21" s="26"/>
      <c r="L21" t="str" s="30" cm="1">
        <f t="array" ref="L21">IF(D21&gt;0,IF($D21&lt;=0,0,D21*H21),"")</f>
      </c>
      <c r="M21" t="str" s="30" cm="1">
        <f t="array" ref="M21">IF(E21&gt;0,IF($D21&lt;=0,0,ROUND(E21*I21,2)),"")</f>
      </c>
      <c r="N21" t="str" s="30" cm="1">
        <f t="array" ref="N21">IF(F21&gt;0,IF($D21&lt;=0,0,ROUND(F21*J21,2)),"")</f>
      </c>
      <c r="O21" s="28" cm="1">
        <f t="array" ref="O21">H21*D21*(1+(K21/100))</f>
        <v>0</v>
      </c>
    </row>
    <row r="22" ht="20.5" customHeight="1">
      <c r="A22" s="29"/>
      <c r="B22" t="s" s="19">
        <v>82</v>
      </c>
      <c r="C22" s="20"/>
      <c r="D22" s="21">
        <v>1</v>
      </c>
      <c r="E22" s="21" cm="1">
        <f t="array" ref="E22">D22</f>
        <v>1</v>
      </c>
      <c r="F22" s="21" cm="1">
        <f t="array" ref="F22">D22</f>
        <v>1</v>
      </c>
      <c r="G22" t="s" s="22">
        <v>19</v>
      </c>
      <c r="H22" s="21">
        <v>208800</v>
      </c>
      <c r="I22" s="21">
        <v>200000</v>
      </c>
      <c r="J22" s="21">
        <v>200000</v>
      </c>
      <c r="K22" s="21">
        <v>0</v>
      </c>
      <c r="L22" s="21" cm="1">
        <f t="array" ref="L22">IF(D22&gt;0,IF($D22&lt;=0,0,D22*H22),"")</f>
        <v>208800</v>
      </c>
      <c r="M22" s="21" cm="1">
        <f t="array" ref="M22">IF(E22&gt;0,IF($D22&lt;=0,0,ROUND(E22*I22,2)),"")</f>
        <v>200000</v>
      </c>
      <c r="N22" s="21" cm="1">
        <f t="array" ref="N22">IF(F22&gt;0,IF($D22&lt;=0,0,ROUND(F22*J22,2)),"")</f>
        <v>200000</v>
      </c>
      <c r="O22" s="23" cm="1">
        <f t="array" ref="O22">H22*D22*(1+(K22/100))</f>
        <v>208800</v>
      </c>
    </row>
    <row r="23" ht="20.6" customHeight="1">
      <c r="A23" s="96"/>
      <c r="B23" s="97"/>
      <c r="C23" s="80"/>
      <c r="D23" s="81"/>
      <c r="E23" s="81"/>
      <c r="F23" s="81"/>
      <c r="G23" s="98"/>
      <c r="H23" s="81"/>
      <c r="I23" s="81"/>
      <c r="J23" s="81"/>
      <c r="K23" s="81"/>
      <c r="L23" t="str" s="98" cm="1">
        <f t="array" ref="L23">IF(D23&gt;0,IF($D23&lt;=0,0,D23*H23),"")</f>
      </c>
      <c r="M23" t="str" s="98" cm="1">
        <f t="array" ref="M23">IF(E23&gt;0,IF($D23&lt;=0,0,ROUND(E23*I23,2)),"")</f>
      </c>
      <c r="N23" t="str" s="98" cm="1">
        <f t="array" ref="N23">IF(F23&gt;0,IF($D23&lt;=0,0,ROUND(F23*J23,2)),"")</f>
      </c>
      <c r="O23" s="99"/>
    </row>
    <row r="24" ht="20.85" customHeight="1">
      <c r="A24" s="54"/>
      <c r="B24" s="54"/>
      <c r="C24" s="54"/>
      <c r="D24" s="55"/>
      <c r="E24" s="55"/>
      <c r="F24" s="55"/>
      <c r="G24" s="56"/>
      <c r="H24" s="56"/>
      <c r="I24" s="54"/>
      <c r="J24" s="57"/>
      <c r="K24" t="s" s="58">
        <v>38</v>
      </c>
      <c r="L24" s="59" cm="1">
        <f t="array" ref="L24">SUM(L1:L23)</f>
        <v>11956800</v>
      </c>
      <c r="M24" s="59" cm="1">
        <f t="array" ref="M24">SUM(M1:M23)</f>
        <v>11885000</v>
      </c>
      <c r="N24" s="59" cm="1">
        <f t="array" ref="N24">SUM(N1:N23)</f>
        <v>11885000</v>
      </c>
      <c r="O24" s="59"/>
    </row>
    <row r="25" ht="21" customHeight="1">
      <c r="A25" s="62"/>
      <c r="B25" t="s" s="61">
        <v>39</v>
      </c>
      <c r="C25" s="62"/>
      <c r="D25" s="63" cm="1">
        <f t="array" ref="D25">ROUND(IF(L25&lt;=100000000,L25*0.24%,IF(AND(L25&gt;100000000,L25&lt;=500000000),100000000*0.24%+(L25-100000000)*0.19%,IF(AND(L25&gt;500000000,L25&lt;=1000000000),100000000*0.24%+400000000*0.19%+(L25-500000000)*0.15%,IF(AND(L25&gt;1000000000,L25&lt;=5000000000),100000000*0.24%+400000000*0.19%+500000000*0.15%+(L25-1000000000)*0.12%,IF(L25&gt;5000000000,100000000*0.24%+400000000*0.19%+500000000*0.15%+4000000000*0.12%+(L25-5000000000)*0.1%,"Bingung komputer"))))),2)</f>
        <v>28195.2</v>
      </c>
      <c r="E25" s="64" cm="1">
        <f t="array" ref="E25">ROUND(IF(M25&lt;=100000000,M25*0.24%,IF(AND(M25&gt;100000000,M25&lt;=500000000),100000000*0.24%+(M25-100000000)*0.19%,IF(AND(M25&gt;500000000,M25&lt;=1000000000),100000000*0.24%+400000000*0.19%+(M25-500000000)*0.15%,IF(AND(M25&gt;1000000000,M25&lt;=5000000000),100000000*0.24%+400000000*0.19%+500000000*0.15%+(M25-1000000000)*0.12%,IF(M25&gt;5000000000,100000000*0.24%+400000000*0.19%+500000000*0.15%+4000000000*0.12%+(M25-5000000000)*0.1%,"Bingung komputer"))))),2)</f>
        <v>28044</v>
      </c>
      <c r="F25" s="64" cm="1">
        <f t="array" ref="F25">ROUND(IF(N25&lt;=100000000,N25*0.24%,IF(AND(N25&gt;100000000,N25&lt;=500000000),100000000*0.24%+(N25-100000000)*0.19%,IF(AND(N25&gt;500000000,N25&lt;=1000000000),100000000*0.24%+400000000*0.19%+(N25-500000000)*0.15%,IF(AND(N25&gt;1000000000,N25&lt;=5000000000),100000000*0.24%+400000000*0.19%+500000000*0.15%+(N25-1000000000)*0.12%,IF(N25&gt;5000000000,100000000*0.24%+400000000*0.19%+500000000*0.15%+4000000000*0.12%+(N25-5000000000)*0.1%,"Bingung komputer"))))),2)</f>
        <v>28044</v>
      </c>
      <c r="G25" s="65"/>
      <c r="H25" s="66"/>
      <c r="I25" s="62"/>
      <c r="J25" s="67"/>
      <c r="K25" t="str" s="67" cm="1">
        <f t="array" ref="K25">"Jumlah Terkena Pajak "&amp;MAX(K3:K23)&amp;"% (B)"</f>
        <v>Jumlah Terkena Pajak 11,00% (B)</v>
      </c>
      <c r="L25" s="68" cm="1">
        <f t="array" ref="L25">SUMIF($K3:$K23,"&gt;0",L3:L23)</f>
        <v>11748000</v>
      </c>
      <c r="M25" s="68" cm="1">
        <f t="array" ref="M25">SUMIF($K3:$K23,"&gt;0",M3:M23)</f>
        <v>11685000</v>
      </c>
      <c r="N25" s="68" cm="1">
        <f t="array" ref="N25">SUMIF($K3:$K23,"&gt;0",N3:N23)</f>
        <v>11685000</v>
      </c>
      <c r="O25" s="69"/>
    </row>
    <row r="26" ht="21" customHeight="1">
      <c r="A26" s="71"/>
      <c r="B26" s="71"/>
      <c r="C26" s="71"/>
      <c r="D26" s="72">
        <v>13298000</v>
      </c>
      <c r="E26" s="72"/>
      <c r="F26" s="71"/>
      <c r="G26" s="72"/>
      <c r="H26" s="72"/>
      <c r="I26" s="71"/>
      <c r="J26" s="73"/>
      <c r="K26" t="str" s="73" cm="1">
        <f t="array" ref="K26">"PPN (C) = "&amp;MAX(K3:K23)&amp;"% x B"</f>
        <v>PPN (C) = 11,00% x B</v>
      </c>
      <c r="L26" s="74" cm="1">
        <f t="array" ref="L26">L25*MAX($K3:$K23)%</f>
        <v>1292280</v>
      </c>
      <c r="M26" s="74" cm="1">
        <f t="array" ref="M26">M25*MAX($K3:$K23)%</f>
        <v>1285350</v>
      </c>
      <c r="N26" s="74" cm="1">
        <f t="array" ref="N26">N25*MAX($K3:$K23)%</f>
        <v>1285350</v>
      </c>
      <c r="O26" s="69"/>
    </row>
    <row r="27" ht="21" customHeight="1">
      <c r="A27" s="71"/>
      <c r="B27" s="71"/>
      <c r="C27" s="71"/>
      <c r="D27" s="72"/>
      <c r="E27" s="72"/>
      <c r="F27" s="72"/>
      <c r="G27" s="72"/>
      <c r="H27" s="72"/>
      <c r="I27" s="71"/>
      <c r="J27" s="73"/>
      <c r="K27" t="s" s="75">
        <v>42</v>
      </c>
      <c r="L27" s="74" cm="1">
        <f t="array" ref="L27">L24+L26</f>
        <v>13249080</v>
      </c>
      <c r="M27" s="74" cm="1">
        <f t="array" ref="M27">M24+M26</f>
        <v>13170350</v>
      </c>
      <c r="N27" s="74" cm="1">
        <f t="array" ref="N27">N24+N26</f>
        <v>13170350</v>
      </c>
      <c r="O27" s="69"/>
    </row>
    <row r="28" ht="20.5" customHeight="1">
      <c r="A28" s="71"/>
      <c r="B28" s="71"/>
      <c r="C28" s="71"/>
      <c r="D28" s="72"/>
      <c r="E28" s="72"/>
      <c r="F28" s="72"/>
      <c r="G28" s="72"/>
      <c r="H28" s="72"/>
      <c r="I28" s="71"/>
      <c r="J28" s="73"/>
      <c r="K28" t="s" s="75">
        <v>43</v>
      </c>
      <c r="L28" s="74" cm="1">
        <f t="array" ref="L28">ROUNDDOWN(L27,2)</f>
        <v>13249080</v>
      </c>
      <c r="M28" s="74" cm="1">
        <f t="array" ref="M28">ROUNDDOWN(M27,2)</f>
        <v>13170350</v>
      </c>
      <c r="N28" s="74" cm="1">
        <f t="array" ref="N28">ROUNDDOWN(N27,-3)</f>
        <v>13170000</v>
      </c>
      <c r="O28" s="68"/>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67.xml><?xml version="1.0" encoding="utf-8"?>
<worksheet xmlns:r="http://schemas.openxmlformats.org/officeDocument/2006/relationships" xmlns="http://schemas.openxmlformats.org/spreadsheetml/2006/main">
  <sheetPr>
    <pageSetUpPr fitToPage="1"/>
  </sheetPr>
  <dimension ref="A1:N31"/>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362" customWidth="1"/>
    <col min="2" max="2" width="43.0312" style="362" customWidth="1"/>
    <col min="3" max="3" width="2.75" style="362" customWidth="1"/>
    <col min="4" max="6" width="10.3672" style="362" customWidth="1"/>
    <col min="7" max="7" width="11.6875" style="362" customWidth="1"/>
    <col min="8" max="11" width="13.5156" style="362" customWidth="1"/>
    <col min="12" max="14" width="14.2344" style="362" customWidth="1"/>
    <col min="15" max="16384" width="16.3516" style="362"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44.6" customHeight="1">
      <c r="A3" s="11"/>
      <c r="B3" t="s" s="12">
        <v>608</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s="95">
        <v>1</v>
      </c>
      <c r="B4" t="s" s="19">
        <v>609</v>
      </c>
      <c r="C4" s="20"/>
      <c r="D4" s="21">
        <v>1</v>
      </c>
      <c r="E4" s="21" cm="1">
        <f t="array" ref="E4">D4</f>
        <v>1</v>
      </c>
      <c r="F4" s="21" cm="1">
        <f t="array" ref="F4">D4</f>
        <v>1</v>
      </c>
      <c r="G4" t="s" s="22">
        <v>19</v>
      </c>
      <c r="H4" s="21" cm="1">
        <f t="array" ref="H4">45275800*(10/11.1)</f>
        <v>40789009.009009</v>
      </c>
      <c r="I4" s="21">
        <v>40750000</v>
      </c>
      <c r="J4" s="21">
        <v>40750000</v>
      </c>
      <c r="K4" s="21">
        <v>11</v>
      </c>
      <c r="L4" s="21" cm="1">
        <f t="array" ref="L4">IF(D4&gt;0,IF($D4&lt;=0,0,D4*H4),"")</f>
        <v>40789009.009009</v>
      </c>
      <c r="M4" s="21" cm="1">
        <f t="array" ref="M4">IF(E4&gt;0,IF($D4&lt;=0,0,ROUND(E4*I4,2)),"")</f>
        <v>40750000</v>
      </c>
      <c r="N4" s="23" cm="1">
        <f t="array" ref="N4">IF(F4&gt;0,IF($D4&lt;=0,0,ROUND(F4*J4,2)),"")</f>
        <v>40750000</v>
      </c>
    </row>
    <row r="5" ht="92.6" customHeight="1">
      <c r="A5" s="96"/>
      <c r="B5" t="s" s="34">
        <v>610</v>
      </c>
      <c r="C5" s="80"/>
      <c r="D5" s="81"/>
      <c r="E5" s="81"/>
      <c r="F5" s="81"/>
      <c r="G5" s="98"/>
      <c r="H5" s="81"/>
      <c r="I5" s="81"/>
      <c r="J5" s="81"/>
      <c r="K5" s="81"/>
      <c r="L5" s="81"/>
      <c r="M5" s="81"/>
      <c r="N5" s="83"/>
    </row>
    <row r="6" ht="8.75" customHeight="1" hidden="1">
      <c r="A6" s="39"/>
      <c r="B6" s="40"/>
      <c r="C6" s="45"/>
      <c r="D6" s="46"/>
      <c r="E6" s="46"/>
      <c r="F6" s="46"/>
      <c r="G6" s="47"/>
      <c r="H6" s="46"/>
      <c r="I6" s="46"/>
      <c r="J6" s="46"/>
      <c r="K6" s="46"/>
      <c r="L6" s="46"/>
      <c r="M6" s="46"/>
      <c r="N6" s="48"/>
    </row>
    <row r="7" ht="8.75" customHeight="1" hidden="1">
      <c r="A7" s="39"/>
      <c r="B7" s="40"/>
      <c r="C7" s="41"/>
      <c r="D7" s="42"/>
      <c r="E7" s="42"/>
      <c r="F7" s="42"/>
      <c r="G7" s="43"/>
      <c r="H7" s="42"/>
      <c r="I7" s="42"/>
      <c r="J7" s="42"/>
      <c r="K7" s="42"/>
      <c r="L7" s="42"/>
      <c r="M7" s="42"/>
      <c r="N7" s="44"/>
    </row>
    <row r="8" ht="8.75" customHeight="1" hidden="1">
      <c r="A8" s="39"/>
      <c r="B8" s="40"/>
      <c r="C8" s="45"/>
      <c r="D8" s="46"/>
      <c r="E8" s="46"/>
      <c r="F8" s="46"/>
      <c r="G8" s="47"/>
      <c r="H8" s="46"/>
      <c r="I8" s="46"/>
      <c r="J8" s="46"/>
      <c r="K8" s="46"/>
      <c r="L8" s="46"/>
      <c r="M8" s="46"/>
      <c r="N8" s="48"/>
    </row>
    <row r="9" ht="8.75" customHeight="1" hidden="1">
      <c r="A9" s="39"/>
      <c r="B9" s="40"/>
      <c r="C9" s="41"/>
      <c r="D9" s="42"/>
      <c r="E9" s="42"/>
      <c r="F9" s="42"/>
      <c r="G9" s="43"/>
      <c r="H9" s="42"/>
      <c r="I9" s="42"/>
      <c r="J9" s="42"/>
      <c r="K9" s="42"/>
      <c r="L9" s="42"/>
      <c r="M9" s="42"/>
      <c r="N9" s="44"/>
    </row>
    <row r="10" ht="8.75" customHeight="1" hidden="1">
      <c r="A10" s="39"/>
      <c r="B10" s="40"/>
      <c r="C10" s="45"/>
      <c r="D10" s="46"/>
      <c r="E10" s="46"/>
      <c r="F10" s="46"/>
      <c r="G10" s="47"/>
      <c r="H10" s="46"/>
      <c r="I10" s="46"/>
      <c r="J10" s="46"/>
      <c r="K10" s="46"/>
      <c r="L10" s="46"/>
      <c r="M10" s="46"/>
      <c r="N10" s="48"/>
    </row>
    <row r="11" ht="8.75" customHeight="1" hidden="1">
      <c r="A11" s="39"/>
      <c r="B11" s="40"/>
      <c r="C11" s="41"/>
      <c r="D11" s="42"/>
      <c r="E11" s="42"/>
      <c r="F11" s="42"/>
      <c r="G11" s="43"/>
      <c r="H11" s="42"/>
      <c r="I11" s="42"/>
      <c r="J11" s="42"/>
      <c r="K11" s="42"/>
      <c r="L11" s="42"/>
      <c r="M11" s="42"/>
      <c r="N11" s="44"/>
    </row>
    <row r="12" ht="8.75" customHeight="1" hidden="1">
      <c r="A12" s="39"/>
      <c r="B12" s="40"/>
      <c r="C12" s="45"/>
      <c r="D12" s="46"/>
      <c r="E12" s="46"/>
      <c r="F12" s="46"/>
      <c r="G12" s="47"/>
      <c r="H12" s="46"/>
      <c r="I12" s="46"/>
      <c r="J12" s="46"/>
      <c r="K12" s="46"/>
      <c r="L12" s="46"/>
      <c r="M12" s="46"/>
      <c r="N12" s="48"/>
    </row>
    <row r="13" ht="8.75" customHeight="1" hidden="1">
      <c r="A13" s="39"/>
      <c r="B13" s="40"/>
      <c r="C13" s="41"/>
      <c r="D13" s="42"/>
      <c r="E13" s="42"/>
      <c r="F13" s="42"/>
      <c r="G13" s="43"/>
      <c r="H13" s="42"/>
      <c r="I13" s="42"/>
      <c r="J13" s="42"/>
      <c r="K13" s="42"/>
      <c r="L13" s="42"/>
      <c r="M13" s="42"/>
      <c r="N13" s="44"/>
    </row>
    <row r="14" ht="8.75" customHeight="1" hidden="1">
      <c r="A14" s="39"/>
      <c r="B14" s="40"/>
      <c r="C14" s="45"/>
      <c r="D14" s="46"/>
      <c r="E14" s="46"/>
      <c r="F14" s="46"/>
      <c r="G14" s="47"/>
      <c r="H14" s="46"/>
      <c r="I14" s="46"/>
      <c r="J14" s="46"/>
      <c r="K14" s="46"/>
      <c r="L14" s="46"/>
      <c r="M14" s="46"/>
      <c r="N14" s="48"/>
    </row>
    <row r="15" ht="8.75" customHeight="1" hidden="1">
      <c r="A15" s="39"/>
      <c r="B15" s="40"/>
      <c r="C15" s="41"/>
      <c r="D15" s="42"/>
      <c r="E15" s="42"/>
      <c r="F15" s="42"/>
      <c r="G15" s="43"/>
      <c r="H15" s="42"/>
      <c r="I15" s="42"/>
      <c r="J15" s="42"/>
      <c r="K15" s="42"/>
      <c r="L15" s="42"/>
      <c r="M15" s="42"/>
      <c r="N15" s="44"/>
    </row>
    <row r="16" ht="8.75" customHeight="1" hidden="1">
      <c r="A16" s="39"/>
      <c r="B16" s="40"/>
      <c r="C16" s="45"/>
      <c r="D16" s="46"/>
      <c r="E16" s="46"/>
      <c r="F16" s="46"/>
      <c r="G16" s="47"/>
      <c r="H16" s="46"/>
      <c r="I16" s="46"/>
      <c r="J16" s="46"/>
      <c r="K16" s="46"/>
      <c r="L16" s="46"/>
      <c r="M16" s="46"/>
      <c r="N16" s="48"/>
    </row>
    <row r="17" ht="8.75" customHeight="1" hidden="1">
      <c r="A17" s="39"/>
      <c r="B17" s="40"/>
      <c r="C17" s="41"/>
      <c r="D17" s="42"/>
      <c r="E17" s="42"/>
      <c r="F17" s="42"/>
      <c r="G17" s="43"/>
      <c r="H17" s="43"/>
      <c r="I17" s="43"/>
      <c r="J17" s="43"/>
      <c r="K17" s="42"/>
      <c r="L17" s="43"/>
      <c r="M17" s="43"/>
      <c r="N17" s="49"/>
    </row>
    <row r="18" ht="8.75" customHeight="1" hidden="1">
      <c r="A18" s="39"/>
      <c r="B18" s="40"/>
      <c r="C18" s="45"/>
      <c r="D18" s="46"/>
      <c r="E18" s="46"/>
      <c r="F18" s="46"/>
      <c r="G18" s="47"/>
      <c r="H18" s="50"/>
      <c r="I18" s="50"/>
      <c r="J18" s="50"/>
      <c r="K18" s="46"/>
      <c r="L18" s="46"/>
      <c r="M18" s="46"/>
      <c r="N18" s="48"/>
    </row>
    <row r="19" ht="8.75" customHeight="1" hidden="1">
      <c r="A19" s="39"/>
      <c r="B19" s="40"/>
      <c r="C19" s="41"/>
      <c r="D19" s="42"/>
      <c r="E19" s="42"/>
      <c r="F19" s="42"/>
      <c r="G19" s="43"/>
      <c r="H19" s="43"/>
      <c r="I19" s="43"/>
      <c r="J19" s="43"/>
      <c r="K19" s="42"/>
      <c r="L19" s="43"/>
      <c r="M19" s="43"/>
      <c r="N19" s="49"/>
    </row>
    <row r="20" ht="8.75" customHeight="1" hidden="1">
      <c r="A20" s="39"/>
      <c r="B20" s="40"/>
      <c r="C20" s="45"/>
      <c r="D20" s="46"/>
      <c r="E20" s="46"/>
      <c r="F20" s="46"/>
      <c r="G20" s="47"/>
      <c r="H20" s="46"/>
      <c r="I20" s="46"/>
      <c r="J20" s="46"/>
      <c r="K20" s="46"/>
      <c r="L20" s="46"/>
      <c r="M20" s="46"/>
      <c r="N20" s="48"/>
    </row>
    <row r="21" ht="8.75" customHeight="1" hidden="1">
      <c r="A21" s="39"/>
      <c r="B21" s="40"/>
      <c r="C21" s="41"/>
      <c r="D21" s="42"/>
      <c r="E21" s="42"/>
      <c r="F21" s="42"/>
      <c r="G21" s="43"/>
      <c r="H21" s="42"/>
      <c r="I21" s="42"/>
      <c r="J21" s="42"/>
      <c r="K21" s="42"/>
      <c r="L21" s="42"/>
      <c r="M21" s="42"/>
      <c r="N21" s="44"/>
    </row>
    <row r="22" ht="8.75" customHeight="1" hidden="1">
      <c r="A22" s="51"/>
      <c r="B22" s="40"/>
      <c r="C22" s="45"/>
      <c r="D22" s="46"/>
      <c r="E22" s="46"/>
      <c r="F22" s="46"/>
      <c r="G22" s="47"/>
      <c r="H22" s="46"/>
      <c r="I22" s="46"/>
      <c r="J22" s="46"/>
      <c r="K22" s="46"/>
      <c r="L22" s="46"/>
      <c r="M22" s="46"/>
      <c r="N22" s="48"/>
    </row>
    <row r="23" ht="8.75" customHeight="1" hidden="1">
      <c r="A23" s="51"/>
      <c r="B23" s="40"/>
      <c r="C23" s="41"/>
      <c r="D23" s="42"/>
      <c r="E23" s="42"/>
      <c r="F23" s="42"/>
      <c r="G23" s="43"/>
      <c r="H23" s="42"/>
      <c r="I23" s="42"/>
      <c r="J23" s="42"/>
      <c r="K23" s="42"/>
      <c r="L23" s="42"/>
      <c r="M23" s="42"/>
      <c r="N23" s="44"/>
    </row>
    <row r="24" ht="8.75" customHeight="1" hidden="1">
      <c r="A24" s="39"/>
      <c r="B24" s="40"/>
      <c r="C24" s="45"/>
      <c r="D24" s="46"/>
      <c r="E24" s="46"/>
      <c r="F24" s="46"/>
      <c r="G24" s="47"/>
      <c r="H24" s="46"/>
      <c r="I24" s="46"/>
      <c r="J24" s="46"/>
      <c r="K24" s="46"/>
      <c r="L24" s="47"/>
      <c r="M24" s="47"/>
      <c r="N24" s="52"/>
    </row>
    <row r="25" ht="8.75" customHeight="1" hidden="1">
      <c r="A25" s="39"/>
      <c r="B25" s="40"/>
      <c r="C25" s="41"/>
      <c r="D25" s="42"/>
      <c r="E25" s="42"/>
      <c r="F25" s="42"/>
      <c r="G25" s="43"/>
      <c r="H25" s="42"/>
      <c r="I25" s="42"/>
      <c r="J25" s="42"/>
      <c r="K25" s="42"/>
      <c r="L25" s="42"/>
      <c r="M25" s="42"/>
      <c r="N25" s="44"/>
    </row>
    <row r="26" ht="8.75" customHeight="1" hidden="1">
      <c r="A26" s="39"/>
      <c r="B26" s="40"/>
      <c r="C26" s="45"/>
      <c r="D26" s="46"/>
      <c r="E26" s="46"/>
      <c r="F26" s="46"/>
      <c r="G26" s="47"/>
      <c r="H26" s="46"/>
      <c r="I26" s="46"/>
      <c r="J26" s="46"/>
      <c r="K26" s="46"/>
      <c r="L26" s="47"/>
      <c r="M26" s="47"/>
      <c r="N26" s="52"/>
    </row>
    <row r="27" ht="20.85" customHeight="1">
      <c r="A27" s="108"/>
      <c r="B27" s="54"/>
      <c r="C27" s="54"/>
      <c r="D27" s="55"/>
      <c r="E27" s="55"/>
      <c r="F27" s="55"/>
      <c r="G27" s="56"/>
      <c r="H27" s="56"/>
      <c r="I27" s="54"/>
      <c r="J27" s="57"/>
      <c r="K27" t="s" s="58">
        <v>38</v>
      </c>
      <c r="L27" s="59" cm="1">
        <f t="array" ref="L27">SUM(L1:L26)</f>
        <v>40789009.009009</v>
      </c>
      <c r="M27" s="59" cm="1">
        <f t="array" ref="M27">SUM(M1:M26)</f>
        <v>40750000</v>
      </c>
      <c r="N27" s="59" cm="1">
        <f t="array" ref="N27">SUM(N1:N26)</f>
        <v>40750000</v>
      </c>
    </row>
    <row r="28" ht="21" customHeight="1">
      <c r="A28" s="63" cm="1">
        <f t="array" ref="A28">ROUND(IF(I28&lt;=100000000,I28*0.24%,IF(AND(I28&gt;100000000,I28&lt;=500000000),100000000*0.24%+(I28-100000000)*0.19%,IF(AND(I28&gt;500000000,I28&lt;=1000000000),100000000*0.24%+400000000*0.19%+(I28-500000000)*0.15%,IF(AND(I28&gt;1000000000,I28&lt;=5000000000),100000000*0.24%+400000000*0.19%+500000000*0.15%+(I28-1000000000)*0.12%,IF(I28&gt;5000000000,100000000*0.24%+400000000*0.19%+500000000*0.15%+4000000000*0.12%+(I28-5000000000)*0.1%,"Bingung komputer"))))),2)</f>
        <v>0</v>
      </c>
      <c r="B28" t="s" s="109">
        <v>39</v>
      </c>
      <c r="C28" s="62"/>
      <c r="D28" s="63" cm="1">
        <f t="array" ref="D28">ROUND(IF(L28&lt;=100000000,L28*0.24%,IF(AND(L28&gt;100000000,L28&lt;=500000000),100000000*0.24%+(L28-100000000)*0.19%,IF(AND(L28&gt;500000000,L28&lt;=1000000000),100000000*0.24%+400000000*0.19%+(L28-500000000)*0.15%,IF(AND(L28&gt;1000000000,L28&lt;=5000000000),100000000*0.24%+400000000*0.19%+500000000*0.15%+(L28-1000000000)*0.12%,IF(L28&gt;5000000000,100000000*0.24%+400000000*0.19%+500000000*0.15%+4000000000*0.12%+(L28-5000000000)*0.1%,"Bingung komputer"))))),2)</f>
        <v>97893.62</v>
      </c>
      <c r="E28" s="64" cm="1">
        <f t="array" ref="E28">ROUND(IF(M28&lt;=100000000,M28*0.24%,IF(AND(M28&gt;100000000,M28&lt;=500000000),100000000*0.24%+(M28-100000000)*0.19%,IF(AND(M28&gt;500000000,M28&lt;=1000000000),100000000*0.24%+400000000*0.19%+(M28-500000000)*0.15%,IF(AND(M28&gt;1000000000,M28&lt;=5000000000),100000000*0.24%+400000000*0.19%+500000000*0.15%+(M28-1000000000)*0.12%,IF(M28&gt;5000000000,100000000*0.24%+400000000*0.19%+500000000*0.15%+4000000000*0.12%+(M28-5000000000)*0.1%,"Bingung komputer"))))),2)</f>
        <v>97800</v>
      </c>
      <c r="F28" s="64" cm="1">
        <f t="array" ref="F28">ROUND(IF(N28&lt;=100000000,N28*0.24%,IF(AND(N28&gt;100000000,N28&lt;=500000000),100000000*0.24%+(N28-100000000)*0.19%,IF(AND(N28&gt;500000000,N28&lt;=1000000000),100000000*0.24%+400000000*0.19%+(N28-500000000)*0.15%,IF(AND(N28&gt;1000000000,N28&lt;=5000000000),100000000*0.24%+400000000*0.19%+500000000*0.15%+(N28-1000000000)*0.12%,IF(N28&gt;5000000000,100000000*0.24%+400000000*0.19%+500000000*0.15%+4000000000*0.12%+(N28-5000000000)*0.1%,"Bingung komputer"))))),2)</f>
        <v>97800</v>
      </c>
      <c r="G28" s="65"/>
      <c r="H28" s="66"/>
      <c r="I28" s="68"/>
      <c r="J28" s="67"/>
      <c r="K28" t="str" s="67" cm="1">
        <f t="array" ref="K28">"Jumlah Terkena Pajak "&amp;MAX(K3:K26)&amp;"% (B)"</f>
        <v>Jumlah Terkena Pajak 11,00% (B)</v>
      </c>
      <c r="L28" s="68" cm="1">
        <f t="array" ref="L28">SUMIF($K3:$K26,"&gt;0",L3:L26)</f>
        <v>40789009.009009</v>
      </c>
      <c r="M28" s="69" cm="1">
        <f t="array" ref="M28">SUMIF($K3:$K26,"&gt;0",M3:M26)</f>
        <v>40750000</v>
      </c>
      <c r="N28" s="69" cm="1">
        <f t="array" ref="N28">SUMIF($K3:$K26,"&gt;0",N3:N26)</f>
        <v>40750000</v>
      </c>
    </row>
    <row r="29" ht="21" customHeight="1">
      <c r="A29" s="70"/>
      <c r="B29" s="71"/>
      <c r="C29" s="71"/>
      <c r="D29" s="72"/>
      <c r="E29" s="72"/>
      <c r="F29" s="71"/>
      <c r="G29" s="72"/>
      <c r="H29" s="72"/>
      <c r="I29" s="74"/>
      <c r="J29" s="73"/>
      <c r="K29" t="str" s="73" cm="1">
        <f t="array" ref="K29">"PPN (C) = "&amp;MAX(K3:K26)&amp;"% x B"</f>
        <v>PPN (C) = 11,00% x B</v>
      </c>
      <c r="L29" s="74" cm="1">
        <f t="array" ref="L29">L28*MAX($K3:$K26)%</f>
        <v>4486790.99099099</v>
      </c>
      <c r="M29" s="69" cm="1">
        <f t="array" ref="M29">M28*MAX($K3:$K26)%</f>
        <v>4482500</v>
      </c>
      <c r="N29" s="69" cm="1">
        <f t="array" ref="N29">N28*MAX($K3:$K26)%</f>
        <v>4482500</v>
      </c>
    </row>
    <row r="30" ht="21" customHeight="1">
      <c r="A30" s="70"/>
      <c r="B30" s="71"/>
      <c r="C30" s="71"/>
      <c r="D30" t="s" s="110">
        <v>116</v>
      </c>
      <c r="E30" s="112">
        <v>45275800</v>
      </c>
      <c r="F30" s="112">
        <v>49890000</v>
      </c>
      <c r="G30" s="72"/>
      <c r="H30" s="72"/>
      <c r="I30" s="71"/>
      <c r="J30" s="73"/>
      <c r="K30" t="s" s="75">
        <v>42</v>
      </c>
      <c r="L30" s="76" cm="1">
        <f t="array" ref="L30">L27+L29</f>
        <v>45275800</v>
      </c>
      <c r="M30" s="69" cm="1">
        <f t="array" ref="M30">M27+M29</f>
        <v>45232500</v>
      </c>
      <c r="N30" s="69" cm="1">
        <f t="array" ref="N30">N27+N29</f>
        <v>45232500</v>
      </c>
    </row>
    <row r="31" ht="20.5" customHeight="1">
      <c r="A31" s="70"/>
      <c r="B31" s="71"/>
      <c r="C31" s="71"/>
      <c r="D31" s="72"/>
      <c r="E31" s="72" cm="1">
        <f t="array" ref="E31">E$30-L$31</f>
        <v>0</v>
      </c>
      <c r="F31" s="113" cm="1">
        <f t="array" ref="F31">ROUNDDOWN(E$30-D$28,2)</f>
        <v>45177906.38</v>
      </c>
      <c r="G31" s="72"/>
      <c r="H31" s="72"/>
      <c r="I31" s="71"/>
      <c r="J31" s="73"/>
      <c r="K31" t="s" s="75">
        <v>43</v>
      </c>
      <c r="L31" s="68" cm="1">
        <f t="array" ref="L31">ROUNDDOWN(L30,2)</f>
        <v>45275800</v>
      </c>
      <c r="M31" s="68" cm="1">
        <f t="array" ref="M31">ROUNDDOWN(M30,2)</f>
        <v>45232500</v>
      </c>
      <c r="N31" s="68" cm="1">
        <f t="array" ref="N31">ROUNDDOWN(N30,-3)</f>
        <v>45232000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68.xml><?xml version="1.0" encoding="utf-8"?>
<worksheet xmlns:r="http://schemas.openxmlformats.org/officeDocument/2006/relationships" xmlns="http://schemas.openxmlformats.org/spreadsheetml/2006/main">
  <sheetPr>
    <pageSetUpPr fitToPage="1"/>
  </sheetPr>
  <dimension ref="A1:N89"/>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9.73438" style="363" customWidth="1"/>
    <col min="2" max="2" width="43.0312" style="363" customWidth="1"/>
    <col min="3" max="3" width="2.75" style="363" customWidth="1"/>
    <col min="4" max="6" width="10.3672" style="363" customWidth="1"/>
    <col min="7" max="7" width="11.6875" style="363" customWidth="1"/>
    <col min="8" max="11" width="13.5156" style="363" customWidth="1"/>
    <col min="12" max="14" width="14.2344" style="363" customWidth="1"/>
    <col min="15" max="16384" width="16.3516" style="363"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t="s" s="90">
        <v>612</v>
      </c>
      <c r="B3" t="s" s="12">
        <v>133</v>
      </c>
      <c r="C3" s="13"/>
      <c r="D3" s="14"/>
      <c r="E3" s="14"/>
      <c r="F3" s="14"/>
      <c r="G3" s="15"/>
      <c r="H3" s="14"/>
      <c r="I3" s="15"/>
      <c r="J3" s="15"/>
      <c r="K3" s="14"/>
      <c r="L3" t="str" s="16" cm="1">
        <f t="array" ref="L3">IF(D3&gt;0,IF($D3&lt;=0,0,D3*H3),"")</f>
      </c>
      <c r="M3" t="str" s="16" cm="1">
        <f t="array" ref="M3">IF(E3&gt;0,IF($D3&lt;=0,0,ROUND(E3*I3,2)),"")</f>
      </c>
      <c r="N3" t="str" s="17" cm="1">
        <f t="array" ref="N3">IF(F3&gt;0,IF($D3&lt;=0,0,ROUND(F3*J3,2)),"")</f>
      </c>
    </row>
    <row r="4" ht="20.5" customHeight="1">
      <c r="A4" s="95">
        <v>1</v>
      </c>
      <c r="B4" t="s" s="19">
        <v>371</v>
      </c>
      <c r="C4" s="20"/>
      <c r="D4" s="21">
        <v>1</v>
      </c>
      <c r="E4" s="21" cm="1">
        <f t="array" ref="E4">D4</f>
        <v>1</v>
      </c>
      <c r="F4" s="21" cm="1">
        <f t="array" ref="F4">D4</f>
        <v>1</v>
      </c>
      <c r="G4" t="s" s="22">
        <v>19</v>
      </c>
      <c r="H4" s="21">
        <v>150000</v>
      </c>
      <c r="I4" s="21">
        <v>145000</v>
      </c>
      <c r="J4" s="21">
        <v>145000</v>
      </c>
      <c r="K4" s="21">
        <v>11</v>
      </c>
      <c r="L4" s="21" cm="1">
        <f t="array" ref="L4">IF(D4&gt;0,IF($D4&lt;=0,0,D4*H4),"")</f>
        <v>150000</v>
      </c>
      <c r="M4" s="21" cm="1">
        <f t="array" ref="M4">IF(E4&gt;0,IF($D4&lt;=0,0,ROUND(E4*I4,2)),"")</f>
        <v>145000</v>
      </c>
      <c r="N4" s="23" cm="1">
        <f t="array" ref="N4">IF(F4&gt;0,IF($D4&lt;=0,0,ROUND(F4*J4,2)),"")</f>
        <v>145000</v>
      </c>
    </row>
    <row r="5" ht="20.5" customHeight="1">
      <c r="A5" s="95">
        <v>2</v>
      </c>
      <c r="B5" t="s" s="19">
        <v>613</v>
      </c>
      <c r="C5" s="24"/>
      <c r="D5" s="26">
        <v>1</v>
      </c>
      <c r="E5" s="26" cm="1">
        <f t="array" ref="E5">D5</f>
        <v>1</v>
      </c>
      <c r="F5" s="26" cm="1">
        <f t="array" ref="F5">D5</f>
        <v>1</v>
      </c>
      <c r="G5" t="s" s="27">
        <v>19</v>
      </c>
      <c r="H5" s="26">
        <v>1000000</v>
      </c>
      <c r="I5" s="26">
        <v>980000</v>
      </c>
      <c r="J5" s="26">
        <v>980000</v>
      </c>
      <c r="K5" s="26">
        <v>11</v>
      </c>
      <c r="L5" s="26" cm="1">
        <f t="array" ref="L5">IF(D5&gt;0,IF($D5&lt;=0,0,D5*H5),"")</f>
        <v>1000000</v>
      </c>
      <c r="M5" s="26" cm="1">
        <f t="array" ref="M5">IF(E5&gt;0,IF($D5&lt;=0,0,ROUND(E5*I5,2)),"")</f>
        <v>980000</v>
      </c>
      <c r="N5" s="28" cm="1">
        <f t="array" ref="N5">IF(F5&gt;0,IF($D5&lt;=0,0,ROUND(F5*J5,2)),"")</f>
        <v>980000</v>
      </c>
    </row>
    <row r="6" ht="32.5" customHeight="1">
      <c r="A6" t="s" s="93">
        <v>614</v>
      </c>
      <c r="B6" t="s" s="19">
        <v>615</v>
      </c>
      <c r="C6" s="20"/>
      <c r="D6" s="21"/>
      <c r="E6" s="21"/>
      <c r="F6" s="21"/>
      <c r="G6" s="263"/>
      <c r="H6" s="21"/>
      <c r="I6" s="263"/>
      <c r="J6" s="263"/>
      <c r="K6" s="21"/>
      <c r="L6" t="str" s="79" cm="1">
        <f t="array" ref="L6">IF(D6&gt;0,IF($D6&lt;=0,0,D6*H6),"")</f>
      </c>
      <c r="M6" t="str" s="79" cm="1">
        <f t="array" ref="M6">IF(E6&gt;0,IF($D6&lt;=0,0,ROUND(E6*I6,2)),"")</f>
      </c>
      <c r="N6" t="str" s="91" cm="1">
        <f t="array" ref="N6">IF(F6&gt;0,IF($D6&lt;=0,0,ROUND(F6*J6,2)),"")</f>
      </c>
    </row>
    <row r="7" ht="20.5" customHeight="1">
      <c r="A7" s="95">
        <v>1</v>
      </c>
      <c r="B7" t="s" s="19">
        <v>616</v>
      </c>
      <c r="C7" s="24"/>
      <c r="D7" s="26"/>
      <c r="E7" s="26"/>
      <c r="F7" s="26"/>
      <c r="G7" s="30"/>
      <c r="H7" s="26"/>
      <c r="I7" s="26"/>
      <c r="J7" s="26"/>
      <c r="K7" s="26"/>
      <c r="L7" s="26"/>
      <c r="M7" s="26"/>
      <c r="N7" t="str" s="31" cm="1">
        <f t="array" ref="N7">IF(F7&gt;0,IF($D7&lt;=0,0,ROUND(F7*J7,2)),"")</f>
      </c>
    </row>
    <row r="8" ht="20.5" customHeight="1">
      <c r="A8" s="29"/>
      <c r="B8" t="s" s="19">
        <v>617</v>
      </c>
      <c r="C8" s="20"/>
      <c r="D8" s="21">
        <v>5000</v>
      </c>
      <c r="E8" s="21" cm="1">
        <f t="array" ref="E8">D8</f>
        <v>5000</v>
      </c>
      <c r="F8" s="21" cm="1">
        <f t="array" ref="F8">D8</f>
        <v>5000</v>
      </c>
      <c r="G8" t="s" s="22">
        <v>154</v>
      </c>
      <c r="H8" s="21">
        <v>11500</v>
      </c>
      <c r="I8" s="21">
        <v>11450</v>
      </c>
      <c r="J8" s="21">
        <v>11450</v>
      </c>
      <c r="K8" s="21">
        <v>11</v>
      </c>
      <c r="L8" s="21" cm="1">
        <f t="array" ref="L8">IF(D8&gt;0,IF($D8&lt;=0,0,D8*H8),"")</f>
        <v>57500000</v>
      </c>
      <c r="M8" s="21" cm="1">
        <f t="array" ref="M8">IF(E8&gt;0,IF($D8&lt;=0,0,ROUND(E8*I8,2)),"")</f>
        <v>57250000</v>
      </c>
      <c r="N8" s="23" cm="1">
        <f t="array" ref="N8">IF(F8&gt;0,IF($D8&lt;=0,0,ROUND(F8*J8,2)),"")</f>
        <v>57250000</v>
      </c>
    </row>
    <row r="9" ht="20.5" customHeight="1">
      <c r="A9" s="29"/>
      <c r="B9" t="s" s="19">
        <v>618</v>
      </c>
      <c r="C9" s="24"/>
      <c r="D9" s="26">
        <v>195</v>
      </c>
      <c r="E9" s="26" cm="1">
        <f t="array" ref="E9">D9</f>
        <v>195</v>
      </c>
      <c r="F9" s="26" cm="1">
        <f t="array" ref="F9">D9</f>
        <v>195</v>
      </c>
      <c r="G9" t="s" s="27">
        <v>154</v>
      </c>
      <c r="H9" s="26">
        <v>60000</v>
      </c>
      <c r="I9" s="26">
        <v>60000</v>
      </c>
      <c r="J9" s="26">
        <v>60000</v>
      </c>
      <c r="K9" s="26">
        <v>11</v>
      </c>
      <c r="L9" s="26" cm="1">
        <f t="array" ref="L9">IF(D9&gt;0,IF($D9&lt;=0,0,D9*H9),"")</f>
        <v>11700000</v>
      </c>
      <c r="M9" s="26" cm="1">
        <f t="array" ref="M9">IF(E9&gt;0,IF($D9&lt;=0,0,ROUND(E9*I9,2)),"")</f>
        <v>11700000</v>
      </c>
      <c r="N9" s="28" cm="1">
        <f t="array" ref="N9">IF(F9&gt;0,IF($D9&lt;=0,0,ROUND(F9*J9,2)),"")</f>
        <v>11700000</v>
      </c>
    </row>
    <row r="10" ht="20.5" customHeight="1">
      <c r="A10" s="95">
        <v>2</v>
      </c>
      <c r="B10" t="s" s="19">
        <v>619</v>
      </c>
      <c r="C10" s="20"/>
      <c r="D10" s="21">
        <v>150</v>
      </c>
      <c r="E10" s="21" cm="1">
        <f t="array" ref="E10">D10</f>
        <v>150</v>
      </c>
      <c r="F10" s="21" cm="1">
        <f t="array" ref="F10">D10</f>
        <v>150</v>
      </c>
      <c r="G10" t="s" s="22">
        <v>344</v>
      </c>
      <c r="H10" s="21">
        <v>20000</v>
      </c>
      <c r="I10" s="21">
        <v>20000</v>
      </c>
      <c r="J10" s="21">
        <v>20000</v>
      </c>
      <c r="K10" s="21">
        <v>11</v>
      </c>
      <c r="L10" s="21" cm="1">
        <f t="array" ref="L10">IF(D10&gt;0,IF($D10&lt;=0,0,D10*H10),"")</f>
        <v>3000000</v>
      </c>
      <c r="M10" s="21" cm="1">
        <f t="array" ref="M10">IF(E10&gt;0,IF($D10&lt;=0,0,ROUND(E10*I10,2)),"")</f>
        <v>3000000</v>
      </c>
      <c r="N10" s="23" cm="1">
        <f t="array" ref="N10">IF(F10&gt;0,IF($D10&lt;=0,0,ROUND(F10*J10,2)),"")</f>
        <v>3000000</v>
      </c>
    </row>
    <row r="11" ht="20.5" customHeight="1">
      <c r="A11" s="95">
        <v>3</v>
      </c>
      <c r="B11" t="s" s="19">
        <v>620</v>
      </c>
      <c r="C11" s="24"/>
      <c r="D11" s="26">
        <v>80</v>
      </c>
      <c r="E11" s="26" cm="1">
        <f t="array" ref="E11">D11</f>
        <v>80</v>
      </c>
      <c r="F11" s="26" cm="1">
        <f t="array" ref="F11">D11</f>
        <v>80</v>
      </c>
      <c r="G11" t="s" s="27">
        <v>344</v>
      </c>
      <c r="H11" s="26">
        <v>85000</v>
      </c>
      <c r="I11" s="26">
        <v>84000</v>
      </c>
      <c r="J11" s="26">
        <v>84000</v>
      </c>
      <c r="K11" s="26">
        <v>11</v>
      </c>
      <c r="L11" s="26" cm="1">
        <f t="array" ref="L11">IF(D11&gt;0,IF($D11&lt;=0,0,D11*H11),"")</f>
        <v>6800000</v>
      </c>
      <c r="M11" s="26" cm="1">
        <f t="array" ref="M11">IF(E11&gt;0,IF($D11&lt;=0,0,ROUND(E11*I11,2)),"")</f>
        <v>6720000</v>
      </c>
      <c r="N11" s="28" cm="1">
        <f t="array" ref="N11">IF(F11&gt;0,IF($D11&lt;=0,0,ROUND(F11*J11,2)),"")</f>
        <v>6720000</v>
      </c>
    </row>
    <row r="12" ht="20.5" customHeight="1">
      <c r="A12" s="95">
        <v>4</v>
      </c>
      <c r="B12" t="s" s="19">
        <v>621</v>
      </c>
      <c r="C12" s="20"/>
      <c r="D12" s="21">
        <v>3</v>
      </c>
      <c r="E12" s="21" cm="1">
        <f t="array" ref="E12">D12</f>
        <v>3</v>
      </c>
      <c r="F12" s="21" cm="1">
        <f t="array" ref="F12">D12</f>
        <v>3</v>
      </c>
      <c r="G12" t="s" s="22">
        <v>344</v>
      </c>
      <c r="H12" s="21">
        <v>250000</v>
      </c>
      <c r="I12" s="21">
        <v>250000</v>
      </c>
      <c r="J12" s="21">
        <v>250000</v>
      </c>
      <c r="K12" s="21">
        <v>11</v>
      </c>
      <c r="L12" s="21" cm="1">
        <f t="array" ref="L12">IF(D12&gt;0,IF($D12&lt;=0,0,D12*H12),"")</f>
        <v>750000</v>
      </c>
      <c r="M12" s="21" cm="1">
        <f t="array" ref="M12">IF(E12&gt;0,IF($D12&lt;=0,0,ROUND(E12*I12,2)),"")</f>
        <v>750000</v>
      </c>
      <c r="N12" s="23" cm="1">
        <f t="array" ref="N12">IF(F12&gt;0,IF($D12&lt;=0,0,ROUND(F12*J12,2)),"")</f>
        <v>750000</v>
      </c>
    </row>
    <row r="13" ht="20.5" customHeight="1">
      <c r="A13" s="95">
        <v>5</v>
      </c>
      <c r="B13" t="s" s="19">
        <v>622</v>
      </c>
      <c r="C13" s="24"/>
      <c r="D13" s="26">
        <v>3</v>
      </c>
      <c r="E13" s="26" cm="1">
        <f t="array" ref="E13">D13</f>
        <v>3</v>
      </c>
      <c r="F13" s="26" cm="1">
        <f t="array" ref="F13">D13</f>
        <v>3</v>
      </c>
      <c r="G13" t="s" s="27">
        <v>344</v>
      </c>
      <c r="H13" s="26">
        <v>350000</v>
      </c>
      <c r="I13" s="26">
        <v>350000</v>
      </c>
      <c r="J13" s="26">
        <v>350000</v>
      </c>
      <c r="K13" s="26">
        <v>11</v>
      </c>
      <c r="L13" s="26" cm="1">
        <f t="array" ref="L13">IF(D13&gt;0,IF($D13&lt;=0,0,D13*H13),"")</f>
        <v>1050000</v>
      </c>
      <c r="M13" s="26" cm="1">
        <f t="array" ref="M13">IF(E13&gt;0,IF($D13&lt;=0,0,ROUND(E13*I13,2)),"")</f>
        <v>1050000</v>
      </c>
      <c r="N13" s="28" cm="1">
        <f t="array" ref="N13">IF(F13&gt;0,IF($D13&lt;=0,0,ROUND(F13*J13,2)),"")</f>
        <v>1050000</v>
      </c>
    </row>
    <row r="14" ht="20.5" customHeight="1">
      <c r="A14" s="95">
        <v>6</v>
      </c>
      <c r="B14" t="s" s="19">
        <v>623</v>
      </c>
      <c r="C14" s="20"/>
      <c r="D14" s="21">
        <v>1</v>
      </c>
      <c r="E14" s="21" cm="1">
        <f t="array" ref="E14">D14</f>
        <v>1</v>
      </c>
      <c r="F14" s="21" cm="1">
        <f t="array" ref="F14">D14</f>
        <v>1</v>
      </c>
      <c r="G14" t="s" s="22">
        <v>344</v>
      </c>
      <c r="H14" s="21">
        <v>450000</v>
      </c>
      <c r="I14" s="21">
        <v>450000</v>
      </c>
      <c r="J14" s="21">
        <v>450000</v>
      </c>
      <c r="K14" s="21">
        <v>11</v>
      </c>
      <c r="L14" s="21" cm="1">
        <f t="array" ref="L14">IF(D14&gt;0,IF($D14&lt;=0,0,D14*H14),"")</f>
        <v>450000</v>
      </c>
      <c r="M14" s="21" cm="1">
        <f t="array" ref="M14">IF(E14&gt;0,IF($D14&lt;=0,0,ROUND(E14*I14,2)),"")</f>
        <v>450000</v>
      </c>
      <c r="N14" s="23" cm="1">
        <f t="array" ref="N14">IF(F14&gt;0,IF($D14&lt;=0,0,ROUND(F14*J14,2)),"")</f>
        <v>450000</v>
      </c>
    </row>
    <row r="15" ht="20.5" customHeight="1">
      <c r="A15" s="95">
        <v>7</v>
      </c>
      <c r="B15" t="s" s="19">
        <v>624</v>
      </c>
      <c r="C15" s="24"/>
      <c r="D15" s="26">
        <v>1</v>
      </c>
      <c r="E15" s="26" cm="1">
        <f t="array" ref="E15">D15</f>
        <v>1</v>
      </c>
      <c r="F15" s="26" cm="1">
        <f t="array" ref="F15">D15</f>
        <v>1</v>
      </c>
      <c r="G15" t="s" s="27">
        <v>344</v>
      </c>
      <c r="H15" s="26">
        <v>400000</v>
      </c>
      <c r="I15" s="26">
        <v>400000</v>
      </c>
      <c r="J15" s="26">
        <v>400000</v>
      </c>
      <c r="K15" s="26">
        <v>11</v>
      </c>
      <c r="L15" s="26" cm="1">
        <f t="array" ref="L15">IF(D15&gt;0,IF($D15&lt;=0,0,D15*H15),"")</f>
        <v>400000</v>
      </c>
      <c r="M15" s="26" cm="1">
        <f t="array" ref="M15">IF(E15&gt;0,IF($D15&lt;=0,0,ROUND(E15*I15,2)),"")</f>
        <v>400000</v>
      </c>
      <c r="N15" s="28" cm="1">
        <f t="array" ref="N15">IF(F15&gt;0,IF($D15&lt;=0,0,ROUND(F15*J15,2)),"")</f>
        <v>400000</v>
      </c>
    </row>
    <row r="16" ht="20.5" customHeight="1">
      <c r="A16" s="95">
        <v>8</v>
      </c>
      <c r="B16" t="s" s="19">
        <v>625</v>
      </c>
      <c r="C16" s="20"/>
      <c r="D16" s="21">
        <v>2</v>
      </c>
      <c r="E16" s="21" cm="1">
        <f t="array" ref="E16">D16</f>
        <v>2</v>
      </c>
      <c r="F16" s="21" cm="1">
        <f t="array" ref="F16">D16</f>
        <v>2</v>
      </c>
      <c r="G16" t="s" s="22">
        <v>344</v>
      </c>
      <c r="H16" s="21">
        <v>250000</v>
      </c>
      <c r="I16" s="21">
        <v>250000</v>
      </c>
      <c r="J16" s="21">
        <v>250000</v>
      </c>
      <c r="K16" s="21">
        <v>11</v>
      </c>
      <c r="L16" s="21" cm="1">
        <f t="array" ref="L16">IF(D16&gt;0,IF($D16&lt;=0,0,D16*H16),"")</f>
        <v>500000</v>
      </c>
      <c r="M16" s="21" cm="1">
        <f t="array" ref="M16">IF(E16&gt;0,IF($D16&lt;=0,0,ROUND(E16*I16,2)),"")</f>
        <v>500000</v>
      </c>
      <c r="N16" s="23" cm="1">
        <f t="array" ref="N16">IF(F16&gt;0,IF($D16&lt;=0,0,ROUND(F16*J16,2)),"")</f>
        <v>500000</v>
      </c>
    </row>
    <row r="17" ht="20.5" customHeight="1">
      <c r="A17" s="95">
        <v>9</v>
      </c>
      <c r="B17" t="s" s="19">
        <v>626</v>
      </c>
      <c r="C17" s="24"/>
      <c r="D17" s="26">
        <v>24</v>
      </c>
      <c r="E17" s="26" cm="1">
        <f t="array" ref="E17">D17</f>
        <v>24</v>
      </c>
      <c r="F17" s="26" cm="1">
        <f t="array" ref="F17">D17</f>
        <v>24</v>
      </c>
      <c r="G17" t="s" s="27">
        <v>344</v>
      </c>
      <c r="H17" s="26">
        <v>350000</v>
      </c>
      <c r="I17" s="26">
        <v>349000</v>
      </c>
      <c r="J17" s="26">
        <v>349000</v>
      </c>
      <c r="K17" s="26">
        <v>11</v>
      </c>
      <c r="L17" s="26" cm="1">
        <f t="array" ref="L17">IF(D17&gt;0,IF($D17&lt;=0,0,D17*H17),"")</f>
        <v>8400000</v>
      </c>
      <c r="M17" s="26" cm="1">
        <f t="array" ref="M17">IF(E17&gt;0,IF($D17&lt;=0,0,ROUND(E17*I17,2)),"")</f>
        <v>8376000</v>
      </c>
      <c r="N17" s="28" cm="1">
        <f t="array" ref="N17">IF(F17&gt;0,IF($D17&lt;=0,0,ROUND(F17*J17,2)),"")</f>
        <v>8376000</v>
      </c>
    </row>
    <row r="18" ht="20.5" customHeight="1">
      <c r="A18" s="95">
        <v>10</v>
      </c>
      <c r="B18" t="s" s="19">
        <v>627</v>
      </c>
      <c r="C18" s="20"/>
      <c r="D18" s="21">
        <v>14</v>
      </c>
      <c r="E18" s="21" cm="1">
        <f t="array" ref="E18">D18</f>
        <v>14</v>
      </c>
      <c r="F18" s="21" cm="1">
        <f t="array" ref="F18">D18</f>
        <v>14</v>
      </c>
      <c r="G18" t="s" s="22">
        <v>344</v>
      </c>
      <c r="H18" s="364">
        <v>450000</v>
      </c>
      <c r="I18" s="283">
        <v>445000</v>
      </c>
      <c r="J18" s="283">
        <v>445000</v>
      </c>
      <c r="K18" s="21">
        <v>11</v>
      </c>
      <c r="L18" s="21" cm="1">
        <f t="array" ref="L18">IF(D18&gt;0,IF($D18&lt;=0,0,D18*H18),"")</f>
        <v>6300000</v>
      </c>
      <c r="M18" s="21" cm="1">
        <f t="array" ref="M18">IF(E18&gt;0,IF($D18&lt;=0,0,ROUND(E18*I18,2)),"")</f>
        <v>6230000</v>
      </c>
      <c r="N18" s="23" cm="1">
        <f t="array" ref="N18">IF(F18&gt;0,IF($D18&lt;=0,0,ROUND(F18*J18,2)),"")</f>
        <v>6230000</v>
      </c>
    </row>
    <row r="19" ht="20.5" customHeight="1">
      <c r="A19" s="95">
        <v>11</v>
      </c>
      <c r="B19" t="s" s="19">
        <v>628</v>
      </c>
      <c r="C19" s="24"/>
      <c r="D19" s="26">
        <v>17</v>
      </c>
      <c r="E19" s="26" cm="1">
        <f t="array" ref="E19">D19</f>
        <v>17</v>
      </c>
      <c r="F19" s="26" cm="1">
        <f t="array" ref="F19">D19</f>
        <v>17</v>
      </c>
      <c r="G19" t="s" s="27">
        <v>344</v>
      </c>
      <c r="H19" s="284">
        <v>500000</v>
      </c>
      <c r="I19" s="284">
        <v>500000</v>
      </c>
      <c r="J19" s="284">
        <v>500000</v>
      </c>
      <c r="K19" s="26">
        <v>11</v>
      </c>
      <c r="L19" s="26" cm="1">
        <f t="array" ref="L19">IF(D19&gt;0,IF($D19&lt;=0,0,D19*H19),"")</f>
        <v>8500000</v>
      </c>
      <c r="M19" s="26" cm="1">
        <f t="array" ref="M19">IF(E19&gt;0,IF($D19&lt;=0,0,ROUND(E19*I19,2)),"")</f>
        <v>8500000</v>
      </c>
      <c r="N19" s="28" cm="1">
        <f t="array" ref="N19">IF(F19&gt;0,IF($D19&lt;=0,0,ROUND(F19*J19,2)),"")</f>
        <v>8500000</v>
      </c>
    </row>
    <row r="20" ht="20.5" customHeight="1">
      <c r="A20" s="95">
        <v>12</v>
      </c>
      <c r="B20" t="s" s="19">
        <v>629</v>
      </c>
      <c r="C20" s="20"/>
      <c r="D20" s="21">
        <v>2</v>
      </c>
      <c r="E20" s="21" cm="1">
        <f t="array" ref="E20">D20</f>
        <v>2</v>
      </c>
      <c r="F20" s="21" cm="1">
        <f t="array" ref="F20">D20</f>
        <v>2</v>
      </c>
      <c r="G20" t="s" s="22">
        <v>344</v>
      </c>
      <c r="H20" s="364">
        <v>1500000</v>
      </c>
      <c r="I20" s="283">
        <v>1500000</v>
      </c>
      <c r="J20" s="283">
        <v>1500000</v>
      </c>
      <c r="K20" s="21">
        <v>11</v>
      </c>
      <c r="L20" s="21" cm="1">
        <f t="array" ref="L20">IF(D20&gt;0,IF($D20&lt;=0,0,D20*H20),"")</f>
        <v>3000000</v>
      </c>
      <c r="M20" s="21" cm="1">
        <f t="array" ref="M20">IF(E20&gt;0,IF($D20&lt;=0,0,ROUND(E20*I20,2)),"")</f>
        <v>3000000</v>
      </c>
      <c r="N20" s="23" cm="1">
        <f t="array" ref="N20">IF(F20&gt;0,IF($D20&lt;=0,0,ROUND(F20*J20,2)),"")</f>
        <v>3000000</v>
      </c>
    </row>
    <row r="21" ht="20.5" customHeight="1">
      <c r="A21" s="95">
        <v>13</v>
      </c>
      <c r="B21" t="s" s="19">
        <v>630</v>
      </c>
      <c r="C21" s="24"/>
      <c r="D21" s="26">
        <v>1</v>
      </c>
      <c r="E21" s="26" cm="1">
        <f t="array" ref="E21">D21</f>
        <v>1</v>
      </c>
      <c r="F21" s="26" cm="1">
        <f t="array" ref="F21">D21</f>
        <v>1</v>
      </c>
      <c r="G21" t="s" s="27">
        <v>344</v>
      </c>
      <c r="H21" s="26">
        <v>1800000</v>
      </c>
      <c r="I21" s="26">
        <v>1800000</v>
      </c>
      <c r="J21" s="26">
        <v>1800000</v>
      </c>
      <c r="K21" s="26">
        <v>11</v>
      </c>
      <c r="L21" s="26" cm="1">
        <f t="array" ref="L21">IF(D21&gt;0,IF($D21&lt;=0,0,D21*H21),"")</f>
        <v>1800000</v>
      </c>
      <c r="M21" s="26" cm="1">
        <f t="array" ref="M21">IF(E21&gt;0,IF($D21&lt;=0,0,ROUND(E21*I21,2)),"")</f>
        <v>1800000</v>
      </c>
      <c r="N21" s="28" cm="1">
        <f t="array" ref="N21">IF(F21&gt;0,IF($D21&lt;=0,0,ROUND(F21*J21,2)),"")</f>
        <v>1800000</v>
      </c>
    </row>
    <row r="22" ht="20.5" customHeight="1">
      <c r="A22" s="95">
        <v>14</v>
      </c>
      <c r="B22" t="s" s="19">
        <v>631</v>
      </c>
      <c r="C22" s="20"/>
      <c r="D22" s="21">
        <v>1</v>
      </c>
      <c r="E22" s="21" cm="1">
        <f t="array" ref="E22">D22</f>
        <v>1</v>
      </c>
      <c r="F22" s="21" cm="1">
        <f t="array" ref="F22">D22</f>
        <v>1</v>
      </c>
      <c r="G22" t="s" s="22">
        <v>344</v>
      </c>
      <c r="H22" s="21">
        <v>2150000</v>
      </c>
      <c r="I22" s="21">
        <v>2150000</v>
      </c>
      <c r="J22" s="21">
        <v>2150000</v>
      </c>
      <c r="K22" s="21">
        <v>11</v>
      </c>
      <c r="L22" s="21" cm="1">
        <f t="array" ref="L22">IF(D22&gt;0,IF($D22&lt;=0,0,D22*H22),"")</f>
        <v>2150000</v>
      </c>
      <c r="M22" s="21" cm="1">
        <f t="array" ref="M22">IF(E22&gt;0,IF($D22&lt;=0,0,ROUND(E22*I22,2)),"")</f>
        <v>2150000</v>
      </c>
      <c r="N22" s="23" cm="1">
        <f t="array" ref="N22">IF(F22&gt;0,IF($D22&lt;=0,0,ROUND(F22*J22,2)),"")</f>
        <v>2150000</v>
      </c>
    </row>
    <row r="23" ht="20.5" customHeight="1">
      <c r="A23" s="95">
        <v>15</v>
      </c>
      <c r="B23" t="s" s="19">
        <v>632</v>
      </c>
      <c r="C23" s="24"/>
      <c r="D23" s="26">
        <v>1</v>
      </c>
      <c r="E23" s="26" cm="1">
        <f t="array" ref="E23">D23</f>
        <v>1</v>
      </c>
      <c r="F23" s="26" cm="1">
        <f t="array" ref="F23">D23</f>
        <v>1</v>
      </c>
      <c r="G23" t="s" s="27">
        <v>633</v>
      </c>
      <c r="H23" s="26">
        <v>1200000</v>
      </c>
      <c r="I23" s="26">
        <v>1200000</v>
      </c>
      <c r="J23" s="26">
        <v>1200000</v>
      </c>
      <c r="K23" s="26">
        <v>11</v>
      </c>
      <c r="L23" s="26" cm="1">
        <f t="array" ref="L23">IF(D23&gt;0,IF($D23&lt;=0,0,D23*H23),"")</f>
        <v>1200000</v>
      </c>
      <c r="M23" s="26" cm="1">
        <f t="array" ref="M23">IF(E23&gt;0,IF($D23&lt;=0,0,ROUND(E23*I23,2)),"")</f>
        <v>1200000</v>
      </c>
      <c r="N23" s="28" cm="1">
        <f t="array" ref="N23">IF(F23&gt;0,IF($D23&lt;=0,0,ROUND(F23*J23,2)),"")</f>
        <v>1200000</v>
      </c>
    </row>
    <row r="24" ht="20.5" customHeight="1">
      <c r="A24" s="95">
        <v>16</v>
      </c>
      <c r="B24" t="s" s="19">
        <v>634</v>
      </c>
      <c r="C24" s="20"/>
      <c r="D24" s="21">
        <v>1</v>
      </c>
      <c r="E24" s="21" cm="1">
        <f t="array" ref="E24">D24</f>
        <v>1</v>
      </c>
      <c r="F24" s="21" cm="1">
        <f t="array" ref="F24">D24</f>
        <v>1</v>
      </c>
      <c r="G24" t="s" s="22">
        <v>633</v>
      </c>
      <c r="H24" s="21">
        <v>1300000</v>
      </c>
      <c r="I24" s="21">
        <v>1300000</v>
      </c>
      <c r="J24" s="21">
        <v>1300000</v>
      </c>
      <c r="K24" s="21">
        <v>11</v>
      </c>
      <c r="L24" s="21" cm="1">
        <f t="array" ref="L24">IF(D24&gt;0,IF($D24&lt;=0,0,D24*H24),"")</f>
        <v>1300000</v>
      </c>
      <c r="M24" s="21" cm="1">
        <f t="array" ref="M24">IF(E24&gt;0,IF($D24&lt;=0,0,ROUND(E24*I24,2)),"")</f>
        <v>1300000</v>
      </c>
      <c r="N24" s="23" cm="1">
        <f t="array" ref="N24">IF(F24&gt;0,IF($D24&lt;=0,0,ROUND(F24*J24,2)),"")</f>
        <v>1300000</v>
      </c>
    </row>
    <row r="25" ht="20.5" customHeight="1">
      <c r="A25" s="95">
        <v>17</v>
      </c>
      <c r="B25" t="s" s="19">
        <v>635</v>
      </c>
      <c r="C25" s="24"/>
      <c r="D25" s="26">
        <v>200</v>
      </c>
      <c r="E25" s="26" cm="1">
        <f t="array" ref="E25">D25</f>
        <v>200</v>
      </c>
      <c r="F25" s="26" cm="1">
        <f t="array" ref="F25">D25</f>
        <v>200</v>
      </c>
      <c r="G25" t="s" s="27">
        <v>344</v>
      </c>
      <c r="H25" s="26">
        <v>6000</v>
      </c>
      <c r="I25" s="26">
        <v>6000</v>
      </c>
      <c r="J25" s="26">
        <v>6000</v>
      </c>
      <c r="K25" s="26">
        <v>11</v>
      </c>
      <c r="L25" s="26" cm="1">
        <f t="array" ref="L25">IF(D25&gt;0,IF($D25&lt;=0,0,D25*H25),"")</f>
        <v>1200000</v>
      </c>
      <c r="M25" s="26" cm="1">
        <f t="array" ref="M25">IF(E25&gt;0,IF($D25&lt;=0,0,ROUND(E25*I25,2)),"")</f>
        <v>1200000</v>
      </c>
      <c r="N25" s="28" cm="1">
        <f t="array" ref="N25">IF(F25&gt;0,IF($D25&lt;=0,0,ROUND(F25*J25,2)),"")</f>
        <v>1200000</v>
      </c>
    </row>
    <row r="26" ht="20.5" customHeight="1">
      <c r="A26" s="95">
        <v>18</v>
      </c>
      <c r="B26" t="s" s="19">
        <v>636</v>
      </c>
      <c r="C26" s="20"/>
      <c r="D26" s="21">
        <v>20</v>
      </c>
      <c r="E26" s="21" cm="1">
        <f t="array" ref="E26">D26</f>
        <v>20</v>
      </c>
      <c r="F26" s="21" cm="1">
        <f t="array" ref="F26">D26</f>
        <v>20</v>
      </c>
      <c r="G26" t="s" s="22">
        <v>637</v>
      </c>
      <c r="H26" s="21">
        <v>80000</v>
      </c>
      <c r="I26" s="21">
        <v>80000</v>
      </c>
      <c r="J26" s="21">
        <v>80000</v>
      </c>
      <c r="K26" s="21">
        <v>11</v>
      </c>
      <c r="L26" s="21" cm="1">
        <f t="array" ref="L26">IF(D26&gt;0,IF($D26&lt;=0,0,D26*H26),"")</f>
        <v>1600000</v>
      </c>
      <c r="M26" s="21" cm="1">
        <f t="array" ref="M26">IF(E26&gt;0,IF($D26&lt;=0,0,ROUND(E26*I26,2)),"")</f>
        <v>1600000</v>
      </c>
      <c r="N26" s="23" cm="1">
        <f t="array" ref="N26">IF(F26&gt;0,IF($D26&lt;=0,0,ROUND(F26*J26,2)),"")</f>
        <v>1600000</v>
      </c>
    </row>
    <row r="27" ht="20.5" customHeight="1">
      <c r="A27" s="95">
        <v>19</v>
      </c>
      <c r="B27" t="s" s="19">
        <v>638</v>
      </c>
      <c r="C27" s="24"/>
      <c r="D27" s="26">
        <v>5</v>
      </c>
      <c r="E27" s="26" cm="1">
        <f t="array" ref="E27">D27</f>
        <v>5</v>
      </c>
      <c r="F27" s="26" cm="1">
        <f t="array" ref="F27">D27</f>
        <v>5</v>
      </c>
      <c r="G27" t="s" s="27">
        <v>344</v>
      </c>
      <c r="H27" s="26">
        <v>100000</v>
      </c>
      <c r="I27" s="26">
        <v>100000</v>
      </c>
      <c r="J27" s="26">
        <v>100000</v>
      </c>
      <c r="K27" s="26">
        <v>11</v>
      </c>
      <c r="L27" s="26" cm="1">
        <f t="array" ref="L27">IF(D27&gt;0,IF($D27&lt;=0,0,D27*H27),"")</f>
        <v>500000</v>
      </c>
      <c r="M27" s="26" cm="1">
        <f t="array" ref="M27">IF(E27&gt;0,IF($D27&lt;=0,0,ROUND(E27*I27,2)),"")</f>
        <v>500000</v>
      </c>
      <c r="N27" s="28" cm="1">
        <f t="array" ref="N27">IF(F27&gt;0,IF($D27&lt;=0,0,ROUND(F27*J27,2)),"")</f>
        <v>500000</v>
      </c>
    </row>
    <row r="28" ht="20.5" customHeight="1">
      <c r="A28" s="95">
        <v>20</v>
      </c>
      <c r="B28" t="s" s="19">
        <v>639</v>
      </c>
      <c r="C28" s="20"/>
      <c r="D28" s="21">
        <v>28</v>
      </c>
      <c r="E28" s="21" cm="1">
        <f t="array" ref="E28">D28</f>
        <v>28</v>
      </c>
      <c r="F28" s="21" cm="1">
        <f t="array" ref="F28">D28</f>
        <v>28</v>
      </c>
      <c r="G28" t="s" s="22">
        <v>344</v>
      </c>
      <c r="H28" s="21">
        <v>150000</v>
      </c>
      <c r="I28" s="21">
        <v>150000</v>
      </c>
      <c r="J28" s="21">
        <v>150000</v>
      </c>
      <c r="K28" s="21">
        <v>11</v>
      </c>
      <c r="L28" s="21" cm="1">
        <f t="array" ref="L28">IF(D28&gt;0,IF($D28&lt;=0,0,D28*H28),"")</f>
        <v>4200000</v>
      </c>
      <c r="M28" s="21" cm="1">
        <f t="array" ref="M28">IF(E28&gt;0,IF($D28&lt;=0,0,ROUND(E28*I28,2)),"")</f>
        <v>4200000</v>
      </c>
      <c r="N28" s="23" cm="1">
        <f t="array" ref="N28">IF(F28&gt;0,IF($D28&lt;=0,0,ROUND(F28*J28,2)),"")</f>
        <v>4200000</v>
      </c>
    </row>
    <row r="29" ht="20.5" customHeight="1">
      <c r="A29" s="95">
        <v>21</v>
      </c>
      <c r="B29" t="s" s="19">
        <v>640</v>
      </c>
      <c r="C29" s="24"/>
      <c r="D29" s="26">
        <v>4</v>
      </c>
      <c r="E29" s="26" cm="1">
        <f t="array" ref="E29">D29</f>
        <v>4</v>
      </c>
      <c r="F29" s="26" cm="1">
        <f t="array" ref="F29">D29</f>
        <v>4</v>
      </c>
      <c r="G29" t="s" s="27">
        <v>344</v>
      </c>
      <c r="H29" s="26">
        <v>200000</v>
      </c>
      <c r="I29" s="26">
        <v>200000</v>
      </c>
      <c r="J29" s="26">
        <v>200000</v>
      </c>
      <c r="K29" s="26">
        <v>11</v>
      </c>
      <c r="L29" s="26" cm="1">
        <f t="array" ref="L29">IF(D29&gt;0,IF($D29&lt;=0,0,D29*H29),"")</f>
        <v>800000</v>
      </c>
      <c r="M29" s="26" cm="1">
        <f t="array" ref="M29">IF(E29&gt;0,IF($D29&lt;=0,0,ROUND(E29*I29,2)),"")</f>
        <v>800000</v>
      </c>
      <c r="N29" s="28" cm="1">
        <f t="array" ref="N29">IF(F29&gt;0,IF($D29&lt;=0,0,ROUND(F29*J29,2)),"")</f>
        <v>800000</v>
      </c>
    </row>
    <row r="30" ht="20.5" customHeight="1">
      <c r="A30" s="95">
        <v>22</v>
      </c>
      <c r="B30" t="s" s="19">
        <v>641</v>
      </c>
      <c r="C30" s="20"/>
      <c r="D30" s="21">
        <v>102</v>
      </c>
      <c r="E30" s="21" cm="1">
        <f t="array" ref="E30">D30</f>
        <v>102</v>
      </c>
      <c r="F30" s="21" cm="1">
        <f t="array" ref="F30">D30</f>
        <v>102</v>
      </c>
      <c r="G30" t="s" s="22">
        <v>543</v>
      </c>
      <c r="H30" s="21">
        <v>10000</v>
      </c>
      <c r="I30" s="21">
        <v>10000</v>
      </c>
      <c r="J30" s="21">
        <v>10000</v>
      </c>
      <c r="K30" s="21">
        <v>11</v>
      </c>
      <c r="L30" s="21" cm="1">
        <f t="array" ref="L30">IF(D30&gt;0,IF($D30&lt;=0,0,D30*H30),"")</f>
        <v>1020000</v>
      </c>
      <c r="M30" s="21" cm="1">
        <f t="array" ref="M30">IF(E30&gt;0,IF($D30&lt;=0,0,ROUND(E30*I30,2)),"")</f>
        <v>1020000</v>
      </c>
      <c r="N30" s="23" cm="1">
        <f t="array" ref="N30">IF(F30&gt;0,IF($D30&lt;=0,0,ROUND(F30*J30,2)),"")</f>
        <v>1020000</v>
      </c>
    </row>
    <row r="31" ht="20.5" customHeight="1">
      <c r="A31" s="95">
        <v>24</v>
      </c>
      <c r="B31" t="s" s="19">
        <v>642</v>
      </c>
      <c r="C31" s="24"/>
      <c r="D31" s="26">
        <v>2</v>
      </c>
      <c r="E31" s="26" cm="1">
        <f t="array" ref="E31">D31</f>
        <v>2</v>
      </c>
      <c r="F31" s="26" cm="1">
        <f t="array" ref="F31">D31</f>
        <v>2</v>
      </c>
      <c r="G31" t="s" s="27">
        <v>19</v>
      </c>
      <c r="H31" s="26">
        <v>1000000</v>
      </c>
      <c r="I31" s="26">
        <v>1000000</v>
      </c>
      <c r="J31" s="26">
        <v>1000000</v>
      </c>
      <c r="K31" s="26">
        <v>11</v>
      </c>
      <c r="L31" s="26" cm="1">
        <f t="array" ref="L31">IF(D31&gt;0,IF($D31&lt;=0,0,D31*H31),"")</f>
        <v>2000000</v>
      </c>
      <c r="M31" s="26" cm="1">
        <f t="array" ref="M31">IF(E31&gt;0,IF($D31&lt;=0,0,ROUND(E31*I31,2)),"")</f>
        <v>2000000</v>
      </c>
      <c r="N31" s="28" cm="1">
        <f t="array" ref="N31">IF(F31&gt;0,IF($D31&lt;=0,0,ROUND(F31*J31,2)),"")</f>
        <v>2000000</v>
      </c>
    </row>
    <row r="32" ht="20.5" customHeight="1">
      <c r="A32" s="95">
        <v>25</v>
      </c>
      <c r="B32" t="s" s="19">
        <v>643</v>
      </c>
      <c r="C32" s="20"/>
      <c r="D32" s="21">
        <v>1</v>
      </c>
      <c r="E32" s="21" cm="1">
        <f t="array" ref="E32">D32</f>
        <v>1</v>
      </c>
      <c r="F32" s="21" cm="1">
        <f t="array" ref="F32">D32</f>
        <v>1</v>
      </c>
      <c r="G32" t="s" s="22">
        <v>19</v>
      </c>
      <c r="H32" s="21">
        <v>2409000</v>
      </c>
      <c r="I32" s="21">
        <v>2400000</v>
      </c>
      <c r="J32" s="21">
        <v>2400000</v>
      </c>
      <c r="K32" s="21">
        <v>11</v>
      </c>
      <c r="L32" s="21" cm="1">
        <f t="array" ref="L32">IF(D32&gt;0,IF($D32&lt;=0,0,D32*H32),"")</f>
        <v>2409000</v>
      </c>
      <c r="M32" s="21" cm="1">
        <f t="array" ref="M32">IF(E32&gt;0,IF($D32&lt;=0,0,ROUND(E32*I32,2)),"")</f>
        <v>2400000</v>
      </c>
      <c r="N32" s="23" cm="1">
        <f t="array" ref="N32">IF(F32&gt;0,IF($D32&lt;=0,0,ROUND(F32*J32,2)),"")</f>
        <v>2400000</v>
      </c>
    </row>
    <row r="33" ht="20.5" customHeight="1">
      <c r="A33" s="95">
        <v>26</v>
      </c>
      <c r="B33" t="s" s="19">
        <v>644</v>
      </c>
      <c r="C33" s="24"/>
      <c r="D33" s="26">
        <v>1</v>
      </c>
      <c r="E33" s="26" cm="1">
        <f t="array" ref="E33">D33</f>
        <v>1</v>
      </c>
      <c r="F33" s="26" cm="1">
        <f t="array" ref="F33">D33</f>
        <v>1</v>
      </c>
      <c r="G33" t="s" s="27">
        <v>19</v>
      </c>
      <c r="H33" s="26">
        <v>500000</v>
      </c>
      <c r="I33" s="26">
        <v>500000</v>
      </c>
      <c r="J33" s="26">
        <v>500000</v>
      </c>
      <c r="K33" s="26">
        <v>11</v>
      </c>
      <c r="L33" s="26" cm="1">
        <f t="array" ref="L33">IF(D33&gt;0,IF($D33&lt;=0,0,D33*H33),"")</f>
        <v>500000</v>
      </c>
      <c r="M33" s="26" cm="1">
        <f t="array" ref="M33">IF(E33&gt;0,IF($D33&lt;=0,0,ROUND(E33*I33,2)),"")</f>
        <v>500000</v>
      </c>
      <c r="N33" s="28" cm="1">
        <f t="array" ref="N33">IF(F33&gt;0,IF($D33&lt;=0,0,ROUND(F33*J33,2)),"")</f>
        <v>500000</v>
      </c>
    </row>
    <row r="34" ht="20.5" customHeight="1">
      <c r="A34" s="95">
        <v>27</v>
      </c>
      <c r="B34" t="s" s="19">
        <v>645</v>
      </c>
      <c r="C34" s="20"/>
      <c r="D34" s="21">
        <v>1</v>
      </c>
      <c r="E34" s="21" cm="1">
        <f t="array" ref="E34">D34</f>
        <v>1</v>
      </c>
      <c r="F34" s="21" cm="1">
        <f t="array" ref="F34">D34</f>
        <v>1</v>
      </c>
      <c r="G34" t="s" s="22">
        <v>19</v>
      </c>
      <c r="H34" s="21">
        <v>200000</v>
      </c>
      <c r="I34" s="21">
        <v>200000</v>
      </c>
      <c r="J34" s="21">
        <v>200000</v>
      </c>
      <c r="K34" s="21">
        <v>11</v>
      </c>
      <c r="L34" s="21" cm="1">
        <f t="array" ref="L34">IF(D34&gt;0,IF($D34&lt;=0,0,D34*H34),"")</f>
        <v>200000</v>
      </c>
      <c r="M34" s="21" cm="1">
        <f t="array" ref="M34">IF(E34&gt;0,IF($D34&lt;=0,0,ROUND(E34*I34,2)),"")</f>
        <v>200000</v>
      </c>
      <c r="N34" s="23" cm="1">
        <f t="array" ref="N34">IF(F34&gt;0,IF($D34&lt;=0,0,ROUND(F34*J34,2)),"")</f>
        <v>200000</v>
      </c>
    </row>
    <row r="35" ht="20.5" customHeight="1">
      <c r="A35" s="95">
        <v>28</v>
      </c>
      <c r="B35" t="s" s="19">
        <v>646</v>
      </c>
      <c r="C35" s="24"/>
      <c r="D35" s="26">
        <v>12</v>
      </c>
      <c r="E35" s="26" cm="1">
        <f t="array" ref="E35">D35</f>
        <v>12</v>
      </c>
      <c r="F35" s="26" cm="1">
        <f t="array" ref="F35">D35</f>
        <v>12</v>
      </c>
      <c r="G35" t="s" s="27">
        <v>344</v>
      </c>
      <c r="H35" s="26">
        <v>50000</v>
      </c>
      <c r="I35" s="26">
        <v>50000</v>
      </c>
      <c r="J35" s="26">
        <v>50000</v>
      </c>
      <c r="K35" s="26">
        <v>11</v>
      </c>
      <c r="L35" s="26" cm="1">
        <f t="array" ref="L35">IF(D35&gt;0,IF($D35&lt;=0,0,D35*H35),"")</f>
        <v>600000</v>
      </c>
      <c r="M35" s="26" cm="1">
        <f t="array" ref="M35">IF(E35&gt;0,IF($D35&lt;=0,0,ROUND(E35*I35,2)),"")</f>
        <v>600000</v>
      </c>
      <c r="N35" s="28" cm="1">
        <f t="array" ref="N35">IF(F35&gt;0,IF($D35&lt;=0,0,ROUND(F35*J35,2)),"")</f>
        <v>600000</v>
      </c>
    </row>
    <row r="36" ht="20.5" customHeight="1">
      <c r="A36" s="95">
        <v>29</v>
      </c>
      <c r="B36" t="s" s="19">
        <v>647</v>
      </c>
      <c r="C36" s="20"/>
      <c r="D36" s="21">
        <v>4</v>
      </c>
      <c r="E36" s="21" cm="1">
        <f t="array" ref="E36">D36</f>
        <v>4</v>
      </c>
      <c r="F36" s="21" cm="1">
        <f t="array" ref="F36">D36</f>
        <v>4</v>
      </c>
      <c r="G36" t="s" s="22">
        <v>344</v>
      </c>
      <c r="H36" s="21">
        <v>30000</v>
      </c>
      <c r="I36" s="21">
        <v>30000</v>
      </c>
      <c r="J36" s="21">
        <v>30000</v>
      </c>
      <c r="K36" s="21">
        <v>11</v>
      </c>
      <c r="L36" s="21" cm="1">
        <f t="array" ref="L36">IF(D36&gt;0,IF($D36&lt;=0,0,D36*H36),"")</f>
        <v>120000</v>
      </c>
      <c r="M36" s="21" cm="1">
        <f t="array" ref="M36">IF(E36&gt;0,IF($D36&lt;=0,0,ROUND(E36*I36,2)),"")</f>
        <v>120000</v>
      </c>
      <c r="N36" s="23" cm="1">
        <f t="array" ref="N36">IF(F36&gt;0,IF($D36&lt;=0,0,ROUND(F36*J36,2)),"")</f>
        <v>120000</v>
      </c>
    </row>
    <row r="37" ht="20.5" customHeight="1">
      <c r="A37" s="95">
        <v>30</v>
      </c>
      <c r="B37" t="s" s="19">
        <v>648</v>
      </c>
      <c r="C37" s="24"/>
      <c r="D37" s="26">
        <v>3</v>
      </c>
      <c r="E37" s="26" cm="1">
        <f t="array" ref="E37">D37</f>
        <v>3</v>
      </c>
      <c r="F37" s="26" cm="1">
        <f t="array" ref="F37">D37</f>
        <v>3</v>
      </c>
      <c r="G37" t="s" s="27">
        <v>344</v>
      </c>
      <c r="H37" s="26">
        <v>300000</v>
      </c>
      <c r="I37" s="26">
        <v>300000</v>
      </c>
      <c r="J37" s="26">
        <v>300000</v>
      </c>
      <c r="K37" s="26">
        <v>11</v>
      </c>
      <c r="L37" s="26" cm="1">
        <f t="array" ref="L37">IF(D37&gt;0,IF($D37&lt;=0,0,D37*H37),"")</f>
        <v>900000</v>
      </c>
      <c r="M37" s="26" cm="1">
        <f t="array" ref="M37">IF(E37&gt;0,IF($D37&lt;=0,0,ROUND(E37*I37,2)),"")</f>
        <v>900000</v>
      </c>
      <c r="N37" s="28" cm="1">
        <f t="array" ref="N37">IF(F37&gt;0,IF($D37&lt;=0,0,ROUND(F37*J37,2)),"")</f>
        <v>900000</v>
      </c>
    </row>
    <row r="38" ht="20.5" customHeight="1">
      <c r="A38" s="95">
        <v>31</v>
      </c>
      <c r="B38" t="s" s="19">
        <v>649</v>
      </c>
      <c r="C38" s="20"/>
      <c r="D38" s="21">
        <v>1</v>
      </c>
      <c r="E38" s="21" cm="1">
        <f t="array" ref="E38">D38</f>
        <v>1</v>
      </c>
      <c r="F38" s="21" cm="1">
        <f t="array" ref="F38">D38</f>
        <v>1</v>
      </c>
      <c r="G38" t="s" s="22">
        <v>19</v>
      </c>
      <c r="H38" s="21">
        <v>2436000</v>
      </c>
      <c r="I38" s="21">
        <v>2400000</v>
      </c>
      <c r="J38" s="21">
        <v>2400000</v>
      </c>
      <c r="K38" s="21">
        <v>11</v>
      </c>
      <c r="L38" s="21" cm="1">
        <f t="array" ref="L38">IF(D38&gt;0,IF($D38&lt;=0,0,D38*H38),"")</f>
        <v>2436000</v>
      </c>
      <c r="M38" s="21" cm="1">
        <f t="array" ref="M38">IF(E38&gt;0,IF($D38&lt;=0,0,ROUND(E38*I38,2)),"")</f>
        <v>2400000</v>
      </c>
      <c r="N38" s="23" cm="1">
        <f t="array" ref="N38">IF(F38&gt;0,IF($D38&lt;=0,0,ROUND(F38*J38,2)),"")</f>
        <v>2400000</v>
      </c>
    </row>
    <row r="39" ht="20.5" customHeight="1">
      <c r="A39" s="95">
        <v>32</v>
      </c>
      <c r="B39" t="s" s="19">
        <v>650</v>
      </c>
      <c r="C39" s="24"/>
      <c r="D39" s="26">
        <v>1</v>
      </c>
      <c r="E39" s="26" cm="1">
        <f t="array" ref="E39">D39</f>
        <v>1</v>
      </c>
      <c r="F39" s="26" cm="1">
        <f t="array" ref="F39">D39</f>
        <v>1</v>
      </c>
      <c r="G39" t="s" s="27">
        <v>19</v>
      </c>
      <c r="H39" s="26">
        <v>200000</v>
      </c>
      <c r="I39" s="26">
        <v>200000</v>
      </c>
      <c r="J39" s="26">
        <v>200000</v>
      </c>
      <c r="K39" s="26">
        <v>11</v>
      </c>
      <c r="L39" s="26" cm="1">
        <f t="array" ref="L39">IF(D39&gt;0,IF($D39&lt;=0,0,D39*H39),"")</f>
        <v>200000</v>
      </c>
      <c r="M39" s="26" cm="1">
        <f t="array" ref="M39">IF(E39&gt;0,IF($D39&lt;=0,0,ROUND(E39*I39,2)),"")</f>
        <v>200000</v>
      </c>
      <c r="N39" s="28" cm="1">
        <f t="array" ref="N39">IF(F39&gt;0,IF($D39&lt;=0,0,ROUND(F39*J39,2)),"")</f>
        <v>200000</v>
      </c>
    </row>
    <row r="40" ht="20.5" customHeight="1">
      <c r="A40" t="s" s="93">
        <v>651</v>
      </c>
      <c r="B40" t="s" s="19">
        <v>421</v>
      </c>
      <c r="C40" s="20"/>
      <c r="D40" s="21"/>
      <c r="E40" s="21"/>
      <c r="F40" s="21"/>
      <c r="G40" s="263"/>
      <c r="H40" s="21"/>
      <c r="I40" s="263"/>
      <c r="J40" s="263"/>
      <c r="K40" s="21"/>
      <c r="L40" t="str" s="79" cm="1">
        <f t="array" ref="L40">IF(D40&gt;0,IF($D40&lt;=0,0,D40*H40),"")</f>
      </c>
      <c r="M40" t="str" s="79" cm="1">
        <f t="array" ref="M40">IF(E40&gt;0,IF($D40&lt;=0,0,ROUND(E40*I40,2)),"")</f>
      </c>
      <c r="N40" t="str" s="91" cm="1">
        <f t="array" ref="N40">IF(F40&gt;0,IF($D40&lt;=0,0,ROUND(F40*J40,2)),"")</f>
      </c>
    </row>
    <row r="41" ht="20.6" customHeight="1">
      <c r="A41" s="33">
        <v>1</v>
      </c>
      <c r="B41" t="s" s="34">
        <v>652</v>
      </c>
      <c r="C41" s="80"/>
      <c r="D41" s="81">
        <v>1</v>
      </c>
      <c r="E41" s="81" cm="1">
        <f t="array" ref="E41">D41</f>
        <v>1</v>
      </c>
      <c r="F41" s="81" cm="1">
        <f t="array" ref="F41">D41</f>
        <v>1</v>
      </c>
      <c r="G41" t="s" s="82">
        <v>19</v>
      </c>
      <c r="H41" s="81">
        <v>500000</v>
      </c>
      <c r="I41" s="81">
        <v>490000</v>
      </c>
      <c r="J41" s="81">
        <v>490000</v>
      </c>
      <c r="K41" s="81">
        <v>11</v>
      </c>
      <c r="L41" s="81" cm="1">
        <f t="array" ref="L41">IF(D41&gt;0,IF($D41&lt;=0,0,D41*H41),"")</f>
        <v>500000</v>
      </c>
      <c r="M41" s="81" cm="1">
        <f t="array" ref="M41">IF(E41&gt;0,IF($D41&lt;=0,0,ROUND(E41*I41,2)),"")</f>
        <v>490000</v>
      </c>
      <c r="N41" s="83" cm="1">
        <f t="array" ref="N41">IF(F41&gt;0,IF($D41&lt;=0,0,ROUND(F41*J41,2)),"")</f>
        <v>490000</v>
      </c>
    </row>
    <row r="42" ht="8.75" customHeight="1" hidden="1">
      <c r="A42" s="39"/>
      <c r="B42" s="40"/>
      <c r="C42" s="45"/>
      <c r="D42" s="46"/>
      <c r="E42" s="46"/>
      <c r="F42" s="46"/>
      <c r="G42" s="47"/>
      <c r="H42" s="46"/>
      <c r="I42" s="46"/>
      <c r="J42" s="46"/>
      <c r="K42" s="46"/>
      <c r="L42" s="47"/>
      <c r="M42" s="47"/>
      <c r="N42" s="52"/>
    </row>
    <row r="43" ht="8.75" customHeight="1" hidden="1">
      <c r="A43" s="39"/>
      <c r="B43" s="40"/>
      <c r="C43" s="41"/>
      <c r="D43" s="42"/>
      <c r="E43" s="42"/>
      <c r="F43" s="42"/>
      <c r="G43" s="43"/>
      <c r="H43" s="42"/>
      <c r="I43" s="42"/>
      <c r="J43" s="42"/>
      <c r="K43" s="42"/>
      <c r="L43" s="43"/>
      <c r="M43" s="43"/>
      <c r="N43" s="49"/>
    </row>
    <row r="44" ht="8.75" customHeight="1" hidden="1">
      <c r="A44" s="39"/>
      <c r="B44" s="40"/>
      <c r="C44" s="45"/>
      <c r="D44" s="46"/>
      <c r="E44" s="46"/>
      <c r="F44" s="46"/>
      <c r="G44" s="47"/>
      <c r="H44" s="46"/>
      <c r="I44" s="46"/>
      <c r="J44" s="46"/>
      <c r="K44" s="46"/>
      <c r="L44" s="47"/>
      <c r="M44" s="47"/>
      <c r="N44" s="52"/>
    </row>
    <row r="45" ht="8.75" customHeight="1" hidden="1">
      <c r="A45" s="39"/>
      <c r="B45" s="40"/>
      <c r="C45" s="41"/>
      <c r="D45" s="42"/>
      <c r="E45" s="42"/>
      <c r="F45" s="42"/>
      <c r="G45" s="43"/>
      <c r="H45" s="42"/>
      <c r="I45" s="42"/>
      <c r="J45" s="42"/>
      <c r="K45" s="42"/>
      <c r="L45" s="43"/>
      <c r="M45" s="43"/>
      <c r="N45" s="49"/>
    </row>
    <row r="46" ht="8.75" customHeight="1" hidden="1">
      <c r="A46" s="39"/>
      <c r="B46" s="40"/>
      <c r="C46" s="45"/>
      <c r="D46" s="46"/>
      <c r="E46" s="46"/>
      <c r="F46" s="46"/>
      <c r="G46" s="47"/>
      <c r="H46" s="46"/>
      <c r="I46" s="46"/>
      <c r="J46" s="46"/>
      <c r="K46" s="46"/>
      <c r="L46" s="47"/>
      <c r="M46" s="47"/>
      <c r="N46" s="52"/>
    </row>
    <row r="47" ht="8.75" customHeight="1" hidden="1">
      <c r="A47" s="39"/>
      <c r="B47" s="40"/>
      <c r="C47" s="41"/>
      <c r="D47" s="42"/>
      <c r="E47" s="42"/>
      <c r="F47" s="42"/>
      <c r="G47" s="43"/>
      <c r="H47" s="42"/>
      <c r="I47" s="42"/>
      <c r="J47" s="42"/>
      <c r="K47" s="42"/>
      <c r="L47" s="43"/>
      <c r="M47" s="43"/>
      <c r="N47" s="49"/>
    </row>
    <row r="48" ht="8.75" customHeight="1" hidden="1">
      <c r="A48" s="39"/>
      <c r="B48" s="40"/>
      <c r="C48" s="45"/>
      <c r="D48" s="46"/>
      <c r="E48" s="46"/>
      <c r="F48" s="46"/>
      <c r="G48" s="47"/>
      <c r="H48" s="46"/>
      <c r="I48" s="46"/>
      <c r="J48" s="46"/>
      <c r="K48" s="46"/>
      <c r="L48" s="47"/>
      <c r="M48" s="47"/>
      <c r="N48" s="52"/>
    </row>
    <row r="49" ht="8.75" customHeight="1" hidden="1">
      <c r="A49" s="39"/>
      <c r="B49" s="40"/>
      <c r="C49" s="41"/>
      <c r="D49" s="42"/>
      <c r="E49" s="42"/>
      <c r="F49" s="42"/>
      <c r="G49" s="43"/>
      <c r="H49" s="42"/>
      <c r="I49" s="42"/>
      <c r="J49" s="42"/>
      <c r="K49" s="42"/>
      <c r="L49" s="43"/>
      <c r="M49" s="43"/>
      <c r="N49" s="49"/>
    </row>
    <row r="50" ht="8.75" customHeight="1" hidden="1">
      <c r="A50" s="39"/>
      <c r="B50" s="40"/>
      <c r="C50" s="45"/>
      <c r="D50" s="46"/>
      <c r="E50" s="46"/>
      <c r="F50" s="46"/>
      <c r="G50" s="47"/>
      <c r="H50" s="46"/>
      <c r="I50" s="46"/>
      <c r="J50" s="46"/>
      <c r="K50" s="46"/>
      <c r="L50" s="47"/>
      <c r="M50" s="47"/>
      <c r="N50" s="52"/>
    </row>
    <row r="51" ht="8.75" customHeight="1" hidden="1">
      <c r="A51" s="39"/>
      <c r="B51" s="40"/>
      <c r="C51" s="41"/>
      <c r="D51" s="42"/>
      <c r="E51" s="42"/>
      <c r="F51" s="42"/>
      <c r="G51" s="43"/>
      <c r="H51" s="42"/>
      <c r="I51" s="42"/>
      <c r="J51" s="42"/>
      <c r="K51" s="42"/>
      <c r="L51" s="43"/>
      <c r="M51" s="43"/>
      <c r="N51" s="49"/>
    </row>
    <row r="52" ht="8.75" customHeight="1" hidden="1">
      <c r="A52" s="39"/>
      <c r="B52" s="40"/>
      <c r="C52" s="45"/>
      <c r="D52" s="46"/>
      <c r="E52" s="46"/>
      <c r="F52" s="46"/>
      <c r="G52" s="47"/>
      <c r="H52" s="46"/>
      <c r="I52" s="46"/>
      <c r="J52" s="46"/>
      <c r="K52" s="46"/>
      <c r="L52" s="47"/>
      <c r="M52" s="47"/>
      <c r="N52" s="52"/>
    </row>
    <row r="53" ht="8.75" customHeight="1" hidden="1">
      <c r="A53" s="39"/>
      <c r="B53" s="40"/>
      <c r="C53" s="41"/>
      <c r="D53" s="42"/>
      <c r="E53" s="42"/>
      <c r="F53" s="42"/>
      <c r="G53" s="43"/>
      <c r="H53" s="42"/>
      <c r="I53" s="42"/>
      <c r="J53" s="42"/>
      <c r="K53" s="42"/>
      <c r="L53" s="43"/>
      <c r="M53" s="43"/>
      <c r="N53" s="49"/>
    </row>
    <row r="54" ht="8.75" customHeight="1" hidden="1">
      <c r="A54" s="39"/>
      <c r="B54" s="40"/>
      <c r="C54" s="45"/>
      <c r="D54" s="46"/>
      <c r="E54" s="46"/>
      <c r="F54" s="46"/>
      <c r="G54" s="47"/>
      <c r="H54" s="46"/>
      <c r="I54" s="46"/>
      <c r="J54" s="46"/>
      <c r="K54" s="46"/>
      <c r="L54" s="47"/>
      <c r="M54" s="47"/>
      <c r="N54" s="52"/>
    </row>
    <row r="55" ht="8.75" customHeight="1" hidden="1">
      <c r="A55" s="39"/>
      <c r="B55" s="40"/>
      <c r="C55" s="41"/>
      <c r="D55" s="42"/>
      <c r="E55" s="42"/>
      <c r="F55" s="42"/>
      <c r="G55" s="43"/>
      <c r="H55" s="42"/>
      <c r="I55" s="42"/>
      <c r="J55" s="42"/>
      <c r="K55" s="42"/>
      <c r="L55" s="43"/>
      <c r="M55" s="43"/>
      <c r="N55" s="49"/>
    </row>
    <row r="56" ht="8.75" customHeight="1" hidden="1">
      <c r="A56" s="39"/>
      <c r="B56" s="40"/>
      <c r="C56" s="45"/>
      <c r="D56" s="46"/>
      <c r="E56" s="46"/>
      <c r="F56" s="46"/>
      <c r="G56" s="47"/>
      <c r="H56" s="46"/>
      <c r="I56" s="46"/>
      <c r="J56" s="46"/>
      <c r="K56" s="46"/>
      <c r="L56" s="47"/>
      <c r="M56" s="47"/>
      <c r="N56" s="52"/>
    </row>
    <row r="57" ht="8.75" customHeight="1" hidden="1">
      <c r="A57" s="39"/>
      <c r="B57" s="40"/>
      <c r="C57" s="41"/>
      <c r="D57" s="42"/>
      <c r="E57" s="42"/>
      <c r="F57" s="42"/>
      <c r="G57" s="43"/>
      <c r="H57" s="42"/>
      <c r="I57" s="42"/>
      <c r="J57" s="42"/>
      <c r="K57" s="42"/>
      <c r="L57" s="43"/>
      <c r="M57" s="43"/>
      <c r="N57" s="49"/>
    </row>
    <row r="58" ht="8.75" customHeight="1" hidden="1">
      <c r="A58" s="39"/>
      <c r="B58" s="40"/>
      <c r="C58" s="45"/>
      <c r="D58" s="46"/>
      <c r="E58" s="46"/>
      <c r="F58" s="46"/>
      <c r="G58" s="47"/>
      <c r="H58" s="46"/>
      <c r="I58" s="46"/>
      <c r="J58" s="46"/>
      <c r="K58" s="46"/>
      <c r="L58" s="47"/>
      <c r="M58" s="47"/>
      <c r="N58" s="52"/>
    </row>
    <row r="59" ht="8.75" customHeight="1" hidden="1">
      <c r="A59" s="39"/>
      <c r="B59" s="40"/>
      <c r="C59" s="41"/>
      <c r="D59" s="42"/>
      <c r="E59" s="42"/>
      <c r="F59" s="42"/>
      <c r="G59" s="43"/>
      <c r="H59" s="42"/>
      <c r="I59" s="42"/>
      <c r="J59" s="42"/>
      <c r="K59" s="42"/>
      <c r="L59" s="43"/>
      <c r="M59" s="43"/>
      <c r="N59" s="49"/>
    </row>
    <row r="60" ht="8.75" customHeight="1" hidden="1">
      <c r="A60" s="39"/>
      <c r="B60" s="40"/>
      <c r="C60" s="45"/>
      <c r="D60" s="46"/>
      <c r="E60" s="46"/>
      <c r="F60" s="46"/>
      <c r="G60" s="47"/>
      <c r="H60" s="46"/>
      <c r="I60" s="46"/>
      <c r="J60" s="46"/>
      <c r="K60" s="46"/>
      <c r="L60" s="47"/>
      <c r="M60" s="47"/>
      <c r="N60" s="52"/>
    </row>
    <row r="61" ht="8.75" customHeight="1" hidden="1">
      <c r="A61" s="39"/>
      <c r="B61" s="40"/>
      <c r="C61" s="41"/>
      <c r="D61" s="42"/>
      <c r="E61" s="42"/>
      <c r="F61" s="42"/>
      <c r="G61" s="43"/>
      <c r="H61" s="42"/>
      <c r="I61" s="42"/>
      <c r="J61" s="42"/>
      <c r="K61" s="42"/>
      <c r="L61" s="43"/>
      <c r="M61" s="43"/>
      <c r="N61" s="49"/>
    </row>
    <row r="62" ht="8.75" customHeight="1" hidden="1">
      <c r="A62" s="39"/>
      <c r="B62" s="40"/>
      <c r="C62" s="45"/>
      <c r="D62" s="46"/>
      <c r="E62" s="46"/>
      <c r="F62" s="46"/>
      <c r="G62" s="47"/>
      <c r="H62" s="46"/>
      <c r="I62" s="46"/>
      <c r="J62" s="46"/>
      <c r="K62" s="46"/>
      <c r="L62" s="47"/>
      <c r="M62" s="47"/>
      <c r="N62" s="52"/>
    </row>
    <row r="63" ht="8.75" customHeight="1" hidden="1">
      <c r="A63" s="39"/>
      <c r="B63" s="40"/>
      <c r="C63" s="41"/>
      <c r="D63" s="42"/>
      <c r="E63" s="42"/>
      <c r="F63" s="42"/>
      <c r="G63" s="43"/>
      <c r="H63" s="42"/>
      <c r="I63" s="42"/>
      <c r="J63" s="42"/>
      <c r="K63" s="42"/>
      <c r="L63" s="43"/>
      <c r="M63" s="43"/>
      <c r="N63" s="49"/>
    </row>
    <row r="64" ht="8.75" customHeight="1" hidden="1">
      <c r="A64" s="39"/>
      <c r="B64" s="40"/>
      <c r="C64" s="45"/>
      <c r="D64" s="46"/>
      <c r="E64" s="46"/>
      <c r="F64" s="46"/>
      <c r="G64" s="47"/>
      <c r="H64" s="46"/>
      <c r="I64" s="46"/>
      <c r="J64" s="46"/>
      <c r="K64" s="46"/>
      <c r="L64" s="47"/>
      <c r="M64" s="47"/>
      <c r="N64" s="52"/>
    </row>
    <row r="65" ht="8.75" customHeight="1" hidden="1">
      <c r="A65" s="39"/>
      <c r="B65" s="40"/>
      <c r="C65" s="41"/>
      <c r="D65" s="42"/>
      <c r="E65" s="42"/>
      <c r="F65" s="42"/>
      <c r="G65" s="43"/>
      <c r="H65" s="42"/>
      <c r="I65" s="42"/>
      <c r="J65" s="42"/>
      <c r="K65" s="42"/>
      <c r="L65" s="43"/>
      <c r="M65" s="43"/>
      <c r="N65" s="49"/>
    </row>
    <row r="66" ht="8.75" customHeight="1" hidden="1">
      <c r="A66" s="39"/>
      <c r="B66" s="40"/>
      <c r="C66" s="45"/>
      <c r="D66" s="46"/>
      <c r="E66" s="46"/>
      <c r="F66" s="46"/>
      <c r="G66" s="47"/>
      <c r="H66" s="46"/>
      <c r="I66" s="46"/>
      <c r="J66" s="46"/>
      <c r="K66" s="46"/>
      <c r="L66" s="47"/>
      <c r="M66" s="47"/>
      <c r="N66" s="52"/>
    </row>
    <row r="67" ht="8.75" customHeight="1" hidden="1">
      <c r="A67" s="39"/>
      <c r="B67" s="40"/>
      <c r="C67" s="41"/>
      <c r="D67" s="42"/>
      <c r="E67" s="42"/>
      <c r="F67" s="42"/>
      <c r="G67" s="43"/>
      <c r="H67" s="42"/>
      <c r="I67" s="42"/>
      <c r="J67" s="42"/>
      <c r="K67" s="42"/>
      <c r="L67" s="43"/>
      <c r="M67" s="43"/>
      <c r="N67" s="49"/>
    </row>
    <row r="68" ht="8.75" customHeight="1" hidden="1">
      <c r="A68" s="39"/>
      <c r="B68" s="40"/>
      <c r="C68" s="45"/>
      <c r="D68" s="46"/>
      <c r="E68" s="46"/>
      <c r="F68" s="46"/>
      <c r="G68" s="47"/>
      <c r="H68" s="46"/>
      <c r="I68" s="46"/>
      <c r="J68" s="46"/>
      <c r="K68" s="46"/>
      <c r="L68" s="47"/>
      <c r="M68" s="47"/>
      <c r="N68" s="52"/>
    </row>
    <row r="69" ht="8.75" customHeight="1" hidden="1">
      <c r="A69" s="39"/>
      <c r="B69" s="40"/>
      <c r="C69" s="41"/>
      <c r="D69" s="42"/>
      <c r="E69" s="42"/>
      <c r="F69" s="42"/>
      <c r="G69" s="43"/>
      <c r="H69" s="42"/>
      <c r="I69" s="42"/>
      <c r="J69" s="42"/>
      <c r="K69" s="42"/>
      <c r="L69" s="43"/>
      <c r="M69" s="43"/>
      <c r="N69" s="49"/>
    </row>
    <row r="70" ht="8.75" customHeight="1" hidden="1">
      <c r="A70" s="39"/>
      <c r="B70" s="40"/>
      <c r="C70" s="45"/>
      <c r="D70" s="46"/>
      <c r="E70" s="46"/>
      <c r="F70" s="46"/>
      <c r="G70" s="47"/>
      <c r="H70" s="46"/>
      <c r="I70" s="46"/>
      <c r="J70" s="46"/>
      <c r="K70" s="46"/>
      <c r="L70" s="47"/>
      <c r="M70" s="47"/>
      <c r="N70" s="52"/>
    </row>
    <row r="71" ht="8.75" customHeight="1" hidden="1">
      <c r="A71" s="39"/>
      <c r="B71" s="40"/>
      <c r="C71" s="41"/>
      <c r="D71" s="42"/>
      <c r="E71" s="42"/>
      <c r="F71" s="42"/>
      <c r="G71" s="43"/>
      <c r="H71" s="42"/>
      <c r="I71" s="42"/>
      <c r="J71" s="42"/>
      <c r="K71" s="42"/>
      <c r="L71" s="43"/>
      <c r="M71" s="43"/>
      <c r="N71" s="49"/>
    </row>
    <row r="72" ht="8.75" customHeight="1" hidden="1">
      <c r="A72" s="39"/>
      <c r="B72" s="40"/>
      <c r="C72" s="45"/>
      <c r="D72" s="46"/>
      <c r="E72" s="46"/>
      <c r="F72" s="46"/>
      <c r="G72" s="47"/>
      <c r="H72" s="46"/>
      <c r="I72" s="46"/>
      <c r="J72" s="46"/>
      <c r="K72" s="46"/>
      <c r="L72" s="47"/>
      <c r="M72" s="47"/>
      <c r="N72" s="52"/>
    </row>
    <row r="73" ht="8.75" customHeight="1" hidden="1">
      <c r="A73" s="39"/>
      <c r="B73" s="40"/>
      <c r="C73" s="41"/>
      <c r="D73" s="42"/>
      <c r="E73" s="42"/>
      <c r="F73" s="42"/>
      <c r="G73" s="43"/>
      <c r="H73" s="42"/>
      <c r="I73" s="42"/>
      <c r="J73" s="42"/>
      <c r="K73" s="42"/>
      <c r="L73" s="43"/>
      <c r="M73" s="43"/>
      <c r="N73" s="49"/>
    </row>
    <row r="74" ht="8.75" customHeight="1" hidden="1">
      <c r="A74" s="39"/>
      <c r="B74" s="40"/>
      <c r="C74" s="45"/>
      <c r="D74" s="46"/>
      <c r="E74" s="46"/>
      <c r="F74" s="46"/>
      <c r="G74" s="47"/>
      <c r="H74" s="46"/>
      <c r="I74" s="46"/>
      <c r="J74" s="46"/>
      <c r="K74" s="46"/>
      <c r="L74" s="47"/>
      <c r="M74" s="47"/>
      <c r="N74" s="52"/>
    </row>
    <row r="75" ht="8.75" customHeight="1" hidden="1">
      <c r="A75" s="39"/>
      <c r="B75" s="40"/>
      <c r="C75" s="41"/>
      <c r="D75" s="42"/>
      <c r="E75" s="42"/>
      <c r="F75" s="42"/>
      <c r="G75" s="43"/>
      <c r="H75" s="42"/>
      <c r="I75" s="42"/>
      <c r="J75" s="42"/>
      <c r="K75" s="42"/>
      <c r="L75" s="43"/>
      <c r="M75" s="43"/>
      <c r="N75" s="49"/>
    </row>
    <row r="76" ht="8.75" customHeight="1" hidden="1">
      <c r="A76" s="39"/>
      <c r="B76" s="40"/>
      <c r="C76" s="45"/>
      <c r="D76" s="46"/>
      <c r="E76" s="46"/>
      <c r="F76" s="46"/>
      <c r="G76" s="47"/>
      <c r="H76" s="46"/>
      <c r="I76" s="46"/>
      <c r="J76" s="46"/>
      <c r="K76" s="46"/>
      <c r="L76" s="47"/>
      <c r="M76" s="47"/>
      <c r="N76" s="52"/>
    </row>
    <row r="77" ht="8.75" customHeight="1" hidden="1">
      <c r="A77" s="39"/>
      <c r="B77" s="40"/>
      <c r="C77" s="41"/>
      <c r="D77" s="42"/>
      <c r="E77" s="42"/>
      <c r="F77" s="42"/>
      <c r="G77" s="43"/>
      <c r="H77" s="42"/>
      <c r="I77" s="42"/>
      <c r="J77" s="42"/>
      <c r="K77" s="42"/>
      <c r="L77" s="43"/>
      <c r="M77" s="43"/>
      <c r="N77" s="49"/>
    </row>
    <row r="78" ht="8.75" customHeight="1" hidden="1">
      <c r="A78" s="39"/>
      <c r="B78" s="40"/>
      <c r="C78" s="45"/>
      <c r="D78" s="46"/>
      <c r="E78" s="46"/>
      <c r="F78" s="46"/>
      <c r="G78" s="47"/>
      <c r="H78" s="46"/>
      <c r="I78" s="46"/>
      <c r="J78" s="46"/>
      <c r="K78" s="46"/>
      <c r="L78" s="47"/>
      <c r="M78" s="47"/>
      <c r="N78" s="52"/>
    </row>
    <row r="79" ht="8.75" customHeight="1" hidden="1">
      <c r="A79" s="39"/>
      <c r="B79" s="40"/>
      <c r="C79" s="41"/>
      <c r="D79" s="42"/>
      <c r="E79" s="42"/>
      <c r="F79" s="42"/>
      <c r="G79" s="43"/>
      <c r="H79" s="42"/>
      <c r="I79" s="42"/>
      <c r="J79" s="42"/>
      <c r="K79" s="42"/>
      <c r="L79" s="43"/>
      <c r="M79" s="43"/>
      <c r="N79" s="49"/>
    </row>
    <row r="80" ht="8.75" customHeight="1" hidden="1">
      <c r="A80" s="39"/>
      <c r="B80" s="40"/>
      <c r="C80" s="45"/>
      <c r="D80" s="46"/>
      <c r="E80" s="46"/>
      <c r="F80" s="46"/>
      <c r="G80" s="47"/>
      <c r="H80" s="46"/>
      <c r="I80" s="46"/>
      <c r="J80" s="46"/>
      <c r="K80" s="46"/>
      <c r="L80" s="47"/>
      <c r="M80" s="47"/>
      <c r="N80" s="52"/>
    </row>
    <row r="81" ht="8.75" customHeight="1" hidden="1">
      <c r="A81" s="39"/>
      <c r="B81" s="40"/>
      <c r="C81" s="41"/>
      <c r="D81" s="42"/>
      <c r="E81" s="42"/>
      <c r="F81" s="42"/>
      <c r="G81" s="43"/>
      <c r="H81" s="42"/>
      <c r="I81" s="42"/>
      <c r="J81" s="42"/>
      <c r="K81" s="42"/>
      <c r="L81" s="43"/>
      <c r="M81" s="43"/>
      <c r="N81" s="49"/>
    </row>
    <row r="82" ht="8.75" customHeight="1" hidden="1">
      <c r="A82" s="39"/>
      <c r="B82" s="40"/>
      <c r="C82" s="45"/>
      <c r="D82" s="46"/>
      <c r="E82" s="46"/>
      <c r="F82" s="46"/>
      <c r="G82" s="47"/>
      <c r="H82" s="46"/>
      <c r="I82" s="46"/>
      <c r="J82" s="46"/>
      <c r="K82" s="46"/>
      <c r="L82" s="47"/>
      <c r="M82" s="47"/>
      <c r="N82" s="52"/>
    </row>
    <row r="83" ht="8.75" customHeight="1" hidden="1">
      <c r="A83" s="39"/>
      <c r="B83" s="40"/>
      <c r="C83" s="41"/>
      <c r="D83" s="42"/>
      <c r="E83" s="42"/>
      <c r="F83" s="42"/>
      <c r="G83" s="43"/>
      <c r="H83" s="42"/>
      <c r="I83" s="42"/>
      <c r="J83" s="42"/>
      <c r="K83" s="42"/>
      <c r="L83" s="43"/>
      <c r="M83" s="43"/>
      <c r="N83" s="49"/>
    </row>
    <row r="84" ht="8.75" customHeight="1" hidden="1">
      <c r="A84" s="39"/>
      <c r="B84" s="40"/>
      <c r="C84" s="45"/>
      <c r="D84" s="46"/>
      <c r="E84" s="46"/>
      <c r="F84" s="46"/>
      <c r="G84" s="47"/>
      <c r="H84" s="46"/>
      <c r="I84" s="46"/>
      <c r="J84" s="46"/>
      <c r="K84" s="46"/>
      <c r="L84" s="47"/>
      <c r="M84" s="47"/>
      <c r="N84" s="52"/>
    </row>
    <row r="85" ht="20.85" customHeight="1">
      <c r="A85" s="108"/>
      <c r="B85" s="54"/>
      <c r="C85" s="54"/>
      <c r="D85" s="55"/>
      <c r="E85" s="55"/>
      <c r="F85" s="55"/>
      <c r="G85" s="56"/>
      <c r="H85" s="56"/>
      <c r="I85" s="54"/>
      <c r="J85" s="57"/>
      <c r="K85" t="s" s="58">
        <v>38</v>
      </c>
      <c r="L85" s="59" cm="1">
        <f t="array" ref="L85">SUM(L1:L84)</f>
        <v>135135000</v>
      </c>
      <c r="M85" s="59" cm="1">
        <f t="array" ref="M85">SUM(M1:M84)</f>
        <v>134631000</v>
      </c>
      <c r="N85" s="59" cm="1">
        <f t="array" ref="N85">SUM(N1:N84)</f>
        <v>134631000</v>
      </c>
    </row>
    <row r="86" ht="21" customHeight="1">
      <c r="A86" s="63" cm="1">
        <f t="array" ref="A86">ROUND(IF(I86&lt;=100000000,I86*0.24%,IF(AND(I86&gt;100000000,I86&lt;=500000000),100000000*0.24%+(I86-100000000)*0.19%,IF(AND(I86&gt;500000000,I86&lt;=1000000000),100000000*0.24%+400000000*0.19%+(I86-500000000)*0.15%,IF(AND(I86&gt;1000000000,I86&lt;=5000000000),100000000*0.24%+400000000*0.19%+500000000*0.15%+(I86-1000000000)*0.12%,IF(I86&gt;5000000000,100000000*0.24%+400000000*0.19%+500000000*0.15%+4000000000*0.12%+(I86-5000000000)*0.1%,"Bingung komputer"))))),2)</f>
        <v>0</v>
      </c>
      <c r="B86" t="s" s="109">
        <v>39</v>
      </c>
      <c r="C86" s="62"/>
      <c r="D86" s="63" cm="1">
        <f t="array" ref="D86">ROUND(IF(L86&lt;=100000000,L86*0.24%,IF(AND(L86&gt;100000000,L86&lt;=500000000),100000000*0.24%+(L86-100000000)*0.19%,IF(AND(L86&gt;500000000,L86&lt;=1000000000),100000000*0.24%+400000000*0.19%+(L86-500000000)*0.15%,IF(AND(L86&gt;1000000000,L86&lt;=5000000000),100000000*0.24%+400000000*0.19%+500000000*0.15%+(L86-1000000000)*0.12%,IF(L86&gt;5000000000,100000000*0.24%+400000000*0.19%+500000000*0.15%+4000000000*0.12%+(L86-5000000000)*0.1%,"Bingung komputer"))))),2)</f>
        <v>306756.5</v>
      </c>
      <c r="E86" s="64" cm="1">
        <f t="array" ref="E86">ROUND(IF(M86&lt;=100000000,M86*0.24%,IF(AND(M86&gt;100000000,M86&lt;=500000000),100000000*0.24%+(M86-100000000)*0.19%,IF(AND(M86&gt;500000000,M86&lt;=1000000000),100000000*0.24%+400000000*0.19%+(M86-500000000)*0.15%,IF(AND(M86&gt;1000000000,M86&lt;=5000000000),100000000*0.24%+400000000*0.19%+500000000*0.15%+(M86-1000000000)*0.12%,IF(M86&gt;5000000000,100000000*0.24%+400000000*0.19%+500000000*0.15%+4000000000*0.12%+(M86-5000000000)*0.1%,"Bingung komputer"))))),2)</f>
        <v>305798.9</v>
      </c>
      <c r="F86" s="64" cm="1">
        <f t="array" ref="F86">ROUND(IF(N86&lt;=100000000,N86*0.24%,IF(AND(N86&gt;100000000,N86&lt;=500000000),100000000*0.24%+(N86-100000000)*0.19%,IF(AND(N86&gt;500000000,N86&lt;=1000000000),100000000*0.24%+400000000*0.19%+(N86-500000000)*0.15%,IF(AND(N86&gt;1000000000,N86&lt;=5000000000),100000000*0.24%+400000000*0.19%+500000000*0.15%+(N86-1000000000)*0.12%,IF(N86&gt;5000000000,100000000*0.24%+400000000*0.19%+500000000*0.15%+4000000000*0.12%+(N86-5000000000)*0.1%,"Bingung komputer"))))),2)</f>
        <v>305798.9</v>
      </c>
      <c r="G86" s="65"/>
      <c r="H86" s="66"/>
      <c r="I86" s="68"/>
      <c r="J86" s="67"/>
      <c r="K86" t="str" s="67" cm="1">
        <f t="array" ref="K86">"Jumlah Terkena Pajak "&amp;MAX(K3:K84)&amp;"% (B)"</f>
        <v>Jumlah Terkena Pajak 11,00% (B)</v>
      </c>
      <c r="L86" s="68" cm="1">
        <f t="array" ref="L86">SUMIF($K3:$K84,"&gt;0",L3:L84)</f>
        <v>135135000</v>
      </c>
      <c r="M86" s="69" cm="1">
        <f t="array" ref="M86">SUMIF($K3:$K84,"&gt;0",M3:M84)</f>
        <v>134631000</v>
      </c>
      <c r="N86" s="69" cm="1">
        <f t="array" ref="N86">SUMIF($K3:$K84,"&gt;0",N3:N84)</f>
        <v>134631000</v>
      </c>
    </row>
    <row r="87" ht="21" customHeight="1">
      <c r="A87" s="70"/>
      <c r="B87" s="71"/>
      <c r="C87" s="71"/>
      <c r="D87" s="72"/>
      <c r="E87" s="72"/>
      <c r="F87" s="71"/>
      <c r="G87" s="72"/>
      <c r="H87" s="72"/>
      <c r="I87" s="74"/>
      <c r="J87" s="73"/>
      <c r="K87" t="str" s="73" cm="1">
        <f t="array" ref="K87">"PPN (C) = "&amp;MAX(K3:K84)&amp;"% x B"</f>
        <v>PPN (C) = 11,00% x B</v>
      </c>
      <c r="L87" s="74" cm="1">
        <f t="array" ref="L87">L86*MAX($K3:$K84)%</f>
        <v>14864850</v>
      </c>
      <c r="M87" s="69" cm="1">
        <f t="array" ref="M87">M86*MAX($K3:$K84)%</f>
        <v>14809410</v>
      </c>
      <c r="N87" s="69" cm="1">
        <f t="array" ref="N87">N86*MAX($K3:$K84)%</f>
        <v>14809410</v>
      </c>
    </row>
    <row r="88" ht="21" customHeight="1">
      <c r="A88" s="70"/>
      <c r="B88" s="71"/>
      <c r="C88" s="71"/>
      <c r="D88" t="s" s="110">
        <v>116</v>
      </c>
      <c r="E88" s="112">
        <v>50000000</v>
      </c>
      <c r="F88" s="112">
        <v>49890000</v>
      </c>
      <c r="G88" s="72"/>
      <c r="H88" s="72"/>
      <c r="I88" s="71"/>
      <c r="J88" s="73"/>
      <c r="K88" t="s" s="75">
        <v>42</v>
      </c>
      <c r="L88" s="76" cm="1">
        <f t="array" ref="L88">L85+L87</f>
        <v>149999850</v>
      </c>
      <c r="M88" s="69" cm="1">
        <f t="array" ref="M88">M85+M87</f>
        <v>149440410</v>
      </c>
      <c r="N88" s="69" cm="1">
        <f t="array" ref="N88">N85+N87</f>
        <v>149440410</v>
      </c>
    </row>
    <row r="89" ht="20.5" customHeight="1">
      <c r="A89" s="70"/>
      <c r="B89" s="71"/>
      <c r="C89" s="71"/>
      <c r="D89" s="72"/>
      <c r="E89" s="72" cm="1">
        <f t="array" ref="E89">E$88-L$89</f>
        <v>-99999850</v>
      </c>
      <c r="F89" s="180" cm="1">
        <f t="array" ref="F89">ROUNDDOWN(E$88-D$86,2)</f>
        <v>49693243.5</v>
      </c>
      <c r="G89" s="72"/>
      <c r="H89" s="72"/>
      <c r="I89" s="71"/>
      <c r="J89" s="73"/>
      <c r="K89" t="s" s="75">
        <v>43</v>
      </c>
      <c r="L89" s="68" cm="1">
        <f t="array" ref="L89">ROUNDDOWN(L88,2)</f>
        <v>149999850</v>
      </c>
      <c r="M89" s="68" cm="1">
        <f t="array" ref="M89">ROUNDDOWN(M88,2)</f>
        <v>149440410</v>
      </c>
      <c r="N89" s="68" cm="1">
        <f t="array" ref="N89">ROUNDDOWN(N88,-3)</f>
        <v>149440000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69.xml><?xml version="1.0" encoding="utf-8"?>
<worksheet xmlns:r="http://schemas.openxmlformats.org/officeDocument/2006/relationships" xmlns="http://schemas.openxmlformats.org/spreadsheetml/2006/main">
  <sheetPr>
    <pageSetUpPr fitToPage="1"/>
  </sheetPr>
  <dimension ref="A1:N29"/>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7.17188" style="365" customWidth="1"/>
    <col min="2" max="2" width="43.0312" style="365" customWidth="1"/>
    <col min="3" max="3" width="2.75" style="365" customWidth="1"/>
    <col min="4" max="6" width="10.3672" style="365" customWidth="1"/>
    <col min="7" max="7" width="11.6875" style="365" customWidth="1"/>
    <col min="8" max="11" width="13.5156" style="365" customWidth="1"/>
    <col min="12" max="14" width="14.2344" style="365" customWidth="1"/>
    <col min="15" max="16384" width="16.3516" style="365"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t="s" s="90">
        <v>51</v>
      </c>
      <c r="B3" t="s" s="12">
        <v>52</v>
      </c>
      <c r="C3" s="13"/>
      <c r="D3" s="14"/>
      <c r="E3" s="14"/>
      <c r="F3" s="14"/>
      <c r="G3" s="15"/>
      <c r="H3" s="15"/>
      <c r="I3" s="15"/>
      <c r="J3" s="15"/>
      <c r="K3" s="15"/>
      <c r="L3" t="str" s="16" cm="1">
        <f t="array" ref="L3">IF(D3&gt;0,IF($D3&lt;=0,0,D3*H3),"")</f>
      </c>
      <c r="M3" t="str" s="16" cm="1">
        <f t="array" ref="M3">IF(E3&gt;0,IF($D3&lt;=0,0,ROUND(E3*I3,2)),"")</f>
      </c>
      <c r="N3" t="str" s="17" cm="1">
        <f t="array" ref="N3">IF(F3&gt;0,IF($D3&lt;=0,0,ROUND(F3*J3,2)),"")</f>
      </c>
    </row>
    <row r="4" ht="20.5" customHeight="1">
      <c r="A4" t="s" s="18">
        <v>53</v>
      </c>
      <c r="B4" t="s" s="19">
        <v>54</v>
      </c>
      <c r="C4" s="20"/>
      <c r="D4" s="21"/>
      <c r="E4" s="21"/>
      <c r="F4" s="21"/>
      <c r="G4" s="79"/>
      <c r="H4" s="21"/>
      <c r="I4" s="79"/>
      <c r="J4" s="21"/>
      <c r="K4" s="21"/>
      <c r="L4" t="str" s="79" cm="1">
        <f t="array" ref="L4">IF(D4&gt;0,IF($D4&lt;=0,0,D4*H4),"")</f>
      </c>
      <c r="M4" t="str" s="79" cm="1">
        <f t="array" ref="M4">IF(E4&gt;0,IF($D4&lt;=0,0,ROUND(E4*I4,2)),"")</f>
      </c>
      <c r="N4" t="str" s="91" cm="1">
        <f t="array" ref="N4">IF(F4&gt;0,IF($D4&lt;=0,0,ROUND(F4*J4,2)),"")</f>
      </c>
    </row>
    <row r="5" ht="20.5" customHeight="1">
      <c r="A5" s="92">
        <v>1</v>
      </c>
      <c r="B5" t="s" s="19">
        <v>55</v>
      </c>
      <c r="C5" s="24"/>
      <c r="D5" s="26">
        <v>5</v>
      </c>
      <c r="E5" s="26" cm="1">
        <f t="array" ref="E5">D5</f>
        <v>5</v>
      </c>
      <c r="F5" s="26" cm="1">
        <f t="array" ref="F5">D5</f>
        <v>5</v>
      </c>
      <c r="G5" t="s" s="27">
        <v>654</v>
      </c>
      <c r="H5" s="284">
        <v>8000000</v>
      </c>
      <c r="I5" s="284">
        <v>8000000</v>
      </c>
      <c r="J5" s="284">
        <v>8000000</v>
      </c>
      <c r="K5" s="26">
        <v>11</v>
      </c>
      <c r="L5" s="26" cm="1">
        <f t="array" ref="L5">IF(D5&gt;0,IF($D5&lt;=0,0,D5*H5),"")</f>
        <v>40000000</v>
      </c>
      <c r="M5" s="26" cm="1">
        <f t="array" ref="M5">IF(E5&gt;0,IF($D5&lt;=0,0,ROUND(E5*I5,2)),"")</f>
        <v>40000000</v>
      </c>
      <c r="N5" s="28" cm="1">
        <f t="array" ref="N5">IF(F5&gt;0,IF($D5&lt;=0,0,ROUND(F5*J5,2)),"")</f>
        <v>40000000</v>
      </c>
    </row>
    <row r="6" ht="20.5" customHeight="1">
      <c r="A6" s="366">
        <v>2</v>
      </c>
      <c r="B6" t="s" s="19">
        <v>655</v>
      </c>
      <c r="C6" s="20"/>
      <c r="D6" s="21">
        <v>5</v>
      </c>
      <c r="E6" s="21" cm="1">
        <f t="array" ref="E6">D6</f>
        <v>5</v>
      </c>
      <c r="F6" s="21" cm="1">
        <f t="array" ref="F6">D6</f>
        <v>5</v>
      </c>
      <c r="G6" t="s" s="22">
        <v>654</v>
      </c>
      <c r="H6" s="283">
        <v>3500000</v>
      </c>
      <c r="I6" s="283">
        <v>3500000</v>
      </c>
      <c r="J6" s="283">
        <v>3500000</v>
      </c>
      <c r="K6" s="21">
        <v>11</v>
      </c>
      <c r="L6" s="21" cm="1">
        <f t="array" ref="L6">IF(D6&gt;0,IF($D6&lt;=0,0,D6*H6),"")</f>
        <v>17500000</v>
      </c>
      <c r="M6" s="21" cm="1">
        <f t="array" ref="M6">IF(E6&gt;0,IF($D6&lt;=0,0,ROUND(E6*I6,2)),"")</f>
        <v>17500000</v>
      </c>
      <c r="N6" s="23" cm="1">
        <f t="array" ref="N6">IF(F6&gt;0,IF($D6&lt;=0,0,ROUND(F6*J6,2)),"")</f>
        <v>17500000</v>
      </c>
    </row>
    <row r="7" ht="20.5" customHeight="1">
      <c r="A7" t="s" s="93">
        <v>58</v>
      </c>
      <c r="B7" t="s" s="19">
        <v>59</v>
      </c>
      <c r="C7" s="24"/>
      <c r="D7" s="30"/>
      <c r="E7" s="26"/>
      <c r="F7" s="26"/>
      <c r="G7" s="30"/>
      <c r="H7" s="284"/>
      <c r="I7" s="284"/>
      <c r="J7" s="284"/>
      <c r="K7" s="26"/>
      <c r="L7" t="str" s="30" cm="1">
        <f t="array" ref="L7">IF(D7&gt;0,IF($D7&lt;=0,0,D7*H7),"")</f>
      </c>
      <c r="M7" t="str" s="30" cm="1">
        <f t="array" ref="M7">IF(E7&gt;0,IF($D7&lt;=0,0,ROUND(E7*I7,2)),"")</f>
      </c>
      <c r="N7" t="str" s="31" cm="1">
        <f t="array" ref="N7">IF(F7&gt;0,IF($D7&lt;=0,0,ROUND(F7*J7,2)),"")</f>
      </c>
    </row>
    <row r="8" ht="20.5" customHeight="1">
      <c r="A8" t="s" s="18">
        <v>53</v>
      </c>
      <c r="B8" t="s" s="19">
        <v>60</v>
      </c>
      <c r="C8" s="20"/>
      <c r="D8" s="79"/>
      <c r="E8" s="21"/>
      <c r="F8" s="21"/>
      <c r="G8" s="79"/>
      <c r="H8" s="283"/>
      <c r="I8" s="283"/>
      <c r="J8" s="283"/>
      <c r="K8" s="21"/>
      <c r="L8" t="str" s="79" cm="1">
        <f t="array" ref="L8">IF(D8&gt;0,IF($D8&lt;=0,0,D8*H8),"")</f>
      </c>
      <c r="M8" t="str" s="79" cm="1">
        <f t="array" ref="M8">IF(E8&gt;0,IF($D8&lt;=0,0,ROUND(E8*I8,2)),"")</f>
      </c>
      <c r="N8" t="str" s="91" cm="1">
        <f t="array" ref="N8">IF(F8&gt;0,IF($D8&lt;=0,0,ROUND(F8*J8,2)),"")</f>
      </c>
    </row>
    <row r="9" ht="20.5" customHeight="1">
      <c r="A9" s="94">
        <v>1</v>
      </c>
      <c r="B9" t="s" s="19">
        <v>61</v>
      </c>
      <c r="C9" s="24"/>
      <c r="D9" s="26">
        <v>5</v>
      </c>
      <c r="E9" s="26" cm="1">
        <f t="array" ref="E9">D9</f>
        <v>5</v>
      </c>
      <c r="F9" s="26" cm="1">
        <f t="array" ref="F9">D9</f>
        <v>5</v>
      </c>
      <c r="G9" t="s" s="27">
        <v>62</v>
      </c>
      <c r="H9" s="284">
        <v>300000</v>
      </c>
      <c r="I9" s="284">
        <v>300000</v>
      </c>
      <c r="J9" s="284">
        <v>300000</v>
      </c>
      <c r="K9" s="26">
        <v>11</v>
      </c>
      <c r="L9" s="26" cm="1">
        <f t="array" ref="L9">IF(D9&gt;0,IF($D9&lt;=0,0,D9*H9),"")</f>
        <v>1500000</v>
      </c>
      <c r="M9" s="26" cm="1">
        <f t="array" ref="M9">IF(E9&gt;0,IF($D9&lt;=0,0,ROUND(E9*I9,2)),"")</f>
        <v>1500000</v>
      </c>
      <c r="N9" s="28" cm="1">
        <f t="array" ref="N9">IF(F9&gt;0,IF($D9&lt;=0,0,ROUND(F9*J9,2)),"")</f>
        <v>1500000</v>
      </c>
    </row>
    <row r="10" ht="32.5" customHeight="1">
      <c r="A10" s="95">
        <v>2</v>
      </c>
      <c r="B10" t="s" s="19">
        <v>63</v>
      </c>
      <c r="C10" s="20"/>
      <c r="D10" s="21">
        <v>5</v>
      </c>
      <c r="E10" s="21" cm="1">
        <f t="array" ref="E10">D10</f>
        <v>5</v>
      </c>
      <c r="F10" s="21" cm="1">
        <f t="array" ref="F10">D10</f>
        <v>5</v>
      </c>
      <c r="G10" t="s" s="22">
        <v>515</v>
      </c>
      <c r="H10" s="283">
        <v>500000</v>
      </c>
      <c r="I10" s="283">
        <v>500000</v>
      </c>
      <c r="J10" s="283">
        <v>500000</v>
      </c>
      <c r="K10" s="21">
        <v>11</v>
      </c>
      <c r="L10" s="21" cm="1">
        <f t="array" ref="L10">IF(D10&gt;0,IF($D10&lt;=0,0,D10*H10),"")</f>
        <v>2500000</v>
      </c>
      <c r="M10" s="21" cm="1">
        <f t="array" ref="M10">IF(E10&gt;0,IF($D10&lt;=0,0,ROUND(E10*I10,2)),"")</f>
        <v>2500000</v>
      </c>
      <c r="N10" s="23" cm="1">
        <f t="array" ref="N10">IF(F10&gt;0,IF($D10&lt;=0,0,ROUND(F10*J10,2)),"")</f>
        <v>2500000</v>
      </c>
    </row>
    <row r="11" ht="20.5" customHeight="1">
      <c r="A11" s="95">
        <v>3</v>
      </c>
      <c r="B11" t="s" s="19">
        <v>65</v>
      </c>
      <c r="C11" s="24"/>
      <c r="D11" s="26">
        <v>5</v>
      </c>
      <c r="E11" s="26" cm="1">
        <f t="array" ref="E11">D11</f>
        <v>5</v>
      </c>
      <c r="F11" s="26" cm="1">
        <f t="array" ref="F11">D11</f>
        <v>5</v>
      </c>
      <c r="G11" t="s" s="27">
        <v>62</v>
      </c>
      <c r="H11" s="284">
        <v>700000</v>
      </c>
      <c r="I11" s="284">
        <v>700000</v>
      </c>
      <c r="J11" s="284">
        <v>700000</v>
      </c>
      <c r="K11" s="26">
        <v>11</v>
      </c>
      <c r="L11" s="26" cm="1">
        <f t="array" ref="L11">IF(D11&gt;0,IF($D11&lt;=0,0,D11*H11),"")</f>
        <v>3500000</v>
      </c>
      <c r="M11" s="26" cm="1">
        <f t="array" ref="M11">IF(E11&gt;0,IF($D11&lt;=0,0,ROUND(E11*I11,2)),"")</f>
        <v>3500000</v>
      </c>
      <c r="N11" s="28" cm="1">
        <f t="array" ref="N11">IF(F11&gt;0,IF($D11&lt;=0,0,ROUND(F11*J11,2)),"")</f>
        <v>3500000</v>
      </c>
    </row>
    <row r="12" ht="20.5" customHeight="1">
      <c r="A12" s="94"/>
      <c r="B12" t="s" s="19">
        <v>66</v>
      </c>
      <c r="C12" s="20"/>
      <c r="D12" s="79"/>
      <c r="E12" s="21"/>
      <c r="F12" s="21"/>
      <c r="G12" s="79"/>
      <c r="H12" s="283"/>
      <c r="I12" s="283"/>
      <c r="J12" s="283"/>
      <c r="K12" s="21"/>
      <c r="L12" t="str" s="79" cm="1">
        <f t="array" ref="L12">IF(D12&gt;0,IF($D12&lt;=0,0,D12*H12),"")</f>
      </c>
      <c r="M12" t="str" s="79" cm="1">
        <f t="array" ref="M12">IF(E12&gt;0,IF($D12&lt;=0,0,ROUND(E12*I12,2)),"")</f>
      </c>
      <c r="N12" t="str" s="91" cm="1">
        <f t="array" ref="N12">IF(F12&gt;0,IF($D12&lt;=0,0,ROUND(F12*J12,2)),"")</f>
      </c>
    </row>
    <row r="13" ht="20.5" customHeight="1">
      <c r="A13" s="94">
        <v>4</v>
      </c>
      <c r="B13" t="s" s="19">
        <v>67</v>
      </c>
      <c r="C13" s="24"/>
      <c r="D13" s="26">
        <v>2</v>
      </c>
      <c r="E13" s="26" cm="1">
        <f t="array" ref="E13">D13</f>
        <v>2</v>
      </c>
      <c r="F13" s="26" cm="1">
        <f t="array" ref="F13">D13</f>
        <v>2</v>
      </c>
      <c r="G13" t="s" s="27">
        <v>19</v>
      </c>
      <c r="H13" s="284">
        <v>140000</v>
      </c>
      <c r="I13" s="284">
        <v>140000</v>
      </c>
      <c r="J13" s="284">
        <v>140000</v>
      </c>
      <c r="K13" s="26">
        <v>11</v>
      </c>
      <c r="L13" s="26" cm="1">
        <f t="array" ref="L13">IF(D13&gt;0,IF($D13&lt;=0,0,D13*H13),"")</f>
        <v>280000</v>
      </c>
      <c r="M13" s="26" cm="1">
        <f t="array" ref="M13">IF(E13&gt;0,IF($D13&lt;=0,0,ROUND(E13*I13,2)),"")</f>
        <v>280000</v>
      </c>
      <c r="N13" s="28" cm="1">
        <f t="array" ref="N13">IF(F13&gt;0,IF($D13&lt;=0,0,ROUND(F13*J13,2)),"")</f>
        <v>280000</v>
      </c>
    </row>
    <row r="14" ht="20.5" customHeight="1">
      <c r="A14" s="94">
        <v>5</v>
      </c>
      <c r="B14" t="s" s="19">
        <v>69</v>
      </c>
      <c r="C14" s="20"/>
      <c r="D14" s="21">
        <v>2</v>
      </c>
      <c r="E14" s="21" cm="1">
        <f t="array" ref="E14">D14</f>
        <v>2</v>
      </c>
      <c r="F14" s="21" cm="1">
        <f t="array" ref="F14">D14</f>
        <v>2</v>
      </c>
      <c r="G14" t="s" s="22">
        <v>19</v>
      </c>
      <c r="H14" s="283">
        <v>350000</v>
      </c>
      <c r="I14" s="283">
        <v>350000</v>
      </c>
      <c r="J14" s="283">
        <v>350000</v>
      </c>
      <c r="K14" s="21">
        <v>11</v>
      </c>
      <c r="L14" s="21" cm="1">
        <f t="array" ref="L14">IF(D14&gt;0,IF($D14&lt;=0,0,D14*H14),"")</f>
        <v>700000</v>
      </c>
      <c r="M14" s="21" cm="1">
        <f t="array" ref="M14">IF(E14&gt;0,IF($D14&lt;=0,0,ROUND(E14*I14,2)),"")</f>
        <v>700000</v>
      </c>
      <c r="N14" s="23" cm="1">
        <f t="array" ref="N14">IF(F14&gt;0,IF($D14&lt;=0,0,ROUND(F14*J14,2)),"")</f>
        <v>700000</v>
      </c>
    </row>
    <row r="15" ht="20.5" customHeight="1">
      <c r="A15" s="29"/>
      <c r="B15" t="s" s="19">
        <v>70</v>
      </c>
      <c r="C15" s="24"/>
      <c r="D15" s="30"/>
      <c r="E15" s="26"/>
      <c r="F15" s="26"/>
      <c r="G15" s="30"/>
      <c r="H15" s="284"/>
      <c r="I15" s="284"/>
      <c r="J15" s="284"/>
      <c r="K15" s="26"/>
      <c r="L15" t="str" s="30" cm="1">
        <f t="array" ref="L15">IF(D15&gt;0,IF($D15&lt;=0,0,D15*H15),"")</f>
      </c>
      <c r="M15" t="str" s="30" cm="1">
        <f t="array" ref="M15">IF(E15&gt;0,IF($D15&lt;=0,0,ROUND(E15*I15,2)),"")</f>
      </c>
      <c r="N15" t="str" s="31" cm="1">
        <f t="array" ref="N15">IF(F15&gt;0,IF($D15&lt;=0,0,ROUND(F15*J15,2)),"")</f>
      </c>
    </row>
    <row r="16" ht="20.5" customHeight="1">
      <c r="A16" t="s" s="18">
        <v>71</v>
      </c>
      <c r="B16" t="s" s="19">
        <v>656</v>
      </c>
      <c r="C16" s="20"/>
      <c r="D16" s="21">
        <v>5</v>
      </c>
      <c r="E16" s="21" cm="1">
        <f t="array" ref="E16">D16</f>
        <v>5</v>
      </c>
      <c r="F16" s="21" cm="1">
        <f t="array" ref="F16">D16</f>
        <v>5</v>
      </c>
      <c r="G16" t="s" s="22">
        <v>73</v>
      </c>
      <c r="H16" s="283">
        <v>800000</v>
      </c>
      <c r="I16" s="283">
        <v>800000</v>
      </c>
      <c r="J16" s="283">
        <v>800000</v>
      </c>
      <c r="K16" s="21">
        <v>11</v>
      </c>
      <c r="L16" s="21" cm="1">
        <f t="array" ref="L16">IF(D16&gt;0,IF($D16&lt;=0,0,D16*H16),"")</f>
        <v>4000000</v>
      </c>
      <c r="M16" s="21" cm="1">
        <f t="array" ref="M16">IF(E16&gt;0,IF($D16&lt;=0,0,ROUND(E16*I16,2)),"")</f>
        <v>4000000</v>
      </c>
      <c r="N16" s="23" cm="1">
        <f t="array" ref="N16">IF(F16&gt;0,IF($D16&lt;=0,0,ROUND(F16*J16,2)),"")</f>
        <v>4000000</v>
      </c>
    </row>
    <row r="17" ht="20.5" customHeight="1">
      <c r="A17" s="29"/>
      <c r="B17" t="s" s="19">
        <v>550</v>
      </c>
      <c r="C17" s="24"/>
      <c r="D17" s="30"/>
      <c r="E17" s="26"/>
      <c r="F17" s="26"/>
      <c r="G17" s="30"/>
      <c r="H17" s="284"/>
      <c r="I17" s="284"/>
      <c r="J17" s="284"/>
      <c r="K17" s="26"/>
      <c r="L17" t="str" s="30" cm="1">
        <f t="array" ref="L17">IF(D17&gt;0,IF($D17&lt;=0,0,D17*H17),"")</f>
      </c>
      <c r="M17" t="str" s="30" cm="1">
        <f t="array" ref="M17">IF(E17&gt;0,IF($D17&lt;=0,0,ROUND(E17*I17,2)),"")</f>
      </c>
      <c r="N17" t="str" s="31" cm="1">
        <f t="array" ref="N17">IF(F17&gt;0,IF($D17&lt;=0,0,ROUND(F17*J17,2)),"")</f>
      </c>
    </row>
    <row r="18" ht="20.5" customHeight="1">
      <c r="A18" s="95">
        <v>6</v>
      </c>
      <c r="B18" t="s" s="19">
        <v>74</v>
      </c>
      <c r="C18" s="20"/>
      <c r="D18" s="21">
        <v>3</v>
      </c>
      <c r="E18" s="21" cm="1">
        <f t="array" ref="E18">D18</f>
        <v>3</v>
      </c>
      <c r="F18" s="21" cm="1">
        <f t="array" ref="F18">D18</f>
        <v>3</v>
      </c>
      <c r="G18" t="s" s="22">
        <v>75</v>
      </c>
      <c r="H18" s="283">
        <v>200000</v>
      </c>
      <c r="I18" s="283">
        <v>200000</v>
      </c>
      <c r="J18" s="283">
        <v>200000</v>
      </c>
      <c r="K18" s="21">
        <v>11</v>
      </c>
      <c r="L18" s="21" cm="1">
        <f t="array" ref="L18">IF(D18&gt;0,IF($D18&lt;=0,0,D18*H18),"")</f>
        <v>600000</v>
      </c>
      <c r="M18" s="21" cm="1">
        <f t="array" ref="M18">IF(E18&gt;0,IF($D18&lt;=0,0,ROUND(E18*I18,2)),"")</f>
        <v>600000</v>
      </c>
      <c r="N18" s="23" cm="1">
        <f t="array" ref="N18">IF(F18&gt;0,IF($D18&lt;=0,0,ROUND(F18*J18,2)),"")</f>
        <v>600000</v>
      </c>
    </row>
    <row r="19" ht="20.5" customHeight="1">
      <c r="A19" s="95">
        <v>7</v>
      </c>
      <c r="B19" t="s" s="19">
        <v>76</v>
      </c>
      <c r="C19" s="24"/>
      <c r="D19" s="26">
        <v>3</v>
      </c>
      <c r="E19" s="26" cm="1">
        <f t="array" ref="E19">D19</f>
        <v>3</v>
      </c>
      <c r="F19" s="26" cm="1">
        <f t="array" ref="F19">D19</f>
        <v>3</v>
      </c>
      <c r="G19" t="s" s="27">
        <v>75</v>
      </c>
      <c r="H19" s="284">
        <v>150000</v>
      </c>
      <c r="I19" s="284">
        <v>150000</v>
      </c>
      <c r="J19" s="284">
        <v>150000</v>
      </c>
      <c r="K19" s="26">
        <v>11</v>
      </c>
      <c r="L19" s="26" cm="1">
        <f t="array" ref="L19">IF(D19&gt;0,IF($D19&lt;=0,0,D19*H19),"")</f>
        <v>450000</v>
      </c>
      <c r="M19" s="26" cm="1">
        <f t="array" ref="M19">IF(E19&gt;0,IF($D19&lt;=0,0,ROUND(E19*I19,2)),"")</f>
        <v>450000</v>
      </c>
      <c r="N19" s="28" cm="1">
        <f t="array" ref="N19">IF(F19&gt;0,IF($D19&lt;=0,0,ROUND(F19*J19,2)),"")</f>
        <v>450000</v>
      </c>
    </row>
    <row r="20" ht="20.5" customHeight="1">
      <c r="A20" s="95">
        <v>8</v>
      </c>
      <c r="B20" t="s" s="19">
        <v>77</v>
      </c>
      <c r="C20" s="20"/>
      <c r="D20" s="21">
        <v>3</v>
      </c>
      <c r="E20" s="21" cm="1">
        <f t="array" ref="E20">D20</f>
        <v>3</v>
      </c>
      <c r="F20" s="21" cm="1">
        <f t="array" ref="F20">D20</f>
        <v>3</v>
      </c>
      <c r="G20" t="s" s="22">
        <v>75</v>
      </c>
      <c r="H20" s="283">
        <v>200000</v>
      </c>
      <c r="I20" s="283">
        <v>200000</v>
      </c>
      <c r="J20" s="283">
        <v>200000</v>
      </c>
      <c r="K20" s="21">
        <v>11</v>
      </c>
      <c r="L20" s="21" cm="1">
        <f t="array" ref="L20">IF(D20&gt;0,IF($D20&lt;=0,0,D20*H20),"")</f>
        <v>600000</v>
      </c>
      <c r="M20" s="21" cm="1">
        <f t="array" ref="M20">IF(E20&gt;0,IF($D20&lt;=0,0,ROUND(E20*I20,2)),"")</f>
        <v>600000</v>
      </c>
      <c r="N20" s="23" cm="1">
        <f t="array" ref="N20">IF(F20&gt;0,IF($D20&lt;=0,0,ROUND(F20*J20,2)),"")</f>
        <v>600000</v>
      </c>
    </row>
    <row r="21" ht="20.5" customHeight="1">
      <c r="A21" s="95">
        <v>9</v>
      </c>
      <c r="B21" t="s" s="19">
        <v>657</v>
      </c>
      <c r="C21" s="24"/>
      <c r="D21" s="26">
        <v>1</v>
      </c>
      <c r="E21" s="26" cm="1">
        <f t="array" ref="E21">D21</f>
        <v>1</v>
      </c>
      <c r="F21" s="26" cm="1">
        <f t="array" ref="F21">D21</f>
        <v>1</v>
      </c>
      <c r="G21" t="s" s="27">
        <v>79</v>
      </c>
      <c r="H21" s="284">
        <v>250000</v>
      </c>
      <c r="I21" s="284">
        <v>250000</v>
      </c>
      <c r="J21" s="284">
        <v>250000</v>
      </c>
      <c r="K21" s="26">
        <v>11</v>
      </c>
      <c r="L21" s="26" cm="1">
        <f t="array" ref="L21">IF(D21&gt;0,IF($D21&lt;=0,0,D21*H21),"")</f>
        <v>250000</v>
      </c>
      <c r="M21" s="26" cm="1">
        <f t="array" ref="M21">IF(E21&gt;0,IF($D21&lt;=0,0,ROUND(E21*I21,2)),"")</f>
        <v>250000</v>
      </c>
      <c r="N21" s="28" cm="1">
        <f t="array" ref="N21">IF(F21&gt;0,IF($D21&lt;=0,0,ROUND(F21*J21,2)),"")</f>
        <v>250000</v>
      </c>
    </row>
    <row r="22" ht="20.5" customHeight="1">
      <c r="A22" t="s" s="18">
        <v>80</v>
      </c>
      <c r="B22" t="s" s="19">
        <v>81</v>
      </c>
      <c r="C22" s="20"/>
      <c r="D22" s="79"/>
      <c r="E22" s="21"/>
      <c r="F22" s="21"/>
      <c r="G22" s="79"/>
      <c r="H22" s="283"/>
      <c r="I22" s="283"/>
      <c r="J22" s="283"/>
      <c r="K22" s="21"/>
      <c r="L22" t="str" s="79" cm="1">
        <f t="array" ref="L22">IF(D22&gt;0,IF($D22&lt;=0,0,D22*H22),"")</f>
      </c>
      <c r="M22" t="str" s="79" cm="1">
        <f t="array" ref="M22">IF(E22&gt;0,IF($D22&lt;=0,0,ROUND(E22*I22,2)),"")</f>
      </c>
      <c r="N22" t="str" s="91" cm="1">
        <f t="array" ref="N22">IF(F22&gt;0,IF($D22&lt;=0,0,ROUND(F22*J22,2)),"")</f>
      </c>
    </row>
    <row r="23" ht="20.5" customHeight="1">
      <c r="A23" s="29"/>
      <c r="B23" t="s" s="19">
        <v>82</v>
      </c>
      <c r="C23" s="24"/>
      <c r="D23" s="26">
        <v>1</v>
      </c>
      <c r="E23" s="26" cm="1">
        <f t="array" ref="E23">D23</f>
        <v>1</v>
      </c>
      <c r="F23" s="26" cm="1">
        <f t="array" ref="F23">D23</f>
        <v>1</v>
      </c>
      <c r="G23" t="s" s="27">
        <v>19</v>
      </c>
      <c r="H23" s="284">
        <v>191488</v>
      </c>
      <c r="I23" s="284">
        <v>189200</v>
      </c>
      <c r="J23" s="284">
        <v>189200</v>
      </c>
      <c r="K23" s="26">
        <v>0</v>
      </c>
      <c r="L23" s="26" cm="1">
        <f t="array" ref="L23">IF(D23&gt;0,IF($D23&lt;=0,0,D23*H23),"")</f>
        <v>191488</v>
      </c>
      <c r="M23" s="26" cm="1">
        <f t="array" ref="M23">IF(E23&gt;0,IF($D23&lt;=0,0,ROUND(E23*I23,2)),"")</f>
        <v>189200</v>
      </c>
      <c r="N23" s="28" cm="1">
        <f t="array" ref="N23">IF(F23&gt;0,IF($D23&lt;=0,0,ROUND(F23*J23,2)),"")</f>
        <v>189200</v>
      </c>
    </row>
    <row r="24" ht="20.6" customHeight="1">
      <c r="A24" s="96"/>
      <c r="B24" s="97"/>
      <c r="C24" s="35"/>
      <c r="D24" s="36"/>
      <c r="E24" s="36"/>
      <c r="F24" s="36"/>
      <c r="G24" s="101"/>
      <c r="H24" s="36"/>
      <c r="I24" s="36"/>
      <c r="J24" s="36"/>
      <c r="K24" s="36"/>
      <c r="L24" t="str" s="101" cm="1">
        <f t="array" ref="L24">IF(D24&gt;0,IF($D24&lt;=0,0,D24*H24),"")</f>
      </c>
      <c r="M24" t="str" s="101" cm="1">
        <f t="array" ref="M24">IF(E24&gt;0,IF($D24&lt;=0,0,ROUND(E24*I24,2)),"")</f>
      </c>
      <c r="N24" t="str" s="102" cm="1">
        <f t="array" ref="N24">IF(F24&gt;0,IF($D24&lt;=0,0,ROUND(F24*J24,2)),"")</f>
      </c>
    </row>
    <row r="25" ht="20.85" customHeight="1">
      <c r="A25" s="54"/>
      <c r="B25" s="54"/>
      <c r="C25" s="54"/>
      <c r="D25" s="55"/>
      <c r="E25" s="55"/>
      <c r="F25" s="55"/>
      <c r="G25" s="56"/>
      <c r="H25" s="56"/>
      <c r="I25" s="54"/>
      <c r="J25" s="57"/>
      <c r="K25" t="s" s="58">
        <v>38</v>
      </c>
      <c r="L25" s="59" cm="1">
        <f t="array" ref="L25">SUM(L1:L24)</f>
        <v>72071488</v>
      </c>
      <c r="M25" s="59" cm="1">
        <f t="array" ref="M25">SUM(M1:M24)</f>
        <v>72069200</v>
      </c>
      <c r="N25" s="59" cm="1">
        <f t="array" ref="N25">SUM(N1:N24)</f>
        <v>72069200</v>
      </c>
    </row>
    <row r="26" ht="21" customHeight="1">
      <c r="A26" s="62"/>
      <c r="B26" t="s" s="61">
        <v>39</v>
      </c>
      <c r="C26" s="62"/>
      <c r="D26" s="63" cm="1">
        <f t="array" ref="D26">ROUND(IF(L26&lt;=100000000,L26*0.24%,IF(AND(L26&gt;100000000,L26&lt;=500000000),100000000*0.24%+(L26-100000000)*0.19%,IF(AND(L26&gt;500000000,L26&lt;=1000000000),100000000*0.24%+400000000*0.19%+(L26-500000000)*0.15%,IF(AND(L26&gt;1000000000,L26&lt;=5000000000),100000000*0.24%+400000000*0.19%+500000000*0.15%+(L26-1000000000)*0.12%,IF(L26&gt;5000000000,100000000*0.24%+400000000*0.19%+500000000*0.15%+4000000000*0.12%+(L26-5000000000)*0.1%,"Bingung komputer"))))),2)</f>
        <v>172512</v>
      </c>
      <c r="E26" s="64" cm="1">
        <f t="array" ref="E26">ROUND(IF(M26&lt;=100000000,M26*0.24%,IF(AND(M26&gt;100000000,M26&lt;=500000000),100000000*0.24%+(M26-100000000)*0.19%,IF(AND(M26&gt;500000000,M26&lt;=1000000000),100000000*0.24%+400000000*0.19%+(M26-500000000)*0.15%,IF(AND(M26&gt;1000000000,M26&lt;=5000000000),100000000*0.24%+400000000*0.19%+500000000*0.15%+(M26-1000000000)*0.12%,IF(M26&gt;5000000000,100000000*0.24%+400000000*0.19%+500000000*0.15%+4000000000*0.12%+(M26-5000000000)*0.1%,"Bingung komputer"))))),2)</f>
        <v>172512</v>
      </c>
      <c r="F26" s="64" cm="1">
        <f t="array" ref="F26">ROUND(IF(N26&lt;=100000000,N26*0.24%,IF(AND(N26&gt;100000000,N26&lt;=500000000),100000000*0.24%+(N26-100000000)*0.19%,IF(AND(N26&gt;500000000,N26&lt;=1000000000),100000000*0.24%+400000000*0.19%+(N26-500000000)*0.15%,IF(AND(N26&gt;1000000000,N26&lt;=5000000000),100000000*0.24%+400000000*0.19%+500000000*0.15%+(N26-1000000000)*0.12%,IF(N26&gt;5000000000,100000000*0.24%+400000000*0.19%+500000000*0.15%+4000000000*0.12%+(N26-5000000000)*0.1%,"Bingung komputer"))))),2)</f>
        <v>172512</v>
      </c>
      <c r="G26" s="65"/>
      <c r="H26" s="66"/>
      <c r="I26" s="62"/>
      <c r="J26" s="67"/>
      <c r="K26" t="str" s="67" cm="1">
        <f t="array" ref="K26">"Jumlah Terkena Pajak "&amp;MAX(K3:K24)&amp;"% (B)"</f>
        <v>Jumlah Terkena Pajak 11,00% (B)</v>
      </c>
      <c r="L26" s="69" cm="1">
        <f t="array" ref="L26">SUMIF($K3:$K24,"&gt;0",L3:L24)</f>
        <v>71880000</v>
      </c>
      <c r="M26" s="69" cm="1">
        <f t="array" ref="M26">SUMIF($K3:$K24,"&gt;0",M3:M24)</f>
        <v>71880000</v>
      </c>
      <c r="N26" s="69" cm="1">
        <f t="array" ref="N26">SUMIF($K3:$K24,"&gt;0",N3:N24)</f>
        <v>71880000</v>
      </c>
    </row>
    <row r="27" ht="21" customHeight="1">
      <c r="A27" s="71"/>
      <c r="B27" s="71"/>
      <c r="C27" s="71"/>
      <c r="D27" s="72"/>
      <c r="E27" s="72"/>
      <c r="F27" s="71"/>
      <c r="G27" s="72"/>
      <c r="H27" s="72"/>
      <c r="I27" s="71"/>
      <c r="J27" s="73"/>
      <c r="K27" t="str" s="73" cm="1">
        <f t="array" ref="K27">"PPN (C) = "&amp;MAX(K3:K24)&amp;"% x B"</f>
        <v>PPN (C) = 11,00% x B</v>
      </c>
      <c r="L27" s="68" cm="1">
        <f t="array" ref="L27">L26*MAX($K3:$K24)%</f>
        <v>7906800</v>
      </c>
      <c r="M27" s="69" cm="1">
        <f t="array" ref="M27">M26*MAX($K3:$K24)%</f>
        <v>7906800</v>
      </c>
      <c r="N27" s="69" cm="1">
        <f t="array" ref="N27">N26*MAX($K3:$K24)%</f>
        <v>7906800</v>
      </c>
    </row>
    <row r="28" ht="21" customHeight="1">
      <c r="A28" s="71"/>
      <c r="B28" s="71"/>
      <c r="C28" s="71"/>
      <c r="D28" s="72"/>
      <c r="E28" s="72"/>
      <c r="F28" s="72"/>
      <c r="G28" s="72"/>
      <c r="H28" s="72"/>
      <c r="I28" s="71"/>
      <c r="J28" s="73"/>
      <c r="K28" t="s" s="75">
        <v>42</v>
      </c>
      <c r="L28" s="76" cm="1">
        <f t="array" ref="L28">L25+L27</f>
        <v>79978288</v>
      </c>
      <c r="M28" s="69" cm="1">
        <f t="array" ref="M28">M25+M27</f>
        <v>79976000</v>
      </c>
      <c r="N28" s="69" cm="1">
        <f t="array" ref="N28">N25+N27</f>
        <v>79976000</v>
      </c>
    </row>
    <row r="29" ht="20.5" customHeight="1">
      <c r="A29" s="71"/>
      <c r="B29" s="71"/>
      <c r="C29" s="71"/>
      <c r="D29" s="72"/>
      <c r="E29" s="72"/>
      <c r="F29" s="72"/>
      <c r="G29" s="72"/>
      <c r="H29" s="72"/>
      <c r="I29" s="71"/>
      <c r="J29" s="73"/>
      <c r="K29" t="s" s="75">
        <v>43</v>
      </c>
      <c r="L29" s="68" cm="1">
        <f t="array" ref="L29">ROUNDDOWN(L28,-3)</f>
        <v>79978000</v>
      </c>
      <c r="M29" s="68" cm="1">
        <f t="array" ref="M29">ROUNDDOWN(M28,2)</f>
        <v>79976000</v>
      </c>
      <c r="N29" s="68" cm="1">
        <f t="array" ref="N29">ROUNDDOWN(N28,-3)</f>
        <v>79976000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70.xml><?xml version="1.0" encoding="utf-8"?>
<worksheet xmlns:r="http://schemas.openxmlformats.org/officeDocument/2006/relationships" xmlns="http://schemas.openxmlformats.org/spreadsheetml/2006/main">
  <sheetPr>
    <pageSetUpPr fitToPage="1"/>
  </sheetPr>
  <dimension ref="A1:N29"/>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7.17188" style="367" customWidth="1"/>
    <col min="2" max="2" width="43.0312" style="367" customWidth="1"/>
    <col min="3" max="3" width="2.75" style="367" customWidth="1"/>
    <col min="4" max="6" width="10.3672" style="367" customWidth="1"/>
    <col min="7" max="7" width="11.6875" style="367" customWidth="1"/>
    <col min="8" max="11" width="13.5156" style="367" customWidth="1"/>
    <col min="12" max="14" width="14.2344" style="367" customWidth="1"/>
    <col min="15" max="16384" width="16.3516" style="367"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t="s" s="90">
        <v>51</v>
      </c>
      <c r="B3" t="s" s="12">
        <v>52</v>
      </c>
      <c r="C3" s="13"/>
      <c r="D3" s="14"/>
      <c r="E3" s="14"/>
      <c r="F3" s="14"/>
      <c r="G3" s="15"/>
      <c r="H3" s="15"/>
      <c r="I3" s="15"/>
      <c r="J3" s="15"/>
      <c r="K3" s="15"/>
      <c r="L3" t="str" s="16" cm="1">
        <f t="array" ref="L3">IF(D3&gt;0,IF($D3&lt;=0,0,D3*H3),"")</f>
      </c>
      <c r="M3" t="str" s="16" cm="1">
        <f t="array" ref="M3">IF(E3&gt;0,IF($D3&lt;=0,0,ROUND(E3*I3,2)),"")</f>
      </c>
      <c r="N3" t="str" s="17" cm="1">
        <f t="array" ref="N3">IF(F3&gt;0,IF($D3&lt;=0,0,ROUND(F3*J3,2)),"")</f>
      </c>
    </row>
    <row r="4" ht="20.5" customHeight="1">
      <c r="A4" t="s" s="18">
        <v>53</v>
      </c>
      <c r="B4" t="s" s="19">
        <v>54</v>
      </c>
      <c r="C4" s="20"/>
      <c r="D4" s="21"/>
      <c r="E4" s="21"/>
      <c r="F4" s="21"/>
      <c r="G4" s="79"/>
      <c r="H4" s="21"/>
      <c r="I4" s="79"/>
      <c r="J4" s="21"/>
      <c r="K4" s="21"/>
      <c r="L4" t="str" s="79" cm="1">
        <f t="array" ref="L4">IF(D4&gt;0,IF($D4&lt;=0,0,D4*H4),"")</f>
      </c>
      <c r="M4" t="str" s="79" cm="1">
        <f t="array" ref="M4">IF(E4&gt;0,IF($D4&lt;=0,0,ROUND(E4*I4,2)),"")</f>
      </c>
      <c r="N4" t="str" s="91" cm="1">
        <f t="array" ref="N4">IF(F4&gt;0,IF($D4&lt;=0,0,ROUND(F4*J4,2)),"")</f>
      </c>
    </row>
    <row r="5" ht="20.5" customHeight="1">
      <c r="A5" s="92">
        <v>1</v>
      </c>
      <c r="B5" t="s" s="19">
        <v>55</v>
      </c>
      <c r="C5" s="24"/>
      <c r="D5" s="26">
        <v>5</v>
      </c>
      <c r="E5" s="26" cm="1">
        <f t="array" ref="E5">D5</f>
        <v>5</v>
      </c>
      <c r="F5" s="26" cm="1">
        <f t="array" ref="F5">D5</f>
        <v>5</v>
      </c>
      <c r="G5" t="s" s="27">
        <v>654</v>
      </c>
      <c r="H5" s="284">
        <v>8000000</v>
      </c>
      <c r="I5" s="284">
        <v>8000000</v>
      </c>
      <c r="J5" s="284">
        <v>8000000</v>
      </c>
      <c r="K5" s="26">
        <v>11</v>
      </c>
      <c r="L5" s="26" cm="1">
        <f t="array" ref="L5">IF(D5&gt;0,IF($D5&lt;=0,0,D5*H5),"")</f>
        <v>40000000</v>
      </c>
      <c r="M5" s="26" cm="1">
        <f t="array" ref="M5">IF(E5&gt;0,IF($D5&lt;=0,0,ROUND(E5*I5,2)),"")</f>
        <v>40000000</v>
      </c>
      <c r="N5" s="28" cm="1">
        <f t="array" ref="N5">IF(F5&gt;0,IF($D5&lt;=0,0,ROUND(F5*J5,2)),"")</f>
        <v>40000000</v>
      </c>
    </row>
    <row r="6" ht="20.5" customHeight="1">
      <c r="A6" s="366">
        <v>2</v>
      </c>
      <c r="B6" t="s" s="19">
        <v>655</v>
      </c>
      <c r="C6" s="20"/>
      <c r="D6" s="21">
        <v>5</v>
      </c>
      <c r="E6" s="21" cm="1">
        <f t="array" ref="E6">D6</f>
        <v>5</v>
      </c>
      <c r="F6" s="21" cm="1">
        <f t="array" ref="F6">D6</f>
        <v>5</v>
      </c>
      <c r="G6" t="s" s="22">
        <v>654</v>
      </c>
      <c r="H6" s="283">
        <v>3500000</v>
      </c>
      <c r="I6" s="283">
        <v>3500000</v>
      </c>
      <c r="J6" s="283">
        <v>3500000</v>
      </c>
      <c r="K6" s="21">
        <v>11</v>
      </c>
      <c r="L6" s="21" cm="1">
        <f t="array" ref="L6">IF(D6&gt;0,IF($D6&lt;=0,0,D6*H6),"")</f>
        <v>17500000</v>
      </c>
      <c r="M6" s="21" cm="1">
        <f t="array" ref="M6">IF(E6&gt;0,IF($D6&lt;=0,0,ROUND(E6*I6,2)),"")</f>
        <v>17500000</v>
      </c>
      <c r="N6" s="23" cm="1">
        <f t="array" ref="N6">IF(F6&gt;0,IF($D6&lt;=0,0,ROUND(F6*J6,2)),"")</f>
        <v>17500000</v>
      </c>
    </row>
    <row r="7" ht="20.5" customHeight="1">
      <c r="A7" t="s" s="93">
        <v>58</v>
      </c>
      <c r="B7" t="s" s="19">
        <v>59</v>
      </c>
      <c r="C7" s="24"/>
      <c r="D7" s="30"/>
      <c r="E7" s="26"/>
      <c r="F7" s="26"/>
      <c r="G7" s="30"/>
      <c r="H7" s="284"/>
      <c r="I7" s="30"/>
      <c r="J7" s="30"/>
      <c r="K7" s="26"/>
      <c r="L7" t="str" s="30" cm="1">
        <f t="array" ref="L7">IF(D7&gt;0,IF($D7&lt;=0,0,D7*H7),"")</f>
      </c>
      <c r="M7" t="str" s="30" cm="1">
        <f t="array" ref="M7">IF(E7&gt;0,IF($D7&lt;=0,0,ROUND(E7*I7,2)),"")</f>
      </c>
      <c r="N7" t="str" s="31" cm="1">
        <f t="array" ref="N7">IF(F7&gt;0,IF($D7&lt;=0,0,ROUND(F7*J7,2)),"")</f>
      </c>
    </row>
    <row r="8" ht="20.5" customHeight="1">
      <c r="A8" t="s" s="18">
        <v>53</v>
      </c>
      <c r="B8" t="s" s="19">
        <v>60</v>
      </c>
      <c r="C8" s="20"/>
      <c r="D8" s="79"/>
      <c r="E8" s="21"/>
      <c r="F8" s="21"/>
      <c r="G8" s="79"/>
      <c r="H8" s="283"/>
      <c r="I8" s="79"/>
      <c r="J8" s="79"/>
      <c r="K8" s="21"/>
      <c r="L8" t="str" s="79" cm="1">
        <f t="array" ref="L8">IF(D8&gt;0,IF($D8&lt;=0,0,D8*H8),"")</f>
      </c>
      <c r="M8" t="str" s="79" cm="1">
        <f t="array" ref="M8">IF(E8&gt;0,IF($D8&lt;=0,0,ROUND(E8*I8,2)),"")</f>
      </c>
      <c r="N8" t="str" s="91" cm="1">
        <f t="array" ref="N8">IF(F8&gt;0,IF($D8&lt;=0,0,ROUND(F8*J8,2)),"")</f>
      </c>
    </row>
    <row r="9" ht="20.5" customHeight="1">
      <c r="A9" s="94">
        <v>1</v>
      </c>
      <c r="B9" t="s" s="19">
        <v>61</v>
      </c>
      <c r="C9" s="24"/>
      <c r="D9" s="26">
        <v>5</v>
      </c>
      <c r="E9" s="26" cm="1">
        <f t="array" ref="E9">D9</f>
        <v>5</v>
      </c>
      <c r="F9" s="26" cm="1">
        <f t="array" ref="F9">D9</f>
        <v>5</v>
      </c>
      <c r="G9" t="s" s="27">
        <v>62</v>
      </c>
      <c r="H9" s="284">
        <v>300000</v>
      </c>
      <c r="I9" s="284">
        <v>300000</v>
      </c>
      <c r="J9" s="284">
        <v>300000</v>
      </c>
      <c r="K9" s="26">
        <v>11</v>
      </c>
      <c r="L9" s="26" cm="1">
        <f t="array" ref="L9">IF(D9&gt;0,IF($D9&lt;=0,0,D9*H9),"")</f>
        <v>1500000</v>
      </c>
      <c r="M9" s="26" cm="1">
        <f t="array" ref="M9">IF(E9&gt;0,IF($D9&lt;=0,0,ROUND(E9*I9,2)),"")</f>
        <v>1500000</v>
      </c>
      <c r="N9" s="28" cm="1">
        <f t="array" ref="N9">IF(F9&gt;0,IF($D9&lt;=0,0,ROUND(F9*J9,2)),"")</f>
        <v>1500000</v>
      </c>
    </row>
    <row r="10" ht="32.5" customHeight="1">
      <c r="A10" s="95">
        <v>2</v>
      </c>
      <c r="B10" t="s" s="19">
        <v>63</v>
      </c>
      <c r="C10" s="20"/>
      <c r="D10" s="21">
        <v>5</v>
      </c>
      <c r="E10" s="21" cm="1">
        <f t="array" ref="E10">D10</f>
        <v>5</v>
      </c>
      <c r="F10" s="21" cm="1">
        <f t="array" ref="F10">D10</f>
        <v>5</v>
      </c>
      <c r="G10" t="s" s="22">
        <v>515</v>
      </c>
      <c r="H10" s="283">
        <v>500000</v>
      </c>
      <c r="I10" s="283">
        <v>500000</v>
      </c>
      <c r="J10" s="283">
        <v>500000</v>
      </c>
      <c r="K10" s="21">
        <v>11</v>
      </c>
      <c r="L10" s="21" cm="1">
        <f t="array" ref="L10">IF(D10&gt;0,IF($D10&lt;=0,0,D10*H10),"")</f>
        <v>2500000</v>
      </c>
      <c r="M10" s="21" cm="1">
        <f t="array" ref="M10">IF(E10&gt;0,IF($D10&lt;=0,0,ROUND(E10*I10,2)),"")</f>
        <v>2500000</v>
      </c>
      <c r="N10" s="23" cm="1">
        <f t="array" ref="N10">IF(F10&gt;0,IF($D10&lt;=0,0,ROUND(F10*J10,2)),"")</f>
        <v>2500000</v>
      </c>
    </row>
    <row r="11" ht="20.5" customHeight="1">
      <c r="A11" s="95">
        <v>3</v>
      </c>
      <c r="B11" t="s" s="19">
        <v>65</v>
      </c>
      <c r="C11" s="24"/>
      <c r="D11" s="26">
        <v>5</v>
      </c>
      <c r="E11" s="26" cm="1">
        <f t="array" ref="E11">D11</f>
        <v>5</v>
      </c>
      <c r="F11" s="26" cm="1">
        <f t="array" ref="F11">D11</f>
        <v>5</v>
      </c>
      <c r="G11" t="s" s="27">
        <v>62</v>
      </c>
      <c r="H11" s="284">
        <v>700000</v>
      </c>
      <c r="I11" s="284">
        <v>700000</v>
      </c>
      <c r="J11" s="284">
        <v>700000</v>
      </c>
      <c r="K11" s="26">
        <v>11</v>
      </c>
      <c r="L11" s="26" cm="1">
        <f t="array" ref="L11">IF(D11&gt;0,IF($D11&lt;=0,0,D11*H11),"")</f>
        <v>3500000</v>
      </c>
      <c r="M11" s="26" cm="1">
        <f t="array" ref="M11">IF(E11&gt;0,IF($D11&lt;=0,0,ROUND(E11*I11,2)),"")</f>
        <v>3500000</v>
      </c>
      <c r="N11" s="28" cm="1">
        <f t="array" ref="N11">IF(F11&gt;0,IF($D11&lt;=0,0,ROUND(F11*J11,2)),"")</f>
        <v>3500000</v>
      </c>
    </row>
    <row r="12" ht="20.5" customHeight="1">
      <c r="A12" s="94"/>
      <c r="B12" t="s" s="19">
        <v>66</v>
      </c>
      <c r="C12" s="20"/>
      <c r="D12" s="79"/>
      <c r="E12" s="21"/>
      <c r="F12" s="21"/>
      <c r="G12" s="79"/>
      <c r="H12" s="283"/>
      <c r="I12" s="79"/>
      <c r="J12" s="79"/>
      <c r="K12" s="21"/>
      <c r="L12" t="str" s="79" cm="1">
        <f t="array" ref="L12">IF(D12&gt;0,IF($D12&lt;=0,0,D12*H12),"")</f>
      </c>
      <c r="M12" t="str" s="79" cm="1">
        <f t="array" ref="M12">IF(E12&gt;0,IF($D12&lt;=0,0,ROUND(E12*I12,2)),"")</f>
      </c>
      <c r="N12" t="str" s="91" cm="1">
        <f t="array" ref="N12">IF(F12&gt;0,IF($D12&lt;=0,0,ROUND(F12*J12,2)),"")</f>
      </c>
    </row>
    <row r="13" ht="20.5" customHeight="1">
      <c r="A13" s="94">
        <v>4</v>
      </c>
      <c r="B13" t="s" s="19">
        <v>67</v>
      </c>
      <c r="C13" s="24"/>
      <c r="D13" s="26">
        <v>2</v>
      </c>
      <c r="E13" s="26" cm="1">
        <f t="array" ref="E13">D13</f>
        <v>2</v>
      </c>
      <c r="F13" s="26" cm="1">
        <f t="array" ref="F13">D13</f>
        <v>2</v>
      </c>
      <c r="G13" t="s" s="27">
        <v>19</v>
      </c>
      <c r="H13" s="284">
        <v>140000</v>
      </c>
      <c r="I13" s="284">
        <v>140000</v>
      </c>
      <c r="J13" s="284">
        <v>140000</v>
      </c>
      <c r="K13" s="26">
        <v>11</v>
      </c>
      <c r="L13" s="26" cm="1">
        <f t="array" ref="L13">IF(D13&gt;0,IF($D13&lt;=0,0,D13*H13),"")</f>
        <v>280000</v>
      </c>
      <c r="M13" s="26" cm="1">
        <f t="array" ref="M13">IF(E13&gt;0,IF($D13&lt;=0,0,ROUND(E13*I13,2)),"")</f>
        <v>280000</v>
      </c>
      <c r="N13" s="28" cm="1">
        <f t="array" ref="N13">IF(F13&gt;0,IF($D13&lt;=0,0,ROUND(F13*J13,2)),"")</f>
        <v>280000</v>
      </c>
    </row>
    <row r="14" ht="20.5" customHeight="1">
      <c r="A14" s="94">
        <v>5</v>
      </c>
      <c r="B14" t="s" s="19">
        <v>69</v>
      </c>
      <c r="C14" s="20"/>
      <c r="D14" s="21">
        <v>2</v>
      </c>
      <c r="E14" s="21" cm="1">
        <f t="array" ref="E14">D14</f>
        <v>2</v>
      </c>
      <c r="F14" s="21" cm="1">
        <f t="array" ref="F14">D14</f>
        <v>2</v>
      </c>
      <c r="G14" t="s" s="22">
        <v>19</v>
      </c>
      <c r="H14" s="283">
        <v>350000</v>
      </c>
      <c r="I14" s="283">
        <v>350000</v>
      </c>
      <c r="J14" s="283">
        <v>350000</v>
      </c>
      <c r="K14" s="21">
        <v>11</v>
      </c>
      <c r="L14" s="21" cm="1">
        <f t="array" ref="L14">IF(D14&gt;0,IF($D14&lt;=0,0,D14*H14),"")</f>
        <v>700000</v>
      </c>
      <c r="M14" s="21" cm="1">
        <f t="array" ref="M14">IF(E14&gt;0,IF($D14&lt;=0,0,ROUND(E14*I14,2)),"")</f>
        <v>700000</v>
      </c>
      <c r="N14" s="23" cm="1">
        <f t="array" ref="N14">IF(F14&gt;0,IF($D14&lt;=0,0,ROUND(F14*J14,2)),"")</f>
        <v>700000</v>
      </c>
    </row>
    <row r="15" ht="20.5" customHeight="1">
      <c r="A15" s="29"/>
      <c r="B15" t="s" s="19">
        <v>70</v>
      </c>
      <c r="C15" s="24"/>
      <c r="D15" s="30"/>
      <c r="E15" s="26"/>
      <c r="F15" s="26"/>
      <c r="G15" s="30"/>
      <c r="H15" s="284"/>
      <c r="I15" s="30"/>
      <c r="J15" s="30"/>
      <c r="K15" s="26"/>
      <c r="L15" t="str" s="30" cm="1">
        <f t="array" ref="L15">IF(D15&gt;0,IF($D15&lt;=0,0,D15*H15),"")</f>
      </c>
      <c r="M15" t="str" s="30" cm="1">
        <f t="array" ref="M15">IF(E15&gt;0,IF($D15&lt;=0,0,ROUND(E15*I15,2)),"")</f>
      </c>
      <c r="N15" t="str" s="31" cm="1">
        <f t="array" ref="N15">IF(F15&gt;0,IF($D15&lt;=0,0,ROUND(F15*J15,2)),"")</f>
      </c>
    </row>
    <row r="16" ht="20.5" customHeight="1">
      <c r="A16" t="s" s="18">
        <v>71</v>
      </c>
      <c r="B16" t="s" s="19">
        <v>656</v>
      </c>
      <c r="C16" s="20"/>
      <c r="D16" s="21">
        <v>5</v>
      </c>
      <c r="E16" s="21" cm="1">
        <f t="array" ref="E16">D16</f>
        <v>5</v>
      </c>
      <c r="F16" s="21" cm="1">
        <f t="array" ref="F16">D16</f>
        <v>5</v>
      </c>
      <c r="G16" t="s" s="22">
        <v>73</v>
      </c>
      <c r="H16" s="283">
        <v>800000</v>
      </c>
      <c r="I16" s="283">
        <v>800000</v>
      </c>
      <c r="J16" s="283">
        <v>800000</v>
      </c>
      <c r="K16" s="21">
        <v>11</v>
      </c>
      <c r="L16" s="21" cm="1">
        <f t="array" ref="L16">IF(D16&gt;0,IF($D16&lt;=0,0,D16*H16),"")</f>
        <v>4000000</v>
      </c>
      <c r="M16" s="21" cm="1">
        <f t="array" ref="M16">IF(E16&gt;0,IF($D16&lt;=0,0,ROUND(E16*I16,2)),"")</f>
        <v>4000000</v>
      </c>
      <c r="N16" s="23" cm="1">
        <f t="array" ref="N16">IF(F16&gt;0,IF($D16&lt;=0,0,ROUND(F16*J16,2)),"")</f>
        <v>4000000</v>
      </c>
    </row>
    <row r="17" ht="20.5" customHeight="1">
      <c r="A17" s="29"/>
      <c r="B17" t="s" s="19">
        <v>550</v>
      </c>
      <c r="C17" s="24"/>
      <c r="D17" s="30"/>
      <c r="E17" s="26"/>
      <c r="F17" s="26"/>
      <c r="G17" s="30"/>
      <c r="H17" s="284"/>
      <c r="I17" s="30"/>
      <c r="J17" s="30"/>
      <c r="K17" s="26"/>
      <c r="L17" t="str" s="30" cm="1">
        <f t="array" ref="L17">IF(D17&gt;0,IF($D17&lt;=0,0,D17*H17),"")</f>
      </c>
      <c r="M17" t="str" s="30" cm="1">
        <f t="array" ref="M17">IF(E17&gt;0,IF($D17&lt;=0,0,ROUND(E17*I17,2)),"")</f>
      </c>
      <c r="N17" t="str" s="31" cm="1">
        <f t="array" ref="N17">IF(F17&gt;0,IF($D17&lt;=0,0,ROUND(F17*J17,2)),"")</f>
      </c>
    </row>
    <row r="18" ht="20.5" customHeight="1">
      <c r="A18" s="95">
        <v>6</v>
      </c>
      <c r="B18" t="s" s="19">
        <v>74</v>
      </c>
      <c r="C18" s="20"/>
      <c r="D18" s="21">
        <v>3</v>
      </c>
      <c r="E18" s="21" cm="1">
        <f t="array" ref="E18">D18</f>
        <v>3</v>
      </c>
      <c r="F18" s="21" cm="1">
        <f t="array" ref="F18">D18</f>
        <v>3</v>
      </c>
      <c r="G18" t="s" s="22">
        <v>75</v>
      </c>
      <c r="H18" s="283">
        <v>200000</v>
      </c>
      <c r="I18" s="283">
        <v>200000</v>
      </c>
      <c r="J18" s="283">
        <v>200000</v>
      </c>
      <c r="K18" s="21">
        <v>11</v>
      </c>
      <c r="L18" s="21" cm="1">
        <f t="array" ref="L18">IF(D18&gt;0,IF($D18&lt;=0,0,D18*H18),"")</f>
        <v>600000</v>
      </c>
      <c r="M18" s="21" cm="1">
        <f t="array" ref="M18">IF(E18&gt;0,IF($D18&lt;=0,0,ROUND(E18*I18,2)),"")</f>
        <v>600000</v>
      </c>
      <c r="N18" s="23" cm="1">
        <f t="array" ref="N18">IF(F18&gt;0,IF($D18&lt;=0,0,ROUND(F18*J18,2)),"")</f>
        <v>600000</v>
      </c>
    </row>
    <row r="19" ht="20.5" customHeight="1">
      <c r="A19" s="95">
        <v>7</v>
      </c>
      <c r="B19" t="s" s="19">
        <v>76</v>
      </c>
      <c r="C19" s="24"/>
      <c r="D19" s="26">
        <v>3</v>
      </c>
      <c r="E19" s="26" cm="1">
        <f t="array" ref="E19">D19</f>
        <v>3</v>
      </c>
      <c r="F19" s="26" cm="1">
        <f t="array" ref="F19">D19</f>
        <v>3</v>
      </c>
      <c r="G19" t="s" s="27">
        <v>75</v>
      </c>
      <c r="H19" s="284">
        <v>150000</v>
      </c>
      <c r="I19" s="284">
        <v>150000</v>
      </c>
      <c r="J19" s="284">
        <v>150000</v>
      </c>
      <c r="K19" s="26">
        <v>11</v>
      </c>
      <c r="L19" s="26" cm="1">
        <f t="array" ref="L19">IF(D19&gt;0,IF($D19&lt;=0,0,D19*H19),"")</f>
        <v>450000</v>
      </c>
      <c r="M19" s="26" cm="1">
        <f t="array" ref="M19">IF(E19&gt;0,IF($D19&lt;=0,0,ROUND(E19*I19,2)),"")</f>
        <v>450000</v>
      </c>
      <c r="N19" s="28" cm="1">
        <f t="array" ref="N19">IF(F19&gt;0,IF($D19&lt;=0,0,ROUND(F19*J19,2)),"")</f>
        <v>450000</v>
      </c>
    </row>
    <row r="20" ht="20.5" customHeight="1">
      <c r="A20" s="95">
        <v>8</v>
      </c>
      <c r="B20" t="s" s="19">
        <v>77</v>
      </c>
      <c r="C20" s="20"/>
      <c r="D20" s="21">
        <v>3</v>
      </c>
      <c r="E20" s="21" cm="1">
        <f t="array" ref="E20">D20</f>
        <v>3</v>
      </c>
      <c r="F20" s="21" cm="1">
        <f t="array" ref="F20">D20</f>
        <v>3</v>
      </c>
      <c r="G20" t="s" s="22">
        <v>75</v>
      </c>
      <c r="H20" s="283">
        <v>200000</v>
      </c>
      <c r="I20" s="283">
        <v>200000</v>
      </c>
      <c r="J20" s="283">
        <v>200000</v>
      </c>
      <c r="K20" s="21">
        <v>11</v>
      </c>
      <c r="L20" s="21" cm="1">
        <f t="array" ref="L20">IF(D20&gt;0,IF($D20&lt;=0,0,D20*H20),"")</f>
        <v>600000</v>
      </c>
      <c r="M20" s="21" cm="1">
        <f t="array" ref="M20">IF(E20&gt;0,IF($D20&lt;=0,0,ROUND(E20*I20,2)),"")</f>
        <v>600000</v>
      </c>
      <c r="N20" s="23" cm="1">
        <f t="array" ref="N20">IF(F20&gt;0,IF($D20&lt;=0,0,ROUND(F20*J20,2)),"")</f>
        <v>600000</v>
      </c>
    </row>
    <row r="21" ht="20.5" customHeight="1">
      <c r="A21" s="95">
        <v>9</v>
      </c>
      <c r="B21" t="s" s="19">
        <v>657</v>
      </c>
      <c r="C21" s="24"/>
      <c r="D21" s="26">
        <v>1</v>
      </c>
      <c r="E21" s="26" cm="1">
        <f t="array" ref="E21">D21</f>
        <v>1</v>
      </c>
      <c r="F21" s="26" cm="1">
        <f t="array" ref="F21">D21</f>
        <v>1</v>
      </c>
      <c r="G21" t="s" s="27">
        <v>79</v>
      </c>
      <c r="H21" s="284">
        <v>250000</v>
      </c>
      <c r="I21" s="284">
        <v>250000</v>
      </c>
      <c r="J21" s="284">
        <v>250000</v>
      </c>
      <c r="K21" s="26">
        <v>11</v>
      </c>
      <c r="L21" s="26" cm="1">
        <f t="array" ref="L21">IF(D21&gt;0,IF($D21&lt;=0,0,D21*H21),"")</f>
        <v>250000</v>
      </c>
      <c r="M21" s="26" cm="1">
        <f t="array" ref="M21">IF(E21&gt;0,IF($D21&lt;=0,0,ROUND(E21*I21,2)),"")</f>
        <v>250000</v>
      </c>
      <c r="N21" s="28" cm="1">
        <f t="array" ref="N21">IF(F21&gt;0,IF($D21&lt;=0,0,ROUND(F21*J21,2)),"")</f>
        <v>250000</v>
      </c>
    </row>
    <row r="22" ht="20.5" customHeight="1">
      <c r="A22" t="s" s="18">
        <v>80</v>
      </c>
      <c r="B22" t="s" s="19">
        <v>81</v>
      </c>
      <c r="C22" s="20"/>
      <c r="D22" s="79"/>
      <c r="E22" s="21"/>
      <c r="F22" s="21"/>
      <c r="G22" s="79"/>
      <c r="H22" s="283"/>
      <c r="I22" s="79"/>
      <c r="J22" s="79"/>
      <c r="K22" s="21"/>
      <c r="L22" t="str" s="79" cm="1">
        <f t="array" ref="L22">IF(D22&gt;0,IF($D22&lt;=0,0,D22*H22),"")</f>
      </c>
      <c r="M22" t="str" s="79" cm="1">
        <f t="array" ref="M22">IF(E22&gt;0,IF($D22&lt;=0,0,ROUND(E22*I22,2)),"")</f>
      </c>
      <c r="N22" t="str" s="91" cm="1">
        <f t="array" ref="N22">IF(F22&gt;0,IF($D22&lt;=0,0,ROUND(F22*J22,2)),"")</f>
      </c>
    </row>
    <row r="23" ht="20.5" customHeight="1">
      <c r="A23" s="29"/>
      <c r="B23" t="s" s="19">
        <v>82</v>
      </c>
      <c r="C23" s="24"/>
      <c r="D23" s="26">
        <v>1</v>
      </c>
      <c r="E23" s="26" cm="1">
        <f t="array" ref="E23">D23</f>
        <v>1</v>
      </c>
      <c r="F23" s="26" cm="1">
        <f t="array" ref="F23">D23</f>
        <v>1</v>
      </c>
      <c r="G23" t="s" s="27">
        <v>19</v>
      </c>
      <c r="H23" s="284">
        <v>191488</v>
      </c>
      <c r="I23" s="284">
        <v>188200</v>
      </c>
      <c r="J23" s="284">
        <v>188200</v>
      </c>
      <c r="K23" s="26">
        <v>0</v>
      </c>
      <c r="L23" s="26" cm="1">
        <f t="array" ref="L23">IF(D23&gt;0,IF($D23&lt;=0,0,D23*H23),"")</f>
        <v>191488</v>
      </c>
      <c r="M23" s="26" cm="1">
        <f t="array" ref="M23">IF(E23&gt;0,IF($D23&lt;=0,0,ROUND(E23*I23,2)),"")</f>
        <v>188200</v>
      </c>
      <c r="N23" s="28" cm="1">
        <f t="array" ref="N23">IF(F23&gt;0,IF($D23&lt;=0,0,ROUND(F23*J23,2)),"")</f>
        <v>188200</v>
      </c>
    </row>
    <row r="24" ht="20.6" customHeight="1">
      <c r="A24" s="96"/>
      <c r="B24" s="97"/>
      <c r="C24" s="35"/>
      <c r="D24" s="36"/>
      <c r="E24" s="36"/>
      <c r="F24" s="36"/>
      <c r="G24" s="101"/>
      <c r="H24" s="36"/>
      <c r="I24" s="36"/>
      <c r="J24" s="36"/>
      <c r="K24" s="36"/>
      <c r="L24" t="str" s="101" cm="1">
        <f t="array" ref="L24">IF(D24&gt;0,IF($D24&lt;=0,0,D24*H24),"")</f>
      </c>
      <c r="M24" t="str" s="101" cm="1">
        <f t="array" ref="M24">IF(E24&gt;0,IF($D24&lt;=0,0,ROUND(E24*I24,2)),"")</f>
      </c>
      <c r="N24" t="str" s="102" cm="1">
        <f t="array" ref="N24">IF(F24&gt;0,IF($D24&lt;=0,0,ROUND(F24*J24,2)),"")</f>
      </c>
    </row>
    <row r="25" ht="20.85" customHeight="1">
      <c r="A25" s="54"/>
      <c r="B25" s="54"/>
      <c r="C25" s="54"/>
      <c r="D25" s="55"/>
      <c r="E25" s="55"/>
      <c r="F25" s="55"/>
      <c r="G25" s="56"/>
      <c r="H25" s="56"/>
      <c r="I25" s="54"/>
      <c r="J25" s="57"/>
      <c r="K25" t="s" s="58">
        <v>38</v>
      </c>
      <c r="L25" s="59" cm="1">
        <f t="array" ref="L25">SUM(L1:L24)</f>
        <v>72071488</v>
      </c>
      <c r="M25" s="59" cm="1">
        <f t="array" ref="M25">SUM(M1:M24)</f>
        <v>72068200</v>
      </c>
      <c r="N25" s="59" cm="1">
        <f t="array" ref="N25">SUM(N1:N24)</f>
        <v>72068200</v>
      </c>
    </row>
    <row r="26" ht="21" customHeight="1">
      <c r="A26" s="62"/>
      <c r="B26" t="s" s="61">
        <v>39</v>
      </c>
      <c r="C26" s="62"/>
      <c r="D26" s="63" cm="1">
        <f t="array" ref="D26">ROUND(IF(L26&lt;=100000000,L26*0.24%,IF(AND(L26&gt;100000000,L26&lt;=500000000),100000000*0.24%+(L26-100000000)*0.19%,IF(AND(L26&gt;500000000,L26&lt;=1000000000),100000000*0.24%+400000000*0.19%+(L26-500000000)*0.15%,IF(AND(L26&gt;1000000000,L26&lt;=5000000000),100000000*0.24%+400000000*0.19%+500000000*0.15%+(L26-1000000000)*0.12%,IF(L26&gt;5000000000,100000000*0.24%+400000000*0.19%+500000000*0.15%+4000000000*0.12%+(L26-5000000000)*0.1%,"Bingung komputer"))))),2)</f>
        <v>172512</v>
      </c>
      <c r="E26" s="64" cm="1">
        <f t="array" ref="E26">ROUND(IF(M26&lt;=100000000,M26*0.24%,IF(AND(M26&gt;100000000,M26&lt;=500000000),100000000*0.24%+(M26-100000000)*0.19%,IF(AND(M26&gt;500000000,M26&lt;=1000000000),100000000*0.24%+400000000*0.19%+(M26-500000000)*0.15%,IF(AND(M26&gt;1000000000,M26&lt;=5000000000),100000000*0.24%+400000000*0.19%+500000000*0.15%+(M26-1000000000)*0.12%,IF(M26&gt;5000000000,100000000*0.24%+400000000*0.19%+500000000*0.15%+4000000000*0.12%+(M26-5000000000)*0.1%,"Bingung komputer"))))),2)</f>
        <v>172512</v>
      </c>
      <c r="F26" s="64" cm="1">
        <f t="array" ref="F26">ROUND(IF(N26&lt;=100000000,N26*0.24%,IF(AND(N26&gt;100000000,N26&lt;=500000000),100000000*0.24%+(N26-100000000)*0.19%,IF(AND(N26&gt;500000000,N26&lt;=1000000000),100000000*0.24%+400000000*0.19%+(N26-500000000)*0.15%,IF(AND(N26&gt;1000000000,N26&lt;=5000000000),100000000*0.24%+400000000*0.19%+500000000*0.15%+(N26-1000000000)*0.12%,IF(N26&gt;5000000000,100000000*0.24%+400000000*0.19%+500000000*0.15%+4000000000*0.12%+(N26-5000000000)*0.1%,"Bingung komputer"))))),2)</f>
        <v>172512</v>
      </c>
      <c r="G26" s="65"/>
      <c r="H26" s="66"/>
      <c r="I26" s="62"/>
      <c r="J26" s="67"/>
      <c r="K26" t="str" s="67" cm="1">
        <f t="array" ref="K26">"Jumlah Terkena Pajak "&amp;MAX(K3:K24)&amp;"% (B)"</f>
        <v>Jumlah Terkena Pajak 11,00% (B)</v>
      </c>
      <c r="L26" s="69" cm="1">
        <f t="array" ref="L26">SUMIF($K3:$K24,"&gt;0",L3:L24)</f>
        <v>71880000</v>
      </c>
      <c r="M26" s="69" cm="1">
        <f t="array" ref="M26">SUMIF($K3:$K24,"&gt;0",M3:M24)</f>
        <v>71880000</v>
      </c>
      <c r="N26" s="69" cm="1">
        <f t="array" ref="N26">SUMIF($K3:$K24,"&gt;0",N3:N24)</f>
        <v>71880000</v>
      </c>
    </row>
    <row r="27" ht="21" customHeight="1">
      <c r="A27" s="71"/>
      <c r="B27" s="71"/>
      <c r="C27" s="71"/>
      <c r="D27" s="72"/>
      <c r="E27" s="72"/>
      <c r="F27" s="71"/>
      <c r="G27" s="72"/>
      <c r="H27" s="72"/>
      <c r="I27" s="71"/>
      <c r="J27" s="73"/>
      <c r="K27" t="str" s="73" cm="1">
        <f t="array" ref="K27">"PPN (C) = "&amp;MAX(K3:K24)&amp;"% x B"</f>
        <v>PPN (C) = 11,00% x B</v>
      </c>
      <c r="L27" s="68" cm="1">
        <f t="array" ref="L27">L26*MAX($K3:$K24)%</f>
        <v>7906800</v>
      </c>
      <c r="M27" s="69" cm="1">
        <f t="array" ref="M27">M26*MAX($K3:$K24)%</f>
        <v>7906800</v>
      </c>
      <c r="N27" s="69" cm="1">
        <f t="array" ref="N27">N26*MAX($K3:$K24)%</f>
        <v>7906800</v>
      </c>
    </row>
    <row r="28" ht="21" customHeight="1">
      <c r="A28" s="71"/>
      <c r="B28" s="71"/>
      <c r="C28" s="71"/>
      <c r="D28" s="72"/>
      <c r="E28" s="72"/>
      <c r="F28" s="72"/>
      <c r="G28" s="72"/>
      <c r="H28" s="72"/>
      <c r="I28" s="71"/>
      <c r="J28" s="73"/>
      <c r="K28" t="s" s="75">
        <v>42</v>
      </c>
      <c r="L28" s="76" cm="1">
        <f t="array" ref="L28">L25+L27</f>
        <v>79978288</v>
      </c>
      <c r="M28" s="69" cm="1">
        <f t="array" ref="M28">M25+M27</f>
        <v>79975000</v>
      </c>
      <c r="N28" s="69" cm="1">
        <f t="array" ref="N28">N25+N27</f>
        <v>79975000</v>
      </c>
    </row>
    <row r="29" ht="20.5" customHeight="1">
      <c r="A29" s="71"/>
      <c r="B29" s="71"/>
      <c r="C29" s="71"/>
      <c r="D29" s="72"/>
      <c r="E29" s="72"/>
      <c r="F29" s="72"/>
      <c r="G29" s="72"/>
      <c r="H29" s="72"/>
      <c r="I29" s="71"/>
      <c r="J29" s="73"/>
      <c r="K29" t="s" s="75">
        <v>43</v>
      </c>
      <c r="L29" s="68" cm="1">
        <f t="array" ref="L29">ROUNDDOWN(L28,-3)</f>
        <v>79978000</v>
      </c>
      <c r="M29" s="68" cm="1">
        <f t="array" ref="M29">ROUNDDOWN(M28,2)</f>
        <v>79975000</v>
      </c>
      <c r="N29" s="68" cm="1">
        <f t="array" ref="N29">ROUNDDOWN(N28,-3)</f>
        <v>79975000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71.xml><?xml version="1.0" encoding="utf-8"?>
<worksheet xmlns:r="http://schemas.openxmlformats.org/officeDocument/2006/relationships" xmlns="http://schemas.openxmlformats.org/spreadsheetml/2006/main">
  <sheetPr>
    <pageSetUpPr fitToPage="1"/>
  </sheetPr>
  <dimension ref="A1:N29"/>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7.17188" style="368" customWidth="1"/>
    <col min="2" max="2" width="43.0312" style="368" customWidth="1"/>
    <col min="3" max="3" width="2.75" style="368" customWidth="1"/>
    <col min="4" max="6" width="10.3672" style="368" customWidth="1"/>
    <col min="7" max="7" width="11.6875" style="368" customWidth="1"/>
    <col min="8" max="11" width="13.5156" style="368" customWidth="1"/>
    <col min="12" max="14" width="14.2344" style="368" customWidth="1"/>
    <col min="15" max="16384" width="16.3516" style="368"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t="s" s="90">
        <v>51</v>
      </c>
      <c r="B3" t="s" s="12">
        <v>52</v>
      </c>
      <c r="C3" s="13"/>
      <c r="D3" s="14"/>
      <c r="E3" s="14"/>
      <c r="F3" s="14"/>
      <c r="G3" s="15"/>
      <c r="H3" s="15"/>
      <c r="I3" s="15"/>
      <c r="J3" s="15"/>
      <c r="K3" s="15"/>
      <c r="L3" t="str" s="16" cm="1">
        <f t="array" ref="L3">IF(D3&gt;0,IF($D3&lt;=0,0,D3*H3),"")</f>
      </c>
      <c r="M3" t="str" s="16" cm="1">
        <f t="array" ref="M3">IF(E3&gt;0,IF($D3&lt;=0,0,ROUND(E3*I3,2)),"")</f>
      </c>
      <c r="N3" t="str" s="17" cm="1">
        <f t="array" ref="N3">IF(F3&gt;0,IF($D3&lt;=0,0,ROUND(F3*J3,2)),"")</f>
      </c>
    </row>
    <row r="4" ht="20.5" customHeight="1">
      <c r="A4" t="s" s="18">
        <v>53</v>
      </c>
      <c r="B4" t="s" s="19">
        <v>54</v>
      </c>
      <c r="C4" s="20"/>
      <c r="D4" s="21"/>
      <c r="E4" s="21"/>
      <c r="F4" s="21"/>
      <c r="G4" s="79"/>
      <c r="H4" s="21"/>
      <c r="I4" s="79"/>
      <c r="J4" s="21"/>
      <c r="K4" s="21"/>
      <c r="L4" t="str" s="79" cm="1">
        <f t="array" ref="L4">IF(D4&gt;0,IF($D4&lt;=0,0,D4*H4),"")</f>
      </c>
      <c r="M4" t="str" s="79" cm="1">
        <f t="array" ref="M4">IF(E4&gt;0,IF($D4&lt;=0,0,ROUND(E4*I4,2)),"")</f>
      </c>
      <c r="N4" t="str" s="91" cm="1">
        <f t="array" ref="N4">IF(F4&gt;0,IF($D4&lt;=0,0,ROUND(F4*J4,2)),"")</f>
      </c>
    </row>
    <row r="5" ht="20.5" customHeight="1">
      <c r="A5" s="92">
        <v>1</v>
      </c>
      <c r="B5" t="s" s="19">
        <v>55</v>
      </c>
      <c r="C5" s="24"/>
      <c r="D5" s="26">
        <v>5</v>
      </c>
      <c r="E5" s="26" cm="1">
        <f t="array" ref="E5">D5</f>
        <v>5</v>
      </c>
      <c r="F5" s="26" cm="1">
        <f t="array" ref="F5">D5</f>
        <v>5</v>
      </c>
      <c r="G5" t="s" s="27">
        <v>654</v>
      </c>
      <c r="H5" s="284">
        <v>6000000</v>
      </c>
      <c r="I5" s="284">
        <v>6000000</v>
      </c>
      <c r="J5" s="284">
        <v>6000000</v>
      </c>
      <c r="K5" s="26">
        <v>11</v>
      </c>
      <c r="L5" s="26" cm="1">
        <f t="array" ref="L5">IF(D5&gt;0,IF($D5&lt;=0,0,D5*H5),"")</f>
        <v>30000000</v>
      </c>
      <c r="M5" s="26" cm="1">
        <f t="array" ref="M5">IF(E5&gt;0,IF($D5&lt;=0,0,ROUND(E5*I5,2)),"")</f>
        <v>30000000</v>
      </c>
      <c r="N5" s="28" cm="1">
        <f t="array" ref="N5">IF(F5&gt;0,IF($D5&lt;=0,0,ROUND(F5*J5,2)),"")</f>
        <v>30000000</v>
      </c>
    </row>
    <row r="6" ht="20.5" customHeight="1">
      <c r="A6" s="366">
        <v>2</v>
      </c>
      <c r="B6" t="s" s="19">
        <v>655</v>
      </c>
      <c r="C6" s="20"/>
      <c r="D6" s="21">
        <v>5</v>
      </c>
      <c r="E6" s="21" cm="1">
        <f t="array" ref="E6">D6</f>
        <v>5</v>
      </c>
      <c r="F6" s="21" cm="1">
        <f t="array" ref="F6">D6</f>
        <v>5</v>
      </c>
      <c r="G6" t="s" s="22">
        <v>654</v>
      </c>
      <c r="H6" s="283">
        <v>2500000</v>
      </c>
      <c r="I6" s="283">
        <v>2500000</v>
      </c>
      <c r="J6" s="283">
        <v>2500000</v>
      </c>
      <c r="K6" s="21">
        <v>11</v>
      </c>
      <c r="L6" s="21" cm="1">
        <f t="array" ref="L6">IF(D6&gt;0,IF($D6&lt;=0,0,D6*H6),"")</f>
        <v>12500000</v>
      </c>
      <c r="M6" s="21" cm="1">
        <f t="array" ref="M6">IF(E6&gt;0,IF($D6&lt;=0,0,ROUND(E6*I6,2)),"")</f>
        <v>12500000</v>
      </c>
      <c r="N6" s="23" cm="1">
        <f t="array" ref="N6">IF(F6&gt;0,IF($D6&lt;=0,0,ROUND(F6*J6,2)),"")</f>
        <v>12500000</v>
      </c>
    </row>
    <row r="7" ht="20.5" customHeight="1">
      <c r="A7" t="s" s="93">
        <v>58</v>
      </c>
      <c r="B7" t="s" s="19">
        <v>59</v>
      </c>
      <c r="C7" s="24"/>
      <c r="D7" s="30"/>
      <c r="E7" s="26"/>
      <c r="F7" s="26"/>
      <c r="G7" s="30"/>
      <c r="H7" s="284"/>
      <c r="I7" s="284"/>
      <c r="J7" s="284"/>
      <c r="K7" s="26"/>
      <c r="L7" t="str" s="30" cm="1">
        <f t="array" ref="L7">IF(D7&gt;0,IF($D7&lt;=0,0,D7*H7),"")</f>
      </c>
      <c r="M7" t="str" s="30" cm="1">
        <f t="array" ref="M7">IF(E7&gt;0,IF($D7&lt;=0,0,ROUND(E7*I7,2)),"")</f>
      </c>
      <c r="N7" t="str" s="31" cm="1">
        <f t="array" ref="N7">IF(F7&gt;0,IF($D7&lt;=0,0,ROUND(F7*J7,2)),"")</f>
      </c>
    </row>
    <row r="8" ht="20.5" customHeight="1">
      <c r="A8" t="s" s="18">
        <v>53</v>
      </c>
      <c r="B8" t="s" s="19">
        <v>60</v>
      </c>
      <c r="C8" s="20"/>
      <c r="D8" s="79"/>
      <c r="E8" s="21"/>
      <c r="F8" s="21"/>
      <c r="G8" s="79"/>
      <c r="H8" s="283"/>
      <c r="I8" s="283"/>
      <c r="J8" s="283"/>
      <c r="K8" s="21"/>
      <c r="L8" t="str" s="79" cm="1">
        <f t="array" ref="L8">IF(D8&gt;0,IF($D8&lt;=0,0,D8*H8),"")</f>
      </c>
      <c r="M8" t="str" s="79" cm="1">
        <f t="array" ref="M8">IF(E8&gt;0,IF($D8&lt;=0,0,ROUND(E8*I8,2)),"")</f>
      </c>
      <c r="N8" t="str" s="91" cm="1">
        <f t="array" ref="N8">IF(F8&gt;0,IF($D8&lt;=0,0,ROUND(F8*J8,2)),"")</f>
      </c>
    </row>
    <row r="9" ht="20.5" customHeight="1">
      <c r="A9" s="94">
        <v>1</v>
      </c>
      <c r="B9" t="s" s="19">
        <v>61</v>
      </c>
      <c r="C9" s="24"/>
      <c r="D9" s="26">
        <v>5</v>
      </c>
      <c r="E9" s="26" cm="1">
        <f t="array" ref="E9">D9</f>
        <v>5</v>
      </c>
      <c r="F9" s="26" cm="1">
        <f t="array" ref="F9">D9</f>
        <v>5</v>
      </c>
      <c r="G9" t="s" s="27">
        <v>62</v>
      </c>
      <c r="H9" s="284">
        <v>400000</v>
      </c>
      <c r="I9" s="284">
        <v>400000</v>
      </c>
      <c r="J9" s="284">
        <v>400000</v>
      </c>
      <c r="K9" s="26">
        <v>11</v>
      </c>
      <c r="L9" s="26" cm="1">
        <f t="array" ref="L9">IF(D9&gt;0,IF($D9&lt;=0,0,D9*H9),"")</f>
        <v>2000000</v>
      </c>
      <c r="M9" s="26" cm="1">
        <f t="array" ref="M9">IF(E9&gt;0,IF($D9&lt;=0,0,ROUND(E9*I9,2)),"")</f>
        <v>2000000</v>
      </c>
      <c r="N9" s="28" cm="1">
        <f t="array" ref="N9">IF(F9&gt;0,IF($D9&lt;=0,0,ROUND(F9*J9,2)),"")</f>
        <v>2000000</v>
      </c>
    </row>
    <row r="10" ht="32.5" customHeight="1">
      <c r="A10" s="95">
        <v>2</v>
      </c>
      <c r="B10" t="s" s="19">
        <v>63</v>
      </c>
      <c r="C10" s="20"/>
      <c r="D10" s="21">
        <v>5</v>
      </c>
      <c r="E10" s="21" cm="1">
        <f t="array" ref="E10">D10</f>
        <v>5</v>
      </c>
      <c r="F10" s="21" cm="1">
        <f t="array" ref="F10">D10</f>
        <v>5</v>
      </c>
      <c r="G10" t="s" s="22">
        <v>515</v>
      </c>
      <c r="H10" s="283">
        <v>700000</v>
      </c>
      <c r="I10" s="283">
        <v>700000</v>
      </c>
      <c r="J10" s="283">
        <v>700000</v>
      </c>
      <c r="K10" s="21">
        <v>11</v>
      </c>
      <c r="L10" s="21" cm="1">
        <f t="array" ref="L10">IF(D10&gt;0,IF($D10&lt;=0,0,D10*H10),"")</f>
        <v>3500000</v>
      </c>
      <c r="M10" s="21" cm="1">
        <f t="array" ref="M10">IF(E10&gt;0,IF($D10&lt;=0,0,ROUND(E10*I10,2)),"")</f>
        <v>3500000</v>
      </c>
      <c r="N10" s="23" cm="1">
        <f t="array" ref="N10">IF(F10&gt;0,IF($D10&lt;=0,0,ROUND(F10*J10,2)),"")</f>
        <v>3500000</v>
      </c>
    </row>
    <row r="11" ht="20.5" customHeight="1">
      <c r="A11" s="95">
        <v>3</v>
      </c>
      <c r="B11" t="s" s="19">
        <v>65</v>
      </c>
      <c r="C11" s="24"/>
      <c r="D11" s="26">
        <v>5</v>
      </c>
      <c r="E11" s="26" cm="1">
        <f t="array" ref="E11">D11</f>
        <v>5</v>
      </c>
      <c r="F11" s="26" cm="1">
        <f t="array" ref="F11">D11</f>
        <v>5</v>
      </c>
      <c r="G11" t="s" s="27">
        <v>62</v>
      </c>
      <c r="H11" s="284">
        <v>700000</v>
      </c>
      <c r="I11" s="284">
        <v>700000</v>
      </c>
      <c r="J11" s="284">
        <v>700000</v>
      </c>
      <c r="K11" s="26">
        <v>11</v>
      </c>
      <c r="L11" s="26" cm="1">
        <f t="array" ref="L11">IF(D11&gt;0,IF($D11&lt;=0,0,D11*H11),"")</f>
        <v>3500000</v>
      </c>
      <c r="M11" s="26" cm="1">
        <f t="array" ref="M11">IF(E11&gt;0,IF($D11&lt;=0,0,ROUND(E11*I11,2)),"")</f>
        <v>3500000</v>
      </c>
      <c r="N11" s="28" cm="1">
        <f t="array" ref="N11">IF(F11&gt;0,IF($D11&lt;=0,0,ROUND(F11*J11,2)),"")</f>
        <v>3500000</v>
      </c>
    </row>
    <row r="12" ht="20.5" customHeight="1">
      <c r="A12" s="94"/>
      <c r="B12" t="s" s="19">
        <v>66</v>
      </c>
      <c r="C12" s="20"/>
      <c r="D12" s="79"/>
      <c r="E12" s="21"/>
      <c r="F12" s="21"/>
      <c r="G12" s="79"/>
      <c r="H12" s="283"/>
      <c r="I12" s="283"/>
      <c r="J12" s="283"/>
      <c r="K12" s="21"/>
      <c r="L12" t="str" s="79" cm="1">
        <f t="array" ref="L12">IF(D12&gt;0,IF($D12&lt;=0,0,D12*H12),"")</f>
      </c>
      <c r="M12" t="str" s="79" cm="1">
        <f t="array" ref="M12">IF(E12&gt;0,IF($D12&lt;=0,0,ROUND(E12*I12,2)),"")</f>
      </c>
      <c r="N12" t="str" s="91" cm="1">
        <f t="array" ref="N12">IF(F12&gt;0,IF($D12&lt;=0,0,ROUND(F12*J12,2)),"")</f>
      </c>
    </row>
    <row r="13" ht="20.5" customHeight="1">
      <c r="A13" s="94">
        <v>4</v>
      </c>
      <c r="B13" t="s" s="19">
        <v>67</v>
      </c>
      <c r="C13" s="24"/>
      <c r="D13" s="26">
        <v>2</v>
      </c>
      <c r="E13" s="26" cm="1">
        <f t="array" ref="E13">D13</f>
        <v>2</v>
      </c>
      <c r="F13" s="26" cm="1">
        <f t="array" ref="F13">D13</f>
        <v>2</v>
      </c>
      <c r="G13" t="s" s="27">
        <v>19</v>
      </c>
      <c r="H13" s="284">
        <v>140000</v>
      </c>
      <c r="I13" s="284">
        <v>140000</v>
      </c>
      <c r="J13" s="284">
        <v>140000</v>
      </c>
      <c r="K13" s="26">
        <v>11</v>
      </c>
      <c r="L13" s="26" cm="1">
        <f t="array" ref="L13">IF(D13&gt;0,IF($D13&lt;=0,0,D13*H13),"")</f>
        <v>280000</v>
      </c>
      <c r="M13" s="26" cm="1">
        <f t="array" ref="M13">IF(E13&gt;0,IF($D13&lt;=0,0,ROUND(E13*I13,2)),"")</f>
        <v>280000</v>
      </c>
      <c r="N13" s="28" cm="1">
        <f t="array" ref="N13">IF(F13&gt;0,IF($D13&lt;=0,0,ROUND(F13*J13,2)),"")</f>
        <v>280000</v>
      </c>
    </row>
    <row r="14" ht="20.5" customHeight="1">
      <c r="A14" s="94">
        <v>5</v>
      </c>
      <c r="B14" t="s" s="19">
        <v>69</v>
      </c>
      <c r="C14" s="20"/>
      <c r="D14" s="21">
        <v>2</v>
      </c>
      <c r="E14" s="21" cm="1">
        <f t="array" ref="E14">D14</f>
        <v>2</v>
      </c>
      <c r="F14" s="21" cm="1">
        <f t="array" ref="F14">D14</f>
        <v>2</v>
      </c>
      <c r="G14" t="s" s="22">
        <v>19</v>
      </c>
      <c r="H14" s="283">
        <v>350000</v>
      </c>
      <c r="I14" s="283">
        <v>350000</v>
      </c>
      <c r="J14" s="283">
        <v>350000</v>
      </c>
      <c r="K14" s="21">
        <v>11</v>
      </c>
      <c r="L14" s="21" cm="1">
        <f t="array" ref="L14">IF(D14&gt;0,IF($D14&lt;=0,0,D14*H14),"")</f>
        <v>700000</v>
      </c>
      <c r="M14" s="21" cm="1">
        <f t="array" ref="M14">IF(E14&gt;0,IF($D14&lt;=0,0,ROUND(E14*I14,2)),"")</f>
        <v>700000</v>
      </c>
      <c r="N14" s="23" cm="1">
        <f t="array" ref="N14">IF(F14&gt;0,IF($D14&lt;=0,0,ROUND(F14*J14,2)),"")</f>
        <v>700000</v>
      </c>
    </row>
    <row r="15" ht="20.5" customHeight="1">
      <c r="A15" s="29"/>
      <c r="B15" t="s" s="19">
        <v>70</v>
      </c>
      <c r="C15" s="24"/>
      <c r="D15" s="30"/>
      <c r="E15" s="26"/>
      <c r="F15" s="26"/>
      <c r="G15" s="30"/>
      <c r="H15" s="284"/>
      <c r="I15" s="284"/>
      <c r="J15" s="284"/>
      <c r="K15" s="26"/>
      <c r="L15" t="str" s="30" cm="1">
        <f t="array" ref="L15">IF(D15&gt;0,IF($D15&lt;=0,0,D15*H15),"")</f>
      </c>
      <c r="M15" t="str" s="30" cm="1">
        <f t="array" ref="M15">IF(E15&gt;0,IF($D15&lt;=0,0,ROUND(E15*I15,2)),"")</f>
      </c>
      <c r="N15" t="str" s="31" cm="1">
        <f t="array" ref="N15">IF(F15&gt;0,IF($D15&lt;=0,0,ROUND(F15*J15,2)),"")</f>
      </c>
    </row>
    <row r="16" ht="20.5" customHeight="1">
      <c r="A16" t="s" s="18">
        <v>71</v>
      </c>
      <c r="B16" t="s" s="19">
        <v>656</v>
      </c>
      <c r="C16" s="20"/>
      <c r="D16" s="21">
        <v>5</v>
      </c>
      <c r="E16" s="21" cm="1">
        <f t="array" ref="E16">D16</f>
        <v>5</v>
      </c>
      <c r="F16" s="21" cm="1">
        <f t="array" ref="F16">D16</f>
        <v>5</v>
      </c>
      <c r="G16" t="s" s="22">
        <v>73</v>
      </c>
      <c r="H16" s="283">
        <v>800000</v>
      </c>
      <c r="I16" s="283">
        <v>800000</v>
      </c>
      <c r="J16" s="283">
        <v>800000</v>
      </c>
      <c r="K16" s="21">
        <v>11</v>
      </c>
      <c r="L16" s="21" cm="1">
        <f t="array" ref="L16">IF(D16&gt;0,IF($D16&lt;=0,0,D16*H16),"")</f>
        <v>4000000</v>
      </c>
      <c r="M16" s="21" cm="1">
        <f t="array" ref="M16">IF(E16&gt;0,IF($D16&lt;=0,0,ROUND(E16*I16,2)),"")</f>
        <v>4000000</v>
      </c>
      <c r="N16" s="23" cm="1">
        <f t="array" ref="N16">IF(F16&gt;0,IF($D16&lt;=0,0,ROUND(F16*J16,2)),"")</f>
        <v>4000000</v>
      </c>
    </row>
    <row r="17" ht="20.5" customHeight="1">
      <c r="A17" s="29"/>
      <c r="B17" t="s" s="19">
        <v>550</v>
      </c>
      <c r="C17" s="24"/>
      <c r="D17" s="30"/>
      <c r="E17" s="26"/>
      <c r="F17" s="26"/>
      <c r="G17" s="30"/>
      <c r="H17" s="284"/>
      <c r="I17" s="284"/>
      <c r="J17" s="284"/>
      <c r="K17" s="26"/>
      <c r="L17" t="str" s="30" cm="1">
        <f t="array" ref="L17">IF(D17&gt;0,IF($D17&lt;=0,0,D17*H17),"")</f>
      </c>
      <c r="M17" t="str" s="30" cm="1">
        <f t="array" ref="M17">IF(E17&gt;0,IF($D17&lt;=0,0,ROUND(E17*I17,2)),"")</f>
      </c>
      <c r="N17" t="str" s="31" cm="1">
        <f t="array" ref="N17">IF(F17&gt;0,IF($D17&lt;=0,0,ROUND(F17*J17,2)),"")</f>
      </c>
    </row>
    <row r="18" ht="20.5" customHeight="1">
      <c r="A18" s="95">
        <v>6</v>
      </c>
      <c r="B18" t="s" s="19">
        <v>74</v>
      </c>
      <c r="C18" s="20"/>
      <c r="D18" s="21">
        <v>3</v>
      </c>
      <c r="E18" s="21" cm="1">
        <f t="array" ref="E18">D18</f>
        <v>3</v>
      </c>
      <c r="F18" s="21" cm="1">
        <f t="array" ref="F18">D18</f>
        <v>3</v>
      </c>
      <c r="G18" t="s" s="22">
        <v>75</v>
      </c>
      <c r="H18" s="283">
        <v>200000</v>
      </c>
      <c r="I18" s="283">
        <v>200000</v>
      </c>
      <c r="J18" s="283">
        <v>200000</v>
      </c>
      <c r="K18" s="21">
        <v>11</v>
      </c>
      <c r="L18" s="21" cm="1">
        <f t="array" ref="L18">IF(D18&gt;0,IF($D18&lt;=0,0,D18*H18),"")</f>
        <v>600000</v>
      </c>
      <c r="M18" s="21" cm="1">
        <f t="array" ref="M18">IF(E18&gt;0,IF($D18&lt;=0,0,ROUND(E18*I18,2)),"")</f>
        <v>600000</v>
      </c>
      <c r="N18" s="23" cm="1">
        <f t="array" ref="N18">IF(F18&gt;0,IF($D18&lt;=0,0,ROUND(F18*J18,2)),"")</f>
        <v>600000</v>
      </c>
    </row>
    <row r="19" ht="20.5" customHeight="1">
      <c r="A19" s="95">
        <v>7</v>
      </c>
      <c r="B19" t="s" s="19">
        <v>76</v>
      </c>
      <c r="C19" s="24"/>
      <c r="D19" s="26">
        <v>3</v>
      </c>
      <c r="E19" s="26" cm="1">
        <f t="array" ref="E19">D19</f>
        <v>3</v>
      </c>
      <c r="F19" s="26" cm="1">
        <f t="array" ref="F19">D19</f>
        <v>3</v>
      </c>
      <c r="G19" t="s" s="27">
        <v>75</v>
      </c>
      <c r="H19" s="284">
        <v>150000</v>
      </c>
      <c r="I19" s="284">
        <v>150000</v>
      </c>
      <c r="J19" s="284">
        <v>150000</v>
      </c>
      <c r="K19" s="26">
        <v>11</v>
      </c>
      <c r="L19" s="26" cm="1">
        <f t="array" ref="L19">IF(D19&gt;0,IF($D19&lt;=0,0,D19*H19),"")</f>
        <v>450000</v>
      </c>
      <c r="M19" s="26" cm="1">
        <f t="array" ref="M19">IF(E19&gt;0,IF($D19&lt;=0,0,ROUND(E19*I19,2)),"")</f>
        <v>450000</v>
      </c>
      <c r="N19" s="28" cm="1">
        <f t="array" ref="N19">IF(F19&gt;0,IF($D19&lt;=0,0,ROUND(F19*J19,2)),"")</f>
        <v>450000</v>
      </c>
    </row>
    <row r="20" ht="20.5" customHeight="1">
      <c r="A20" s="95">
        <v>8</v>
      </c>
      <c r="B20" t="s" s="19">
        <v>77</v>
      </c>
      <c r="C20" s="20"/>
      <c r="D20" s="21">
        <v>3</v>
      </c>
      <c r="E20" s="21" cm="1">
        <f t="array" ref="E20">D20</f>
        <v>3</v>
      </c>
      <c r="F20" s="21" cm="1">
        <f t="array" ref="F20">D20</f>
        <v>3</v>
      </c>
      <c r="G20" t="s" s="22">
        <v>75</v>
      </c>
      <c r="H20" s="283">
        <v>200000</v>
      </c>
      <c r="I20" s="283">
        <v>200000</v>
      </c>
      <c r="J20" s="283">
        <v>200000</v>
      </c>
      <c r="K20" s="21">
        <v>11</v>
      </c>
      <c r="L20" s="21" cm="1">
        <f t="array" ref="L20">IF(D20&gt;0,IF($D20&lt;=0,0,D20*H20),"")</f>
        <v>600000</v>
      </c>
      <c r="M20" s="21" cm="1">
        <f t="array" ref="M20">IF(E20&gt;0,IF($D20&lt;=0,0,ROUND(E20*I20,2)),"")</f>
        <v>600000</v>
      </c>
      <c r="N20" s="23" cm="1">
        <f t="array" ref="N20">IF(F20&gt;0,IF($D20&lt;=0,0,ROUND(F20*J20,2)),"")</f>
        <v>600000</v>
      </c>
    </row>
    <row r="21" ht="20.5" customHeight="1">
      <c r="A21" s="95">
        <v>9</v>
      </c>
      <c r="B21" t="s" s="19">
        <v>657</v>
      </c>
      <c r="C21" s="24"/>
      <c r="D21" s="26">
        <v>1</v>
      </c>
      <c r="E21" s="26" cm="1">
        <f t="array" ref="E21">D21</f>
        <v>1</v>
      </c>
      <c r="F21" s="26" cm="1">
        <f t="array" ref="F21">D21</f>
        <v>1</v>
      </c>
      <c r="G21" t="s" s="27">
        <v>79</v>
      </c>
      <c r="H21" s="284">
        <v>250000</v>
      </c>
      <c r="I21" s="284">
        <v>250000</v>
      </c>
      <c r="J21" s="284">
        <v>250000</v>
      </c>
      <c r="K21" s="26">
        <v>11</v>
      </c>
      <c r="L21" s="26" cm="1">
        <f t="array" ref="L21">IF(D21&gt;0,IF($D21&lt;=0,0,D21*H21),"")</f>
        <v>250000</v>
      </c>
      <c r="M21" s="26" cm="1">
        <f t="array" ref="M21">IF(E21&gt;0,IF($D21&lt;=0,0,ROUND(E21*I21,2)),"")</f>
        <v>250000</v>
      </c>
      <c r="N21" s="28" cm="1">
        <f t="array" ref="N21">IF(F21&gt;0,IF($D21&lt;=0,0,ROUND(F21*J21,2)),"")</f>
        <v>250000</v>
      </c>
    </row>
    <row r="22" ht="20.5" customHeight="1">
      <c r="A22" t="s" s="18">
        <v>80</v>
      </c>
      <c r="B22" t="s" s="19">
        <v>81</v>
      </c>
      <c r="C22" s="20"/>
      <c r="D22" s="79"/>
      <c r="E22" s="21"/>
      <c r="F22" s="21"/>
      <c r="G22" s="79"/>
      <c r="H22" s="283"/>
      <c r="I22" s="283"/>
      <c r="J22" s="283"/>
      <c r="K22" s="21"/>
      <c r="L22" t="str" s="79" cm="1">
        <f t="array" ref="L22">IF(D22&gt;0,IF($D22&lt;=0,0,D22*H22),"")</f>
      </c>
      <c r="M22" t="str" s="79" cm="1">
        <f t="array" ref="M22">IF(E22&gt;0,IF($D22&lt;=0,0,ROUND(E22*I22,2)),"")</f>
      </c>
      <c r="N22" t="str" s="91" cm="1">
        <f t="array" ref="N22">IF(F22&gt;0,IF($D22&lt;=0,0,ROUND(F22*J22,2)),"")</f>
      </c>
    </row>
    <row r="23" ht="20.5" customHeight="1">
      <c r="A23" s="29"/>
      <c r="B23" t="s" s="19">
        <v>82</v>
      </c>
      <c r="C23" s="24"/>
      <c r="D23" s="26">
        <v>1</v>
      </c>
      <c r="E23" s="26" cm="1">
        <f t="array" ref="E23">D23</f>
        <v>1</v>
      </c>
      <c r="F23" s="26" cm="1">
        <f t="array" ref="F23">D23</f>
        <v>1</v>
      </c>
      <c r="G23" t="s" s="27">
        <v>19</v>
      </c>
      <c r="H23" s="284">
        <v>155524</v>
      </c>
      <c r="I23" s="284">
        <v>155200</v>
      </c>
      <c r="J23" s="284">
        <v>155200</v>
      </c>
      <c r="K23" s="26">
        <v>0</v>
      </c>
      <c r="L23" s="26" cm="1">
        <f t="array" ref="L23">IF(D23&gt;0,IF($D23&lt;=0,0,D23*H23),"")</f>
        <v>155524</v>
      </c>
      <c r="M23" s="26" cm="1">
        <f t="array" ref="M23">IF(E23&gt;0,IF($D23&lt;=0,0,ROUND(E23*I23,2)),"")</f>
        <v>155200</v>
      </c>
      <c r="N23" s="28" cm="1">
        <f t="array" ref="N23">IF(F23&gt;0,IF($D23&lt;=0,0,ROUND(F23*J23,2)),"")</f>
        <v>155200</v>
      </c>
    </row>
    <row r="24" ht="20.6" customHeight="1">
      <c r="A24" s="96"/>
      <c r="B24" s="97"/>
      <c r="C24" s="35"/>
      <c r="D24" s="36"/>
      <c r="E24" s="36"/>
      <c r="F24" s="36"/>
      <c r="G24" s="101"/>
      <c r="H24" s="36"/>
      <c r="I24" s="36"/>
      <c r="J24" s="36"/>
      <c r="K24" s="36"/>
      <c r="L24" t="str" s="101" cm="1">
        <f t="array" ref="L24">IF(D24&gt;0,IF($D24&lt;=0,0,D24*H24),"")</f>
      </c>
      <c r="M24" t="str" s="101" cm="1">
        <f t="array" ref="M24">IF(E24&gt;0,IF($D24&lt;=0,0,ROUND(E24*I24,2)),"")</f>
      </c>
      <c r="N24" t="str" s="102" cm="1">
        <f t="array" ref="N24">IF(F24&gt;0,IF($D24&lt;=0,0,ROUND(F24*J24,2)),"")</f>
      </c>
    </row>
    <row r="25" ht="20.85" customHeight="1">
      <c r="A25" s="54"/>
      <c r="B25" s="54"/>
      <c r="C25" s="54"/>
      <c r="D25" s="55"/>
      <c r="E25" s="55"/>
      <c r="F25" s="55"/>
      <c r="G25" s="56"/>
      <c r="H25" s="56"/>
      <c r="I25" s="54"/>
      <c r="J25" s="57"/>
      <c r="K25" t="s" s="58">
        <v>38</v>
      </c>
      <c r="L25" s="59" cm="1">
        <f t="array" ref="L25">SUM(L1:L24)</f>
        <v>58535524</v>
      </c>
      <c r="M25" s="59" cm="1">
        <f t="array" ref="M25">SUM(M1:M24)</f>
        <v>58535200</v>
      </c>
      <c r="N25" s="59" cm="1">
        <f t="array" ref="N25">SUM(N1:N24)</f>
        <v>58535200</v>
      </c>
    </row>
    <row r="26" ht="21" customHeight="1">
      <c r="A26" s="62"/>
      <c r="B26" t="s" s="61">
        <v>39</v>
      </c>
      <c r="C26" s="62"/>
      <c r="D26" s="63" cm="1">
        <f t="array" ref="D26">ROUND(IF(L26&lt;=100000000,L26*0.24%,IF(AND(L26&gt;100000000,L26&lt;=500000000),100000000*0.24%+(L26-100000000)*0.19%,IF(AND(L26&gt;500000000,L26&lt;=1000000000),100000000*0.24%+400000000*0.19%+(L26-500000000)*0.15%,IF(AND(L26&gt;1000000000,L26&lt;=5000000000),100000000*0.24%+400000000*0.19%+500000000*0.15%+(L26-1000000000)*0.12%,IF(L26&gt;5000000000,100000000*0.24%+400000000*0.19%+500000000*0.15%+4000000000*0.12%+(L26-5000000000)*0.1%,"Bingung komputer"))))),2)</f>
        <v>140112</v>
      </c>
      <c r="E26" s="64" cm="1">
        <f t="array" ref="E26">ROUND(IF(M26&lt;=100000000,M26*0.24%,IF(AND(M26&gt;100000000,M26&lt;=500000000),100000000*0.24%+(M26-100000000)*0.19%,IF(AND(M26&gt;500000000,M26&lt;=1000000000),100000000*0.24%+400000000*0.19%+(M26-500000000)*0.15%,IF(AND(M26&gt;1000000000,M26&lt;=5000000000),100000000*0.24%+400000000*0.19%+500000000*0.15%+(M26-1000000000)*0.12%,IF(M26&gt;5000000000,100000000*0.24%+400000000*0.19%+500000000*0.15%+4000000000*0.12%+(M26-5000000000)*0.1%,"Bingung komputer"))))),2)</f>
        <v>140112</v>
      </c>
      <c r="F26" s="64" cm="1">
        <f t="array" ref="F26">ROUND(IF(N26&lt;=100000000,N26*0.24%,IF(AND(N26&gt;100000000,N26&lt;=500000000),100000000*0.24%+(N26-100000000)*0.19%,IF(AND(N26&gt;500000000,N26&lt;=1000000000),100000000*0.24%+400000000*0.19%+(N26-500000000)*0.15%,IF(AND(N26&gt;1000000000,N26&lt;=5000000000),100000000*0.24%+400000000*0.19%+500000000*0.15%+(N26-1000000000)*0.12%,IF(N26&gt;5000000000,100000000*0.24%+400000000*0.19%+500000000*0.15%+4000000000*0.12%+(N26-5000000000)*0.1%,"Bingung komputer"))))),2)</f>
        <v>140112</v>
      </c>
      <c r="G26" s="65"/>
      <c r="H26" s="66"/>
      <c r="I26" s="62"/>
      <c r="J26" s="67"/>
      <c r="K26" t="str" s="67" cm="1">
        <f t="array" ref="K26">"Jumlah Terkena Pajak "&amp;MAX(K3:K24)&amp;"% (B)"</f>
        <v>Jumlah Terkena Pajak 11,00% (B)</v>
      </c>
      <c r="L26" s="69" cm="1">
        <f t="array" ref="L26">SUMIF($K3:$K24,"&gt;0",L3:L24)</f>
        <v>58380000</v>
      </c>
      <c r="M26" s="69" cm="1">
        <f t="array" ref="M26">SUMIF($K3:$K24,"&gt;0",M3:M24)</f>
        <v>58380000</v>
      </c>
      <c r="N26" s="69" cm="1">
        <f t="array" ref="N26">SUMIF($K3:$K24,"&gt;0",N3:N24)</f>
        <v>58380000</v>
      </c>
    </row>
    <row r="27" ht="21" customHeight="1">
      <c r="A27" s="71"/>
      <c r="B27" s="71"/>
      <c r="C27" s="71"/>
      <c r="D27" s="72"/>
      <c r="E27" s="72"/>
      <c r="F27" s="71"/>
      <c r="G27" s="72"/>
      <c r="H27" s="72"/>
      <c r="I27" s="71"/>
      <c r="J27" s="73"/>
      <c r="K27" t="str" s="73" cm="1">
        <f t="array" ref="K27">"PPN (C) = "&amp;MAX(K3:K24)&amp;"% x B"</f>
        <v>PPN (C) = 11,00% x B</v>
      </c>
      <c r="L27" s="68" cm="1">
        <f t="array" ref="L27">L26*MAX($K3:$K24)%</f>
        <v>6421800</v>
      </c>
      <c r="M27" s="69" cm="1">
        <f t="array" ref="M27">M26*MAX($K3:$K24)%</f>
        <v>6421800</v>
      </c>
      <c r="N27" s="69" cm="1">
        <f t="array" ref="N27">N26*MAX($K3:$K24)%</f>
        <v>6421800</v>
      </c>
    </row>
    <row r="28" ht="21" customHeight="1">
      <c r="A28" s="71"/>
      <c r="B28" s="71"/>
      <c r="C28" s="71"/>
      <c r="D28" s="72"/>
      <c r="E28" s="72"/>
      <c r="F28" s="72"/>
      <c r="G28" s="72"/>
      <c r="H28" s="72"/>
      <c r="I28" s="71"/>
      <c r="J28" s="73"/>
      <c r="K28" t="s" s="75">
        <v>42</v>
      </c>
      <c r="L28" s="76" cm="1">
        <f t="array" ref="L28">L25+L27</f>
        <v>64957324</v>
      </c>
      <c r="M28" s="69" cm="1">
        <f t="array" ref="M28">M25+M27</f>
        <v>64957000</v>
      </c>
      <c r="N28" s="69" cm="1">
        <f t="array" ref="N28">N25+N27</f>
        <v>64957000</v>
      </c>
    </row>
    <row r="29" ht="20.5" customHeight="1">
      <c r="A29" s="71"/>
      <c r="B29" s="71"/>
      <c r="C29" s="71"/>
      <c r="D29" s="72"/>
      <c r="E29" s="72"/>
      <c r="F29" s="72"/>
      <c r="G29" s="72"/>
      <c r="H29" s="72"/>
      <c r="I29" s="71"/>
      <c r="J29" s="73"/>
      <c r="K29" t="s" s="75">
        <v>43</v>
      </c>
      <c r="L29" s="68" cm="1">
        <f t="array" ref="L29">ROUNDDOWN(L28,-3)</f>
        <v>64957000</v>
      </c>
      <c r="M29" s="68" cm="1">
        <f t="array" ref="M29">ROUNDDOWN(M28,2)</f>
        <v>64957000</v>
      </c>
      <c r="N29" s="68" cm="1">
        <f t="array" ref="N29">ROUNDDOWN(N28,-3)</f>
        <v>64957000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72.xml><?xml version="1.0" encoding="utf-8"?>
<worksheet xmlns:r="http://schemas.openxmlformats.org/officeDocument/2006/relationships" xmlns="http://schemas.openxmlformats.org/spreadsheetml/2006/main">
  <sheetPr>
    <pageSetUpPr fitToPage="1"/>
  </sheetPr>
  <dimension ref="A1:N29"/>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7.17188" style="369" customWidth="1"/>
    <col min="2" max="2" width="43.0312" style="369" customWidth="1"/>
    <col min="3" max="3" width="2.75" style="369" customWidth="1"/>
    <col min="4" max="6" width="10.3672" style="369" customWidth="1"/>
    <col min="7" max="7" width="11.6875" style="369" customWidth="1"/>
    <col min="8" max="11" width="13.5156" style="369" customWidth="1"/>
    <col min="12" max="14" width="14.2344" style="369" customWidth="1"/>
    <col min="15" max="16384" width="16.3516" style="369" customWidth="1"/>
  </cols>
  <sheetData>
    <row r="1" ht="20.5" customHeight="1">
      <c r="A1" t="s" s="7">
        <v>6</v>
      </c>
      <c r="B1" t="s" s="7">
        <v>7</v>
      </c>
      <c r="C1" s="8"/>
      <c r="D1" t="s" s="7">
        <v>8</v>
      </c>
      <c r="E1" s="8"/>
      <c r="F1" s="8"/>
      <c r="G1" t="s" s="7">
        <v>9</v>
      </c>
      <c r="H1" t="s" s="7">
        <v>10</v>
      </c>
      <c r="I1" s="8"/>
      <c r="J1" s="8"/>
      <c r="K1" t="s" s="7">
        <v>11</v>
      </c>
      <c r="L1" t="s" s="7">
        <v>12</v>
      </c>
      <c r="M1" s="8"/>
      <c r="N1" s="8"/>
    </row>
    <row r="2" ht="20.85" customHeight="1">
      <c r="A2" s="9"/>
      <c r="B2" s="9"/>
      <c r="C2" s="9"/>
      <c r="D2" t="s" s="10">
        <v>13</v>
      </c>
      <c r="E2" t="s" s="10">
        <v>14</v>
      </c>
      <c r="F2" t="s" s="10">
        <v>15</v>
      </c>
      <c r="G2" s="9"/>
      <c r="H2" t="s" s="10">
        <v>13</v>
      </c>
      <c r="I2" t="s" s="10">
        <v>14</v>
      </c>
      <c r="J2" t="s" s="10">
        <v>15</v>
      </c>
      <c r="K2" s="9"/>
      <c r="L2" t="s" s="10">
        <v>13</v>
      </c>
      <c r="M2" t="s" s="10">
        <v>14</v>
      </c>
      <c r="N2" t="s" s="10">
        <v>15</v>
      </c>
    </row>
    <row r="3" ht="20.6" customHeight="1">
      <c r="A3" t="s" s="90">
        <v>51</v>
      </c>
      <c r="B3" t="s" s="12">
        <v>52</v>
      </c>
      <c r="C3" s="13"/>
      <c r="D3" s="14"/>
      <c r="E3" s="14"/>
      <c r="F3" s="14"/>
      <c r="G3" s="15"/>
      <c r="H3" s="15"/>
      <c r="I3" s="15"/>
      <c r="J3" s="15"/>
      <c r="K3" s="15"/>
      <c r="L3" t="str" s="16" cm="1">
        <f t="array" ref="L3">IF(D3&gt;0,IF($D3&lt;=0,0,D3*H3),"")</f>
      </c>
      <c r="M3" t="str" s="16" cm="1">
        <f t="array" ref="M3">IF(E3&gt;0,IF($D3&lt;=0,0,ROUND(E3*I3,2)),"")</f>
      </c>
      <c r="N3" t="str" s="17" cm="1">
        <f t="array" ref="N3">IF(F3&gt;0,IF($D3&lt;=0,0,ROUND(F3*J3,2)),"")</f>
      </c>
    </row>
    <row r="4" ht="20.5" customHeight="1">
      <c r="A4" t="s" s="18">
        <v>53</v>
      </c>
      <c r="B4" t="s" s="19">
        <v>54</v>
      </c>
      <c r="C4" s="20"/>
      <c r="D4" s="21"/>
      <c r="E4" s="21"/>
      <c r="F4" s="21"/>
      <c r="G4" s="79"/>
      <c r="H4" s="21"/>
      <c r="I4" s="79"/>
      <c r="J4" s="21"/>
      <c r="K4" s="21"/>
      <c r="L4" t="str" s="79" cm="1">
        <f t="array" ref="L4">IF(D4&gt;0,IF($D4&lt;=0,0,D4*H4),"")</f>
      </c>
      <c r="M4" t="str" s="79" cm="1">
        <f t="array" ref="M4">IF(E4&gt;0,IF($D4&lt;=0,0,ROUND(E4*I4,2)),"")</f>
      </c>
      <c r="N4" t="str" s="91" cm="1">
        <f t="array" ref="N4">IF(F4&gt;0,IF($D4&lt;=0,0,ROUND(F4*J4,2)),"")</f>
      </c>
    </row>
    <row r="5" ht="20.5" customHeight="1">
      <c r="A5" s="92">
        <v>1</v>
      </c>
      <c r="B5" t="s" s="19">
        <v>55</v>
      </c>
      <c r="C5" s="24"/>
      <c r="D5" s="26">
        <v>5</v>
      </c>
      <c r="E5" s="26" cm="1">
        <f t="array" ref="E5">D5</f>
        <v>5</v>
      </c>
      <c r="F5" s="26" cm="1">
        <f t="array" ref="F5">D5</f>
        <v>5</v>
      </c>
      <c r="G5" t="s" s="27">
        <v>654</v>
      </c>
      <c r="H5" s="284">
        <v>5500000</v>
      </c>
      <c r="I5" s="284">
        <v>5500000</v>
      </c>
      <c r="J5" s="284">
        <v>5500000</v>
      </c>
      <c r="K5" s="26">
        <v>11</v>
      </c>
      <c r="L5" s="26" cm="1">
        <f t="array" ref="L5">IF(D5&gt;0,IF($D5&lt;=0,0,D5*H5),"")</f>
        <v>27500000</v>
      </c>
      <c r="M5" s="26" cm="1">
        <f t="array" ref="M5">IF(E5&gt;0,IF($D5&lt;=0,0,ROUND(E5*I5,2)),"")</f>
        <v>27500000</v>
      </c>
      <c r="N5" s="28" cm="1">
        <f t="array" ref="N5">IF(F5&gt;0,IF($D5&lt;=0,0,ROUND(F5*J5,2)),"")</f>
        <v>27500000</v>
      </c>
    </row>
    <row r="6" ht="20.5" customHeight="1">
      <c r="A6" s="366">
        <v>2</v>
      </c>
      <c r="B6" t="s" s="19">
        <v>655</v>
      </c>
      <c r="C6" s="20"/>
      <c r="D6" s="21">
        <v>5</v>
      </c>
      <c r="E6" s="21" cm="1">
        <f t="array" ref="E6">D6</f>
        <v>5</v>
      </c>
      <c r="F6" s="21" cm="1">
        <f t="array" ref="F6">D6</f>
        <v>5</v>
      </c>
      <c r="G6" t="s" s="22">
        <v>654</v>
      </c>
      <c r="H6" s="283">
        <v>2500000</v>
      </c>
      <c r="I6" s="283">
        <v>2500000</v>
      </c>
      <c r="J6" s="283">
        <v>2500000</v>
      </c>
      <c r="K6" s="21">
        <v>11</v>
      </c>
      <c r="L6" s="21" cm="1">
        <f t="array" ref="L6">IF(D6&gt;0,IF($D6&lt;=0,0,D6*H6),"")</f>
        <v>12500000</v>
      </c>
      <c r="M6" s="21" cm="1">
        <f t="array" ref="M6">IF(E6&gt;0,IF($D6&lt;=0,0,ROUND(E6*I6,2)),"")</f>
        <v>12500000</v>
      </c>
      <c r="N6" s="23" cm="1">
        <f t="array" ref="N6">IF(F6&gt;0,IF($D6&lt;=0,0,ROUND(F6*J6,2)),"")</f>
        <v>12500000</v>
      </c>
    </row>
    <row r="7" ht="20.5" customHeight="1">
      <c r="A7" t="s" s="93">
        <v>58</v>
      </c>
      <c r="B7" t="s" s="19">
        <v>59</v>
      </c>
      <c r="C7" s="24"/>
      <c r="D7" s="30"/>
      <c r="E7" s="26"/>
      <c r="F7" s="26"/>
      <c r="G7" s="30"/>
      <c r="H7" s="284"/>
      <c r="I7" s="284"/>
      <c r="J7" s="284"/>
      <c r="K7" s="26"/>
      <c r="L7" t="str" s="30" cm="1">
        <f t="array" ref="L7">IF(D7&gt;0,IF($D7&lt;=0,0,D7*H7),"")</f>
      </c>
      <c r="M7" t="str" s="30" cm="1">
        <f t="array" ref="M7">IF(E7&gt;0,IF($D7&lt;=0,0,ROUND(E7*I7,2)),"")</f>
      </c>
      <c r="N7" t="str" s="31" cm="1">
        <f t="array" ref="N7">IF(F7&gt;0,IF($D7&lt;=0,0,ROUND(F7*J7,2)),"")</f>
      </c>
    </row>
    <row r="8" ht="20.5" customHeight="1">
      <c r="A8" t="s" s="18">
        <v>53</v>
      </c>
      <c r="B8" t="s" s="19">
        <v>60</v>
      </c>
      <c r="C8" s="20"/>
      <c r="D8" s="79"/>
      <c r="E8" s="21"/>
      <c r="F8" s="21"/>
      <c r="G8" s="79"/>
      <c r="H8" s="283"/>
      <c r="I8" s="283"/>
      <c r="J8" s="283"/>
      <c r="K8" s="21"/>
      <c r="L8" t="str" s="79" cm="1">
        <f t="array" ref="L8">IF(D8&gt;0,IF($D8&lt;=0,0,D8*H8),"")</f>
      </c>
      <c r="M8" t="str" s="79" cm="1">
        <f t="array" ref="M8">IF(E8&gt;0,IF($D8&lt;=0,0,ROUND(E8*I8,2)),"")</f>
      </c>
      <c r="N8" t="str" s="91" cm="1">
        <f t="array" ref="N8">IF(F8&gt;0,IF($D8&lt;=0,0,ROUND(F8*J8,2)),"")</f>
      </c>
    </row>
    <row r="9" ht="20.5" customHeight="1">
      <c r="A9" s="94">
        <v>1</v>
      </c>
      <c r="B9" t="s" s="19">
        <v>61</v>
      </c>
      <c r="C9" s="24"/>
      <c r="D9" s="26">
        <v>1</v>
      </c>
      <c r="E9" s="26" cm="1">
        <f t="array" ref="E9">D9</f>
        <v>1</v>
      </c>
      <c r="F9" s="26" cm="1">
        <f t="array" ref="F9">D9</f>
        <v>1</v>
      </c>
      <c r="G9" t="s" s="27">
        <v>515</v>
      </c>
      <c r="H9" s="284">
        <v>460000</v>
      </c>
      <c r="I9" s="284">
        <v>400000</v>
      </c>
      <c r="J9" s="284">
        <v>400000</v>
      </c>
      <c r="K9" s="26">
        <v>11</v>
      </c>
      <c r="L9" s="26" cm="1">
        <f t="array" ref="L9">IF(D9&gt;0,IF($D9&lt;=0,0,D9*H9),"")</f>
        <v>460000</v>
      </c>
      <c r="M9" s="26" cm="1">
        <f t="array" ref="M9">IF(E9&gt;0,IF($D9&lt;=0,0,ROUND(E9*I9,2)),"")</f>
        <v>400000</v>
      </c>
      <c r="N9" s="28" cm="1">
        <f t="array" ref="N9">IF(F9&gt;0,IF($D9&lt;=0,0,ROUND(F9*J9,2)),"")</f>
        <v>400000</v>
      </c>
    </row>
    <row r="10" ht="32.5" customHeight="1">
      <c r="A10" s="95">
        <v>2</v>
      </c>
      <c r="B10" t="s" s="19">
        <v>63</v>
      </c>
      <c r="C10" s="20"/>
      <c r="D10" s="21">
        <v>5</v>
      </c>
      <c r="E10" s="21" cm="1">
        <f t="array" ref="E10">D10</f>
        <v>5</v>
      </c>
      <c r="F10" s="21" cm="1">
        <f t="array" ref="F10">D10</f>
        <v>5</v>
      </c>
      <c r="G10" t="s" s="22">
        <v>515</v>
      </c>
      <c r="H10" s="283">
        <v>500000</v>
      </c>
      <c r="I10" s="283">
        <v>500000</v>
      </c>
      <c r="J10" s="283">
        <v>500000</v>
      </c>
      <c r="K10" s="21">
        <v>11</v>
      </c>
      <c r="L10" s="21" cm="1">
        <f t="array" ref="L10">IF(D10&gt;0,IF($D10&lt;=0,0,D10*H10),"")</f>
        <v>2500000</v>
      </c>
      <c r="M10" s="21" cm="1">
        <f t="array" ref="M10">IF(E10&gt;0,IF($D10&lt;=0,0,ROUND(E10*I10,2)),"")</f>
        <v>2500000</v>
      </c>
      <c r="N10" s="23" cm="1">
        <f t="array" ref="N10">IF(F10&gt;0,IF($D10&lt;=0,0,ROUND(F10*J10,2)),"")</f>
        <v>2500000</v>
      </c>
    </row>
    <row r="11" ht="20.5" customHeight="1">
      <c r="A11" s="95">
        <v>3</v>
      </c>
      <c r="B11" t="s" s="19">
        <v>65</v>
      </c>
      <c r="C11" s="24"/>
      <c r="D11" s="26">
        <v>1</v>
      </c>
      <c r="E11" s="26" cm="1">
        <f t="array" ref="E11">D11</f>
        <v>1</v>
      </c>
      <c r="F11" s="26" cm="1">
        <f t="array" ref="F11">D11</f>
        <v>1</v>
      </c>
      <c r="G11" t="s" s="27">
        <v>515</v>
      </c>
      <c r="H11" s="284">
        <v>500000</v>
      </c>
      <c r="I11" s="284">
        <v>500000</v>
      </c>
      <c r="J11" s="284">
        <v>500000</v>
      </c>
      <c r="K11" s="26">
        <v>11</v>
      </c>
      <c r="L11" s="26" cm="1">
        <f t="array" ref="L11">IF(D11&gt;0,IF($D11&lt;=0,0,D11*H11),"")</f>
        <v>500000</v>
      </c>
      <c r="M11" s="26" cm="1">
        <f t="array" ref="M11">IF(E11&gt;0,IF($D11&lt;=0,0,ROUND(E11*I11,2)),"")</f>
        <v>500000</v>
      </c>
      <c r="N11" s="28" cm="1">
        <f t="array" ref="N11">IF(F11&gt;0,IF($D11&lt;=0,0,ROUND(F11*J11,2)),"")</f>
        <v>500000</v>
      </c>
    </row>
    <row r="12" ht="20.5" customHeight="1">
      <c r="A12" s="94"/>
      <c r="B12" t="s" s="19">
        <v>66</v>
      </c>
      <c r="C12" s="20"/>
      <c r="D12" s="79"/>
      <c r="E12" s="21"/>
      <c r="F12" s="21"/>
      <c r="G12" s="79"/>
      <c r="H12" s="283"/>
      <c r="I12" s="283"/>
      <c r="J12" s="283"/>
      <c r="K12" s="21"/>
      <c r="L12" t="str" s="79" cm="1">
        <f t="array" ref="L12">IF(D12&gt;0,IF($D12&lt;=0,0,D12*H12),"")</f>
      </c>
      <c r="M12" t="str" s="79" cm="1">
        <f t="array" ref="M12">IF(E12&gt;0,IF($D12&lt;=0,0,ROUND(E12*I12,2)),"")</f>
      </c>
      <c r="N12" t="str" s="91" cm="1">
        <f t="array" ref="N12">IF(F12&gt;0,IF($D12&lt;=0,0,ROUND(F12*J12,2)),"")</f>
      </c>
    </row>
    <row r="13" ht="20.5" customHeight="1">
      <c r="A13" s="94">
        <v>4</v>
      </c>
      <c r="B13" t="s" s="19">
        <v>67</v>
      </c>
      <c r="C13" s="24"/>
      <c r="D13" s="26">
        <v>2</v>
      </c>
      <c r="E13" s="26" cm="1">
        <f t="array" ref="E13">D13</f>
        <v>2</v>
      </c>
      <c r="F13" s="26" cm="1">
        <f t="array" ref="F13">D13</f>
        <v>2</v>
      </c>
      <c r="G13" t="s" s="27">
        <v>19</v>
      </c>
      <c r="H13" s="284">
        <v>140000</v>
      </c>
      <c r="I13" s="284">
        <v>140000</v>
      </c>
      <c r="J13" s="284">
        <v>140000</v>
      </c>
      <c r="K13" s="26">
        <v>11</v>
      </c>
      <c r="L13" s="26" cm="1">
        <f t="array" ref="L13">IF(D13&gt;0,IF($D13&lt;=0,0,D13*H13),"")</f>
        <v>280000</v>
      </c>
      <c r="M13" s="26" cm="1">
        <f t="array" ref="M13">IF(E13&gt;0,IF($D13&lt;=0,0,ROUND(E13*I13,2)),"")</f>
        <v>280000</v>
      </c>
      <c r="N13" s="28" cm="1">
        <f t="array" ref="N13">IF(F13&gt;0,IF($D13&lt;=0,0,ROUND(F13*J13,2)),"")</f>
        <v>280000</v>
      </c>
    </row>
    <row r="14" ht="20.5" customHeight="1">
      <c r="A14" s="94">
        <v>5</v>
      </c>
      <c r="B14" t="s" s="19">
        <v>69</v>
      </c>
      <c r="C14" s="20"/>
      <c r="D14" s="21">
        <v>2</v>
      </c>
      <c r="E14" s="21" cm="1">
        <f t="array" ref="E14">D14</f>
        <v>2</v>
      </c>
      <c r="F14" s="21" cm="1">
        <f t="array" ref="F14">D14</f>
        <v>2</v>
      </c>
      <c r="G14" t="s" s="22">
        <v>19</v>
      </c>
      <c r="H14" s="283">
        <v>350000</v>
      </c>
      <c r="I14" s="283">
        <v>350000</v>
      </c>
      <c r="J14" s="283">
        <v>350000</v>
      </c>
      <c r="K14" s="21">
        <v>11</v>
      </c>
      <c r="L14" s="21" cm="1">
        <f t="array" ref="L14">IF(D14&gt;0,IF($D14&lt;=0,0,D14*H14),"")</f>
        <v>700000</v>
      </c>
      <c r="M14" s="21" cm="1">
        <f t="array" ref="M14">IF(E14&gt;0,IF($D14&lt;=0,0,ROUND(E14*I14,2)),"")</f>
        <v>700000</v>
      </c>
      <c r="N14" s="23" cm="1">
        <f t="array" ref="N14">IF(F14&gt;0,IF($D14&lt;=0,0,ROUND(F14*J14,2)),"")</f>
        <v>700000</v>
      </c>
    </row>
    <row r="15" ht="20.5" customHeight="1">
      <c r="A15" s="29"/>
      <c r="B15" t="s" s="19">
        <v>70</v>
      </c>
      <c r="C15" s="24"/>
      <c r="D15" s="30"/>
      <c r="E15" s="26"/>
      <c r="F15" s="26"/>
      <c r="G15" s="30"/>
      <c r="H15" s="284"/>
      <c r="I15" s="284"/>
      <c r="J15" s="284"/>
      <c r="K15" s="26"/>
      <c r="L15" t="str" s="30" cm="1">
        <f t="array" ref="L15">IF(D15&gt;0,IF($D15&lt;=0,0,D15*H15),"")</f>
      </c>
      <c r="M15" t="str" s="30" cm="1">
        <f t="array" ref="M15">IF(E15&gt;0,IF($D15&lt;=0,0,ROUND(E15*I15,2)),"")</f>
      </c>
      <c r="N15" t="str" s="31" cm="1">
        <f t="array" ref="N15">IF(F15&gt;0,IF($D15&lt;=0,0,ROUND(F15*J15,2)),"")</f>
      </c>
    </row>
    <row r="16" ht="20.5" customHeight="1">
      <c r="A16" t="s" s="18">
        <v>71</v>
      </c>
      <c r="B16" t="s" s="19">
        <v>656</v>
      </c>
      <c r="C16" s="20"/>
      <c r="D16" s="21">
        <v>5</v>
      </c>
      <c r="E16" s="21" cm="1">
        <f t="array" ref="E16">D16</f>
        <v>5</v>
      </c>
      <c r="F16" s="21" cm="1">
        <f t="array" ref="F16">D16</f>
        <v>5</v>
      </c>
      <c r="G16" t="s" s="22">
        <v>73</v>
      </c>
      <c r="H16" s="283">
        <v>800000</v>
      </c>
      <c r="I16" s="283">
        <v>800000</v>
      </c>
      <c r="J16" s="283">
        <v>800000</v>
      </c>
      <c r="K16" s="21">
        <v>11</v>
      </c>
      <c r="L16" s="21" cm="1">
        <f t="array" ref="L16">IF(D16&gt;0,IF($D16&lt;=0,0,D16*H16),"")</f>
        <v>4000000</v>
      </c>
      <c r="M16" s="21" cm="1">
        <f t="array" ref="M16">IF(E16&gt;0,IF($D16&lt;=0,0,ROUND(E16*I16,2)),"")</f>
        <v>4000000</v>
      </c>
      <c r="N16" s="23" cm="1">
        <f t="array" ref="N16">IF(F16&gt;0,IF($D16&lt;=0,0,ROUND(F16*J16,2)),"")</f>
        <v>4000000</v>
      </c>
    </row>
    <row r="17" ht="20.5" customHeight="1">
      <c r="A17" s="29"/>
      <c r="B17" t="s" s="19">
        <v>550</v>
      </c>
      <c r="C17" s="24"/>
      <c r="D17" s="30"/>
      <c r="E17" s="26"/>
      <c r="F17" s="26"/>
      <c r="G17" s="30"/>
      <c r="H17" s="284"/>
      <c r="I17" s="284"/>
      <c r="J17" s="284"/>
      <c r="K17" s="26"/>
      <c r="L17" t="str" s="30" cm="1">
        <f t="array" ref="L17">IF(D17&gt;0,IF($D17&lt;=0,0,D17*H17),"")</f>
      </c>
      <c r="M17" t="str" s="30" cm="1">
        <f t="array" ref="M17">IF(E17&gt;0,IF($D17&lt;=0,0,ROUND(E17*I17,2)),"")</f>
      </c>
      <c r="N17" t="str" s="31" cm="1">
        <f t="array" ref="N17">IF(F17&gt;0,IF($D17&lt;=0,0,ROUND(F17*J17,2)),"")</f>
      </c>
    </row>
    <row r="18" ht="20.5" customHeight="1">
      <c r="A18" s="95">
        <v>6</v>
      </c>
      <c r="B18" t="s" s="19">
        <v>74</v>
      </c>
      <c r="C18" s="20"/>
      <c r="D18" s="21">
        <v>3</v>
      </c>
      <c r="E18" s="21" cm="1">
        <f t="array" ref="E18">D18</f>
        <v>3</v>
      </c>
      <c r="F18" s="21" cm="1">
        <f t="array" ref="F18">D18</f>
        <v>3</v>
      </c>
      <c r="G18" t="s" s="22">
        <v>75</v>
      </c>
      <c r="H18" s="283">
        <v>200000</v>
      </c>
      <c r="I18" s="283">
        <v>200000</v>
      </c>
      <c r="J18" s="283">
        <v>200000</v>
      </c>
      <c r="K18" s="21">
        <v>11</v>
      </c>
      <c r="L18" s="21" cm="1">
        <f t="array" ref="L18">IF(D18&gt;0,IF($D18&lt;=0,0,D18*H18),"")</f>
        <v>600000</v>
      </c>
      <c r="M18" s="21" cm="1">
        <f t="array" ref="M18">IF(E18&gt;0,IF($D18&lt;=0,0,ROUND(E18*I18,2)),"")</f>
        <v>600000</v>
      </c>
      <c r="N18" s="23" cm="1">
        <f t="array" ref="N18">IF(F18&gt;0,IF($D18&lt;=0,0,ROUND(F18*J18,2)),"")</f>
        <v>600000</v>
      </c>
    </row>
    <row r="19" ht="20.5" customHeight="1">
      <c r="A19" s="95">
        <v>7</v>
      </c>
      <c r="B19" t="s" s="19">
        <v>76</v>
      </c>
      <c r="C19" s="24"/>
      <c r="D19" s="26">
        <v>3</v>
      </c>
      <c r="E19" s="26" cm="1">
        <f t="array" ref="E19">D19</f>
        <v>3</v>
      </c>
      <c r="F19" s="26" cm="1">
        <f t="array" ref="F19">D19</f>
        <v>3</v>
      </c>
      <c r="G19" t="s" s="27">
        <v>75</v>
      </c>
      <c r="H19" s="284">
        <v>150000</v>
      </c>
      <c r="I19" s="284">
        <v>150000</v>
      </c>
      <c r="J19" s="284">
        <v>150000</v>
      </c>
      <c r="K19" s="26">
        <v>11</v>
      </c>
      <c r="L19" s="26" cm="1">
        <f t="array" ref="L19">IF(D19&gt;0,IF($D19&lt;=0,0,D19*H19),"")</f>
        <v>450000</v>
      </c>
      <c r="M19" s="26" cm="1">
        <f t="array" ref="M19">IF(E19&gt;0,IF($D19&lt;=0,0,ROUND(E19*I19,2)),"")</f>
        <v>450000</v>
      </c>
      <c r="N19" s="28" cm="1">
        <f t="array" ref="N19">IF(F19&gt;0,IF($D19&lt;=0,0,ROUND(F19*J19,2)),"")</f>
        <v>450000</v>
      </c>
    </row>
    <row r="20" ht="20.5" customHeight="1">
      <c r="A20" s="95">
        <v>8</v>
      </c>
      <c r="B20" t="s" s="19">
        <v>77</v>
      </c>
      <c r="C20" s="20"/>
      <c r="D20" s="21">
        <v>3</v>
      </c>
      <c r="E20" s="21" cm="1">
        <f t="array" ref="E20">D20</f>
        <v>3</v>
      </c>
      <c r="F20" s="21" cm="1">
        <f t="array" ref="F20">D20</f>
        <v>3</v>
      </c>
      <c r="G20" t="s" s="22">
        <v>75</v>
      </c>
      <c r="H20" s="283">
        <v>200000</v>
      </c>
      <c r="I20" s="283">
        <v>200000</v>
      </c>
      <c r="J20" s="283">
        <v>200000</v>
      </c>
      <c r="K20" s="21">
        <v>11</v>
      </c>
      <c r="L20" s="21" cm="1">
        <f t="array" ref="L20">IF(D20&gt;0,IF($D20&lt;=0,0,D20*H20),"")</f>
        <v>600000</v>
      </c>
      <c r="M20" s="21" cm="1">
        <f t="array" ref="M20">IF(E20&gt;0,IF($D20&lt;=0,0,ROUND(E20*I20,2)),"")</f>
        <v>600000</v>
      </c>
      <c r="N20" s="23" cm="1">
        <f t="array" ref="N20">IF(F20&gt;0,IF($D20&lt;=0,0,ROUND(F20*J20,2)),"")</f>
        <v>600000</v>
      </c>
    </row>
    <row r="21" ht="20.5" customHeight="1">
      <c r="A21" s="95">
        <v>9</v>
      </c>
      <c r="B21" t="s" s="19">
        <v>657</v>
      </c>
      <c r="C21" s="24"/>
      <c r="D21" s="26">
        <v>1</v>
      </c>
      <c r="E21" s="26" cm="1">
        <f t="array" ref="E21">D21</f>
        <v>1</v>
      </c>
      <c r="F21" s="26" cm="1">
        <f t="array" ref="F21">D21</f>
        <v>1</v>
      </c>
      <c r="G21" t="s" s="27">
        <v>79</v>
      </c>
      <c r="H21" s="284">
        <v>250000</v>
      </c>
      <c r="I21" s="284">
        <v>250000</v>
      </c>
      <c r="J21" s="284">
        <v>250000</v>
      </c>
      <c r="K21" s="26">
        <v>11</v>
      </c>
      <c r="L21" s="26" cm="1">
        <f t="array" ref="L21">IF(D21&gt;0,IF($D21&lt;=0,0,D21*H21),"")</f>
        <v>250000</v>
      </c>
      <c r="M21" s="26" cm="1">
        <f t="array" ref="M21">IF(E21&gt;0,IF($D21&lt;=0,0,ROUND(E21*I21,2)),"")</f>
        <v>250000</v>
      </c>
      <c r="N21" s="28" cm="1">
        <f t="array" ref="N21">IF(F21&gt;0,IF($D21&lt;=0,0,ROUND(F21*J21,2)),"")</f>
        <v>250000</v>
      </c>
    </row>
    <row r="22" ht="20.5" customHeight="1">
      <c r="A22" t="s" s="18">
        <v>80</v>
      </c>
      <c r="B22" t="s" s="19">
        <v>81</v>
      </c>
      <c r="C22" s="20"/>
      <c r="D22" s="79"/>
      <c r="E22" s="21"/>
      <c r="F22" s="21"/>
      <c r="G22" s="79"/>
      <c r="H22" s="283"/>
      <c r="I22" s="283"/>
      <c r="J22" s="283"/>
      <c r="K22" s="21"/>
      <c r="L22" t="str" s="79" cm="1">
        <f t="array" ref="L22">IF(D22&gt;0,IF($D22&lt;=0,0,D22*H22),"")</f>
      </c>
      <c r="M22" t="str" s="79" cm="1">
        <f t="array" ref="M22">IF(E22&gt;0,IF($D22&lt;=0,0,ROUND(E22*I22,2)),"")</f>
      </c>
      <c r="N22" t="str" s="91" cm="1">
        <f t="array" ref="N22">IF(F22&gt;0,IF($D22&lt;=0,0,ROUND(F22*J22,2)),"")</f>
      </c>
    </row>
    <row r="23" ht="20.5" customHeight="1">
      <c r="A23" s="29"/>
      <c r="B23" t="s" s="19">
        <v>82</v>
      </c>
      <c r="C23" s="24"/>
      <c r="D23" s="26">
        <v>1</v>
      </c>
      <c r="E23" s="26" cm="1">
        <f t="array" ref="E23">D23</f>
        <v>1</v>
      </c>
      <c r="F23" s="26" cm="1">
        <f t="array" ref="F23">D23</f>
        <v>1</v>
      </c>
      <c r="G23" t="s" s="27">
        <v>19</v>
      </c>
      <c r="H23" s="284">
        <v>120816</v>
      </c>
      <c r="I23" s="284">
        <v>120672</v>
      </c>
      <c r="J23" s="284">
        <v>120672</v>
      </c>
      <c r="K23" s="26">
        <v>0</v>
      </c>
      <c r="L23" s="26" cm="1">
        <f t="array" ref="L23">IF(D23&gt;0,IF($D23&lt;=0,0,D23*H23),"")</f>
        <v>120816</v>
      </c>
      <c r="M23" s="26" cm="1">
        <f t="array" ref="M23">IF(E23&gt;0,IF($D23&lt;=0,0,ROUND(E23*I23,2)),"")</f>
        <v>120672</v>
      </c>
      <c r="N23" s="28" cm="1">
        <f t="array" ref="N23">IF(F23&gt;0,IF($D23&lt;=0,0,ROUND(F23*J23,2)),"")</f>
        <v>120672</v>
      </c>
    </row>
    <row r="24" ht="20.6" customHeight="1">
      <c r="A24" s="96"/>
      <c r="B24" s="97"/>
      <c r="C24" s="35"/>
      <c r="D24" s="36"/>
      <c r="E24" s="36"/>
      <c r="F24" s="36"/>
      <c r="G24" s="101"/>
      <c r="H24" s="36"/>
      <c r="I24" s="36"/>
      <c r="J24" s="36"/>
      <c r="K24" s="36"/>
      <c r="L24" t="str" s="101" cm="1">
        <f t="array" ref="L24">IF(D24&gt;0,IF($D24&lt;=0,0,D24*H24),"")</f>
      </c>
      <c r="M24" t="str" s="101" cm="1">
        <f t="array" ref="M24">IF(E24&gt;0,IF($D24&lt;=0,0,ROUND(E24*I24,2)),"")</f>
      </c>
      <c r="N24" t="str" s="102" cm="1">
        <f t="array" ref="N24">IF(F24&gt;0,IF($D24&lt;=0,0,ROUND(F24*J24,2)),"")</f>
      </c>
    </row>
    <row r="25" ht="20.85" customHeight="1">
      <c r="A25" s="54"/>
      <c r="B25" s="54"/>
      <c r="C25" s="54"/>
      <c r="D25" s="55"/>
      <c r="E25" s="55"/>
      <c r="F25" s="55"/>
      <c r="G25" s="56"/>
      <c r="H25" s="56"/>
      <c r="I25" s="54"/>
      <c r="J25" s="57"/>
      <c r="K25" t="s" s="58">
        <v>38</v>
      </c>
      <c r="L25" s="59" cm="1">
        <f t="array" ref="L25">SUM(L1:L24)</f>
        <v>50460816</v>
      </c>
      <c r="M25" s="59" cm="1">
        <f t="array" ref="M25">SUM(M1:M24)</f>
        <v>50400672</v>
      </c>
      <c r="N25" s="59" cm="1">
        <f t="array" ref="N25">SUM(N1:N24)</f>
        <v>50400672</v>
      </c>
    </row>
    <row r="26" ht="21" customHeight="1">
      <c r="A26" s="62"/>
      <c r="B26" t="s" s="61">
        <v>39</v>
      </c>
      <c r="C26" s="62"/>
      <c r="D26" s="63"/>
      <c r="E26" s="64"/>
      <c r="F26" s="64"/>
      <c r="G26" s="65"/>
      <c r="H26" s="66"/>
      <c r="I26" s="62"/>
      <c r="J26" s="67"/>
      <c r="K26" t="str" s="67" cm="1">
        <f t="array" ref="K26">"Jumlah Terkena Pajak "&amp;MAX(K3:K24)&amp;"% (B)"</f>
        <v>Jumlah Terkena Pajak 11,00% (B)</v>
      </c>
      <c r="L26" s="69" cm="1">
        <f t="array" ref="L26">SUMIF($K3:$K24,"&gt;0",L3:L24)</f>
        <v>50340000</v>
      </c>
      <c r="M26" s="69" cm="1">
        <f t="array" ref="M26">SUMIF($K3:$K24,"&gt;0",M3:M24)</f>
        <v>50280000</v>
      </c>
      <c r="N26" s="69" cm="1">
        <f t="array" ref="N26">SUMIF($K3:$K24,"&gt;0",N3:N24)</f>
        <v>50280000</v>
      </c>
    </row>
    <row r="27" ht="21" customHeight="1">
      <c r="A27" s="71"/>
      <c r="B27" s="71"/>
      <c r="C27" s="71"/>
      <c r="D27" s="72"/>
      <c r="E27" s="72"/>
      <c r="F27" s="71"/>
      <c r="G27" s="72"/>
      <c r="H27" s="72"/>
      <c r="I27" s="71"/>
      <c r="J27" s="73"/>
      <c r="K27" t="str" s="73" cm="1">
        <f t="array" ref="K27">"PPN (C) = "&amp;MAX(K3:K24)&amp;"% x B"</f>
        <v>PPN (C) = 11,00% x B</v>
      </c>
      <c r="L27" s="68" cm="1">
        <f t="array" ref="L27">L26*MAX($K3:$K24)%</f>
        <v>5537400</v>
      </c>
      <c r="M27" s="69" cm="1">
        <f t="array" ref="M27">M26*MAX($K3:$K24)%</f>
        <v>5530800</v>
      </c>
      <c r="N27" s="69" cm="1">
        <f t="array" ref="N27">N26*MAX($K3:$K24)%</f>
        <v>5530800</v>
      </c>
    </row>
    <row r="28" ht="21" customHeight="1">
      <c r="A28" s="71"/>
      <c r="B28" s="71"/>
      <c r="C28" s="71"/>
      <c r="D28" s="72"/>
      <c r="E28" s="72"/>
      <c r="F28" s="72"/>
      <c r="G28" s="72"/>
      <c r="H28" s="72"/>
      <c r="I28" s="71"/>
      <c r="J28" s="73"/>
      <c r="K28" t="s" s="75">
        <v>42</v>
      </c>
      <c r="L28" s="76" cm="1">
        <f t="array" ref="L28">L25+L27</f>
        <v>55998216</v>
      </c>
      <c r="M28" s="69" cm="1">
        <f t="array" ref="M28">M25+M27</f>
        <v>55931472</v>
      </c>
      <c r="N28" s="69" cm="1">
        <f t="array" ref="N28">N25+N27</f>
        <v>55931472</v>
      </c>
    </row>
    <row r="29" ht="20.5" customHeight="1">
      <c r="A29" s="71"/>
      <c r="B29" s="71"/>
      <c r="C29" s="71"/>
      <c r="D29" s="72"/>
      <c r="E29" s="72"/>
      <c r="F29" s="72"/>
      <c r="G29" s="72"/>
      <c r="H29" s="72"/>
      <c r="I29" s="71"/>
      <c r="J29" s="73"/>
      <c r="K29" t="s" s="75">
        <v>43</v>
      </c>
      <c r="L29" s="68" cm="1">
        <f t="array" ref="L29">ROUNDDOWN(L28,-3)</f>
        <v>55998000</v>
      </c>
      <c r="M29" s="68" cm="1">
        <f t="array" ref="M29">ROUNDDOWN(M28,2)</f>
        <v>55931472</v>
      </c>
      <c r="N29" s="68" cm="1">
        <f t="array" ref="N29">ROUNDDOWN(N28,-3)</f>
        <v>55931000</v>
      </c>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73.xml><?xml version="1.0" encoding="utf-8"?>
<worksheet xmlns:r="http://schemas.openxmlformats.org/officeDocument/2006/relationships" xmlns="http://schemas.openxmlformats.org/spreadsheetml/2006/main">
  <sheetPr>
    <pageSetUpPr fitToPage="1"/>
  </sheetPr>
  <dimension ref="A1:O25"/>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7.17188" style="370" customWidth="1"/>
    <col min="2" max="2" width="43.0312" style="370" customWidth="1"/>
    <col min="3" max="3" width="2.75" style="370" customWidth="1"/>
    <col min="4" max="6" width="10.3672" style="370" customWidth="1"/>
    <col min="7" max="7" width="11.6875" style="370" customWidth="1"/>
    <col min="8" max="11" width="13.5156" style="370" customWidth="1"/>
    <col min="12" max="15" width="14.2344" style="370" customWidth="1"/>
    <col min="16" max="16384" width="16.3516" style="370" customWidth="1"/>
  </cols>
  <sheetData>
    <row r="1" ht="20.5" customHeight="1">
      <c r="A1" t="s" s="7">
        <v>6</v>
      </c>
      <c r="B1" t="s" s="7">
        <v>7</v>
      </c>
      <c r="C1" s="8"/>
      <c r="D1" t="s" s="7">
        <v>8</v>
      </c>
      <c r="E1" s="8"/>
      <c r="F1" s="8"/>
      <c r="G1" t="s" s="7">
        <v>9</v>
      </c>
      <c r="H1" t="s" s="7">
        <v>10</v>
      </c>
      <c r="I1" s="8"/>
      <c r="J1" s="8"/>
      <c r="K1" t="s" s="7">
        <v>11</v>
      </c>
      <c r="L1" t="s" s="7">
        <v>12</v>
      </c>
      <c r="M1" s="8"/>
      <c r="N1" s="8"/>
      <c r="O1" s="88"/>
    </row>
    <row r="2" ht="20.85" customHeight="1">
      <c r="A2" s="9"/>
      <c r="B2" s="9"/>
      <c r="C2" s="9"/>
      <c r="D2" t="s" s="10">
        <v>13</v>
      </c>
      <c r="E2" t="s" s="10">
        <v>14</v>
      </c>
      <c r="F2" t="s" s="10">
        <v>15</v>
      </c>
      <c r="G2" s="9"/>
      <c r="H2" t="s" s="10">
        <v>13</v>
      </c>
      <c r="I2" t="s" s="10">
        <v>14</v>
      </c>
      <c r="J2" t="s" s="10">
        <v>15</v>
      </c>
      <c r="K2" s="9"/>
      <c r="L2" t="s" s="10">
        <v>13</v>
      </c>
      <c r="M2" t="s" s="10">
        <v>14</v>
      </c>
      <c r="N2" t="s" s="10">
        <v>15</v>
      </c>
      <c r="O2" s="89"/>
    </row>
    <row r="3" ht="20.6" customHeight="1">
      <c r="A3" t="s" s="90">
        <v>51</v>
      </c>
      <c r="B3" t="s" s="12">
        <v>52</v>
      </c>
      <c r="C3" s="13"/>
      <c r="D3" s="14"/>
      <c r="E3" s="14"/>
      <c r="F3" s="14"/>
      <c r="G3" s="15"/>
      <c r="H3" s="15"/>
      <c r="I3" s="15"/>
      <c r="J3" s="15"/>
      <c r="K3" s="15"/>
      <c r="L3" t="str" s="16" cm="1">
        <f t="array" ref="L3">IF(D3&gt;0,IF($D3&lt;=0,0,D3*H3),"")</f>
      </c>
      <c r="M3" t="str" s="16" cm="1">
        <f t="array" ref="M3">IF(E3&gt;0,IF($D3&lt;=0,0,ROUND(E3*I3,2)),"")</f>
      </c>
      <c r="N3" t="str" s="16" cm="1">
        <f t="array" ref="N3">IF(F3&gt;0,IF($D3&lt;=0,0,ROUND(F3*J3,2)),"")</f>
      </c>
      <c r="O3" s="17"/>
    </row>
    <row r="4" ht="20.5" customHeight="1">
      <c r="A4" t="s" s="18">
        <v>53</v>
      </c>
      <c r="B4" t="s" s="19">
        <v>54</v>
      </c>
      <c r="C4" s="20"/>
      <c r="D4" s="21"/>
      <c r="E4" s="21"/>
      <c r="F4" s="21"/>
      <c r="G4" s="79"/>
      <c r="H4" s="21"/>
      <c r="I4" s="79"/>
      <c r="J4" s="21"/>
      <c r="K4" s="21"/>
      <c r="L4" t="str" s="79" cm="1">
        <f t="array" ref="L4">IF(D4&gt;0,IF($D4&lt;=0,0,D4*H4),"")</f>
      </c>
      <c r="M4" t="str" s="79" cm="1">
        <f t="array" ref="M4">IF(E4&gt;0,IF($D4&lt;=0,0,ROUND(E4*I4,2)),"")</f>
      </c>
      <c r="N4" t="str" s="79" cm="1">
        <f t="array" ref="N4">IF(F4&gt;0,IF($D4&lt;=0,0,ROUND(F4*J4,2)),"")</f>
      </c>
      <c r="O4" s="91"/>
    </row>
    <row r="5" ht="20.5" customHeight="1">
      <c r="A5" s="92">
        <v>1</v>
      </c>
      <c r="B5" t="s" s="19">
        <v>518</v>
      </c>
      <c r="C5" s="24"/>
      <c r="D5" s="26">
        <v>2</v>
      </c>
      <c r="E5" s="26" cm="1">
        <f t="array" ref="E5">D5</f>
        <v>2</v>
      </c>
      <c r="F5" s="26" cm="1">
        <f t="array" ref="F5">D5</f>
        <v>2</v>
      </c>
      <c r="G5" t="s" s="27">
        <v>56</v>
      </c>
      <c r="H5" s="26">
        <v>13000000</v>
      </c>
      <c r="I5" s="26">
        <v>13000000</v>
      </c>
      <c r="J5" s="26">
        <v>13000000</v>
      </c>
      <c r="K5" s="26">
        <v>11</v>
      </c>
      <c r="L5" s="26" cm="1">
        <f t="array" ref="L5">IF(D5&gt;0,IF($D5&lt;=0,0,D5*H5),"")</f>
        <v>26000000</v>
      </c>
      <c r="M5" s="26" cm="1">
        <f t="array" ref="M5">IF(E5&gt;0,IF($D5&lt;=0,0,ROUND(E5*I5,2)),"")</f>
        <v>26000000</v>
      </c>
      <c r="N5" s="26" cm="1">
        <f t="array" ref="N5">IF(F5&gt;0,IF($D5&lt;=0,0,ROUND(F5*J5,2)),"")</f>
        <v>26000000</v>
      </c>
      <c r="O5" s="28"/>
    </row>
    <row r="6" ht="20.5" customHeight="1">
      <c r="A6" t="s" s="93">
        <v>58</v>
      </c>
      <c r="B6" t="s" s="19">
        <v>59</v>
      </c>
      <c r="C6" s="20"/>
      <c r="D6" s="21"/>
      <c r="E6" s="21"/>
      <c r="F6" s="21"/>
      <c r="G6" s="79"/>
      <c r="H6" s="21"/>
      <c r="I6" s="21"/>
      <c r="J6" s="21"/>
      <c r="K6" s="21"/>
      <c r="L6" t="str" s="79" cm="1">
        <f t="array" ref="L6">IF(D6&gt;0,IF($D6&lt;=0,0,D6*H6),"")</f>
      </c>
      <c r="M6" t="str" s="79" cm="1">
        <f t="array" ref="M6">IF(E6&gt;0,IF($D6&lt;=0,0,ROUND(E6*I6,2)),"")</f>
      </c>
      <c r="N6" t="str" s="79" cm="1">
        <f t="array" ref="N6">IF(F6&gt;0,IF($D6&lt;=0,0,ROUND(F6*J6,2)),"")</f>
      </c>
      <c r="O6" s="91"/>
    </row>
    <row r="7" ht="20.5" customHeight="1">
      <c r="A7" t="s" s="18">
        <v>53</v>
      </c>
      <c r="B7" t="s" s="19">
        <v>519</v>
      </c>
      <c r="C7" s="24"/>
      <c r="D7" s="26"/>
      <c r="E7" s="26"/>
      <c r="F7" s="26"/>
      <c r="G7" s="30"/>
      <c r="H7" s="26"/>
      <c r="I7" s="26"/>
      <c r="J7" s="26"/>
      <c r="K7" s="26"/>
      <c r="L7" t="str" s="30" cm="1">
        <f t="array" ref="L7">IF(D7&gt;0,IF($D7&lt;=0,0,D7*H7),"")</f>
      </c>
      <c r="M7" t="str" s="30" cm="1">
        <f t="array" ref="M7">IF(E7&gt;0,IF($D7&lt;=0,0,ROUND(E7*I7,2)),"")</f>
      </c>
      <c r="N7" t="str" s="30" cm="1">
        <f t="array" ref="N7">IF(F7&gt;0,IF($D7&lt;=0,0,ROUND(F7*J7,2)),"")</f>
      </c>
      <c r="O7" s="31"/>
    </row>
    <row r="8" ht="20.5" customHeight="1">
      <c r="A8" s="94">
        <v>1</v>
      </c>
      <c r="B8" t="s" s="19">
        <v>520</v>
      </c>
      <c r="C8" s="20"/>
      <c r="D8" s="21">
        <v>1</v>
      </c>
      <c r="E8" s="21" cm="1">
        <f t="array" ref="E8">D8</f>
        <v>1</v>
      </c>
      <c r="F8" s="21" cm="1">
        <f t="array" ref="F8">D8</f>
        <v>1</v>
      </c>
      <c r="G8" t="s" s="22">
        <v>408</v>
      </c>
      <c r="H8" s="21">
        <v>1000000</v>
      </c>
      <c r="I8" s="21">
        <v>1000000</v>
      </c>
      <c r="J8" s="21">
        <v>1000000</v>
      </c>
      <c r="K8" s="21">
        <v>11</v>
      </c>
      <c r="L8" s="21" cm="1">
        <f t="array" ref="L8">IF(D8&gt;0,IF($D8&lt;=0,0,D8*H8),"")</f>
        <v>1000000</v>
      </c>
      <c r="M8" s="21" cm="1">
        <f t="array" ref="M8">IF(E8&gt;0,IF($D8&lt;=0,0,ROUND(E8*I8,2)),"")</f>
        <v>1000000</v>
      </c>
      <c r="N8" s="21" cm="1">
        <f t="array" ref="N8">IF(F8&gt;0,IF($D8&lt;=0,0,ROUND(F8*J8,2)),"")</f>
        <v>1000000</v>
      </c>
      <c r="O8" s="23"/>
    </row>
    <row r="9" ht="20.5" customHeight="1">
      <c r="A9" s="95">
        <v>2</v>
      </c>
      <c r="B9" t="s" s="19">
        <v>521</v>
      </c>
      <c r="C9" s="24"/>
      <c r="D9" s="26">
        <v>1</v>
      </c>
      <c r="E9" s="26" cm="1">
        <f t="array" ref="E9">D9</f>
        <v>1</v>
      </c>
      <c r="F9" s="26" cm="1">
        <f t="array" ref="F9">D9</f>
        <v>1</v>
      </c>
      <c r="G9" t="s" s="27">
        <v>408</v>
      </c>
      <c r="H9" s="26">
        <v>1000000</v>
      </c>
      <c r="I9" s="26">
        <v>1000000</v>
      </c>
      <c r="J9" s="26">
        <v>1000000</v>
      </c>
      <c r="K9" s="26">
        <v>11</v>
      </c>
      <c r="L9" s="26" cm="1">
        <f t="array" ref="L9">IF(D9&gt;0,IF($D9&lt;=0,0,D9*H9),"")</f>
        <v>1000000</v>
      </c>
      <c r="M9" s="26" cm="1">
        <f t="array" ref="M9">IF(E9&gt;0,IF($D9&lt;=0,0,ROUND(E9*I9,2)),"")</f>
        <v>1000000</v>
      </c>
      <c r="N9" s="26" cm="1">
        <f t="array" ref="N9">IF(F9&gt;0,IF($D9&lt;=0,0,ROUND(F9*J9,2)),"")</f>
        <v>1000000</v>
      </c>
      <c r="O9" s="28"/>
    </row>
    <row r="10" ht="20.5" customHeight="1">
      <c r="A10" s="95">
        <v>2</v>
      </c>
      <c r="B10" t="s" s="19">
        <v>522</v>
      </c>
      <c r="C10" s="20"/>
      <c r="D10" s="21">
        <v>1</v>
      </c>
      <c r="E10" s="21" cm="1">
        <f t="array" ref="E10">D10</f>
        <v>1</v>
      </c>
      <c r="F10" s="21" cm="1">
        <f t="array" ref="F10">D10</f>
        <v>1</v>
      </c>
      <c r="G10" t="s" s="22">
        <v>408</v>
      </c>
      <c r="H10" s="21">
        <v>1000000</v>
      </c>
      <c r="I10" s="21">
        <v>1000000</v>
      </c>
      <c r="J10" s="21">
        <v>1000000</v>
      </c>
      <c r="K10" s="21">
        <v>11</v>
      </c>
      <c r="L10" s="21" cm="1">
        <f t="array" ref="L10">IF(D10&gt;0,IF($D10&lt;=0,0,D10*H10),"")</f>
        <v>1000000</v>
      </c>
      <c r="M10" s="21" cm="1">
        <f t="array" ref="M10">IF(E10&gt;0,IF($D10&lt;=0,0,ROUND(E10*I10,2)),"")</f>
        <v>1000000</v>
      </c>
      <c r="N10" s="21" cm="1">
        <f t="array" ref="N10">IF(F10&gt;0,IF($D10&lt;=0,0,ROUND(F10*J10,2)),"")</f>
        <v>1000000</v>
      </c>
      <c r="O10" s="23"/>
    </row>
    <row r="11" ht="20.5" customHeight="1">
      <c r="A11" s="94"/>
      <c r="B11" t="s" s="19">
        <v>66</v>
      </c>
      <c r="C11" s="24"/>
      <c r="D11" s="26"/>
      <c r="E11" s="26"/>
      <c r="F11" s="26"/>
      <c r="G11" s="30"/>
      <c r="H11" s="26"/>
      <c r="I11" s="26"/>
      <c r="J11" s="26"/>
      <c r="K11" s="26"/>
      <c r="L11" t="str" s="30" cm="1">
        <f t="array" ref="L11">IF(D11&gt;0,IF($D11&lt;=0,0,D11*H11),"")</f>
      </c>
      <c r="M11" t="str" s="30" cm="1">
        <f t="array" ref="M11">IF(E11&gt;0,IF($D11&lt;=0,0,ROUND(E11*I11,2)),"")</f>
      </c>
      <c r="N11" t="str" s="30" cm="1">
        <f t="array" ref="N11">IF(F11&gt;0,IF($D11&lt;=0,0,ROUND(F11*J11,2)),"")</f>
      </c>
      <c r="O11" s="28"/>
    </row>
    <row r="12" ht="20.5" customHeight="1">
      <c r="A12" s="94">
        <v>3</v>
      </c>
      <c r="B12" t="s" s="19">
        <v>67</v>
      </c>
      <c r="C12" s="20"/>
      <c r="D12" s="21">
        <v>1</v>
      </c>
      <c r="E12" s="21" cm="1">
        <f t="array" ref="E12">D12</f>
        <v>1</v>
      </c>
      <c r="F12" s="21" cm="1">
        <f t="array" ref="F12">D12</f>
        <v>1</v>
      </c>
      <c r="G12" t="s" s="22">
        <v>408</v>
      </c>
      <c r="H12" s="21">
        <v>150000</v>
      </c>
      <c r="I12" s="21">
        <v>150000</v>
      </c>
      <c r="J12" s="21">
        <v>150000</v>
      </c>
      <c r="K12" s="21">
        <v>11</v>
      </c>
      <c r="L12" s="21" cm="1">
        <f t="array" ref="L12">IF(D12&gt;0,IF($D12&lt;=0,0,D12*H12),"")</f>
        <v>150000</v>
      </c>
      <c r="M12" s="21" cm="1">
        <f t="array" ref="M12">IF(E12&gt;0,IF($D12&lt;=0,0,ROUND(E12*I12,2)),"")</f>
        <v>150000</v>
      </c>
      <c r="N12" s="21" cm="1">
        <f t="array" ref="N12">IF(F12&gt;0,IF($D12&lt;=0,0,ROUND(F12*J12,2)),"")</f>
        <v>150000</v>
      </c>
      <c r="O12" s="23"/>
    </row>
    <row r="13" ht="20.5" customHeight="1">
      <c r="A13" s="94">
        <v>4</v>
      </c>
      <c r="B13" t="s" s="19">
        <v>69</v>
      </c>
      <c r="C13" s="24"/>
      <c r="D13" s="26">
        <v>1</v>
      </c>
      <c r="E13" s="26" cm="1">
        <f t="array" ref="E13">D13</f>
        <v>1</v>
      </c>
      <c r="F13" s="26" cm="1">
        <f t="array" ref="F13">D13</f>
        <v>1</v>
      </c>
      <c r="G13" t="s" s="27">
        <v>408</v>
      </c>
      <c r="H13" s="26">
        <v>700000</v>
      </c>
      <c r="I13" s="26">
        <v>700000</v>
      </c>
      <c r="J13" s="26">
        <v>700000</v>
      </c>
      <c r="K13" s="26">
        <v>11</v>
      </c>
      <c r="L13" s="26" cm="1">
        <f t="array" ref="L13">IF(D13&gt;0,IF($D13&lt;=0,0,D13*H13),"")</f>
        <v>700000</v>
      </c>
      <c r="M13" s="26" cm="1">
        <f t="array" ref="M13">IF(E13&gt;0,IF($D13&lt;=0,0,ROUND(E13*I13,2)),"")</f>
        <v>700000</v>
      </c>
      <c r="N13" s="26" cm="1">
        <f t="array" ref="N13">IF(F13&gt;0,IF($D13&lt;=0,0,ROUND(F13*J13,2)),"")</f>
        <v>700000</v>
      </c>
      <c r="O13" s="28"/>
    </row>
    <row r="14" ht="20.5" customHeight="1">
      <c r="A14" s="29"/>
      <c r="B14" t="s" s="19">
        <v>70</v>
      </c>
      <c r="C14" s="20"/>
      <c r="D14" s="21"/>
      <c r="E14" s="21"/>
      <c r="F14" s="21"/>
      <c r="G14" s="79"/>
      <c r="H14" s="21"/>
      <c r="I14" s="21"/>
      <c r="J14" s="21"/>
      <c r="K14" s="21"/>
      <c r="L14" t="str" s="79" cm="1">
        <f t="array" ref="L14">IF(D14&gt;0,IF($D14&lt;=0,0,D14*H14),"")</f>
      </c>
      <c r="M14" t="str" s="79" cm="1">
        <f t="array" ref="M14">IF(E14&gt;0,IF($D14&lt;=0,0,ROUND(E14*I14,2)),"")</f>
      </c>
      <c r="N14" t="str" s="79" cm="1">
        <f t="array" ref="N14">IF(F14&gt;0,IF($D14&lt;=0,0,ROUND(F14*J14,2)),"")</f>
      </c>
      <c r="O14" s="91"/>
    </row>
    <row r="15" ht="20.5" customHeight="1">
      <c r="A15" s="95">
        <v>5</v>
      </c>
      <c r="B15" t="s" s="19">
        <v>76</v>
      </c>
      <c r="C15" s="24"/>
      <c r="D15" s="26" cm="1">
        <f t="array" ref="D15">D5*3</f>
        <v>6</v>
      </c>
      <c r="E15" s="26" cm="1">
        <f t="array" ref="E15">D15</f>
        <v>6</v>
      </c>
      <c r="F15" s="26" cm="1">
        <f t="array" ref="F15">D15</f>
        <v>6</v>
      </c>
      <c r="G15" t="s" s="27">
        <v>75</v>
      </c>
      <c r="H15" s="26">
        <v>250000</v>
      </c>
      <c r="I15" s="26">
        <v>240000</v>
      </c>
      <c r="J15" s="26">
        <v>240000</v>
      </c>
      <c r="K15" s="26">
        <v>11</v>
      </c>
      <c r="L15" s="26" cm="1">
        <f t="array" ref="L15">IF(D15&gt;0,IF($D15&lt;=0,0,D15*H15),"")</f>
        <v>1500000</v>
      </c>
      <c r="M15" s="26" cm="1">
        <f t="array" ref="M15">IF(E15&gt;0,IF($D15&lt;=0,0,ROUND(E15*I15,2)),"")</f>
        <v>1440000</v>
      </c>
      <c r="N15" s="26" cm="1">
        <f t="array" ref="N15">IF(F15&gt;0,IF($D15&lt;=0,0,ROUND(F15*J15,2)),"")</f>
        <v>1440000</v>
      </c>
      <c r="O15" s="28"/>
    </row>
    <row r="16" ht="20.5" customHeight="1">
      <c r="A16" s="95">
        <v>6</v>
      </c>
      <c r="B16" t="s" s="19">
        <v>77</v>
      </c>
      <c r="C16" s="20"/>
      <c r="D16" s="21">
        <v>3</v>
      </c>
      <c r="E16" s="21" cm="1">
        <f t="array" ref="E16">D16</f>
        <v>3</v>
      </c>
      <c r="F16" s="21" cm="1">
        <f t="array" ref="F16">D16</f>
        <v>3</v>
      </c>
      <c r="G16" t="s" s="22">
        <v>75</v>
      </c>
      <c r="H16" s="21">
        <v>500000</v>
      </c>
      <c r="I16" s="21">
        <v>490000</v>
      </c>
      <c r="J16" s="21">
        <v>490000</v>
      </c>
      <c r="K16" s="21">
        <v>11</v>
      </c>
      <c r="L16" s="21" cm="1">
        <f t="array" ref="L16">IF(D16&gt;0,IF($D16&lt;=0,0,D16*H16),"")</f>
        <v>1500000</v>
      </c>
      <c r="M16" s="21" cm="1">
        <f t="array" ref="M16">IF(E16&gt;0,IF($D16&lt;=0,0,ROUND(E16*I16,2)),"")</f>
        <v>1470000</v>
      </c>
      <c r="N16" s="21" cm="1">
        <f t="array" ref="N16">IF(F16&gt;0,IF($D16&lt;=0,0,ROUND(F16*J16,2)),"")</f>
        <v>1470000</v>
      </c>
      <c r="O16" s="23"/>
    </row>
    <row r="17" ht="20.5" customHeight="1">
      <c r="A17" s="95">
        <v>7</v>
      </c>
      <c r="B17" t="s" s="19">
        <v>523</v>
      </c>
      <c r="C17" s="24"/>
      <c r="D17" s="26">
        <v>3</v>
      </c>
      <c r="E17" s="26" cm="1">
        <f t="array" ref="E17">D17</f>
        <v>3</v>
      </c>
      <c r="F17" s="26" cm="1">
        <f t="array" ref="F17">D17</f>
        <v>3</v>
      </c>
      <c r="G17" t="s" s="27">
        <v>75</v>
      </c>
      <c r="H17" s="26">
        <v>230000</v>
      </c>
      <c r="I17" s="26">
        <v>210000</v>
      </c>
      <c r="J17" s="26">
        <v>210000</v>
      </c>
      <c r="K17" s="26">
        <v>11</v>
      </c>
      <c r="L17" s="26" cm="1">
        <f t="array" ref="L17">IF(D17&gt;0,IF($D17&lt;=0,0,D17*H17),"")</f>
        <v>690000</v>
      </c>
      <c r="M17" s="26" cm="1">
        <f t="array" ref="M17">IF(E17&gt;0,IF($D17&lt;=0,0,ROUND(E17*I17,2)),"")</f>
        <v>630000</v>
      </c>
      <c r="N17" s="26" cm="1">
        <f t="array" ref="N17">IF(F17&gt;0,IF($D17&lt;=0,0,ROUND(F17*J17,2)),"")</f>
        <v>630000</v>
      </c>
      <c r="O17" s="28"/>
    </row>
    <row r="18" ht="20.5" customHeight="1">
      <c r="A18" s="95">
        <v>8</v>
      </c>
      <c r="B18" t="s" s="19">
        <v>121</v>
      </c>
      <c r="C18" s="20"/>
      <c r="D18" s="21">
        <v>1</v>
      </c>
      <c r="E18" s="21" cm="1">
        <f t="array" ref="E18">D18</f>
        <v>1</v>
      </c>
      <c r="F18" s="21" cm="1">
        <f t="array" ref="F18">D18</f>
        <v>1</v>
      </c>
      <c r="G18" t="s" s="22">
        <v>408</v>
      </c>
      <c r="H18" s="21">
        <v>150000</v>
      </c>
      <c r="I18" s="21">
        <v>135000</v>
      </c>
      <c r="J18" s="21">
        <v>135000</v>
      </c>
      <c r="K18" s="21">
        <v>11</v>
      </c>
      <c r="L18" s="21" cm="1">
        <f t="array" ref="L18">IF(D18&gt;0,IF($D18&lt;=0,0,D18*H18),"")</f>
        <v>150000</v>
      </c>
      <c r="M18" s="21" cm="1">
        <f t="array" ref="M18">IF(E18&gt;0,IF($D18&lt;=0,0,ROUND(E18*I18,2)),"")</f>
        <v>135000</v>
      </c>
      <c r="N18" s="21" cm="1">
        <f t="array" ref="N18">IF(F18&gt;0,IF($D18&lt;=0,0,ROUND(F18*J18,2)),"")</f>
        <v>135000</v>
      </c>
      <c r="O18" s="91"/>
    </row>
    <row r="19" ht="20.5" customHeight="1">
      <c r="A19" t="s" s="18">
        <v>80</v>
      </c>
      <c r="B19" t="s" s="19">
        <v>81</v>
      </c>
      <c r="C19" s="24"/>
      <c r="D19" s="30"/>
      <c r="E19" s="26"/>
      <c r="F19" s="26"/>
      <c r="G19" s="30"/>
      <c r="H19" s="284"/>
      <c r="I19" s="284"/>
      <c r="J19" s="284"/>
      <c r="K19" s="26"/>
      <c r="L19" t="str" s="30" cm="1">
        <f t="array" ref="L19">IF(D19&gt;0,IF($D19&lt;=0,0,D19*H19),"")</f>
      </c>
      <c r="M19" t="str" s="30" cm="1">
        <f t="array" ref="M19">IF(E19&gt;0,IF($D19&lt;=0,0,ROUND(E19*I19,2)),"")</f>
      </c>
      <c r="N19" t="str" s="30" cm="1">
        <f t="array" ref="N19">IF(F19&gt;0,IF($D19&lt;=0,0,ROUND(F19*J19,2)),"")</f>
      </c>
      <c r="O19" t="s" s="371">
        <v>80</v>
      </c>
    </row>
    <row r="20" ht="20.6" customHeight="1">
      <c r="A20" s="96"/>
      <c r="B20" t="s" s="34">
        <v>82</v>
      </c>
      <c r="C20" s="35"/>
      <c r="D20" s="36">
        <v>1</v>
      </c>
      <c r="E20" s="36" cm="1">
        <f t="array" ref="E20">D20</f>
        <v>1</v>
      </c>
      <c r="F20" s="36" cm="1">
        <f t="array" ref="F20">D20</f>
        <v>1</v>
      </c>
      <c r="G20" t="s" s="37">
        <v>19</v>
      </c>
      <c r="H20" s="372">
        <v>80856</v>
      </c>
      <c r="I20" s="372">
        <v>80460</v>
      </c>
      <c r="J20" s="372">
        <v>80460</v>
      </c>
      <c r="K20" s="36">
        <v>0</v>
      </c>
      <c r="L20" s="36" cm="1">
        <f t="array" ref="L20">IF(D20&gt;0,IF($D20&lt;=0,0,D20*H20),"")</f>
        <v>80856</v>
      </c>
      <c r="M20" s="36" cm="1">
        <f t="array" ref="M20">IF(E20&gt;0,IF($D20&lt;=0,0,ROUND(E20*I20,2)),"")</f>
        <v>80460</v>
      </c>
      <c r="N20" s="36" cm="1">
        <f t="array" ref="N20">IF(F20&gt;0,IF($D20&lt;=0,0,ROUND(F20*J20,2)),"")</f>
        <v>80460</v>
      </c>
      <c r="O20" s="373"/>
    </row>
    <row r="21" ht="20.85" customHeight="1">
      <c r="A21" s="54"/>
      <c r="B21" s="54"/>
      <c r="C21" s="54"/>
      <c r="D21" s="55"/>
      <c r="E21" s="55"/>
      <c r="F21" s="55"/>
      <c r="G21" s="56"/>
      <c r="H21" s="56"/>
      <c r="I21" s="54"/>
      <c r="J21" s="57"/>
      <c r="K21" t="s" s="58">
        <v>38</v>
      </c>
      <c r="L21" s="59" cm="1">
        <f t="array" ref="L21">SUM(L1:L20)</f>
        <v>33770856</v>
      </c>
      <c r="M21" s="59" cm="1">
        <f t="array" ref="M21">SUM(M1:M20)</f>
        <v>33605460</v>
      </c>
      <c r="N21" s="59" cm="1">
        <f t="array" ref="N21">SUM(N1:N20)</f>
        <v>33605460</v>
      </c>
      <c r="O21" s="59"/>
    </row>
    <row r="22" ht="21" customHeight="1">
      <c r="A22" s="62"/>
      <c r="B22" t="s" s="61">
        <v>39</v>
      </c>
      <c r="C22" s="62"/>
      <c r="D22" s="63" cm="1">
        <f t="array" ref="D22">ROUND(IF(L22&lt;=100000000,L22*0.24%,IF(AND(L22&gt;100000000,L22&lt;=500000000),100000000*0.24%+(L22-100000000)*0.19%,IF(AND(L22&gt;500000000,L22&lt;=1000000000),100000000*0.24%+400000000*0.19%+(L22-500000000)*0.15%,IF(AND(L22&gt;1000000000,L22&lt;=5000000000),100000000*0.24%+400000000*0.19%+500000000*0.15%+(L22-1000000000)*0.12%,IF(L22&gt;5000000000,100000000*0.24%+400000000*0.19%+500000000*0.15%+4000000000*0.12%+(L22-5000000000)*0.1%,"Bingung komputer"))))),2)</f>
        <v>80856</v>
      </c>
      <c r="E22" s="64" cm="1">
        <f t="array" ref="E22">ROUND(IF(M22&lt;=100000000,M22*0.24%,IF(AND(M22&gt;100000000,M22&lt;=500000000),100000000*0.24%+(M22-100000000)*0.19%,IF(AND(M22&gt;500000000,M22&lt;=1000000000),100000000*0.24%+400000000*0.19%+(M22-500000000)*0.15%,IF(AND(M22&gt;1000000000,M22&lt;=5000000000),100000000*0.24%+400000000*0.19%+500000000*0.15%+(M22-1000000000)*0.12%,IF(M22&gt;5000000000,100000000*0.24%+400000000*0.19%+500000000*0.15%+4000000000*0.12%+(M22-5000000000)*0.1%,"Bingung komputer"))))),2)</f>
        <v>80460</v>
      </c>
      <c r="F22" s="64" cm="1">
        <f t="array" ref="F22">ROUND(IF(N22&lt;=100000000,N22*0.24%,IF(AND(N22&gt;100000000,N22&lt;=500000000),100000000*0.24%+(N22-100000000)*0.19%,IF(AND(N22&gt;500000000,N22&lt;=1000000000),100000000*0.24%+400000000*0.19%+(N22-500000000)*0.15%,IF(AND(N22&gt;1000000000,N22&lt;=5000000000),100000000*0.24%+400000000*0.19%+500000000*0.15%+(N22-1000000000)*0.12%,IF(N22&gt;5000000000,100000000*0.24%+400000000*0.19%+500000000*0.15%+4000000000*0.12%+(N22-5000000000)*0.1%,"Bingung komputer"))))),2)</f>
        <v>80460</v>
      </c>
      <c r="G22" s="65"/>
      <c r="H22" s="66"/>
      <c r="I22" s="62"/>
      <c r="J22" s="67"/>
      <c r="K22" t="str" s="67" cm="1">
        <f t="array" ref="K22">"Jumlah Terkena Pajak "&amp;MAX(K3:K20)&amp;"% (B)"</f>
        <v>Jumlah Terkena Pajak 11,00% (B)</v>
      </c>
      <c r="L22" s="68" cm="1">
        <f t="array" ref="L22">SUMIF($K3:$K20,"&gt;0",L3:L20)</f>
        <v>33690000</v>
      </c>
      <c r="M22" s="68" cm="1">
        <f t="array" ref="M22">SUMIF($K3:$K20,"&gt;0",M3:M20)</f>
        <v>33525000</v>
      </c>
      <c r="N22" s="68" cm="1">
        <f t="array" ref="N22">SUMIF($K3:$K20,"&gt;0",N3:N20)</f>
        <v>33525000</v>
      </c>
      <c r="O22" s="69"/>
    </row>
    <row r="23" ht="21" customHeight="1">
      <c r="A23" s="71"/>
      <c r="B23" s="71"/>
      <c r="C23" s="71"/>
      <c r="D23" s="72"/>
      <c r="E23" s="72"/>
      <c r="F23" s="112">
        <v>37500000</v>
      </c>
      <c r="G23" s="72"/>
      <c r="H23" s="72"/>
      <c r="I23" s="71"/>
      <c r="J23" s="73"/>
      <c r="K23" t="str" s="73" cm="1">
        <f t="array" ref="K23">"PPN (C) = "&amp;MAX(K3:K20)&amp;"% x B"</f>
        <v>PPN (C) = 11,00% x B</v>
      </c>
      <c r="L23" s="74" cm="1">
        <f t="array" ref="L23">L22*MAX($K3:$K20)%</f>
        <v>3705900</v>
      </c>
      <c r="M23" s="74" cm="1">
        <f t="array" ref="M23">M22*MAX($K3:$K20)%</f>
        <v>3687750</v>
      </c>
      <c r="N23" s="74" cm="1">
        <f t="array" ref="N23">N22*MAX($K3:$K20)%</f>
        <v>3687750</v>
      </c>
      <c r="O23" s="69"/>
    </row>
    <row r="24" ht="21" customHeight="1">
      <c r="A24" s="71"/>
      <c r="B24" s="71"/>
      <c r="C24" s="71"/>
      <c r="D24" s="72"/>
      <c r="E24" s="72"/>
      <c r="F24" s="72"/>
      <c r="G24" s="72"/>
      <c r="H24" s="72"/>
      <c r="I24" s="71"/>
      <c r="J24" s="73"/>
      <c r="K24" t="s" s="75">
        <v>42</v>
      </c>
      <c r="L24" s="74" cm="1">
        <f t="array" ref="L24">L21+L23</f>
        <v>37476756</v>
      </c>
      <c r="M24" s="74" cm="1">
        <f t="array" ref="M24">M21+M23</f>
        <v>37293210</v>
      </c>
      <c r="N24" s="74" cm="1">
        <f t="array" ref="N24">N21+N23</f>
        <v>37293210</v>
      </c>
      <c r="O24" s="69"/>
    </row>
    <row r="25" ht="20.5" customHeight="1">
      <c r="A25" s="71"/>
      <c r="B25" s="71"/>
      <c r="C25" s="71"/>
      <c r="D25" s="72"/>
      <c r="E25" s="72"/>
      <c r="F25" s="72"/>
      <c r="G25" s="72"/>
      <c r="H25" s="72"/>
      <c r="I25" s="71"/>
      <c r="J25" s="73"/>
      <c r="K25" t="s" s="75">
        <v>43</v>
      </c>
      <c r="L25" s="74" cm="1">
        <f t="array" ref="L25">ROUNDDOWN(L24,2)</f>
        <v>37476756</v>
      </c>
      <c r="M25" s="74" cm="1">
        <f t="array" ref="M25">ROUNDDOWN(M24,2)</f>
        <v>37293210</v>
      </c>
      <c r="N25" s="74" cm="1">
        <f t="array" ref="N25">ROUNDDOWN(N24,-3)</f>
        <v>37293000</v>
      </c>
      <c r="O25" s="68"/>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74.xml><?xml version="1.0" encoding="utf-8"?>
<worksheet xmlns:r="http://schemas.openxmlformats.org/officeDocument/2006/relationships" xmlns="http://schemas.openxmlformats.org/spreadsheetml/2006/main">
  <sheetPr>
    <pageSetUpPr fitToPage="1"/>
  </sheetPr>
  <dimension ref="A1:O25"/>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7.17188" style="374" customWidth="1"/>
    <col min="2" max="2" width="43.0312" style="374" customWidth="1"/>
    <col min="3" max="3" width="2.75" style="374" customWidth="1"/>
    <col min="4" max="6" width="10.3672" style="374" customWidth="1"/>
    <col min="7" max="7" width="11.6875" style="374" customWidth="1"/>
    <col min="8" max="11" width="13.5156" style="374" customWidth="1"/>
    <col min="12" max="15" width="14.2344" style="374" customWidth="1"/>
    <col min="16" max="16384" width="16.3516" style="374" customWidth="1"/>
  </cols>
  <sheetData>
    <row r="1" ht="20.5" customHeight="1">
      <c r="A1" t="s" s="7">
        <v>6</v>
      </c>
      <c r="B1" t="s" s="7">
        <v>7</v>
      </c>
      <c r="C1" s="8"/>
      <c r="D1" t="s" s="7">
        <v>8</v>
      </c>
      <c r="E1" s="8"/>
      <c r="F1" s="8"/>
      <c r="G1" t="s" s="7">
        <v>9</v>
      </c>
      <c r="H1" t="s" s="7">
        <v>10</v>
      </c>
      <c r="I1" s="8"/>
      <c r="J1" s="8"/>
      <c r="K1" t="s" s="7">
        <v>11</v>
      </c>
      <c r="L1" t="s" s="7">
        <v>12</v>
      </c>
      <c r="M1" s="8"/>
      <c r="N1" s="8"/>
      <c r="O1" s="88"/>
    </row>
    <row r="2" ht="20.85" customHeight="1">
      <c r="A2" s="9"/>
      <c r="B2" s="9"/>
      <c r="C2" s="9"/>
      <c r="D2" t="s" s="10">
        <v>13</v>
      </c>
      <c r="E2" t="s" s="10">
        <v>14</v>
      </c>
      <c r="F2" t="s" s="10">
        <v>15</v>
      </c>
      <c r="G2" s="9"/>
      <c r="H2" t="s" s="10">
        <v>13</v>
      </c>
      <c r="I2" t="s" s="10">
        <v>14</v>
      </c>
      <c r="J2" t="s" s="10">
        <v>15</v>
      </c>
      <c r="K2" s="9"/>
      <c r="L2" t="s" s="10">
        <v>13</v>
      </c>
      <c r="M2" t="s" s="10">
        <v>14</v>
      </c>
      <c r="N2" t="s" s="10">
        <v>15</v>
      </c>
      <c r="O2" s="89"/>
    </row>
    <row r="3" ht="20.6" customHeight="1">
      <c r="A3" t="s" s="90">
        <v>51</v>
      </c>
      <c r="B3" t="s" s="12">
        <v>52</v>
      </c>
      <c r="C3" s="13"/>
      <c r="D3" s="14"/>
      <c r="E3" s="14"/>
      <c r="F3" s="14"/>
      <c r="G3" s="15"/>
      <c r="H3" s="15"/>
      <c r="I3" s="15"/>
      <c r="J3" s="15"/>
      <c r="K3" s="15"/>
      <c r="L3" t="str" s="16" cm="1">
        <f t="array" ref="L3">IF(D3&gt;0,IF($D3&lt;=0,0,D3*H3),"")</f>
      </c>
      <c r="M3" t="str" s="16" cm="1">
        <f t="array" ref="M3">IF(E3&gt;0,IF($D3&lt;=0,0,ROUND(E3*I3,2)),"")</f>
      </c>
      <c r="N3" t="str" s="16" cm="1">
        <f t="array" ref="N3">IF(F3&gt;0,IF($D3&lt;=0,0,ROUND(F3*J3,2)),"")</f>
      </c>
      <c r="O3" s="17"/>
    </row>
    <row r="4" ht="20.5" customHeight="1">
      <c r="A4" t="s" s="18">
        <v>53</v>
      </c>
      <c r="B4" t="s" s="19">
        <v>54</v>
      </c>
      <c r="C4" s="20"/>
      <c r="D4" s="21"/>
      <c r="E4" s="21"/>
      <c r="F4" s="21"/>
      <c r="G4" s="79"/>
      <c r="H4" s="21"/>
      <c r="I4" s="79"/>
      <c r="J4" s="21"/>
      <c r="K4" s="21"/>
      <c r="L4" t="str" s="79" cm="1">
        <f t="array" ref="L4">IF(D4&gt;0,IF($D4&lt;=0,0,D4*H4),"")</f>
      </c>
      <c r="M4" t="str" s="79" cm="1">
        <f t="array" ref="M4">IF(E4&gt;0,IF($D4&lt;=0,0,ROUND(E4*I4,2)),"")</f>
      </c>
      <c r="N4" t="str" s="79" cm="1">
        <f t="array" ref="N4">IF(F4&gt;0,IF($D4&lt;=0,0,ROUND(F4*J4,2)),"")</f>
      </c>
      <c r="O4" s="91"/>
    </row>
    <row r="5" ht="20.5" customHeight="1">
      <c r="A5" s="92">
        <v>1</v>
      </c>
      <c r="B5" t="s" s="19">
        <v>518</v>
      </c>
      <c r="C5" s="24"/>
      <c r="D5" s="26">
        <v>2</v>
      </c>
      <c r="E5" s="26" cm="1">
        <f t="array" ref="E5">D5</f>
        <v>2</v>
      </c>
      <c r="F5" s="26" cm="1">
        <f t="array" ref="F5">D5</f>
        <v>2</v>
      </c>
      <c r="G5" t="s" s="27">
        <v>56</v>
      </c>
      <c r="H5" s="26">
        <v>8000000</v>
      </c>
      <c r="I5" s="26">
        <v>8000000</v>
      </c>
      <c r="J5" s="26">
        <v>8000000</v>
      </c>
      <c r="K5" s="26">
        <v>11</v>
      </c>
      <c r="L5" s="26" cm="1">
        <f t="array" ref="L5">IF(D5&gt;0,IF($D5&lt;=0,0,D5*H5),"")</f>
        <v>16000000</v>
      </c>
      <c r="M5" s="26" cm="1">
        <f t="array" ref="M5">IF(E5&gt;0,IF($D5&lt;=0,0,ROUND(E5*I5,2)),"")</f>
        <v>16000000</v>
      </c>
      <c r="N5" s="26" cm="1">
        <f t="array" ref="N5">IF(F5&gt;0,IF($D5&lt;=0,0,ROUND(F5*J5,2)),"")</f>
        <v>16000000</v>
      </c>
      <c r="O5" s="28" cm="1">
        <f t="array" ref="O5">L5/L$21</f>
        <v>0.710671947433017</v>
      </c>
    </row>
    <row r="6" ht="20.5" customHeight="1">
      <c r="A6" t="s" s="93">
        <v>58</v>
      </c>
      <c r="B6" t="s" s="19">
        <v>59</v>
      </c>
      <c r="C6" s="20"/>
      <c r="D6" s="21"/>
      <c r="E6" s="21"/>
      <c r="F6" s="21"/>
      <c r="G6" s="79"/>
      <c r="H6" s="21"/>
      <c r="I6" s="21"/>
      <c r="J6" s="21"/>
      <c r="K6" s="21"/>
      <c r="L6" t="str" s="79" cm="1">
        <f t="array" ref="L6">IF(D6&gt;0,IF($D6&lt;=0,0,D6*H6),"")</f>
      </c>
      <c r="M6" t="str" s="79" cm="1">
        <f t="array" ref="M6">IF(E6&gt;0,IF($D6&lt;=0,0,ROUND(E6*I6,2)),"")</f>
      </c>
      <c r="N6" t="str" s="79" cm="1">
        <f t="array" ref="N6">IF(F6&gt;0,IF($D6&lt;=0,0,ROUND(F6*J6,2)),"")</f>
      </c>
      <c r="O6" s="91"/>
    </row>
    <row r="7" ht="20.5" customHeight="1">
      <c r="A7" t="s" s="18">
        <v>53</v>
      </c>
      <c r="B7" t="s" s="19">
        <v>519</v>
      </c>
      <c r="C7" s="24"/>
      <c r="D7" s="26"/>
      <c r="E7" s="26"/>
      <c r="F7" s="26"/>
      <c r="G7" s="30"/>
      <c r="H7" s="26"/>
      <c r="I7" s="26"/>
      <c r="J7" s="26"/>
      <c r="K7" s="26"/>
      <c r="L7" t="str" s="30" cm="1">
        <f t="array" ref="L7">IF(D7&gt;0,IF($D7&lt;=0,0,D7*H7),"")</f>
      </c>
      <c r="M7" t="str" s="30" cm="1">
        <f t="array" ref="M7">IF(E7&gt;0,IF($D7&lt;=0,0,ROUND(E7*I7,2)),"")</f>
      </c>
      <c r="N7" t="str" s="30" cm="1">
        <f t="array" ref="N7">IF(F7&gt;0,IF($D7&lt;=0,0,ROUND(F7*J7,2)),"")</f>
      </c>
      <c r="O7" s="31"/>
    </row>
    <row r="8" ht="20.5" customHeight="1">
      <c r="A8" s="94">
        <v>1</v>
      </c>
      <c r="B8" t="s" s="19">
        <v>520</v>
      </c>
      <c r="C8" s="20"/>
      <c r="D8" s="21">
        <v>1</v>
      </c>
      <c r="E8" s="21" cm="1">
        <f t="array" ref="E8">D8</f>
        <v>1</v>
      </c>
      <c r="F8" s="21" cm="1">
        <f t="array" ref="F8">D8</f>
        <v>1</v>
      </c>
      <c r="G8" t="s" s="22">
        <v>408</v>
      </c>
      <c r="H8" s="21">
        <v>800000</v>
      </c>
      <c r="I8" s="21">
        <v>780000</v>
      </c>
      <c r="J8" s="21">
        <v>780000</v>
      </c>
      <c r="K8" s="21">
        <v>11</v>
      </c>
      <c r="L8" s="21" cm="1">
        <f t="array" ref="L8">IF(D8&gt;0,IF($D8&lt;=0,0,D8*H8),"")</f>
        <v>800000</v>
      </c>
      <c r="M8" s="21" cm="1">
        <f t="array" ref="M8">IF(E8&gt;0,IF($D8&lt;=0,0,ROUND(E8*I8,2)),"")</f>
        <v>780000</v>
      </c>
      <c r="N8" s="21" cm="1">
        <f t="array" ref="N8">IF(F8&gt;0,IF($D8&lt;=0,0,ROUND(F8*J8,2)),"")</f>
        <v>780000</v>
      </c>
      <c r="O8" s="23"/>
    </row>
    <row r="9" ht="20.5" customHeight="1">
      <c r="A9" s="95">
        <v>2</v>
      </c>
      <c r="B9" t="s" s="19">
        <v>521</v>
      </c>
      <c r="C9" s="24"/>
      <c r="D9" s="26">
        <v>1</v>
      </c>
      <c r="E9" s="26" cm="1">
        <f t="array" ref="E9">D9</f>
        <v>1</v>
      </c>
      <c r="F9" s="26" cm="1">
        <f t="array" ref="F9">D9</f>
        <v>1</v>
      </c>
      <c r="G9" t="s" s="27">
        <v>408</v>
      </c>
      <c r="H9" s="26">
        <v>800000</v>
      </c>
      <c r="I9" s="26">
        <v>780000</v>
      </c>
      <c r="J9" s="26">
        <v>780000</v>
      </c>
      <c r="K9" s="26">
        <v>11</v>
      </c>
      <c r="L9" s="26" cm="1">
        <f t="array" ref="L9">IF(D9&gt;0,IF($D9&lt;=0,0,D9*H9),"")</f>
        <v>800000</v>
      </c>
      <c r="M9" s="26" cm="1">
        <f t="array" ref="M9">IF(E9&gt;0,IF($D9&lt;=0,0,ROUND(E9*I9,2)),"")</f>
        <v>780000</v>
      </c>
      <c r="N9" s="26" cm="1">
        <f t="array" ref="N9">IF(F9&gt;0,IF($D9&lt;=0,0,ROUND(F9*J9,2)),"")</f>
        <v>780000</v>
      </c>
      <c r="O9" s="28"/>
    </row>
    <row r="10" ht="20.5" customHeight="1">
      <c r="A10" s="95">
        <v>2</v>
      </c>
      <c r="B10" t="s" s="19">
        <v>522</v>
      </c>
      <c r="C10" s="20"/>
      <c r="D10" s="21">
        <v>1</v>
      </c>
      <c r="E10" s="21" cm="1">
        <f t="array" ref="E10">D10</f>
        <v>1</v>
      </c>
      <c r="F10" s="21" cm="1">
        <f t="array" ref="F10">D10</f>
        <v>1</v>
      </c>
      <c r="G10" t="s" s="22">
        <v>408</v>
      </c>
      <c r="H10" s="21">
        <v>770000</v>
      </c>
      <c r="I10" s="21">
        <v>750000</v>
      </c>
      <c r="J10" s="21">
        <v>750000</v>
      </c>
      <c r="K10" s="21">
        <v>11</v>
      </c>
      <c r="L10" s="21" cm="1">
        <f t="array" ref="L10">IF(D10&gt;0,IF($D10&lt;=0,0,D10*H10),"")</f>
        <v>770000</v>
      </c>
      <c r="M10" s="21" cm="1">
        <f t="array" ref="M10">IF(E10&gt;0,IF($D10&lt;=0,0,ROUND(E10*I10,2)),"")</f>
        <v>750000</v>
      </c>
      <c r="N10" s="21" cm="1">
        <f t="array" ref="N10">IF(F10&gt;0,IF($D10&lt;=0,0,ROUND(F10*J10,2)),"")</f>
        <v>750000</v>
      </c>
      <c r="O10" s="23"/>
    </row>
    <row r="11" ht="20.5" customHeight="1">
      <c r="A11" s="94"/>
      <c r="B11" t="s" s="19">
        <v>66</v>
      </c>
      <c r="C11" s="24"/>
      <c r="D11" s="26"/>
      <c r="E11" s="26"/>
      <c r="F11" s="26"/>
      <c r="G11" s="30"/>
      <c r="H11" s="26"/>
      <c r="I11" s="26"/>
      <c r="J11" s="26"/>
      <c r="K11" s="26"/>
      <c r="L11" t="str" s="30" cm="1">
        <f t="array" ref="L11">IF(D11&gt;0,IF($D11&lt;=0,0,D11*H11),"")</f>
      </c>
      <c r="M11" t="str" s="30" cm="1">
        <f t="array" ref="M11">IF(E11&gt;0,IF($D11&lt;=0,0,ROUND(E11*I11,2)),"")</f>
      </c>
      <c r="N11" t="str" s="30" cm="1">
        <f t="array" ref="N11">IF(F11&gt;0,IF($D11&lt;=0,0,ROUND(F11*J11,2)),"")</f>
      </c>
      <c r="O11" s="28"/>
    </row>
    <row r="12" ht="20.5" customHeight="1">
      <c r="A12" s="94">
        <v>3</v>
      </c>
      <c r="B12" t="s" s="19">
        <v>67</v>
      </c>
      <c r="C12" s="20"/>
      <c r="D12" s="21">
        <v>1</v>
      </c>
      <c r="E12" s="21" cm="1">
        <f t="array" ref="E12">D12</f>
        <v>1</v>
      </c>
      <c r="F12" s="21" cm="1">
        <f t="array" ref="F12">D12</f>
        <v>1</v>
      </c>
      <c r="G12" t="s" s="22">
        <v>408</v>
      </c>
      <c r="H12" s="21">
        <v>150000</v>
      </c>
      <c r="I12" s="21">
        <v>150000</v>
      </c>
      <c r="J12" s="21">
        <v>150000</v>
      </c>
      <c r="K12" s="21">
        <v>11</v>
      </c>
      <c r="L12" s="21" cm="1">
        <f t="array" ref="L12">IF(D12&gt;0,IF($D12&lt;=0,0,D12*H12),"")</f>
        <v>150000</v>
      </c>
      <c r="M12" s="21" cm="1">
        <f t="array" ref="M12">IF(E12&gt;0,IF($D12&lt;=0,0,ROUND(E12*I12,2)),"")</f>
        <v>150000</v>
      </c>
      <c r="N12" s="21" cm="1">
        <f t="array" ref="N12">IF(F12&gt;0,IF($D12&lt;=0,0,ROUND(F12*J12,2)),"")</f>
        <v>150000</v>
      </c>
      <c r="O12" s="23"/>
    </row>
    <row r="13" ht="20.5" customHeight="1">
      <c r="A13" s="94">
        <v>4</v>
      </c>
      <c r="B13" t="s" s="19">
        <v>69</v>
      </c>
      <c r="C13" s="24"/>
      <c r="D13" s="26">
        <v>1</v>
      </c>
      <c r="E13" s="26" cm="1">
        <f t="array" ref="E13">D13</f>
        <v>1</v>
      </c>
      <c r="F13" s="26" cm="1">
        <f t="array" ref="F13">D13</f>
        <v>1</v>
      </c>
      <c r="G13" t="s" s="27">
        <v>408</v>
      </c>
      <c r="H13" s="26">
        <v>700000</v>
      </c>
      <c r="I13" s="26">
        <v>700000</v>
      </c>
      <c r="J13" s="26">
        <v>700000</v>
      </c>
      <c r="K13" s="26">
        <v>11</v>
      </c>
      <c r="L13" s="26" cm="1">
        <f t="array" ref="L13">IF(D13&gt;0,IF($D13&lt;=0,0,D13*H13),"")</f>
        <v>700000</v>
      </c>
      <c r="M13" s="26" cm="1">
        <f t="array" ref="M13">IF(E13&gt;0,IF($D13&lt;=0,0,ROUND(E13*I13,2)),"")</f>
        <v>700000</v>
      </c>
      <c r="N13" s="26" cm="1">
        <f t="array" ref="N13">IF(F13&gt;0,IF($D13&lt;=0,0,ROUND(F13*J13,2)),"")</f>
        <v>700000</v>
      </c>
      <c r="O13" s="28"/>
    </row>
    <row r="14" ht="20.5" customHeight="1">
      <c r="A14" s="29"/>
      <c r="B14" t="s" s="19">
        <v>70</v>
      </c>
      <c r="C14" s="20"/>
      <c r="D14" s="21"/>
      <c r="E14" s="21"/>
      <c r="F14" s="21"/>
      <c r="G14" s="79"/>
      <c r="H14" s="21"/>
      <c r="I14" s="21"/>
      <c r="J14" s="21"/>
      <c r="K14" s="21"/>
      <c r="L14" t="str" s="79" cm="1">
        <f t="array" ref="L14">IF(D14&gt;0,IF($D14&lt;=0,0,D14*H14),"")</f>
      </c>
      <c r="M14" t="str" s="79" cm="1">
        <f t="array" ref="M14">IF(E14&gt;0,IF($D14&lt;=0,0,ROUND(E14*I14,2)),"")</f>
      </c>
      <c r="N14" t="str" s="79" cm="1">
        <f t="array" ref="N14">IF(F14&gt;0,IF($D14&lt;=0,0,ROUND(F14*J14,2)),"")</f>
      </c>
      <c r="O14" s="91"/>
    </row>
    <row r="15" ht="20.5" customHeight="1">
      <c r="A15" s="95">
        <v>5</v>
      </c>
      <c r="B15" t="s" s="19">
        <v>76</v>
      </c>
      <c r="C15" s="24"/>
      <c r="D15" s="26" cm="1">
        <f t="array" ref="D15">D5*3</f>
        <v>6</v>
      </c>
      <c r="E15" s="26" cm="1">
        <f t="array" ref="E15">D15</f>
        <v>6</v>
      </c>
      <c r="F15" s="26" cm="1">
        <f t="array" ref="F15">D15</f>
        <v>6</v>
      </c>
      <c r="G15" t="s" s="27">
        <v>75</v>
      </c>
      <c r="H15" s="26">
        <v>250000</v>
      </c>
      <c r="I15" s="26">
        <v>250000</v>
      </c>
      <c r="J15" s="26">
        <v>250000</v>
      </c>
      <c r="K15" s="26">
        <v>11</v>
      </c>
      <c r="L15" s="26" cm="1">
        <f t="array" ref="L15">IF(D15&gt;0,IF($D15&lt;=0,0,D15*H15),"")</f>
        <v>1500000</v>
      </c>
      <c r="M15" s="26" cm="1">
        <f t="array" ref="M15">IF(E15&gt;0,IF($D15&lt;=0,0,ROUND(E15*I15,2)),"")</f>
        <v>1500000</v>
      </c>
      <c r="N15" s="26" cm="1">
        <f t="array" ref="N15">IF(F15&gt;0,IF($D15&lt;=0,0,ROUND(F15*J15,2)),"")</f>
        <v>1500000</v>
      </c>
      <c r="O15" s="28"/>
    </row>
    <row r="16" ht="20.5" customHeight="1">
      <c r="A16" s="95">
        <v>6</v>
      </c>
      <c r="B16" t="s" s="19">
        <v>77</v>
      </c>
      <c r="C16" s="20"/>
      <c r="D16" s="21">
        <v>3</v>
      </c>
      <c r="E16" s="21" cm="1">
        <f t="array" ref="E16">D16</f>
        <v>3</v>
      </c>
      <c r="F16" s="21" cm="1">
        <f t="array" ref="F16">D16</f>
        <v>3</v>
      </c>
      <c r="G16" t="s" s="22">
        <v>75</v>
      </c>
      <c r="H16" s="21">
        <v>300000</v>
      </c>
      <c r="I16" s="21">
        <v>300000</v>
      </c>
      <c r="J16" s="21">
        <v>300000</v>
      </c>
      <c r="K16" s="21">
        <v>11</v>
      </c>
      <c r="L16" s="21" cm="1">
        <f t="array" ref="L16">IF(D16&gt;0,IF($D16&lt;=0,0,D16*H16),"")</f>
        <v>900000</v>
      </c>
      <c r="M16" s="21" cm="1">
        <f t="array" ref="M16">IF(E16&gt;0,IF($D16&lt;=0,0,ROUND(E16*I16,2)),"")</f>
        <v>900000</v>
      </c>
      <c r="N16" s="21" cm="1">
        <f t="array" ref="N16">IF(F16&gt;0,IF($D16&lt;=0,0,ROUND(F16*J16,2)),"")</f>
        <v>900000</v>
      </c>
      <c r="O16" s="23"/>
    </row>
    <row r="17" ht="20.5" customHeight="1">
      <c r="A17" s="95">
        <v>7</v>
      </c>
      <c r="B17" t="s" s="19">
        <v>523</v>
      </c>
      <c r="C17" s="24"/>
      <c r="D17" s="26">
        <v>3</v>
      </c>
      <c r="E17" s="26" cm="1">
        <f t="array" ref="E17">D17</f>
        <v>3</v>
      </c>
      <c r="F17" s="26" cm="1">
        <f t="array" ref="F17">D17</f>
        <v>3</v>
      </c>
      <c r="G17" t="s" s="27">
        <v>75</v>
      </c>
      <c r="H17" s="26">
        <v>230000</v>
      </c>
      <c r="I17" s="26">
        <v>230000</v>
      </c>
      <c r="J17" s="26">
        <v>230000</v>
      </c>
      <c r="K17" s="26">
        <v>11</v>
      </c>
      <c r="L17" s="26" cm="1">
        <f t="array" ref="L17">IF(D17&gt;0,IF($D17&lt;=0,0,D17*H17),"")</f>
        <v>690000</v>
      </c>
      <c r="M17" s="26" cm="1">
        <f t="array" ref="M17">IF(E17&gt;0,IF($D17&lt;=0,0,ROUND(E17*I17,2)),"")</f>
        <v>690000</v>
      </c>
      <c r="N17" s="26" cm="1">
        <f t="array" ref="N17">IF(F17&gt;0,IF($D17&lt;=0,0,ROUND(F17*J17,2)),"")</f>
        <v>690000</v>
      </c>
      <c r="O17" s="28"/>
    </row>
    <row r="18" ht="20.5" customHeight="1">
      <c r="A18" s="95">
        <v>8</v>
      </c>
      <c r="B18" t="s" s="19">
        <v>121</v>
      </c>
      <c r="C18" s="20"/>
      <c r="D18" s="21">
        <v>1</v>
      </c>
      <c r="E18" s="21" cm="1">
        <f t="array" ref="E18">D18</f>
        <v>1</v>
      </c>
      <c r="F18" s="21" cm="1">
        <f t="array" ref="F18">D18</f>
        <v>1</v>
      </c>
      <c r="G18" t="s" s="22">
        <v>408</v>
      </c>
      <c r="H18" s="21">
        <v>150000</v>
      </c>
      <c r="I18" s="21">
        <v>135000</v>
      </c>
      <c r="J18" s="21">
        <v>135000</v>
      </c>
      <c r="K18" s="21">
        <v>11</v>
      </c>
      <c r="L18" s="21" cm="1">
        <f t="array" ref="L18">IF(D18&gt;0,IF($D18&lt;=0,0,D18*H18),"")</f>
        <v>150000</v>
      </c>
      <c r="M18" s="21" cm="1">
        <f t="array" ref="M18">IF(E18&gt;0,IF($D18&lt;=0,0,ROUND(E18*I18,2)),"")</f>
        <v>135000</v>
      </c>
      <c r="N18" s="21" cm="1">
        <f t="array" ref="N18">IF(F18&gt;0,IF($D18&lt;=0,0,ROUND(F18*J18,2)),"")</f>
        <v>135000</v>
      </c>
      <c r="O18" s="91"/>
    </row>
    <row r="19" ht="20.5" customHeight="1">
      <c r="A19" t="s" s="18">
        <v>80</v>
      </c>
      <c r="B19" t="s" s="19">
        <v>81</v>
      </c>
      <c r="C19" s="24"/>
      <c r="D19" s="30"/>
      <c r="E19" s="26"/>
      <c r="F19" s="26"/>
      <c r="G19" s="30"/>
      <c r="H19" s="284"/>
      <c r="I19" s="284"/>
      <c r="J19" s="284"/>
      <c r="K19" s="26"/>
      <c r="L19" t="str" s="30" cm="1">
        <f t="array" ref="L19">IF(D19&gt;0,IF($D19&lt;=0,0,D19*H19),"")</f>
      </c>
      <c r="M19" t="str" s="30" cm="1">
        <f t="array" ref="M19">IF(E19&gt;0,IF($D19&lt;=0,0,ROUND(E19*I19,2)),"")</f>
      </c>
      <c r="N19" t="str" s="30" cm="1">
        <f t="array" ref="N19">IF(F19&gt;0,IF($D19&lt;=0,0,ROUND(F19*J19,2)),"")</f>
      </c>
      <c r="O19" t="s" s="371">
        <v>80</v>
      </c>
    </row>
    <row r="20" ht="20.6" customHeight="1">
      <c r="A20" s="96"/>
      <c r="B20" t="s" s="34">
        <v>82</v>
      </c>
      <c r="C20" s="35"/>
      <c r="D20" s="36">
        <v>1</v>
      </c>
      <c r="E20" s="36" cm="1">
        <f t="array" ref="E20">D20</f>
        <v>1</v>
      </c>
      <c r="F20" s="36" cm="1">
        <f t="array" ref="F20">D20</f>
        <v>1</v>
      </c>
      <c r="G20" t="s" s="37">
        <v>19</v>
      </c>
      <c r="H20" s="372">
        <v>53904</v>
      </c>
      <c r="I20" s="372">
        <v>53724</v>
      </c>
      <c r="J20" s="372">
        <v>53724</v>
      </c>
      <c r="K20" s="36">
        <v>0</v>
      </c>
      <c r="L20" s="36" cm="1">
        <f t="array" ref="L20">IF(D20&gt;0,IF($D20&lt;=0,0,D20*H20),"")</f>
        <v>53904</v>
      </c>
      <c r="M20" s="36" cm="1">
        <f t="array" ref="M20">IF(E20&gt;0,IF($D20&lt;=0,0,ROUND(E20*I20,2)),"")</f>
        <v>53724</v>
      </c>
      <c r="N20" s="36" cm="1">
        <f t="array" ref="N20">IF(F20&gt;0,IF($D20&lt;=0,0,ROUND(F20*J20,2)),"")</f>
        <v>53724</v>
      </c>
      <c r="O20" s="373"/>
    </row>
    <row r="21" ht="20.85" customHeight="1">
      <c r="A21" s="54"/>
      <c r="B21" s="54"/>
      <c r="C21" s="54"/>
      <c r="D21" s="55"/>
      <c r="E21" s="55"/>
      <c r="F21" s="55"/>
      <c r="G21" s="56"/>
      <c r="H21" s="56"/>
      <c r="I21" s="54"/>
      <c r="J21" s="57"/>
      <c r="K21" t="s" s="58">
        <v>38</v>
      </c>
      <c r="L21" s="59" cm="1">
        <f t="array" ref="L21">SUM(L1:L20)</f>
        <v>22513904</v>
      </c>
      <c r="M21" s="59" cm="1">
        <f t="array" ref="M21">SUM(M1:M20)</f>
        <v>22438724</v>
      </c>
      <c r="N21" s="59" cm="1">
        <f t="array" ref="N21">SUM(N1:N20)</f>
        <v>22438724</v>
      </c>
      <c r="O21" s="59"/>
    </row>
    <row r="22" ht="21" customHeight="1">
      <c r="A22" s="62"/>
      <c r="B22" t="s" s="61">
        <v>39</v>
      </c>
      <c r="C22" s="62"/>
      <c r="D22" s="63" cm="1">
        <f t="array" ref="D22">ROUND(IF(L22&lt;=100000000,L22*0.24%,IF(AND(L22&gt;100000000,L22&lt;=500000000),100000000*0.24%+(L22-100000000)*0.19%,IF(AND(L22&gt;500000000,L22&lt;=1000000000),100000000*0.24%+400000000*0.19%+(L22-500000000)*0.15%,IF(AND(L22&gt;1000000000,L22&lt;=5000000000),100000000*0.24%+400000000*0.19%+500000000*0.15%+(L22-1000000000)*0.12%,IF(L22&gt;5000000000,100000000*0.24%+400000000*0.19%+500000000*0.15%+4000000000*0.12%+(L22-5000000000)*0.1%,"Bingung komputer"))))),2)</f>
        <v>53904</v>
      </c>
      <c r="E22" s="64" cm="1">
        <f t="array" ref="E22">ROUND(IF(M22&lt;=100000000,M22*0.24%,IF(AND(M22&gt;100000000,M22&lt;=500000000),100000000*0.24%+(M22-100000000)*0.19%,IF(AND(M22&gt;500000000,M22&lt;=1000000000),100000000*0.24%+400000000*0.19%+(M22-500000000)*0.15%,IF(AND(M22&gt;1000000000,M22&lt;=5000000000),100000000*0.24%+400000000*0.19%+500000000*0.15%+(M22-1000000000)*0.12%,IF(M22&gt;5000000000,100000000*0.24%+400000000*0.19%+500000000*0.15%+4000000000*0.12%+(M22-5000000000)*0.1%,"Bingung komputer"))))),2)</f>
        <v>53724</v>
      </c>
      <c r="F22" s="64" cm="1">
        <f t="array" ref="F22">ROUND(IF(N22&lt;=100000000,N22*0.24%,IF(AND(N22&gt;100000000,N22&lt;=500000000),100000000*0.24%+(N22-100000000)*0.19%,IF(AND(N22&gt;500000000,N22&lt;=1000000000),100000000*0.24%+400000000*0.19%+(N22-500000000)*0.15%,IF(AND(N22&gt;1000000000,N22&lt;=5000000000),100000000*0.24%+400000000*0.19%+500000000*0.15%+(N22-1000000000)*0.12%,IF(N22&gt;5000000000,100000000*0.24%+400000000*0.19%+500000000*0.15%+4000000000*0.12%+(N22-5000000000)*0.1%,"Bingung komputer"))))),2)</f>
        <v>53724</v>
      </c>
      <c r="G22" s="65"/>
      <c r="H22" s="66"/>
      <c r="I22" s="62"/>
      <c r="J22" s="67"/>
      <c r="K22" t="str" s="67" cm="1">
        <f t="array" ref="K22">"Jumlah Terkena Pajak "&amp;MAX(K3:K20)&amp;"% (B)"</f>
        <v>Jumlah Terkena Pajak 11,00% (B)</v>
      </c>
      <c r="L22" s="68" cm="1">
        <f t="array" ref="L22">SUMIF($K3:$K20,"&gt;0",L3:L20)</f>
        <v>22460000</v>
      </c>
      <c r="M22" s="68" cm="1">
        <f t="array" ref="M22">SUMIF($K3:$K20,"&gt;0",M3:M20)</f>
        <v>22385000</v>
      </c>
      <c r="N22" s="68" cm="1">
        <f t="array" ref="N22">SUMIF($K3:$K20,"&gt;0",N3:N20)</f>
        <v>22385000</v>
      </c>
      <c r="O22" s="69"/>
    </row>
    <row r="23" ht="21" customHeight="1">
      <c r="A23" s="71"/>
      <c r="B23" s="71"/>
      <c r="C23" s="71"/>
      <c r="D23" s="72"/>
      <c r="E23" s="72"/>
      <c r="F23" s="112">
        <v>25000000</v>
      </c>
      <c r="G23" s="72"/>
      <c r="H23" s="72"/>
      <c r="I23" s="71"/>
      <c r="J23" s="73"/>
      <c r="K23" t="str" s="73" cm="1">
        <f t="array" ref="K23">"PPN (C) = "&amp;MAX(K3:K20)&amp;"% x B"</f>
        <v>PPN (C) = 11,00% x B</v>
      </c>
      <c r="L23" s="74" cm="1">
        <f t="array" ref="L23">L22*MAX($K3:$K20)%</f>
        <v>2470600</v>
      </c>
      <c r="M23" s="74" cm="1">
        <f t="array" ref="M23">M22*MAX($K3:$K20)%</f>
        <v>2462350</v>
      </c>
      <c r="N23" s="74" cm="1">
        <f t="array" ref="N23">N22*MAX($K3:$K20)%</f>
        <v>2462350</v>
      </c>
      <c r="O23" s="69"/>
    </row>
    <row r="24" ht="21" customHeight="1">
      <c r="A24" s="71"/>
      <c r="B24" s="71"/>
      <c r="C24" s="71"/>
      <c r="D24" s="72"/>
      <c r="E24" s="72"/>
      <c r="F24" s="72"/>
      <c r="G24" s="72"/>
      <c r="H24" s="72"/>
      <c r="I24" s="71"/>
      <c r="J24" s="73"/>
      <c r="K24" t="s" s="75">
        <v>42</v>
      </c>
      <c r="L24" s="74" cm="1">
        <f t="array" ref="L24">L21+L23</f>
        <v>24984504</v>
      </c>
      <c r="M24" s="74" cm="1">
        <f t="array" ref="M24">M21+M23</f>
        <v>24901074</v>
      </c>
      <c r="N24" s="74" cm="1">
        <f t="array" ref="N24">N21+N23</f>
        <v>24901074</v>
      </c>
      <c r="O24" s="69"/>
    </row>
    <row r="25" ht="20.5" customHeight="1">
      <c r="A25" s="71"/>
      <c r="B25" s="71"/>
      <c r="C25" s="71"/>
      <c r="D25" s="72"/>
      <c r="E25" s="72"/>
      <c r="F25" s="72"/>
      <c r="G25" s="72"/>
      <c r="H25" s="72"/>
      <c r="I25" s="71"/>
      <c r="J25" s="73"/>
      <c r="K25" t="s" s="75">
        <v>43</v>
      </c>
      <c r="L25" s="74" cm="1">
        <f t="array" ref="L25">ROUNDDOWN(L24,2)</f>
        <v>24984504</v>
      </c>
      <c r="M25" s="74" cm="1">
        <f t="array" ref="M25">ROUNDDOWN(M24,2)</f>
        <v>24901074</v>
      </c>
      <c r="N25" s="74" cm="1">
        <f t="array" ref="N25">ROUNDDOWN(N24,-3)</f>
        <v>24901000</v>
      </c>
      <c r="O25" s="68"/>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xl/worksheets/sheet175.xml><?xml version="1.0" encoding="utf-8"?>
<worksheet xmlns:r="http://schemas.openxmlformats.org/officeDocument/2006/relationships" xmlns="http://schemas.openxmlformats.org/spreadsheetml/2006/main">
  <sheetPr>
    <pageSetUpPr fitToPage="1"/>
  </sheetPr>
  <dimension ref="A1:O25"/>
  <sheetViews>
    <sheetView workbookViewId="0" showGridLines="0" defaultGridColor="1">
      <pane topLeftCell="C1" xSplit="2" ySplit="0" activePane="topRight" state="frozen"/>
    </sheetView>
  </sheetViews>
  <sheetFormatPr defaultColWidth="16.3333" defaultRowHeight="18" customHeight="1" outlineLevelRow="0" outlineLevelCol="0"/>
  <cols>
    <col min="1" max="1" width="7.17188" style="375" customWidth="1"/>
    <col min="2" max="2" width="43.0312" style="375" customWidth="1"/>
    <col min="3" max="3" width="2.75" style="375" customWidth="1"/>
    <col min="4" max="6" width="10.3672" style="375" customWidth="1"/>
    <col min="7" max="7" width="11.6875" style="375" customWidth="1"/>
    <col min="8" max="11" width="13.5156" style="375" customWidth="1"/>
    <col min="12" max="15" width="14.2344" style="375" customWidth="1"/>
    <col min="16" max="16384" width="16.3516" style="375" customWidth="1"/>
  </cols>
  <sheetData>
    <row r="1" ht="20.5" customHeight="1">
      <c r="A1" t="s" s="7">
        <v>6</v>
      </c>
      <c r="B1" t="s" s="7">
        <v>7</v>
      </c>
      <c r="C1" s="8"/>
      <c r="D1" t="s" s="7">
        <v>8</v>
      </c>
      <c r="E1" s="8"/>
      <c r="F1" s="8"/>
      <c r="G1" t="s" s="7">
        <v>9</v>
      </c>
      <c r="H1" t="s" s="7">
        <v>10</v>
      </c>
      <c r="I1" s="8"/>
      <c r="J1" s="8"/>
      <c r="K1" t="s" s="7">
        <v>11</v>
      </c>
      <c r="L1" t="s" s="7">
        <v>12</v>
      </c>
      <c r="M1" s="8"/>
      <c r="N1" s="8"/>
      <c r="O1" s="88"/>
    </row>
    <row r="2" ht="20.85" customHeight="1">
      <c r="A2" s="9"/>
      <c r="B2" s="9"/>
      <c r="C2" s="9"/>
      <c r="D2" t="s" s="10">
        <v>13</v>
      </c>
      <c r="E2" t="s" s="10">
        <v>14</v>
      </c>
      <c r="F2" t="s" s="10">
        <v>15</v>
      </c>
      <c r="G2" s="9"/>
      <c r="H2" t="s" s="10">
        <v>13</v>
      </c>
      <c r="I2" t="s" s="10">
        <v>14</v>
      </c>
      <c r="J2" t="s" s="10">
        <v>15</v>
      </c>
      <c r="K2" s="9"/>
      <c r="L2" t="s" s="10">
        <v>13</v>
      </c>
      <c r="M2" t="s" s="10">
        <v>14</v>
      </c>
      <c r="N2" t="s" s="10">
        <v>15</v>
      </c>
      <c r="O2" s="89"/>
    </row>
    <row r="3" ht="20.6" customHeight="1">
      <c r="A3" t="s" s="90">
        <v>51</v>
      </c>
      <c r="B3" t="s" s="12">
        <v>52</v>
      </c>
      <c r="C3" s="13"/>
      <c r="D3" s="14"/>
      <c r="E3" s="14"/>
      <c r="F3" s="14"/>
      <c r="G3" s="15"/>
      <c r="H3" s="15"/>
      <c r="I3" s="15"/>
      <c r="J3" s="15"/>
      <c r="K3" s="15"/>
      <c r="L3" t="str" s="16" cm="1">
        <f t="array" ref="L3">IF(D3&gt;0,IF($D3&lt;=0,0,D3*H3),"")</f>
      </c>
      <c r="M3" t="str" s="16" cm="1">
        <f t="array" ref="M3">IF(E3&gt;0,IF($D3&lt;=0,0,ROUND(E3*I3,2)),"")</f>
      </c>
      <c r="N3" t="str" s="16" cm="1">
        <f t="array" ref="N3">IF(F3&gt;0,IF($D3&lt;=0,0,ROUND(F3*J3,2)),"")</f>
      </c>
      <c r="O3" s="17"/>
    </row>
    <row r="4" ht="20.5" customHeight="1">
      <c r="A4" t="s" s="18">
        <v>53</v>
      </c>
      <c r="B4" t="s" s="19">
        <v>54</v>
      </c>
      <c r="C4" s="20"/>
      <c r="D4" s="21"/>
      <c r="E4" s="21"/>
      <c r="F4" s="21"/>
      <c r="G4" s="79"/>
      <c r="H4" s="21"/>
      <c r="I4" s="79"/>
      <c r="J4" s="21"/>
      <c r="K4" s="21"/>
      <c r="L4" t="str" s="79" cm="1">
        <f t="array" ref="L4">IF(D4&gt;0,IF($D4&lt;=0,0,D4*H4),"")</f>
      </c>
      <c r="M4" t="str" s="79" cm="1">
        <f t="array" ref="M4">IF(E4&gt;0,IF($D4&lt;=0,0,ROUND(E4*I4,2)),"")</f>
      </c>
      <c r="N4" t="str" s="79" cm="1">
        <f t="array" ref="N4">IF(F4&gt;0,IF($D4&lt;=0,0,ROUND(F4*J4,2)),"")</f>
      </c>
      <c r="O4" s="91"/>
    </row>
    <row r="5" ht="20.5" customHeight="1">
      <c r="A5" s="92">
        <v>1</v>
      </c>
      <c r="B5" t="s" s="19">
        <v>518</v>
      </c>
      <c r="C5" s="24"/>
      <c r="D5" s="26">
        <v>2</v>
      </c>
      <c r="E5" s="26" cm="1">
        <f t="array" ref="E5">D5</f>
        <v>2</v>
      </c>
      <c r="F5" s="26" cm="1">
        <f t="array" ref="F5">D5</f>
        <v>2</v>
      </c>
      <c r="G5" t="s" s="27">
        <v>56</v>
      </c>
      <c r="H5" s="26">
        <v>6500000</v>
      </c>
      <c r="I5" s="26">
        <v>6500000</v>
      </c>
      <c r="J5" s="26">
        <v>6500000</v>
      </c>
      <c r="K5" s="26">
        <v>11</v>
      </c>
      <c r="L5" s="26" cm="1">
        <f t="array" ref="L5">IF(D5&gt;0,IF($D5&lt;=0,0,D5*H5),"")</f>
        <v>13000000</v>
      </c>
      <c r="M5" s="26" cm="1">
        <f t="array" ref="M5">IF(E5&gt;0,IF($D5&lt;=0,0,ROUND(E5*I5,2)),"")</f>
        <v>13000000</v>
      </c>
      <c r="N5" s="26" cm="1">
        <f t="array" ref="N5">IF(F5&gt;0,IF($D5&lt;=0,0,ROUND(F5*J5,2)),"")</f>
        <v>13000000</v>
      </c>
      <c r="O5" s="28" cm="1">
        <f t="array" ref="O5">L5/L$21</f>
        <v>0.722499983326923</v>
      </c>
    </row>
    <row r="6" ht="20.5" customHeight="1">
      <c r="A6" t="s" s="93">
        <v>58</v>
      </c>
      <c r="B6" t="s" s="19">
        <v>59</v>
      </c>
      <c r="C6" s="20"/>
      <c r="D6" s="21"/>
      <c r="E6" s="21"/>
      <c r="F6" s="21"/>
      <c r="G6" s="79"/>
      <c r="H6" s="21"/>
      <c r="I6" s="21"/>
      <c r="J6" s="21"/>
      <c r="K6" s="21"/>
      <c r="L6" t="str" s="79" cm="1">
        <f t="array" ref="L6">IF(D6&gt;0,IF($D6&lt;=0,0,D6*H6),"")</f>
      </c>
      <c r="M6" t="str" s="79" cm="1">
        <f t="array" ref="M6">IF(E6&gt;0,IF($D6&lt;=0,0,ROUND(E6*I6,2)),"")</f>
      </c>
      <c r="N6" t="str" s="79" cm="1">
        <f t="array" ref="N6">IF(F6&gt;0,IF($D6&lt;=0,0,ROUND(F6*J6,2)),"")</f>
      </c>
      <c r="O6" s="91"/>
    </row>
    <row r="7" ht="20.5" customHeight="1">
      <c r="A7" t="s" s="18">
        <v>53</v>
      </c>
      <c r="B7" t="s" s="19">
        <v>519</v>
      </c>
      <c r="C7" s="24"/>
      <c r="D7" s="26"/>
      <c r="E7" s="26"/>
      <c r="F7" s="26"/>
      <c r="G7" s="30"/>
      <c r="H7" s="26"/>
      <c r="I7" s="26"/>
      <c r="J7" s="26"/>
      <c r="K7" s="26"/>
      <c r="L7" t="str" s="30" cm="1">
        <f t="array" ref="L7">IF(D7&gt;0,IF($D7&lt;=0,0,D7*H7),"")</f>
      </c>
      <c r="M7" t="str" s="30" cm="1">
        <f t="array" ref="M7">IF(E7&gt;0,IF($D7&lt;=0,0,ROUND(E7*I7,2)),"")</f>
      </c>
      <c r="N7" t="str" s="30" cm="1">
        <f t="array" ref="N7">IF(F7&gt;0,IF($D7&lt;=0,0,ROUND(F7*J7,2)),"")</f>
      </c>
      <c r="O7" s="31"/>
    </row>
    <row r="8" ht="20.5" customHeight="1">
      <c r="A8" s="94">
        <v>1</v>
      </c>
      <c r="B8" t="s" s="19">
        <v>520</v>
      </c>
      <c r="C8" s="20"/>
      <c r="D8" s="21">
        <v>1</v>
      </c>
      <c r="E8" s="21" cm="1">
        <f t="array" ref="E8">D8</f>
        <v>1</v>
      </c>
      <c r="F8" s="21" cm="1">
        <f t="array" ref="F8">D8</f>
        <v>1</v>
      </c>
      <c r="G8" t="s" s="22">
        <v>408</v>
      </c>
      <c r="H8" s="21">
        <v>1000000</v>
      </c>
      <c r="I8" s="21">
        <v>1000000</v>
      </c>
      <c r="J8" s="21">
        <v>1000000</v>
      </c>
      <c r="K8" s="21">
        <v>11</v>
      </c>
      <c r="L8" s="21" cm="1">
        <f t="array" ref="L8">IF(D8&gt;0,IF($D8&lt;=0,0,D8*H8),"")</f>
        <v>1000000</v>
      </c>
      <c r="M8" s="21" cm="1">
        <f t="array" ref="M8">IF(E8&gt;0,IF($D8&lt;=0,0,ROUND(E8*I8,2)),"")</f>
        <v>1000000</v>
      </c>
      <c r="N8" s="21" cm="1">
        <f t="array" ref="N8">IF(F8&gt;0,IF($D8&lt;=0,0,ROUND(F8*J8,2)),"")</f>
        <v>1000000</v>
      </c>
      <c r="O8" s="23"/>
    </row>
    <row r="9" ht="20.5" customHeight="1">
      <c r="A9" s="95">
        <v>2</v>
      </c>
      <c r="B9" t="s" s="19">
        <v>521</v>
      </c>
      <c r="C9" s="24"/>
      <c r="D9" s="26">
        <v>1</v>
      </c>
      <c r="E9" s="26" cm="1">
        <f t="array" ref="E9">D9</f>
        <v>1</v>
      </c>
      <c r="F9" s="26" cm="1">
        <f t="array" ref="F9">D9</f>
        <v>1</v>
      </c>
      <c r="G9" t="s" s="27">
        <v>408</v>
      </c>
      <c r="H9" s="26">
        <v>200000</v>
      </c>
      <c r="I9" s="26">
        <v>200000</v>
      </c>
      <c r="J9" s="26">
        <v>200000</v>
      </c>
      <c r="K9" s="26">
        <v>11</v>
      </c>
      <c r="L9" s="26" cm="1">
        <f t="array" ref="L9">IF(D9&gt;0,IF($D9&lt;=0,0,D9*H9),"")</f>
        <v>200000</v>
      </c>
      <c r="M9" s="26" cm="1">
        <f t="array" ref="M9">IF(E9&gt;0,IF($D9&lt;=0,0,ROUND(E9*I9,2)),"")</f>
        <v>200000</v>
      </c>
      <c r="N9" s="26" cm="1">
        <f t="array" ref="N9">IF(F9&gt;0,IF($D9&lt;=0,0,ROUND(F9*J9,2)),"")</f>
        <v>200000</v>
      </c>
      <c r="O9" s="28"/>
    </row>
    <row r="10" ht="20.5" customHeight="1">
      <c r="A10" s="95">
        <v>2</v>
      </c>
      <c r="B10" t="s" s="19">
        <v>522</v>
      </c>
      <c r="C10" s="20"/>
      <c r="D10" s="21">
        <v>1</v>
      </c>
      <c r="E10" s="21" cm="1">
        <f t="array" ref="E10">D10</f>
        <v>1</v>
      </c>
      <c r="F10" s="21" cm="1">
        <f t="array" ref="F10">D10</f>
        <v>1</v>
      </c>
      <c r="G10" t="s" s="22">
        <v>408</v>
      </c>
      <c r="H10" s="21">
        <v>350000</v>
      </c>
      <c r="I10" s="21">
        <v>340000</v>
      </c>
      <c r="J10" s="21">
        <v>340000</v>
      </c>
      <c r="K10" s="21">
        <v>11</v>
      </c>
      <c r="L10" s="21" cm="1">
        <f t="array" ref="L10">IF(D10&gt;0,IF($D10&lt;=0,0,D10*H10),"")</f>
        <v>350000</v>
      </c>
      <c r="M10" s="21" cm="1">
        <f t="array" ref="M10">IF(E10&gt;0,IF($D10&lt;=0,0,ROUND(E10*I10,2)),"")</f>
        <v>340000</v>
      </c>
      <c r="N10" s="21" cm="1">
        <f t="array" ref="N10">IF(F10&gt;0,IF($D10&lt;=0,0,ROUND(F10*J10,2)),"")</f>
        <v>340000</v>
      </c>
      <c r="O10" s="23"/>
    </row>
    <row r="11" ht="20.5" customHeight="1">
      <c r="A11" s="94"/>
      <c r="B11" t="s" s="19">
        <v>66</v>
      </c>
      <c r="C11" s="24"/>
      <c r="D11" s="26"/>
      <c r="E11" s="26"/>
      <c r="F11" s="26"/>
      <c r="G11" s="30"/>
      <c r="H11" s="26"/>
      <c r="I11" s="26"/>
      <c r="J11" s="26"/>
      <c r="K11" s="26"/>
      <c r="L11" t="str" s="30" cm="1">
        <f t="array" ref="L11">IF(D11&gt;0,IF($D11&lt;=0,0,D11*H11),"")</f>
      </c>
      <c r="M11" t="str" s="30" cm="1">
        <f t="array" ref="M11">IF(E11&gt;0,IF($D11&lt;=0,0,ROUND(E11*I11,2)),"")</f>
      </c>
      <c r="N11" t="str" s="30" cm="1">
        <f t="array" ref="N11">IF(F11&gt;0,IF($D11&lt;=0,0,ROUND(F11*J11,2)),"")</f>
      </c>
      <c r="O11" s="28"/>
    </row>
    <row r="12" ht="20.5" customHeight="1">
      <c r="A12" s="94">
        <v>3</v>
      </c>
      <c r="B12" t="s" s="19">
        <v>67</v>
      </c>
      <c r="C12" s="20"/>
      <c r="D12" s="21">
        <v>1</v>
      </c>
      <c r="E12" s="21" cm="1">
        <f t="array" ref="E12">D12</f>
        <v>1</v>
      </c>
      <c r="F12" s="21" cm="1">
        <f t="array" ref="F12">D12</f>
        <v>1</v>
      </c>
      <c r="G12" t="s" s="22">
        <v>408</v>
      </c>
      <c r="H12" s="21">
        <v>150000</v>
      </c>
      <c r="I12" s="21">
        <v>135000</v>
      </c>
      <c r="J12" s="21">
        <v>135000</v>
      </c>
      <c r="K12" s="21">
        <v>11</v>
      </c>
      <c r="L12" s="21" cm="1">
        <f t="array" ref="L12">IF(D12&gt;0,IF($D12&lt;=0,0,D12*H12),"")</f>
        <v>150000</v>
      </c>
      <c r="M12" s="21" cm="1">
        <f t="array" ref="M12">IF(E12&gt;0,IF($D12&lt;=0,0,ROUND(E12*I12,2)),"")</f>
        <v>135000</v>
      </c>
      <c r="N12" s="21" cm="1">
        <f t="array" ref="N12">IF(F12&gt;0,IF($D12&lt;=0,0,ROUND(F12*J12,2)),"")</f>
        <v>135000</v>
      </c>
      <c r="O12" s="23"/>
    </row>
    <row r="13" ht="20.5" customHeight="1">
      <c r="A13" s="94">
        <v>4</v>
      </c>
      <c r="B13" t="s" s="19">
        <v>69</v>
      </c>
      <c r="C13" s="24"/>
      <c r="D13" s="26">
        <v>1</v>
      </c>
      <c r="E13" s="26" cm="1">
        <f t="array" ref="E13">D13</f>
        <v>1</v>
      </c>
      <c r="F13" s="26" cm="1">
        <f t="array" ref="F13">D13</f>
        <v>1</v>
      </c>
      <c r="G13" t="s" s="27">
        <v>408</v>
      </c>
      <c r="H13" s="26">
        <v>700000</v>
      </c>
      <c r="I13" s="26">
        <v>680000</v>
      </c>
      <c r="J13" s="26">
        <v>680000</v>
      </c>
      <c r="K13" s="26">
        <v>11</v>
      </c>
      <c r="L13" s="26" cm="1">
        <f t="array" ref="L13">IF(D13&gt;0,IF($D13&lt;=0,0,D13*H13),"")</f>
        <v>700000</v>
      </c>
      <c r="M13" s="26" cm="1">
        <f t="array" ref="M13">IF(E13&gt;0,IF($D13&lt;=0,0,ROUND(E13*I13,2)),"")</f>
        <v>680000</v>
      </c>
      <c r="N13" s="26" cm="1">
        <f t="array" ref="N13">IF(F13&gt;0,IF($D13&lt;=0,0,ROUND(F13*J13,2)),"")</f>
        <v>680000</v>
      </c>
      <c r="O13" s="28"/>
    </row>
    <row r="14" ht="20.5" customHeight="1">
      <c r="A14" s="29"/>
      <c r="B14" t="s" s="19">
        <v>70</v>
      </c>
      <c r="C14" s="20"/>
      <c r="D14" s="21"/>
      <c r="E14" s="21"/>
      <c r="F14" s="21"/>
      <c r="G14" s="79"/>
      <c r="H14" s="21"/>
      <c r="I14" s="21"/>
      <c r="J14" s="21"/>
      <c r="K14" s="21"/>
      <c r="L14" t="str" s="79" cm="1">
        <f t="array" ref="L14">IF(D14&gt;0,IF($D14&lt;=0,0,D14*H14),"")</f>
      </c>
      <c r="M14" t="str" s="79" cm="1">
        <f t="array" ref="M14">IF(E14&gt;0,IF($D14&lt;=0,0,ROUND(E14*I14,2)),"")</f>
      </c>
      <c r="N14" t="str" s="79" cm="1">
        <f t="array" ref="N14">IF(F14&gt;0,IF($D14&lt;=0,0,ROUND(F14*J14,2)),"")</f>
      </c>
      <c r="O14" s="91"/>
    </row>
    <row r="15" ht="20.5" customHeight="1">
      <c r="A15" s="95">
        <v>5</v>
      </c>
      <c r="B15" t="s" s="19">
        <v>76</v>
      </c>
      <c r="C15" s="24"/>
      <c r="D15" s="26" cm="1">
        <f t="array" ref="D15">D5*3</f>
        <v>6</v>
      </c>
      <c r="E15" s="26" cm="1">
        <f t="array" ref="E15">D15</f>
        <v>6</v>
      </c>
      <c r="F15" s="26" cm="1">
        <f t="array" ref="F15">D15</f>
        <v>6</v>
      </c>
      <c r="G15" t="s" s="27">
        <v>75</v>
      </c>
      <c r="H15" s="26">
        <v>200000</v>
      </c>
      <c r="I15" s="26">
        <v>200000</v>
      </c>
      <c r="J15" s="26">
        <v>200000</v>
      </c>
      <c r="K15" s="26">
        <v>11</v>
      </c>
      <c r="L15" s="26" cm="1">
        <f t="array" ref="L15">IF(D15&gt;0,IF($D15&lt;=0,0,D15*H15),"")</f>
        <v>1200000</v>
      </c>
      <c r="M15" s="26" cm="1">
        <f t="array" ref="M15">IF(E15&gt;0,IF($D15&lt;=0,0,ROUND(E15*I15,2)),"")</f>
        <v>1200000</v>
      </c>
      <c r="N15" s="26" cm="1">
        <f t="array" ref="N15">IF(F15&gt;0,IF($D15&lt;=0,0,ROUND(F15*J15,2)),"")</f>
        <v>1200000</v>
      </c>
      <c r="O15" s="28"/>
    </row>
    <row r="16" ht="20.5" customHeight="1">
      <c r="A16" s="95">
        <v>6</v>
      </c>
      <c r="B16" t="s" s="19">
        <v>77</v>
      </c>
      <c r="C16" s="20"/>
      <c r="D16" s="21">
        <v>3</v>
      </c>
      <c r="E16" s="21" cm="1">
        <f t="array" ref="E16">D16</f>
        <v>3</v>
      </c>
      <c r="F16" s="21" cm="1">
        <f t="array" ref="F16">D16</f>
        <v>3</v>
      </c>
      <c r="G16" t="s" s="22">
        <v>75</v>
      </c>
      <c r="H16" s="21">
        <v>250000</v>
      </c>
      <c r="I16" s="21">
        <v>250000</v>
      </c>
      <c r="J16" s="21">
        <v>250000</v>
      </c>
      <c r="K16" s="21">
        <v>11</v>
      </c>
      <c r="L16" s="21" cm="1">
        <f t="array" ref="L16">IF(D16&gt;0,IF($D16&lt;=0,0,D16*H16),"")</f>
        <v>750000</v>
      </c>
      <c r="M16" s="21" cm="1">
        <f t="array" ref="M16">IF(E16&gt;0,IF($D16&lt;=0,0,ROUND(E16*I16,2)),"")</f>
        <v>750000</v>
      </c>
      <c r="N16" s="21" cm="1">
        <f t="array" ref="N16">IF(F16&gt;0,IF($D16&lt;=0,0,ROUND(F16*J16,2)),"")</f>
        <v>750000</v>
      </c>
      <c r="O16" s="23"/>
    </row>
    <row r="17" ht="20.5" customHeight="1">
      <c r="A17" s="95">
        <v>7</v>
      </c>
      <c r="B17" t="s" s="19">
        <v>523</v>
      </c>
      <c r="C17" s="24"/>
      <c r="D17" s="26">
        <v>3</v>
      </c>
      <c r="E17" s="26" cm="1">
        <f t="array" ref="E17">D17</f>
        <v>3</v>
      </c>
      <c r="F17" s="26" cm="1">
        <f t="array" ref="F17">D17</f>
        <v>3</v>
      </c>
      <c r="G17" t="s" s="27">
        <v>75</v>
      </c>
      <c r="H17" s="26">
        <v>150000</v>
      </c>
      <c r="I17" s="26">
        <v>150000</v>
      </c>
      <c r="J17" s="26">
        <v>150000</v>
      </c>
      <c r="K17" s="26">
        <v>11</v>
      </c>
      <c r="L17" s="26" cm="1">
        <f t="array" ref="L17">IF(D17&gt;0,IF($D17&lt;=0,0,D17*H17),"")</f>
        <v>450000</v>
      </c>
      <c r="M17" s="26" cm="1">
        <f t="array" ref="M17">IF(E17&gt;0,IF($D17&lt;=0,0,ROUND(E17*I17,2)),"")</f>
        <v>450000</v>
      </c>
      <c r="N17" s="26" cm="1">
        <f t="array" ref="N17">IF(F17&gt;0,IF($D17&lt;=0,0,ROUND(F17*J17,2)),"")</f>
        <v>450000</v>
      </c>
      <c r="O17" s="28"/>
    </row>
    <row r="18" ht="20.5" customHeight="1">
      <c r="A18" s="95">
        <v>8</v>
      </c>
      <c r="B18" t="s" s="19">
        <v>121</v>
      </c>
      <c r="C18" s="20"/>
      <c r="D18" s="21">
        <v>1</v>
      </c>
      <c r="E18" s="21" cm="1">
        <f t="array" ref="E18">D18</f>
        <v>1</v>
      </c>
      <c r="F18" s="21" cm="1">
        <f t="array" ref="F18">D18</f>
        <v>1</v>
      </c>
      <c r="G18" t="s" s="22">
        <v>408</v>
      </c>
      <c r="H18" s="21">
        <v>150000</v>
      </c>
      <c r="I18" s="21">
        <v>150000</v>
      </c>
      <c r="J18" s="21">
        <v>150000</v>
      </c>
      <c r="K18" s="21">
        <v>11</v>
      </c>
      <c r="L18" s="21" cm="1">
        <f t="array" ref="L18">IF(D18&gt;0,IF($D18&lt;=0,0,D18*H18),"")</f>
        <v>150000</v>
      </c>
      <c r="M18" s="21" cm="1">
        <f t="array" ref="M18">IF(E18&gt;0,IF($D18&lt;=0,0,ROUND(E18*I18,2)),"")</f>
        <v>150000</v>
      </c>
      <c r="N18" s="21" cm="1">
        <f t="array" ref="N18">IF(F18&gt;0,IF($D18&lt;=0,0,ROUND(F18*J18,2)),"")</f>
        <v>150000</v>
      </c>
      <c r="O18" s="91"/>
    </row>
    <row r="19" ht="20.5" customHeight="1">
      <c r="A19" t="s" s="18">
        <v>80</v>
      </c>
      <c r="B19" t="s" s="19">
        <v>81</v>
      </c>
      <c r="C19" s="24"/>
      <c r="D19" s="30"/>
      <c r="E19" s="26"/>
      <c r="F19" s="26"/>
      <c r="G19" s="30"/>
      <c r="H19" s="284"/>
      <c r="I19" s="284"/>
      <c r="J19" s="284"/>
      <c r="K19" s="26"/>
      <c r="L19" t="str" s="30" cm="1">
        <f t="array" ref="L19">IF(D19&gt;0,IF($D19&lt;=0,0,D19*H19),"")</f>
      </c>
      <c r="M19" t="str" s="30" cm="1">
        <f t="array" ref="M19">IF(E19&gt;0,IF($D19&lt;=0,0,ROUND(E19*I19,2)),"")</f>
      </c>
      <c r="N19" t="str" s="30" cm="1">
        <f t="array" ref="N19">IF(F19&gt;0,IF($D19&lt;=0,0,ROUND(F19*J19,2)),"")</f>
      </c>
      <c r="O19" t="s" s="371">
        <v>80</v>
      </c>
    </row>
    <row r="20" ht="20.6" customHeight="1">
      <c r="A20" s="96"/>
      <c r="B20" t="s" s="34">
        <v>82</v>
      </c>
      <c r="C20" s="35"/>
      <c r="D20" s="36">
        <v>1</v>
      </c>
      <c r="E20" s="36" cm="1">
        <f t="array" ref="E20">D20</f>
        <v>1</v>
      </c>
      <c r="F20" s="36" cm="1">
        <f t="array" ref="F20">D20</f>
        <v>1</v>
      </c>
      <c r="G20" t="s" s="37">
        <v>19</v>
      </c>
      <c r="H20" s="372">
        <v>43080</v>
      </c>
      <c r="I20" s="372">
        <v>42972</v>
      </c>
      <c r="J20" s="372">
        <v>42972</v>
      </c>
      <c r="K20" s="36">
        <v>0</v>
      </c>
      <c r="L20" s="36" cm="1">
        <f t="array" ref="L20">IF(D20&gt;0,IF($D20&lt;=0,0,D20*H20),"")</f>
        <v>43080</v>
      </c>
      <c r="M20" s="36" cm="1">
        <f t="array" ref="M20">IF(E20&gt;0,IF($D20&lt;=0,0,ROUND(E20*I20,2)),"")</f>
        <v>42972</v>
      </c>
      <c r="N20" s="36" cm="1">
        <f t="array" ref="N20">IF(F20&gt;0,IF($D20&lt;=0,0,ROUND(F20*J20,2)),"")</f>
        <v>42972</v>
      </c>
      <c r="O20" s="373"/>
    </row>
    <row r="21" ht="20.85" customHeight="1">
      <c r="A21" s="54"/>
      <c r="B21" s="54"/>
      <c r="C21" s="54"/>
      <c r="D21" s="55"/>
      <c r="E21" s="55"/>
      <c r="F21" s="55"/>
      <c r="G21" s="56"/>
      <c r="H21" s="56"/>
      <c r="I21" s="54"/>
      <c r="J21" s="57"/>
      <c r="K21" t="s" s="58">
        <v>38</v>
      </c>
      <c r="L21" s="59" cm="1">
        <f t="array" ref="L21">SUM(L1:L20)</f>
        <v>17993080</v>
      </c>
      <c r="M21" s="59" cm="1">
        <f t="array" ref="M21">SUM(M1:M20)</f>
        <v>17947972</v>
      </c>
      <c r="N21" s="59" cm="1">
        <f t="array" ref="N21">SUM(N1:N20)</f>
        <v>17947972</v>
      </c>
      <c r="O21" s="59"/>
    </row>
    <row r="22" ht="21" customHeight="1">
      <c r="A22" s="62"/>
      <c r="B22" t="s" s="61">
        <v>39</v>
      </c>
      <c r="C22" s="62"/>
      <c r="D22" s="63" cm="1">
        <f t="array" ref="D22">ROUND(IF(L22&lt;=100000000,L22*0.24%,IF(AND(L22&gt;100000000,L22&lt;=500000000),100000000*0.24%+(L22-100000000)*0.19%,IF(AND(L22&gt;500000000,L22&lt;=1000000000),100000000*0.24%+400000000*0.19%+(L22-500000000)*0.15%,IF(AND(L22&gt;1000000000,L22&lt;=5000000000),100000000*0.24%+400000000*0.19%+500000000*0.15%+(L22-1000000000)*0.12%,IF(L22&gt;5000000000,100000000*0.24%+400000000*0.19%+500000000*0.15%+4000000000*0.12%+(L22-5000000000)*0.1%,"Bingung komputer"))))),2)</f>
        <v>43080</v>
      </c>
      <c r="E22" s="64" cm="1">
        <f t="array" ref="E22">ROUND(IF(M22&lt;=100000000,M22*0.24%,IF(AND(M22&gt;100000000,M22&lt;=500000000),100000000*0.24%+(M22-100000000)*0.19%,IF(AND(M22&gt;500000000,M22&lt;=1000000000),100000000*0.24%+400000000*0.19%+(M22-500000000)*0.15%,IF(AND(M22&gt;1000000000,M22&lt;=5000000000),100000000*0.24%+400000000*0.19%+500000000*0.15%+(M22-1000000000)*0.12%,IF(M22&gt;5000000000,100000000*0.24%+400000000*0.19%+500000000*0.15%+4000000000*0.12%+(M22-5000000000)*0.1%,"Bingung komputer"))))),2)</f>
        <v>42972</v>
      </c>
      <c r="F22" s="64" cm="1">
        <f t="array" ref="F22">ROUND(IF(N22&lt;=100000000,N22*0.24%,IF(AND(N22&gt;100000000,N22&lt;=500000000),100000000*0.24%+(N22-100000000)*0.19%,IF(AND(N22&gt;500000000,N22&lt;=1000000000),100000000*0.24%+400000000*0.19%+(N22-500000000)*0.15%,IF(AND(N22&gt;1000000000,N22&lt;=5000000000),100000000*0.24%+400000000*0.19%+500000000*0.15%+(N22-1000000000)*0.12%,IF(N22&gt;5000000000,100000000*0.24%+400000000*0.19%+500000000*0.15%+4000000000*0.12%+(N22-5000000000)*0.1%,"Bingung komputer"))))),2)</f>
        <v>42972</v>
      </c>
      <c r="G22" s="65"/>
      <c r="H22" s="66"/>
      <c r="I22" s="62"/>
      <c r="J22" s="67"/>
      <c r="K22" t="str" s="67" cm="1">
        <f t="array" ref="K22">"Jumlah Terkena Pajak "&amp;MAX(K3:K20)&amp;"% (B)"</f>
        <v>Jumlah Terkena Pajak 11,00% (B)</v>
      </c>
      <c r="L22" s="68" cm="1">
        <f t="array" ref="L22">SUMIF($K3:$K20,"&gt;0",L3:L20)</f>
        <v>17950000</v>
      </c>
      <c r="M22" s="68" cm="1">
        <f t="array" ref="M22">SUMIF($K3:$K20,"&gt;0",M3:M20)</f>
        <v>17905000</v>
      </c>
      <c r="N22" s="68" cm="1">
        <f t="array" ref="N22">SUMIF($K3:$K20,"&gt;0",N3:N20)</f>
        <v>17905000</v>
      </c>
      <c r="O22" s="69"/>
    </row>
    <row r="23" ht="21" customHeight="1">
      <c r="A23" s="71"/>
      <c r="B23" s="71"/>
      <c r="C23" s="71"/>
      <c r="D23" s="72"/>
      <c r="E23" s="72"/>
      <c r="F23" s="112">
        <v>37500000</v>
      </c>
      <c r="G23" s="72"/>
      <c r="H23" s="72"/>
      <c r="I23" s="71"/>
      <c r="J23" s="73"/>
      <c r="K23" t="str" s="73" cm="1">
        <f t="array" ref="K23">"PPN (C) = "&amp;MAX(K3:K20)&amp;"% x B"</f>
        <v>PPN (C) = 11,00% x B</v>
      </c>
      <c r="L23" s="74" cm="1">
        <f t="array" ref="L23">L22*MAX($K3:$K20)%</f>
        <v>1974500</v>
      </c>
      <c r="M23" s="74" cm="1">
        <f t="array" ref="M23">M22*MAX($K3:$K20)%</f>
        <v>1969550</v>
      </c>
      <c r="N23" s="74" cm="1">
        <f t="array" ref="N23">N22*MAX($K3:$K20)%</f>
        <v>1969550</v>
      </c>
      <c r="O23" s="69"/>
    </row>
    <row r="24" ht="21" customHeight="1">
      <c r="A24" s="71"/>
      <c r="B24" s="71"/>
      <c r="C24" s="71"/>
      <c r="D24" s="72"/>
      <c r="E24" s="72"/>
      <c r="F24" s="72"/>
      <c r="G24" s="72"/>
      <c r="H24" s="72"/>
      <c r="I24" s="71"/>
      <c r="J24" s="73"/>
      <c r="K24" t="s" s="75">
        <v>42</v>
      </c>
      <c r="L24" s="74" cm="1">
        <f t="array" ref="L24">L21+L23</f>
        <v>19967580</v>
      </c>
      <c r="M24" s="74" cm="1">
        <f t="array" ref="M24">M21+M23</f>
        <v>19917522</v>
      </c>
      <c r="N24" s="74" cm="1">
        <f t="array" ref="N24">N21+N23</f>
        <v>19917522</v>
      </c>
      <c r="O24" s="69"/>
    </row>
    <row r="25" ht="20.5" customHeight="1">
      <c r="A25" s="71"/>
      <c r="B25" s="71"/>
      <c r="C25" s="71"/>
      <c r="D25" s="72"/>
      <c r="E25" s="72"/>
      <c r="F25" s="72"/>
      <c r="G25" s="72"/>
      <c r="H25" s="72"/>
      <c r="I25" s="71"/>
      <c r="J25" s="73"/>
      <c r="K25" t="s" s="75">
        <v>43</v>
      </c>
      <c r="L25" s="74" cm="1">
        <f t="array" ref="L25">ROUNDDOWN(L24,2)</f>
        <v>19967580</v>
      </c>
      <c r="M25" s="74" cm="1">
        <f t="array" ref="M25">ROUNDDOWN(M24,2)</f>
        <v>19917522</v>
      </c>
      <c r="N25" s="74" cm="1">
        <f t="array" ref="N25">ROUNDDOWN(N24,-3)</f>
        <v>19917000</v>
      </c>
      <c r="O25" s="68"/>
    </row>
  </sheetData>
  <mergeCells count="7">
    <mergeCell ref="D1:F1"/>
    <mergeCell ref="H1:J1"/>
    <mergeCell ref="L1:N1"/>
    <mergeCell ref="A1:A2"/>
    <mergeCell ref="B1:C2"/>
    <mergeCell ref="G1:G2"/>
    <mergeCell ref="K1:K2"/>
  </mergeCells>
  <pageMargins left="1" right="1" top="1" bottom="1" header="0.25" footer="0.25"/>
  <pageSetup firstPageNumber="1" fitToHeight="1" fitToWidth="1" scale="100" useFirstPageNumber="0" orientation="portrait" pageOrder="downThenOver"/>
  <headerFooter>
    <oddFooter>&amp;C&amp;"Helvetica,Regular"&amp;12&amp;K000000&amp;P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