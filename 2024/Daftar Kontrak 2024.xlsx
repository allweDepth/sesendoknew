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embar 1 - Table 1" sheetId="1" r:id="rId5"/>
  </sheets>
</workbook>
</file>

<file path=xl/comments1.xml><?xml version="1.0" encoding="utf-8"?>
<comments xmlns="http://schemas.openxmlformats.org/spreadsheetml/2006/main">
  <authors>
    <author>Dhiandra Isha</author>
  </authors>
  <commentList>
    <comment ref="AC4" authorId="0">
      <text>
        <r>
          <rPr>
            <sz val="11"/>
            <color indexed="8"/>
            <rFont val="Helvetica Neue"/>
          </rPr>
          <t>Dhiandra Isha:
Berapa lama Masa Pemeliharaan ?
Masa pemeliharaan paling singkat untuk pekerjaan permanen selama 6 (enam) bulan, sedangkan untuk pekerjaan semi permanen selama 3 (tiga) bulan dan masa pemeliharaan dapat melampaui Tahun Anggaran.</t>
        </r>
      </text>
    </comment>
    <comment ref="AF4" authorId="0">
      <text>
        <r>
          <rPr>
            <sz val="11"/>
            <color indexed="8"/>
            <rFont val="Helvetica Neue"/>
          </rPr>
          <t>Dhiandra Isha:
1.03.1.03.01.18.03 Rehabilitasi/Pemeliharaan jalan
1.03.1.03.01.15.03 Pembangunan Jalan
1.03.1.03.01.15.05 Pembangunan Jembatan</t>
        </r>
      </text>
    </comment>
    <comment ref="B52" authorId="0">
      <text>
        <r>
          <rPr>
            <sz val="11"/>
            <color indexed="8"/>
            <rFont val="Helvetica Neue"/>
          </rPr>
          <t>Dhiandra Isha:
Tanggal Parsial III 7 Juni 2024</t>
        </r>
      </text>
    </comment>
    <comment ref="C52" authorId="0">
      <text>
        <r>
          <rPr>
            <sz val="11"/>
            <color indexed="8"/>
            <rFont val="Helvetica Neue"/>
          </rPr>
          <t xml:space="preserve">Dhiandra Isha:
dari Reviuw Perencanaan Jaringan Perpipaan Air Bersih Kabupaten
Stock Design Perencanaan Jaringan Perpipaan Air Bersih Kabupaten </t>
        </r>
      </text>
    </comment>
    <comment ref="B67" authorId="0">
      <text>
        <r>
          <rPr>
            <sz val="11"/>
            <color indexed="8"/>
            <rFont val="Helvetica Neue"/>
          </rPr>
          <t>Dhiandra Isha:
gagal saat karya mutiara tdk memasukkan penawaran diulang manual</t>
        </r>
      </text>
    </comment>
    <comment ref="B68" authorId="0">
      <text>
        <r>
          <rPr>
            <sz val="11"/>
            <color indexed="8"/>
            <rFont val="Helvetica Neue"/>
          </rPr>
          <t>Dhiandra Isha:
gagal saat karya mutiara tdk memasukkan penawaran diulang manual</t>
        </r>
      </text>
    </comment>
    <comment ref="B69" authorId="0">
      <text>
        <r>
          <rPr>
            <sz val="11"/>
            <color indexed="8"/>
            <rFont val="Helvetica Neue"/>
          </rPr>
          <t>Dhiandra Isha:
51172741</t>
        </r>
      </text>
    </comment>
    <comment ref="M120" authorId="0">
      <text>
        <r>
          <rPr>
            <sz val="11"/>
            <color indexed="8"/>
            <rFont val="Helvetica Neue"/>
          </rPr>
          <t>Dhiandra Isha:
1.133.469.738,75</t>
        </r>
      </text>
    </comment>
    <comment ref="J213" authorId="0">
      <text>
        <r>
          <rPr>
            <sz val="11"/>
            <color indexed="8"/>
            <rFont val="Helvetica Neue"/>
          </rPr>
          <t>Dhiandra Isha:
berubah menjadi 848000000</t>
        </r>
      </text>
    </comment>
    <comment ref="J217" authorId="0">
      <text>
        <r>
          <rPr>
            <sz val="11"/>
            <color indexed="8"/>
            <rFont val="Helvetica Neue"/>
          </rPr>
          <t>Dhiandra Isha:
455.000.000,0
250.000.000 dppa draft</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<sst xmlns="http://schemas.openxmlformats.org/spreadsheetml/2006/main" uniqueCount="1949">
  <si>
    <t>Pengawasan Pembangunan Jalan Benggaulu</t>
  </si>
  <si>
    <t>Pembangunan Jalan</t>
  </si>
  <si>
    <t>164 PT. ABITAMA KARYA KONSULTAN</t>
  </si>
  <si>
    <r>
      <rPr>
        <sz val="10"/>
        <color indexed="8"/>
        <rFont val="Avenir Next Regular"/>
      </rPr>
      <t>Abidin M., SAP., MSP., IAP.</t>
    </r>
  </si>
  <si>
    <t>Direktur</t>
  </si>
  <si>
    <t>75.427.907.3-805.000</t>
  </si>
  <si>
    <t>Jl. Aroepala Komp. Permata Hijau Permai Blok A No. 26 Makassar</t>
  </si>
  <si>
    <t>YUSRAN SIRATH, SH.</t>
  </si>
  <si>
    <t>130-003-000025267-6 Bank Sulselbar Cabang Makassar</t>
  </si>
  <si>
    <t>PT. ABITAMA KARYA KONSULTAN</t>
  </si>
  <si>
    <t>APBD</t>
  </si>
  <si>
    <t>SPSE</t>
  </si>
  <si>
    <t>Waktu Penugasan</t>
  </si>
  <si>
    <t>Konsultansi</t>
  </si>
  <si>
    <t>1.03.02.2.01.0109</t>
  </si>
  <si>
    <t>53445187/BAHPL/2024</t>
  </si>
  <si>
    <t>53445187/PEN/2024</t>
  </si>
  <si>
    <t>53445187/UMUM/PEJ-PENG/DPUPR/X/2024</t>
  </si>
  <si>
    <t>53445187/KLAR-NEG/PEJ-PENG/DPUPR/X/2024</t>
  </si>
  <si>
    <t>600/53445187/SPK-Konsultansi/PPK/DPUPR</t>
  </si>
  <si>
    <t>600/53445187/SPMK/PPK/DPUPR</t>
  </si>
  <si>
    <t>Pelelangan Umum</t>
  </si>
  <si>
    <t xml:space="preserve">Metode Satu Sampul </t>
  </si>
  <si>
    <t>Pascakualifikasi</t>
  </si>
  <si>
    <t>Sistem Gugur</t>
  </si>
  <si>
    <t>SYAMSUNAR, Sp, MM</t>
  </si>
  <si>
    <t xml:space="preserve">Tiga Belas Juta Dua Ratus Sembilan Puluh Delapan Ribu   </t>
  </si>
  <si>
    <t xml:space="preserve">Tiga Belas Juta Dua Ratus Empat Puluh Sembilan Ribu  Delapan Puluh </t>
  </si>
  <si>
    <t xml:space="preserve">Tiga Belas Juta Seratus  Tujuh Puluh Ribu Tiga Ratus Lima Puluh </t>
  </si>
  <si>
    <t xml:space="preserve">Tiga Belas Juta Seratus  Tujuh Puluh Ribu   </t>
  </si>
  <si>
    <t xml:space="preserve">Tujuh Puluh Tujuh </t>
  </si>
  <si>
    <t xml:space="preserve">Seratus  Delapan Puluh </t>
  </si>
  <si>
    <t xml:space="preserve">Enam Ratus Lima Puluh Delapan Ribu Lima Ratus  </t>
  </si>
  <si>
    <t xml:space="preserve">Delapan </t>
  </si>
  <si>
    <t>No</t>
  </si>
  <si>
    <t>Nama Paket</t>
  </si>
  <si>
    <t>Sub Kegiatan</t>
  </si>
  <si>
    <t>Ruas</t>
  </si>
  <si>
    <t>Pagu Ruas</t>
  </si>
  <si>
    <t>Lokasi Ruas</t>
  </si>
  <si>
    <t>Volume</t>
  </si>
  <si>
    <t>Sat</t>
  </si>
  <si>
    <t>Pagu Anggaran</t>
  </si>
  <si>
    <t>HPS</t>
  </si>
  <si>
    <t>Penawaran</t>
  </si>
  <si>
    <t>Negoisasi</t>
  </si>
  <si>
    <t>Perusahaan</t>
  </si>
  <si>
    <t>Jabatan</t>
  </si>
  <si>
    <t>NPWP</t>
  </si>
  <si>
    <t>Alamat</t>
  </si>
  <si>
    <t>Nomor Notaris</t>
  </si>
  <si>
    <t>Tanggal Notaris</t>
  </si>
  <si>
    <t>Notaris</t>
  </si>
  <si>
    <t>No Rek Bank</t>
  </si>
  <si>
    <t>Atas Nama Rek Bank</t>
  </si>
  <si>
    <t>Waktu Pelaksanaan</t>
  </si>
  <si>
    <t>SUMBER DANA</t>
  </si>
  <si>
    <t>nilai Kontrak</t>
  </si>
  <si>
    <t>No. Penawaran</t>
  </si>
  <si>
    <t>Tanggal surat Penawaran</t>
  </si>
  <si>
    <t>Masa Pemeliharaan</t>
  </si>
  <si>
    <t>Jenis Kontrak</t>
  </si>
  <si>
    <t>Kategori</t>
  </si>
  <si>
    <t>Kode Rek. Sub Kegiatan</t>
  </si>
  <si>
    <t>Tgl Undangan</t>
  </si>
  <si>
    <t>Tgl Pembukaan</t>
  </si>
  <si>
    <t>Evaluasi Penawaran</t>
  </si>
  <si>
    <t>Klarifikasi Teknis dan Negosiasi</t>
  </si>
  <si>
    <t>tanggal SPBBJ</t>
  </si>
  <si>
    <t>Tanggal Kontrak/SPK</t>
  </si>
  <si>
    <t>Tanggal SPMK</t>
  </si>
  <si>
    <t>No. BAHP/BAHS</t>
  </si>
  <si>
    <t>tanggal BAHP/BAHS</t>
  </si>
  <si>
    <t>No. Penetapan</t>
  </si>
  <si>
    <t>tanggal Penetapan</t>
  </si>
  <si>
    <t>No. Pengumuman</t>
  </si>
  <si>
    <t>Tanggal Pengumuman</t>
  </si>
  <si>
    <t>BA Klasifikasi Negoisasi/pembukt</t>
  </si>
  <si>
    <t>Tanggal Nego</t>
  </si>
  <si>
    <t>Nilai Evaluasi</t>
  </si>
  <si>
    <t>No Kontrak</t>
  </si>
  <si>
    <t>No. SPMK</t>
  </si>
  <si>
    <t>Tanggal Undangan/Lelang</t>
  </si>
  <si>
    <t>Nomor Addendum</t>
  </si>
  <si>
    <t>Tanggal Addendum</t>
  </si>
  <si>
    <t>email rekanan</t>
  </si>
  <si>
    <t>No. Perusahaan</t>
  </si>
  <si>
    <t>Metode Pengadaan</t>
  </si>
  <si>
    <t>Metode Pemasukan Dokumen Penawaran</t>
  </si>
  <si>
    <t>Metode Kualifikasi</t>
  </si>
  <si>
    <t>Metode Evaluasi</t>
  </si>
  <si>
    <t>KONSULTAN PERENCANA</t>
  </si>
  <si>
    <t>KONSULTAN PENGAWAS</t>
  </si>
  <si>
    <t>coba</t>
  </si>
  <si>
    <t>Sudah print</t>
  </si>
  <si>
    <t>Jaminan pelaksanaan</t>
  </si>
  <si>
    <t>TIM TEKNIS/PPTK</t>
  </si>
  <si>
    <t>Keterangan</t>
  </si>
  <si>
    <t>Penanganan Long Segment (pemeliharaan Rutin, Pemeliharaan Berkala, Peningkatan/rekonstruksi) Jalan Trans Sulawesi - Tike Raya - Jengeng (DAK)</t>
  </si>
  <si>
    <t>101 CV. TWIN MANDIRI PERKASA</t>
  </si>
  <si>
    <t>KHAIRUL NASRILLAH, M</t>
  </si>
  <si>
    <t>02.906.175.1-814.000</t>
  </si>
  <si>
    <t>JL. KEDONDONG PASANGKAYU  KAB. PASANGKAYU</t>
  </si>
  <si>
    <t>01/2015</t>
  </si>
  <si>
    <t>Marwani, SH., M.Kn</t>
  </si>
  <si>
    <t>3556667899 Bank Negara Indonesia (BNI) Cab. Makassar</t>
  </si>
  <si>
    <t>CV. TWIN MANDIRI PERKASA</t>
  </si>
  <si>
    <t>DAK</t>
  </si>
  <si>
    <t>15600660/1/2024/1</t>
  </si>
  <si>
    <t>Harga Satuan</t>
  </si>
  <si>
    <t>Konstruksi</t>
  </si>
  <si>
    <t>1.03.10.2.01.0032</t>
  </si>
  <si>
    <t>PII.01.01/BAHP/BPBJ</t>
  </si>
  <si>
    <t>4874660/PEN/2024</t>
  </si>
  <si>
    <t>4874660/UMUM/PEJ-PENG/DPUPR//2024</t>
  </si>
  <si>
    <t>600/4874660/Kont-Konstruksi/PPK/DPUPR</t>
  </si>
  <si>
    <t>600/4874660/SPMK/PPK/DPUPR</t>
  </si>
  <si>
    <t>CV. MULTI REKAYASA</t>
  </si>
  <si>
    <t>Stock Design Long Segment Jalan Kabupaten I</t>
  </si>
  <si>
    <t>158 CV. Arlindo</t>
  </si>
  <si>
    <t>EDHY PERDANA PUTRA</t>
  </si>
  <si>
    <t>03.154.619.5-814.000</t>
  </si>
  <si>
    <t>Jl. Gusti Ngurah Rai Pasangkayu</t>
  </si>
  <si>
    <t>01/2020</t>
  </si>
  <si>
    <t>RISKAL ,SH., M.Kn</t>
  </si>
  <si>
    <t xml:space="preserve">075.003.0000015806
 BPD SULSELBAR Cab. Pasangkayu </t>
  </si>
  <si>
    <t>CV. Arlindo</t>
  </si>
  <si>
    <t>001/CVARL/TAWAR/2024-PU</t>
  </si>
  <si>
    <t>Lump Sum</t>
  </si>
  <si>
    <t>49726699/BAHPL/2024</t>
  </si>
  <si>
    <t>49726699/PEN/2024</t>
  </si>
  <si>
    <t>49726699/UMUM/PEJ-PENG/DPUPR/I/2024</t>
  </si>
  <si>
    <t>600/49726699/SPK-Konsultansi/PPK/DPUPR</t>
  </si>
  <si>
    <t>600/49726699/SPMK/PPK/DPUPR</t>
  </si>
  <si>
    <t>Stock Design Long Segment Jalan Kabupaten II</t>
  </si>
  <si>
    <t>002/CVARL/TAWAR/2024-PU</t>
  </si>
  <si>
    <t>49726735/BAHPL/2024</t>
  </si>
  <si>
    <t>49726735/PEN/2024</t>
  </si>
  <si>
    <t>49726735/UMUM/PEJ-PENG/DPUPR/I/2024</t>
  </si>
  <si>
    <t>600/49726735/SPK-Konsultansi/PPK/DPUPR</t>
  </si>
  <si>
    <t>600/49726735/SPMK/PPK/DPUPR</t>
  </si>
  <si>
    <t>Stock Design Long Segment Jalan Kabupaten III</t>
  </si>
  <si>
    <t>003/CVARL/TAWAR/2024-PU</t>
  </si>
  <si>
    <t>49726757/BAHPL/2024</t>
  </si>
  <si>
    <t>49726757/PEN/2024</t>
  </si>
  <si>
    <t>49726757/UMUM/PEJ-PENG/DPUPR/I/2024</t>
  </si>
  <si>
    <t>600/49726757/SPK-Konsultansi/PPK/DPUPR</t>
  </si>
  <si>
    <t>600/49726757/SPMK/PPK/DPUPR</t>
  </si>
  <si>
    <t>Stock Design Pemb./Penggantian Jembatan Kabupaten I</t>
  </si>
  <si>
    <t>Pembangunan Jembatan</t>
  </si>
  <si>
    <t>1.03.10.2.01.0040</t>
  </si>
  <si>
    <t>49726831/BAHPL/2024</t>
  </si>
  <si>
    <t>49726831/PEN/2024</t>
  </si>
  <si>
    <t>49726831/UMUM/PEJ-PENG/DPUPR/I/2024</t>
  </si>
  <si>
    <t>600/49726831/SPK-Konsultansi/PPK/DPUPR</t>
  </si>
  <si>
    <t>600/49726831/SPMK/PPK/DPUPR</t>
  </si>
  <si>
    <t>I Nyoman Sumerta , S.T., M.P.W.P</t>
  </si>
  <si>
    <t>Stock Design Pemb./Penggantian Jembatan Kabupaten II</t>
  </si>
  <si>
    <t>004/CVARL/TAWAR/2024-PU</t>
  </si>
  <si>
    <t>49726878/BAHPL/2024</t>
  </si>
  <si>
    <t>49726878/PEN/2024</t>
  </si>
  <si>
    <t>49726878/UMUM/PEJ-PENG/DPUPR/I/2024</t>
  </si>
  <si>
    <t>600/49726878/SPK-Konsultansi/PPK/DPUPR</t>
  </si>
  <si>
    <t>600/49726878/SPMK/PPK/DPUPR</t>
  </si>
  <si>
    <t>Perencanaan Pembangunan Pagar dan Selasar RSUD Pasangkayu</t>
  </si>
  <si>
    <t>Penataan Bangunan dan Lingkungan Kawasan Cagar Budaya, Kawasan Pariwisata, Kawasan Sistem Perkotaan Nasional dan Kawasan Strategis Lainnya</t>
  </si>
  <si>
    <t>005/CVARL/TAWAR/2024-PU</t>
  </si>
  <si>
    <t>1.03.09.2.01.0008</t>
  </si>
  <si>
    <t>49015378/BAHPL/2024</t>
  </si>
  <si>
    <t>49015378/PEN/2024</t>
  </si>
  <si>
    <t>49015378/UMUM/PEJ-PENG/DPUPR/I/2024</t>
  </si>
  <si>
    <t>600/49015378/SPK-Konsultansi/PPK/DPUPR</t>
  </si>
  <si>
    <t>600/49015378/SPMK/PPK/DPUPR</t>
  </si>
  <si>
    <t>NARDIN, ST</t>
  </si>
  <si>
    <t>Perencanaan Pembangunan Ruang Operasi RSUD</t>
  </si>
  <si>
    <t>006/CVARL/TAWAR/2024-PU</t>
  </si>
  <si>
    <t>49015457/BAHPL/2024</t>
  </si>
  <si>
    <t>49015457/PEN/2024</t>
  </si>
  <si>
    <t>49015457/UMUM/PEJ-PENG/DPUPR/I/2024</t>
  </si>
  <si>
    <t>600/49015457/SPK-Konsultansi/PPK/DPUPR</t>
  </si>
  <si>
    <t>600/49015457/SPMK/PPK/DPUPR</t>
  </si>
  <si>
    <t>Stock Desain Jalan Kabupaten Paket I cs.</t>
  </si>
  <si>
    <t>223 CV. AQILA KARYA KONSULTAN</t>
  </si>
  <si>
    <t>SUPARDI, ST.</t>
  </si>
  <si>
    <t>53.154.688.5-814.000</t>
  </si>
  <si>
    <t>Jln Tanjung Babia II Kel. Pasangkayu Kec. Pasangkayu 91571</t>
  </si>
  <si>
    <t>RISKAL, S.H., M.Kn.</t>
  </si>
  <si>
    <t>075-003-000001607-1 Bank Sulselbar Cabang Pasangkayu</t>
  </si>
  <si>
    <t>CV. AQILA KARYA KONSULTAN</t>
  </si>
  <si>
    <t>001/CV-AKK/PEN/PASANGKAYU/2024</t>
  </si>
  <si>
    <t>49668973/BAHPL/2024</t>
  </si>
  <si>
    <t>49668973/PEN/2024</t>
  </si>
  <si>
    <t>49668973/UMUM/PEJ-PENG/DPUPR/I/2024</t>
  </si>
  <si>
    <t>600/49668973/SPK-Konsultansi/PPK/DPUPR</t>
  </si>
  <si>
    <t>600/49668973/SPMK/PPK/DPUPR</t>
  </si>
  <si>
    <t>Stock Desain Jalan Kabupaten Paket II cs.</t>
  </si>
  <si>
    <t>002/CV-AKK/PEN/PASANGKAYU/2024</t>
  </si>
  <si>
    <t>49668994/BAHPL/2024</t>
  </si>
  <si>
    <t>49668994/PEN/2024</t>
  </si>
  <si>
    <t>49668994/UMUM/PEJ-PENG/DPUPR/I/2024</t>
  </si>
  <si>
    <t>600/49668994/SPK-Konsultansi/PPK/DPUPR</t>
  </si>
  <si>
    <t>600/49668994/SPMK/PPK/DPUPR</t>
  </si>
  <si>
    <t>Stock Desain Jalan Kabupaten Paket III cs.</t>
  </si>
  <si>
    <t>003/CV-AKK/PEN/PASANGKAYU/2024</t>
  </si>
  <si>
    <t>49669032/BAHPL/2024</t>
  </si>
  <si>
    <t>49669032/PEN/2024</t>
  </si>
  <si>
    <t>49669032/UMUM/PEJ-PENG/DPUPR/I/2024</t>
  </si>
  <si>
    <t>600/49669032/SPK-Konsultansi/PPK/DPUPR</t>
  </si>
  <si>
    <t>600/49669032/SPMK/PPK/DPUPR</t>
  </si>
  <si>
    <t>Pengawasan Penanganan Long Segment (pemeliharaan Rutin, Pemeliharaan Berkala, Peningkatan/rekonstruksi) Jalan Trans Sulawesi - Tikke Raya - Jengeng (DAK)</t>
  </si>
  <si>
    <t>162 CV. MULTI REKAYASA</t>
  </si>
  <si>
    <t>SUDIRMAN, ST, MT</t>
  </si>
  <si>
    <t>02.974.105.5-801.000</t>
  </si>
  <si>
    <t>Jl. Perintis Kemerdekaan III. BTN Hamzy Blok A No. 6 Makassar 90245</t>
  </si>
  <si>
    <t>04</t>
  </si>
  <si>
    <t>27Agustus 2009</t>
  </si>
  <si>
    <t>Sit Nurulul Azmi, SH.</t>
  </si>
  <si>
    <t>130.003.000028531.1 bank sulselbar</t>
  </si>
  <si>
    <t>15638660/1/2024/2</t>
  </si>
  <si>
    <t>P-2.04.02/BAHP/BPBJ</t>
  </si>
  <si>
    <t>4879660/UMUM/PEJ-PENG/DPUPR//2024</t>
  </si>
  <si>
    <t>P-2.04.02/BAHN/BPBJ</t>
  </si>
  <si>
    <t>600/4879660/Kont-Konsultansi/PPK/DPUPR</t>
  </si>
  <si>
    <t>600/4879660/SPMK/PPK/DPUPR</t>
  </si>
  <si>
    <t>Pengawasan Penggantian Jembatan Jalan Poros Bulubonggu - Antai Kanan - Masabo (DAK)</t>
  </si>
  <si>
    <t>Penggantian Jembatan</t>
  </si>
  <si>
    <t>7 PT. TATA INDOKARYA KONSULTAN</t>
  </si>
  <si>
    <t>ASHAR AZIS, ST.,M.S.P </t>
  </si>
  <si>
    <t>83.264.765.5-814.000</t>
  </si>
  <si>
    <t>Jl. KH. Abd. Malik Pattana Endeng Mamuju</t>
  </si>
  <si>
    <t>05</t>
  </si>
  <si>
    <t>20 April 2021</t>
  </si>
  <si>
    <t>Dewi Wulandari, S.H., M.Kn.</t>
  </si>
  <si>
    <t>0741050232 Bank BNI</t>
  </si>
  <si>
    <t>PT. TATA INDOKARYA KONSULTAN</t>
  </si>
  <si>
    <t>15659660/1/2024/2</t>
  </si>
  <si>
    <t xml:space="preserve"> 1.03.10.2.01.0031 </t>
  </si>
  <si>
    <t>P1.03.02/BAHP/Konslt/BPBJ</t>
  </si>
  <si>
    <t>4880660/PEN/2024</t>
  </si>
  <si>
    <t>4880660/UMUM/PEJ-PENG/DPUPR//2024</t>
  </si>
  <si>
    <t>P1.03.02/BAHKNTB/Konslt/BPBJ</t>
  </si>
  <si>
    <t>600/4880660/Kont-Konsultansi/PPK/DPUPR</t>
  </si>
  <si>
    <t>600/4880660/SPMK/PPK/DPUPR</t>
  </si>
  <si>
    <t>CV. CAKRA MAS</t>
  </si>
  <si>
    <t>Penggantian Jembatan Jalan Poros Bulubunggu - Antai Kanan - Masabo (DAK)</t>
  </si>
  <si>
    <t>20 CV. CAKRA MAS</t>
  </si>
  <si>
    <r>
      <rPr>
        <sz val="10"/>
        <color indexed="8"/>
        <rFont val="Helvetica"/>
      </rPr>
      <t>I R V A N</t>
    </r>
  </si>
  <si>
    <t>03.154.739.1-814.000</t>
  </si>
  <si>
    <t xml:space="preserve">Jl. I Gusti Ngurah Rai, Pasangkayu 
</t>
  </si>
  <si>
    <t>08</t>
  </si>
  <si>
    <t>Fatimah Syamsul, S.H., M.Kn</t>
  </si>
  <si>
    <t>1510080081117 Bank mandiri Cab. Pasangkayu</t>
  </si>
  <si>
    <t xml:space="preserve">15604660/1/2024/1 
</t>
  </si>
  <si>
    <t xml:space="preserve">1.03.10.2.01.0031 
</t>
  </si>
  <si>
    <t>P1.02.01/BAHP/P.Konstruksi/BPBJ</t>
  </si>
  <si>
    <t>4872660/PEN/2024</t>
  </si>
  <si>
    <t>4872660/UMUM/PEJ-PENG/DPUPR//2024</t>
  </si>
  <si>
    <t>P1.02.01/BAPK/P.Konstruksi/BPBJ</t>
  </si>
  <si>
    <t>600/4872660/Kont-Konstruksi/PPK/DPUPR</t>
  </si>
  <si>
    <t>600/4872660/SPMK/PPK/DPUPR</t>
  </si>
  <si>
    <t>Pengawasan Pemb. Jalan Dusun Papo - Kalikuma Desa Sipakainga cs</t>
  </si>
  <si>
    <t>1 CV. Toha Pratama</t>
  </si>
  <si>
    <t>Andi Nur Faisal, ST.</t>
  </si>
  <si>
    <t>54.138.078.8-831.000</t>
  </si>
  <si>
    <t>Jl. Basuki Rahmat Lr. Saleko 1 No. 110 C Palu</t>
  </si>
  <si>
    <t>Farid, SH</t>
  </si>
  <si>
    <t>075.003.000001423-1 Bank Sulselbar</t>
  </si>
  <si>
    <t>CV. Toha Pratama</t>
  </si>
  <si>
    <t>0013/TP/PASANGKAYU/PU-2024</t>
  </si>
  <si>
    <t>49015188/BAHPL/2024</t>
  </si>
  <si>
    <t>49015188/PEN/2024</t>
  </si>
  <si>
    <t>49015188/UMUM/PEJ-PENG/DPUPR/I/2024</t>
  </si>
  <si>
    <t>49015188/KLAR-NEG/PEJ-PENG/DPUPR/I/2024</t>
  </si>
  <si>
    <t>600/49015188/SPK-Konsultansi/PPK/DPUPR</t>
  </si>
  <si>
    <t>600/49015188/SPMK/PPK/DPUPR</t>
  </si>
  <si>
    <t>Peningkatan Jalan Bambamone-Kalibamba</t>
  </si>
  <si>
    <t>19 CV. Ardan Matra</t>
  </si>
  <si>
    <t>Drs. Burhanuddin</t>
  </si>
  <si>
    <t>02.906.030.8-814.000</t>
  </si>
  <si>
    <t>Jln. Trans Sulawesi, Kel Pasangkayu</t>
  </si>
  <si>
    <t>01</t>
  </si>
  <si>
    <t>NUR HIDAYAH, SH.</t>
  </si>
  <si>
    <t>075-3-1125—8</t>
  </si>
  <si>
    <t>CV. Ardan Matra</t>
  </si>
  <si>
    <t>PEN/ARDAN/01/I/2023/MATRA</t>
  </si>
  <si>
    <t>49013066/BAHPL/2024</t>
  </si>
  <si>
    <t>49013066/PEN/2024</t>
  </si>
  <si>
    <t>49013066/UMUM/PEJ-PENG/DPUPR/I/2024</t>
  </si>
  <si>
    <t>49013066/KLAR-NEG/PEJ-PENG/DPUPR/I/2024</t>
  </si>
  <si>
    <t>600/49013066/SPK-Konstruksi/PPK/DPUPR</t>
  </si>
  <si>
    <t>600/49013066/SPMK/PPK/DPUPR</t>
  </si>
  <si>
    <t>Peningkatan Jalan Mandar Dua Saluapu</t>
  </si>
  <si>
    <t>72 CV. HARAPAN BARU</t>
  </si>
  <si>
    <t>SAHRONI</t>
  </si>
  <si>
    <t>01.956.739.5-813.000</t>
  </si>
  <si>
    <t>LING. PALLANG-PALLANG DESA TALLU BANUA KEC. SENDANA KAB. MAJENE</t>
  </si>
  <si>
    <t>Ny. NUR HIDAYAH, S.H.</t>
  </si>
  <si>
    <t>075.03.1389-7 Bank Sulselbar</t>
  </si>
  <si>
    <t>CV. HARAPAN BARU</t>
  </si>
  <si>
    <t>001/TAWAR/DPUPR/2024</t>
  </si>
  <si>
    <t>49013151/BAHPL/2024</t>
  </si>
  <si>
    <t>49013151/PEN/2024</t>
  </si>
  <si>
    <t>49013151/UMUM/PEJ-PENG/DPUPR/I/2024</t>
  </si>
  <si>
    <t>49013151/KLAR-NEG/PEJ-PENG/DPUPR/I/2024</t>
  </si>
  <si>
    <t>600/49013151/SPK-Konstruksi/PPK/DPUPR</t>
  </si>
  <si>
    <t>600/49013151/SPMK/PPK/DPUPR</t>
  </si>
  <si>
    <t>Peningkatan Jalan Baliri</t>
  </si>
  <si>
    <t>22 CV. Abadi Selalu</t>
  </si>
  <si>
    <t>Muh. Reza Fahlevy</t>
  </si>
  <si>
    <t>02.113.424.2-814.000</t>
  </si>
  <si>
    <t>Jl. Lingk. Pallang-Pallang, Majene</t>
  </si>
  <si>
    <t>075-003.000000456.1</t>
  </si>
  <si>
    <t>CV. Abadi Selalu</t>
  </si>
  <si>
    <t>001/CV-AS/PU-Pasangkayu/2024</t>
  </si>
  <si>
    <t>49013206/BAHPL/2024</t>
  </si>
  <si>
    <t>49013206/PEN/2024</t>
  </si>
  <si>
    <t>49013206/UMUM/PEJ-PENG/DPUPR/I/2024</t>
  </si>
  <si>
    <t>49013206/KLAR-NEG/PEJ-PENG/DPUPR/I/2024</t>
  </si>
  <si>
    <t>600/49013206/SPK-Konstruksi/PPK/DPUPR</t>
  </si>
  <si>
    <t>600/49013206/SPMK/PPK/DPUPR</t>
  </si>
  <si>
    <t>Peningkatan Jalan Lingkar Sawi</t>
  </si>
  <si>
    <t>15 CV. Arlindo Konstruksi</t>
  </si>
  <si>
    <t>Muh. Irwanto</t>
  </si>
  <si>
    <t>02.906.015.9-814.000</t>
  </si>
  <si>
    <t>‘02/2020</t>
  </si>
  <si>
    <t xml:space="preserve">075.003.000001036.7 Bank Sulselbar </t>
  </si>
  <si>
    <t>CV. Arlindo Konstruksi</t>
  </si>
  <si>
    <t>003/PEN/ARLINDO/2023</t>
  </si>
  <si>
    <t>49013260/BAHPL/2024</t>
  </si>
  <si>
    <t>49013260/PEN/2024</t>
  </si>
  <si>
    <t>49013260/UMUM/PEJ-PENG/DPUPR/I/2024</t>
  </si>
  <si>
    <t>49013260/KLAR-NEG/PEJ-PENG/DPUPR/I/2024</t>
  </si>
  <si>
    <t>600/49013260/SPK-Konstruksi/PPK/DPUPR</t>
  </si>
  <si>
    <t>600/49013260/SPMK/PPK/DPUPR</t>
  </si>
  <si>
    <t>Peningkatan Jalan Dsn Meju Desa Ompi</t>
  </si>
  <si>
    <t>PEN/ARDAN/02/I/2024/MATRA</t>
  </si>
  <si>
    <t>49013313/BAHPL/2024</t>
  </si>
  <si>
    <t>49013313/PEN/2024</t>
  </si>
  <si>
    <t>49013313/UMUM/PEJ-PENG/DPUPR/I/2024</t>
  </si>
  <si>
    <t>49013313/KLAR-NEG/PEJ-PENG/DPUPR/I/2024</t>
  </si>
  <si>
    <t>600/49013313/SPK-Konstruksi/PPK/DPUPR</t>
  </si>
  <si>
    <t>600/49013313/SPMK/PPK/DPUPR</t>
  </si>
  <si>
    <t>Peningkatan Jalan Kasano Kelurahan Baras</t>
  </si>
  <si>
    <t>002/TAWAR/DPUPR/2024</t>
  </si>
  <si>
    <t>49013354/BAHPL/2024</t>
  </si>
  <si>
    <t>49013354/PEN/2024</t>
  </si>
  <si>
    <t>49013354/UMUM/PEJ-PENG/DPUPR/I/2024</t>
  </si>
  <si>
    <t>49013354/KLAR-NEG/PEJ-PENG/DPUPR/I/2024</t>
  </si>
  <si>
    <t>600/49013354/SPK-Konstruksi/PPK/DPUPR</t>
  </si>
  <si>
    <t>600/49013354/SPMK/PPK/DPUPR</t>
  </si>
  <si>
    <t>Peningkatan Jalan/Proteksi Dusun Sawi Kel. Bambalamotu</t>
  </si>
  <si>
    <t>002/CV-AS/PU-Pasangkayu/2024</t>
  </si>
  <si>
    <t>49013411/BAHPL/2024</t>
  </si>
  <si>
    <t>49013411/PEN/2024</t>
  </si>
  <si>
    <t>49013411/UMUM/PEJ-PENG/DPUPR/I/2024</t>
  </si>
  <si>
    <t>49013411/KLAR-NEG/PEJ-PENG/DPUPR/I/2024</t>
  </si>
  <si>
    <t>600/49013411/SPK-Konstruksi/PPK/DPUPR</t>
  </si>
  <si>
    <t>600/49013411/SPMK/PPK/DPUPR</t>
  </si>
  <si>
    <t>Pengawasan Pemb. Jembatan Batio Todai (Abutment) cs.</t>
  </si>
  <si>
    <t>178 CV. PUTRA MANDIRI KONSULTAN</t>
  </si>
  <si>
    <t>Ir. NOFI PUTRA, ST</t>
  </si>
  <si>
    <t>90.165.107.5-831.000</t>
  </si>
  <si>
    <t>Jl. Tara Perum Grendland Blok A No. 4 Sigi</t>
  </si>
  <si>
    <t>ERNY SINGAL, SH, MH, M.Kn</t>
  </si>
  <si>
    <t>0070107001016 Bank Sulteng Cabang TOLITOLI</t>
  </si>
  <si>
    <t>CV. PUTRA MANDIRI KONSULTAN</t>
  </si>
  <si>
    <t>09/PEN-CV-PP/PU-PASKA/2024</t>
  </si>
  <si>
    <t>49015289/BAHPL/2024</t>
  </si>
  <si>
    <t>49015289/PEN/2024</t>
  </si>
  <si>
    <t>49015289/UMUM/PEJ-PENG/DPUPR/I/2024</t>
  </si>
  <si>
    <t>49015289/KLAR-NEG/PEJ-PENG/DPUPR/I/2024</t>
  </si>
  <si>
    <t>600/49015289/SPK-Konsultansi/PPK/DPUPR</t>
  </si>
  <si>
    <t>600/49015289/SPMK/PPK/DPUPR</t>
  </si>
  <si>
    <t>Pemb. Jembatan Batio Todai (Abutment)</t>
  </si>
  <si>
    <t>49013538/BAHPL/2024</t>
  </si>
  <si>
    <t>49013538/PEN/2024</t>
  </si>
  <si>
    <t>49013538/UMUM/PEJ-PENG/DPUPR/I/2024</t>
  </si>
  <si>
    <t>49013538/KLAR-NEG/PEJ-PENG/DPUPR/I/2024</t>
  </si>
  <si>
    <t>600/49013538/SPK-Konstruksi/PPK/DPUPR</t>
  </si>
  <si>
    <t>600/49013538/SPMK/PPK/DPUPR</t>
  </si>
  <si>
    <t>Pemb. Jembatan Dusun Sangge (Abutment)</t>
  </si>
  <si>
    <t>PEN/ARDAN/03/I/2024/MATRA</t>
  </si>
  <si>
    <t>49014437/BAHPL/2024</t>
  </si>
  <si>
    <t>49014437/PEN/2024</t>
  </si>
  <si>
    <t>49014437/UMUM/PEJ-PENG/DPUPR/I/2024</t>
  </si>
  <si>
    <t>49014437/KLAR-NEG/PEJ-PENG/DPUPR/I/2024</t>
  </si>
  <si>
    <t>600/49014437/SPK-Konstruksi/PPK/DPUPR</t>
  </si>
  <si>
    <t>600/49014437/SPMK/PPK/DPUPR</t>
  </si>
  <si>
    <t>Pemb. Proteksi Jembatan Bambamone</t>
  </si>
  <si>
    <t>003/TAWAR/DPUPR/2024</t>
  </si>
  <si>
    <t>49014701/BAHPL/2024</t>
  </si>
  <si>
    <t>49014701/PEN/2024</t>
  </si>
  <si>
    <t>49014701/UMUM/PEJ-PENG/DPUPR/I/2024</t>
  </si>
  <si>
    <t>49014701/KLAR-NEG/PEJ-PENG/DPUPR/I/2024</t>
  </si>
  <si>
    <t>600/49014701/SPK-Konstruksi/PPK/DPUPR</t>
  </si>
  <si>
    <t>600/49014701/SPMK/PPK/DPUPR</t>
  </si>
  <si>
    <t>Pemb. Jalan Dusun Papo - Kalikuma Desa Sipakainga</t>
  </si>
  <si>
    <t>49011769/BAHPL/2024</t>
  </si>
  <si>
    <t>49011769/PEN/2024</t>
  </si>
  <si>
    <t>49011769/UMUM/PEJ-PENG/DPUPR/II/2024</t>
  </si>
  <si>
    <t>49011769/KLAR-NEG/PEJ-PENG/DPUPR/II/2024</t>
  </si>
  <si>
    <t>600/49011769/SPK-Konstruksi/PPK/DPUPR</t>
  </si>
  <si>
    <t>600/49011769/SPMK/PPK/DPUPR</t>
  </si>
  <si>
    <t>Pemb. Jalan Mandar 2</t>
  </si>
  <si>
    <t>49012180/BAHPL/2024</t>
  </si>
  <si>
    <t>49012180/PEN/2024</t>
  </si>
  <si>
    <t>49012180/UMUM/PEJ-PENG/DPUPR/II/2024</t>
  </si>
  <si>
    <t>49012180/KLAR-NEG/PEJ-PENG/DPUPR/II/2024</t>
  </si>
  <si>
    <t>600/49012180/SPK-Konstruksi/PPK/DPUPR</t>
  </si>
  <si>
    <t>600/49012180/SPMK/PPK/DPUPR</t>
  </si>
  <si>
    <t>Peningkatan jalan Bukit Harapan Dsn. Barubu</t>
  </si>
  <si>
    <t>49012327/BAHPL/2024</t>
  </si>
  <si>
    <t>49012327/PEN/2024</t>
  </si>
  <si>
    <t>49012327/UMUM/PEJ-PENG/DPUPR/II/2024</t>
  </si>
  <si>
    <t>49012327/KLAR-NEG/PEJ-PENG/DPUPR/II/2024</t>
  </si>
  <si>
    <t>600/49012327/SPK-Konstruksi/PPK/DPUPR</t>
  </si>
  <si>
    <t>600/49012327/SPMK/PPK/DPUPR</t>
  </si>
  <si>
    <t>Peningkatan jalan arah Jembatan Wirabuana</t>
  </si>
  <si>
    <t>49012446/BAHPL/2024</t>
  </si>
  <si>
    <t>49012446/PEN/2024</t>
  </si>
  <si>
    <t>49012446/UMUM/PEJ-PENG/DPUPR/II/2024</t>
  </si>
  <si>
    <t>49012446/KLAR-NEG/PEJ-PENG/DPUPR/II/2024</t>
  </si>
  <si>
    <t>600/49012446/SPK-Konstruksi/PPK/DPUPR</t>
  </si>
  <si>
    <t>600/49012446/SPMK/PPK/DPUPR</t>
  </si>
  <si>
    <t>Peningkatan Jalan Kampung Hikma</t>
  </si>
  <si>
    <t>49012568/BAHPL/2024</t>
  </si>
  <si>
    <t>49012568/PEN/2024</t>
  </si>
  <si>
    <t>49012568/UMUM/PEJ-PENG/DPUPR/II/2024</t>
  </si>
  <si>
    <t>49012568/KLAR-NEG/PEJ-PENG/DPUPR/II/2024</t>
  </si>
  <si>
    <t>600/49012568/SPK-Konstruksi/PPK/DPUPR</t>
  </si>
  <si>
    <t>600/49012568/SPMK/PPK/DPUPR</t>
  </si>
  <si>
    <t>Peningkatan Jalan Desa Karya Bersama</t>
  </si>
  <si>
    <t>49012718/BAHPL/2024</t>
  </si>
  <si>
    <t>49012718/PEN/2024</t>
  </si>
  <si>
    <t>49012718/UMUM/PEJ-PENG/DPUPR/II/2024</t>
  </si>
  <si>
    <t>49012718/KLAR-NEG/PEJ-PENG/DPUPR/II/2024</t>
  </si>
  <si>
    <t>600/49012718/SPK-Konstruksi/PPK/DPUPR</t>
  </si>
  <si>
    <t>600/49012718/SPMK/PPK/DPUPR</t>
  </si>
  <si>
    <t>Peningkatan Jalan belakang Pos Polisi lingungan Bukit sari</t>
  </si>
  <si>
    <t>49012815/BAHPL/2024</t>
  </si>
  <si>
    <t>49012815/PEN/2024</t>
  </si>
  <si>
    <t>49012815/UMUM/PEJ-PENG/DPUPR/II/2024</t>
  </si>
  <si>
    <t>49012815/KLAR-NEG/PEJ-PENG/DPUPR/II/2024</t>
  </si>
  <si>
    <t>600/49012815/SPK-Konstruksi/PPK/DPUPR</t>
  </si>
  <si>
    <t>600/49012815/SPMK/PPK/DPUPR</t>
  </si>
  <si>
    <t>Pemb. Jalan Purnama Baru</t>
  </si>
  <si>
    <t>49012954/BAHPL/2024</t>
  </si>
  <si>
    <t>49012954/PEN/2024</t>
  </si>
  <si>
    <t>49012954/UMUM/PEJ-PENG/DPUPR/II/2024</t>
  </si>
  <si>
    <t>49012954/KLAR-NEG/PEJ-PENG/DPUPR/II/2024</t>
  </si>
  <si>
    <t>600/49012954/SPK-Konstruksi/PPK/DPUPR</t>
  </si>
  <si>
    <t>600/49012954/SPMK/PPK/DPUPR</t>
  </si>
  <si>
    <t>Pemb. Box Culvert Mandar II Saluapu</t>
  </si>
  <si>
    <t>003/CV-AS/PU-Pasangkayu/2024</t>
  </si>
  <si>
    <t>49014897/BAHPL/2024</t>
  </si>
  <si>
    <t>49014897/PEN/2024</t>
  </si>
  <si>
    <t>49014897/UMUM/PEJ-PENG/DPUPR/I/2024</t>
  </si>
  <si>
    <t>49014897/KLAR-NEG/PEJ-PENG/DPUPR/I/2024</t>
  </si>
  <si>
    <t>600/49014897/SPK-Konstruksi/PPK/DPUPR</t>
  </si>
  <si>
    <t>600/49014897/SPMK/PPK/DPUPR</t>
  </si>
  <si>
    <t>Pemb. Box Culvert Desa Karya Bersama</t>
  </si>
  <si>
    <t>004/PEN/ARLINDO/2024</t>
  </si>
  <si>
    <t>49014944/BAHPL/2024</t>
  </si>
  <si>
    <t>49014944/PEN/2024</t>
  </si>
  <si>
    <t>49014944/UMUM/PEJ-PENG/DPUPR/I/2024</t>
  </si>
  <si>
    <t>49014944/KLAR-NEG/PEJ-PENG/DPUPR/I/2024</t>
  </si>
  <si>
    <t>600/49014944/SPK-Konstruksi/PPK/DPUPR</t>
  </si>
  <si>
    <t>600/49014944/SPMK/PPK/DPUPR</t>
  </si>
  <si>
    <t>Pemb. Box Culvert Dusun Maros Baru Desa Benggaulu</t>
  </si>
  <si>
    <t>190 CV. BERKAH BAHAGIA</t>
  </si>
  <si>
    <t>MUHAMMAD ZALIM</t>
  </si>
  <si>
    <t>01.956.757.7-8143.000</t>
  </si>
  <si>
    <t>Dusun Tunangan Desa Pangali-ali</t>
  </si>
  <si>
    <t>Cici Harfiah, SH., M.Kn</t>
  </si>
  <si>
    <t>072-003-0000015963-4</t>
  </si>
  <si>
    <t>CV. BERKAH BAHAGIA</t>
  </si>
  <si>
    <t>1/PEN/CV.BB/2024</t>
  </si>
  <si>
    <t>49014993/BAHPL/2024</t>
  </si>
  <si>
    <t>49014993/PEN/2024</t>
  </si>
  <si>
    <t>49014993/UMUM/PEJ-PENG/DPUPR/I/2024</t>
  </si>
  <si>
    <t>49014993/KLAR-NEG/PEJ-PENG/DPUPR/I/2024</t>
  </si>
  <si>
    <t>600/49014993/SPK-Konstruksi/PPK/DPUPR</t>
  </si>
  <si>
    <t>600/49014993/SPMK/PPK/DPUPR</t>
  </si>
  <si>
    <t>Pemb. Box Culvert Dusun Mata Allo Desa Tamarunang</t>
  </si>
  <si>
    <t>2/PEN/CV.BB/2024</t>
  </si>
  <si>
    <t>49015008/BAHPL/2024</t>
  </si>
  <si>
    <t>49015008/PEN/2024</t>
  </si>
  <si>
    <t>49015008/UMUM/PEJ-PENG/DPUPR/I/2024</t>
  </si>
  <si>
    <t>49015008/KLAR-NEG/PEJ-PENG/DPUPR/I/2024</t>
  </si>
  <si>
    <t>600/49015008/SPK-Konstruksi/PPK/DPUPR</t>
  </si>
  <si>
    <t>600/49015008/SPMK/PPK/DPUPR</t>
  </si>
  <si>
    <t>Peningkatan Jalan Dusun Kali Kuma I Desa Sipakainga</t>
  </si>
  <si>
    <t>200 CV. KARYA SAHABAT ADJ</t>
  </si>
  <si>
    <t>JONI LOE TALO</t>
  </si>
  <si>
    <t>63.615.974.1-814.000</t>
  </si>
  <si>
    <t>Jl. L Tari Kelurahan Pasangkayu Kec. Pasangkayu, Kab. Pasangkayu</t>
  </si>
  <si>
    <t>075-003-000001601-2 Bank Sulselbar</t>
  </si>
  <si>
    <t>CV. KARYA SAHABAT ADJ</t>
  </si>
  <si>
    <t>5510660/BAHPL/2024</t>
  </si>
  <si>
    <t>5510660/PEN/2024</t>
  </si>
  <si>
    <t>5510660/UMUM/PEJ-PENG/DPUPR/II/2024</t>
  </si>
  <si>
    <t>5510660/KLAR-NEG/PEJ-PENG/DPUPR/II/2024</t>
  </si>
  <si>
    <t>600/5510660/SPK-Konstruksi/PPK/DPUPR</t>
  </si>
  <si>
    <t>600/5510660/SPMK/PPK/DPUPR</t>
  </si>
  <si>
    <t>Peningkatan Jalan Dusun Kuma Indah</t>
  </si>
  <si>
    <t>186 CV. SALEKO SATU</t>
  </si>
  <si>
    <t>TEGAR ARIF WICAKSONO</t>
  </si>
  <si>
    <t>43.548.313.6-831.000</t>
  </si>
  <si>
    <t>Jl. Slamet Riyaldi No. 25 Kelurahan Besusu Timur Kecamatan Palu Timur</t>
  </si>
  <si>
    <t>151-00-1515050-8 Bank Mandiri</t>
  </si>
  <si>
    <t>CV. SALEKO SATU</t>
  </si>
  <si>
    <t>5511660/BAHPL/2024</t>
  </si>
  <si>
    <t>5511660/PEN/2024</t>
  </si>
  <si>
    <t>5511660/UMUM/PEJ-PENG/DPUPR/II/2024</t>
  </si>
  <si>
    <t>5511660/KLAR-NEG/PEJ-PENG/DPUPR/II/2024</t>
  </si>
  <si>
    <t>600/5511660/SPK-Konstruksi/PPK/DPUPR</t>
  </si>
  <si>
    <t>600/5511660/SPMK/PPK/DPUPR</t>
  </si>
  <si>
    <t>Peningkatan Jalan Dusun Camba Desa Teranggi</t>
  </si>
  <si>
    <t>5508660/BAHPL/2024</t>
  </si>
  <si>
    <t>5508660/PEN/2024</t>
  </si>
  <si>
    <t>5508660/UMUM/PEJ-PENG/DPUPR/II/2024</t>
  </si>
  <si>
    <t>5508660/KLAR-NEG/PEJ-PENG/DPUPR/II/2024</t>
  </si>
  <si>
    <t>600/5508660/SPK-Konstruksi/PPK/DPUPR</t>
  </si>
  <si>
    <t>600/5508660/SPMK/PPK/DPUPR</t>
  </si>
  <si>
    <t>Peningkatan Jalan Dusun Nirannuang Desa Tamarunang</t>
  </si>
  <si>
    <t>5512660/BAHPL/2024</t>
  </si>
  <si>
    <t>5512660/PEN/2024</t>
  </si>
  <si>
    <t>5512660/UMUM/PEJ-PENG/DPUPR/II/2024</t>
  </si>
  <si>
    <t>5512660/KLAR-NEG/PEJ-PENG/DPUPR/II/2024</t>
  </si>
  <si>
    <t>600/5512660/SPK-Konstruksi/PPK/DPUPR</t>
  </si>
  <si>
    <t>600/5512660/SPMK/PPK/DPUPR</t>
  </si>
  <si>
    <t>Stock Design Long Segment Jalan Kabupaten IV</t>
  </si>
  <si>
    <t>5516660/BAHPL/2024</t>
  </si>
  <si>
    <t>5516660/PEN/2024</t>
  </si>
  <si>
    <t>5516660/UMUM/PEJ-PENG/DPUPR/II/2024</t>
  </si>
  <si>
    <t>5516660/KLAR-NEG/PEJ-PENG/DPUPR/II/2024</t>
  </si>
  <si>
    <t>600/5516660/SPK-Konsultansi/PPK/DPUPR</t>
  </si>
  <si>
    <t>600/5516660/SPMK/PPK/DPUPR</t>
  </si>
  <si>
    <t>Perenc. Peningkatan Jalan Dusun Salobulu Kel. Pasangkayu cs.</t>
  </si>
  <si>
    <t xml:space="preserve">Peningkatan Jalan Dusun Kali Kuma I Desa Sipakainga	
Peningkatan Jalan Dusun Kuma Indah	
Peningkatan Jalan Dusun Camba Desa Teranggi	
Peningkatan Jalan Dusun Nirannuang Desa Tamarunang	
Peningkatan Jalan Dusun Camming Desa Benggaulu	
Peningkatan Jalan Dusun Antai Kanan Desa Bulubonggu	
Peningkatan Jalan Dusun Salobulu Kel. Pasangkayu	
Peningkatan Jalan Desa Randomayang	
Peningkatan Jalan Polewali Dsn Duriabiro	
Pemb. Jalan Dusun Tinapu Kel.Pasangkayu	
Peningkatan Jalan Kalibamba	
Peningkatan Jalan Salonggabo (Lanjutan)	
Peningkatan Jalan Dusun Kampung Baru  Desa Sarude	
Peningkatan Jalan Dusun Tangnga-Tangnga Desa Sarjo	
Peningkatan Jalan Dusun Tinonto	
Peningkatan Jalan Pantai Maleo	
Peningkatan Jalan Dusun Tobajo	
Peningkatan Jalan Dusun Antai	
Peningkatan Jalan Dusun Dodingi	
Pembangunan Jalan Benggaulu
Peningkatan Jalan Kalindu	</t>
  </si>
  <si>
    <t>006/CVAKK/2024/PUMATRA</t>
  </si>
  <si>
    <t>51221455/BAHPL/2024</t>
  </si>
  <si>
    <t>51221455/PEN/2024</t>
  </si>
  <si>
    <t>51221455/UMUM/PEJ-PENG/DPUPR/II/2024</t>
  </si>
  <si>
    <t>51221455/KLAR-NEG/PEJ-PENG/DPUPR/II/2024</t>
  </si>
  <si>
    <t>600/51221455/SPK-Konsultansi/PPK/DPUPR</t>
  </si>
  <si>
    <t>600/51221455/SPMK/PPK/DPUPR</t>
  </si>
  <si>
    <t>Perenc. Pemb. Box Culvert Pasangkayu cs</t>
  </si>
  <si>
    <t xml:space="preserve">Pemb. Jembatan Gantung Teranggi (lanjutan)	
Pemb./Rehabilitasi Jembatan Tamarunang (Talud)	
Pemb. Box Culvert Malei	
Pemb. Box Culvert Kastabuana	
Pemb. Jembatan Gantung Dsn. Bengko Desa Motu (lanjutan)	
Pemb. Box Culvert Pasangkayu	
Pemb. Box Culvert Doda	
Pemb. Box Culvert Pangiang	
Pemb. Box Culvert Antai II Bulubunggu	
Pemb. Box Culvert Antai	</t>
  </si>
  <si>
    <t>008/CVAKK/2024/PUMATRA</t>
  </si>
  <si>
    <t>49949358/BAHPL/2024</t>
  </si>
  <si>
    <t>49949358/PEN/2024</t>
  </si>
  <si>
    <t>49949358/UMUM/PEJ-PENG/DPUPR/II/2024</t>
  </si>
  <si>
    <t>49949358/KLAR-NEG/PEJ-PENG/DPUPR/II/2024</t>
  </si>
  <si>
    <t>600/49949358/SPK-Konsultansi/PPK/DPUPR</t>
  </si>
  <si>
    <t>600/49949358/SPMK/PPK/DPUPR</t>
  </si>
  <si>
    <t>Perenc. Pemb. Tiang Bendera Alun-Alun Pasangkayu,Perenc. Pemeliharaan/Rehabilitasi Taman Air Mancur Pasangkayu, Perenc. Pemb. Jalan Rabat Beton Pasangkayu cs., Perenc. Pemb. Saluran Drainase Ling. Sawi Kel. Bambalamotu cs.</t>
  </si>
  <si>
    <t>Penataan Bangunan dan Lingkungan Kawasan Cagar Budaya, Kawasan Pariwisata, Kawasan Sistem Perkotaan Nasional dan Kawasan Strategis Lainnya, Pembangunan Sistem Drainase Lingkungan</t>
  </si>
  <si>
    <t>217 CV. INTEL'D</t>
  </si>
  <si>
    <t>Ar. MUHAMMAD YANI, ST., IAI</t>
  </si>
  <si>
    <t>76.985.193.2-831.000</t>
  </si>
  <si>
    <t>JI. Bulu Masomba | No.10 Kelurahan Lasoani Kecamatan Mantikulore Kota Palu</t>
  </si>
  <si>
    <t>HASNAH, SH, M.Kn</t>
  </si>
  <si>
    <t>0010107001240 Bank Sulteng Cabang Palu</t>
  </si>
  <si>
    <t>CV. INTEL'D</t>
  </si>
  <si>
    <t>1.03.09.2.01.0008, 1.03.06.2.01.0012</t>
  </si>
  <si>
    <t>49979058/BAHPL/2024</t>
  </si>
  <si>
    <t>49979058/PEN/2024</t>
  </si>
  <si>
    <t>49979058/UMUM/PEJ-PENG/DPUPR/II/2024</t>
  </si>
  <si>
    <t>49979058/KLAR-NEG/PEJ-PENG/DPUPR/II/2024</t>
  </si>
  <si>
    <t>600/49979058/SPK-Konsultansi/PPK/DPUPR</t>
  </si>
  <si>
    <t>600/49979058/SPMK/PPK/DPUPR</t>
  </si>
  <si>
    <t>Stock Design Long Segment Jalan Kabupaten V</t>
  </si>
  <si>
    <t>226 CV. NIRWANA RAHMA MAKMUR</t>
  </si>
  <si>
    <t>CHAERUL M ARSYAD, ST</t>
  </si>
  <si>
    <t>94.952.602.4-801.000</t>
  </si>
  <si>
    <t>Jl. Sabutung Timur No. 27 Makssar</t>
  </si>
  <si>
    <t>FRANS POLIM, SH.</t>
  </si>
  <si>
    <t>130-003-000040489-1 Bank Sulselbar</t>
  </si>
  <si>
    <t>CV. NIRWANA RAHMA MAKMUR</t>
  </si>
  <si>
    <t>PEN/001/CV.NRM/DINASPU-PASANGKAYU/2024</t>
  </si>
  <si>
    <t>51245546/BAHPL/2024</t>
  </si>
  <si>
    <t>51245546/PEN/2024</t>
  </si>
  <si>
    <t>51245546/UMUM/PEJ-PENG/DPUPR/II/2024</t>
  </si>
  <si>
    <t>51245546/KLAR-NEG/PEJ-PENG/DPUPR/II/2024</t>
  </si>
  <si>
    <t>600/51245546/SPK-Konsultansi/PPK/DPUPR</t>
  </si>
  <si>
    <t>600/51245546/SPMK/PPK/DPUPR</t>
  </si>
  <si>
    <t>Stock Design Perencanaan Jaringan Perpipaan Air Bersih Kabupaten</t>
  </si>
  <si>
    <t>Pembangunan Sistem Penyediaan Air Minum (SPAM) Jaringan Perpipaan</t>
  </si>
  <si>
    <t>1.03.03.2.01.0028</t>
  </si>
  <si>
    <t>49974591/BAHPL/2024</t>
  </si>
  <si>
    <t>49974591/PEN/2024</t>
  </si>
  <si>
    <t>49974591/UMUM/PEJ-PENG/DPUPR/IX/2024</t>
  </si>
  <si>
    <t>49974591/KLAR-NEG/PEJ-PENG/DPUPR/IX/2024</t>
  </si>
  <si>
    <t>600/49974591/SPK-Konsultansi/PPK/DPUPR</t>
  </si>
  <si>
    <t>600/49974591/SPMK/PPK/DPUPR</t>
  </si>
  <si>
    <t>Peningkatan Jalan Dusun Camming Desa Benggaulu</t>
  </si>
  <si>
    <t>5509660/BAHPL/2024</t>
  </si>
  <si>
    <t>5509660/PEN/2024</t>
  </si>
  <si>
    <t>5509660/UMUM/PEJ-PENG/DPUPR/III/2024</t>
  </si>
  <si>
    <t>5509660/KLAR-NEG/PEJ-PENG/DPUPR/III/2024</t>
  </si>
  <si>
    <t>600/5509660/SPK-Konstruksi/PPK/DPUPR</t>
  </si>
  <si>
    <t>600/5509660/SPMK/PPK/DPUPR</t>
  </si>
  <si>
    <t>Peningkatan Jalan Dusun Antai Kanan Desa Bulubonggu</t>
  </si>
  <si>
    <t>5507660/BAHPL/2024</t>
  </si>
  <si>
    <t>5507660/PEN/2024</t>
  </si>
  <si>
    <t>5507660/UMUM/PEJ-PENG/DPUPR/III/2024</t>
  </si>
  <si>
    <t>5507660/KLAR-NEG/PEJ-PENG/DPUPR/III/2024</t>
  </si>
  <si>
    <t>600/5507660/SPK-Konstruksi/PPK/DPUPR</t>
  </si>
  <si>
    <t>600/5507660/SPMK/PPK/DPUPR</t>
  </si>
  <si>
    <t>Peningkatan Jalan Dusun Antai</t>
  </si>
  <si>
    <t>206 CV. UTAMA BUANA</t>
  </si>
  <si>
    <t>ANDRIAWAN ARWAN</t>
  </si>
  <si>
    <t>94.396.295.1-814.000</t>
  </si>
  <si>
    <t>Jalan Andi Depu, Desa/Kelurahan Pasangkayu, Kec. Pasangkayu, Kab. 
Pasangkayu, Provinsi Sulawesi Barat</t>
  </si>
  <si>
    <t>21/2020</t>
  </si>
  <si>
    <t>MARWANI, SH., M.Kn</t>
  </si>
  <si>
    <t>075-003-000001577-6. Bank Sulselbar</t>
  </si>
  <si>
    <t>CV. UTAMA BUANA</t>
  </si>
  <si>
    <t>50782722/BAHPL/2024</t>
  </si>
  <si>
    <t>50782722/PEN/2024</t>
  </si>
  <si>
    <t>50782722/UMUM/PEJ-PENG/DPUPR/III/2024</t>
  </si>
  <si>
    <t>50782722/KLAR-NEG/PEJ-PENG/DPUPR/III/2024</t>
  </si>
  <si>
    <t>600/50782722/SPK-Konstruksi/PPK/DPUPR</t>
  </si>
  <si>
    <t>600/50782722/SPMK/PPK/DPUPR</t>
  </si>
  <si>
    <t>Peningkatan Jalan Desa Randomayang</t>
  </si>
  <si>
    <t>225 CV. MATTOMBONG JAYA</t>
  </si>
  <si>
    <t>H. ARIS</t>
  </si>
  <si>
    <t>72.368.118.5-802.000</t>
  </si>
  <si>
    <t>Jl. Poros Pinrang-Langnga, Desa/Kelurahan Patobong, Kec. Matirro Sompe, Kab. Pinrang, Provinsi Sulawesi Selatan</t>
  </si>
  <si>
    <t>RISNA MANSYUR S.H., M.Kn.</t>
  </si>
  <si>
    <t>050.003.0000155705 Bank Sulselbar</t>
  </si>
  <si>
    <t>CV. MATTOMBONG JAYA</t>
  </si>
  <si>
    <t>50782898/BAHPL/2024</t>
  </si>
  <si>
    <t>50782898/PEN/2024</t>
  </si>
  <si>
    <t>50782898/UMUM/PEJ-PENG/DPUPR/III/2024</t>
  </si>
  <si>
    <t>50782898/KLAR-NEG/PEJ-PENG/DPUPR/III/2024</t>
  </si>
  <si>
    <t>600/50782898/SPK-Konstruksi/PPK/DPUPR</t>
  </si>
  <si>
    <t>600/50782898/SPMK/PPK/DPUPR</t>
  </si>
  <si>
    <t>ARIS(CV. MATTOMBONG JAYA)</t>
  </si>
  <si>
    <t>Peningkatan Jalan Polewali Dsn Duriabiro</t>
  </si>
  <si>
    <t>171 CV. BERKAH</t>
  </si>
  <si>
    <t>FIRMANSYAH M</t>
  </si>
  <si>
    <t>84.964.109.7-814.000</t>
  </si>
  <si>
    <t>JL. ANDI BANDACO KEL. PASANGKAYU</t>
  </si>
  <si>
    <t>075-003=000001564-4 Bank Sulselbar</t>
  </si>
  <si>
    <t>CV. BERKAH</t>
  </si>
  <si>
    <t>50783071/BAHPL/2024</t>
  </si>
  <si>
    <t>50783071/PEN/2024</t>
  </si>
  <si>
    <t>50783071/UMUM/PEJ-PENG/DPUPR/III/2024</t>
  </si>
  <si>
    <t>50783071/KLAR-NEG/PEJ-PENG/DPUPR/III/2024</t>
  </si>
  <si>
    <t>600/50783071/SPK-Konstruksi/PPK/DPUPR</t>
  </si>
  <si>
    <t>600/50783071/SPMK/PPK/DPUPR</t>
  </si>
  <si>
    <t>DEDI(CV.BERKAH)</t>
  </si>
  <si>
    <t>Pemb. Jalan Dusun Tinapu Kel.Pasangkayu</t>
  </si>
  <si>
    <t>50783430/BAHPL/2024</t>
  </si>
  <si>
    <t>50783430/PEN/2024</t>
  </si>
  <si>
    <t>50783430/UMUM/PEJ-PENG/DPUPR/III/2024</t>
  </si>
  <si>
    <t>50783430/KLAR-NEG/PEJ-PENG/DPUPR/III/2024</t>
  </si>
  <si>
    <t>600/50783430/SPK-Konstruksi/PPK/DPUPR</t>
  </si>
  <si>
    <t>600/50783430/SPMK/PPK/DPUPR</t>
  </si>
  <si>
    <t>PALI/bp.ica(CV. BERKAH)</t>
  </si>
  <si>
    <t>Peningkatan Jalan Kalibamba</t>
  </si>
  <si>
    <t>50783564/BAHPL/2024</t>
  </si>
  <si>
    <t>50783564/PEN/2024</t>
  </si>
  <si>
    <t>50783564/UMUM/PEJ-PENG/DPUPR/III/2024</t>
  </si>
  <si>
    <t>50783564/KLAR-NEG/PEJ-PENG/DPUPR/III/2024</t>
  </si>
  <si>
    <t>600/50783564/SPK-Konstruksi/PPK/DPUPR</t>
  </si>
  <si>
    <t>600/50783564/SPMK/PPK/DPUPR</t>
  </si>
  <si>
    <t>Peningkatan Jalan Kalindu</t>
  </si>
  <si>
    <t>50783707/BAHPL/2024</t>
  </si>
  <si>
    <t>50783707/PEN/2024</t>
  </si>
  <si>
    <t>50783707/UMUM/PEJ-PENG/DPUPR/III/2024</t>
  </si>
  <si>
    <t>50783707/KLAR-NEG/PEJ-PENG/DPUPR/III/2024</t>
  </si>
  <si>
    <t>600/50783707/SPK-Konstruksi/PPK/DPUPR</t>
  </si>
  <si>
    <t>600/50783707/SPMK/PPK/DPUPR</t>
  </si>
  <si>
    <t>Not Data</t>
  </si>
  <si>
    <t>/BAHPL/2024</t>
  </si>
  <si>
    <t>/PEN/2024</t>
  </si>
  <si>
    <t>/UMUM/PEJ-PENG/DPUPR/III/2024</t>
  </si>
  <si>
    <t>/KLAR-NEG/PEJ-PENG/DPUPR/III/2024</t>
  </si>
  <si>
    <t>600//SPK-Konstruksi/PPK/DPUPR</t>
  </si>
  <si>
    <t>600//SPMK/PPK/DPUPR</t>
  </si>
  <si>
    <t>NA</t>
  </si>
  <si>
    <t>DEDI(CV.AGUNG KURNIA MANDIRI)</t>
  </si>
  <si>
    <t>Perenc. Pemeliharaan/Rehabilitasi Bangunan Masjid Madaniah</t>
  </si>
  <si>
    <t>160 CV. WIRA KAMIL KONSULTAN</t>
  </si>
  <si>
    <t>MUHAMMAD SALEH KAMIL, ST</t>
  </si>
  <si>
    <t>81.331.129.7-801.000</t>
  </si>
  <si>
    <t>Jl. Cumi – Cumi Lrg 1B No. 32 C Makassar 90152</t>
  </si>
  <si>
    <t>09</t>
  </si>
  <si>
    <t>Muh.Asyurah SH.,MH.,M.Kn</t>
  </si>
  <si>
    <t>130-003-000031850-2 Bank Sulselbar</t>
  </si>
  <si>
    <t>CV. WIRA KAMIL KONSULTAN</t>
  </si>
  <si>
    <t xml:space="preserve"> 1.03.09.2.01.0008 </t>
  </si>
  <si>
    <t>49978186/BAHPL/2024</t>
  </si>
  <si>
    <t>49978186/PEN/2024</t>
  </si>
  <si>
    <t>49978186/UMUM/PEJ-PENG/DPUPR/III/2024</t>
  </si>
  <si>
    <t>49978186/KLAR-NEG/PEJ-PENG/DPUPR/III/2024</t>
  </si>
  <si>
    <t>600/49978186/SPK-Konsultansi/PPK/DPUPR</t>
  </si>
  <si>
    <t>600/49978186/SPMK/PPK/DPUPR</t>
  </si>
  <si>
    <t>Barang</t>
  </si>
  <si>
    <t>/UMUM/PEJ-PENG/DPUPR//2024</t>
  </si>
  <si>
    <t>/KLAR-NEG/PEJ-PENG/DPUPR//2024</t>
  </si>
  <si>
    <t>600//SPK-Barang/PPK/DPUPR</t>
  </si>
  <si>
    <t>pilih sub kegiatan</t>
  </si>
  <si>
    <t>Peningkatan Jalan Dusun Salobulu Kel. Pasangkayu</t>
  </si>
  <si>
    <t>50783712/BAHPL/2024</t>
  </si>
  <si>
    <t>50783712/PEN/2024</t>
  </si>
  <si>
    <t>50783712/UMUM/PEJ-PENG/DPUPR/III/2024</t>
  </si>
  <si>
    <t>50783712/KLAR-NEG/PEJ-PENG/DPUPR/III/2024</t>
  </si>
  <si>
    <t>600/50783712/SPK-Konstruksi/PPK/DPUPR</t>
  </si>
  <si>
    <t>600/50783712/SPMK/PPK/DPUPR</t>
  </si>
  <si>
    <t>Perencanaan Peningkatan Jalan Hotmix Bulumario - Patika - Saptanajaya</t>
  </si>
  <si>
    <t>51173499/BAHPL/2024</t>
  </si>
  <si>
    <t>51173499/PEN/2024</t>
  </si>
  <si>
    <t>51173499/UMUM/PEJ-PENG/DPUPR/IV/2024</t>
  </si>
  <si>
    <t>51173499/KLAR-NEG/PEJ-PENG/DPUPR/IV/2024</t>
  </si>
  <si>
    <t>600/51173499/SPK-Konsultansi/PPK/DPUPR</t>
  </si>
  <si>
    <t>600/51173499/SPMK/PPK/DPUPR</t>
  </si>
  <si>
    <t>Perencanaan Peningkatan Jalan Hotmix Wulai cs.</t>
  </si>
  <si>
    <t>5543660/BAHPL/2024</t>
  </si>
  <si>
    <t>5543660/PEN/2024</t>
  </si>
  <si>
    <t>5543660/UMUM/PEJ-PENG/DPUPR/IV/2024</t>
  </si>
  <si>
    <t>5543660/KLAR-NEG/PEJ-PENG/DPUPR/IV/2024</t>
  </si>
  <si>
    <t>600/5543660/SPK-Konsultansi/PPK/DPUPR</t>
  </si>
  <si>
    <t>600/5543660/SPMK/PPK/DPUPR</t>
  </si>
  <si>
    <t>Perenc. Pembangunan dan pemeliharaan infrastruktur jalan Jalan Trans Sulawesi - Poros Pasar Limua - Belawarahmat -Tirtabuana cs.</t>
  </si>
  <si>
    <t>51173383/BAHPL/2024</t>
  </si>
  <si>
    <t>51173383/PEN/2024</t>
  </si>
  <si>
    <t>51173383/UMUM/PEJ-PENG/DPUPR/IV/2024</t>
  </si>
  <si>
    <t>51173383/KLAR-NEG/PEJ-PENG/DPUPR/IV/2024</t>
  </si>
  <si>
    <t>600/51173383/SPK-Konsultansi/PPK/DPUPR</t>
  </si>
  <si>
    <t>600/51173383/SPMK/PPK/DPUPR</t>
  </si>
  <si>
    <t>Perencanaan Peningkatan Jalan Hotmix dalam Kota Pasangkayu cs</t>
  </si>
  <si>
    <t>5545660/BAHPL/2024</t>
  </si>
  <si>
    <t>5545660/PEN/2024</t>
  </si>
  <si>
    <t>5545660/UMUM/PEJ-PENG/DPUPR/IV/2024</t>
  </si>
  <si>
    <t>5545660/KLAR-NEG/PEJ-PENG/DPUPR/IV/2024</t>
  </si>
  <si>
    <t>600/5545660/SPK-Konsultansi/PPK/DPUPR</t>
  </si>
  <si>
    <t>600/5545660/SPMK/PPK/DPUPR</t>
  </si>
  <si>
    <t>Perencanaan Peningkatan Jalan Hotmix Jono Muara Tikke</t>
  </si>
  <si>
    <t>5546660/BAHPL/2024</t>
  </si>
  <si>
    <t>5546660/PEN/2024</t>
  </si>
  <si>
    <t>5546660/UMUM/PEJ-PENG/DPUPR/IV/2024</t>
  </si>
  <si>
    <t>5546660/KLAR-NEG/PEJ-PENG/DPUPR/IV/2024</t>
  </si>
  <si>
    <t>600/5546660/SPK-Konsultansi/PPK/DPUPR</t>
  </si>
  <si>
    <t>600/5546660/SPMK/PPK/DPUPR</t>
  </si>
  <si>
    <t>Stock Design Status Jalan Kabupaten/Non Status Paket IV</t>
  </si>
  <si>
    <t>600//SPK-Konsultansi/PPK/DPUPR</t>
  </si>
  <si>
    <t>Stock Design Status Jalan Kabupaten/Non Status  Paket IV</t>
  </si>
  <si>
    <t>Perencanaan Normalisasi Saluran Pembuang/Sungai Saptanajaya - Tawoni - Patika - Bulumario</t>
  </si>
  <si>
    <t>Normalisasi/Restorasi Sungai</t>
  </si>
  <si>
    <t>1.03.02.2.01.0093</t>
  </si>
  <si>
    <t>49944383/BAHPL/2024</t>
  </si>
  <si>
    <t>49944383/PEN/2024</t>
  </si>
  <si>
    <t>49944383/UMUM/PEJ-PENG/DPUPR/V/2024</t>
  </si>
  <si>
    <t>49944383/KLAR-NEG/PEJ-PENG/DPUPR/V/2024</t>
  </si>
  <si>
    <t>600/49944383/SPK-Konsultansi/PPK/DPUPR</t>
  </si>
  <si>
    <t>600/49944383/SPMK/PPK/DPUPR</t>
  </si>
  <si>
    <t>Stock Design Jembatan Kabupaten Paket III</t>
  </si>
  <si>
    <t>51581417/BAHPL/2024</t>
  </si>
  <si>
    <t>51581417/PEN/2024</t>
  </si>
  <si>
    <t>51581417/UMUM/PEJ-PENG/DPUPR/IV/2024</t>
  </si>
  <si>
    <t>51581417/KLAR-NEG/PEJ-PENG/DPUPR/IV/2024</t>
  </si>
  <si>
    <t>600/51581417/SPK-Konsultansi/PPK/DPUPR</t>
  </si>
  <si>
    <t>600/51581417/SPMK/PPK/DPUPR</t>
  </si>
  <si>
    <t>Stock Design Jembatan Kabupaten Paket IV</t>
  </si>
  <si>
    <t>51581423/BAHPL/2024</t>
  </si>
  <si>
    <t>51581423/PEN/2024</t>
  </si>
  <si>
    <t>51581423/UMUM/PEJ-PENG/DPUPR/IV/2024</t>
  </si>
  <si>
    <t>51581423/KLAR-NEG/PEJ-PENG/DPUPR/IV/2024</t>
  </si>
  <si>
    <t>600/51581423/SPK-Konsultansi/PPK/DPUPR</t>
  </si>
  <si>
    <t>600/51581423/SPMK/PPK/DPUPR</t>
  </si>
  <si>
    <t>Pemb. Box Culvert Malei</t>
  </si>
  <si>
    <t>51024146/BAHPL/2024</t>
  </si>
  <si>
    <t>51024146/PEN/2024</t>
  </si>
  <si>
    <t>51024146/UMUM/PEJ-PENG/DPUPR/IV/2024</t>
  </si>
  <si>
    <t>51024146/KLAR-NEG/PEJ-PENG/DPUPR/IV/2024</t>
  </si>
  <si>
    <t>600/51024146/SPK-Konstruksi/PPK/DPUPR</t>
  </si>
  <si>
    <t>600/51024146/SPMK/PPK/DPUPR</t>
  </si>
  <si>
    <t>Pemb. Box Culvert Kastabuana</t>
  </si>
  <si>
    <t>51023923/BAHPL/2024</t>
  </si>
  <si>
    <t>51023923/PEN/2024</t>
  </si>
  <si>
    <t>51023923/UMUM/PEJ-PENG/DPUPR/IV/2024</t>
  </si>
  <si>
    <t>51023923/KLAR-NEG/PEJ-PENG/DPUPR/IV/2024</t>
  </si>
  <si>
    <t>600/51023923/SPK-Konstruksi/PPK/DPUPR</t>
  </si>
  <si>
    <t>600/51023923/SPMK/PPK/DPUPR</t>
  </si>
  <si>
    <t>Pemb. Jembatan Gantung Dsn. Bengko Desa Motu (lanjutan)</t>
  </si>
  <si>
    <t>51091700/BAHPL/2024</t>
  </si>
  <si>
    <t>51091700/PEN/2024</t>
  </si>
  <si>
    <t>51091700/UMUM/PEJ-PENG/DPUPR/IV/2024</t>
  </si>
  <si>
    <t>51091700/KLAR-NEG/PEJ-PENG/DPUPR/IV/2024</t>
  </si>
  <si>
    <t>600/51091700/SPK-Konstruksi/PPK/DPUPR</t>
  </si>
  <si>
    <t>600/51091700/SPMK/PPK/DPUPR</t>
  </si>
  <si>
    <t>Pemb. Box Culvert Doda</t>
  </si>
  <si>
    <t>51023355/BAHPL/2024</t>
  </si>
  <si>
    <t>51023355/PEN/2024</t>
  </si>
  <si>
    <t>51023355/UMUM/PEJ-PENG/DPUPR/IV/2024</t>
  </si>
  <si>
    <t>51023355/KLAR-NEG/PEJ-PENG/DPUPR/IV/2024</t>
  </si>
  <si>
    <t>600/51023355/SPK-Konstruksi/PPK/DPUPR</t>
  </si>
  <si>
    <t>600/51023355/SPMK/PPK/DPUPR</t>
  </si>
  <si>
    <t>Pemb. Box Culvert Pangiang</t>
  </si>
  <si>
    <t>51024298/BAHPL/2024</t>
  </si>
  <si>
    <t>51024298/PEN/2024</t>
  </si>
  <si>
    <t>51024298/UMUM/PEJ-PENG/DPUPR/IV/2024</t>
  </si>
  <si>
    <t>51024298/KLAR-NEG/PEJ-PENG/DPUPR/IV/2024</t>
  </si>
  <si>
    <t>600/51024298/SPK-Konstruksi/PPK/DPUPR</t>
  </si>
  <si>
    <t>600/51024298/SPMK/PPK/DPUPR</t>
  </si>
  <si>
    <t>Pemb. Saluran Drainase Desa Malei</t>
  </si>
  <si>
    <t>Pembangunan Sistem Drainase Lingkungan</t>
  </si>
  <si>
    <t>1.03.06.2.01.0012</t>
  </si>
  <si>
    <t>49975119/BAHPL/2024</t>
  </si>
  <si>
    <t>49975119/PEN/2024</t>
  </si>
  <si>
    <t>49975119/UMUM/PEJ-PENG/DPUPR/IV/2024</t>
  </si>
  <si>
    <t>49975119/KLAR-NEG/PEJ-PENG/DPUPR/IV/2024</t>
  </si>
  <si>
    <t>600/49975119/SPK-Konstruksi/PPK/DPUPR</t>
  </si>
  <si>
    <t>600/49975119/SPMK/PPK/DPUPR</t>
  </si>
  <si>
    <t>Pemb. Jalan Rabat Beton Pesantren Ako</t>
  </si>
  <si>
    <t xml:space="preserve">Penataan Bangunan dan Lingkungan Kawasan Cagar Budaya, Kawasan Pariwisata, Kawasan Sistem Perkotaan Nasional dan Kawasan Strategis Lainnya 
</t>
  </si>
  <si>
    <t>49981901/BAHPL/2024</t>
  </si>
  <si>
    <t>49981901/PEN/2024</t>
  </si>
  <si>
    <t>49981901/UMUM/PEJ-PENG/DPUPR/IV/2024</t>
  </si>
  <si>
    <t>49981901/KLAR-NEG/PEJ-PENG/DPUPR/IV/2024</t>
  </si>
  <si>
    <t>600/49981901/SPK-Konstruksi/PPK/DPUPR</t>
  </si>
  <si>
    <t>600/49981901/SPMK/PPK/DPUPR</t>
  </si>
  <si>
    <t xml:space="preserve"> Perenc. Bronjong Pesantren Albana Asing</t>
  </si>
  <si>
    <t>Pembangunan Bangunan Perkuatan Tebing</t>
  </si>
  <si>
    <t>49943495/BAHPL/2024</t>
  </si>
  <si>
    <t>49943495/PEN/2024</t>
  </si>
  <si>
    <t>49943495/UMUM/PEJ-PENG/DPUPR/IV/2024</t>
  </si>
  <si>
    <t>49943495/KLAR-NEG/PEJ-PENG/DPUPR/IV/2024</t>
  </si>
  <si>
    <t>600/49943495/SPK-Konsultansi/PPK/DPUPR</t>
  </si>
  <si>
    <t>600/49943495/SPMK/PPK/DPUPR</t>
  </si>
  <si>
    <t>Bronjong Pesantren Albana Asing</t>
  </si>
  <si>
    <t xml:space="preserve">Pembangunan Bangunan Perkuatan Tebing 
</t>
  </si>
  <si>
    <t>49767242/BAHPL/2024</t>
  </si>
  <si>
    <t>49767242/PEN/2024</t>
  </si>
  <si>
    <t>49767242/UMUM/PEJ-PENG/DPUPR/IV/2024</t>
  </si>
  <si>
    <t>49767242/KLAR-NEG/PEJ-PENG/DPUPR/IV/2024</t>
  </si>
  <si>
    <t>600/49767242/SPK-Konstruksi/PPK/DPUPR</t>
  </si>
  <si>
    <t>600/49767242/SPMK/PPK/DPUPR</t>
  </si>
  <si>
    <t>Pengawasan Bronjong Pesantren Albana Asing</t>
  </si>
  <si>
    <t>49943333/BAHPL/2024</t>
  </si>
  <si>
    <t>49943333/PEN/2024</t>
  </si>
  <si>
    <t>49943333/UMUM/PEJ-PENG/DPUPR/IV/2024</t>
  </si>
  <si>
    <t>49943333/KLAR-NEG/PEJ-PENG/DPUPR/IV/2024</t>
  </si>
  <si>
    <t>600/49943333/SPK-Konsultansi/PPK/DPUPR</t>
  </si>
  <si>
    <t>600/49943333/SPMK/PPK/DPUPR</t>
  </si>
  <si>
    <t>Pemb. Saluran Drainase Pasangkayu Samping Kantor Bupati</t>
  </si>
  <si>
    <t>49975231/BAHPL/2024</t>
  </si>
  <si>
    <t>49975231/PEN/2024</t>
  </si>
  <si>
    <t>49975231/UMUM/PEJ-PENG/DPUPR/IV/2024</t>
  </si>
  <si>
    <t>49975231/KLAR-NEG/PEJ-PENG/DPUPR/IV/2024</t>
  </si>
  <si>
    <t>600/49975231/SPK-Konstruksi/PPK/DPUPR</t>
  </si>
  <si>
    <t>600/49975231/SPMK/PPK/DPUPR</t>
  </si>
  <si>
    <t>Pengawasan Pemb. Box Culvert Pasangkayu cs.</t>
  </si>
  <si>
    <t>51267063/BAHPL/2024</t>
  </si>
  <si>
    <t>51267063/PEN/2024</t>
  </si>
  <si>
    <t>51267063/UMUM/PEJ-PENG/DPUPR/IV/2024</t>
  </si>
  <si>
    <t>51267063/KLAR-NEG/PEJ-PENG/DPUPR/IV/2024</t>
  </si>
  <si>
    <t>600/51267063/SPK-Konsultansi/PPK/DPUPR</t>
  </si>
  <si>
    <t>600/51267063/SPMK/PPK/DPUPR</t>
  </si>
  <si>
    <t>Pemb. Box Culvert Pasangkayu</t>
  </si>
  <si>
    <t>51367031/BAHPL/2024</t>
  </si>
  <si>
    <t>51367031/PEN/2024</t>
  </si>
  <si>
    <t>51367031/UMUM/PEJ-PENG/DPUPR/IV/2024</t>
  </si>
  <si>
    <t>51367031/KLAR-NEG/PEJ-PENG/DPUPR/IV/2024</t>
  </si>
  <si>
    <t>600/51367031/SPK-Konstruksi/PPK/DPUPR</t>
  </si>
  <si>
    <t>600/51367031/SPMK/PPK/DPUPR</t>
  </si>
  <si>
    <t>Pengawasan Pemb. Tiang Bendera Alun-Alun Pasangkayu,Pengawasan Pemeliharaan/Rehabilitasi Taman Air Mancur Pasangkayu, Pengawasan Pemb. Jalan Rabat Beton Pasangkayu cs., Pengawasan Pemb. Saluran Drainase Ling. Sawi Kel. Bambalamotu cs.</t>
  </si>
  <si>
    <t>49974911/BAHPL/2024</t>
  </si>
  <si>
    <t>49974911/PEN/2024</t>
  </si>
  <si>
    <t>49974911/UMUM/PEJ-PENG/DPUPR/IV/2024</t>
  </si>
  <si>
    <t>49974911/KLAR-NEG/PEJ-PENG/DPUPR/IV/2024</t>
  </si>
  <si>
    <t>600/49974911/SPK-Konsultansi/PPK/DPUPR</t>
  </si>
  <si>
    <t>600/49974911/SPMK/PPK/DPUPR</t>
  </si>
  <si>
    <t>Perenc. Normalisasi Saluran Pembuang/Sungai Salubulu</t>
  </si>
  <si>
    <t xml:space="preserve"> 1.03.02.2.01.0093 </t>
  </si>
  <si>
    <t>49944052/BAHPL/2024</t>
  </si>
  <si>
    <t>49944052/PEN/2024</t>
  </si>
  <si>
    <t>49944052/UMUM/PEJ-PENG/DPUPR/IV/2024</t>
  </si>
  <si>
    <t>49944052/KLAR-NEG/PEJ-PENG/DPUPR/IV/2024</t>
  </si>
  <si>
    <t>600/49944052/SPK-Konsultansi/PPK/DPUPR</t>
  </si>
  <si>
    <t>600/49944052/SPMK/PPK/DPUPR</t>
  </si>
  <si>
    <t>Stok Desain Perencanaan Pembangunan/Rehabilitasi Daerah Irigasi (Stock Desain Pembangunan Irigasi)</t>
  </si>
  <si>
    <t>Rehabilitasi Jaringan Irigasi Permukaan</t>
  </si>
  <si>
    <t>1.03.02.2.02.0014</t>
  </si>
  <si>
    <t>50002531/BAHPL/2024</t>
  </si>
  <si>
    <t>50002531/PEN/2024</t>
  </si>
  <si>
    <t>50002531/UMUM/PEJ-PENG/DPUPR/IV/2024</t>
  </si>
  <si>
    <t>50002531/KLAR-NEG/PEJ-PENG/DPUPR/IV/2024</t>
  </si>
  <si>
    <t>600/50002531/SPK-Konsultansi/PPK/DPUPR</t>
  </si>
  <si>
    <t>600/50002531/SPMK/PPK/DPUPR</t>
  </si>
  <si>
    <t>Stok Desain Perencanaan Pembangunan/Rehabilitasi Daerah Irigasi (Perencanaan Konstruksi)</t>
  </si>
  <si>
    <t>49767016/BAHPL/2024</t>
  </si>
  <si>
    <t>49767016/PEN/2024</t>
  </si>
  <si>
    <t>49767016/UMUM/PEJ-PENG/DPUPR/IV/2024</t>
  </si>
  <si>
    <t>49767016/KLAR-NEG/PEJ-PENG/DPUPR/IV/2024</t>
  </si>
  <si>
    <t>600/49767016/SPK-Konsultansi/PPK/DPUPR</t>
  </si>
  <si>
    <t>600/49767016/SPMK/PPK/DPUPR</t>
  </si>
  <si>
    <t>Belanja Modal Alat Laboratorium Mekanika Tanah dan Batuan</t>
  </si>
  <si>
    <t>Pengadaan Peralatan dan Mesin Lainnya</t>
  </si>
  <si>
    <t>1.03.01.2.07.0006</t>
  </si>
  <si>
    <t>51307223/BAHPL/2024</t>
  </si>
  <si>
    <t>51307223/PEN/2024</t>
  </si>
  <si>
    <t>51307223/UMUM/PEJ-PENG/DPUPR/IV/2024</t>
  </si>
  <si>
    <t>51307223/KLAR-NEG/PEJ-PENG/DPUPR/IV/2024</t>
  </si>
  <si>
    <t>600/51307223/Kont-Barang/PPK/DPUPR</t>
  </si>
  <si>
    <t>600/51307223/SPMK/PPK/DPUPR</t>
  </si>
  <si>
    <t>MAHMUD,SP.,M.SI</t>
  </si>
  <si>
    <t>Rehabilitasi Gedung Kantor/Partisi Kantor Dinas PUPR</t>
  </si>
  <si>
    <t>227 CV. SATU TUJUH KONSTRUKSI</t>
  </si>
  <si>
    <t>MOH. TAHRAM AFANDI, ST.</t>
  </si>
  <si>
    <t xml:space="preserve">39.582.272.9-831.000 
</t>
  </si>
  <si>
    <r>
      <rPr>
        <sz val="10"/>
        <color indexed="8"/>
        <rFont val="Helvetica"/>
      </rPr>
      <t>JL RE. MARTADINATA NO.387 RT.001 RW.002 KEL. TONDO KEC. MANTIKULORE KOTA PALU SULAWESI TENGAH</t>
    </r>
  </si>
  <si>
    <t xml:space="preserve">Erny Singal, SH., MH., MKn 
</t>
  </si>
  <si>
    <t>Bank Sulteng : 0010107012425</t>
  </si>
  <si>
    <t>CV. SATU TUJUH KONSTRUKSI</t>
  </si>
  <si>
    <t>49977774/BAHPL/2024</t>
  </si>
  <si>
    <t>49977774/PEN/2024</t>
  </si>
  <si>
    <t>49977774/UMUM/PEJ-PENG/DPUPR/IV/2024</t>
  </si>
  <si>
    <t>49977774/KLAR-NEG/PEJ-PENG/DPUPR/IV/2024</t>
  </si>
  <si>
    <t>600/49977774/SPK-Konstruksi/PPK/DPUPR</t>
  </si>
  <si>
    <t>600/49977774/SPMK/PPK/DPUPR</t>
  </si>
  <si>
    <t>Pemb. Tiang Bendera Alun-Alun Pasangkayu</t>
  </si>
  <si>
    <t>49979513/BAHPL/2024</t>
  </si>
  <si>
    <t>49979513/PEN/2024</t>
  </si>
  <si>
    <t>49979513/UMUM/PEJ-PENG/DPUPR/IV/2024</t>
  </si>
  <si>
    <t>49979513/KLAR-NEG/PEJ-PENG/DPUPR/IV/2024</t>
  </si>
  <si>
    <t>600/49979513/SPK-Konstruksi/PPK/DPUPR</t>
  </si>
  <si>
    <t>600/49979513/SPMK/PPK/DPUPR</t>
  </si>
  <si>
    <t>Standar Operasional Prosedur (SOP) Bidang Pekerjaan Umum dan Penataan Ruang</t>
  </si>
  <si>
    <t>Penyediaan Bahan Bacaan dan Peraturan Perundang-undangan</t>
  </si>
  <si>
    <t>011CVARL/TAWAR/2024-PU</t>
  </si>
  <si>
    <t>1.03.01.2.06.0006</t>
  </si>
  <si>
    <t>51864970/BAHPL/2024</t>
  </si>
  <si>
    <t>51864970/PEN/2024</t>
  </si>
  <si>
    <t>51864970/UMUM/PEJ-PENG/DPUPR/IV/2024</t>
  </si>
  <si>
    <t>51864970/KLAR-NEG/PEJ-PENG/DPUPR/IV/2024</t>
  </si>
  <si>
    <t>600/51864970/SPK-Konsultansi/PPK/DPUPR</t>
  </si>
  <si>
    <t>600/51864970/SPMK/PPK/DPUPR</t>
  </si>
  <si>
    <t>Pemeliharaan/Rehabilitasi Taman Air Mancur Pasangkayu</t>
  </si>
  <si>
    <t>228 CV. BERSAUDARA JAYA</t>
  </si>
  <si>
    <t>ARJUNA WIWOHO, S.FILI</t>
  </si>
  <si>
    <t>668505407831000</t>
  </si>
  <si>
    <t>Jalan Sekunder II No. 09 Palu Sulawesi Tengah</t>
  </si>
  <si>
    <t>06</t>
  </si>
  <si>
    <t>ANDI HERNIATI
M. SH,M.KN</t>
  </si>
  <si>
    <t>Bank Sulteng : 0010107170063</t>
  </si>
  <si>
    <t>CV. BERSAUDARA JAYA</t>
  </si>
  <si>
    <t>49979604/BAHPL/2024</t>
  </si>
  <si>
    <t>49979604/PEN/2024</t>
  </si>
  <si>
    <t>49979604/UMUM/PEJ-PENG/DPUPR/IV/2024</t>
  </si>
  <si>
    <t>49979604/KLAR-NEG/PEJ-PENG/DPUPR/IV/2024</t>
  </si>
  <si>
    <t>600/49979604/SPK-Konstruksi/PPK/DPUPR</t>
  </si>
  <si>
    <t>600/49979604/SPMK/PPK/DPUPR</t>
  </si>
  <si>
    <t>Pemb. Jalan Rabat Beton Pasangkayu</t>
  </si>
  <si>
    <t xml:space="preserve">1.03.09.2.01.0008 
</t>
  </si>
  <si>
    <t>49981784/BAHPL/2024</t>
  </si>
  <si>
    <t>49981784/PEN/2024</t>
  </si>
  <si>
    <t>49981784/UMUM/PEJ-PENG/DPUPR/V/2024</t>
  </si>
  <si>
    <t>49981784/KLAR-NEG/PEJ-PENG/DPUPR/V/2024</t>
  </si>
  <si>
    <t>600/49981784/SPK-Konstruksi/PPK/DPUPR</t>
  </si>
  <si>
    <t>600/49981784/SPMK/PPK/DPUPR</t>
  </si>
  <si>
    <t>Perencanaan Peningkatan jalan Samping Kodim Pasangkayu cs.</t>
  </si>
  <si>
    <t>51309562/BAHPL/2024</t>
  </si>
  <si>
    <t>51309562/PEN/2024</t>
  </si>
  <si>
    <t>51309562/UMUM/PEJ-PENG/DPUPR/IV/2024</t>
  </si>
  <si>
    <t>51309562/KLAR-NEG/PEJ-PENG/DPUPR/IV/2024</t>
  </si>
  <si>
    <t>600/51309562/SPK-Konsultansi/PPK/DPUPR</t>
  </si>
  <si>
    <t>600/51309562/SPMK/PPK/DPUPR</t>
  </si>
  <si>
    <t>Peningkatan Jalan Salonggabo (Lanjutan)</t>
  </si>
  <si>
    <t>172 CV. TO MASSANGNGADI KONSTRUKSI</t>
  </si>
  <si>
    <t>ARDHI BAHAR</t>
  </si>
  <si>
    <t>90.030.190.4-814.000</t>
  </si>
  <si>
    <t>Jl. Tanjung Babia Pasangkayu</t>
  </si>
  <si>
    <t>RISKAL, S.H., M.Kn</t>
  </si>
  <si>
    <t xml:space="preserve">075.003.0000015610  BPD SULSELBAR Cab. Pasangkayu </t>
  </si>
  <si>
    <t>CV. TO MASSANGNGADI KONSTRUKSI</t>
  </si>
  <si>
    <t>51245302/BAHPL/2024</t>
  </si>
  <si>
    <t>51245302/PEN/2024</t>
  </si>
  <si>
    <t>51245302/UMUM/PEJ-PENG/DPUPR/V/2024</t>
  </si>
  <si>
    <t>51245302/KLAR-NEG/PEJ-PENG/DPUPR/V/2024</t>
  </si>
  <si>
    <t>600/51245302/SPK-Konstruksi/PPK/DPUPR</t>
  </si>
  <si>
    <t>600/51245302/SPMK/PPK/DPUPR</t>
  </si>
  <si>
    <t>Pengawasan Peningkatan Jalan Dusun Salobulu Kel. Pasangkayu cs. Pengawasan Peningkatan jalan Samping Kodim Pasangkayu cs.</t>
  </si>
  <si>
    <t>51304504/BAHPL/2024</t>
  </si>
  <si>
    <t>51304504/PEN/2024</t>
  </si>
  <si>
    <t>51304504/UMUM/PEJ-PENG/DPUPR/III/2024</t>
  </si>
  <si>
    <t>51304504/KLAR-NEG/PEJ-PENG/DPUPR/III/2024</t>
  </si>
  <si>
    <t>600/51304504/SPK-Konsultansi/PPK/DPUPR</t>
  </si>
  <si>
    <t>600/51304504/SPMK/PPK/DPUPR</t>
  </si>
  <si>
    <t>Peningkatan jalan Samping Kodim Pasangkayu</t>
  </si>
  <si>
    <t>229 CV. ABRA JAYA KONTRUKSI</t>
  </si>
  <si>
    <t>ABD. RASAK</t>
  </si>
  <si>
    <t>03.661.265.3-814.000</t>
  </si>
  <si>
    <t>Lingk. T anjung Babia., Desa/Kelurahan Pasangkayu, Kec. Pasangkayu</t>
  </si>
  <si>
    <t>HARTINI, SH.,M.Kn</t>
  </si>
  <si>
    <t>075-003-000001623-3</t>
  </si>
  <si>
    <t>CV. ABRA JAYA KONTRUKSI</t>
  </si>
  <si>
    <t>51245324/BAHPL/2024</t>
  </si>
  <si>
    <t>51245324/PEN/2024</t>
  </si>
  <si>
    <t>51245324/UMUM/PEJ-PENG/DPUPR/V/2024</t>
  </si>
  <si>
    <t>51245324/KLAR-NEG/PEJ-PENG/DPUPR/V/2024</t>
  </si>
  <si>
    <t>600/51245324/SPK-Konstruksi/PPK/DPUPR</t>
  </si>
  <si>
    <t>600/51245324/SPMK/PPK/DPUPR</t>
  </si>
  <si>
    <t>Stock Design Long Segment Jalan Kabupaten VI</t>
  </si>
  <si>
    <t>022/CVARL/TAWAR/2024-PU</t>
  </si>
  <si>
    <t>51309467/BAHPL/2024</t>
  </si>
  <si>
    <t>51309467/PEN/2024</t>
  </si>
  <si>
    <t>51309467/UMUM/PEJ-PENG/DPUPR/V/2024</t>
  </si>
  <si>
    <t>51309467/KLAR-NEG/PEJ-PENG/DPUPR/V/2024</t>
  </si>
  <si>
    <t>600/51309467/SPK-Konsultansi/PPK/DPUPR</t>
  </si>
  <si>
    <t>600/51309467/SPMK/PPK/DPUPR</t>
  </si>
  <si>
    <t>Stock Design Long Segment Jalan Kabupaten VII</t>
  </si>
  <si>
    <t>024/CVARL/TAWAR/2024-PU</t>
  </si>
  <si>
    <t>51309517/BAHPL/2024</t>
  </si>
  <si>
    <t>51309517/PEN/2024</t>
  </si>
  <si>
    <t>51309517/UMUM/PEJ-PENG/DPUPR/V/2024</t>
  </si>
  <si>
    <t>51309517/KLAR-NEG/PEJ-PENG/DPUPR/V/2024</t>
  </si>
  <si>
    <t>600/51309517/SPK-Konsultansi/PPK/DPUPR</t>
  </si>
  <si>
    <t>600/51309517/SPMK/PPK/DPUPR</t>
  </si>
  <si>
    <t>025/CVARL/TAWAR/2024-PU</t>
  </si>
  <si>
    <t>51861479/BAHPL/2024</t>
  </si>
  <si>
    <t>51861479/PEN/2024</t>
  </si>
  <si>
    <t>51861479/UMUM/PEJ-PENG/DPUPR/V/2024</t>
  </si>
  <si>
    <t>51861479/KLAR-NEG/PEJ-PENG/DPUPR/V/2024</t>
  </si>
  <si>
    <t>600/51861479/SPK-Konsultansi/PPK/DPUPR</t>
  </si>
  <si>
    <t>600/51861479/SPMK/PPK/DPUPR</t>
  </si>
  <si>
    <t>Stock Design Status Jalan Kabupaten/Non Status  Paket V</t>
  </si>
  <si>
    <t>026/CVARL/TAWAR/2024-PU</t>
  </si>
  <si>
    <t>51861480/BAHPL/2024</t>
  </si>
  <si>
    <t>51861480/PEN/2024</t>
  </si>
  <si>
    <t>51861480/UMUM/PEJ-PENG/DPUPR/V/2024</t>
  </si>
  <si>
    <t>51861480/KLAR-NEG/PEJ-PENG/DPUPR/V/2024</t>
  </si>
  <si>
    <t>600/51861480/SPK-Konsultansi/PPK/DPUPR</t>
  </si>
  <si>
    <t>600/51861480/SPMK/PPK/DPUPR</t>
  </si>
  <si>
    <t>Stock Desain Jalan Kabupaten Paket V cs.</t>
  </si>
  <si>
    <t>028/CVARL/TAWAR/2024-PU</t>
  </si>
  <si>
    <t>51309415/BAHPL/2024</t>
  </si>
  <si>
    <t>51309415/PEN/2024</t>
  </si>
  <si>
    <t>51309415/UMUM/PEJ-PENG/DPUPR/V/2024</t>
  </si>
  <si>
    <t>51309415/KLAR-NEG/PEJ-PENG/DPUPR/V/2024</t>
  </si>
  <si>
    <t>600/51309415/SPK-Konsultansi/PPK/DPUPR</t>
  </si>
  <si>
    <t>600/51309415/SPMK/PPK/DPUPR</t>
  </si>
  <si>
    <t>Stock Desain Jalan Kabupaten Paket IV</t>
  </si>
  <si>
    <t>027/CVARL/TAWAR/2024-PU</t>
  </si>
  <si>
    <t>51309201/BAHPL/2024</t>
  </si>
  <si>
    <t>51309201/PEN/2024</t>
  </si>
  <si>
    <t>51309201/UMUM/PEJ-PENG/DPUPR/V/2024</t>
  </si>
  <si>
    <t>51309201/KLAR-NEG/PEJ-PENG/DPUPR/V/2024</t>
  </si>
  <si>
    <t>600/51309201/SPK-Konsultansi/PPK/DPUPR</t>
  </si>
  <si>
    <t>600/51309201/SPMK/PPK/DPUPR</t>
  </si>
  <si>
    <t xml:space="preserve">Perenc. Pembangunan Jalan Benggaulu </t>
  </si>
  <si>
    <t>Abidin M., SAP., MSP., IAP.</t>
  </si>
  <si>
    <t>51308914/BAHPL/2024</t>
  </si>
  <si>
    <t>51308914/PEN/2024</t>
  </si>
  <si>
    <t>51308914/UMUM/PEJ-PENG/DPUPR/IV/2024</t>
  </si>
  <si>
    <t>51308914/KLAR-NEG/PEJ-PENG/DPUPR/IV/2024</t>
  </si>
  <si>
    <t>600/51308914/SPK-Konsultansi/PPK/DPUPR</t>
  </si>
  <si>
    <t>600/51308914/SPMK/PPK/DPUPR</t>
  </si>
  <si>
    <t>Peningkatan Jalan Dusun Kampung Baru Desa Sarude</t>
  </si>
  <si>
    <t>230 CV. TIGANUSA</t>
  </si>
  <si>
    <t>APRIANTO, ST.</t>
  </si>
  <si>
    <t>90.071.393.4-831.000</t>
  </si>
  <si>
    <t>JL. RE MARTADINATA NO. 387 RT. 001 RW. 002 KEL. TONDO KEC. MANTIKULORE KOTA PALU – SELAWESI TENGAH</t>
  </si>
  <si>
    <t>03</t>
  </si>
  <si>
    <t>Erny Singal, SH., MH., MKn.</t>
  </si>
  <si>
    <t>0080107000293 Bank Sulteng</t>
  </si>
  <si>
    <t>CV. TIGANUSA</t>
  </si>
  <si>
    <t>5575660/BAHPL/2024</t>
  </si>
  <si>
    <t>5575660/PEN/2024</t>
  </si>
  <si>
    <t>5575660/UMUM/PEJ-PENG/DPUPR/VI/2024</t>
  </si>
  <si>
    <t>5575660/KLAR-NEG/PEJ-PENG/DPUPR/VI/2024</t>
  </si>
  <si>
    <t>600/5575660/SPK-Konstruksi/PPK/DPUPR</t>
  </si>
  <si>
    <t>600/5575660/SPMK/PPK/DPUPR</t>
  </si>
  <si>
    <t>Peningkatan Jalan Kota Pasangkayu</t>
  </si>
  <si>
    <t>231 CV. IPORANNUAN UTAMA KONSTRUKSI</t>
  </si>
  <si>
    <t>D I L M A N</t>
  </si>
  <si>
    <t>12.741.797.0-814.000</t>
  </si>
  <si>
    <t>Dusun Kaluku Nangka II</t>
  </si>
  <si>
    <t>HARTINI,Sh.,M.Kn</t>
  </si>
  <si>
    <t>075-003-000001624-1 Bank Sulselbar</t>
  </si>
  <si>
    <t>CV. IPORANNUAN UTAMA KONSTRUKSI</t>
  </si>
  <si>
    <t>5583660/BAHPL/2024</t>
  </si>
  <si>
    <t>5583660/PEN/2024</t>
  </si>
  <si>
    <t>5583660/UMUM/PEJ-PENG/DPUPR/VI/2024</t>
  </si>
  <si>
    <t>5583660/KLAR-NEG/PEJ-PENG/DPUPR/VI/2024</t>
  </si>
  <si>
    <t>600/5583660/SPK-Konstruksi/PPK/DPUPR</t>
  </si>
  <si>
    <t>600/5583660/SPMK/PPK/DPUPR</t>
  </si>
  <si>
    <t>Pemb. Box Culvert Antai II Bulubunggu</t>
  </si>
  <si>
    <t>5574660/BAHPL/2024</t>
  </si>
  <si>
    <t>5574660/PEN/2024</t>
  </si>
  <si>
    <t>5574660/UMUM/PEJ-PENG/DPUPR/VI/2024</t>
  </si>
  <si>
    <t>5574660/KLAR-NEG/PEJ-PENG/DPUPR/VI/2024</t>
  </si>
  <si>
    <t>600/5574660/SPK-Konstruksi/PPK/DPUPR</t>
  </si>
  <si>
    <t>600/5574660/SPMK/PPK/DPUPR</t>
  </si>
  <si>
    <t>Pembangunan Pagar dan Selasar RSUD Pasangkayu</t>
  </si>
  <si>
    <t>18 CV. MAPUTEH</t>
  </si>
  <si>
    <t>SABARUDDIN</t>
  </si>
  <si>
    <t>02.371.054.4-814.001</t>
  </si>
  <si>
    <t>02</t>
  </si>
  <si>
    <t>075.003.776</t>
  </si>
  <si>
    <t>CV. MAPUTEH</t>
  </si>
  <si>
    <t>15810660/1/2024/6</t>
  </si>
  <si>
    <t xml:space="preserve"> 1.03.09.2.01.0008</t>
  </si>
  <si>
    <t>P1.03.03/BAHP/Konstr/BPBJ</t>
  </si>
  <si>
    <t>4889660/PEN/2024</t>
  </si>
  <si>
    <t>4889660/UMUM/PEJ-PENG/DPUPR//2024</t>
  </si>
  <si>
    <t>P1.010.05/BA-PK/Konstr/BPBJ</t>
  </si>
  <si>
    <t>600/4889660/Kont-Konstruksi/PPK/DPUPR</t>
  </si>
  <si>
    <t>600/4889660/SPMK/PPK/DPUPR</t>
  </si>
  <si>
    <t>Pengawasan Pembangunan Pagar dan Selasar RSUD Pasangkayu</t>
  </si>
  <si>
    <t>008/CVARL/TAWAR/2024-PU</t>
  </si>
  <si>
    <t>49976430/BAHPL/2024</t>
  </si>
  <si>
    <t>49976430/PEN/2024</t>
  </si>
  <si>
    <t>49976430/UMUM/PEJ-PENG/DPUPR/VI/2024</t>
  </si>
  <si>
    <t>49976430/KLAR-NEG/PEJ-PENG/DPUPR//2024</t>
  </si>
  <si>
    <t>600/49976430/SPK-Konsultansi/PPK/DPUPR</t>
  </si>
  <si>
    <t>600/49976430/SPMK/PPK/DPUPR</t>
  </si>
  <si>
    <t>Pembangunan Ruang Operasi RSUD Pasangkayu</t>
  </si>
  <si>
    <t>15807660/1/2024/6</t>
  </si>
  <si>
    <t>4887660/PEN/2024</t>
  </si>
  <si>
    <t>4887660/UMUM/PEJ-PENG/DPUPR//2024</t>
  </si>
  <si>
    <t>P1.05.04/BAHP/Konstr/BPBJ</t>
  </si>
  <si>
    <t>600/4887660/Kont-Konstruksi/PPK/DPUPR</t>
  </si>
  <si>
    <t>600/4887660/SPMK/PPK/DPUPR</t>
  </si>
  <si>
    <t>Pengawasan Pembangunan Ruang Operasi RSUD</t>
  </si>
  <si>
    <t>009/CVARL/TAWAR/2024-PU</t>
  </si>
  <si>
    <t>49976716/BAHPL/2024</t>
  </si>
  <si>
    <t>49976716/PEN/2024</t>
  </si>
  <si>
    <t>49976716/UMUM/PEJ-PENG/DPUPR/VI/2024</t>
  </si>
  <si>
    <t>49976716/KLAR-NEG/PEJ-PENG/DPUPR//2024</t>
  </si>
  <si>
    <t>600/49976716/SPK-Konsultansi/PPK/DPUPR</t>
  </si>
  <si>
    <t>600/49976716/SPMK/PPK/DPUPR</t>
  </si>
  <si>
    <t>Pembangunan Gedung Kantor Polsek Tikke Raya</t>
  </si>
  <si>
    <t xml:space="preserve">15813660/1/2024/6
</t>
  </si>
  <si>
    <t xml:space="preserve"> PII.04.02/BAHP/BPBJ</t>
  </si>
  <si>
    <t>4888660/PEN/2024</t>
  </si>
  <si>
    <t>4888660/UMUM/PEJ-PENG/DPUPR//2024</t>
  </si>
  <si>
    <t>PII.04.02/BAHN/BPBJ</t>
  </si>
  <si>
    <t>600/4888660/Kont-Konstruksi/PPK/DPUPR</t>
  </si>
  <si>
    <t>600/4888660/SPMK/PPK/DPUPR</t>
  </si>
  <si>
    <t>Pengawasan Pembangunan Gedung Kantor Polsek Tikke Raya</t>
  </si>
  <si>
    <t>010/CVARL/TAWAR/2024-PU</t>
  </si>
  <si>
    <t>49975362/BAHPL/2024</t>
  </si>
  <si>
    <t>49975362/PEN/2024</t>
  </si>
  <si>
    <t>49975362/UMUM/PEJ-PENG/DPUPR/VI/2024</t>
  </si>
  <si>
    <t>49975362/KLAR-NEG/PEJ-PENG/DPUPR/VI/2024</t>
  </si>
  <si>
    <t>600/49975362/SPK-Konsultansi/PPK/DPUPR</t>
  </si>
  <si>
    <t>600/49975362/SPMK/PPK/DPUPR</t>
  </si>
  <si>
    <t>Perencanaan Rumah Tahfidz Kecamatan/Desa cs</t>
  </si>
  <si>
    <t>0015/TP/PASANGKAYU/PU-2024</t>
  </si>
  <si>
    <t>49975815/BAHPL/2024</t>
  </si>
  <si>
    <t>49975815/PEN/2024</t>
  </si>
  <si>
    <t>49975815/UMUM/PEJ-PENG/DPUPR/VI/2024</t>
  </si>
  <si>
    <t>49975815/KLAR-NEG/PEJ-PENG/DPUPR/VI/2024</t>
  </si>
  <si>
    <t>600/49975815/SPK-Konsultansi/PPK/DPUPR</t>
  </si>
  <si>
    <t>600/49975815/SPMK/PPK/DPUPR</t>
  </si>
  <si>
    <t>Perencanaan Pembangunan Rumah Adat Joglo</t>
  </si>
  <si>
    <t>197 CV. HANA KARYA KONSULTAN</t>
  </si>
  <si>
    <t>DEWI SARTIKA BADWI, S.PWK.</t>
  </si>
  <si>
    <t>Direktris</t>
  </si>
  <si>
    <t>84.138.734.3-805.000</t>
  </si>
  <si>
    <t>Jl. Mines Upa Blok L.9 No. 11 Makassar</t>
  </si>
  <si>
    <t>1300030000325886 Bank Sulselbar Cabang Makassar</t>
  </si>
  <si>
    <t>CV. HANA KARYA KONSULTAN</t>
  </si>
  <si>
    <t>0016/TP/PASANGKAYU/PU-2024</t>
  </si>
  <si>
    <t>49977097/BAHPL/2024</t>
  </si>
  <si>
    <t>49977097/PEN/2024</t>
  </si>
  <si>
    <t>49977097/UMUM/PEJ-PENG/DPUPR/VI/2024</t>
  </si>
  <si>
    <t>49977097/KLAR-NEG/PEJ-PENG/DPUPR/VI/2024</t>
  </si>
  <si>
    <t>600/49977097/SPK-Konsultansi/PPK/DPUPR</t>
  </si>
  <si>
    <t>600/49977097/SPMK/PPK/DPUPR</t>
  </si>
  <si>
    <t>Normalisasi Saluran Pembuang/Sungai Salubulu</t>
  </si>
  <si>
    <t>5570660/BAHPL/2024</t>
  </si>
  <si>
    <t>5570660/PEN/2024</t>
  </si>
  <si>
    <t>5570660/UMUM/PEJ-PENG/DPUPR/VI/2024</t>
  </si>
  <si>
    <t>5570660/KLAR-NEG/PEJ-PENG/DPUPR/VI/2024</t>
  </si>
  <si>
    <t>600/5570660/SPK-Konstruksi/PPK/DPUPR</t>
  </si>
  <si>
    <t>600/5570660/SPMK/PPK/DPUPR</t>
  </si>
  <si>
    <t>Pengawasan Normalisasi Saluran Pembuang/Sungai Salubulu</t>
  </si>
  <si>
    <t xml:space="preserve">1.03.02.2.01.0093 </t>
  </si>
  <si>
    <t>49943775/BAHPL/2024</t>
  </si>
  <si>
    <t>49943775/PEN/2024</t>
  </si>
  <si>
    <t>49943775/UMUM/PEJ-PENG/DPUPR/VI/2024</t>
  </si>
  <si>
    <t>49943775/KLAR-NEG/PEJ-PENG/DPUPR/VI/2024</t>
  </si>
  <si>
    <t>600/49943775/SPK-Konsultansi/PPK/DPUPR</t>
  </si>
  <si>
    <t>600/49943775/SPMK/PPK/DPUPR</t>
  </si>
  <si>
    <t>Pemb./Rehabilitasi Jembatan Tamarunang (Talud)</t>
  </si>
  <si>
    <t>5576660/BAHPL/2024</t>
  </si>
  <si>
    <t>5576660/PEN/2024</t>
  </si>
  <si>
    <t>5576660/UMUM/PEJ-PENG/DPUPR/VI/2024</t>
  </si>
  <si>
    <t>5576660/KLAR-NEG/PEJ-PENG/DPUPR/VI/2024</t>
  </si>
  <si>
    <t>600/5576660/SPK-Konstruksi/PPK/DPUPR</t>
  </si>
  <si>
    <t>600/5576660/SPMK/PPK/DPUPR</t>
  </si>
  <si>
    <t>Rehabilitasi Jaringan Irigasi D.I Patika (DAK)</t>
  </si>
  <si>
    <t>207 CV. WAJU MALABBI</t>
  </si>
  <si>
    <t>JUMARDIN</t>
  </si>
  <si>
    <t>40.413.113.8-814.000</t>
  </si>
  <si>
    <t xml:space="preserve">Dusun Lattibung Desa Pangale Kec. Pangale Kab. Mamuju Tengah </t>
  </si>
  <si>
    <t>Jasman, SH., M.Kn</t>
  </si>
  <si>
    <t>077-003-000000237-1 Bank Sulselbar</t>
  </si>
  <si>
    <t>CV. WAJU MALABBI</t>
  </si>
  <si>
    <t>15704660/1/2024/5</t>
  </si>
  <si>
    <t xml:space="preserve"> PII.09.03/BAHP/BPBJ</t>
  </si>
  <si>
    <t>4884660/PEN/2024</t>
  </si>
  <si>
    <t>4884660/UMUM/PEJ-PENG/DPUPR/VI/2024</t>
  </si>
  <si>
    <t>PII.09.05/BAKKT/P-Konstr/BPBJ</t>
  </si>
  <si>
    <t>600/4884660/Kont-Konstruksi/PPK/DPUPR</t>
  </si>
  <si>
    <t>600/4884660/SPMK/PPK/DPUPR</t>
  </si>
  <si>
    <t>Rehabilitasi jaringan irigasi D.I. Rontojali (DAK)</t>
  </si>
  <si>
    <t>232  PT. TIMUR PUTRA CELEBES</t>
  </si>
  <si>
    <t>A. MUCHAMAD RUNG</t>
  </si>
  <si>
    <t>43.083.668.4-801.000</t>
  </si>
  <si>
    <t>Jl. Bandang No. 52 B Makassar</t>
  </si>
  <si>
    <t xml:space="preserve"> Fatmi Nuryanti, SH</t>
  </si>
  <si>
    <t>4111120212 BNI</t>
  </si>
  <si>
    <t xml:space="preserve"> PT. TIMUR PUTRA CELEBES</t>
  </si>
  <si>
    <t>15702660/1/2024/6</t>
  </si>
  <si>
    <t>4885660/BAHPL/2024</t>
  </si>
  <si>
    <t>4885660/PEN/2024</t>
  </si>
  <si>
    <t>4885660/UMUM/PEJ-PENG/DPUPR/VI/2024</t>
  </si>
  <si>
    <t>4885660/KLAR-NEG/PEJ-PENG/DPUPR/VI/2024</t>
  </si>
  <si>
    <t>600/4885660/Kont-Konstruksi/PPK/DPUPR</t>
  </si>
  <si>
    <t>600/4885660/SPMK/PPK/DPUPR</t>
  </si>
  <si>
    <t>Pemb. Saluran Drainase Ling. Sawi Kel. Bambalamotu</t>
  </si>
  <si>
    <t>49975169/BAHPL/2024</t>
  </si>
  <si>
    <t>49975169/PEN/2024</t>
  </si>
  <si>
    <t>49975169/UMUM/PEJ-PENG/DPUPR/VI/2024</t>
  </si>
  <si>
    <t>49975169/KLAR-NEG/PEJ-PENG/DPUPR/VI/2024</t>
  </si>
  <si>
    <t>600/49975169/SPK-Konstruksi/PPK/DPUPR</t>
  </si>
  <si>
    <t>600/49975169/SPMK/PPK/DPUPR</t>
  </si>
  <si>
    <t>Normalisasi Saluran Drainase Kota Pasangkayu</t>
  </si>
  <si>
    <t>49975054/BAHPL/2024</t>
  </si>
  <si>
    <t>49975054/PEN/2024</t>
  </si>
  <si>
    <t>49975054/UMUM/PEJ-PENG/DPUPR/VI/2024</t>
  </si>
  <si>
    <t>49975054/KLAR-NEG/PEJ-PENG/DPUPR/VI/2024</t>
  </si>
  <si>
    <t>600/49975054/SPK-Konstruksi/PPK/DPUPR</t>
  </si>
  <si>
    <t>600/49975054/SPMK/PPK/DPUPR</t>
  </si>
  <si>
    <t>Peningkatan Jalan Dusun Tinonto</t>
  </si>
  <si>
    <t>5630660/BAHPL/2024</t>
  </si>
  <si>
    <t>5630660/PEN/2024</t>
  </si>
  <si>
    <t>5630660/UMUM/PEJ-PENG/DPUPR/VII/2024</t>
  </si>
  <si>
    <t>5630660/KLAR-NEG/PEJ-PENG/DPUPR/VII/2024</t>
  </si>
  <si>
    <t>600/5630660/SPK-Konstruksi/PPK/DPUPR</t>
  </si>
  <si>
    <t>600/5630660/SPMK/PPK/DPUPR</t>
  </si>
  <si>
    <t xml:space="preserve">Peningkatan Jalan Dusun Tangnga-Tangnga Desa Sarjo
</t>
  </si>
  <si>
    <t>5629660/BAHPL/2024</t>
  </si>
  <si>
    <t>5629660/PEN/2024</t>
  </si>
  <si>
    <t>5629660/UMUM/PEJ-PENG/DPUPR/VII/2024</t>
  </si>
  <si>
    <t>5629660/KLAR-NEG/PEJ-PENG/DPUPR/VII/2024</t>
  </si>
  <si>
    <t>600/5629660/SPK-Konstruksi/PPK/DPUPR</t>
  </si>
  <si>
    <t>600/5629660/SPMK/PPK/DPUPR</t>
  </si>
  <si>
    <t>Jasa Konsultan Pengawas Kegiatan Kontraktual (Penugasan) Jalan Trans Sulawesi-Poros Limua-Belawa Rahmat-Tirtabuana (DBH) cs</t>
  </si>
  <si>
    <r>
      <rPr>
        <sz val="10"/>
        <color indexed="8"/>
        <rFont val="Helvetica"/>
      </rPr>
      <t xml:space="preserve">Jasa Konsultan Pengawas Kegiatan Kontraktual (Penugasan) Jalan Trans Sulawesi-Poros Limua-Belawa Rahmat-Tirtabuana (DBH)
</t>
    </r>
    <r>
      <rPr>
        <sz val="10"/>
        <color indexed="8"/>
        <rFont val="Helvetica"/>
      </rPr>
      <t xml:space="preserve">Jasa Konsultan Pengawas Kegiatan Kontraktual (Penugasan) (Pembangunan Jalan Trans Sulawesi - Poros Pasar Limua - Belawa Rahmat - Tirtabuana (DBH)
</t>
    </r>
    <r>
      <rPr>
        <sz val="10"/>
        <color indexed="8"/>
        <rFont val="Helvetica"/>
      </rPr>
      <t>Jasa Konsultan Pengawas Kegiatan Kontraktual (Penugasan) (Pembangunan Jalan Poros Balanti - Towoni) (DBH)</t>
    </r>
  </si>
  <si>
    <t>DBH</t>
  </si>
  <si>
    <t>15819660/1/2024/9</t>
  </si>
  <si>
    <t>P-II.18.09/BAHP/BPBJ</t>
  </si>
  <si>
    <t>4911660/PEN/2024</t>
  </si>
  <si>
    <t>4911660/UMUM/PEJ-PENG/DPUPR//2024</t>
  </si>
  <si>
    <t>P-II.18.09/BAPK/BPBJ</t>
  </si>
  <si>
    <t>600/4911660/Kont-Konsultansi/PPK/DPUPR</t>
  </si>
  <si>
    <t>600/4911660/SPMK/PPK/DPUPR</t>
  </si>
  <si>
    <t>Pembangunan dan pemeliharaan infrastruktur jalan (Jalan Trans Sulawesi-Poros Limua-Belawa Rahmat-Tirtabuana) (DBH)</t>
  </si>
  <si>
    <t>Pembangunan dan pemeliharaan infrastruktur jalan (Jalan Trans Sulawesi-Poros Limua-Belawa Rahmat-Tirtabuana) (DBH)
Pembangunan dan pemeliharaan infrastruktur jalan (Pembangunan Jalan Trans Sulawesi - Poros Pasar Limua - Belawa Rahmat - Tirtabuana (DBH II)</t>
  </si>
  <si>
    <t>8.580.000.000,0
4.620.000.000,0</t>
  </si>
  <si>
    <t>156 PT. ILHAM PUTRA SEJATI</t>
  </si>
  <si>
    <t>RIMBA EBONI TANASAL</t>
  </si>
  <si>
    <t>Direktur Utama</t>
  </si>
  <si>
    <t>02.304.202.1-814.000</t>
  </si>
  <si>
    <t>Ir. Juanda No. 06 Mamuju</t>
  </si>
  <si>
    <t>WIDARTININGSIH, SH.</t>
  </si>
  <si>
    <t>3882883772 BNI</t>
  </si>
  <si>
    <t>PT. ILHAM PUTRA SEJATI</t>
  </si>
  <si>
    <t>15834660/1/2024/7</t>
  </si>
  <si>
    <t>P1.17.09/BAHP/Konstr/BPBJ</t>
  </si>
  <si>
    <t>4906660/PEN/2024</t>
  </si>
  <si>
    <t>4906660/UMUM/PEJ-PENG/DPUPR/VI/2024</t>
  </si>
  <si>
    <t>P1.17.09/BAHN/Konstr/BPBJ</t>
  </si>
  <si>
    <t>600/4906660/Kont-Konstruksi/PPK/DPUPR</t>
  </si>
  <si>
    <t>600/4906660/SPMK/PPK/DPUPR</t>
  </si>
  <si>
    <t>Pembangunan dan pemeliharaan infrastruktur jalan (Pembangunan Jalan Poros Balanti - Towoni) (DBH II)</t>
  </si>
  <si>
    <t>145 PT. CITRA PERSADA TUNGGAL</t>
  </si>
  <si>
    <t>H A S A N</t>
  </si>
  <si>
    <t>82.955.169.6-814.000</t>
  </si>
  <si>
    <t>Jalan Pengayoman Kompleks Pemda No. 8 Kelurahan Rimuku Kec. Mamuju</t>
  </si>
  <si>
    <t>15</t>
  </si>
  <si>
    <t>6556557001 BNI Cab. Makassar</t>
  </si>
  <si>
    <t>PT. CITRA PERSADA TUNGGAL</t>
  </si>
  <si>
    <t>15856660/1/2024/7</t>
  </si>
  <si>
    <t>P1.15.08/BAHP/Konstr/BPBJ</t>
  </si>
  <si>
    <t>4908660/PEN/2024</t>
  </si>
  <si>
    <t>P1.15.08/BAPK/P-Konstruksi/BPBJ</t>
  </si>
  <si>
    <t>600/4908660/Kont-Konstruksi/PPK/DPUPR</t>
  </si>
  <si>
    <t>600/4908660/SPMK/PPK/DPUPR</t>
  </si>
  <si>
    <t>Pengawasan Rehabilitasi Jaringan Irigasi D.I Patika (DAK)</t>
  </si>
  <si>
    <t>5639660/BAHPL/2024</t>
  </si>
  <si>
    <t>5639660/PEN/2024</t>
  </si>
  <si>
    <t>5639660/UMUM/PEJ-PENG/DPUPR/VII/2024</t>
  </si>
  <si>
    <t>5639660/KLAR-NEG/PEJ-PENG/DPUPR/VII/2024</t>
  </si>
  <si>
    <t>600/5639660/SPK-Konsultansi/PPK/DPUPR</t>
  </si>
  <si>
    <t>600/5639660/SPMK/PPK/DPUPR</t>
  </si>
  <si>
    <t>Pengawasan Rehabilitasi Jaringan Irigasi D.I Rontojali (DAK)</t>
  </si>
  <si>
    <t>5638660/BAHPL/2024</t>
  </si>
  <si>
    <t>5638660/PEN/2024</t>
  </si>
  <si>
    <t>5638660/UMUM/PEJ-PENG/DPUPR/VII/2024</t>
  </si>
  <si>
    <t>5638660/KLAR-NEG/PEJ-PENG/DPUPR/VII/2024</t>
  </si>
  <si>
    <t>600/5638660/SPK-Konsultansi/PPK/DPUPR</t>
  </si>
  <si>
    <t>600/5638660/SPMK/PPK/DPUPR</t>
  </si>
  <si>
    <t>Pemb. Box Culvert Antai</t>
  </si>
  <si>
    <t>5636660/BAHPL/2024</t>
  </si>
  <si>
    <t>5636660/PEN/2024</t>
  </si>
  <si>
    <t>5636660/UMUM/PEJ-PENG/DPUPR/VII/2024</t>
  </si>
  <si>
    <t>5636660/KLAR-NEG/PEJ-PENG/DPUPR/VII/2024</t>
  </si>
  <si>
    <t>600/5636660/SPK-Konstruksi/PPK/DPUPR</t>
  </si>
  <si>
    <t>600/5636660/SPMK/PPK/DPUPR</t>
  </si>
  <si>
    <t>Peningkatan Jalan Hotmix Jono Muara Tikke cs.</t>
  </si>
  <si>
    <r>
      <rPr>
        <sz val="10"/>
        <color indexed="8"/>
        <rFont val="Helvetica"/>
      </rPr>
      <t xml:space="preserve">Peningkatan Jalan Hotmix Bulumario - Patika - Saptanajaya
</t>
    </r>
    <r>
      <rPr>
        <sz val="10"/>
        <color indexed="8"/>
        <rFont val="Helvetica"/>
      </rPr>
      <t xml:space="preserve">Peningkatan Jalan Hotmix Dalam Kota Pasangkayu
</t>
    </r>
    <r>
      <rPr>
        <sz val="10"/>
        <color indexed="8"/>
        <rFont val="Helvetica"/>
      </rPr>
      <t xml:space="preserve">Peningkatan Jalan Hotmix Jono - Muara Tikke
</t>
    </r>
    <r>
      <rPr>
        <sz val="10"/>
        <color indexed="8"/>
        <rFont val="Helvetica"/>
      </rPr>
      <t xml:space="preserve">Peningkatan jalan Hotmix Lariang
</t>
    </r>
    <r>
      <rPr>
        <sz val="10"/>
        <color indexed="8"/>
        <rFont val="Helvetica"/>
      </rPr>
      <t xml:space="preserve">Peningkatan Jalan Hotmix Wulai
</t>
    </r>
  </si>
  <si>
    <t xml:space="preserve">6.000.000.000
4.611.782.000
3.600.000.000
2.100.000.000
1.200.000.000
</t>
  </si>
  <si>
    <t>93 PT. APHASKO UTAMA JAYA</t>
  </si>
  <si>
    <t>MUH. SYAIFULLAH</t>
  </si>
  <si>
    <t>01.502.598.4-812.000</t>
  </si>
  <si>
    <t>Jl. ANDI DJEMMA NO. 15 MAKASSAR</t>
  </si>
  <si>
    <t>SUZANTI LUKMAN, S.H., M.Kn</t>
  </si>
  <si>
    <t>005001005512304 BRI Cabang Makassar</t>
  </si>
  <si>
    <t>PT. APHASKO UTAMA JAYA</t>
  </si>
  <si>
    <t>15954660/1/2024/7</t>
  </si>
  <si>
    <t>PII.21.10/BAHP/P-KONST/BPBJ</t>
  </si>
  <si>
    <t>4915660/PEN/2024</t>
  </si>
  <si>
    <t>4915660/UMUM/PEJ-PENG/DPUPR/VII/2024</t>
  </si>
  <si>
    <t>PII.21.10/BAHN/P-KONST/BPBJ</t>
  </si>
  <si>
    <t>600/4915660/Kont-Konstruksi/PPK/DPUPR</t>
  </si>
  <si>
    <t>600/4915660/SPMK/PPK/DPUPR</t>
  </si>
  <si>
    <t>Pengawasan Peningkatan Jalan Hotmix Bulumario - Patika - Saptanajaya</t>
  </si>
  <si>
    <t>163 CV. KARYA MUTIARA</t>
  </si>
  <si>
    <t>PRATIWI AZIZ, ST</t>
  </si>
  <si>
    <t>02.974.297.0-801.000</t>
  </si>
  <si>
    <t>Komp. Villa Mutiara Biru II No. 25 Makassar</t>
  </si>
  <si>
    <t>Yaya Rosdaya, SH., M.Kn.</t>
  </si>
  <si>
    <t>130.003.000029196.5 bank sulselbar</t>
  </si>
  <si>
    <t>CV. KARYA MUTIARA</t>
  </si>
  <si>
    <t>6772660/BAHPL/2024</t>
  </si>
  <si>
    <t>6772660/PEN/2024</t>
  </si>
  <si>
    <t>6772660/UMUM/PEJ-PENG/DPUPR/VIII/2024</t>
  </si>
  <si>
    <t>6772660/KLAR-NEG/PEJ-PENG/DPUPR/VIII/2024</t>
  </si>
  <si>
    <t>600/6772660/SPK-Konsultansi/PPK/DPUPR</t>
  </si>
  <si>
    <t>600/6772660/SPMK/PPK/DPUPR</t>
  </si>
  <si>
    <t>Pengawasan Peningkatan Jalan Hotmix dalam Kota Pasangkayu cs</t>
  </si>
  <si>
    <t>6771660/BAHPL/2024</t>
  </si>
  <si>
    <t>6771660/PEN/2024</t>
  </si>
  <si>
    <t>6771660/UMUM/PEJ-PENG/DPUPR/VIII/2024</t>
  </si>
  <si>
    <t>6771660/KLAR-NEG/PEJ-PENG/DPUPR/VIII/2024</t>
  </si>
  <si>
    <t>600/6771660/SPK-Konsultansi/PPK/DPUPR</t>
  </si>
  <si>
    <t>600/6771660/SPMK/PPK/DPUPR</t>
  </si>
  <si>
    <t>Pengawasan Peningkatan Jalan Hotmix Jono Muara Tikke</t>
  </si>
  <si>
    <t>6770660/BAHPL/2024</t>
  </si>
  <si>
    <t>6770660/PEN/2024</t>
  </si>
  <si>
    <t>6770660/UMUM/PEJ-PENG/DPUPR/VIII/2024</t>
  </si>
  <si>
    <t>6770660/KLAR-NEG/PEJ-PENG/DPUPR/VIII/2024</t>
  </si>
  <si>
    <t>600/6770660/SPK-Konsultansi/PPK/DPUPR</t>
  </si>
  <si>
    <t>600/6770660/SPMK/PPK/DPUPR</t>
  </si>
  <si>
    <t>Pengawasan Peningkatan Jalan Hotmix Wulai cs</t>
  </si>
  <si>
    <t>6773661/BAHPL/2024</t>
  </si>
  <si>
    <t>6773661/PEN/2024</t>
  </si>
  <si>
    <t>6773661/UMUM/PEJ-PENG/DPUPR/VIII/2024</t>
  </si>
  <si>
    <t>6773661/KLAR-NEG/PEJ-PENG/DPUPR/VIII/2024</t>
  </si>
  <si>
    <t>600/6773661/SPK-Konsultansi/PPK/DPUPR</t>
  </si>
  <si>
    <t>600/6773661/SPMK/PPK/DPUPR</t>
  </si>
  <si>
    <t>Pengembangan Jaringan Distribusi dan Sambungan Rumah Desa Polewali Kec. Bambalamotu (DAK)</t>
  </si>
  <si>
    <t>16239660/1/2024/7</t>
  </si>
  <si>
    <t>P-II.29.14/BAHP/BPBJ</t>
  </si>
  <si>
    <t>4925660/PEN/2024</t>
  </si>
  <si>
    <t>4925660/UMUM/PEJ-PENG/DPUPR//2024</t>
  </si>
  <si>
    <t>4925660/KLAR-NEG/PEJ-PENG/DPUPR//2024</t>
  </si>
  <si>
    <t>600/4925660/Kont-Konstruksi/PPK/DPUPR</t>
  </si>
  <si>
    <t>600/4925660/SPMK/PPK/DPUPR</t>
  </si>
  <si>
    <t>Pengembangan Jaringan Distribusi dan Sambungan Rumah Desa Sarude Kec. Sarjo (DAK)</t>
  </si>
  <si>
    <t>16109660/1/2024/7</t>
  </si>
  <si>
    <t>P-II.33.16/BAHP/BPBJ</t>
  </si>
  <si>
    <t>4922660/PEN/2024</t>
  </si>
  <si>
    <t>4922660/UMUM/PEJ-PENG/DPUPR//2024</t>
  </si>
  <si>
    <t>4922660/KLAR-NEG/PEJ-PENG/DPUPR//2024</t>
  </si>
  <si>
    <t>600/4922660/Kont-Konstruksi/PPK/DPUPR</t>
  </si>
  <si>
    <t>600/4922660/SPMK/PPK/DPUPR</t>
  </si>
  <si>
    <t>Pengembangan Jaringan Distribusi dan Sambungan Rumah Desa Bambalamotu Kec. Bambalamotu (DAK)</t>
  </si>
  <si>
    <t>16240660/1/2024/7</t>
  </si>
  <si>
    <t>P-II.36.17/BAHP/BPBJ</t>
  </si>
  <si>
    <t>4921660/PEN/2024</t>
  </si>
  <si>
    <t>4921660/UMUM/PEJ-PENG/DPUPR//2024</t>
  </si>
  <si>
    <t>4921660/KLAR-NEG/PEJ-PENG/DPUPR//2024</t>
  </si>
  <si>
    <t>600/4921660/Kont-Konstruksi/PPK/DPUPR</t>
  </si>
  <si>
    <t>600/4921660/SPMK/PPK/DPUPR</t>
  </si>
  <si>
    <t>Pengembangan Jaringan Distribusi dan Sambungan Rumah Desa Tampaure Kec. Bambaira (DAK)</t>
  </si>
  <si>
    <t>233 CV. KARYA INSAN CITA MEMBANGUN</t>
  </si>
  <si>
    <t>MILSYARI S. NAOTA</t>
  </si>
  <si>
    <t>Wakil Direktur</t>
  </si>
  <si>
    <t>40.930.032.4-831.000</t>
  </si>
  <si>
    <r>
      <rPr>
        <sz val="10"/>
        <color indexed="8"/>
        <rFont val="Helvetica"/>
      </rPr>
      <t>PERUM TAMAN RIA ESTATE Kav. Rambutan No. 5 Kel Kabonena Kota Palu</t>
    </r>
  </si>
  <si>
    <t>ERNY SINGAL, S.H., MH., MKn</t>
  </si>
  <si>
    <t>0080107002275 Bank Sulteng</t>
  </si>
  <si>
    <t>CV. KARYA INSAN CITA MEMBANGUN</t>
  </si>
  <si>
    <t>16031660/1/2024/7</t>
  </si>
  <si>
    <t>P-II.31.15/BAHP/BPBJ</t>
  </si>
  <si>
    <t>4923660/PEN/2024</t>
  </si>
  <si>
    <t>4923660/UMUM/PEJ-PENG/DPUPR//2024</t>
  </si>
  <si>
    <t>P-II.31.15/BAPP/BPBJ</t>
  </si>
  <si>
    <t>600/4923660/Kont-Konstruksi/PPK/DPUPR</t>
  </si>
  <si>
    <t>600/4923660/SPMK/PPK/DPUPR</t>
  </si>
  <si>
    <t>Pengembangan Jaringan Distribusi dan Sambungan Rumah Desa Wulai Kec. Bambalamotu (DAK)</t>
  </si>
  <si>
    <t>234 CV. BALAESANG MANDIRI</t>
  </si>
  <si>
    <t>MOH. RAZAK</t>
  </si>
  <si>
    <t>90.086.829.0-831.000</t>
  </si>
  <si>
    <t>Jl. Lagarutu No. 42 RT. 005 RW. 001 TANAMODINDI MANTIKULORE</t>
  </si>
  <si>
    <t>07</t>
  </si>
  <si>
    <t>ERNY SINGAL S.H., M.H., M.KN.</t>
  </si>
  <si>
    <t>0010107005075 Bank Sulteng</t>
  </si>
  <si>
    <t>CV. BALAESANG MANDIRI</t>
  </si>
  <si>
    <t>16062660/1/2024/7</t>
  </si>
  <si>
    <t>P-II.27.13/BAHP/BPBJ</t>
  </si>
  <si>
    <t>4927660/PEN/2024</t>
  </si>
  <si>
    <t>4927660/UMUM/PEJ-PENG/DPUPR//2024</t>
  </si>
  <si>
    <t>4927660/KLAR-NEG/PEJ-PENG/DPUPR//2024</t>
  </si>
  <si>
    <t>600/4927660/Kont-Konstruksi/PPK/DPUPR</t>
  </si>
  <si>
    <t>600/4927660/SPMK/PPK/DPUPR</t>
  </si>
  <si>
    <t xml:space="preserve">Pengembangan Jaringan Distribusi dan Sambungan Rumah Desa Benggaulu Kec.Dapurang (DAK) </t>
  </si>
  <si>
    <t>235 CV. GEOPRATAMA</t>
  </si>
  <si>
    <t>GUNAWAN WIBISONO,ST</t>
  </si>
  <si>
    <t>81.653.868.0-831.000</t>
  </si>
  <si>
    <t>PERUM.BUKIT TADULAKO M NO.10 , TONDO , MANTIKULORE, PALU</t>
  </si>
  <si>
    <t>Erny Singal, S.H., MH., Mkn</t>
  </si>
  <si>
    <t>0010107001590 Bank Sulteng</t>
  </si>
  <si>
    <t>CV. GEOPRATAMA</t>
  </si>
  <si>
    <t>15995660/1/2024/7</t>
  </si>
  <si>
    <t>P1.34.18/BAHP/Konstr/BPBJ</t>
  </si>
  <si>
    <t>4916660/PEN/2024</t>
  </si>
  <si>
    <t>4916660/UMUM/PEJ-PENG/DPUPR//2024</t>
  </si>
  <si>
    <t>4916660/KLAR-NEG/PEJ-PENG/DPUPR//2024</t>
  </si>
  <si>
    <t>600/4916660/Kont-Konstruksi/PPK/DPUPR</t>
  </si>
  <si>
    <t>600/4916660/SPMK/PPK/DPUPR</t>
  </si>
  <si>
    <t xml:space="preserve">Pengembangan Jaringan Distribusi dan Sambungan Rumah Desa Karya Bersama Kec.Pasangkayu (DAK) </t>
  </si>
  <si>
    <t>15991660/1/2024/7</t>
  </si>
  <si>
    <t>P1.32.17/BAHP/Konstr/BPBJ</t>
  </si>
  <si>
    <t>4920660/PEN/2024</t>
  </si>
  <si>
    <t>4920660/UMUM/PEJ-PENG/DPUPR//2024</t>
  </si>
  <si>
    <t>P1.32.17/BA-PK/Konstr/BPBJ</t>
  </si>
  <si>
    <t>600/4920660/Kont-Konstruksi/PPK/DPUPR</t>
  </si>
  <si>
    <t>600/4920660/SPMK/PPK/DPUPR</t>
  </si>
  <si>
    <t>Pengembangan Jaringan Distribusi dan Sambungan Rumah Desa Sarudu Kec. Sarudu (DAK)</t>
  </si>
  <si>
    <t>236 CV. WAHANA SULAWESI</t>
  </si>
  <si>
    <t>MUHAMMAD TRIMUKTI</t>
  </si>
  <si>
    <t>Kuasa Direktur</t>
  </si>
  <si>
    <t>01.811.125.2-831.000</t>
  </si>
  <si>
    <t>Jln. Otista No. 52 Rt. 001 Rw. 003, Besusu Timur Palu Timur</t>
  </si>
  <si>
    <t>RINA, S.H.,M.H.,M.Kn</t>
  </si>
  <si>
    <t>0010107151565 Bank Sulteng</t>
  </si>
  <si>
    <t>CV. WAHANA SULAWESI</t>
  </si>
  <si>
    <t>16128660/1/2024/7</t>
  </si>
  <si>
    <t>P1.28.15/BAHP/Konstr/BPBJ</t>
  </si>
  <si>
    <t>12 Juli 2024,</t>
  </si>
  <si>
    <t>4926660/PEN/2024</t>
  </si>
  <si>
    <t>4926660/UMUM/PEJ-PENG/DPUPR//2024</t>
  </si>
  <si>
    <t>P1.28.15/BAPK/Konstr/BPBJ</t>
  </si>
  <si>
    <t>600/4926660/Kont-Konstruksi/PPK/DPUPR</t>
  </si>
  <si>
    <t>600/4926660/SPMK/PPK/DPUPR</t>
  </si>
  <si>
    <t>Pengembangan Jaringan Distribusi dan Sambungan Rumah Desa Kalukunangka Kec.Bambaira (DAK)</t>
  </si>
  <si>
    <t>15996660/1/2024/7</t>
  </si>
  <si>
    <t>P-II.37.18/BAHP/BPBJ</t>
  </si>
  <si>
    <t>4918660/PEN/2024</t>
  </si>
  <si>
    <t>4918660/UMUM/PEJ-PENG/DPUPR//2024</t>
  </si>
  <si>
    <t>4918660/KLAR-NEG/PEJ-PENG/DPUPR//2024</t>
  </si>
  <si>
    <t>600/4918660/Kont-Konstruksi/PPK/DPUPR</t>
  </si>
  <si>
    <t>600/4918660/SPMK/PPK/DPUPR</t>
  </si>
  <si>
    <t>Pembangunan dan pemeliharaan infrastruktur jalan (Pembangunan Jembatan Jalan Poros Bulumario - Patika (DBH)</t>
  </si>
  <si>
    <t>15932660/1/2024/7</t>
  </si>
  <si>
    <t>PII.16.08/BAHP/P-KONST/BPBJ</t>
  </si>
  <si>
    <t>4907660/PEN/2024</t>
  </si>
  <si>
    <t>4907660/UMUM/PEJ-PENG/DPUPR//2024</t>
  </si>
  <si>
    <t>PII.16.08/BAKKT/P-KONST/BPBJ</t>
  </si>
  <si>
    <t>600/4907660/Kont-Konstruksi/PPK/DPUPR</t>
  </si>
  <si>
    <t>600/4907660/SPMK/PPK/DPUPR</t>
  </si>
  <si>
    <t xml:space="preserve">Jasa Konsultan pengawas Pembangunan Jembatan Jalan Poros Bulumario - Patika (DBH) </t>
  </si>
  <si>
    <t>6 CV. Asa Karya</t>
  </si>
  <si>
    <t>Hasan, ST</t>
  </si>
  <si>
    <t>02.821.676.0-805.000</t>
  </si>
  <si>
    <t>Jl. Andi Pelang Kec. Pasangkayu Kab. Pasangkayu</t>
  </si>
  <si>
    <t>130-003-0000255587 Bank Sulselbar</t>
  </si>
  <si>
    <t>CV. Asa Karya</t>
  </si>
  <si>
    <t>5592660/BAHPL/2024</t>
  </si>
  <si>
    <t>5592660/PEN/2024</t>
  </si>
  <si>
    <t>5592660/UMUM/PEJ-PENG/DPUPR/VIII/2024</t>
  </si>
  <si>
    <t>5592660/KLAR-NEG/PEJ-PENG/DPUPR/VIII/2024</t>
  </si>
  <si>
    <t>600/5592660/SPK-Konsultansi/PPK/DPUPR</t>
  </si>
  <si>
    <t>600/5592660/SPMK/PPK/DPUPR</t>
  </si>
  <si>
    <t>5592660/addendum</t>
  </si>
  <si>
    <r>
      <rPr>
        <sz val="10"/>
        <color indexed="17"/>
        <rFont val="Avenir Next Regular"/>
      </rPr>
      <t>5592660/addendum</t>
    </r>
    <r>
      <rPr>
        <sz val="10"/>
        <color indexed="8"/>
        <rFont val="Helvetica"/>
      </rPr>
      <t>/BAHPL/2024</t>
    </r>
  </si>
  <si>
    <r>
      <rPr>
        <sz val="10"/>
        <color indexed="17"/>
        <rFont val="Avenir Next Regular"/>
      </rPr>
      <t>5592660/addendum</t>
    </r>
    <r>
      <rPr>
        <sz val="10"/>
        <color indexed="8"/>
        <rFont val="Helvetica"/>
      </rPr>
      <t>/PEN/2024</t>
    </r>
  </si>
  <si>
    <r>
      <rPr>
        <sz val="10"/>
        <color indexed="17"/>
        <rFont val="Avenir Next Regular"/>
      </rPr>
      <t>5592660/addendum</t>
    </r>
    <r>
      <rPr>
        <sz val="10"/>
        <color indexed="8"/>
        <rFont val="Helvetica"/>
      </rPr>
      <t>/UMUM/PEJ-PENG/DPUPR/X/2024</t>
    </r>
  </si>
  <si>
    <r>
      <rPr>
        <sz val="10"/>
        <color indexed="17"/>
        <rFont val="Avenir Next Regular"/>
      </rPr>
      <t>5592660/addendum</t>
    </r>
    <r>
      <rPr>
        <sz val="10"/>
        <color indexed="8"/>
        <rFont val="Helvetica"/>
      </rPr>
      <t>/KLAR-NEG/PEJ-PENG/DPUPR/X/2024</t>
    </r>
  </si>
  <si>
    <r>
      <rPr>
        <sz val="10"/>
        <color indexed="8"/>
        <rFont val="Helvetica"/>
      </rPr>
      <t>600/</t>
    </r>
    <r>
      <rPr>
        <sz val="10"/>
        <color indexed="17"/>
        <rFont val="Avenir Next Regular"/>
      </rPr>
      <t>5592660/addendum</t>
    </r>
    <r>
      <rPr>
        <sz val="10"/>
        <color indexed="8"/>
        <rFont val="Helvetica"/>
      </rPr>
      <t>/SPK-Konsultansi/PPK/DPUPR</t>
    </r>
  </si>
  <si>
    <r>
      <rPr>
        <sz val="10"/>
        <color indexed="8"/>
        <rFont val="Helvetica"/>
      </rPr>
      <t>600/</t>
    </r>
    <r>
      <rPr>
        <sz val="10"/>
        <color indexed="17"/>
        <rFont val="Avenir Next Regular"/>
      </rPr>
      <t>5592660/addendum</t>
    </r>
    <r>
      <rPr>
        <sz val="10"/>
        <color indexed="8"/>
        <rFont val="Helvetica"/>
      </rPr>
      <t>/SPMK/PPK/DPUPR</t>
    </r>
  </si>
  <si>
    <t>Pengawasan Jaringan Perpipaan Air Bersih Randomayang-Wulai-Kalukunangka-Tampaure (DAK)</t>
  </si>
  <si>
    <t>6694660/BAHPL/2024</t>
  </si>
  <si>
    <t>6694660/PEN/2024</t>
  </si>
  <si>
    <t>6694660/UMUM/PEJ-PENG/DPUPR/VII/2024</t>
  </si>
  <si>
    <t>6694660/KLAR-NEG/PEJ-PENG/DPUPR/VII/2024</t>
  </si>
  <si>
    <t>600/6694660/SPK-Konsultansi/PPK/DPUPR</t>
  </si>
  <si>
    <t>600/6694660/SPMK/PPK/DPUPR</t>
  </si>
  <si>
    <t>Pengawasan Jaringan Perpipaan Air Bersih Karya Bersama-Polewali-Bambalamotu-Sarude (DAK)</t>
  </si>
  <si>
    <t>6693660/BAHPL/2024</t>
  </si>
  <si>
    <t>6693660/PEN/2024</t>
  </si>
  <si>
    <t>6693660/UMUM/PEJ-PENG/DPUPR/VII/2024</t>
  </si>
  <si>
    <t>6693660/KLAR-NEG/PEJ-PENG/DPUPR/VII/2024</t>
  </si>
  <si>
    <t>600/6693660/SPK-Konsultansi/PPK/DPUPR</t>
  </si>
  <si>
    <t>600/6693660/SPMK/PPK/DPUPR</t>
  </si>
  <si>
    <t>Pengawasan Jaringan Perpipaan Air Sarudu-Doda Benggaulu (DAK)</t>
  </si>
  <si>
    <t>237 CV. Sembilan Delapan Consulindo</t>
  </si>
  <si>
    <t>JAMALUDDIN, ST., MT</t>
  </si>
  <si>
    <t>81.408.975.1-802.000</t>
  </si>
  <si>
    <t>Rubae bentengnge kecamatan Watang sawitto</t>
  </si>
  <si>
    <t>Muh. Asyurah, SH., MH., MKn.</t>
  </si>
  <si>
    <t>050-003-000015871-2 Bank Sulselbar</t>
  </si>
  <si>
    <t>CV. Sembilan Delapan Consulindo</t>
  </si>
  <si>
    <t>6695660/BAHPL/2024</t>
  </si>
  <si>
    <t>6695660/PEN/2024</t>
  </si>
  <si>
    <t>6695660/UMUM/PEJ-PENG/DPUPR/VII/2024</t>
  </si>
  <si>
    <t>6695660/KLAR-NEG/PEJ-PENG/DPUPR/VII/2024</t>
  </si>
  <si>
    <t>600/6695660/SPK-Konsultansi/PPK/DPUPR</t>
  </si>
  <si>
    <t>600/6695660/SPMK/PPK/DPUPR</t>
  </si>
  <si>
    <t xml:space="preserve">Pengembangan Jaringan Distribusi dan Sambungan Rumah Desa Doda Kec. Sarudu.(DAK) </t>
  </si>
  <si>
    <t>15990660/1/2024/7</t>
  </si>
  <si>
    <t>P1.35.19/BAHP/Konstr/BPBJ</t>
  </si>
  <si>
    <t>4917660/PEN/2024</t>
  </si>
  <si>
    <t>4917660/UMUM/PEJ-PENG/DPUPR/VII/2024</t>
  </si>
  <si>
    <t>4917660/KLAR-NEG/PEJ-PENG/DPUPR/VII/2024</t>
  </si>
  <si>
    <t>600/4917660/Kont-Konstruksi/PPK/DPUPR</t>
  </si>
  <si>
    <t>600/4917660/SPMK/PPK/DPUPR</t>
  </si>
  <si>
    <t>Peningkatan Jalan Pasangkayu</t>
  </si>
  <si>
    <t>238 CV. ALIF MAPPARIMULA</t>
  </si>
  <si>
    <t>IZHAR FAUSAN</t>
  </si>
  <si>
    <t>99.995.452.2-814.000</t>
  </si>
  <si>
    <t>BTN GRIYA PERMATA KORONGANA 2 BLOK E NO. 27, Desa/Kelurahan Simboro, Kec. Simboro dan Kepulauan, Kab. Mamuju</t>
  </si>
  <si>
    <t>AZIZAH TASMAN, SH., M.Kn</t>
  </si>
  <si>
    <t>130-003-000000912-7 Bank Sulselbar</t>
  </si>
  <si>
    <t>CV. ALIF MAPPARIMULA</t>
  </si>
  <si>
    <t>6696660/BAHPL/2024</t>
  </si>
  <si>
    <t>6696660/PEN/2024</t>
  </si>
  <si>
    <t>6696660/UMUM/PEJ-PENG/DPUPR/VII/2024</t>
  </si>
  <si>
    <t>6696660/KLAR-NEG/PEJ-PENG/DPUPR/VII/2024</t>
  </si>
  <si>
    <t>600/6696660/SPK-Konstruksi/PPK/DPUPR</t>
  </si>
  <si>
    <t>600/6696660/SPMK/PPK/DPUPR</t>
  </si>
  <si>
    <t>Pengembangan Jaringan Distribusi dan Sambungan Rumah Desa Randomayang Kec.Bambalamotu (DAK)</t>
  </si>
  <si>
    <t>239 CV. WAHANA ARTHA DIPA</t>
  </si>
  <si>
    <t>BADRIA S AL AMRI</t>
  </si>
  <si>
    <t>03.115.623.5-831.000</t>
  </si>
  <si>
    <t>JL.MALEOLR PUYUH NO.03 RT.001 RW.004 Palu</t>
  </si>
  <si>
    <t>ERNY SINGAL, SH, MH, MKn</t>
  </si>
  <si>
    <t>006001002469563 Bank BRI</t>
  </si>
  <si>
    <t>CV. WAHANA ARTHA DIPA</t>
  </si>
  <si>
    <t>16383660/1/2024/7</t>
  </si>
  <si>
    <t>P1.30.16/BAHP/Konstr/BPBJ</t>
  </si>
  <si>
    <t>4958660/PEN/2024</t>
  </si>
  <si>
    <t>4958660/UMUM/PEJ-PENG/DPUPR//2024</t>
  </si>
  <si>
    <t>4958660/KLAR-NEG/PEJ-PENG/DPUPR//2024</t>
  </si>
  <si>
    <t>600/4958660/Kont-Konstruksi/PPK/DPUPR</t>
  </si>
  <si>
    <t>600/4958660/SPMK/PPK/DPUPR</t>
  </si>
  <si>
    <t>Peningkatan Jalan Dusun Dodingi</t>
  </si>
  <si>
    <t>6699660/BAHPL/2024</t>
  </si>
  <si>
    <t>6699660/PEN/2024</t>
  </si>
  <si>
    <t>6699660/UMUM/PEJ-PENG/DPUPR/VIII/2024</t>
  </si>
  <si>
    <t>6699660/KLAR-NEG/PEJ-PENG/DPUPR/VIII/2024</t>
  </si>
  <si>
    <t>600/6699660/SPK-Konstruksi/PPK/DPUPR</t>
  </si>
  <si>
    <t>600/6699660/SPMK/PPK/DPUPR</t>
  </si>
  <si>
    <t>Peningkatan Jalan Pantai Maleo</t>
  </si>
  <si>
    <t>6775660/BAHPL/2024</t>
  </si>
  <si>
    <t>6775660/PEN/2024</t>
  </si>
  <si>
    <t>6775660/UMUM/PEJ-PENG/DPUPR/VIII/2024</t>
  </si>
  <si>
    <t>6775660/KLAR-NEG/PEJ-PENG/DPUPR/VIII/2024</t>
  </si>
  <si>
    <t>600/6775660/SPK-Konstruksi/PPK/DPUPR</t>
  </si>
  <si>
    <t>600/6775660/SPMK/PPK/DPUPR</t>
  </si>
  <si>
    <t>Pemeliharaan Berkala/Rutin Jalan Kabupaten Pasangkayu</t>
  </si>
  <si>
    <t>Pemeliharaan Rutin Jalan</t>
  </si>
  <si>
    <t>1.03.10.2.01.0046</t>
  </si>
  <si>
    <t>6749660/BAHPL/2024</t>
  </si>
  <si>
    <t>6749660/PEN/2024</t>
  </si>
  <si>
    <t>6749660/UMUM/PEJ-PENG/DPUPR/IX/2024</t>
  </si>
  <si>
    <t>6749660/KLAR-NEG/PEJ-PENG/DPUPR/IX/2024</t>
  </si>
  <si>
    <t>600/6749660/SPK-Konstruksi/PPK/DPUPR</t>
  </si>
  <si>
    <t>600/6749660/SPMK/PPK/DPUPR</t>
  </si>
  <si>
    <t>Peningkatan Jalan Dusun Tobajo</t>
  </si>
  <si>
    <t>6698660/BAHPL/2024</t>
  </si>
  <si>
    <t>6698660/PEN/2024</t>
  </si>
  <si>
    <t>6698660/UMUM/PEJ-PENG/DPUPR/IX/2024</t>
  </si>
  <si>
    <t>6698660/KLAR-NEG/PEJ-PENG/DPUPR/IX/2024</t>
  </si>
  <si>
    <t>600/6698660/SPK-Konstruksi/PPK/DPUPR</t>
  </si>
  <si>
    <t>600/6698660/SPMK/PPK/DPUPR</t>
  </si>
  <si>
    <t xml:space="preserve">Pemb. Jembatan Gantung Teranggi (lanjutan) </t>
  </si>
  <si>
    <t>6855660/BAHPL/2024</t>
  </si>
  <si>
    <t>6855660/PEN/2024</t>
  </si>
  <si>
    <t>6855660/UMUM/PEJ-PENG/DPUPR/IX/2024</t>
  </si>
  <si>
    <t>6855660/KLAR-NEG/PEJ-PENG/DPUPR/IX/2024</t>
  </si>
  <si>
    <t>600/6855660/SPK-Konstruksi/PPK/DPUPR</t>
  </si>
  <si>
    <t>600/6855660/SPMK/PPK/DPUPR</t>
  </si>
  <si>
    <t>Pembangunan Rumah Tahfidz Kalola</t>
  </si>
  <si>
    <t>240 CV. MANDIRI</t>
  </si>
  <si>
    <t>Adat Parulian Sinambela</t>
  </si>
  <si>
    <t>80.479.807.2-831.000</t>
  </si>
  <si>
    <t>BTN Pengawu Indah Blok A1 No 03 Kota Palu</t>
  </si>
  <si>
    <t>Erny Singal, S.H., MH., MKn.</t>
  </si>
  <si>
    <t>1861622708 Bank BNI</t>
  </si>
  <si>
    <t>CV. MANDIRI</t>
  </si>
  <si>
    <t>17470660/1/2024/9</t>
  </si>
  <si>
    <t>PII.53.26/BAHP/BPBJ</t>
  </si>
  <si>
    <t>PII.53.26/BAHN/BPBJ</t>
  </si>
  <si>
    <t>600/5963660/Kont-Konstruksi/PPK/DPUPR</t>
  </si>
  <si>
    <t>600/5963660/SPMK/PPK/DPUPR</t>
  </si>
  <si>
    <t>Pembangunan Rumah Tahfidz Sarjo</t>
  </si>
  <si>
    <t>241 CV. KARYA PERSADA</t>
  </si>
  <si>
    <t>GUFRAN AMIN</t>
  </si>
  <si>
    <t>71.123.024.3-831.000</t>
  </si>
  <si>
    <t>Jl.Dewi Sartika III Perum GPI Blok C No.2.Palu</t>
  </si>
  <si>
    <t>ERNY SINGAL, S.H., MH., MKn.</t>
  </si>
  <si>
    <t>0010107172311  Bank Sulteng Cabang Palu</t>
  </si>
  <si>
    <t>CV. KARYA PERSADA</t>
  </si>
  <si>
    <t>17433660/1/2024/9</t>
  </si>
  <si>
    <t>P1.55.28/BAHP/Konstr/BPBJ</t>
  </si>
  <si>
    <t>5961660/KLAR-NEG/PEJ-PENG/DPUPR//2024</t>
  </si>
  <si>
    <t>600/5961660/Kont-Konstruksi/PPK/DPUPR</t>
  </si>
  <si>
    <t>600/5961660/SPMK/PPK/DPUPR</t>
  </si>
  <si>
    <t>parsial</t>
  </si>
  <si>
    <t>Peningkatan Jalan Sarudu</t>
  </si>
  <si>
    <t>51245390/BAHPL/2024</t>
  </si>
  <si>
    <t>51245390/PEN/2024</t>
  </si>
  <si>
    <t>51245390/UMUM/PEJ-PENG/DPUPR/IX/2024</t>
  </si>
  <si>
    <t>51245390/KLAR-NEG/PEJ-PENG/DPUPR/IX/2024</t>
  </si>
  <si>
    <t>600/51245390/SPK-Konstruksi/PPK/DPUPR</t>
  </si>
  <si>
    <t>600/51245390/SPMK/PPK/DPUPR</t>
  </si>
  <si>
    <t>Perencanaan Proteksi Jalan Kota Pasangkayu Paket I</t>
  </si>
  <si>
    <t>245 CV. Arlindo</t>
  </si>
  <si>
    <t>SATRIA MERDEKA HUSAIN</t>
  </si>
  <si>
    <t>‘02</t>
  </si>
  <si>
    <t>53440390/BAHPL/2024</t>
  </si>
  <si>
    <t>53440390/PEN/2024</t>
  </si>
  <si>
    <t>53440390/UMUM/PEJ-PENG/DPUPR/IX/2024</t>
  </si>
  <si>
    <t>53440390/KLAR-NEG/PEJ-PENG/DPUPR/IX/2024</t>
  </si>
  <si>
    <t>600/53440390/SPK-Konsultansi/PPK/DPUPR</t>
  </si>
  <si>
    <t>600/53440390/SPMK/PPK/DPUPR</t>
  </si>
  <si>
    <t>Perencanaan Proteksi Jalan Ruas Singgani-Kenangan-Parabu</t>
  </si>
  <si>
    <t>53440479/BAHPL/2024</t>
  </si>
  <si>
    <t>53440479/PEN/2024</t>
  </si>
  <si>
    <t>53440479/UMUM/PEJ-PENG/DPUPR/IX/2024</t>
  </si>
  <si>
    <t>53440479/KLAR-NEG/PEJ-PENG/DPUPR/IX/2024</t>
  </si>
  <si>
    <t>600/53440479/SPK-Konsultansi/PPK/DPUPR</t>
  </si>
  <si>
    <t>600/53440479/SPMK/PPK/DPUPR</t>
  </si>
  <si>
    <t>Perencanaan Peningkatan jalan Karya bersama cs.</t>
  </si>
  <si>
    <t>53444080/BAHPL/2024</t>
  </si>
  <si>
    <t>53444080/PEN/2024</t>
  </si>
  <si>
    <t>53444080/UMUM/PEJ-PENG/DPUPR/IX/2024</t>
  </si>
  <si>
    <t>53444080/KLAR-NEG/PEJ-PENG/DPUPR/IX/2024</t>
  </si>
  <si>
    <t>600/53444080/SPK-Konsultansi/PPK/DPUPR</t>
  </si>
  <si>
    <t>600/53444080/SPMK/PPK/DPUPR</t>
  </si>
  <si>
    <t>Perencanaan Peningkatan jalan mandar dua cs.</t>
  </si>
  <si>
    <t>53444102/BAHPL/2024</t>
  </si>
  <si>
    <t>53444102/PEN/2024</t>
  </si>
  <si>
    <t>53444102/UMUM/PEJ-PENG/DPUPR/IX/2024</t>
  </si>
  <si>
    <t>53444102/KLAR-NEG/PEJ-PENG/DPUPR/IX/2024</t>
  </si>
  <si>
    <t>600/53444102/SPK-Konsultansi/PPK/DPUPR</t>
  </si>
  <si>
    <t>600/53444102/SPMK/PPK/DPUPR</t>
  </si>
  <si>
    <t>Perencanaan Pembangunan Jalan + Jembatan Desa Kastabuana</t>
  </si>
  <si>
    <t>53444125/BAHPL/2024</t>
  </si>
  <si>
    <t>53444125/PEN/2024</t>
  </si>
  <si>
    <t>53444125/UMUM/PEJ-PENG/DPUPR/IX/2024</t>
  </si>
  <si>
    <t>53444125/KLAR-NEG/PEJ-PENG/DPUPR/IX/2024</t>
  </si>
  <si>
    <t>600/53444125/SPK-Konsultansi/PPK/DPUPR</t>
  </si>
  <si>
    <t>600/53444125/SPMK/PPK/DPUPR</t>
  </si>
  <si>
    <t>Perencanaan Pembangunan Jalan + Jembatan Desa Parabu</t>
  </si>
  <si>
    <t>53444147/BAHPL/2024</t>
  </si>
  <si>
    <t>53444147/PEN/2024</t>
  </si>
  <si>
    <t>53444147/UMUM/PEJ-PENG/DPUPR/IX/2024</t>
  </si>
  <si>
    <t>53444147/KLAR-NEG/PEJ-PENG/DPUPR/IX/2024</t>
  </si>
  <si>
    <t>600/53444147/SPK-Konsultansi/PPK/DPUPR</t>
  </si>
  <si>
    <t>600/53444147/SPMK/PPK/DPUPR</t>
  </si>
  <si>
    <t>Perencanaan Pembangunan Jalan + Jembatan ako cs</t>
  </si>
  <si>
    <t>53444174/BAHPL/2024</t>
  </si>
  <si>
    <t>53444174/PEN/2024</t>
  </si>
  <si>
    <t>53444174/UMUM/PEJ-PENG/DPUPR/IX/2024</t>
  </si>
  <si>
    <t>53444174/KLAR-NEG/PEJ-PENG/DPUPR/IX/2024</t>
  </si>
  <si>
    <t>600/53444174/SPK-Konsultansi/PPK/DPUPR</t>
  </si>
  <si>
    <t>600/53444174/SPMK/PPK/DPUPR</t>
  </si>
  <si>
    <t>Perencanaan Jalan Beton Paket I</t>
  </si>
  <si>
    <t>53444184/BAHPL/2024</t>
  </si>
  <si>
    <t>53444184/PEN/2024</t>
  </si>
  <si>
    <t>53444184/UMUM/PEJ-PENG/DPUPR/IX/2024</t>
  </si>
  <si>
    <t>53444184/KLAR-NEG/PEJ-PENG/DPUPR/IX/2024</t>
  </si>
  <si>
    <t>600/53444184/SPK-Konsultansi/PPK/DPUPR</t>
  </si>
  <si>
    <t>600/53444184/SPMK/PPK/DPUPR</t>
  </si>
  <si>
    <t>Perencanaan Jalan Beton Paket II</t>
  </si>
  <si>
    <t>53444198/BAHPL/2024</t>
  </si>
  <si>
    <t>53444198/PEN/2024</t>
  </si>
  <si>
    <t>53444198/UMUM/PEJ-PENG/DPUPR/IX/2024</t>
  </si>
  <si>
    <t>53444198/KLAR-NEG/PEJ-PENG/DPUPR/IX/2024</t>
  </si>
  <si>
    <t>600/53444198/SPK-Konsultansi/PPK/DPUPR</t>
  </si>
  <si>
    <t>600/53444198/SPMK/PPK/DPUPR</t>
  </si>
  <si>
    <t>Perencanaan Jalan Beton Paket III</t>
  </si>
  <si>
    <t>53444215/BAHPL/2024</t>
  </si>
  <si>
    <t>53444215/PEN/2024</t>
  </si>
  <si>
    <t>53444215/UMUM/PEJ-PENG/DPUPR/IX/2024</t>
  </si>
  <si>
    <t>53444215/KLAR-NEG/PEJ-PENG/DPUPR/IX/2024</t>
  </si>
  <si>
    <t>600/53444215/SPK-Konsultansi/PPK/DPUPR</t>
  </si>
  <si>
    <t>600/53444215/SPMK/PPK/DPUPR</t>
  </si>
  <si>
    <t>Pembangunan jalan rabat alun-alun Pasangkayu</t>
  </si>
  <si>
    <t>53444281/BAHPL/2024</t>
  </si>
  <si>
    <t>53444281/PEN/2024</t>
  </si>
  <si>
    <t>53444281/UMUM/PEJ-PENG/DPUPR/IX/2024</t>
  </si>
  <si>
    <t>53444281/KLAR-NEG/PEJ-PENG/DPUPR/IX/2024</t>
  </si>
  <si>
    <t>600/53444281/SPK-Konstruksi/PPK/DPUPR</t>
  </si>
  <si>
    <t>600/53444281/SPMK/PPK/DPUPR</t>
  </si>
  <si>
    <t>Pemb. Jalan Towoni-Agri Baras</t>
  </si>
  <si>
    <t>53444288/BAHPL/2024</t>
  </si>
  <si>
    <t>53444288/PEN/2024</t>
  </si>
  <si>
    <t>53444288/UMUM/PEJ-PENG/DPUPR/IX/2024</t>
  </si>
  <si>
    <t>53444288/KLAR-NEG/PEJ-PENG/DPUPR/IX/2024</t>
  </si>
  <si>
    <t>600/53444288/SPK-Konstruksi/PPK/DPUPR</t>
  </si>
  <si>
    <t>600/53444288/SPMK/PPK/DPUPR</t>
  </si>
  <si>
    <t>Pemb. Jalan Towoni</t>
  </si>
  <si>
    <t>53444298/BAHPL/2024</t>
  </si>
  <si>
    <t>53444298/PEN/2024</t>
  </si>
  <si>
    <t>53444298/UMUM/PEJ-PENG/DPUPR/IX/2024</t>
  </si>
  <si>
    <t>53444298/KLAR-NEG/PEJ-PENG/DPUPR/IX/2024</t>
  </si>
  <si>
    <t>600/53444298/SPK-Konstruksi/PPK/DPUPR</t>
  </si>
  <si>
    <t>600/53444298/SPMK/PPK/DPUPR</t>
  </si>
  <si>
    <t>Pemb. Jalan Desa sipakaingan</t>
  </si>
  <si>
    <t>53444319/BAHPL/2024</t>
  </si>
  <si>
    <t>53444319/PEN/2024</t>
  </si>
  <si>
    <t>53444319/UMUM/PEJ-PENG/DPUPR/IX/2024</t>
  </si>
  <si>
    <t>53444319/KLAR-NEG/PEJ-PENG/DPUPR/IX/2024</t>
  </si>
  <si>
    <t>600/53444319/SPK-Konstruksi/PPK/DPUPR</t>
  </si>
  <si>
    <t>600/53444319/SPMK/PPK/DPUPR</t>
  </si>
  <si>
    <t>Pengawasan Jalan rabat alun-alun Pasangkayu cs.</t>
  </si>
  <si>
    <t>53444344/BAHPL/2024</t>
  </si>
  <si>
    <t>53444344/PEN/2024</t>
  </si>
  <si>
    <t>53444344/UMUM/PEJ-PENG/DPUPR/IX/2024</t>
  </si>
  <si>
    <t>53444344/KLAR-NEG/PEJ-PENG/DPUPR/IX/2024</t>
  </si>
  <si>
    <t>600/53444344/SPK-Konsultansi/PPK/DPUPR</t>
  </si>
  <si>
    <t>600/53444344/SPMK/PPK/DPUPR</t>
  </si>
  <si>
    <t>/UMUM/PEJ-PENG/DPUPR/IX/2024</t>
  </si>
  <si>
    <t>/KLAR-NEG/PEJ-PENG/DPUPR/IX/2024</t>
  </si>
  <si>
    <t>Perencanaan saluran/Drainase Pembuang paket I</t>
  </si>
  <si>
    <t>53432709/BAHPL/2024</t>
  </si>
  <si>
    <t>53432709/PEN/2024</t>
  </si>
  <si>
    <t>53432709/UMUM/PEJ-PENG/DPUPR/IX/2024</t>
  </si>
  <si>
    <t>53432709/KLAR-NEG/PEJ-PENG/DPUPR/IX/2024</t>
  </si>
  <si>
    <t>600/53432709/SPK-Konsultansi/PPK/DPUPR</t>
  </si>
  <si>
    <t>600/53432709/SPMK/PPK/DPUPR</t>
  </si>
  <si>
    <t>Perencanaan saluran/Drainase Pembuang paket II</t>
  </si>
  <si>
    <t>53432803/BAHPL/2024</t>
  </si>
  <si>
    <t>53432803/PEN/2024</t>
  </si>
  <si>
    <t>53432803/UMUM/PEJ-PENG/DPUPR/IX/2024</t>
  </si>
  <si>
    <t>53432803/KLAR-NEG/PEJ-PENG/DPUPR/IX/2024</t>
  </si>
  <si>
    <t>600/53432803/SPK-Konsultansi/PPK/DPUPR</t>
  </si>
  <si>
    <t>600/53432803/SPMK/PPK/DPUPR</t>
  </si>
  <si>
    <t>Perencanaan Normalisasi sungai (Proteksi Sungai jembatan Wulai)</t>
  </si>
  <si>
    <t>53432850/BAHPL/2024</t>
  </si>
  <si>
    <t>53432850/PEN/2024</t>
  </si>
  <si>
    <t>53432850/UMUM/PEJ-PENG/DPUPR/IX/2024</t>
  </si>
  <si>
    <t>53432850/KLAR-NEG/PEJ-PENG/DPUPR/IX/2024</t>
  </si>
  <si>
    <t>600/53432850/SPK-Konsultansi/PPK/DPUPR</t>
  </si>
  <si>
    <t>600/53432850/SPMK/PPK/DPUPR</t>
  </si>
  <si>
    <t>Perencanaan Normalisasi sungai (Proteksi Sungai jembatan Mandar 2)</t>
  </si>
  <si>
    <t>53432905/BAHPL/2024</t>
  </si>
  <si>
    <t>53432905/PEN/2024</t>
  </si>
  <si>
    <t>53432905/UMUM/PEJ-PENG/DPUPR/IX/2024</t>
  </si>
  <si>
    <t>53432905/KLAR-NEG/PEJ-PENG/DPUPR/IX/2024</t>
  </si>
  <si>
    <t>600/53432905/SPK-Konsultansi/PPK/DPUPR</t>
  </si>
  <si>
    <t>600/53432905/SPMK/PPK/DPUPR</t>
  </si>
  <si>
    <t>Analisis Hidrologi normalisasi sungai untuk Bendung DI Martajaya</t>
  </si>
  <si>
    <t>53432965/BAHPL/2024</t>
  </si>
  <si>
    <t>53432965/PEN/2024</t>
  </si>
  <si>
    <t>53432965/UMUM/PEJ-PENG/DPUPR/X/2024</t>
  </si>
  <si>
    <t>53432965/KLAR-NEG/PEJ-PENG/DPUPR/X/2024</t>
  </si>
  <si>
    <t>600/53432965/SPK-Konsultansi/PPK/DPUPR</t>
  </si>
  <si>
    <t>600/53432965/SPMK/PPK/DPUPR</t>
  </si>
  <si>
    <t>Analisis Hidrologi  normalisasi sungai untuk Bendung DI Bambalamotu</t>
  </si>
  <si>
    <r>
      <rPr>
        <sz val="10"/>
        <color indexed="23"/>
        <rFont val="Helvetica"/>
      </rPr>
      <t>Analisis Hidrologi  normalisasi sungai untuk Bendung DI Bambalamotu</t>
    </r>
  </si>
  <si>
    <t>53433014/BAHPL/2024</t>
  </si>
  <si>
    <t>53433014/PEN/2024</t>
  </si>
  <si>
    <t>53433014/UMUM/PEJ-PENG/DPUPR/X/2024</t>
  </si>
  <si>
    <t>53433014/KLAR-NEG/PEJ-PENG/DPUPR/X/2024</t>
  </si>
  <si>
    <t>600/53433014/SPK-Konsultansi/PPK/DPUPR</t>
  </si>
  <si>
    <t>600/53433014/SPMK/PPK/DPUPR</t>
  </si>
  <si>
    <t>Analisis Hidrologi  normalisasi sungai untuk Bendung DI Pangiang</t>
  </si>
  <si>
    <t>53433062/BAHPL/2024</t>
  </si>
  <si>
    <t>53433062/PEN/2024</t>
  </si>
  <si>
    <t>53433062/UMUM/PEJ-PENG/DPUPR/X/2024</t>
  </si>
  <si>
    <t>53433062/KLAR-NEG/PEJ-PENG/DPUPR/X/2024</t>
  </si>
  <si>
    <t>600/53433062/SPK-Konsultansi/PPK/DPUPR</t>
  </si>
  <si>
    <t>600/53433062/SPMK/PPK/DPUPR</t>
  </si>
  <si>
    <t>Analisis Hidrologi  normalisasi sungai untuk Bendung DI Bambaira</t>
  </si>
  <si>
    <t>53433117/BAHPL/2024</t>
  </si>
  <si>
    <t>53433117/PEN/2024</t>
  </si>
  <si>
    <t>53433117/UMUM/PEJ-PENG/DPUPR/X/2024</t>
  </si>
  <si>
    <t>53433117/KLAR-NEG/PEJ-PENG/DPUPR/X/2024</t>
  </si>
  <si>
    <t>600/53433117/SPK-Konsultansi/PPK/DPUPR</t>
  </si>
  <si>
    <t>600/53433117/SPMK/PPK/DPUPR</t>
  </si>
  <si>
    <t>Perencanaan Normalisasi/Rehabilitasi saluran  Bendungan Pangiang Martajaya &amp; Bambaluk</t>
  </si>
  <si>
    <t>53433274/BAHPL/2024</t>
  </si>
  <si>
    <t>53433274/PEN/2024</t>
  </si>
  <si>
    <t>53433274/UMUM/PEJ-PENG/DPUPR/X/2024</t>
  </si>
  <si>
    <t>53433274/KLAR-NEG/PEJ-PENG/DPUPR/X/2024</t>
  </si>
  <si>
    <t>600/53433274/SPK-Konsultansi/PPK/DPUPR</t>
  </si>
  <si>
    <t>600/53433274/SPMK/PPK/DPUPR</t>
  </si>
  <si>
    <t>Perencanaan Normalisasi/Optimalisasi saluran DI Bambalamotu</t>
  </si>
  <si>
    <t>53433307/BAHPL/2024</t>
  </si>
  <si>
    <t>53433307/PEN/2024</t>
  </si>
  <si>
    <t>53433307/UMUM/PEJ-PENG/DPUPR/X/2024</t>
  </si>
  <si>
    <t>53433307/KLAR-NEG/PEJ-PENG/DPUPR/X/2024</t>
  </si>
  <si>
    <t>600/53433307/SPK-Konsultansi/PPK/DPUPR</t>
  </si>
  <si>
    <t>600/53433307/SPMK/PPK/DPUPR</t>
  </si>
  <si>
    <t>Partisi Ruangan Kantor Polsek Tikke</t>
  </si>
  <si>
    <t>53433509/BAHPL/2024</t>
  </si>
  <si>
    <t>53433509/PEN/2024</t>
  </si>
  <si>
    <t>53433509/UMUM/PEJ-PENG/DPUPR/X/2024</t>
  </si>
  <si>
    <t>53433509/KLAR-NEG/PEJ-PENG/DPUPR/X/2024</t>
  </si>
  <si>
    <t>600/53433509/SPK-Konstruksi/PPK/DPUPR</t>
  </si>
  <si>
    <t>600/53433509/SPMK/PPK/DPUPR</t>
  </si>
  <si>
    <t>Perencanan Polsek + Rumah Dinas Polsek Sarjo</t>
  </si>
  <si>
    <t>53433696/BAHPL/2024</t>
  </si>
  <si>
    <t>53433696/PEN/2024</t>
  </si>
  <si>
    <t>53433696/UMUM/PEJ-PENG/DPUPR/X/2024</t>
  </si>
  <si>
    <t>53433696/KLAR-NEG/PEJ-PENG/DPUPR/X/2024</t>
  </si>
  <si>
    <t>600/53433696/SPK-Konsultansi/PPK/DPUPR</t>
  </si>
  <si>
    <t>600/53433696/SPMK/PPK/DPUPR</t>
  </si>
  <si>
    <t>Perencanaan Penyediaan Sistim Air Bersih RSUD Pasangkayu</t>
  </si>
  <si>
    <t>53433778/BAHPL/2024</t>
  </si>
  <si>
    <t>53433778/PEN/2024</t>
  </si>
  <si>
    <t>53433778/UMUM/PEJ-PENG/DPUPR/X/2024</t>
  </si>
  <si>
    <t>53433778/KLAR-NEG/PEJ-PENG/DPUPR/X/2024</t>
  </si>
  <si>
    <t>600/53433778/SPK-Konsultansi/PPK/DPUPR</t>
  </si>
  <si>
    <t>600/53433778/SPMK/PPK/DPUPR</t>
  </si>
  <si>
    <t>Perencanaan Bangunan Negara</t>
  </si>
  <si>
    <t>53443779/BAHPL/2024</t>
  </si>
  <si>
    <t>53443779/PEN/2024</t>
  </si>
  <si>
    <t>53443779/UMUM/PEJ-PENG/DPUPR/X/2024</t>
  </si>
  <si>
    <t>53443779/KLAR-NEG/PEJ-PENG/DPUPR/X/2024</t>
  </si>
  <si>
    <t>600/53443779/SPK-Konsultansi/PPK/DPUPR</t>
  </si>
  <si>
    <t>600/53443779/SPMK/PPK/DPUPR</t>
  </si>
  <si>
    <t xml:space="preserve">Drone </t>
  </si>
  <si>
    <t>600/53552636/SPK-Barang/PPK/DPUPR</t>
  </si>
  <si>
    <t>600/53552636/SPMK/PPK/DPUPR</t>
  </si>
  <si>
    <t>Pemeliharaan/Rehabilitasi Bangunan Masjid Madaniah</t>
  </si>
  <si>
    <t>242 CV. MUAZZAM TEKNIK
MANDIRI</t>
  </si>
  <si>
    <t>M. RISAL</t>
  </si>
  <si>
    <t>03.733.103.0-807.000</t>
  </si>
  <si>
    <t>PERUM PADI RESIDENCE BLOK. C09 NO. 37 Kab. GOWA</t>
  </si>
  <si>
    <t>AKSAL, SH., M.Kn</t>
  </si>
  <si>
    <t>1300030000009399 Bank Sulselbar</t>
  </si>
  <si>
    <t>CV. MUAZZAM TEKNIK
MANDIRI</t>
  </si>
  <si>
    <t>17431660/1/2024/10</t>
  </si>
  <si>
    <t>P-II.56.27/BAHP/BPBJ</t>
  </si>
  <si>
    <t>P-II.56.27/BAHN/BPBJ</t>
  </si>
  <si>
    <t>600/5964660/Kont-Konstruksi/PPK/DPUPR</t>
  </si>
  <si>
    <t>600/5964660/SPMK/PPK/DPUPR</t>
  </si>
  <si>
    <t xml:space="preserve">Pengawasan Pemeliharaan/Rehabilitasi Bangunan Masjid Madaniah </t>
  </si>
  <si>
    <t>161 PT. IDEA WARNA KONSULTAN NUSANTARA</t>
  </si>
  <si>
    <t>MUHLIS. ST.,IAI</t>
  </si>
  <si>
    <t>62.570.883.9-801.000</t>
  </si>
  <si>
    <t>Griya Permata Lestari Sapphire E-16 Makassar</t>
  </si>
  <si>
    <t>13</t>
  </si>
  <si>
    <t>Andi Gevil Aristama Gippyng</t>
  </si>
  <si>
    <t>130-003-000031593-7 Bank Sulselbar Cabang Makassar</t>
  </si>
  <si>
    <t>PT. IDEA WARNA KONSULTAN NUSANTARA</t>
  </si>
  <si>
    <t>49978079/BAHPL/2024</t>
  </si>
  <si>
    <t>49978079/PEN/2024</t>
  </si>
  <si>
    <t>49978079/UMUM/PEJ-PENG/DPUPR/X/2024</t>
  </si>
  <si>
    <t>49978079/KLAR-NEG/PEJ-PENG/DPUPR/X/2024</t>
  </si>
  <si>
    <t>600/49978079/SPK-Konsultansi/PPK/DPUPR</t>
  </si>
  <si>
    <t>600/49978079/SPMK/PPK/DPUPR</t>
  </si>
  <si>
    <t>Pembangunan Rumah Tahfidz Dapurang</t>
  </si>
  <si>
    <t>243 CV. TIGA PUTERI IMMANUEL</t>
  </si>
  <si>
    <t>ERNI AKIB MUTHALIB</t>
  </si>
  <si>
    <t>03.742.598.0-831.000</t>
  </si>
  <si>
    <t>JL. LAPATTA BTN GREND FOREST BLOK L NO. 16</t>
  </si>
  <si>
    <t>NURFITRIYANA, S.H., M.Kn.</t>
  </si>
  <si>
    <t>0010107012145 Bank Sulteng Cabang Palu</t>
  </si>
  <si>
    <t>CV. TIGA PUTERI IMMANUEL</t>
  </si>
  <si>
    <t>17526660/1/2024/10</t>
  </si>
  <si>
    <t>P1.54.27/BAHP/P.Konstruksi/BPBJ</t>
  </si>
  <si>
    <t>5967660/KLAR-NEG/PEJ-PENG/DPUPR//2024</t>
  </si>
  <si>
    <t>600/5967660/Kont-Konstruksi/PPK/DPUPR</t>
  </si>
  <si>
    <t>600/5967660/SPMK/PPK/DPUPR</t>
  </si>
  <si>
    <t>Pengawasan Rumah Tahfidz Kecamatan/Desa cs</t>
  </si>
  <si>
    <t>49975743/BAHPL/2024</t>
  </si>
  <si>
    <t>49975743/PEN/2024</t>
  </si>
  <si>
    <t>49975743/UMUM/PEJ-PENG/DPUPR/X/2024</t>
  </si>
  <si>
    <t>49975743/KLAR-NEG/PEJ-PENG/DPUPR/X/2024</t>
  </si>
  <si>
    <t>600/49975743/SPK-Konsultansi/PPK/DPUPR</t>
  </si>
  <si>
    <t>600/49975743/SPMK/PPK/DPUPR</t>
  </si>
  <si>
    <t>Pembangunan Rumah Adat Joglo</t>
  </si>
  <si>
    <t>244 CV. SCORTAS FIRST</t>
  </si>
  <si>
    <t>FITRIYA KARTIKA</t>
  </si>
  <si>
    <t>41.030.908.2-831.000</t>
  </si>
  <si>
    <t>Jalan Simpati Air RT. 001 RW. 009 Kel. Burobuli Utara Kec. Palu Selatan Kota Palu</t>
  </si>
  <si>
    <t>ERNY SINGAL, SH., MH., M.KN</t>
  </si>
  <si>
    <t>0070107001311 Bank Sulteng Cabang Sigi</t>
  </si>
  <si>
    <t>CV. SCORTAS FIRST</t>
  </si>
  <si>
    <t>17542660/1/2024/10</t>
  </si>
  <si>
    <t>P-II.58.28/BAHP/BPBJ</t>
  </si>
  <si>
    <t>4 Oktober 2024,</t>
  </si>
  <si>
    <t>5969660/UMUM/PEJ-PENG/DPUPR//2024</t>
  </si>
  <si>
    <t>P-II.58.28/BAHN/BPBJ</t>
  </si>
  <si>
    <t>600/5969660/Kont-Konstruksi/PPK/DPUPR</t>
  </si>
  <si>
    <t>600/5969660/SPMK/PPK/DPUPR</t>
  </si>
  <si>
    <t>Pengawasan Pembangunan Rumah Adat Joglo</t>
  </si>
  <si>
    <t>49976805/BAHPL/2024</t>
  </si>
  <si>
    <t>49976805/PEN/2024</t>
  </si>
  <si>
    <t>49976805/UMUM/PEJ-PENG/DPUPR/X/2024</t>
  </si>
  <si>
    <t>49976805/KLAR-NEG/PEJ-PENG/DPUPR/X/2024</t>
  </si>
  <si>
    <t>600/49976805/SPK-Konsultansi/PPK/DPUPR</t>
  </si>
  <si>
    <t>600/49976805/SPMK/PPK/DPUPR</t>
  </si>
  <si>
    <t>Pembangunan Jalan Benggaulu</t>
  </si>
  <si>
    <t>209 CV. KARUNIA INDOTAMA GROUP</t>
  </si>
  <si>
    <t>ROCHYANTO ARSYAD</t>
  </si>
  <si>
    <t>39.495.813.6-814.000</t>
  </si>
  <si>
    <t>JL. Tanjung Babia, Kabupaten Pasangkayu</t>
  </si>
  <si>
    <t>MAWARNI, SH., M.Kn</t>
  </si>
  <si>
    <t>075-003-000001619-5. Bank Sulselbar</t>
  </si>
  <si>
    <t>CV. KARUNIA INDOTAMA GROUP</t>
  </si>
  <si>
    <t>17519660/1/2024/10</t>
  </si>
  <si>
    <t>P1.59.29/BAHP/P.Konstruksi/BPBJ</t>
  </si>
  <si>
    <t>P1.59.29/BAPK/P.Konstruksi/BPBJ</t>
  </si>
  <si>
    <t>600/5965660/Kont-Konstruksi/PPK/DPUPR</t>
  </si>
  <si>
    <t>600/5965660/SPMK/PPK/DPUPR</t>
  </si>
  <si>
    <t xml:space="preserve">Pemeliharaan/Rekonstruksi/Pemb. Jaringan Air Bersih Kabupaten </t>
  </si>
  <si>
    <t>Operasi dan Pemeliharaan Sistem Penyediaan Air Minum (SPAM)</t>
  </si>
  <si>
    <t xml:space="preserve">1.03.03.2.01.0029 </t>
  </si>
  <si>
    <t>53557837/BAHPL/2024</t>
  </si>
  <si>
    <t>53557837/PEN/2024</t>
  </si>
  <si>
    <t>53557837/UMUM/PEJ-PENG/DPUPR/XI/2024</t>
  </si>
  <si>
    <t>53557837/KLAR-NEG/PEJ-PENG/DPUPR/XI/2024</t>
  </si>
  <si>
    <t>600/53557837/SPK-Konstruksi/PPK/DPUPR</t>
  </si>
  <si>
    <t>600/53557837/SPMK/PPK/DPUPR</t>
  </si>
  <si>
    <t>5000/BAHPL/2024</t>
  </si>
  <si>
    <t>5000/PEN/2024</t>
  </si>
  <si>
    <t>5000/UMUM/PEJ-PENG/DPUPR//2024</t>
  </si>
  <si>
    <t>5000/KLAR-NEG/PEJ-PENG/DPUPR//2024</t>
  </si>
  <si>
    <t>600/5000/SPK-Konstruksi/PPK/DPUPR</t>
  </si>
  <si>
    <t>600/5000/SPMK/PPK/DPUPR</t>
  </si>
  <si>
    <t>Pengadaan Langsung</t>
  </si>
</sst>
</file>

<file path=xl/styles.xml><?xml version="1.0" encoding="utf-8"?>
<styleSheet xmlns="http://schemas.openxmlformats.org/spreadsheetml/2006/main">
  <numFmts count="15">
    <numFmt numFmtId="0" formatCode="General"/>
    <numFmt numFmtId="59" formatCode="[$Rp-421]#,##0.00"/>
    <numFmt numFmtId="60" formatCode="d mmmm yyyy"/>
    <numFmt numFmtId="61" formatCode="_-[$Rp-421]* #,##0_-;_-[$Rp-421]* \(#,##0\)_-;_-[$Rp-421]* &quot;-&quot;??;_-@_-"/>
    <numFmt numFmtId="62" formatCode="#,##0.0"/>
    <numFmt numFmtId="63" formatCode="#,##0.0#"/>
    <numFmt numFmtId="64" formatCode="d/m/yyyy"/>
    <numFmt numFmtId="65" formatCode="d mmmm yyyy h.mm"/>
    <numFmt numFmtId="66" formatCode="d mmm yyyy"/>
    <numFmt numFmtId="67" formatCode="# ???/???"/>
    <numFmt numFmtId="68" formatCode="m/yy"/>
    <numFmt numFmtId="69" formatCode="#,##0.0###"/>
    <numFmt numFmtId="70" formatCode="d mmmm"/>
    <numFmt numFmtId="71" formatCode="d mmm yy h.mm"/>
    <numFmt numFmtId="72" formatCode="d/m/yyyy h.mm.ss"/>
  </numFmts>
  <fonts count="19">
    <font>
      <sz val="10"/>
      <color indexed="8"/>
      <name val="Helvetica Neue"/>
    </font>
    <font>
      <sz val="12"/>
      <color indexed="8"/>
      <name val="Helvetica Neue"/>
    </font>
    <font>
      <sz val="10"/>
      <color indexed="8"/>
      <name val="Helvetica"/>
    </font>
    <font>
      <sz val="12"/>
      <color indexed="8"/>
      <name val="Helvetica"/>
    </font>
    <font>
      <sz val="10"/>
      <color indexed="8"/>
      <name val="Avenir Next Regular"/>
    </font>
    <font>
      <b val="1"/>
      <sz val="10"/>
      <color indexed="8"/>
      <name val="Avenir Next Regular"/>
    </font>
    <font>
      <b val="1"/>
      <sz val="10"/>
      <color indexed="8"/>
      <name val="Helvetica"/>
    </font>
    <font>
      <b val="1"/>
      <sz val="23"/>
      <color indexed="14"/>
      <name val="Avenir Next Regular"/>
    </font>
    <font>
      <sz val="10"/>
      <color indexed="15"/>
      <name val="Avenir Next Regular"/>
    </font>
    <font>
      <sz val="10"/>
      <color indexed="15"/>
      <name val="Helvetica"/>
    </font>
    <font>
      <b val="1"/>
      <sz val="10"/>
      <color indexed="15"/>
      <name val="Helvetica"/>
    </font>
    <font>
      <sz val="12"/>
      <color indexed="15"/>
      <name val="Avenir Next Regular"/>
    </font>
    <font>
      <sz val="12"/>
      <color indexed="15"/>
      <name val="Helvetica"/>
    </font>
    <font>
      <sz val="11"/>
      <color indexed="8"/>
      <name val="Helvetica Neue"/>
    </font>
    <font>
      <b val="1"/>
      <sz val="12"/>
      <color indexed="15"/>
      <name val="Avenir Next Regular"/>
    </font>
    <font>
      <sz val="10"/>
      <color indexed="17"/>
      <name val="Avenir Next Regular"/>
    </font>
    <font>
      <sz val="10"/>
      <color indexed="17"/>
      <name val="Helvetica"/>
    </font>
    <font>
      <sz val="9"/>
      <color indexed="22"/>
      <name val="Helvetica"/>
    </font>
    <font>
      <sz val="10"/>
      <color indexed="23"/>
      <name val="Helvetica"/>
    </font>
  </fonts>
  <fills count="8">
    <fill>
      <patternFill patternType="none"/>
    </fill>
    <fill>
      <patternFill patternType="gray125"/>
    </fill>
    <fill>
      <patternFill patternType="solid">
        <fgColor indexed="9"/>
        <bgColor auto="1"/>
      </patternFill>
    </fill>
    <fill>
      <patternFill patternType="solid">
        <fgColor indexed="15"/>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s>
  <borders count="10">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6"/>
      </bottom>
      <diagonal/>
    </border>
    <border>
      <left style="thin">
        <color indexed="10"/>
      </left>
      <right style="thin">
        <color indexed="10"/>
      </right>
      <top style="thin">
        <color indexed="16"/>
      </top>
      <bottom style="thin">
        <color indexed="10"/>
      </bottom>
      <diagonal/>
    </border>
    <border>
      <left style="thin">
        <color indexed="10"/>
      </left>
      <right style="thin">
        <color indexed="16"/>
      </right>
      <top style="thin">
        <color indexed="16"/>
      </top>
      <bottom style="thin">
        <color indexed="10"/>
      </bottom>
      <diagonal/>
    </border>
    <border>
      <left style="thin">
        <color indexed="16"/>
      </left>
      <right style="thin">
        <color indexed="10"/>
      </right>
      <top style="thin">
        <color indexed="16"/>
      </top>
      <bottom style="thin">
        <color indexed="10"/>
      </bottom>
      <diagonal/>
    </border>
    <border>
      <left style="thin">
        <color indexed="10"/>
      </left>
      <right style="thin">
        <color indexed="16"/>
      </right>
      <top style="thin">
        <color indexed="10"/>
      </top>
      <bottom style="thin">
        <color indexed="10"/>
      </bottom>
      <diagonal/>
    </border>
    <border>
      <left style="thin">
        <color indexed="16"/>
      </left>
      <right style="thin">
        <color indexed="10"/>
      </right>
      <top style="thin">
        <color indexed="10"/>
      </top>
      <bottom style="thin">
        <color indexed="10"/>
      </bottom>
      <diagonal/>
    </border>
    <border>
      <left style="thin">
        <color indexed="10"/>
      </left>
      <right style="thin">
        <color indexed="16"/>
      </right>
      <top style="thin">
        <color indexed="10"/>
      </top>
      <bottom style="thin">
        <color indexed="16"/>
      </bottom>
      <diagonal/>
    </border>
    <border>
      <left style="thin">
        <color indexed="16"/>
      </left>
      <right style="thin">
        <color indexed="10"/>
      </right>
      <top style="thin">
        <color indexed="10"/>
      </top>
      <bottom style="thin">
        <color indexed="16"/>
      </bottom>
      <diagonal/>
    </border>
  </borders>
  <cellStyleXfs count="1">
    <xf numFmtId="0" fontId="0" applyNumberFormat="0" applyFont="1" applyFill="0" applyBorder="0" applyAlignment="1" applyProtection="0">
      <alignment vertical="top" wrapText="1"/>
    </xf>
  </cellStyleXfs>
  <cellXfs count="154">
    <xf numFmtId="0" fontId="0" applyNumberFormat="0" applyFont="1" applyFill="0" applyBorder="0" applyAlignment="1" applyProtection="0">
      <alignment vertical="top" wrapText="1"/>
    </xf>
    <xf numFmtId="0" fontId="2" applyNumberFormat="1" applyFont="1" applyFill="0" applyBorder="0" applyAlignment="1" applyProtection="0">
      <alignment vertical="top" wrapText="1"/>
    </xf>
    <xf numFmtId="0" fontId="4" fillId="2" borderId="1" applyNumberFormat="1" applyFont="1" applyFill="1" applyBorder="1" applyAlignment="1" applyProtection="0">
      <alignment vertical="top" wrapText="1"/>
    </xf>
    <xf numFmtId="0" fontId="4" fillId="2" borderId="1" applyNumberFormat="0" applyFont="1" applyFill="1" applyBorder="1" applyAlignment="1" applyProtection="0">
      <alignment horizontal="center" vertical="center" wrapText="1"/>
    </xf>
    <xf numFmtId="0" fontId="4" fillId="2" borderId="1" applyNumberFormat="1" applyFont="1" applyFill="1" applyBorder="1" applyAlignment="1" applyProtection="0">
      <alignment horizontal="center" vertical="center" wrapText="1"/>
    </xf>
    <xf numFmtId="59" fontId="4" fillId="2" borderId="1" applyNumberFormat="1" applyFont="1" applyFill="1" applyBorder="1" applyAlignment="1" applyProtection="0">
      <alignment horizontal="center" vertical="center" wrapText="1"/>
    </xf>
    <xf numFmtId="60" fontId="4" fillId="2" borderId="1" applyNumberFormat="1" applyFont="1" applyFill="1" applyBorder="1" applyAlignment="1" applyProtection="0">
      <alignment horizontal="center" vertical="center" wrapText="1"/>
    </xf>
    <xf numFmtId="61" fontId="4" fillId="2" borderId="1" applyNumberFormat="1" applyFont="1" applyFill="1" applyBorder="1" applyAlignment="1" applyProtection="0">
      <alignment horizontal="center" vertical="center" wrapText="1"/>
    </xf>
    <xf numFmtId="60" fontId="2" fillId="2" borderId="1" applyNumberFormat="1" applyFont="1" applyFill="1" applyBorder="1" applyAlignment="1" applyProtection="0">
      <alignment vertical="top" wrapText="1"/>
    </xf>
    <xf numFmtId="0" fontId="4" fillId="2" borderId="1" applyNumberFormat="0" applyFont="1" applyFill="1" applyBorder="1" applyAlignment="1" applyProtection="0">
      <alignment horizontal="center" vertical="center"/>
    </xf>
    <xf numFmtId="0" fontId="5" fillId="2" borderId="1" applyNumberFormat="1" applyFont="1" applyFill="1" applyBorder="1" applyAlignment="1" applyProtection="0">
      <alignment horizontal="center" vertical="center" wrapText="1"/>
    </xf>
    <xf numFmtId="3" fontId="4" fillId="2" borderId="1" applyNumberFormat="1" applyFont="1" applyFill="1" applyBorder="1" applyAlignment="1" applyProtection="0">
      <alignment horizontal="center" vertical="center" wrapText="1"/>
    </xf>
    <xf numFmtId="0" fontId="2" fillId="2" borderId="1" applyNumberFormat="0" applyFont="1" applyFill="1" applyBorder="1" applyAlignment="1" applyProtection="0">
      <alignment horizontal="justify" vertical="top" wrapText="1" readingOrder="1"/>
    </xf>
    <xf numFmtId="0" fontId="2" fillId="2" borderId="1" applyNumberFormat="0" applyFont="1" applyFill="1" applyBorder="1" applyAlignment="1" applyProtection="0">
      <alignment horizontal="center" vertical="center" wrapText="1"/>
    </xf>
    <xf numFmtId="60" fontId="2" fillId="2" borderId="1" applyNumberFormat="1" applyFont="1" applyFill="1" applyBorder="1" applyAlignment="1" applyProtection="0">
      <alignment horizontal="center" vertical="center" wrapText="1"/>
    </xf>
    <xf numFmtId="0"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horizontal="center" vertical="center"/>
    </xf>
    <xf numFmtId="0" fontId="6" fillId="2" borderId="1" applyNumberFormat="0" applyFont="1" applyFill="1" applyBorder="1" applyAlignment="1" applyProtection="0">
      <alignment horizontal="center" vertical="center" wrapText="1"/>
    </xf>
    <xf numFmtId="0" fontId="7" fillId="2" borderId="1" applyNumberFormat="1" applyFont="1" applyFill="1" applyBorder="1" applyAlignment="1" applyProtection="0">
      <alignment horizontal="center" vertical="top" wrapText="1"/>
    </xf>
    <xf numFmtId="0" fontId="8" fillId="2" borderId="1" applyNumberFormat="1" applyFont="1" applyFill="1" applyBorder="1" applyAlignment="1" applyProtection="0">
      <alignment horizontal="center" vertical="center" wrapText="1"/>
    </xf>
    <xf numFmtId="3" fontId="8" fillId="2" borderId="1" applyNumberFormat="1" applyFont="1" applyFill="1" applyBorder="1" applyAlignment="1" applyProtection="0">
      <alignment horizontal="center" vertical="center" wrapText="1"/>
    </xf>
    <xf numFmtId="0" fontId="9" fillId="2" borderId="1" applyNumberFormat="1" applyFont="1" applyFill="1" applyBorder="1" applyAlignment="1" applyProtection="0">
      <alignment horizontal="center" vertical="center" wrapText="1"/>
    </xf>
    <xf numFmtId="0" fontId="9" fillId="2" borderId="1" applyNumberFormat="0" applyFont="1" applyFill="1" applyBorder="1" applyAlignment="1" applyProtection="0">
      <alignment horizontal="center" vertical="center" wrapText="1"/>
    </xf>
    <xf numFmtId="0" fontId="9" fillId="2" borderId="1" applyNumberFormat="0" applyFont="1" applyFill="1" applyBorder="1" applyAlignment="1" applyProtection="0">
      <alignment horizontal="justify" vertical="top" wrapText="1" readingOrder="1"/>
    </xf>
    <xf numFmtId="0" fontId="9" fillId="2" borderId="1" applyNumberFormat="1" applyFont="1" applyFill="1" applyBorder="1" applyAlignment="1" applyProtection="0">
      <alignment horizontal="center" vertical="center"/>
    </xf>
    <xf numFmtId="0" fontId="10" fillId="2" borderId="1" applyNumberFormat="1" applyFont="1" applyFill="1" applyBorder="1" applyAlignment="1" applyProtection="0">
      <alignment horizontal="center" vertical="center" wrapText="1"/>
    </xf>
    <xf numFmtId="0" fontId="9" fillId="2" borderId="2" applyNumberFormat="0" applyFont="1" applyFill="1" applyBorder="1" applyAlignment="1" applyProtection="0">
      <alignment vertical="top" wrapText="1"/>
    </xf>
    <xf numFmtId="49" fontId="11" fillId="2" borderId="2" applyNumberFormat="1" applyFont="1" applyFill="1" applyBorder="1" applyAlignment="1" applyProtection="0">
      <alignment horizontal="center" vertical="center" wrapText="1"/>
    </xf>
    <xf numFmtId="49" fontId="12" fillId="2" borderId="2" applyNumberFormat="1" applyFont="1" applyFill="1" applyBorder="1" applyAlignment="1" applyProtection="0">
      <alignment horizontal="center" vertical="center" wrapText="1"/>
    </xf>
    <xf numFmtId="49" fontId="12" fillId="2" borderId="2" applyNumberFormat="1" applyFont="1" applyFill="1" applyBorder="1" applyAlignment="1" applyProtection="0">
      <alignment horizontal="center" vertical="center"/>
    </xf>
    <xf numFmtId="0" fontId="12" fillId="2" borderId="2" applyNumberFormat="0" applyFont="1" applyFill="1" applyBorder="1" applyAlignment="1" applyProtection="0">
      <alignment horizontal="center" vertical="center" wrapText="1"/>
    </xf>
    <xf numFmtId="49" fontId="14" fillId="2" borderId="2" applyNumberFormat="1" applyFont="1" applyFill="1" applyBorder="1" applyAlignment="1" applyProtection="0">
      <alignment horizontal="center" vertical="center" wrapText="1"/>
    </xf>
    <xf numFmtId="0" fontId="11" fillId="2" borderId="2" applyNumberFormat="0" applyFont="1" applyFill="1" applyBorder="1" applyAlignment="1" applyProtection="0">
      <alignment horizontal="center" vertical="center" wrapText="1"/>
    </xf>
    <xf numFmtId="3" fontId="11" fillId="2" borderId="2" applyNumberFormat="1" applyFont="1" applyFill="1" applyBorder="1" applyAlignment="1" applyProtection="0">
      <alignment horizontal="center" vertical="center" wrapText="1"/>
    </xf>
    <xf numFmtId="0" fontId="15" fillId="3" borderId="3" applyNumberFormat="0" applyFont="1" applyFill="1" applyBorder="1" applyAlignment="1" applyProtection="0">
      <alignment vertical="top" wrapText="1"/>
    </xf>
    <xf numFmtId="0" fontId="15" fillId="3" borderId="3" applyNumberFormat="1" applyFont="1" applyFill="1" applyBorder="1" applyAlignment="1" applyProtection="0">
      <alignment vertical="top" wrapText="1"/>
    </xf>
    <xf numFmtId="49" fontId="16" fillId="3" borderId="4" applyNumberFormat="1" applyFont="1" applyFill="1" applyBorder="1" applyAlignment="1" applyProtection="0">
      <alignment vertical="top" wrapText="1"/>
    </xf>
    <xf numFmtId="49" fontId="2" borderId="5" applyNumberFormat="1" applyFont="1" applyFill="0" applyBorder="1" applyAlignment="1" applyProtection="0">
      <alignment vertical="top" wrapText="1"/>
    </xf>
    <xf numFmtId="0" fontId="2" borderId="3" applyNumberFormat="0" applyFont="1" applyFill="0" applyBorder="1" applyAlignment="1" applyProtection="0">
      <alignment vertical="top" wrapText="1"/>
    </xf>
    <xf numFmtId="4" fontId="2" borderId="3" applyNumberFormat="1" applyFont="1" applyFill="0" applyBorder="1" applyAlignment="1" applyProtection="0">
      <alignment vertical="top" wrapText="1"/>
    </xf>
    <xf numFmtId="3" fontId="2" borderId="3" applyNumberFormat="1" applyFont="1" applyFill="0" applyBorder="1" applyAlignment="1" applyProtection="0">
      <alignment vertical="top" wrapText="1"/>
    </xf>
    <xf numFmtId="4" fontId="2" fillId="3" borderId="3" applyNumberFormat="1" applyFont="1" applyFill="1" applyBorder="1" applyAlignment="1" applyProtection="0">
      <alignment vertical="top" wrapText="1"/>
    </xf>
    <xf numFmtId="49" fontId="2" borderId="3" applyNumberFormat="1" applyFont="1" applyFill="0" applyBorder="1" applyAlignment="1" applyProtection="0">
      <alignment vertical="top" wrapText="1"/>
    </xf>
    <xf numFmtId="49" fontId="2" borderId="3" applyNumberFormat="1" applyFont="1" applyFill="0" applyBorder="1" applyAlignment="1" applyProtection="0">
      <alignment horizontal="justify" vertical="top" wrapText="1"/>
    </xf>
    <xf numFmtId="60" fontId="2" borderId="3" applyNumberFormat="1" applyFont="1" applyFill="0" applyBorder="1" applyAlignment="1" applyProtection="0">
      <alignment vertical="top" wrapText="1"/>
    </xf>
    <xf numFmtId="0" fontId="2" borderId="3" applyNumberFormat="1" applyFont="1" applyFill="0" applyBorder="1" applyAlignment="1" applyProtection="0">
      <alignment vertical="top" wrapText="1"/>
    </xf>
    <xf numFmtId="49" fontId="2" fillId="3" borderId="3" applyNumberFormat="1" applyFont="1" applyFill="1" applyBorder="1" applyAlignment="1" applyProtection="0">
      <alignment vertical="top" wrapText="1"/>
    </xf>
    <xf numFmtId="0" fontId="2" borderId="3" applyNumberFormat="0" applyFont="1" applyFill="0" applyBorder="1" applyAlignment="1" applyProtection="0">
      <alignment vertical="top"/>
    </xf>
    <xf numFmtId="0" fontId="6" borderId="3" applyNumberFormat="1" applyFont="1" applyFill="0" applyBorder="1" applyAlignment="1" applyProtection="0">
      <alignment vertical="top" wrapText="1"/>
    </xf>
    <xf numFmtId="0" fontId="15" fillId="3" borderId="1" applyNumberFormat="0" applyFont="1" applyFill="1" applyBorder="1" applyAlignment="1" applyProtection="0">
      <alignment vertical="top" wrapText="1"/>
    </xf>
    <xf numFmtId="0" fontId="15" fillId="3" borderId="1" applyNumberFormat="1" applyFont="1" applyFill="1" applyBorder="1" applyAlignment="1" applyProtection="0">
      <alignment vertical="top" wrapText="1"/>
    </xf>
    <xf numFmtId="49" fontId="16" fillId="3" borderId="6" applyNumberFormat="1" applyFont="1" applyFill="1" applyBorder="1" applyAlignment="1" applyProtection="0">
      <alignment vertical="top" wrapText="1"/>
    </xf>
    <xf numFmtId="49" fontId="2" fillId="4" borderId="7" applyNumberFormat="1" applyFont="1" applyFill="1" applyBorder="1" applyAlignment="1" applyProtection="0">
      <alignment vertical="top" wrapText="1"/>
    </xf>
    <xf numFmtId="0" fontId="2" fillId="4" borderId="1" applyNumberFormat="0" applyFont="1" applyFill="1" applyBorder="1" applyAlignment="1" applyProtection="0">
      <alignment vertical="top" wrapText="1"/>
    </xf>
    <xf numFmtId="4" fontId="2" fillId="4" borderId="1" applyNumberFormat="1" applyFont="1" applyFill="1" applyBorder="1" applyAlignment="1" applyProtection="0">
      <alignment vertical="top" wrapText="1"/>
    </xf>
    <xf numFmtId="3" fontId="2" fillId="4" borderId="1" applyNumberFormat="1" applyFont="1" applyFill="1" applyBorder="1" applyAlignment="1" applyProtection="0">
      <alignment vertical="top" wrapText="1"/>
    </xf>
    <xf numFmtId="62" fontId="2" fillId="4" borderId="1" applyNumberFormat="1" applyFont="1" applyFill="1" applyBorder="1" applyAlignment="1" applyProtection="0">
      <alignment vertical="top" wrapText="1"/>
    </xf>
    <xf numFmtId="4" fontId="2" fillId="3" borderId="1" applyNumberFormat="1" applyFont="1" applyFill="1" applyBorder="1" applyAlignment="1" applyProtection="0">
      <alignment vertical="top" wrapText="1"/>
    </xf>
    <xf numFmtId="49" fontId="2" fillId="4" borderId="1" applyNumberFormat="1" applyFont="1" applyFill="1" applyBorder="1" applyAlignment="1" applyProtection="0">
      <alignment vertical="top" wrapText="1"/>
    </xf>
    <xf numFmtId="49" fontId="2" fillId="4" borderId="1" applyNumberFormat="1" applyFont="1" applyFill="1" applyBorder="1" applyAlignment="1" applyProtection="0">
      <alignment horizontal="justify" vertical="top" wrapText="1"/>
    </xf>
    <xf numFmtId="60" fontId="2" fillId="4" borderId="1" applyNumberFormat="1" applyFont="1" applyFill="1" applyBorder="1" applyAlignment="1" applyProtection="0">
      <alignment vertical="top" wrapText="1"/>
    </xf>
    <xf numFmtId="0" fontId="2" fillId="4" borderId="1" applyNumberFormat="1" applyFont="1" applyFill="1" applyBorder="1" applyAlignment="1" applyProtection="0">
      <alignment vertical="top" wrapText="1"/>
    </xf>
    <xf numFmtId="0" fontId="2" fillId="3" borderId="1" applyNumberFormat="0" applyFont="1" applyFill="1" applyBorder="1" applyAlignment="1" applyProtection="0">
      <alignment vertical="top" wrapText="1"/>
    </xf>
    <xf numFmtId="0" fontId="2" fillId="4" borderId="1" applyNumberFormat="0" applyFont="1" applyFill="1" applyBorder="1" applyAlignment="1" applyProtection="0">
      <alignment vertical="top"/>
    </xf>
    <xf numFmtId="0" fontId="6" fillId="4" borderId="1" applyNumberFormat="1" applyFont="1" applyFill="1" applyBorder="1" applyAlignment="1" applyProtection="0">
      <alignment vertical="top" wrapText="1"/>
    </xf>
    <xf numFmtId="49" fontId="2" borderId="7" applyNumberFormat="1" applyFont="1" applyFill="0" applyBorder="1" applyAlignment="1" applyProtection="0">
      <alignment vertical="top" wrapText="1"/>
    </xf>
    <xf numFmtId="0" fontId="2" borderId="1" applyNumberFormat="0" applyFont="1" applyFill="0" applyBorder="1" applyAlignment="1" applyProtection="0">
      <alignment vertical="top" wrapText="1"/>
    </xf>
    <xf numFmtId="4" fontId="2" borderId="1" applyNumberFormat="1" applyFont="1" applyFill="0" applyBorder="1" applyAlignment="1" applyProtection="0">
      <alignment vertical="top" wrapText="1"/>
    </xf>
    <xf numFmtId="3" fontId="2" borderId="1" applyNumberFormat="1" applyFont="1" applyFill="0" applyBorder="1" applyAlignment="1" applyProtection="0">
      <alignment vertical="top" wrapText="1"/>
    </xf>
    <xf numFmtId="62" fontId="2" borderId="1" applyNumberFormat="1" applyFont="1" applyFill="0" applyBorder="1" applyAlignment="1" applyProtection="0">
      <alignment vertical="top" wrapText="1"/>
    </xf>
    <xf numFmtId="49" fontId="2" borderId="1" applyNumberFormat="1" applyFont="1" applyFill="0" applyBorder="1" applyAlignment="1" applyProtection="0">
      <alignment vertical="top" wrapText="1"/>
    </xf>
    <xf numFmtId="49" fontId="2" borderId="1" applyNumberFormat="1" applyFont="1" applyFill="0" applyBorder="1" applyAlignment="1" applyProtection="0">
      <alignment horizontal="justify" vertical="top" wrapText="1"/>
    </xf>
    <xf numFmtId="60" fontId="2" borderId="1" applyNumberFormat="1" applyFont="1" applyFill="0" applyBorder="1" applyAlignment="1" applyProtection="0">
      <alignment vertical="top" wrapText="1"/>
    </xf>
    <xf numFmtId="0" fontId="2" borderId="1" applyNumberFormat="1" applyFont="1" applyFill="0" applyBorder="1" applyAlignment="1" applyProtection="0">
      <alignment vertical="top" wrapText="1"/>
    </xf>
    <xf numFmtId="0" fontId="2" borderId="1" applyNumberFormat="0" applyFont="1" applyFill="0" applyBorder="1" applyAlignment="1" applyProtection="0">
      <alignment vertical="top"/>
    </xf>
    <xf numFmtId="0" fontId="6" borderId="1" applyNumberFormat="1" applyFont="1" applyFill="0" applyBorder="1" applyAlignment="1" applyProtection="0">
      <alignment vertical="top" wrapText="1"/>
    </xf>
    <xf numFmtId="63" fontId="2" borderId="1" applyNumberFormat="1" applyFont="1" applyFill="0" applyBorder="1" applyAlignment="1" applyProtection="0">
      <alignment vertical="top" wrapText="1"/>
    </xf>
    <xf numFmtId="63" fontId="2" fillId="4" borderId="1" applyNumberFormat="1" applyFont="1" applyFill="1" applyBorder="1" applyAlignment="1" applyProtection="0">
      <alignment vertical="top" wrapText="1"/>
    </xf>
    <xf numFmtId="49" fontId="2" fillId="3" borderId="1" applyNumberFormat="1" applyFont="1" applyFill="1" applyBorder="1" applyAlignment="1" applyProtection="0">
      <alignment vertical="top" wrapText="1"/>
    </xf>
    <xf numFmtId="64" fontId="2" fillId="4" borderId="1" applyNumberFormat="1" applyFont="1" applyFill="1" applyBorder="1" applyAlignment="1" applyProtection="0">
      <alignment vertical="top" wrapText="1"/>
    </xf>
    <xf numFmtId="65" fontId="2" borderId="1" applyNumberFormat="1" applyFont="1" applyFill="0" applyBorder="1" applyAlignment="1" applyProtection="0">
      <alignment vertical="top" wrapText="1"/>
    </xf>
    <xf numFmtId="65" fontId="2" fillId="4" borderId="1" applyNumberFormat="1" applyFont="1" applyFill="1" applyBorder="1" applyAlignment="1" applyProtection="0">
      <alignment vertical="top" wrapText="1"/>
    </xf>
    <xf numFmtId="66" fontId="2" borderId="1" applyNumberFormat="1" applyFont="1" applyFill="0" applyBorder="1" applyAlignment="1" applyProtection="0">
      <alignment vertical="top" wrapText="1"/>
    </xf>
    <xf numFmtId="66" fontId="2" fillId="4" borderId="1" applyNumberFormat="1" applyFont="1" applyFill="1" applyBorder="1" applyAlignment="1" applyProtection="0">
      <alignment vertical="top" wrapText="1"/>
    </xf>
    <xf numFmtId="0" fontId="15" fillId="5" borderId="1" applyNumberFormat="0" applyFont="1" applyFill="1" applyBorder="1" applyAlignment="1" applyProtection="0">
      <alignment vertical="top" wrapText="1"/>
    </xf>
    <xf numFmtId="0" fontId="15" fillId="5" borderId="1" applyNumberFormat="1" applyFont="1" applyFill="1" applyBorder="1" applyAlignment="1" applyProtection="0">
      <alignment vertical="top" wrapText="1"/>
    </xf>
    <xf numFmtId="49" fontId="16" fillId="5" borderId="6" applyNumberFormat="1" applyFont="1" applyFill="1" applyBorder="1" applyAlignment="1" applyProtection="0">
      <alignment vertical="top" wrapText="1"/>
    </xf>
    <xf numFmtId="49" fontId="2" fillId="5" borderId="7" applyNumberFormat="1" applyFont="1" applyFill="1" applyBorder="1" applyAlignment="1" applyProtection="0">
      <alignment vertical="top" wrapText="1"/>
    </xf>
    <xf numFmtId="0" fontId="2" fillId="5" borderId="1" applyNumberFormat="0" applyFont="1" applyFill="1" applyBorder="1" applyAlignment="1" applyProtection="0">
      <alignment vertical="top" wrapText="1"/>
    </xf>
    <xf numFmtId="4" fontId="2" fillId="5" borderId="1" applyNumberFormat="1" applyFont="1" applyFill="1" applyBorder="1" applyAlignment="1" applyProtection="0">
      <alignment vertical="top" wrapText="1"/>
    </xf>
    <xf numFmtId="3" fontId="2" fillId="5" borderId="1" applyNumberFormat="1" applyFont="1" applyFill="1" applyBorder="1" applyAlignment="1" applyProtection="0">
      <alignment vertical="top" wrapText="1"/>
    </xf>
    <xf numFmtId="63" fontId="2" fillId="5" borderId="1" applyNumberFormat="1" applyFont="1" applyFill="1" applyBorder="1" applyAlignment="1" applyProtection="0">
      <alignment vertical="top" wrapText="1"/>
    </xf>
    <xf numFmtId="49" fontId="2" fillId="5" borderId="1" applyNumberFormat="1" applyFont="1" applyFill="1" applyBorder="1" applyAlignment="1" applyProtection="0">
      <alignment vertical="top" wrapText="1"/>
    </xf>
    <xf numFmtId="49" fontId="2" fillId="5" borderId="1" applyNumberFormat="1" applyFont="1" applyFill="1" applyBorder="1" applyAlignment="1" applyProtection="0">
      <alignment horizontal="justify" vertical="top" wrapText="1"/>
    </xf>
    <xf numFmtId="0" fontId="2" fillId="5" borderId="1" applyNumberFormat="1" applyFont="1" applyFill="1" applyBorder="1" applyAlignment="1" applyProtection="0">
      <alignment vertical="top" wrapText="1"/>
    </xf>
    <xf numFmtId="60" fontId="2" fillId="5" borderId="1" applyNumberFormat="1" applyFont="1" applyFill="1" applyBorder="1" applyAlignment="1" applyProtection="0">
      <alignment vertical="top" wrapText="1"/>
    </xf>
    <xf numFmtId="0" fontId="2" fillId="5" borderId="1" applyNumberFormat="0" applyFont="1" applyFill="1" applyBorder="1" applyAlignment="1" applyProtection="0">
      <alignment vertical="top"/>
    </xf>
    <xf numFmtId="0" fontId="6" fillId="5" borderId="1" applyNumberFormat="1" applyFont="1" applyFill="1" applyBorder="1" applyAlignment="1" applyProtection="0">
      <alignment vertical="top" wrapText="1"/>
    </xf>
    <xf numFmtId="49" fontId="16" fillId="6" borderId="6" applyNumberFormat="1" applyFont="1" applyFill="1" applyBorder="1" applyAlignment="1" applyProtection="0">
      <alignment vertical="top" wrapText="1"/>
    </xf>
    <xf numFmtId="67" fontId="2" borderId="1" applyNumberFormat="1" applyFont="1" applyFill="0" applyBorder="1" applyAlignment="1" applyProtection="0">
      <alignment vertical="top" wrapText="1"/>
    </xf>
    <xf numFmtId="67" fontId="2" fillId="4" borderId="1" applyNumberFormat="1" applyFont="1" applyFill="1" applyBorder="1" applyAlignment="1" applyProtection="0">
      <alignment vertical="top" wrapText="1"/>
    </xf>
    <xf numFmtId="0" fontId="16" fillId="3" borderId="6" applyNumberFormat="0" applyFont="1" applyFill="1" applyBorder="1" applyAlignment="1" applyProtection="0">
      <alignment vertical="top" wrapText="1"/>
    </xf>
    <xf numFmtId="0" fontId="6" borderId="1" applyNumberFormat="0" applyFont="1" applyFill="0" applyBorder="1" applyAlignment="1" applyProtection="0">
      <alignment vertical="top" wrapText="1"/>
    </xf>
    <xf numFmtId="0" fontId="6" fillId="4" borderId="1" applyNumberFormat="0" applyFont="1" applyFill="1" applyBorder="1" applyAlignment="1" applyProtection="0">
      <alignment vertical="top" wrapText="1"/>
    </xf>
    <xf numFmtId="0" fontId="2" fillId="4" borderId="7" applyNumberFormat="0" applyFont="1" applyFill="1" applyBorder="1" applyAlignment="1" applyProtection="0">
      <alignment vertical="top" wrapText="1"/>
    </xf>
    <xf numFmtId="0" fontId="15" fillId="6" borderId="1" applyNumberFormat="1" applyFont="1" applyFill="1" applyBorder="1" applyAlignment="1" applyProtection="0">
      <alignment vertical="top" wrapText="1"/>
    </xf>
    <xf numFmtId="0" fontId="2" borderId="7" applyNumberFormat="0" applyFont="1" applyFill="0" applyBorder="1" applyAlignment="1" applyProtection="0">
      <alignment vertical="top" wrapText="1"/>
    </xf>
    <xf numFmtId="68" fontId="2" borderId="1" applyNumberFormat="1" applyFont="1" applyFill="0" applyBorder="1" applyAlignment="1" applyProtection="0">
      <alignment vertical="top" wrapText="1"/>
    </xf>
    <xf numFmtId="0" fontId="16" fillId="3" borderId="1" applyNumberFormat="0" applyFont="1" applyFill="1" applyBorder="1" applyAlignment="1" applyProtection="0">
      <alignment vertical="top" wrapText="1"/>
    </xf>
    <xf numFmtId="69" fontId="2" fillId="4" borderId="1" applyNumberFormat="1" applyFont="1" applyFill="1" applyBorder="1" applyAlignment="1" applyProtection="0">
      <alignment vertical="top" wrapText="1"/>
    </xf>
    <xf numFmtId="70" fontId="2" borderId="1" applyNumberFormat="1" applyFont="1" applyFill="0" applyBorder="1" applyAlignment="1" applyProtection="0">
      <alignment vertical="top" wrapText="1"/>
    </xf>
    <xf numFmtId="71" fontId="2" fillId="4" borderId="1" applyNumberFormat="1" applyFont="1" applyFill="1" applyBorder="1" applyAlignment="1" applyProtection="0">
      <alignment vertical="top" wrapText="1"/>
    </xf>
    <xf numFmtId="49" fontId="15" fillId="3" borderId="1" applyNumberFormat="1" applyFont="1" applyFill="1" applyBorder="1" applyAlignment="1" applyProtection="0">
      <alignment vertical="top" wrapText="1"/>
    </xf>
    <xf numFmtId="72" fontId="2" borderId="1" applyNumberFormat="1" applyFont="1" applyFill="0" applyBorder="1" applyAlignment="1" applyProtection="0">
      <alignment vertical="top" wrapText="1"/>
    </xf>
    <xf numFmtId="68" fontId="2" fillId="4" borderId="1" applyNumberFormat="1" applyFont="1" applyFill="1" applyBorder="1" applyAlignment="1" applyProtection="0">
      <alignment vertical="top" wrapText="1"/>
    </xf>
    <xf numFmtId="0" fontId="2" fillId="4" borderId="1" applyNumberFormat="0" applyFont="1" applyFill="1" applyBorder="1" applyAlignment="1" applyProtection="0">
      <alignment horizontal="justify" vertical="top" wrapText="1"/>
    </xf>
    <xf numFmtId="4" fontId="17" fillId="3" borderId="1" applyNumberFormat="1" applyFont="1" applyFill="1" applyBorder="1" applyAlignment="1" applyProtection="0">
      <alignment vertical="top" wrapText="1" readingOrder="1"/>
    </xf>
    <xf numFmtId="49" fontId="18" fillId="3" borderId="6" applyNumberFormat="1" applyFont="1" applyFill="1" applyBorder="1" applyAlignment="1" applyProtection="0">
      <alignment vertical="top" wrapText="1"/>
    </xf>
    <xf numFmtId="0" fontId="15" fillId="7" borderId="1" applyNumberFormat="0" applyFont="1" applyFill="1" applyBorder="1" applyAlignment="1" applyProtection="0">
      <alignment vertical="top" wrapText="1"/>
    </xf>
    <xf numFmtId="0" fontId="15" fillId="3" borderId="2" applyNumberFormat="0" applyFont="1" applyFill="1" applyBorder="1" applyAlignment="1" applyProtection="0">
      <alignment vertical="top" wrapText="1"/>
    </xf>
    <xf numFmtId="0" fontId="16" fillId="3" borderId="8" applyNumberFormat="0" applyFont="1" applyFill="1" applyBorder="1" applyAlignment="1" applyProtection="0">
      <alignment vertical="top" wrapText="1"/>
    </xf>
    <xf numFmtId="0" fontId="2" borderId="9" applyNumberFormat="0" applyFont="1" applyFill="0" applyBorder="1" applyAlignment="1" applyProtection="0">
      <alignment vertical="top" wrapText="1"/>
    </xf>
    <xf numFmtId="0" fontId="2" borderId="2" applyNumberFormat="1" applyFont="1" applyFill="0" applyBorder="1" applyAlignment="1" applyProtection="0">
      <alignment vertical="top" wrapText="1"/>
    </xf>
    <xf numFmtId="4" fontId="2" borderId="2" applyNumberFormat="1" applyFont="1" applyFill="0" applyBorder="1" applyAlignment="1" applyProtection="0">
      <alignment vertical="top" wrapText="1"/>
    </xf>
    <xf numFmtId="0" fontId="2" borderId="2" applyNumberFormat="0" applyFont="1" applyFill="0" applyBorder="1" applyAlignment="1" applyProtection="0">
      <alignment vertical="top" wrapText="1"/>
    </xf>
    <xf numFmtId="3" fontId="2" borderId="2" applyNumberFormat="1" applyFont="1" applyFill="0" applyBorder="1" applyAlignment="1" applyProtection="0">
      <alignment vertical="top" wrapText="1"/>
    </xf>
    <xf numFmtId="4" fontId="17" fillId="3" borderId="2" applyNumberFormat="1" applyFont="1" applyFill="1" applyBorder="1" applyAlignment="1" applyProtection="0">
      <alignment vertical="top" wrapText="1" readingOrder="1"/>
    </xf>
    <xf numFmtId="49" fontId="2" borderId="2" applyNumberFormat="1" applyFont="1" applyFill="0" applyBorder="1" applyAlignment="1" applyProtection="0">
      <alignment vertical="top" wrapText="1"/>
    </xf>
    <xf numFmtId="49" fontId="2" borderId="2" applyNumberFormat="1" applyFont="1" applyFill="0" applyBorder="1" applyAlignment="1" applyProtection="0">
      <alignment horizontal="justify" vertical="top" wrapText="1"/>
    </xf>
    <xf numFmtId="60" fontId="2" borderId="2" applyNumberFormat="1" applyFont="1" applyFill="0" applyBorder="1" applyAlignment="1" applyProtection="0">
      <alignment vertical="top" wrapText="1"/>
    </xf>
    <xf numFmtId="49" fontId="2" fillId="3" borderId="2" applyNumberFormat="1" applyFont="1" applyFill="1" applyBorder="1" applyAlignment="1" applyProtection="0">
      <alignment vertical="top" wrapText="1"/>
    </xf>
    <xf numFmtId="0" fontId="2" borderId="2" applyNumberFormat="0" applyFont="1" applyFill="0" applyBorder="1" applyAlignment="1" applyProtection="0">
      <alignment vertical="top"/>
    </xf>
    <xf numFmtId="0" fontId="6" borderId="2" applyNumberFormat="0" applyFont="1" applyFill="0" applyBorder="1" applyAlignment="1" applyProtection="0">
      <alignment vertical="top" wrapText="1"/>
    </xf>
    <xf numFmtId="0" fontId="16" fillId="3" borderId="3" applyNumberFormat="0" applyFont="1" applyFill="1" applyBorder="1" applyAlignment="1" applyProtection="0">
      <alignment vertical="top" wrapText="1"/>
    </xf>
    <xf numFmtId="0" fontId="16" fillId="3" borderId="3" applyNumberFormat="1" applyFont="1" applyFill="1" applyBorder="1" applyAlignment="1" applyProtection="0">
      <alignment vertical="top" wrapText="1"/>
    </xf>
    <xf numFmtId="3" fontId="16" borderId="3" applyNumberFormat="1" applyFont="1" applyFill="0" applyBorder="1" applyAlignment="1" applyProtection="0">
      <alignment vertical="top" wrapText="1"/>
    </xf>
    <xf numFmtId="4" fontId="16" fillId="3" borderId="3" applyNumberFormat="1" applyFont="1" applyFill="1" applyBorder="1" applyAlignment="1" applyProtection="0">
      <alignment vertical="top" wrapText="1"/>
    </xf>
    <xf numFmtId="49" fontId="16" borderId="3" applyNumberFormat="1" applyFont="1" applyFill="0" applyBorder="1" applyAlignment="1" applyProtection="0">
      <alignment vertical="top" wrapText="1"/>
    </xf>
    <xf numFmtId="0" fontId="16" borderId="3" applyNumberFormat="0" applyFont="1" applyFill="0" applyBorder="1" applyAlignment="1" applyProtection="0">
      <alignment vertical="top" wrapText="1"/>
    </xf>
    <xf numFmtId="60" fontId="16" fillId="3" borderId="3" applyNumberFormat="1" applyFont="1" applyFill="1" applyBorder="1" applyAlignment="1" applyProtection="0">
      <alignment vertical="top" wrapText="1"/>
    </xf>
    <xf numFmtId="49" fontId="16" fillId="3" borderId="3" applyNumberFormat="1" applyFont="1" applyFill="1" applyBorder="1" applyAlignment="1" applyProtection="0">
      <alignment vertical="top" wrapText="1"/>
    </xf>
    <xf numFmtId="0" fontId="16" borderId="3" applyNumberFormat="0" applyFont="1" applyFill="0" applyBorder="1" applyAlignment="1" applyProtection="0">
      <alignment vertical="top"/>
    </xf>
    <xf numFmtId="0" fontId="6" borderId="3" applyNumberFormat="0" applyFont="1" applyFill="0" applyBorder="1" applyAlignment="1" applyProtection="0">
      <alignment vertical="top" wrapText="1"/>
    </xf>
    <xf numFmtId="63" fontId="16" fillId="3" borderId="3" applyNumberFormat="1" applyFont="1" applyFill="1" applyBorder="1" applyAlignment="1" applyProtection="0">
      <alignment vertical="top" wrapText="1"/>
    </xf>
    <xf numFmtId="3" fontId="16" fillId="3" borderId="1" applyNumberFormat="1" applyFont="1" applyFill="1" applyBorder="1" applyAlignment="1" applyProtection="0">
      <alignment vertical="top" wrapText="1"/>
    </xf>
    <xf numFmtId="63" fontId="16" fillId="3" borderId="1" applyNumberFormat="1" applyFont="1" applyFill="1" applyBorder="1" applyAlignment="1" applyProtection="0">
      <alignment vertical="top" wrapText="1"/>
    </xf>
    <xf numFmtId="3" fontId="16" borderId="1" applyNumberFormat="1" applyFont="1" applyFill="0" applyBorder="1" applyAlignment="1" applyProtection="0">
      <alignment vertical="top" wrapText="1"/>
    </xf>
    <xf numFmtId="63" fontId="16" borderId="1" applyNumberFormat="1" applyFont="1" applyFill="0" applyBorder="1" applyAlignment="1" applyProtection="0">
      <alignment vertical="top" wrapText="1"/>
    </xf>
    <xf numFmtId="0" fontId="16" borderId="1" applyNumberFormat="0" applyFont="1" applyFill="0" applyBorder="1" applyAlignment="1" applyProtection="0">
      <alignment vertical="top" wrapText="1"/>
    </xf>
    <xf numFmtId="0" fontId="2" borderId="1" applyNumberFormat="0" applyFont="1" applyFill="0" applyBorder="1" applyAlignment="1" applyProtection="0">
      <alignment horizontal="justify" vertical="top" wrapText="1"/>
    </xf>
    <xf numFmtId="60" fontId="16" fillId="3" borderId="1" applyNumberFormat="1" applyFont="1" applyFill="1" applyBorder="1" applyAlignment="1" applyProtection="0">
      <alignment vertical="top" wrapText="1"/>
    </xf>
    <xf numFmtId="49" fontId="16" borderId="1" applyNumberFormat="1" applyFont="1" applyFill="0" applyBorder="1" applyAlignment="1" applyProtection="0">
      <alignment vertical="top" wrapText="1"/>
    </xf>
    <xf numFmtId="0" fontId="16" borderId="1" applyNumberFormat="0" applyFont="1" applyFill="0" applyBorder="1" applyAlignment="1" applyProtection="0">
      <alignment vertical="top"/>
    </xf>
    <xf numFmtId="0" fontId="16" fillId="3" borderId="1" applyNumberFormat="1" applyFont="1" applyFill="1" applyBorder="1" applyAlignment="1" applyProtection="0">
      <alignment vertical="top" wrapText="1"/>
    </xf>
  </cellXfs>
  <cellStyles count="1">
    <cellStyle name="Normal" xfId="0" builtinId="0"/>
  </cellStyles>
  <dxfs count="117">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3"/>
        </patternFill>
      </fill>
    </dxf>
    <dxf>
      <font>
        <color rgb="ff000000"/>
      </font>
      <fill>
        <patternFill patternType="solid">
          <fgColor indexed="11"/>
          <bgColor indexed="18"/>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3"/>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
      <font>
        <color rgb="ff000000"/>
      </font>
      <fill>
        <patternFill patternType="solid">
          <fgColor indexed="11"/>
          <bgColor indexed="12"/>
        </patternFill>
      </fill>
    </dxf>
  </dxfs>
  <tableStyles count="0"/>
  <colors>
    <indexedColors>
      <rgbColor rgb="ff000000"/>
      <rgbColor rgb="ffffffff"/>
      <rgbColor rgb="ffff0000"/>
      <rgbColor rgb="ff00ff00"/>
      <rgbColor rgb="ff0000ff"/>
      <rgbColor rgb="ffffff00"/>
      <rgbColor rgb="ffff00ff"/>
      <rgbColor rgb="ff00ffff"/>
      <rgbColor rgb="ff000000"/>
      <rgbColor rgb="ff63b2de"/>
      <rgbColor rgb="ffbfbfbf"/>
      <rgbColor rgb="00000000"/>
      <rgbColor rgb="e5ff9781"/>
      <rgbColor rgb="e5ffd38a"/>
      <rgbColor rgb="ffffdf7f"/>
      <rgbColor rgb="fffefffe"/>
      <rgbColor rgb="ff3f3f3f"/>
      <rgbColor rgb="ff357ca2"/>
      <rgbColor rgb="e598efea"/>
      <rgbColor rgb="ffe8eef0"/>
      <rgbColor rgb="ffff2600"/>
      <rgbColor rgb="ffb7d6a3"/>
      <rgbColor rgb="ff333333"/>
      <rgbColor rgb="ffed7d31"/>
      <rgbColor rgb="ffbd642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BV238"/>
  <sheetViews>
    <sheetView workbookViewId="0" showGridLines="0" defaultGridColor="1">
      <pane topLeftCell="D5" xSplit="3" ySplit="4" activePane="bottomRight" state="frozen"/>
    </sheetView>
  </sheetViews>
  <sheetFormatPr defaultColWidth="12.5" defaultRowHeight="18" customHeight="1" outlineLevelRow="0" outlineLevelCol="0"/>
  <cols>
    <col min="1" max="1" width="14.4141" style="1" customWidth="1"/>
    <col min="2" max="2" width="12.7891" style="1" customWidth="1"/>
    <col min="3" max="3" width="33.6719" style="1" customWidth="1"/>
    <col min="4" max="4" width="28" style="1" customWidth="1"/>
    <col min="5" max="5" width="42.8984" style="1" customWidth="1"/>
    <col min="6" max="6" width="16.7031" style="1" customWidth="1"/>
    <col min="7" max="7" width="9.86719" style="1" customWidth="1"/>
    <col min="8" max="8" width="9.82031" style="1" customWidth="1"/>
    <col min="9" max="9" width="9.28906" style="1" customWidth="1"/>
    <col min="10" max="10" width="14.6484" style="1" customWidth="1"/>
    <col min="11" max="12" width="15" style="1" customWidth="1"/>
    <col min="13" max="13" width="15.5547" style="1" customWidth="1"/>
    <col min="14" max="14" width="21.2891" style="1" customWidth="1"/>
    <col min="15" max="15" width="16.3047" style="1" customWidth="1"/>
    <col min="16" max="17" width="12.5" style="1" customWidth="1"/>
    <col min="18" max="18" width="28.2656" style="1" customWidth="1"/>
    <col min="19" max="20" width="12.5" style="1" customWidth="1"/>
    <col min="21" max="21" width="18.3594" style="1" customWidth="1"/>
    <col min="22" max="22" width="18.3125" style="1" customWidth="1"/>
    <col min="23" max="23" width="14.8984" style="1" customWidth="1"/>
    <col min="24" max="24" width="12.3672" style="1" customWidth="1"/>
    <col min="25" max="25" width="12.5" style="1" customWidth="1"/>
    <col min="26" max="26" width="14.8516" style="1" customWidth="1"/>
    <col min="27" max="27" width="17.6328" style="1" customWidth="1"/>
    <col min="28" max="28" width="15.5781" style="1" customWidth="1"/>
    <col min="29" max="29" width="12.5" style="1" customWidth="1"/>
    <col min="30" max="30" width="19.3516" style="1" customWidth="1"/>
    <col min="31" max="31" width="12.5" style="1" customWidth="1"/>
    <col min="32" max="32" width="16.7266" style="1" customWidth="1"/>
    <col min="33" max="33" width="22.3594" style="1" customWidth="1"/>
    <col min="34" max="35" width="11.7266" style="1" customWidth="1"/>
    <col min="36" max="36" width="13.8594" style="1" customWidth="1"/>
    <col min="37" max="37" width="11.7266" style="1" customWidth="1"/>
    <col min="38" max="38" width="14.7266" style="1" customWidth="1"/>
    <col min="39" max="39" width="9.35156" style="1" customWidth="1"/>
    <col min="40" max="40" width="18.2422" style="1" customWidth="1"/>
    <col min="41" max="41" width="13.3125" style="1" customWidth="1"/>
    <col min="42" max="42" width="19.9453" style="1" customWidth="1"/>
    <col min="43" max="43" width="8.5" style="1" customWidth="1"/>
    <col min="44" max="44" width="20.6484" style="1" customWidth="1"/>
    <col min="45" max="45" width="8.5" style="1" customWidth="1"/>
    <col min="46" max="46" width="18.5391" style="1" customWidth="1"/>
    <col min="47" max="47" width="14.5469" style="1" customWidth="1"/>
    <col min="48" max="48" width="8.5" style="1" customWidth="1"/>
    <col min="49" max="49" width="19.6094" style="1" customWidth="1"/>
    <col min="50" max="50" width="16.4453" style="1" customWidth="1"/>
    <col min="51" max="52" width="8.5" style="1" customWidth="1"/>
    <col min="53" max="53" width="16.7109" style="1" customWidth="1"/>
    <col min="54" max="57" width="8.5" style="1" customWidth="1"/>
    <col min="58" max="58" width="9.67188" style="1" customWidth="1"/>
    <col min="59" max="59" width="10.8516" style="1" customWidth="1"/>
    <col min="60" max="60" width="22.1484" style="1" customWidth="1"/>
    <col min="61" max="61" width="12.5859" style="1" customWidth="1"/>
    <col min="62" max="62" width="17.9688" style="1" customWidth="1"/>
    <col min="63" max="66" width="12.5859" style="1" customWidth="1"/>
    <col min="67" max="67" width="17.6641" style="1" customWidth="1"/>
    <col min="68" max="69" width="19.5938" style="1" customWidth="1"/>
    <col min="70" max="70" width="12.7812" style="1" customWidth="1"/>
    <col min="71" max="72" width="12.0625" style="1" customWidth="1"/>
    <col min="73" max="73" width="50.5312" style="1" customWidth="1"/>
    <col min="74" max="74" width="21.9922" style="1" customWidth="1"/>
    <col min="75" max="16384" width="12.5" style="1" customWidth="1"/>
  </cols>
  <sheetData>
    <row r="1" ht="17" customHeight="1">
      <c r="A1" s="2">
        <v>89</v>
      </c>
      <c r="B1" s="3"/>
      <c r="C1" t="str" s="3" cm="1">
        <f t="array" ref="C1">VLOOKUP($A$3,$B$4:$BU$234,COLUMN()-1)</f>
        <v>Pengawasan Pembangunan Jalan Benggaulu</v>
      </c>
      <c r="D1" t="str" s="3" cm="1">
        <f t="array" ref="D1">VLOOKUP($A$3,$B$4:$BU$234,COLUMN()-1)</f>
        <v>Pembangunan Jalan</v>
      </c>
      <c r="E1" t="str" s="3" cm="1">
        <f t="array" ref="E1">VLOOKUP($A$3,$B$4:$BU$234,COLUMN()-1)</f>
        <v>Pengawasan Pembangunan Jalan Benggaulu</v>
      </c>
      <c r="F1" s="4" cm="1">
        <f t="array" ref="F1">VLOOKUP($A$3,$B$4:$BU$234,COLUMN()-1)</f>
        <v>0</v>
      </c>
      <c r="G1" s="4" cm="1">
        <f t="array" ref="G1">VLOOKUP($A$3,$B$4:$BU$234,COLUMN()-1)</f>
        <v>0</v>
      </c>
      <c r="H1" s="4" cm="1">
        <f t="array" ref="H1">VLOOKUP($A$3,$B$4:$BU$234,COLUMN()-1)</f>
        <v>0</v>
      </c>
      <c r="I1" s="4" cm="1">
        <f t="array" ref="I1">VLOOKUP($A$3,$B$4:$BU$234,COLUMN()-1)</f>
        <v>0</v>
      </c>
      <c r="J1" s="5" cm="1">
        <f t="array" ref="J1">VLOOKUP($A$3,$B$4:$BU$234,COLUMN()-1)</f>
        <v>13298000</v>
      </c>
      <c r="K1" s="5" cm="1">
        <f t="array" ref="K1">VLOOKUP($A$3,$B$4:$BU$234,COLUMN()-1)</f>
        <v>13249080</v>
      </c>
      <c r="L1" s="5" cm="1">
        <f t="array" ref="L1">VLOOKUP($A$3,$B$4:$BU$234,COLUMN()-1)</f>
        <v>13170350</v>
      </c>
      <c r="M1" s="5" cm="1">
        <f t="array" ref="M1">VLOOKUP($A$3,$B$4:$BU$234,COLUMN()-1)</f>
        <v>13170000</v>
      </c>
      <c r="N1" t="str" s="3" cm="1">
        <f t="array" ref="N1">VLOOKUP($A$3,$B$4:$BU$234,COLUMN()-1)</f>
        <v>164 PT. ABITAMA KARYA KONSULTAN</v>
      </c>
      <c r="O1" t="str" s="3" cm="1">
        <f t="array" ref="O1">VLOOKUP($A$3,$B$4:$BU$234,COLUMN()-1)</f>
        <v>Abidin M., SAP., MSP., IAP.</v>
      </c>
      <c r="P1" t="str" s="3" cm="1">
        <f t="array" ref="P1">VLOOKUP($A$3,$B$4:$BU$234,COLUMN()-1)</f>
        <v>Direktur</v>
      </c>
      <c r="Q1" t="str" s="3" cm="1">
        <f t="array" ref="Q1">VLOOKUP($A$3,$B$4:$BU$234,COLUMN()-1)</f>
        <v>75.427.907.3-805.000</v>
      </c>
      <c r="R1" t="str" s="3" cm="1">
        <f t="array" ref="R1">VLOOKUP($A$3,$B$4:$BU$234,COLUMN()-1)</f>
        <v>Jl. Aroepala Komp. Permata Hijau Permai Blok A No. 26 Makassar</v>
      </c>
      <c r="S1" s="4" cm="1">
        <f t="array" ref="S1">VLOOKUP($A$3,$B$4:$BU$234,COLUMN()-1)</f>
        <v>23</v>
      </c>
      <c r="T1" s="6" cm="1">
        <f t="array" ref="T1">VLOOKUP($A$3,$B$4:$BU$234,COLUMN()-1)</f>
        <v>41667</v>
      </c>
      <c r="U1" t="str" s="3" cm="1">
        <f t="array" ref="U1">VLOOKUP($A$3,$B$4:$BU$234,COLUMN()-1)</f>
        <v>YUSRAN SIRATH, SH.</v>
      </c>
      <c r="V1" t="str" s="3" cm="1">
        <f t="array" ref="V1">VLOOKUP($A$3,$B$4:$BU$234,COLUMN()-1)</f>
        <v>130-003-000025267-6 Bank Sulselbar Cabang Makassar</v>
      </c>
      <c r="W1" t="str" s="3" cm="1">
        <f t="array" ref="W1">VLOOKUP($A$3,$B$4:$BU$234,COLUMN()-1)</f>
        <v>PT. ABITAMA KARYA KONSULTAN</v>
      </c>
      <c r="X1" s="4" cm="1">
        <f t="array" ref="X1">VLOOKUP($A$3,$B$4:$BU$234,COLUMN()-1)</f>
        <v>77</v>
      </c>
      <c r="Y1" t="str" s="3" cm="1">
        <f t="array" ref="Y1">VLOOKUP($A$3,$B$4:$BU$234,COLUMN()-1)</f>
        <v>APBD</v>
      </c>
      <c r="Z1" s="7" cm="1">
        <f t="array" ref="Z1">VLOOKUP($A$3,$B$4:$BU$234,COLUMN()-1)</f>
        <v>13170000</v>
      </c>
      <c r="AA1" t="str" s="3" cm="1">
        <f t="array" ref="AA1">VLOOKUP($A$3,$B$4:$BU$234,COLUMN()-1)</f>
        <v>SPSE</v>
      </c>
      <c r="AB1" s="6" cm="1">
        <f t="array" ref="AB1">VLOOKUP($A$3,$B$4:$BU$234,COLUMN()-1)</f>
        <v>45576.333333333336</v>
      </c>
      <c r="AC1" s="4" cm="1">
        <f t="array" ref="AC1">VLOOKUP($A$3,$B$4:$BU$234,COLUMN()-1)</f>
        <v>180</v>
      </c>
      <c r="AD1" t="str" s="3" cm="1">
        <f t="array" ref="AD1">VLOOKUP($A$3,$B$4:$BU$234,COLUMN()-1)</f>
        <v>Waktu Penugasan</v>
      </c>
      <c r="AE1" t="str" s="3" cm="1">
        <f t="array" ref="AE1">VLOOKUP($A$3,$B$4:$BU$234,COLUMN()-1)</f>
        <v>Konsultansi</v>
      </c>
      <c r="AF1" t="str" s="3" cm="1">
        <f t="array" ref="AF1">VLOOKUP($A$3,$B$4:$BU$234,COLUMN()-1)</f>
        <v>1.03.02.2.01.0109</v>
      </c>
      <c r="AG1" s="8" cm="1">
        <f t="array" ref="AG1">VLOOKUP($A$3,$B$4:$BU$234,COLUMN()-1)</f>
        <v>45575</v>
      </c>
      <c r="AH1" s="8" cm="1">
        <f t="array" ref="AH1">VLOOKUP($A$3,$B$4:$BU$234,COLUMN()-1)</f>
        <v>45576.333333333336</v>
      </c>
      <c r="AI1" s="8" cm="1">
        <f t="array" ref="AI1">VLOOKUP($A$3,$B$4:$BU$234,COLUMN()-1)</f>
        <v>45576.333333333336</v>
      </c>
      <c r="AJ1" s="8" cm="1">
        <f t="array" ref="AJ1">VLOOKUP($A$3,$B$4:$BU$234,COLUMN()-1)</f>
        <v>45576.333333333336</v>
      </c>
      <c r="AK1" s="8" cm="1">
        <f t="array" ref="AK1">VLOOKUP($A$3,$B$4:$BU$234,COLUMN()-1)</f>
        <v>45576.333333333336</v>
      </c>
      <c r="AL1" s="8" cm="1">
        <f t="array" ref="AL1">VLOOKUP($A$3,$B$4:$BU$234,COLUMN()-1)</f>
        <v>45580</v>
      </c>
      <c r="AM1" s="8" cm="1">
        <f t="array" ref="AM1">VLOOKUP($A$3,$B$4:$BU$234,COLUMN()-1)</f>
        <v>45580</v>
      </c>
      <c r="AN1" t="str" s="3" cm="1">
        <f t="array" ref="AN1">VLOOKUP($A$3,$B$4:$BU$234,COLUMN()-1)</f>
        <v>53445187/BAHPL/2024</v>
      </c>
      <c r="AO1" s="6" cm="1">
        <f t="array" ref="AO1">VLOOKUP($A$3,$B$4:$BU$234,COLUMN()-1)</f>
        <v>45576.333333333336</v>
      </c>
      <c r="AP1" t="str" s="3" cm="1">
        <f t="array" ref="AP1">VLOOKUP($A$3,$B$4:$BU$234,COLUMN()-1)</f>
        <v>53445187/PEN/2024</v>
      </c>
      <c r="AQ1" s="6" cm="1">
        <f t="array" ref="AQ1">VLOOKUP($A$3,$B$4:$BU$234,COLUMN()-1)</f>
        <v>45576.333333333336</v>
      </c>
      <c r="AR1" t="str" s="3" cm="1">
        <f t="array" ref="AR1">VLOOKUP($A$3,$B$4:$BU$234,COLUMN()-1)</f>
        <v>53445187/UMUM/PEJ-PENG/DPUPR/X/2024</v>
      </c>
      <c r="AS1" s="6" cm="1">
        <f t="array" ref="AS1">VLOOKUP($A$3,$B$4:$BU$234,COLUMN()-1)</f>
        <v>45576.333333333336</v>
      </c>
      <c r="AT1" t="str" s="3" cm="1">
        <f t="array" ref="AT1">VLOOKUP($A$3,$B$4:$BU$234,COLUMN()-1)</f>
        <v>53445187/KLAR-NEG/PEJ-PENG/DPUPR/X/2024</v>
      </c>
      <c r="AU1" s="6" cm="1">
        <f t="array" ref="AU1">VLOOKUP($A$3,$B$4:$BU$234,COLUMN()-1)</f>
        <v>45576.333333333336</v>
      </c>
      <c r="AV1" s="4" cm="1">
        <f t="array" ref="AV1">VLOOKUP($A$3,$B$4:$BU$234,COLUMN()-1)</f>
        <v>0</v>
      </c>
      <c r="AW1" t="str" s="9" cm="1">
        <f t="array" ref="AW1">VLOOKUP($A$3,$B$4:$BU$234,COLUMN()-1)</f>
        <v>600/53445187/SPK-Konsultansi/PPK/DPUPR</v>
      </c>
      <c r="AX1" t="str" s="9" cm="1">
        <f t="array" ref="AX1">VLOOKUP($A$3,$B$4:$BU$234,COLUMN()-1)</f>
        <v>600/53445187/SPMK/PPK/DPUPR</v>
      </c>
      <c r="AY1" s="4" cm="1">
        <f t="array" ref="AY1">VLOOKUP($A$3,$B$4:$BU$234,COLUMN()-1)</f>
        <v>0</v>
      </c>
      <c r="AZ1" s="4" cm="1">
        <f t="array" ref="AZ1">VLOOKUP($A$3,$B$4:$BU$234,COLUMN()-1)</f>
        <v>0</v>
      </c>
      <c r="BA1" s="4" cm="1">
        <f t="array" ref="BA1">VLOOKUP($A$3,$B$4:$BU$234,COLUMN()-1)</f>
        <v>0</v>
      </c>
      <c r="BB1" s="4" cm="1">
        <f t="array" ref="BB1">VLOOKUP($A$3,$B$4:$BU$234,COLUMN()-1)</f>
        <v>0</v>
      </c>
      <c r="BC1" s="4" cm="1">
        <f t="array" ref="BC1">VLOOKUP($A$3,$B$4:$BU$234,COLUMN()-1)</f>
        <v>0</v>
      </c>
      <c r="BD1" s="4" cm="1">
        <f t="array" ref="BD1">VLOOKUP($A$3,$B$4:$BU$234,COLUMN()-1)</f>
        <v>0</v>
      </c>
      <c r="BE1" s="4" cm="1">
        <f t="array" ref="BE1">VLOOKUP($A$3,$B$4:$BU$234,COLUMN()-1)</f>
        <v>0</v>
      </c>
      <c r="BF1" s="4" cm="1">
        <f t="array" ref="BF1">VLOOKUP($A$3,$B$4:$BU$234,COLUMN()-1)</f>
        <v>0</v>
      </c>
      <c r="BG1" s="10" cm="1">
        <f t="array" ref="BG1">VLOOKUP($A$3,$B$4:$BU$234,COLUMN()-1)</f>
        <v>164</v>
      </c>
      <c r="BH1" t="str" s="3" cm="1">
        <f t="array" ref="BH1">VLOOKUP($A$3,$B$4:$BU$234,COLUMN()-1)</f>
        <v>164 PT. ABITAMA KARYA KONSULTAN</v>
      </c>
      <c r="BI1" t="str" s="3" cm="1">
        <f t="array" ref="BI1">VLOOKUP($A$3,$B$4:$BU$234,COLUMN()-1)</f>
        <v>Pelelangan Umum</v>
      </c>
      <c r="BJ1" t="str" s="3" cm="1">
        <f t="array" ref="BJ1">VLOOKUP($A$3,$B$4:$BU$234,COLUMN()-1)</f>
        <v>Metode Satu Sampul </v>
      </c>
      <c r="BK1" t="str" s="3" cm="1">
        <f t="array" ref="BK1">VLOOKUP($A$3,$B$4:$BU$234,COLUMN()-1)</f>
        <v>Pascakualifikasi</v>
      </c>
      <c r="BL1" t="str" s="3" cm="1">
        <f t="array" ref="BL1">VLOOKUP($A$3,$B$4:$BU$234,COLUMN()-1)</f>
        <v>Sistem Gugur</v>
      </c>
      <c r="BM1" s="4" cm="1">
        <f t="array" ref="BM1">VLOOKUP($A$3,$B$4:$BU$234,COLUMN()-1)</f>
        <v>0</v>
      </c>
      <c r="BN1" s="4" cm="1">
        <f t="array" ref="BN1">VLOOKUP($A$3,$B$4:$BU$234,COLUMN()-1)</f>
        <v>0</v>
      </c>
      <c r="BO1" s="4" cm="1">
        <f t="array" ref="BO1">VLOOKUP($A$3,$B$4:$BU$234,COLUMN()-1)</f>
        <v>0</v>
      </c>
      <c r="BP1" s="4" cm="1">
        <f t="array" ref="BP1">VLOOKUP($A$3,$B$4:$BU$234,COLUMN()-1)</f>
        <v>0</v>
      </c>
      <c r="BQ1" s="4" cm="1">
        <f t="array" ref="BQ1">VLOOKUP($A$3,$B$4:$BU$234,COLUMN()-1)</f>
        <v>0</v>
      </c>
      <c r="BR1" t="b" s="4" cm="1">
        <f t="array" ref="BR1">VLOOKUP($A$3,$B$4:$BU$234,COLUMN()-1)</f>
        <v>0</v>
      </c>
      <c r="BS1" s="11" cm="1">
        <f t="array" ref="BS1">VLOOKUP($A$3,$B$4:$BU$234,COLUMN()-1)</f>
        <v>658500</v>
      </c>
      <c r="BT1" t="str" s="3" cm="1">
        <f t="array" ref="BT1">VLOOKUP($A$3,$B$4:$BU$234,COLUMN()-1)</f>
        <v>SYAMSUNAR, Sp, MM</v>
      </c>
      <c r="BU1" s="4" cm="1">
        <f t="array" ref="BU1">VLOOKUP($A$3,$B$4:$BU$234,COLUMN()-1)</f>
        <v>0</v>
      </c>
      <c r="BV1" s="11" cm="1">
        <f t="array" ref="BV1">VLOOKUP($A$3,$B$4:$BU$234,COLUMN()-1)</f>
      </c>
    </row>
    <row r="2" ht="17" customHeight="1">
      <c r="A2" s="3"/>
      <c r="B2" s="3"/>
      <c r="C2" s="3"/>
      <c r="D2" s="3"/>
      <c r="E2" s="3"/>
      <c r="F2" s="3"/>
      <c r="G2" s="3"/>
      <c r="H2" s="3"/>
      <c r="I2" s="3"/>
      <c r="J2" t="str" s="12" cm="1">
        <f t="array" ref="J2">IF(ISBLANK(ROUND(VALUE(J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J1),0))&gt;17,LEFT(RIGHT(ROUND(VALUE(J1),0),18),1),"")&amp;IF(LEN(ROUND(VALUE(J1),0))&gt;17,"Ratus ","")&amp;IF(LEN(ROUND(VALUE(J1),0))&gt;16,LEFT(RIGHT(ROUND(VALUE(J1),0),17),1),"")&amp;IF(LEN(ROUND(VALUE(J1),0))&gt;16,"Puluh ","")&amp;IF(LEN(ROUND(VALUE(J1),0))&gt;15,LEFT(RIGHT(ROUND(VALUE(J1),0),16),1),"")&amp;IF(LEN(ROUND(VALUE(J1),0))&gt;15,IF(AND(LEFT(RIGHT(ROUND(VALUE(J1),0),16),1)="0",LEFT(RIGHT(ROUND(VALUE(J1),0),17),1)="0",LEFT(RIGHT(ROUND(VALUE(J1),0),18),1)="0"),"","Kuadrilium "),"")&amp;IF(LEN(ROUND(VALUE(J1),0))&gt;14,LEFT(RIGHT(ROUND(VALUE(J1),0),15),1),"")&amp;IF(LEN(ROUND(VALUE(J1),0))&gt;14,"Ratus ","")&amp;IF(LEN(ROUND(VALUE(J1),0))&gt;13,LEFT(RIGHT(ROUND(VALUE(J1),0),14),1),"")&amp;IF(LEN(ROUND(VALUE(J1),0))&gt;13,"Puluh ","")&amp;IF(LEN(ROUND(VALUE(J1),0))&gt;12,LEFT(RIGHT(ROUND(VALUE(J1),0),13),1),"")&amp;IF(LEN(ROUND(VALUE(J1),0))&gt;12,IF(AND(LEFT(RIGHT(ROUND(VALUE(J1),0),13),1)="0",LEFT(RIGHT(ROUND(VALUE(J1),0),14),1)="0",LEFT(RIGHT(ROUND(VALUE(J1),0),15),1)="0"),"","Triliun "),"")&amp;IF(LEN(ROUND(VALUE(J1),0))&gt;11,LEFT(RIGHT(ROUND(VALUE(J1),0),12),1),"")&amp;IF(LEN(ROUND(VALUE(J1),0))&gt;11,"Ratus ","")&amp;IF(LEN(ROUND(VALUE(J1),0))&gt;10,LEFT(RIGHT(ROUND(VALUE(J1),0),11),1),"")&amp;IF(LEN(ROUND(VALUE(J1),0))&gt;10,"Puluh ","")&amp;IF(LEN(ROUND(VALUE(J1),0))&gt;9,LEFT(RIGHT(ROUND(VALUE(J1),0),10),1),"")&amp;IF(LEN(ROUND(VALUE(J1),0))&gt;9,IF(AND(LEFT(RIGHT(ROUND(VALUE(J1),0),10),1)="0",LEFT(RIGHT(ROUND(VALUE(J1),0),11),1)="0",LEFT(RIGHT(ROUND(VALUE(J1),0),12),1)="0"),"","Milyar "),"")&amp;IF(LEN(ROUND(VALUE(J1),0))&gt;8,LEFT(RIGHT(ROUND(VALUE(J1),0),9),1),"")&amp;IF(LEN(ROUND(VALUE(J1),0))&gt;8,"Ratus ","")&amp;IF(LEN(ROUND(VALUE(J1),0))&gt;7,LEFT(RIGHT(ROUND(VALUE(J1),0),8),1),"")&amp;IF(LEN(ROUND(VALUE(J1),0))&gt;7,"Puluh ","")&amp;IF(LEN(ROUND(VALUE(J1),0))&gt;6,LEFT(RIGHT(ROUND(VALUE(J1),0),7),1),"")&amp;IF(LEN(ROUND(VALUE(J1),0))&gt;6,IF(AND(LEFT(RIGHT(ROUND(VALUE(J1),0),7),1)="0",LEFT(RIGHT(ROUND(VALUE(J1),0),8),1)="0",LEFT(RIGHT(ROUND(VALUE(J1),0),9),1)="0"),"","Juta "),"")&amp;IF(LEN(ROUND(VALUE(J1),0))&gt;5,LEFT(RIGHT(ROUND(VALUE(J1),0),6),1),"")&amp;IF(LEN(ROUND(VALUE(J1),0))&gt;5,"Ratus ","")&amp;IF(LEN(ROUND(VALUE(J1),0))&gt;4,LEFT(RIGHT(ROUND(VALUE(J1),0),5),1),"")&amp;IF(LEN(ROUND(VALUE(J1),0))&gt;4,"Puluh ","")&amp;IF(LEN(ROUND(VALUE(J1),0))&gt;3,LEFT(RIGHT(ROUND(VALUE(J1),0),4),1),"")&amp;IF(LEN(ROUND(VALUE(J1),0))&gt;3,IF(AND(LEFT(RIGHT(ROUND(VALUE(J1),0),4),1)="0",LEFT(RIGHT(ROUND(VALUE(J1),0),5),1)="0",LEFT(RIGHT(ROUND(VALUE(J1),0),6),1)="0"),"","Ribu "),"")&amp;IF(LEN(ROUND(VALUE(J1),0))&gt;2,LEFT(RIGHT(ROUND(VALUE(J1),0),3),1),"")&amp;IF(LEN(ROUND(VALUE(J1),0))&gt;2,"Ratus ","")&amp;IF(LEN(ROUND(VALUE(J1),0))&gt;1,LEFT(RIGHT(ROUND(VALUE(J1),0),2),1),"")&amp;IF(LEN(ROUND(VALUE(J1),0))&gt;1,"Puluh ","")&amp;IF(LEN(ROUND(VALUE(J1),0))&gt;0,LEFT(RIGHT(ROUND(VALUE(J1),0),1),1),""),"0","Nol"),"1","Satu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Ribu","Satu Ribu"),"Satu Ratus","Seratus "),"Nol",""))</f>
        <v>Tiga Belas Juta Dua Ratus Sembilan Puluh Delapan Ribu   </v>
      </c>
      <c r="K2" t="str" s="12" cm="1">
        <f t="array" ref="K2">IF(ISBLANK(ROUND(VALUE(K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K1),0))&gt;17,LEFT(RIGHT(ROUND(VALUE(K1),0),18),1),"")&amp;IF(LEN(ROUND(VALUE(K1),0))&gt;17,"Ratus ","")&amp;IF(LEN(ROUND(VALUE(K1),0))&gt;16,LEFT(RIGHT(ROUND(VALUE(K1),0),17),1),"")&amp;IF(LEN(ROUND(VALUE(K1),0))&gt;16,"Puluh ","")&amp;IF(LEN(ROUND(VALUE(K1),0))&gt;15,LEFT(RIGHT(ROUND(VALUE(K1),0),16),1),"")&amp;IF(LEN(ROUND(VALUE(K1),0))&gt;15,IF(AND(LEFT(RIGHT(ROUND(VALUE(K1),0),16),1)="0",LEFT(RIGHT(ROUND(VALUE(K1),0),17),1)="0",LEFT(RIGHT(ROUND(VALUE(K1),0),18),1)="0"),"","Kuadrilium "),"")&amp;IF(LEN(ROUND(VALUE(K1),0))&gt;14,LEFT(RIGHT(ROUND(VALUE(K1),0),15),1),"")&amp;IF(LEN(ROUND(VALUE(K1),0))&gt;14,"Ratus ","")&amp;IF(LEN(ROUND(VALUE(K1),0))&gt;13,LEFT(RIGHT(ROUND(VALUE(K1),0),14),1),"")&amp;IF(LEN(ROUND(VALUE(K1),0))&gt;13,"Puluh ","")&amp;IF(LEN(ROUND(VALUE(K1),0))&gt;12,LEFT(RIGHT(ROUND(VALUE(K1),0),13),1),"")&amp;IF(LEN(ROUND(VALUE(K1),0))&gt;12,IF(AND(LEFT(RIGHT(ROUND(VALUE(K1),0),13),1)="0",LEFT(RIGHT(ROUND(VALUE(K1),0),14),1)="0",LEFT(RIGHT(ROUND(VALUE(K1),0),15),1)="0"),"","Triliun "),"")&amp;IF(LEN(ROUND(VALUE(K1),0))&gt;11,LEFT(RIGHT(ROUND(VALUE(K1),0),12),1),"")&amp;IF(LEN(ROUND(VALUE(K1),0))&gt;11,"Ratus ","")&amp;IF(LEN(ROUND(VALUE(K1),0))&gt;10,LEFT(RIGHT(ROUND(VALUE(K1),0),11),1),"")&amp;IF(LEN(ROUND(VALUE(K1),0))&gt;10,"Puluh ","")&amp;IF(LEN(ROUND(VALUE(K1),0))&gt;9,LEFT(RIGHT(ROUND(VALUE(K1),0),10),1),"")&amp;IF(LEN(ROUND(VALUE(K1),0))&gt;9,IF(AND(LEFT(RIGHT(ROUND(VALUE(K1),0),10),1)="0",LEFT(RIGHT(ROUND(VALUE(K1),0),11),1)="0",LEFT(RIGHT(ROUND(VALUE(K1),0),12),1)="0"),"","Milyar "),"")&amp;IF(LEN(ROUND(VALUE(K1),0))&gt;8,LEFT(RIGHT(ROUND(VALUE(K1),0),9),1),"")&amp;IF(LEN(ROUND(VALUE(K1),0))&gt;8,"Ratus ","")&amp;IF(LEN(ROUND(VALUE(K1),0))&gt;7,LEFT(RIGHT(ROUND(VALUE(K1),0),8),1),"")&amp;IF(LEN(ROUND(VALUE(K1),0))&gt;7,"Puluh ","")&amp;IF(LEN(ROUND(VALUE(K1),0))&gt;6,LEFT(RIGHT(ROUND(VALUE(K1),0),7),1),"")&amp;IF(LEN(ROUND(VALUE(K1),0))&gt;6,IF(AND(LEFT(RIGHT(ROUND(VALUE(K1),0),7),1)="0",LEFT(RIGHT(ROUND(VALUE(K1),0),8),1)="0",LEFT(RIGHT(ROUND(VALUE(K1),0),9),1)="0"),"","Juta "),"")&amp;IF(LEN(ROUND(VALUE(K1),0))&gt;5,LEFT(RIGHT(ROUND(VALUE(K1),0),6),1),"")&amp;IF(LEN(ROUND(VALUE(K1),0))&gt;5,"Ratus ","")&amp;IF(LEN(ROUND(VALUE(K1),0))&gt;4,LEFT(RIGHT(ROUND(VALUE(K1),0),5),1),"")&amp;IF(LEN(ROUND(VALUE(K1),0))&gt;4,"Puluh ","")&amp;IF(LEN(ROUND(VALUE(K1),0))&gt;3,LEFT(RIGHT(ROUND(VALUE(K1),0),4),1),"")&amp;IF(LEN(ROUND(VALUE(K1),0))&gt;3,IF(AND(LEFT(RIGHT(ROUND(VALUE(K1),0),4),1)="0",LEFT(RIGHT(ROUND(VALUE(K1),0),5),1)="0",LEFT(RIGHT(ROUND(VALUE(K1),0),6),1)="0"),"","Ribu "),"")&amp;IF(LEN(ROUND(VALUE(K1),0))&gt;2,LEFT(RIGHT(ROUND(VALUE(K1),0),3),1),"")&amp;IF(LEN(ROUND(VALUE(K1),0))&gt;2,"Ratus ","")&amp;IF(LEN(ROUND(VALUE(K1),0))&gt;1,LEFT(RIGHT(ROUND(VALUE(K1),0),2),1),"")&amp;IF(LEN(ROUND(VALUE(K1),0))&gt;1,"Puluh ","")&amp;IF(LEN(ROUND(VALUE(K1),0))&gt;0,LEFT(RIGHT(ROUND(VALUE(K1),0),1),1),""),"0","Nol"),"1","Satu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Ribu","Satu Ribu"),"Satu Ratus","Seratus "),"Nol",""))</f>
        <v>Tiga Belas Juta Dua Ratus Empat Puluh Sembilan Ribu  Delapan Puluh </v>
      </c>
      <c r="L2" t="str" s="12" cm="1">
        <f t="array" ref="L2">IF(ISBLANK(ROUND(VALUE(L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L1),0))&gt;17,LEFT(RIGHT(ROUND(VALUE(L1),0),18),1),"")&amp;IF(LEN(ROUND(VALUE(L1),0))&gt;17,"Ratus ","")&amp;IF(LEN(ROUND(VALUE(L1),0))&gt;16,LEFT(RIGHT(ROUND(VALUE(L1),0),17),1),"")&amp;IF(LEN(ROUND(VALUE(L1),0))&gt;16,"Puluh ","")&amp;IF(LEN(ROUND(VALUE(L1),0))&gt;15,LEFT(RIGHT(ROUND(VALUE(L1),0),16),1),"")&amp;IF(LEN(ROUND(VALUE(L1),0))&gt;15,IF(AND(LEFT(RIGHT(ROUND(VALUE(L1),0),16),1)="0",LEFT(RIGHT(ROUND(VALUE(L1),0),17),1)="0",LEFT(RIGHT(ROUND(VALUE(L1),0),18),1)="0"),"","Kuadrilium "),"")&amp;IF(LEN(ROUND(VALUE(L1),0))&gt;14,LEFT(RIGHT(ROUND(VALUE(L1),0),15),1),"")&amp;IF(LEN(ROUND(VALUE(L1),0))&gt;14,"Ratus ","")&amp;IF(LEN(ROUND(VALUE(L1),0))&gt;13,LEFT(RIGHT(ROUND(VALUE(L1),0),14),1),"")&amp;IF(LEN(ROUND(VALUE(L1),0))&gt;13,"Puluh ","")&amp;IF(LEN(ROUND(VALUE(L1),0))&gt;12,LEFT(RIGHT(ROUND(VALUE(L1),0),13),1),"")&amp;IF(LEN(ROUND(VALUE(L1),0))&gt;12,IF(AND(LEFT(RIGHT(ROUND(VALUE(L1),0),13),1)="0",LEFT(RIGHT(ROUND(VALUE(L1),0),14),1)="0",LEFT(RIGHT(ROUND(VALUE(L1),0),15),1)="0"),"","Triliun "),"")&amp;IF(LEN(ROUND(VALUE(L1),0))&gt;11,LEFT(RIGHT(ROUND(VALUE(L1),0),12),1),"")&amp;IF(LEN(ROUND(VALUE(L1),0))&gt;11,"Ratus ","")&amp;IF(LEN(ROUND(VALUE(L1),0))&gt;10,LEFT(RIGHT(ROUND(VALUE(L1),0),11),1),"")&amp;IF(LEN(ROUND(VALUE(L1),0))&gt;10,"Puluh ","")&amp;IF(LEN(ROUND(VALUE(L1),0))&gt;9,LEFT(RIGHT(ROUND(VALUE(L1),0),10),1),"")&amp;IF(LEN(ROUND(VALUE(L1),0))&gt;9,IF(AND(LEFT(RIGHT(ROUND(VALUE(L1),0),10),1)="0",LEFT(RIGHT(ROUND(VALUE(L1),0),11),1)="0",LEFT(RIGHT(ROUND(VALUE(L1),0),12),1)="0"),"","Milyar "),"")&amp;IF(LEN(ROUND(VALUE(L1),0))&gt;8,LEFT(RIGHT(ROUND(VALUE(L1),0),9),1),"")&amp;IF(LEN(ROUND(VALUE(L1),0))&gt;8,"Ratus ","")&amp;IF(LEN(ROUND(VALUE(L1),0))&gt;7,LEFT(RIGHT(ROUND(VALUE(L1),0),8),1),"")&amp;IF(LEN(ROUND(VALUE(L1),0))&gt;7,"Puluh ","")&amp;IF(LEN(ROUND(VALUE(L1),0))&gt;6,LEFT(RIGHT(ROUND(VALUE(L1),0),7),1),"")&amp;IF(LEN(ROUND(VALUE(L1),0))&gt;6,IF(AND(LEFT(RIGHT(ROUND(VALUE(L1),0),7),1)="0",LEFT(RIGHT(ROUND(VALUE(L1),0),8),1)="0",LEFT(RIGHT(ROUND(VALUE(L1),0),9),1)="0"),"","Juta "),"")&amp;IF(LEN(ROUND(VALUE(L1),0))&gt;5,LEFT(RIGHT(ROUND(VALUE(L1),0),6),1),"")&amp;IF(LEN(ROUND(VALUE(L1),0))&gt;5,"Ratus ","")&amp;IF(LEN(ROUND(VALUE(L1),0))&gt;4,LEFT(RIGHT(ROUND(VALUE(L1),0),5),1),"")&amp;IF(LEN(ROUND(VALUE(L1),0))&gt;4,"Puluh ","")&amp;IF(LEN(ROUND(VALUE(L1),0))&gt;3,LEFT(RIGHT(ROUND(VALUE(L1),0),4),1),"")&amp;IF(LEN(ROUND(VALUE(L1),0))&gt;3,IF(AND(LEFT(RIGHT(ROUND(VALUE(L1),0),4),1)="0",LEFT(RIGHT(ROUND(VALUE(L1),0),5),1)="0",LEFT(RIGHT(ROUND(VALUE(L1),0),6),1)="0"),"","Ribu "),"")&amp;IF(LEN(ROUND(VALUE(L1),0))&gt;2,LEFT(RIGHT(ROUND(VALUE(L1),0),3),1),"")&amp;IF(LEN(ROUND(VALUE(L1),0))&gt;2,"Ratus ","")&amp;IF(LEN(ROUND(VALUE(L1),0))&gt;1,LEFT(RIGHT(ROUND(VALUE(L1),0),2),1),"")&amp;IF(LEN(ROUND(VALUE(L1),0))&gt;1,"Puluh ","")&amp;IF(LEN(ROUND(VALUE(L1),0))&gt;0,LEFT(RIGHT(ROUND(VALUE(L1),0),1),1),""),"0","Nol"),"1","Satu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Ribu","Satu Ribu"),"Satu Ratus","Seratus "),"Nol",""))</f>
        <v>Tiga Belas Juta Seratus  Tujuh Puluh Ribu Tiga Ratus Lima Puluh </v>
      </c>
      <c r="M2" t="str" s="12" cm="1">
        <f t="array" ref="M2">IF(ISBLANK(ROUND(VALUE(M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M1),0))&gt;17,LEFT(RIGHT(ROUND(VALUE(M1),0),18),1),"")&amp;IF(LEN(ROUND(VALUE(M1),0))&gt;17,"Ratus ","")&amp;IF(LEN(ROUND(VALUE(M1),0))&gt;16,LEFT(RIGHT(ROUND(VALUE(M1),0),17),1),"")&amp;IF(LEN(ROUND(VALUE(M1),0))&gt;16,"Puluh ","")&amp;IF(LEN(ROUND(VALUE(M1),0))&gt;15,LEFT(RIGHT(ROUND(VALUE(M1),0),16),1),"")&amp;IF(LEN(ROUND(VALUE(M1),0))&gt;15,IF(AND(LEFT(RIGHT(ROUND(VALUE(M1),0),16),1)="0",LEFT(RIGHT(ROUND(VALUE(M1),0),17),1)="0",LEFT(RIGHT(ROUND(VALUE(M1),0),18),1)="0"),"","Kuadrilium "),"")&amp;IF(LEN(ROUND(VALUE(M1),0))&gt;14,LEFT(RIGHT(ROUND(VALUE(M1),0),15),1),"")&amp;IF(LEN(ROUND(VALUE(M1),0))&gt;14,"Ratus ","")&amp;IF(LEN(ROUND(VALUE(M1),0))&gt;13,LEFT(RIGHT(ROUND(VALUE(M1),0),14),1),"")&amp;IF(LEN(ROUND(VALUE(M1),0))&gt;13,"Puluh ","")&amp;IF(LEN(ROUND(VALUE(M1),0))&gt;12,LEFT(RIGHT(ROUND(VALUE(M1),0),13),1),"")&amp;IF(LEN(ROUND(VALUE(M1),0))&gt;12,IF(AND(LEFT(RIGHT(ROUND(VALUE(M1),0),13),1)="0",LEFT(RIGHT(ROUND(VALUE(M1),0),14),1)="0",LEFT(RIGHT(ROUND(VALUE(M1),0),15),1)="0"),"","Triliun "),"")&amp;IF(LEN(ROUND(VALUE(M1),0))&gt;11,LEFT(RIGHT(ROUND(VALUE(M1),0),12),1),"")&amp;IF(LEN(ROUND(VALUE(M1),0))&gt;11,"Ratus ","")&amp;IF(LEN(ROUND(VALUE(M1),0))&gt;10,LEFT(RIGHT(ROUND(VALUE(M1),0),11),1),"")&amp;IF(LEN(ROUND(VALUE(M1),0))&gt;10,"Puluh ","")&amp;IF(LEN(ROUND(VALUE(M1),0))&gt;9,LEFT(RIGHT(ROUND(VALUE(M1),0),10),1),"")&amp;IF(LEN(ROUND(VALUE(M1),0))&gt;9,IF(AND(LEFT(RIGHT(ROUND(VALUE(M1),0),10),1)="0",LEFT(RIGHT(ROUND(VALUE(M1),0),11),1)="0",LEFT(RIGHT(ROUND(VALUE(M1),0),12),1)="0"),"","Milyar "),"")&amp;IF(LEN(ROUND(VALUE(M1),0))&gt;8,LEFT(RIGHT(ROUND(VALUE(M1),0),9),1),"")&amp;IF(LEN(ROUND(VALUE(M1),0))&gt;8,"Ratus ","")&amp;IF(LEN(ROUND(VALUE(M1),0))&gt;7,LEFT(RIGHT(ROUND(VALUE(M1),0),8),1),"")&amp;IF(LEN(ROUND(VALUE(M1),0))&gt;7,"Puluh ","")&amp;IF(LEN(ROUND(VALUE(M1),0))&gt;6,LEFT(RIGHT(ROUND(VALUE(M1),0),7),1),"")&amp;IF(LEN(ROUND(VALUE(M1),0))&gt;6,IF(AND(LEFT(RIGHT(ROUND(VALUE(M1),0),7),1)="0",LEFT(RIGHT(ROUND(VALUE(M1),0),8),1)="0",LEFT(RIGHT(ROUND(VALUE(M1),0),9),1)="0"),"","Juta "),"")&amp;IF(LEN(ROUND(VALUE(M1),0))&gt;5,LEFT(RIGHT(ROUND(VALUE(M1),0),6),1),"")&amp;IF(LEN(ROUND(VALUE(M1),0))&gt;5,"Ratus ","")&amp;IF(LEN(ROUND(VALUE(M1),0))&gt;4,LEFT(RIGHT(ROUND(VALUE(M1),0),5),1),"")&amp;IF(LEN(ROUND(VALUE(M1),0))&gt;4,"Puluh ","")&amp;IF(LEN(ROUND(VALUE(M1),0))&gt;3,LEFT(RIGHT(ROUND(VALUE(M1),0),4),1),"")&amp;IF(LEN(ROUND(VALUE(M1),0))&gt;3,IF(AND(LEFT(RIGHT(ROUND(VALUE(M1),0),4),1)="0",LEFT(RIGHT(ROUND(VALUE(M1),0),5),1)="0",LEFT(RIGHT(ROUND(VALUE(M1),0),6),1)="0"),"","Ribu "),"")&amp;IF(LEN(ROUND(VALUE(M1),0))&gt;2,LEFT(RIGHT(ROUND(VALUE(M1),0),3),1),"")&amp;IF(LEN(ROUND(VALUE(M1),0))&gt;2,"Ratus ","")&amp;IF(LEN(ROUND(VALUE(M1),0))&gt;1,LEFT(RIGHT(ROUND(VALUE(M1),0),2),1),"")&amp;IF(LEN(ROUND(VALUE(M1),0))&gt;1,"Puluh ","")&amp;IF(LEN(ROUND(VALUE(M1),0))&gt;0,LEFT(RIGHT(ROUND(VALUE(M1),0),1),1),""),"0","Nol"),"1","Satu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Ribu","Satu Ribu"),"Satu Ratus","Seratus "),"Nol",""))</f>
        <v>Tiga Belas Juta Seratus  Tujuh Puluh Ribu   </v>
      </c>
      <c r="N2" s="3"/>
      <c r="O2" s="3"/>
      <c r="P2" s="13"/>
      <c r="Q2" s="13"/>
      <c r="R2" s="13"/>
      <c r="S2" s="13"/>
      <c r="T2" s="13"/>
      <c r="U2" s="13"/>
      <c r="V2" s="13"/>
      <c r="W2" s="14" cm="1">
        <f t="array" ref="W2">X$1-1+AM$1</f>
        <v>45656</v>
      </c>
      <c r="X2" t="str" s="12" cm="1">
        <f t="array" ref="X2">IF(ISBLANK(ROUND(VALUE(X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X1),0))&gt;17,LEFT(RIGHT(ROUND(VALUE(X1),0),18),1),"")&amp;IF(LEN(ROUND(VALUE(X1),0))&gt;17,"Ratus ","")&amp;IF(LEN(ROUND(VALUE(X1),0))&gt;16,LEFT(RIGHT(ROUND(VALUE(X1),0),17),1),"")&amp;IF(LEN(ROUND(VALUE(X1),0))&gt;16,"Puluh ","")&amp;IF(LEN(ROUND(VALUE(X1),0))&gt;15,LEFT(RIGHT(ROUND(VALUE(X1),0),16),1),"")&amp;IF(LEN(ROUND(VALUE(X1),0))&gt;15,IF(AND(LEFT(RIGHT(ROUND(VALUE(X1),0),16),1)="0",LEFT(RIGHT(ROUND(VALUE(X1),0),17),1)="0",LEFT(RIGHT(ROUND(VALUE(X1),0),18),1)="0"),"","Kuadrilium "),"")&amp;IF(LEN(ROUND(VALUE(X1),0))&gt;14,LEFT(RIGHT(ROUND(VALUE(X1),0),15),1),"")&amp;IF(LEN(ROUND(VALUE(X1),0))&gt;14,"Ratus ","")&amp;IF(LEN(ROUND(VALUE(X1),0))&gt;13,LEFT(RIGHT(ROUND(VALUE(X1),0),14),1),"")&amp;IF(LEN(ROUND(VALUE(X1),0))&gt;13,"Puluh ","")&amp;IF(LEN(ROUND(VALUE(X1),0))&gt;12,LEFT(RIGHT(ROUND(VALUE(X1),0),13),1),"")&amp;IF(LEN(ROUND(VALUE(X1),0))&gt;12,IF(AND(LEFT(RIGHT(ROUND(VALUE(X1),0),13),1)="0",LEFT(RIGHT(ROUND(VALUE(X1),0),14),1)="0",LEFT(RIGHT(ROUND(VALUE(X1),0),15),1)="0"),"","Triliun "),"")&amp;IF(LEN(ROUND(VALUE(X1),0))&gt;11,LEFT(RIGHT(ROUND(VALUE(X1),0),12),1),"")&amp;IF(LEN(ROUND(VALUE(X1),0))&gt;11,"Ratus ","")&amp;IF(LEN(ROUND(VALUE(X1),0))&gt;10,LEFT(RIGHT(ROUND(VALUE(X1),0),11),1),"")&amp;IF(LEN(ROUND(VALUE(X1),0))&gt;10,"Puluh ","")&amp;IF(LEN(ROUND(VALUE(X1),0))&gt;9,LEFT(RIGHT(ROUND(VALUE(X1),0),10),1),"")&amp;IF(LEN(ROUND(VALUE(X1),0))&gt;9,IF(AND(LEFT(RIGHT(ROUND(VALUE(X1),0),10),1)="0",LEFT(RIGHT(ROUND(VALUE(X1),0),11),1)="0",LEFT(RIGHT(ROUND(VALUE(X1),0),12),1)="0"),"","Milyar "),"")&amp;IF(LEN(ROUND(VALUE(X1),0))&gt;8,LEFT(RIGHT(ROUND(VALUE(X1),0),9),1),"")&amp;IF(LEN(ROUND(VALUE(X1),0))&gt;8,"Ratus ","")&amp;IF(LEN(ROUND(VALUE(X1),0))&gt;7,LEFT(RIGHT(ROUND(VALUE(X1),0),8),1),"")&amp;IF(LEN(ROUND(VALUE(X1),0))&gt;7,"Puluh ","")&amp;IF(LEN(ROUND(VALUE(X1),0))&gt;6,LEFT(RIGHT(ROUND(VALUE(X1),0),7),1),"")&amp;IF(LEN(ROUND(VALUE(X1),0))&gt;6,IF(AND(LEFT(RIGHT(ROUND(VALUE(X1),0),7),1)="0",LEFT(RIGHT(ROUND(VALUE(X1),0),8),1)="0",LEFT(RIGHT(ROUND(VALUE(X1),0),9),1)="0"),"","Juta "),"")&amp;IF(LEN(ROUND(VALUE(X1),0))&gt;5,LEFT(RIGHT(ROUND(VALUE(X1),0),6),1),"")&amp;IF(LEN(ROUND(VALUE(X1),0))&gt;5,"Ratus ","")&amp;IF(LEN(ROUND(VALUE(X1),0))&gt;4,LEFT(RIGHT(ROUND(VALUE(X1),0),5),1),"")&amp;IF(LEN(ROUND(VALUE(X1),0))&gt;4,"Puluh ","")&amp;IF(LEN(ROUND(VALUE(X1),0))&gt;3,LEFT(RIGHT(ROUND(VALUE(X1),0),4),1),"")&amp;IF(LEN(ROUND(VALUE(X1),0))&gt;3,IF(AND(LEFT(RIGHT(ROUND(VALUE(X1),0),4),1)="0",LEFT(RIGHT(ROUND(VALUE(X1),0),5),1)="0",LEFT(RIGHT(ROUND(VALUE(X1),0),6),1)="0"),"","Ribu "),"")&amp;IF(LEN(ROUND(VALUE(X1),0))&gt;2,LEFT(RIGHT(ROUND(VALUE(X1),0),3),1),"")&amp;IF(LEN(ROUND(VALUE(X1),0))&gt;2,"Ratus ","")&amp;IF(LEN(ROUND(VALUE(X1),0))&gt;1,LEFT(RIGHT(ROUND(VALUE(X1),0),2),1),"")&amp;IF(LEN(ROUND(VALUE(X1),0))&gt;1,"Puluh ","")&amp;IF(LEN(ROUND(VALUE(X1),0))&gt;0,LEFT(RIGHT(ROUND(VALUE(X1),0),1),1),""),"0","Nol"),"1","Satu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Ribu","Seribu "),"Satu Ratus","Seratus "),"Nol",""))</f>
        <v>Tujuh Puluh Tujuh </v>
      </c>
      <c r="Y2" s="13"/>
      <c r="Z2" t="str" s="12" cm="1">
        <f t="array" ref="Z2">IF(ISBLANK(ROUND(VALUE(Z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Z1),0))&gt;17,LEFT(RIGHT(ROUND(VALUE(Z1),0),18),1),"")&amp;IF(LEN(ROUND(VALUE(Z1),0))&gt;17,"Ratus ","")&amp;IF(LEN(ROUND(VALUE(Z1),0))&gt;16,LEFT(RIGHT(ROUND(VALUE(Z1),0),17),1),"")&amp;IF(LEN(ROUND(VALUE(Z1),0))&gt;16,"Puluh ","")&amp;IF(LEN(ROUND(VALUE(Z1),0))&gt;15,LEFT(RIGHT(ROUND(VALUE(Z1),0),16),1),"")&amp;IF(LEN(ROUND(VALUE(Z1),0))&gt;15,IF(AND(LEFT(RIGHT(ROUND(VALUE(Z1),0),16),1)="0",LEFT(RIGHT(ROUND(VALUE(Z1),0),17),1)="0",LEFT(RIGHT(ROUND(VALUE(Z1),0),18),1)="0"),"","Kuadrilium "),"")&amp;IF(LEN(ROUND(VALUE(Z1),0))&gt;14,LEFT(RIGHT(ROUND(VALUE(Z1),0),15),1),"")&amp;IF(LEN(ROUND(VALUE(Z1),0))&gt;14,"Ratus ","")&amp;IF(LEN(ROUND(VALUE(Z1),0))&gt;13,LEFT(RIGHT(ROUND(VALUE(Z1),0),14),1),"")&amp;IF(LEN(ROUND(VALUE(Z1),0))&gt;13,"Puluh ","")&amp;IF(LEN(ROUND(VALUE(Z1),0))&gt;12,LEFT(RIGHT(ROUND(VALUE(Z1),0),13),1),"")&amp;IF(LEN(ROUND(VALUE(Z1),0))&gt;12,IF(AND(LEFT(RIGHT(ROUND(VALUE(Z1),0),13),1)="0",LEFT(RIGHT(ROUND(VALUE(Z1),0),14),1)="0",LEFT(RIGHT(ROUND(VALUE(Z1),0),15),1)="0"),"","Triliun "),"")&amp;IF(LEN(ROUND(VALUE(Z1),0))&gt;11,LEFT(RIGHT(ROUND(VALUE(Z1),0),12),1),"")&amp;IF(LEN(ROUND(VALUE(Z1),0))&gt;11,"Ratus ","")&amp;IF(LEN(ROUND(VALUE(Z1),0))&gt;10,LEFT(RIGHT(ROUND(VALUE(Z1),0),11),1),"")&amp;IF(LEN(ROUND(VALUE(Z1),0))&gt;10,"Puluh ","")&amp;IF(LEN(ROUND(VALUE(Z1),0))&gt;9,LEFT(RIGHT(ROUND(VALUE(Z1),0),10),1),"")&amp;IF(LEN(ROUND(VALUE(Z1),0))&gt;9,IF(AND(LEFT(RIGHT(ROUND(VALUE(Z1),0),10),1)="0",LEFT(RIGHT(ROUND(VALUE(Z1),0),11),1)="0",LEFT(RIGHT(ROUND(VALUE(Z1),0),12),1)="0"),"","Milyar "),"")&amp;IF(LEN(ROUND(VALUE(Z1),0))&gt;8,LEFT(RIGHT(ROUND(VALUE(Z1),0),9),1),"")&amp;IF(LEN(ROUND(VALUE(Z1),0))&gt;8,"Ratus ","")&amp;IF(LEN(ROUND(VALUE(Z1),0))&gt;7,LEFT(RIGHT(ROUND(VALUE(Z1),0),8),1),"")&amp;IF(LEN(ROUND(VALUE(Z1),0))&gt;7,"Puluh ","")&amp;IF(LEN(ROUND(VALUE(Z1),0))&gt;6,LEFT(RIGHT(ROUND(VALUE(Z1),0),7),1),"")&amp;IF(LEN(ROUND(VALUE(Z1),0))&gt;6,IF(AND(LEFT(RIGHT(ROUND(VALUE(Z1),0),7),1)="0",LEFT(RIGHT(ROUND(VALUE(Z1),0),8),1)="0",LEFT(RIGHT(ROUND(VALUE(Z1),0),9),1)="0"),"","Juta "),"")&amp;IF(LEN(ROUND(VALUE(Z1),0))&gt;5,LEFT(RIGHT(ROUND(VALUE(Z1),0),6),1),"")&amp;IF(LEN(ROUND(VALUE(Z1),0))&gt;5,"Ratus ","")&amp;IF(LEN(ROUND(VALUE(Z1),0))&gt;4,LEFT(RIGHT(ROUND(VALUE(Z1),0),5),1),"")&amp;IF(LEN(ROUND(VALUE(Z1),0))&gt;4,"Puluh ","")&amp;IF(LEN(ROUND(VALUE(Z1),0))&gt;3,LEFT(RIGHT(ROUND(VALUE(Z1),0),4),1),"")&amp;IF(LEN(ROUND(VALUE(Z1),0))&gt;3,IF(AND(LEFT(RIGHT(ROUND(VALUE(Z1),0),4),1)="0",LEFT(RIGHT(ROUND(VALUE(Z1),0),5),1)="0",LEFT(RIGHT(ROUND(VALUE(Z1),0),6),1)="0"),"","Ribu "),"")&amp;IF(LEN(ROUND(VALUE(Z1),0))&gt;2,LEFT(RIGHT(ROUND(VALUE(Z1),0),3),1),"")&amp;IF(LEN(ROUND(VALUE(Z1),0))&gt;2,"Ratus ","")&amp;IF(LEN(ROUND(VALUE(Z1),0))&gt;1,LEFT(RIGHT(ROUND(VALUE(Z1),0),2),1),"")&amp;IF(LEN(ROUND(VALUE(Z1),0))&gt;1,"Puluh ","")&amp;IF(LEN(ROUND(VALUE(Z1),0))&gt;0,LEFT(RIGHT(ROUND(VALUE(Z1),0),1),1),""),"0","Nol"),"1","Satu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Ribu","Seribu "),"Satu Ratus","Seratus "),"Nol",""))</f>
        <v>Tiga Belas Juta Seratus  Tujuh Puluh Ribu   </v>
      </c>
      <c r="AA2" s="13"/>
      <c r="AB2" s="13"/>
      <c r="AC2" t="str" s="12" cm="1">
        <f t="array" ref="AC2">IF(ISBLANK(ROUND(VALUE(AC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AC1),0))&gt;17,LEFT(RIGHT(ROUND(VALUE(AC1),0),18),1),"")&amp;IF(LEN(ROUND(VALUE(AC1),0))&gt;17,"Ratus ","")&amp;IF(LEN(ROUND(VALUE(AC1),0))&gt;16,LEFT(RIGHT(ROUND(VALUE(AC1),0),17),1),"")&amp;IF(LEN(ROUND(VALUE(AC1),0))&gt;16,"Puluh ","")&amp;IF(LEN(ROUND(VALUE(AC1),0))&gt;15,LEFT(RIGHT(ROUND(VALUE(AC1),0),16),1),"")&amp;IF(LEN(ROUND(VALUE(AC1),0))&gt;15,IF(AND(LEFT(RIGHT(ROUND(VALUE(AC1),0),16),1)="0",LEFT(RIGHT(ROUND(VALUE(AC1),0),17),1)="0",LEFT(RIGHT(ROUND(VALUE(AC1),0),18),1)="0"),"","Kuadrilium "),"")&amp;IF(LEN(ROUND(VALUE(AC1),0))&gt;14,LEFT(RIGHT(ROUND(VALUE(AC1),0),15),1),"")&amp;IF(LEN(ROUND(VALUE(AC1),0))&gt;14,"Ratus ","")&amp;IF(LEN(ROUND(VALUE(AC1),0))&gt;13,LEFT(RIGHT(ROUND(VALUE(AC1),0),14),1),"")&amp;IF(LEN(ROUND(VALUE(AC1),0))&gt;13,"Puluh ","")&amp;IF(LEN(ROUND(VALUE(AC1),0))&gt;12,LEFT(RIGHT(ROUND(VALUE(AC1),0),13),1),"")&amp;IF(LEN(ROUND(VALUE(AC1),0))&gt;12,IF(AND(LEFT(RIGHT(ROUND(VALUE(AC1),0),13),1)="0",LEFT(RIGHT(ROUND(VALUE(AC1),0),14),1)="0",LEFT(RIGHT(ROUND(VALUE(AC1),0),15),1)="0"),"","Triliun "),"")&amp;IF(LEN(ROUND(VALUE(AC1),0))&gt;11,LEFT(RIGHT(ROUND(VALUE(AC1),0),12),1),"")&amp;IF(LEN(ROUND(VALUE(AC1),0))&gt;11,"Ratus ","")&amp;IF(LEN(ROUND(VALUE(AC1),0))&gt;10,LEFT(RIGHT(ROUND(VALUE(AC1),0),11),1),"")&amp;IF(LEN(ROUND(VALUE(AC1),0))&gt;10,"Puluh ","")&amp;IF(LEN(ROUND(VALUE(AC1),0))&gt;9,LEFT(RIGHT(ROUND(VALUE(AC1),0),10),1),"")&amp;IF(LEN(ROUND(VALUE(AC1),0))&gt;9,IF(AND(LEFT(RIGHT(ROUND(VALUE(AC1),0),10),1)="0",LEFT(RIGHT(ROUND(VALUE(AC1),0),11),1)="0",LEFT(RIGHT(ROUND(VALUE(AC1),0),12),1)="0"),"","Milyar "),"")&amp;IF(LEN(ROUND(VALUE(AC1),0))&gt;8,LEFT(RIGHT(ROUND(VALUE(AC1),0),9),1),"")&amp;IF(LEN(ROUND(VALUE(AC1),0))&gt;8,"Ratus ","")&amp;IF(LEN(ROUND(VALUE(AC1),0))&gt;7,LEFT(RIGHT(ROUND(VALUE(AC1),0),8),1),"")&amp;IF(LEN(ROUND(VALUE(AC1),0))&gt;7,"Puluh ","")&amp;IF(LEN(ROUND(VALUE(AC1),0))&gt;6,LEFT(RIGHT(ROUND(VALUE(AC1),0),7),1),"")&amp;IF(LEN(ROUND(VALUE(AC1),0))&gt;6,IF(AND(LEFT(RIGHT(ROUND(VALUE(AC1),0),7),1)="0",LEFT(RIGHT(ROUND(VALUE(AC1),0),8),1)="0",LEFT(RIGHT(ROUND(VALUE(AC1),0),9),1)="0"),"","Juta "),"")&amp;IF(LEN(ROUND(VALUE(AC1),0))&gt;5,LEFT(RIGHT(ROUND(VALUE(AC1),0),6),1),"")&amp;IF(LEN(ROUND(VALUE(AC1),0))&gt;5,"Ratus ","")&amp;IF(LEN(ROUND(VALUE(AC1),0))&gt;4,LEFT(RIGHT(ROUND(VALUE(AC1),0),5),1),"")&amp;IF(LEN(ROUND(VALUE(AC1),0))&gt;4,"Puluh ","")&amp;IF(LEN(ROUND(VALUE(AC1),0))&gt;3,LEFT(RIGHT(ROUND(VALUE(AC1),0),4),1),"")&amp;IF(LEN(ROUND(VALUE(AC1),0))&gt;3,IF(AND(LEFT(RIGHT(ROUND(VALUE(AC1),0),4),1)="0",LEFT(RIGHT(ROUND(VALUE(AC1),0),5),1)="0",LEFT(RIGHT(ROUND(VALUE(AC1),0),6),1)="0"),"","Ribu "),"")&amp;IF(LEN(ROUND(VALUE(AC1),0))&gt;2,LEFT(RIGHT(ROUND(VALUE(AC1),0),3),1),"")&amp;IF(LEN(ROUND(VALUE(AC1),0))&gt;2,"Ratus ","")&amp;IF(LEN(ROUND(VALUE(AC1),0))&gt;1,LEFT(RIGHT(ROUND(VALUE(AC1),0),2),1),"")&amp;IF(LEN(ROUND(VALUE(AC1),0))&gt;1,"Puluh ","")&amp;IF(LEN(ROUND(VALUE(AC1),0))&gt;0,LEFT(RIGHT(ROUND(VALUE(AC1),0),1),1),""),"0","Nol"),"1","Satu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Ribu","Seribu "),"Satu Ratus","Seratus "),"Nol",""))</f>
        <v>Seratus  Delapan Puluh </v>
      </c>
      <c r="AD2" s="13"/>
      <c r="AE2" s="13"/>
      <c r="AF2" s="13"/>
      <c r="AG2" s="8"/>
      <c r="AH2" s="8"/>
      <c r="AI2" s="8"/>
      <c r="AJ2" s="15" cm="1">
        <f t="array" ref="AJ2">HOUR(AJ$1)</f>
        <v>8</v>
      </c>
      <c r="AK2" s="8"/>
      <c r="AL2" s="8"/>
      <c r="AM2" s="8"/>
      <c r="AN2" s="13"/>
      <c r="AO2" s="13"/>
      <c r="AP2" s="13"/>
      <c r="AQ2" s="13"/>
      <c r="AR2" s="13"/>
      <c r="AS2" s="13"/>
      <c r="AT2" s="13"/>
      <c r="AU2" s="13"/>
      <c r="AV2" s="13"/>
      <c r="AW2" s="16"/>
      <c r="AX2" s="16"/>
      <c r="AY2" s="13"/>
      <c r="AZ2" s="13"/>
      <c r="BA2" s="13"/>
      <c r="BB2" s="13"/>
      <c r="BC2" s="13"/>
      <c r="BD2" s="13"/>
      <c r="BE2" s="13"/>
      <c r="BF2" s="13"/>
      <c r="BG2" s="17"/>
      <c r="BH2" s="13"/>
      <c r="BI2" s="13"/>
      <c r="BJ2" s="13"/>
      <c r="BK2" s="13"/>
      <c r="BL2" s="13"/>
      <c r="BM2" s="13"/>
      <c r="BN2" s="13"/>
      <c r="BO2" s="3"/>
      <c r="BP2" s="3"/>
      <c r="BQ2" s="3"/>
      <c r="BR2" s="3"/>
      <c r="BS2" t="str" s="12" cm="1">
        <f t="array" ref="BS2">IF(ISBLANK(ROUND(VALUE(BS1),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BS1),0))&gt;17,LEFT(RIGHT(ROUND(VALUE(BS1),0),18),1),"")&amp;IF(LEN(ROUND(VALUE(BS1),0))&gt;17,"Ratus ","")&amp;IF(LEN(ROUND(VALUE(BS1),0))&gt;16,LEFT(RIGHT(ROUND(VALUE(BS1),0),17),1),"")&amp;IF(LEN(ROUND(VALUE(BS1),0))&gt;16,"Puluh ","")&amp;IF(LEN(ROUND(VALUE(BS1),0))&gt;15,LEFT(RIGHT(ROUND(VALUE(BS1),0),16),1),"")&amp;IF(LEN(ROUND(VALUE(BS1),0))&gt;15,IF(AND(LEFT(RIGHT(ROUND(VALUE(BS1),0),16),1)="0",LEFT(RIGHT(ROUND(VALUE(BS1),0),17),1)="0",LEFT(RIGHT(ROUND(VALUE(BS1),0),18),1)="0"),"","Kuadrilium "),"")&amp;IF(LEN(ROUND(VALUE(BS1),0))&gt;14,LEFT(RIGHT(ROUND(VALUE(BS1),0),15),1),"")&amp;IF(LEN(ROUND(VALUE(BS1),0))&gt;14,"Ratus ","")&amp;IF(LEN(ROUND(VALUE(BS1),0))&gt;13,LEFT(RIGHT(ROUND(VALUE(BS1),0),14),1),"")&amp;IF(LEN(ROUND(VALUE(BS1),0))&gt;13,"Puluh ","")&amp;IF(LEN(ROUND(VALUE(BS1),0))&gt;12,LEFT(RIGHT(ROUND(VALUE(BS1),0),13),1),"")&amp;IF(LEN(ROUND(VALUE(BS1),0))&gt;12,IF(AND(LEFT(RIGHT(ROUND(VALUE(BS1),0),13),1)="0",LEFT(RIGHT(ROUND(VALUE(BS1),0),14),1)="0",LEFT(RIGHT(ROUND(VALUE(BS1),0),15),1)="0"),"","Triliun "),"")&amp;IF(LEN(ROUND(VALUE(BS1),0))&gt;11,LEFT(RIGHT(ROUND(VALUE(BS1),0),12),1),"")&amp;IF(LEN(ROUND(VALUE(BS1),0))&gt;11,"Ratus ","")&amp;IF(LEN(ROUND(VALUE(BS1),0))&gt;10,LEFT(RIGHT(ROUND(VALUE(BS1),0),11),1),"")&amp;IF(LEN(ROUND(VALUE(BS1),0))&gt;10,"Puluh ","")&amp;IF(LEN(ROUND(VALUE(BS1),0))&gt;9,LEFT(RIGHT(ROUND(VALUE(BS1),0),10),1),"")&amp;IF(LEN(ROUND(VALUE(BS1),0))&gt;9,IF(AND(LEFT(RIGHT(ROUND(VALUE(BS1),0),10),1)="0",LEFT(RIGHT(ROUND(VALUE(BS1),0),11),1)="0",LEFT(RIGHT(ROUND(VALUE(BS1),0),12),1)="0"),"","Milyar "),"")&amp;IF(LEN(ROUND(VALUE(BS1),0))&gt;8,LEFT(RIGHT(ROUND(VALUE(BS1),0),9),1),"")&amp;IF(LEN(ROUND(VALUE(BS1),0))&gt;8,"Ratus ","")&amp;IF(LEN(ROUND(VALUE(BS1),0))&gt;7,LEFT(RIGHT(ROUND(VALUE(BS1),0),8),1),"")&amp;IF(LEN(ROUND(VALUE(BS1),0))&gt;7,"Puluh ","")&amp;IF(LEN(ROUND(VALUE(BS1),0))&gt;6,LEFT(RIGHT(ROUND(VALUE(BS1),0),7),1),"")&amp;IF(LEN(ROUND(VALUE(BS1),0))&gt;6,IF(AND(LEFT(RIGHT(ROUND(VALUE(BS1),0),7),1)="0",LEFT(RIGHT(ROUND(VALUE(BS1),0),8),1)="0",LEFT(RIGHT(ROUND(VALUE(BS1),0),9),1)="0"),"","Juta "),"")&amp;IF(LEN(ROUND(VALUE(BS1),0))&gt;5,LEFT(RIGHT(ROUND(VALUE(BS1),0),6),1),"")&amp;IF(LEN(ROUND(VALUE(BS1),0))&gt;5,"Ratus ","")&amp;IF(LEN(ROUND(VALUE(BS1),0))&gt;4,LEFT(RIGHT(ROUND(VALUE(BS1),0),5),1),"")&amp;IF(LEN(ROUND(VALUE(BS1),0))&gt;4,"Puluh ","")&amp;IF(LEN(ROUND(VALUE(BS1),0))&gt;3,LEFT(RIGHT(ROUND(VALUE(BS1),0),4),1),"")&amp;IF(LEN(ROUND(VALUE(BS1),0))&gt;3,IF(AND(LEFT(RIGHT(ROUND(VALUE(BS1),0),4),1)="0",LEFT(RIGHT(ROUND(VALUE(BS1),0),5),1)="0",LEFT(RIGHT(ROUND(VALUE(BS1),0),6),1)="0"),"","Ribu "),"")&amp;IF(LEN(ROUND(VALUE(BS1),0))&gt;2,LEFT(RIGHT(ROUND(VALUE(BS1),0),3),1),"")&amp;IF(LEN(ROUND(VALUE(BS1),0))&gt;2,"Ratus ","")&amp;IF(LEN(ROUND(VALUE(BS1),0))&gt;1,LEFT(RIGHT(ROUND(VALUE(BS1),0),2),1),"")&amp;IF(LEN(ROUND(VALUE(BS1),0))&gt;1,"Puluh ","")&amp;IF(LEN(ROUND(VALUE(BS1),0))&gt;0,LEFT(RIGHT(ROUND(VALUE(BS1),0),1),1),""),"0","Nol"),"1","Satu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Ribu","Seribu "),"Satu Ratus","Seratus "),"Nol",""))</f>
        <v>Enam Ratus Lima Puluh Delapan Ribu Lima Ratus  </v>
      </c>
      <c r="BT2" s="3"/>
      <c r="BU2" s="3"/>
      <c r="BV2" s="11"/>
    </row>
    <row r="3" ht="17" customHeight="1">
      <c r="A3" s="18" cm="1">
        <f t="array" ref="A3">$B220</f>
        <v>53445187</v>
      </c>
      <c r="B3" s="19">
        <v>1</v>
      </c>
      <c r="C3" s="19" cm="1">
        <f t="array" ref="C3">B3+1</f>
        <v>2</v>
      </c>
      <c r="D3" s="19" cm="1">
        <f t="array" ref="D3">C3+1</f>
        <v>3</v>
      </c>
      <c r="E3" s="19" cm="1">
        <f t="array" ref="E3">D3+1</f>
        <v>4</v>
      </c>
      <c r="F3" s="19" cm="1">
        <f t="array" ref="F3">E3+1</f>
        <v>5</v>
      </c>
      <c r="G3" s="19" cm="1">
        <f t="array" ref="G3">E3+1</f>
        <v>5</v>
      </c>
      <c r="H3" s="19" cm="1">
        <f t="array" ref="H3">G3+1</f>
        <v>6</v>
      </c>
      <c r="I3" s="19" cm="1">
        <f t="array" ref="I3">H3+1</f>
        <v>7</v>
      </c>
      <c r="J3" s="19" cm="1">
        <f t="array" ref="J3">I3+1</f>
        <v>8</v>
      </c>
      <c r="K3" s="19" cm="1">
        <f t="array" ref="K3">J3+1</f>
        <v>9</v>
      </c>
      <c r="L3" s="19" cm="1">
        <f t="array" ref="L3">K3+1</f>
        <v>10</v>
      </c>
      <c r="M3" s="20" cm="1">
        <f t="array" ref="M3">L3+1</f>
        <v>11</v>
      </c>
      <c r="N3" s="20" cm="1">
        <f t="array" ref="N3">M3+1</f>
        <v>12</v>
      </c>
      <c r="O3" s="20" cm="1">
        <f t="array" ref="O3">N3+1</f>
        <v>13</v>
      </c>
      <c r="P3" s="21" cm="1">
        <f t="array" ref="P3">O3+1</f>
        <v>14</v>
      </c>
      <c r="Q3" s="21" cm="1">
        <f t="array" ref="Q3">P3+1</f>
        <v>15</v>
      </c>
      <c r="R3" s="21" cm="1">
        <f t="array" ref="R3">Q3+1</f>
        <v>16</v>
      </c>
      <c r="S3" s="21" cm="1">
        <f t="array" ref="S3">R3+1</f>
        <v>17</v>
      </c>
      <c r="T3" s="21" cm="1">
        <f t="array" ref="T3">S3+1</f>
        <v>18</v>
      </c>
      <c r="U3" s="21" cm="1">
        <f t="array" ref="U3">T3+1</f>
        <v>19</v>
      </c>
      <c r="V3" s="21" cm="1">
        <f t="array" ref="V3">U3+1</f>
        <v>20</v>
      </c>
      <c r="W3" s="21" cm="1">
        <f t="array" ref="W3">V3+1</f>
        <v>21</v>
      </c>
      <c r="X3" s="21" cm="1">
        <f t="array" ref="X3">W3+1</f>
        <v>22</v>
      </c>
      <c r="Y3" s="21" cm="1">
        <f t="array" ref="Y3">X3+1</f>
        <v>23</v>
      </c>
      <c r="Z3" s="21" cm="1">
        <f t="array" ref="Z3">Y3+1</f>
        <v>24</v>
      </c>
      <c r="AA3" s="21" cm="1">
        <f t="array" ref="AA3">Z3+1</f>
        <v>25</v>
      </c>
      <c r="AB3" s="21" cm="1">
        <f t="array" ref="AB3">AA3+1</f>
        <v>26</v>
      </c>
      <c r="AC3" s="21" cm="1">
        <f t="array" ref="AC3">AB3+1</f>
        <v>27</v>
      </c>
      <c r="AD3" s="21" cm="1">
        <f t="array" ref="AD3">AC3+1</f>
        <v>28</v>
      </c>
      <c r="AE3" s="21" cm="1">
        <f t="array" ref="AE3">AD3+1</f>
        <v>29</v>
      </c>
      <c r="AF3" s="21" cm="1">
        <f t="array" ref="AF3">AE3+1</f>
        <v>30</v>
      </c>
      <c r="AG3" s="21" cm="1">
        <f t="array" ref="AG3">AF3+1</f>
        <v>31</v>
      </c>
      <c r="AH3" s="21" cm="1">
        <f t="array" ref="AH3">AG3+1</f>
        <v>32</v>
      </c>
      <c r="AI3" s="22"/>
      <c r="AJ3" t="str" s="23" cm="1">
        <f t="array" ref="AJ3">IF(ISBLANK(ROUND(VALUE(AJ2),0)),"",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VALUE(AJ2),0))&gt;17,LEFT(RIGHT(ROUND(VALUE(AJ2),0),18),1),"")&amp;IF(LEN(ROUND(VALUE(AJ2),0))&gt;17,"Ratus ","")&amp;IF(LEN(ROUND(VALUE(AJ2),0))&gt;16,LEFT(RIGHT(ROUND(VALUE(AJ2),0),17),1),"")&amp;IF(LEN(ROUND(VALUE(AJ2),0))&gt;16,"Puluh ","")&amp;IF(LEN(ROUND(VALUE(AJ2),0))&gt;15,LEFT(RIGHT(ROUND(VALUE(AJ2),0),16),1),"")&amp;IF(LEN(ROUND(VALUE(AJ2),0))&gt;15,IF(AND(LEFT(RIGHT(ROUND(VALUE(AJ2),0),16),1)="0",LEFT(RIGHT(ROUND(VALUE(AJ2),0),17),1)="0",LEFT(RIGHT(ROUND(VALUE(AJ2),0),18),1)="0"),"","Kuadrilium "),"")&amp;IF(LEN(ROUND(VALUE(AJ2),0))&gt;14,LEFT(RIGHT(ROUND(VALUE(AJ2),0),15),1),"")&amp;IF(LEN(ROUND(VALUE(AJ2),0))&gt;14,"Ratus ","")&amp;IF(LEN(ROUND(VALUE(AJ2),0))&gt;13,LEFT(RIGHT(ROUND(VALUE(AJ2),0),14),1),"")&amp;IF(LEN(ROUND(VALUE(AJ2),0))&gt;13,"Puluh ","")&amp;IF(LEN(ROUND(VALUE(AJ2),0))&gt;12,LEFT(RIGHT(ROUND(VALUE(AJ2),0),13),1),"")&amp;IF(LEN(ROUND(VALUE(AJ2),0))&gt;12,IF(AND(LEFT(RIGHT(ROUND(VALUE(AJ2),0),13),1)="0",LEFT(RIGHT(ROUND(VALUE(AJ2),0),14),1)="0",LEFT(RIGHT(ROUND(VALUE(AJ2),0),15),1)="0"),"","Triliun "),"")&amp;IF(LEN(ROUND(VALUE(AJ2),0))&gt;11,LEFT(RIGHT(ROUND(VALUE(AJ2),0),12),1),"")&amp;IF(LEN(ROUND(VALUE(AJ2),0))&gt;11,"Ratus ","")&amp;IF(LEN(ROUND(VALUE(AJ2),0))&gt;10,LEFT(RIGHT(ROUND(VALUE(AJ2),0),11),1),"")&amp;IF(LEN(ROUND(VALUE(AJ2),0))&gt;10,"Puluh ","")&amp;IF(LEN(ROUND(VALUE(AJ2),0))&gt;9,LEFT(RIGHT(ROUND(VALUE(AJ2),0),10),1),"")&amp;IF(LEN(ROUND(VALUE(AJ2),0))&gt;9,IF(AND(LEFT(RIGHT(ROUND(VALUE(AJ2),0),10),1)="0",LEFT(RIGHT(ROUND(VALUE(AJ2),0),11),1)="0",LEFT(RIGHT(ROUND(VALUE(AJ2),0),12),1)="0"),"","Milyar "),"")&amp;IF(LEN(ROUND(VALUE(AJ2),0))&gt;8,LEFT(RIGHT(ROUND(VALUE(AJ2),0),9),1),"")&amp;IF(LEN(ROUND(VALUE(AJ2),0))&gt;8,"Ratus ","")&amp;IF(LEN(ROUND(VALUE(AJ2),0))&gt;7,LEFT(RIGHT(ROUND(VALUE(AJ2),0),8),1),"")&amp;IF(LEN(ROUND(VALUE(AJ2),0))&gt;7,"Puluh ","")&amp;IF(LEN(ROUND(VALUE(AJ2),0))&gt;6,LEFT(RIGHT(ROUND(VALUE(AJ2),0),7),1),"")&amp;IF(LEN(ROUND(VALUE(AJ2),0))&gt;6,IF(AND(LEFT(RIGHT(ROUND(VALUE(AJ2),0),7),1)="0",LEFT(RIGHT(ROUND(VALUE(AJ2),0),8),1)="0",LEFT(RIGHT(ROUND(VALUE(AJ2),0),9),1)="0"),"","Juta "),"")&amp;IF(LEN(ROUND(VALUE(AJ2),0))&gt;5,LEFT(RIGHT(ROUND(VALUE(AJ2),0),6),1),"")&amp;IF(LEN(ROUND(VALUE(AJ2),0))&gt;5,"Ratus ","")&amp;IF(LEN(ROUND(VALUE(AJ2),0))&gt;4,LEFT(RIGHT(ROUND(VALUE(AJ2),0),5),1),"")&amp;IF(LEN(ROUND(VALUE(AJ2),0))&gt;4,"Puluh ","")&amp;IF(LEN(ROUND(VALUE(AJ2),0))&gt;3,LEFT(RIGHT(ROUND(VALUE(AJ2),0),4),1),"")&amp;IF(LEN(ROUND(VALUE(AJ2),0))&gt;3,IF(AND(LEFT(RIGHT(ROUND(VALUE(AJ2),0),4),1)="0",LEFT(RIGHT(ROUND(VALUE(AJ2),0),5),1)="0",LEFT(RIGHT(ROUND(VALUE(AJ2),0),6),1)="0"),"","Ribu "),"")&amp;IF(LEN(ROUND(VALUE(AJ2),0))&gt;2,LEFT(RIGHT(ROUND(VALUE(AJ2),0),3),1),"")&amp;IF(LEN(ROUND(VALUE(AJ2),0))&gt;2,"Ratus ","")&amp;IF(LEN(ROUND(VALUE(AJ2),0))&gt;1,LEFT(RIGHT(ROUND(VALUE(AJ2),0),2),1),"")&amp;IF(LEN(ROUND(VALUE(AJ2),0))&gt;1,"Puluh ","")&amp;IF(LEN(ROUND(VALUE(AJ2),0))&gt;0,LEFT(RIGHT(ROUND(VALUE(AJ2),0),1),1),""),"0","Nol"),"1","Satu "),"2","Dua "),"3","Tiga "),"4","Empat "),"5","Lima "),"6","Enam "),"7","Tujuh "),"8","Delapan "),"9","Sembilan "),"Satu Puluh","Sepuluh"),"Sepuluh Satu","Sebelas"),"Sepuluh Dua","Dua Belas"),"Sepuluh Tiga","Tiga Belas"),"Sepuluh Empat","Empat Belas"),"Sepuluh Lima","Lima Belas"),"Sepuluh Enam","Enam Belas"),"Sepuluh Tujuh","Tujuh Belas"),"Sepuluh Delapan","Delapan Belas"),"Sepuluh Sembilan","Sembilan Belas"),"NolTriliun","Triliun"),"NolMilyar","Milyar"),"NolJuta","Juta")," Nol Ribu"," Ribu"),"NolRatus",""),"NolPuluh",""),"Satu Ribu","Seribu "),"Satu Ratus","Seratus "),"Nol",""))</f>
        <v>Delapan </v>
      </c>
      <c r="AK3" s="21" cm="1">
        <f t="array" ref="AK3">AF3+1</f>
        <v>31</v>
      </c>
      <c r="AL3" s="21" cm="1">
        <f t="array" ref="AL3">AK3+1</f>
        <v>32</v>
      </c>
      <c r="AM3" s="21" cm="1">
        <f t="array" ref="AM3">AL3+1</f>
        <v>33</v>
      </c>
      <c r="AN3" s="21" cm="1">
        <f t="array" ref="AN3">AM3+1</f>
        <v>34</v>
      </c>
      <c r="AO3" s="21" cm="1">
        <f t="array" ref="AO3">AN3+1</f>
        <v>35</v>
      </c>
      <c r="AP3" s="21" cm="1">
        <f t="array" ref="AP3">AO3+1</f>
        <v>36</v>
      </c>
      <c r="AQ3" s="21" cm="1">
        <f t="array" ref="AQ3">AP3+1</f>
        <v>37</v>
      </c>
      <c r="AR3" s="21" cm="1">
        <f t="array" ref="AR3">AQ3+1</f>
        <v>38</v>
      </c>
      <c r="AS3" s="21" cm="1">
        <f t="array" ref="AS3">AR3+1</f>
        <v>39</v>
      </c>
      <c r="AT3" s="21" cm="1">
        <f t="array" ref="AT3">AS3+1</f>
        <v>40</v>
      </c>
      <c r="AU3" s="21" cm="1">
        <f t="array" ref="AU3">AT3+1</f>
        <v>41</v>
      </c>
      <c r="AV3" s="21" cm="1">
        <f t="array" ref="AV3">AU3+1</f>
        <v>42</v>
      </c>
      <c r="AW3" s="24" cm="1">
        <f t="array" ref="AW3">AV3+1</f>
        <v>43</v>
      </c>
      <c r="AX3" s="24" cm="1">
        <f t="array" ref="AX3">AW3+1</f>
        <v>44</v>
      </c>
      <c r="AY3" s="21" cm="1">
        <f t="array" ref="AY3">AX3+1</f>
        <v>45</v>
      </c>
      <c r="AZ3" s="21" cm="1">
        <f t="array" ref="AZ3">AY3+1</f>
        <v>46</v>
      </c>
      <c r="BA3" s="21" cm="1">
        <f t="array" ref="BA3">AZ3+1</f>
        <v>47</v>
      </c>
      <c r="BB3" s="21" cm="1">
        <f t="array" ref="BB3">BA3+1</f>
        <v>48</v>
      </c>
      <c r="BC3" s="21" cm="1">
        <f t="array" ref="BC3">BB3+1</f>
        <v>49</v>
      </c>
      <c r="BD3" s="21" cm="1">
        <f t="array" ref="BD3">BC3+1</f>
        <v>50</v>
      </c>
      <c r="BE3" s="21" cm="1">
        <f t="array" ref="BE3">BD3+1</f>
        <v>51</v>
      </c>
      <c r="BF3" s="21" cm="1">
        <f t="array" ref="BF3">BE3+1</f>
        <v>52</v>
      </c>
      <c r="BG3" s="25" cm="1">
        <f t="array" ref="BG3">BF3+1</f>
        <v>53</v>
      </c>
      <c r="BH3" s="21" cm="1">
        <f t="array" ref="BH3">BG3+1</f>
        <v>54</v>
      </c>
      <c r="BI3" s="21" cm="1">
        <f t="array" ref="BI3">BH3+1</f>
        <v>55</v>
      </c>
      <c r="BJ3" s="21" cm="1">
        <f t="array" ref="BJ3">BI3+1</f>
        <v>56</v>
      </c>
      <c r="BK3" s="21" cm="1">
        <f t="array" ref="BK3">BJ3+1</f>
        <v>57</v>
      </c>
      <c r="BL3" s="21" cm="1">
        <f t="array" ref="BL3">BK3+1</f>
        <v>58</v>
      </c>
      <c r="BM3" s="21" cm="1">
        <f t="array" ref="BM3">BL3+1</f>
        <v>59</v>
      </c>
      <c r="BN3" s="21" cm="1">
        <f t="array" ref="BN3">BM3+1</f>
        <v>60</v>
      </c>
      <c r="BO3" s="20" cm="1">
        <f t="array" ref="BO3">BN3+1</f>
        <v>61</v>
      </c>
      <c r="BP3" s="20" cm="1">
        <f t="array" ref="BP3">BO3+1</f>
        <v>62</v>
      </c>
      <c r="BQ3" s="20" cm="1">
        <f t="array" ref="BQ3">BP3+1</f>
        <v>63</v>
      </c>
      <c r="BR3" s="20" cm="1">
        <f t="array" ref="BR3">BQ3+1</f>
        <v>64</v>
      </c>
      <c r="BS3" s="20" cm="1">
        <f t="array" ref="BS3">BQ3+1</f>
        <v>64</v>
      </c>
      <c r="BT3" s="20" cm="1">
        <f t="array" ref="BT3">BR3+1</f>
        <v>65</v>
      </c>
      <c r="BU3" s="20" cm="1">
        <f t="array" ref="BU3">BR3+1</f>
        <v>65</v>
      </c>
      <c r="BV3" s="20"/>
    </row>
    <row r="4" ht="36" customHeight="1">
      <c r="A4" s="26"/>
      <c r="B4" t="s" s="27">
        <v>34</v>
      </c>
      <c r="C4" t="s" s="27">
        <v>35</v>
      </c>
      <c r="D4" t="s" s="27">
        <v>36</v>
      </c>
      <c r="E4" t="s" s="27">
        <v>37</v>
      </c>
      <c r="F4" t="s" s="27">
        <v>38</v>
      </c>
      <c r="G4" t="s" s="27">
        <v>39</v>
      </c>
      <c r="H4" t="s" s="27">
        <v>40</v>
      </c>
      <c r="I4" t="s" s="27">
        <v>41</v>
      </c>
      <c r="J4" t="s" s="27">
        <v>42</v>
      </c>
      <c r="K4" t="s" s="27">
        <v>43</v>
      </c>
      <c r="L4" t="s" s="27">
        <v>44</v>
      </c>
      <c r="M4" t="s" s="27">
        <v>45</v>
      </c>
      <c r="N4" t="s" s="27">
        <v>46</v>
      </c>
      <c r="O4" t="s" s="27">
        <v>4</v>
      </c>
      <c r="P4" t="s" s="28">
        <v>47</v>
      </c>
      <c r="Q4" t="s" s="28">
        <v>48</v>
      </c>
      <c r="R4" t="s" s="28">
        <v>49</v>
      </c>
      <c r="S4" t="s" s="28">
        <v>50</v>
      </c>
      <c r="T4" t="s" s="28">
        <v>51</v>
      </c>
      <c r="U4" t="s" s="28">
        <v>52</v>
      </c>
      <c r="V4" t="s" s="28">
        <v>53</v>
      </c>
      <c r="W4" t="s" s="28">
        <v>54</v>
      </c>
      <c r="X4" t="s" s="28">
        <v>55</v>
      </c>
      <c r="Y4" t="s" s="28">
        <v>56</v>
      </c>
      <c r="Z4" t="s" s="28">
        <v>57</v>
      </c>
      <c r="AA4" t="s" s="28">
        <v>58</v>
      </c>
      <c r="AB4" t="s" s="28">
        <v>59</v>
      </c>
      <c r="AC4" t="s" s="28">
        <v>60</v>
      </c>
      <c r="AD4" t="s" s="28">
        <v>61</v>
      </c>
      <c r="AE4" t="s" s="28">
        <v>62</v>
      </c>
      <c r="AF4" t="s" s="28">
        <v>63</v>
      </c>
      <c r="AG4" t="s" s="28">
        <v>64</v>
      </c>
      <c r="AH4" t="s" s="28">
        <v>65</v>
      </c>
      <c r="AI4" t="s" s="28">
        <v>66</v>
      </c>
      <c r="AJ4" t="s" s="28">
        <v>67</v>
      </c>
      <c r="AK4" t="s" s="28">
        <v>68</v>
      </c>
      <c r="AL4" t="s" s="28">
        <v>69</v>
      </c>
      <c r="AM4" t="s" s="28">
        <v>70</v>
      </c>
      <c r="AN4" t="s" s="28">
        <v>71</v>
      </c>
      <c r="AO4" t="s" s="28">
        <v>72</v>
      </c>
      <c r="AP4" t="s" s="28">
        <v>73</v>
      </c>
      <c r="AQ4" t="s" s="28">
        <v>74</v>
      </c>
      <c r="AR4" t="s" s="28">
        <v>75</v>
      </c>
      <c r="AS4" t="s" s="28">
        <v>76</v>
      </c>
      <c r="AT4" t="s" s="28">
        <v>77</v>
      </c>
      <c r="AU4" t="s" s="28">
        <v>78</v>
      </c>
      <c r="AV4" t="s" s="28">
        <v>79</v>
      </c>
      <c r="AW4" t="s" s="29">
        <v>80</v>
      </c>
      <c r="AX4" t="s" s="29">
        <v>81</v>
      </c>
      <c r="AY4" t="s" s="28">
        <v>82</v>
      </c>
      <c r="AZ4" s="30"/>
      <c r="BA4" t="s" s="28">
        <v>83</v>
      </c>
      <c r="BB4" t="s" s="28">
        <v>84</v>
      </c>
      <c r="BC4" s="30"/>
      <c r="BD4" s="30"/>
      <c r="BE4" t="s" s="28">
        <v>85</v>
      </c>
      <c r="BF4" s="30"/>
      <c r="BG4" t="s" s="31">
        <v>86</v>
      </c>
      <c r="BH4" s="32"/>
      <c r="BI4" t="s" s="27">
        <v>87</v>
      </c>
      <c r="BJ4" t="s" s="27">
        <v>88</v>
      </c>
      <c r="BK4" t="s" s="27">
        <v>89</v>
      </c>
      <c r="BL4" t="s" s="27">
        <v>90</v>
      </c>
      <c r="BM4" s="32"/>
      <c r="BN4" s="32"/>
      <c r="BO4" t="s" s="27">
        <v>91</v>
      </c>
      <c r="BP4" t="s" s="27">
        <v>92</v>
      </c>
      <c r="BQ4" t="s" s="27">
        <v>93</v>
      </c>
      <c r="BR4" t="s" s="27">
        <v>94</v>
      </c>
      <c r="BS4" t="s" s="27">
        <v>95</v>
      </c>
      <c r="BT4" t="s" s="27">
        <v>96</v>
      </c>
      <c r="BU4" t="s" s="27">
        <v>97</v>
      </c>
      <c r="BV4" s="33"/>
    </row>
    <row r="5" ht="56.5" customHeight="1">
      <c r="A5" s="34"/>
      <c r="B5" s="35">
        <v>4874660</v>
      </c>
      <c r="C5" t="s" s="36">
        <v>98</v>
      </c>
      <c r="D5" t="s" s="37">
        <v>1</v>
      </c>
      <c r="E5" t="str" s="38" cm="1">
        <f t="array" ref="E5">$C5</f>
        <v>Penanganan Long Segment (pemeliharaan Rutin, Pemeliharaan Berkala, Peningkatan/rekonstruksi) Jalan Trans Sulawesi - Tike Raya - Jengeng (DAK)</v>
      </c>
      <c r="F5" s="39"/>
      <c r="G5" s="38"/>
      <c r="H5" s="38"/>
      <c r="I5" s="38"/>
      <c r="J5" s="40">
        <v>11393186000</v>
      </c>
      <c r="K5" s="40">
        <v>11393186000</v>
      </c>
      <c r="L5" s="41">
        <v>11364662174.77</v>
      </c>
      <c r="M5" s="40">
        <v>11364662000</v>
      </c>
      <c r="N5" t="s" s="42">
        <v>99</v>
      </c>
      <c r="O5" t="s" s="43">
        <v>100</v>
      </c>
      <c r="P5" t="s" s="42">
        <v>4</v>
      </c>
      <c r="Q5" t="s" s="42">
        <v>101</v>
      </c>
      <c r="R5" t="s" s="42">
        <v>102</v>
      </c>
      <c r="S5" t="s" s="42">
        <v>103</v>
      </c>
      <c r="T5" s="44">
        <v>42374</v>
      </c>
      <c r="U5" t="s" s="42">
        <v>104</v>
      </c>
      <c r="V5" t="s" s="42">
        <v>105</v>
      </c>
      <c r="W5" t="s" s="42">
        <v>106</v>
      </c>
      <c r="X5" s="45">
        <v>300</v>
      </c>
      <c r="Y5" t="s" s="42">
        <v>107</v>
      </c>
      <c r="Z5" s="40" cm="1">
        <f t="array" ref="Z5">M5</f>
        <v>11364662000</v>
      </c>
      <c r="AA5" t="s" s="42">
        <v>108</v>
      </c>
      <c r="AB5" s="44">
        <v>45286</v>
      </c>
      <c r="AC5" s="45">
        <v>360</v>
      </c>
      <c r="AD5" t="s" s="42">
        <v>109</v>
      </c>
      <c r="AE5" t="s" s="42">
        <v>110</v>
      </c>
      <c r="AF5" t="s" s="42">
        <v>111</v>
      </c>
      <c r="AG5" s="44"/>
      <c r="AH5" s="44"/>
      <c r="AI5" s="44"/>
      <c r="AJ5" s="44"/>
      <c r="AK5" s="44">
        <v>45306</v>
      </c>
      <c r="AL5" s="44">
        <v>45307</v>
      </c>
      <c r="AM5" s="44">
        <v>45307</v>
      </c>
      <c r="AN5" t="s" s="42">
        <v>112</v>
      </c>
      <c r="AO5" s="44">
        <v>45295</v>
      </c>
      <c r="AP5" t="s" s="42">
        <v>113</v>
      </c>
      <c r="AQ5" s="38" cm="1">
        <f t="array" ref="AQ5">AJ5</f>
      </c>
      <c r="AR5" t="s" s="42">
        <v>114</v>
      </c>
      <c r="AS5" s="38" cm="1">
        <f t="array" ref="AS5">AJ5</f>
      </c>
      <c r="AT5" t="s" s="46">
        <v>112</v>
      </c>
      <c r="AU5" s="44">
        <v>45294</v>
      </c>
      <c r="AV5" s="38"/>
      <c r="AW5" t="str" s="47" cm="1">
        <f t="array" ref="AW5">"600/"&amp;$B5&amp;"/"&amp;IF(AND($AE5="Konsultansi",M5&lt;=100000000),"SPK",IF(AND($AE5="Konsultansi",M5&gt;100000000),"Kont",IF(AND($AE5&lt;&gt;"Konsultansi",M5&lt;=200000000),"SPK","Kont")))&amp;"-"&amp;AE5&amp;"/PPK/DPUPR"</f>
        <v>600/4874660/Kont-Konstruksi/PPK/DPUPR</v>
      </c>
      <c r="AX5" t="str" s="47" cm="1">
        <f t="array" ref="AX5">"600/"&amp;$B5&amp;"/SPMK/PPK/DPUPR"</f>
        <v>600/4874660/SPMK/PPK/DPUPR</v>
      </c>
      <c r="AY5" s="38"/>
      <c r="AZ5" s="38"/>
      <c r="BA5" s="38"/>
      <c r="BB5" s="38"/>
      <c r="BC5" s="38"/>
      <c r="BD5" s="38"/>
      <c r="BE5" s="38"/>
      <c r="BF5" s="38"/>
      <c r="BG5" s="48">
        <v>101</v>
      </c>
      <c r="BH5" t="s" s="42">
        <v>99</v>
      </c>
      <c r="BI5" t="s" s="42">
        <v>21</v>
      </c>
      <c r="BJ5" t="s" s="42">
        <v>22</v>
      </c>
      <c r="BK5" t="s" s="42">
        <v>23</v>
      </c>
      <c r="BL5" t="s" s="42">
        <v>24</v>
      </c>
      <c r="BM5" s="38"/>
      <c r="BN5" s="38"/>
      <c r="BO5" s="38"/>
      <c r="BP5" t="s" s="42">
        <v>117</v>
      </c>
      <c r="BQ5" s="38"/>
      <c r="BR5" t="b" s="45">
        <v>0</v>
      </c>
      <c r="BS5" s="40" cm="1">
        <f t="array" ref="BS5">IF(M5&lt;=0.8*K5,5%*K5,M5*5%)</f>
        <v>568233100</v>
      </c>
      <c r="BT5" t="s" s="42">
        <v>25</v>
      </c>
      <c r="BU5" s="38"/>
      <c r="BV5" s="40" cm="1">
        <f t="array" ref="BV5">J5-M5</f>
        <v>28524000</v>
      </c>
    </row>
    <row r="6" ht="36.25" customHeight="1">
      <c r="A6" s="49"/>
      <c r="B6" s="50">
        <v>49726699</v>
      </c>
      <c r="C6" t="s" s="51">
        <v>118</v>
      </c>
      <c r="D6" t="s" s="52">
        <v>1</v>
      </c>
      <c r="E6" t="str" s="53" cm="1">
        <f t="array" ref="E6">$C6</f>
        <v>Stock Design Long Segment Jalan Kabupaten I</v>
      </c>
      <c r="F6" s="54"/>
      <c r="G6" s="53"/>
      <c r="H6" s="53"/>
      <c r="I6" s="53"/>
      <c r="J6" s="55">
        <v>100000000</v>
      </c>
      <c r="K6" s="56">
        <v>99975837.59999999</v>
      </c>
      <c r="L6" s="57">
        <v>99890270</v>
      </c>
      <c r="M6" s="55">
        <v>99890000</v>
      </c>
      <c r="N6" t="s" s="58">
        <v>119</v>
      </c>
      <c r="O6" t="s" s="59">
        <v>120</v>
      </c>
      <c r="P6" t="s" s="58">
        <v>4</v>
      </c>
      <c r="Q6" t="s" s="58">
        <v>121</v>
      </c>
      <c r="R6" t="s" s="58">
        <v>122</v>
      </c>
      <c r="S6" t="s" s="58">
        <v>123</v>
      </c>
      <c r="T6" s="60">
        <v>41871</v>
      </c>
      <c r="U6" t="s" s="58">
        <v>124</v>
      </c>
      <c r="V6" t="s" s="58">
        <v>125</v>
      </c>
      <c r="W6" t="s" s="58">
        <v>126</v>
      </c>
      <c r="X6" s="61">
        <v>30</v>
      </c>
      <c r="Y6" t="s" s="58">
        <v>10</v>
      </c>
      <c r="Z6" s="55" cm="1">
        <f t="array" ref="Z6">M6</f>
        <v>99890000</v>
      </c>
      <c r="AA6" t="s" s="58">
        <v>127</v>
      </c>
      <c r="AB6" s="60" cm="1">
        <f t="array" ref="AB6">AH6</f>
        <v>45305</v>
      </c>
      <c r="AC6" s="53"/>
      <c r="AD6" t="s" s="58">
        <v>128</v>
      </c>
      <c r="AE6" t="s" s="58">
        <v>13</v>
      </c>
      <c r="AF6" t="s" s="58">
        <v>111</v>
      </c>
      <c r="AG6" s="60">
        <v>45304</v>
      </c>
      <c r="AH6" s="60">
        <v>45305</v>
      </c>
      <c r="AI6" s="60">
        <v>45305</v>
      </c>
      <c r="AJ6" s="60">
        <v>45306</v>
      </c>
      <c r="AK6" s="60">
        <v>45306</v>
      </c>
      <c r="AL6" s="60">
        <v>45307</v>
      </c>
      <c r="AM6" s="60">
        <v>45307</v>
      </c>
      <c r="AN6" t="s" s="58">
        <v>129</v>
      </c>
      <c r="AO6" s="60" cm="1">
        <f t="array" ref="AO6">AJ6</f>
        <v>45306</v>
      </c>
      <c r="AP6" t="s" s="58">
        <v>130</v>
      </c>
      <c r="AQ6" s="60" cm="1">
        <f t="array" ref="AQ6">AJ6</f>
        <v>45306</v>
      </c>
      <c r="AR6" t="s" s="58">
        <v>131</v>
      </c>
      <c r="AS6" s="60" cm="1">
        <f t="array" ref="AS6">AJ6</f>
        <v>45306</v>
      </c>
      <c r="AT6" s="62"/>
      <c r="AU6" s="53"/>
      <c r="AV6" s="53"/>
      <c r="AW6" t="str" s="63" cm="1">
        <f t="array" ref="AW6">"600/"&amp;$B6&amp;"/"&amp;IF(AND($AE6="Konsultansi",M6&lt;=100000000),"SPK",IF(AND($AE6="Konsultansi",M6&gt;100000000),"Kont",IF(AND($AE6&lt;&gt;"Konsultansi",M6&lt;=200000000),"SPK","Kont")))&amp;"-"&amp;AE6&amp;"/PPK/DPUPR"</f>
        <v>600/49726699/SPK-Konsultansi/PPK/DPUPR</v>
      </c>
      <c r="AX6" t="str" s="63" cm="1">
        <f t="array" ref="AX6">"600/"&amp;$B6&amp;"/SPMK/PPK/DPUPR"</f>
        <v>600/49726699/SPMK/PPK/DPUPR</v>
      </c>
      <c r="AY6" s="53"/>
      <c r="AZ6" s="53"/>
      <c r="BA6" s="53"/>
      <c r="BB6" s="53"/>
      <c r="BC6" s="53"/>
      <c r="BD6" s="53"/>
      <c r="BE6" s="53"/>
      <c r="BF6" s="53"/>
      <c r="BG6" s="64">
        <v>158</v>
      </c>
      <c r="BH6" t="s" s="58">
        <v>119</v>
      </c>
      <c r="BI6" t="s" s="58">
        <v>21</v>
      </c>
      <c r="BJ6" t="s" s="58">
        <v>22</v>
      </c>
      <c r="BK6" t="s" s="58">
        <v>23</v>
      </c>
      <c r="BL6" t="s" s="58">
        <v>24</v>
      </c>
      <c r="BM6" s="53"/>
      <c r="BN6" s="53"/>
      <c r="BO6" s="53"/>
      <c r="BP6" s="53"/>
      <c r="BQ6" s="53"/>
      <c r="BR6" t="b" s="61">
        <v>0</v>
      </c>
      <c r="BS6" s="55" cm="1">
        <f t="array" ref="BS6">IF(M6&lt;=0.8*K6,5%*K6,M6*5%)</f>
        <v>4994500</v>
      </c>
      <c r="BT6" t="s" s="58">
        <v>25</v>
      </c>
      <c r="BU6" s="53"/>
      <c r="BV6" s="55" cm="1">
        <f t="array" ref="BV6">J6-M6</f>
        <v>110000</v>
      </c>
    </row>
    <row r="7" ht="36.25" customHeight="1">
      <c r="A7" s="49"/>
      <c r="B7" s="50">
        <v>49726735</v>
      </c>
      <c r="C7" t="s" s="51">
        <v>134</v>
      </c>
      <c r="D7" t="s" s="65">
        <v>1</v>
      </c>
      <c r="E7" t="str" s="66" cm="1">
        <f t="array" ref="E7">$C7</f>
        <v>Stock Design Long Segment Jalan Kabupaten II</v>
      </c>
      <c r="F7" s="67"/>
      <c r="G7" s="66"/>
      <c r="H7" s="66"/>
      <c r="I7" s="66"/>
      <c r="J7" s="68">
        <v>100000000</v>
      </c>
      <c r="K7" s="69">
        <v>99975837.59999999</v>
      </c>
      <c r="L7" s="57">
        <v>99890270</v>
      </c>
      <c r="M7" s="68">
        <v>99890000</v>
      </c>
      <c r="N7" t="s" s="70">
        <v>119</v>
      </c>
      <c r="O7" t="s" s="71">
        <v>120</v>
      </c>
      <c r="P7" t="s" s="70">
        <v>4</v>
      </c>
      <c r="Q7" t="s" s="70">
        <v>121</v>
      </c>
      <c r="R7" t="s" s="70">
        <v>122</v>
      </c>
      <c r="S7" t="s" s="70">
        <v>123</v>
      </c>
      <c r="T7" s="72">
        <v>41871</v>
      </c>
      <c r="U7" t="s" s="70">
        <v>124</v>
      </c>
      <c r="V7" t="s" s="70">
        <v>125</v>
      </c>
      <c r="W7" t="s" s="70">
        <v>126</v>
      </c>
      <c r="X7" s="73">
        <v>30</v>
      </c>
      <c r="Y7" t="s" s="70">
        <v>10</v>
      </c>
      <c r="Z7" s="68" cm="1">
        <f t="array" ref="Z7">M7</f>
        <v>99890000</v>
      </c>
      <c r="AA7" t="s" s="70">
        <v>135</v>
      </c>
      <c r="AB7" s="72" cm="1">
        <f t="array" ref="AB7">AH7</f>
        <v>45305</v>
      </c>
      <c r="AC7" s="66"/>
      <c r="AD7" t="s" s="70">
        <v>128</v>
      </c>
      <c r="AE7" t="s" s="70">
        <v>13</v>
      </c>
      <c r="AF7" t="s" s="70">
        <v>111</v>
      </c>
      <c r="AG7" s="72">
        <v>45304</v>
      </c>
      <c r="AH7" s="72">
        <v>45305</v>
      </c>
      <c r="AI7" s="72">
        <v>45305</v>
      </c>
      <c r="AJ7" s="72">
        <v>45306</v>
      </c>
      <c r="AK7" s="72">
        <v>45306</v>
      </c>
      <c r="AL7" s="72">
        <v>45307</v>
      </c>
      <c r="AM7" s="72">
        <v>45307</v>
      </c>
      <c r="AN7" t="s" s="70">
        <v>136</v>
      </c>
      <c r="AO7" s="72" cm="1">
        <f t="array" ref="AO7">AJ7</f>
        <v>45306</v>
      </c>
      <c r="AP7" t="s" s="70">
        <v>137</v>
      </c>
      <c r="AQ7" s="72" cm="1">
        <f t="array" ref="AQ7">AJ7</f>
        <v>45306</v>
      </c>
      <c r="AR7" t="s" s="70">
        <v>138</v>
      </c>
      <c r="AS7" s="72" cm="1">
        <f t="array" ref="AS7">AJ7</f>
        <v>45306</v>
      </c>
      <c r="AT7" s="62"/>
      <c r="AU7" s="66"/>
      <c r="AV7" s="66"/>
      <c r="AW7" t="str" s="74" cm="1">
        <f t="array" ref="AW7">"600/"&amp;$B7&amp;"/"&amp;IF(AND($AE7="Konsultansi",M7&lt;=100000000),"SPK",IF(AND($AE7="Konsultansi",M7&gt;100000000),"Kont",IF(AND($AE7&lt;&gt;"Konsultansi",M7&lt;=200000000),"SPK","Kont")))&amp;"-"&amp;AE7&amp;"/PPK/DPUPR"</f>
        <v>600/49726735/SPK-Konsultansi/PPK/DPUPR</v>
      </c>
      <c r="AX7" t="str" s="74" cm="1">
        <f t="array" ref="AX7">"600/"&amp;$B7&amp;"/SPMK/PPK/DPUPR"</f>
        <v>600/49726735/SPMK/PPK/DPUPR</v>
      </c>
      <c r="AY7" s="66"/>
      <c r="AZ7" s="66"/>
      <c r="BA7" s="66"/>
      <c r="BB7" s="66"/>
      <c r="BC7" s="66"/>
      <c r="BD7" s="66"/>
      <c r="BE7" s="66"/>
      <c r="BF7" s="66"/>
      <c r="BG7" s="75">
        <v>158</v>
      </c>
      <c r="BH7" t="s" s="70">
        <v>119</v>
      </c>
      <c r="BI7" t="s" s="70">
        <v>21</v>
      </c>
      <c r="BJ7" t="s" s="70">
        <v>22</v>
      </c>
      <c r="BK7" t="s" s="70">
        <v>23</v>
      </c>
      <c r="BL7" t="s" s="70">
        <v>24</v>
      </c>
      <c r="BM7" s="66"/>
      <c r="BN7" s="66"/>
      <c r="BO7" s="66"/>
      <c r="BP7" s="66"/>
      <c r="BQ7" s="66"/>
      <c r="BR7" t="b" s="73">
        <v>0</v>
      </c>
      <c r="BS7" s="68" cm="1">
        <f t="array" ref="BS7">IF(M7&lt;=0.8*K7,5%*K7,M7*5%)</f>
        <v>4994500</v>
      </c>
      <c r="BT7" t="s" s="70">
        <v>25</v>
      </c>
      <c r="BU7" s="66"/>
      <c r="BV7" s="68" cm="1">
        <f t="array" ref="BV7">J7-M7</f>
        <v>110000</v>
      </c>
    </row>
    <row r="8" ht="36.25" customHeight="1">
      <c r="A8" s="49"/>
      <c r="B8" s="50">
        <v>49726757</v>
      </c>
      <c r="C8" t="s" s="51">
        <v>141</v>
      </c>
      <c r="D8" t="s" s="52">
        <v>1</v>
      </c>
      <c r="E8" t="str" s="53" cm="1">
        <f t="array" ref="E8">$C8</f>
        <v>Stock Design Long Segment Jalan Kabupaten III</v>
      </c>
      <c r="F8" s="54"/>
      <c r="G8" s="53"/>
      <c r="H8" s="53"/>
      <c r="I8" s="53"/>
      <c r="J8" s="55">
        <v>100000000</v>
      </c>
      <c r="K8" s="56">
        <v>99975837.59999999</v>
      </c>
      <c r="L8" s="57">
        <v>99890270</v>
      </c>
      <c r="M8" s="55">
        <v>99890000</v>
      </c>
      <c r="N8" t="s" s="58">
        <v>119</v>
      </c>
      <c r="O8" t="s" s="59">
        <v>120</v>
      </c>
      <c r="P8" t="s" s="58">
        <v>4</v>
      </c>
      <c r="Q8" t="s" s="58">
        <v>121</v>
      </c>
      <c r="R8" t="s" s="58">
        <v>122</v>
      </c>
      <c r="S8" t="s" s="58">
        <v>123</v>
      </c>
      <c r="T8" s="60">
        <v>41871</v>
      </c>
      <c r="U8" t="s" s="58">
        <v>124</v>
      </c>
      <c r="V8" t="s" s="58">
        <v>125</v>
      </c>
      <c r="W8" t="s" s="58">
        <v>126</v>
      </c>
      <c r="X8" s="61">
        <v>30</v>
      </c>
      <c r="Y8" t="s" s="58">
        <v>10</v>
      </c>
      <c r="Z8" s="55" cm="1">
        <f t="array" ref="Z8">M8</f>
        <v>99890000</v>
      </c>
      <c r="AA8" t="s" s="58">
        <v>142</v>
      </c>
      <c r="AB8" s="60" cm="1">
        <f t="array" ref="AB8">AH8</f>
        <v>45305</v>
      </c>
      <c r="AC8" s="53"/>
      <c r="AD8" t="s" s="58">
        <v>128</v>
      </c>
      <c r="AE8" t="s" s="58">
        <v>13</v>
      </c>
      <c r="AF8" t="s" s="58">
        <v>111</v>
      </c>
      <c r="AG8" s="60">
        <v>45304</v>
      </c>
      <c r="AH8" s="60">
        <v>45305</v>
      </c>
      <c r="AI8" s="60">
        <v>45305</v>
      </c>
      <c r="AJ8" s="60">
        <v>45306</v>
      </c>
      <c r="AK8" s="60">
        <v>45306</v>
      </c>
      <c r="AL8" s="60">
        <v>45307</v>
      </c>
      <c r="AM8" s="60">
        <v>45307</v>
      </c>
      <c r="AN8" t="s" s="58">
        <v>143</v>
      </c>
      <c r="AO8" s="60" cm="1">
        <f t="array" ref="AO8">AJ8</f>
        <v>45306</v>
      </c>
      <c r="AP8" t="s" s="58">
        <v>144</v>
      </c>
      <c r="AQ8" s="60" cm="1">
        <f t="array" ref="AQ8">AJ8</f>
        <v>45306</v>
      </c>
      <c r="AR8" t="s" s="58">
        <v>145</v>
      </c>
      <c r="AS8" s="60" cm="1">
        <f t="array" ref="AS8">AJ8</f>
        <v>45306</v>
      </c>
      <c r="AT8" s="62"/>
      <c r="AU8" s="53"/>
      <c r="AV8" s="53"/>
      <c r="AW8" t="str" s="63" cm="1">
        <f t="array" ref="AW8">"600/"&amp;$B8&amp;"/"&amp;IF(AND($AE8="Konsultansi",M8&lt;=100000000),"SPK",IF(AND($AE8="Konsultansi",M8&gt;100000000),"Kont",IF(AND($AE8&lt;&gt;"Konsultansi",M8&lt;=200000000),"SPK","Kont")))&amp;"-"&amp;AE8&amp;"/PPK/DPUPR"</f>
        <v>600/49726757/SPK-Konsultansi/PPK/DPUPR</v>
      </c>
      <c r="AX8" t="str" s="63" cm="1">
        <f t="array" ref="AX8">"600/"&amp;$B8&amp;"/SPMK/PPK/DPUPR"</f>
        <v>600/49726757/SPMK/PPK/DPUPR</v>
      </c>
      <c r="AY8" s="53"/>
      <c r="AZ8" s="53"/>
      <c r="BA8" s="53"/>
      <c r="BB8" s="53"/>
      <c r="BC8" s="53"/>
      <c r="BD8" s="53"/>
      <c r="BE8" s="53"/>
      <c r="BF8" s="53"/>
      <c r="BG8" s="64">
        <v>158</v>
      </c>
      <c r="BH8" t="s" s="58">
        <v>119</v>
      </c>
      <c r="BI8" t="s" s="58">
        <v>21</v>
      </c>
      <c r="BJ8" t="s" s="58">
        <v>22</v>
      </c>
      <c r="BK8" t="s" s="58">
        <v>23</v>
      </c>
      <c r="BL8" t="s" s="58">
        <v>24</v>
      </c>
      <c r="BM8" s="53"/>
      <c r="BN8" s="53"/>
      <c r="BO8" s="53"/>
      <c r="BP8" s="53"/>
      <c r="BQ8" s="53"/>
      <c r="BR8" t="b" s="61">
        <v>0</v>
      </c>
      <c r="BS8" s="55" cm="1">
        <f t="array" ref="BS8">IF(M8&lt;=0.8*K8,5%*K8,M8*5%)</f>
        <v>4994500</v>
      </c>
      <c r="BT8" t="s" s="58">
        <v>25</v>
      </c>
      <c r="BU8" s="53"/>
      <c r="BV8" s="55" cm="1">
        <f t="array" ref="BV8">J8-M8</f>
        <v>110000</v>
      </c>
    </row>
    <row r="9" ht="36.25" customHeight="1">
      <c r="A9" s="49"/>
      <c r="B9" s="50">
        <v>49726831</v>
      </c>
      <c r="C9" t="s" s="51">
        <v>148</v>
      </c>
      <c r="D9" t="s" s="65">
        <v>149</v>
      </c>
      <c r="E9" t="str" s="66" cm="1">
        <f t="array" ref="E9">$C9</f>
        <v>Stock Design Pemb./Penggantian Jembatan Kabupaten I</v>
      </c>
      <c r="F9" s="67"/>
      <c r="G9" s="66"/>
      <c r="H9" s="66"/>
      <c r="I9" s="66"/>
      <c r="J9" s="68">
        <v>100000000</v>
      </c>
      <c r="K9" s="69">
        <v>99975837.59999999</v>
      </c>
      <c r="L9" s="57">
        <v>99915800</v>
      </c>
      <c r="M9" s="68">
        <v>99915000</v>
      </c>
      <c r="N9" t="s" s="70">
        <v>119</v>
      </c>
      <c r="O9" t="s" s="71">
        <v>120</v>
      </c>
      <c r="P9" t="s" s="70">
        <v>4</v>
      </c>
      <c r="Q9" t="s" s="70">
        <v>121</v>
      </c>
      <c r="R9" t="s" s="70">
        <v>122</v>
      </c>
      <c r="S9" t="s" s="70">
        <v>123</v>
      </c>
      <c r="T9" s="72">
        <v>41871</v>
      </c>
      <c r="U9" t="s" s="70">
        <v>124</v>
      </c>
      <c r="V9" t="s" s="70">
        <v>125</v>
      </c>
      <c r="W9" t="s" s="70">
        <v>126</v>
      </c>
      <c r="X9" s="73">
        <v>30</v>
      </c>
      <c r="Y9" t="s" s="70">
        <v>10</v>
      </c>
      <c r="Z9" s="68" cm="1">
        <f t="array" ref="Z9">M9</f>
        <v>99915000</v>
      </c>
      <c r="AA9" t="s" s="70">
        <v>135</v>
      </c>
      <c r="AB9" s="72" cm="1">
        <f t="array" ref="AB9">AH9</f>
        <v>45305</v>
      </c>
      <c r="AC9" s="66"/>
      <c r="AD9" t="s" s="70">
        <v>128</v>
      </c>
      <c r="AE9" t="s" s="70">
        <v>13</v>
      </c>
      <c r="AF9" t="s" s="70">
        <v>150</v>
      </c>
      <c r="AG9" s="72">
        <v>45304</v>
      </c>
      <c r="AH9" s="72">
        <v>45305</v>
      </c>
      <c r="AI9" s="72">
        <v>45305</v>
      </c>
      <c r="AJ9" s="72">
        <v>45306</v>
      </c>
      <c r="AK9" s="72">
        <v>45306</v>
      </c>
      <c r="AL9" s="72">
        <v>45307</v>
      </c>
      <c r="AM9" s="72">
        <v>45307</v>
      </c>
      <c r="AN9" t="s" s="70">
        <v>151</v>
      </c>
      <c r="AO9" s="72" cm="1">
        <f t="array" ref="AO9">AJ9</f>
        <v>45306</v>
      </c>
      <c r="AP9" t="s" s="70">
        <v>152</v>
      </c>
      <c r="AQ9" s="72" cm="1">
        <f t="array" ref="AQ9">AJ9</f>
        <v>45306</v>
      </c>
      <c r="AR9" t="s" s="70">
        <v>153</v>
      </c>
      <c r="AS9" s="72" cm="1">
        <f t="array" ref="AS9">AJ9</f>
        <v>45306</v>
      </c>
      <c r="AT9" s="62"/>
      <c r="AU9" s="66"/>
      <c r="AV9" s="66"/>
      <c r="AW9" t="str" s="74" cm="1">
        <f t="array" ref="AW9">"600/"&amp;$B9&amp;"/"&amp;IF(AND($AE9="Konsultansi",M9&lt;=100000000),"SPK",IF(AND($AE9="Konsultansi",M9&gt;100000000),"Kont",IF(AND($AE9&lt;&gt;"Konsultansi",M9&lt;=200000000),"SPK","Kont")))&amp;"-"&amp;AE9&amp;"/PPK/DPUPR"</f>
        <v>600/49726831/SPK-Konsultansi/PPK/DPUPR</v>
      </c>
      <c r="AX9" t="str" s="74" cm="1">
        <f t="array" ref="AX9">"600/"&amp;$B9&amp;"/SPMK/PPK/DPUPR"</f>
        <v>600/49726831/SPMK/PPK/DPUPR</v>
      </c>
      <c r="AY9" s="66"/>
      <c r="AZ9" s="66"/>
      <c r="BA9" s="66"/>
      <c r="BB9" s="66"/>
      <c r="BC9" s="66"/>
      <c r="BD9" s="66"/>
      <c r="BE9" s="66"/>
      <c r="BF9" s="66"/>
      <c r="BG9" s="75">
        <v>158</v>
      </c>
      <c r="BH9" t="s" s="70">
        <v>119</v>
      </c>
      <c r="BI9" t="s" s="70">
        <v>21</v>
      </c>
      <c r="BJ9" t="s" s="70">
        <v>22</v>
      </c>
      <c r="BK9" t="s" s="70">
        <v>23</v>
      </c>
      <c r="BL9" t="s" s="70">
        <v>24</v>
      </c>
      <c r="BM9" s="66"/>
      <c r="BN9" s="66"/>
      <c r="BO9" s="66"/>
      <c r="BP9" s="66"/>
      <c r="BQ9" s="66"/>
      <c r="BR9" t="b" s="73">
        <v>0</v>
      </c>
      <c r="BS9" s="68" cm="1">
        <f t="array" ref="BS9">IF(M9&lt;=0.8*K9,5%*K9,M9*5%)</f>
        <v>4995750</v>
      </c>
      <c r="BT9" t="s" s="70">
        <v>156</v>
      </c>
      <c r="BU9" s="66"/>
      <c r="BV9" s="68" cm="1">
        <f t="array" ref="BV9">J9-M9</f>
        <v>85000</v>
      </c>
    </row>
    <row r="10" ht="36.25" customHeight="1">
      <c r="A10" s="49"/>
      <c r="B10" s="50">
        <v>49726878</v>
      </c>
      <c r="C10" t="s" s="51">
        <v>157</v>
      </c>
      <c r="D10" t="s" s="52">
        <v>149</v>
      </c>
      <c r="E10" t="str" s="53" cm="1">
        <f t="array" ref="E10">$C10</f>
        <v>Stock Design Pemb./Penggantian Jembatan Kabupaten II</v>
      </c>
      <c r="F10" s="54"/>
      <c r="G10" s="53"/>
      <c r="H10" s="53"/>
      <c r="I10" s="53"/>
      <c r="J10" s="55">
        <v>100000000</v>
      </c>
      <c r="K10" s="56">
        <v>99975837.59999999</v>
      </c>
      <c r="L10" s="57">
        <v>99915800</v>
      </c>
      <c r="M10" s="55">
        <v>99915000</v>
      </c>
      <c r="N10" t="s" s="58">
        <v>119</v>
      </c>
      <c r="O10" t="s" s="59">
        <v>120</v>
      </c>
      <c r="P10" t="s" s="58">
        <v>4</v>
      </c>
      <c r="Q10" t="s" s="58">
        <v>121</v>
      </c>
      <c r="R10" t="s" s="58">
        <v>122</v>
      </c>
      <c r="S10" t="s" s="58">
        <v>123</v>
      </c>
      <c r="T10" s="60">
        <v>41871</v>
      </c>
      <c r="U10" t="s" s="58">
        <v>124</v>
      </c>
      <c r="V10" t="s" s="58">
        <v>125</v>
      </c>
      <c r="W10" t="s" s="58">
        <v>126</v>
      </c>
      <c r="X10" s="61">
        <v>30</v>
      </c>
      <c r="Y10" t="s" s="58">
        <v>10</v>
      </c>
      <c r="Z10" s="55" cm="1">
        <f t="array" ref="Z10">M10</f>
        <v>99915000</v>
      </c>
      <c r="AA10" t="s" s="58">
        <v>158</v>
      </c>
      <c r="AB10" s="60" cm="1">
        <f t="array" ref="AB10">AH10</f>
        <v>45305</v>
      </c>
      <c r="AC10" s="53"/>
      <c r="AD10" t="s" s="58">
        <v>128</v>
      </c>
      <c r="AE10" t="s" s="58">
        <v>13</v>
      </c>
      <c r="AF10" t="s" s="58">
        <v>150</v>
      </c>
      <c r="AG10" s="60">
        <v>45304</v>
      </c>
      <c r="AH10" s="60">
        <v>45305</v>
      </c>
      <c r="AI10" s="60">
        <v>45305</v>
      </c>
      <c r="AJ10" s="60">
        <v>45306</v>
      </c>
      <c r="AK10" s="60">
        <v>45306</v>
      </c>
      <c r="AL10" s="60">
        <v>45307</v>
      </c>
      <c r="AM10" s="60">
        <v>45307</v>
      </c>
      <c r="AN10" t="s" s="58">
        <v>159</v>
      </c>
      <c r="AO10" s="60" cm="1">
        <f t="array" ref="AO10">AJ10</f>
        <v>45306</v>
      </c>
      <c r="AP10" t="s" s="58">
        <v>160</v>
      </c>
      <c r="AQ10" s="60" cm="1">
        <f t="array" ref="AQ10">AJ10</f>
        <v>45306</v>
      </c>
      <c r="AR10" t="s" s="58">
        <v>161</v>
      </c>
      <c r="AS10" s="60" cm="1">
        <f t="array" ref="AS10">AJ10</f>
        <v>45306</v>
      </c>
      <c r="AT10" s="62"/>
      <c r="AU10" s="53"/>
      <c r="AV10" s="53"/>
      <c r="AW10" t="str" s="63" cm="1">
        <f t="array" ref="AW10">"600/"&amp;$B10&amp;"/"&amp;IF(AND($AE10="Konsultansi",M10&lt;=100000000),"SPK",IF(AND($AE10="Konsultansi",M10&gt;100000000),"Kont",IF(AND($AE10&lt;&gt;"Konsultansi",M10&lt;=200000000),"SPK","Kont")))&amp;"-"&amp;AE10&amp;"/PPK/DPUPR"</f>
        <v>600/49726878/SPK-Konsultansi/PPK/DPUPR</v>
      </c>
      <c r="AX10" t="str" s="63" cm="1">
        <f t="array" ref="AX10">"600/"&amp;$B10&amp;"/SPMK/PPK/DPUPR"</f>
        <v>600/49726878/SPMK/PPK/DPUPR</v>
      </c>
      <c r="AY10" s="53"/>
      <c r="AZ10" s="53"/>
      <c r="BA10" s="53"/>
      <c r="BB10" s="53"/>
      <c r="BC10" s="53"/>
      <c r="BD10" s="53"/>
      <c r="BE10" s="53"/>
      <c r="BF10" s="53"/>
      <c r="BG10" s="64">
        <v>158</v>
      </c>
      <c r="BH10" t="s" s="58">
        <v>119</v>
      </c>
      <c r="BI10" t="s" s="58">
        <v>21</v>
      </c>
      <c r="BJ10" t="s" s="58">
        <v>22</v>
      </c>
      <c r="BK10" t="s" s="58">
        <v>23</v>
      </c>
      <c r="BL10" t="s" s="58">
        <v>24</v>
      </c>
      <c r="BM10" s="53"/>
      <c r="BN10" s="53"/>
      <c r="BO10" s="53"/>
      <c r="BP10" s="53"/>
      <c r="BQ10" s="53"/>
      <c r="BR10" t="b" s="61">
        <v>0</v>
      </c>
      <c r="BS10" s="55" cm="1">
        <f t="array" ref="BS10">IF(M10&lt;=0.8*K10,5%*K10,M10*5%)</f>
        <v>4995750</v>
      </c>
      <c r="BT10" t="s" s="58">
        <v>156</v>
      </c>
      <c r="BU10" s="53"/>
      <c r="BV10" s="55" cm="1">
        <f t="array" ref="BV10">J10-M10</f>
        <v>85000</v>
      </c>
    </row>
    <row r="11" ht="72.25" customHeight="1">
      <c r="A11" s="49"/>
      <c r="B11" s="50">
        <v>49015378</v>
      </c>
      <c r="C11" t="s" s="51">
        <v>164</v>
      </c>
      <c r="D11" t="s" s="65">
        <v>165</v>
      </c>
      <c r="E11" t="str" s="66" cm="1">
        <f t="array" ref="E11">$C11</f>
        <v>Perencanaan Pembangunan Pagar dan Selasar RSUD Pasangkayu</v>
      </c>
      <c r="F11" s="67"/>
      <c r="G11" s="66"/>
      <c r="H11" s="66"/>
      <c r="I11" s="66"/>
      <c r="J11" s="68">
        <v>35000000</v>
      </c>
      <c r="K11" s="76">
        <v>34993211.76</v>
      </c>
      <c r="L11" s="57">
        <v>34957281.24</v>
      </c>
      <c r="M11" s="68">
        <v>34957000</v>
      </c>
      <c r="N11" t="s" s="70">
        <v>119</v>
      </c>
      <c r="O11" t="s" s="71">
        <v>120</v>
      </c>
      <c r="P11" t="s" s="70">
        <v>4</v>
      </c>
      <c r="Q11" t="s" s="70">
        <v>121</v>
      </c>
      <c r="R11" t="s" s="70">
        <v>122</v>
      </c>
      <c r="S11" t="s" s="70">
        <v>123</v>
      </c>
      <c r="T11" s="72">
        <v>41871</v>
      </c>
      <c r="U11" t="s" s="70">
        <v>124</v>
      </c>
      <c r="V11" t="s" s="70">
        <v>125</v>
      </c>
      <c r="W11" t="s" s="70">
        <v>126</v>
      </c>
      <c r="X11" s="73">
        <v>30</v>
      </c>
      <c r="Y11" t="s" s="70">
        <v>10</v>
      </c>
      <c r="Z11" s="68" cm="1">
        <f t="array" ref="Z11">M11</f>
        <v>34957000</v>
      </c>
      <c r="AA11" t="s" s="70">
        <v>166</v>
      </c>
      <c r="AB11" s="72" cm="1">
        <f t="array" ref="AB11">AH11</f>
        <v>45305</v>
      </c>
      <c r="AC11" s="66"/>
      <c r="AD11" t="s" s="70">
        <v>128</v>
      </c>
      <c r="AE11" t="s" s="70">
        <v>13</v>
      </c>
      <c r="AF11" t="s" s="70">
        <v>167</v>
      </c>
      <c r="AG11" s="72">
        <v>45304</v>
      </c>
      <c r="AH11" s="72">
        <v>45305</v>
      </c>
      <c r="AI11" s="72">
        <v>45305</v>
      </c>
      <c r="AJ11" s="72">
        <v>45306</v>
      </c>
      <c r="AK11" s="72">
        <v>45306</v>
      </c>
      <c r="AL11" s="72">
        <v>45307</v>
      </c>
      <c r="AM11" s="72">
        <v>45307</v>
      </c>
      <c r="AN11" t="s" s="70">
        <v>168</v>
      </c>
      <c r="AO11" s="72" cm="1">
        <f t="array" ref="AO11">AJ11</f>
        <v>45306</v>
      </c>
      <c r="AP11" t="s" s="70">
        <v>169</v>
      </c>
      <c r="AQ11" s="72" cm="1">
        <f t="array" ref="AQ11">AJ11</f>
        <v>45306</v>
      </c>
      <c r="AR11" t="s" s="70">
        <v>170</v>
      </c>
      <c r="AS11" s="72" cm="1">
        <f t="array" ref="AS11">AJ11</f>
        <v>45306</v>
      </c>
      <c r="AT11" s="62"/>
      <c r="AU11" s="66"/>
      <c r="AV11" s="66"/>
      <c r="AW11" t="str" s="74" cm="1">
        <f t="array" ref="AW11">"600/"&amp;$B11&amp;"/"&amp;IF(AND($AE11="Konsultansi",M11&lt;=100000000),"SPK",IF(AND($AE11="Konsultansi",M11&gt;100000000),"Kont",IF(AND($AE11&lt;&gt;"Konsultansi",M11&lt;=200000000),"SPK","Kont")))&amp;"-"&amp;AE11&amp;"/PPK/DPUPR"</f>
        <v>600/49015378/SPK-Konsultansi/PPK/DPUPR</v>
      </c>
      <c r="AX11" t="str" s="74" cm="1">
        <f t="array" ref="AX11">"600/"&amp;$B11&amp;"/SPMK/PPK/DPUPR"</f>
        <v>600/49015378/SPMK/PPK/DPUPR</v>
      </c>
      <c r="AY11" s="66"/>
      <c r="AZ11" s="66"/>
      <c r="BA11" s="66"/>
      <c r="BB11" s="66"/>
      <c r="BC11" s="66"/>
      <c r="BD11" s="66"/>
      <c r="BE11" s="66"/>
      <c r="BF11" s="66"/>
      <c r="BG11" s="75">
        <v>158</v>
      </c>
      <c r="BH11" t="s" s="70">
        <v>119</v>
      </c>
      <c r="BI11" t="s" s="70">
        <v>21</v>
      </c>
      <c r="BJ11" t="s" s="70">
        <v>22</v>
      </c>
      <c r="BK11" t="s" s="70">
        <v>23</v>
      </c>
      <c r="BL11" t="s" s="70">
        <v>24</v>
      </c>
      <c r="BM11" s="66"/>
      <c r="BN11" s="66"/>
      <c r="BO11" s="66"/>
      <c r="BP11" s="66"/>
      <c r="BQ11" s="66"/>
      <c r="BR11" t="b" s="73">
        <v>0</v>
      </c>
      <c r="BS11" s="68" cm="1">
        <f t="array" ref="BS11">IF(M11&lt;=0.8*K11,5%*K11,M11*5%)</f>
        <v>1747850</v>
      </c>
      <c r="BT11" t="s" s="70">
        <v>173</v>
      </c>
      <c r="BU11" s="66"/>
      <c r="BV11" s="68" cm="1">
        <f t="array" ref="BV11">J11-M11</f>
        <v>43000</v>
      </c>
    </row>
    <row r="12" ht="72.25" customHeight="1">
      <c r="A12" s="49"/>
      <c r="B12" s="50">
        <v>49015457</v>
      </c>
      <c r="C12" t="s" s="51">
        <v>174</v>
      </c>
      <c r="D12" t="s" s="52">
        <v>165</v>
      </c>
      <c r="E12" t="str" s="53" cm="1">
        <f t="array" ref="E12">$C12</f>
        <v>Perencanaan Pembangunan Ruang Operasi RSUD</v>
      </c>
      <c r="F12" s="54"/>
      <c r="G12" s="53"/>
      <c r="H12" s="53"/>
      <c r="I12" s="53"/>
      <c r="J12" s="55">
        <v>45000000</v>
      </c>
      <c r="K12" s="77">
        <v>44996841.36</v>
      </c>
      <c r="L12" s="57">
        <v>44890902</v>
      </c>
      <c r="M12" s="55">
        <v>44890000</v>
      </c>
      <c r="N12" t="s" s="58">
        <v>119</v>
      </c>
      <c r="O12" t="s" s="59">
        <v>120</v>
      </c>
      <c r="P12" t="s" s="58">
        <v>4</v>
      </c>
      <c r="Q12" t="s" s="58">
        <v>121</v>
      </c>
      <c r="R12" t="s" s="58">
        <v>122</v>
      </c>
      <c r="S12" t="s" s="58">
        <v>123</v>
      </c>
      <c r="T12" s="60">
        <v>41871</v>
      </c>
      <c r="U12" t="s" s="58">
        <v>124</v>
      </c>
      <c r="V12" t="s" s="58">
        <v>125</v>
      </c>
      <c r="W12" t="s" s="58">
        <v>126</v>
      </c>
      <c r="X12" s="61">
        <v>30</v>
      </c>
      <c r="Y12" t="s" s="58">
        <v>10</v>
      </c>
      <c r="Z12" s="55" cm="1">
        <f t="array" ref="Z12">M12</f>
        <v>44890000</v>
      </c>
      <c r="AA12" t="s" s="58">
        <v>175</v>
      </c>
      <c r="AB12" s="60" cm="1">
        <f t="array" ref="AB12">AH12</f>
        <v>45305</v>
      </c>
      <c r="AC12" s="53"/>
      <c r="AD12" t="s" s="58">
        <v>128</v>
      </c>
      <c r="AE12" t="s" s="58">
        <v>13</v>
      </c>
      <c r="AF12" t="s" s="58">
        <v>167</v>
      </c>
      <c r="AG12" s="60">
        <v>45304</v>
      </c>
      <c r="AH12" s="60">
        <v>45305</v>
      </c>
      <c r="AI12" s="60">
        <v>45305</v>
      </c>
      <c r="AJ12" s="60">
        <v>45306</v>
      </c>
      <c r="AK12" s="60">
        <v>45306</v>
      </c>
      <c r="AL12" s="60">
        <v>45307</v>
      </c>
      <c r="AM12" s="60">
        <v>45307</v>
      </c>
      <c r="AN12" t="s" s="58">
        <v>176</v>
      </c>
      <c r="AO12" s="60" cm="1">
        <f t="array" ref="AO12">AJ12</f>
        <v>45306</v>
      </c>
      <c r="AP12" t="s" s="58">
        <v>177</v>
      </c>
      <c r="AQ12" s="60" cm="1">
        <f t="array" ref="AQ12">AJ12</f>
        <v>45306</v>
      </c>
      <c r="AR12" t="s" s="58">
        <v>178</v>
      </c>
      <c r="AS12" s="60" cm="1">
        <f t="array" ref="AS12">AJ12</f>
        <v>45306</v>
      </c>
      <c r="AT12" s="62"/>
      <c r="AU12" s="53"/>
      <c r="AV12" s="53"/>
      <c r="AW12" t="str" s="63" cm="1">
        <f t="array" ref="AW12">"600/"&amp;$B12&amp;"/"&amp;IF(AND($AE12="Konsultansi",M12&lt;=100000000),"SPK",IF(AND($AE12="Konsultansi",M12&gt;100000000),"Kont",IF(AND($AE12&lt;&gt;"Konsultansi",M12&lt;=200000000),"SPK","Kont")))&amp;"-"&amp;AE12&amp;"/PPK/DPUPR"</f>
        <v>600/49015457/SPK-Konsultansi/PPK/DPUPR</v>
      </c>
      <c r="AX12" t="str" s="63" cm="1">
        <f t="array" ref="AX12">"600/"&amp;$B12&amp;"/SPMK/PPK/DPUPR"</f>
        <v>600/49015457/SPMK/PPK/DPUPR</v>
      </c>
      <c r="AY12" s="53"/>
      <c r="AZ12" s="53"/>
      <c r="BA12" s="53"/>
      <c r="BB12" s="53"/>
      <c r="BC12" s="53"/>
      <c r="BD12" s="53"/>
      <c r="BE12" s="53"/>
      <c r="BF12" s="53"/>
      <c r="BG12" s="64">
        <v>158</v>
      </c>
      <c r="BH12" t="s" s="58">
        <v>119</v>
      </c>
      <c r="BI12" t="s" s="58">
        <v>21</v>
      </c>
      <c r="BJ12" t="s" s="58">
        <v>22</v>
      </c>
      <c r="BK12" t="s" s="58">
        <v>23</v>
      </c>
      <c r="BL12" t="s" s="58">
        <v>24</v>
      </c>
      <c r="BM12" s="53"/>
      <c r="BN12" s="53"/>
      <c r="BO12" s="53"/>
      <c r="BP12" s="53"/>
      <c r="BQ12" s="53"/>
      <c r="BR12" t="b" s="61">
        <v>0</v>
      </c>
      <c r="BS12" s="55" cm="1">
        <f t="array" ref="BS12">IF(M12&lt;=0.8*K12,5%*K12,M12*5%)</f>
        <v>2244500</v>
      </c>
      <c r="BT12" t="s" s="58">
        <v>173</v>
      </c>
      <c r="BU12" s="53"/>
      <c r="BV12" s="55" cm="1">
        <f t="array" ref="BV12">J12-M12</f>
        <v>110000</v>
      </c>
    </row>
    <row r="13" ht="36.25" customHeight="1">
      <c r="A13" s="49"/>
      <c r="B13" s="50">
        <v>49668973</v>
      </c>
      <c r="C13" t="s" s="51">
        <v>181</v>
      </c>
      <c r="D13" t="s" s="65">
        <v>1</v>
      </c>
      <c r="E13" t="str" s="66" cm="1">
        <f t="array" ref="E13">$C13</f>
        <v>Stock Desain Jalan Kabupaten Paket I cs.</v>
      </c>
      <c r="F13" s="67"/>
      <c r="G13" s="66"/>
      <c r="H13" s="66"/>
      <c r="I13" s="66"/>
      <c r="J13" s="68">
        <v>100000000</v>
      </c>
      <c r="K13" s="69">
        <v>99975837.59999999</v>
      </c>
      <c r="L13" s="57">
        <v>99939128.40000001</v>
      </c>
      <c r="M13" s="68">
        <v>99939000</v>
      </c>
      <c r="N13" t="s" s="70">
        <v>182</v>
      </c>
      <c r="O13" t="s" s="71">
        <v>183</v>
      </c>
      <c r="P13" t="s" s="70">
        <v>4</v>
      </c>
      <c r="Q13" t="s" s="70">
        <v>184</v>
      </c>
      <c r="R13" t="s" s="70">
        <v>185</v>
      </c>
      <c r="S13" s="73">
        <v>23</v>
      </c>
      <c r="T13" s="72">
        <v>44495</v>
      </c>
      <c r="U13" t="s" s="70">
        <v>186</v>
      </c>
      <c r="V13" t="s" s="70">
        <v>187</v>
      </c>
      <c r="W13" t="s" s="70">
        <v>188</v>
      </c>
      <c r="X13" s="73">
        <v>30</v>
      </c>
      <c r="Y13" t="s" s="70">
        <v>10</v>
      </c>
      <c r="Z13" s="68" cm="1">
        <f t="array" ref="Z13">M13</f>
        <v>99939000</v>
      </c>
      <c r="AA13" t="s" s="70">
        <v>189</v>
      </c>
      <c r="AB13" s="72" cm="1">
        <f t="array" ref="AB13">AH13</f>
        <v>45305</v>
      </c>
      <c r="AC13" s="66"/>
      <c r="AD13" t="s" s="70">
        <v>128</v>
      </c>
      <c r="AE13" t="s" s="70">
        <v>13</v>
      </c>
      <c r="AF13" t="s" s="70">
        <v>167</v>
      </c>
      <c r="AG13" s="72">
        <v>45304</v>
      </c>
      <c r="AH13" s="72">
        <v>45305</v>
      </c>
      <c r="AI13" s="72">
        <v>45305</v>
      </c>
      <c r="AJ13" s="72">
        <v>45306</v>
      </c>
      <c r="AK13" s="72">
        <v>45306</v>
      </c>
      <c r="AL13" s="72">
        <v>45307</v>
      </c>
      <c r="AM13" s="72">
        <v>45307</v>
      </c>
      <c r="AN13" t="s" s="70">
        <v>190</v>
      </c>
      <c r="AO13" s="72" cm="1">
        <f t="array" ref="AO13">AJ13</f>
        <v>45306</v>
      </c>
      <c r="AP13" t="s" s="70">
        <v>191</v>
      </c>
      <c r="AQ13" s="72" cm="1">
        <f t="array" ref="AQ13">AJ13</f>
        <v>45306</v>
      </c>
      <c r="AR13" t="s" s="70">
        <v>192</v>
      </c>
      <c r="AS13" s="72" cm="1">
        <f t="array" ref="AS13">AJ13</f>
        <v>45306</v>
      </c>
      <c r="AT13" s="62"/>
      <c r="AU13" s="66"/>
      <c r="AV13" s="66"/>
      <c r="AW13" t="str" s="74" cm="1">
        <f t="array" ref="AW13">"600/"&amp;$B13&amp;"/"&amp;IF(AND($AE13="Konsultansi",M13&lt;=100000000),"SPK",IF(AND($AE13="Konsultansi",M13&gt;100000000),"Kont",IF(AND($AE13&lt;&gt;"Konsultansi",M13&lt;=200000000),"SPK","Kont")))&amp;"-"&amp;AE13&amp;"/PPK/DPUPR"</f>
        <v>600/49668973/SPK-Konsultansi/PPK/DPUPR</v>
      </c>
      <c r="AX13" t="str" s="74" cm="1">
        <f t="array" ref="AX13">"600/"&amp;$B13&amp;"/SPMK/PPK/DPUPR"</f>
        <v>600/49668973/SPMK/PPK/DPUPR</v>
      </c>
      <c r="AY13" s="66"/>
      <c r="AZ13" s="66"/>
      <c r="BA13" s="66"/>
      <c r="BB13" s="66"/>
      <c r="BC13" s="66"/>
      <c r="BD13" s="66"/>
      <c r="BE13" s="66"/>
      <c r="BF13" s="66"/>
      <c r="BG13" s="75">
        <v>223</v>
      </c>
      <c r="BH13" t="s" s="70">
        <v>182</v>
      </c>
      <c r="BI13" t="s" s="70">
        <v>21</v>
      </c>
      <c r="BJ13" t="s" s="70">
        <v>22</v>
      </c>
      <c r="BK13" t="s" s="70">
        <v>23</v>
      </c>
      <c r="BL13" t="s" s="70">
        <v>24</v>
      </c>
      <c r="BM13" s="66"/>
      <c r="BN13" s="66"/>
      <c r="BO13" s="66"/>
      <c r="BP13" s="66"/>
      <c r="BQ13" s="66"/>
      <c r="BR13" t="b" s="73">
        <v>0</v>
      </c>
      <c r="BS13" s="68" cm="1">
        <f t="array" ref="BS13">IF(M13&lt;=0.8*K13,5%*K13,M13*5%)</f>
        <v>4996950</v>
      </c>
      <c r="BT13" t="s" s="70">
        <v>25</v>
      </c>
      <c r="BU13" s="66"/>
      <c r="BV13" s="68" cm="1">
        <f t="array" ref="BV13">J13-M13</f>
        <v>61000</v>
      </c>
    </row>
    <row r="14" ht="36.25" customHeight="1">
      <c r="A14" s="49"/>
      <c r="B14" s="50">
        <v>49668994</v>
      </c>
      <c r="C14" t="s" s="51">
        <v>195</v>
      </c>
      <c r="D14" t="s" s="52">
        <v>1</v>
      </c>
      <c r="E14" t="str" s="53" cm="1">
        <f t="array" ref="E14">$C14</f>
        <v>Stock Desain Jalan Kabupaten Paket II cs.</v>
      </c>
      <c r="F14" s="54"/>
      <c r="G14" s="53"/>
      <c r="H14" s="53"/>
      <c r="I14" s="53"/>
      <c r="J14" s="55">
        <v>50000000</v>
      </c>
      <c r="K14" s="56">
        <v>49997930.4</v>
      </c>
      <c r="L14" s="57">
        <v>49946760</v>
      </c>
      <c r="M14" s="55">
        <v>49946000</v>
      </c>
      <c r="N14" t="s" s="58">
        <v>182</v>
      </c>
      <c r="O14" t="s" s="59">
        <v>183</v>
      </c>
      <c r="P14" t="s" s="58">
        <v>4</v>
      </c>
      <c r="Q14" t="s" s="58">
        <v>184</v>
      </c>
      <c r="R14" t="s" s="58">
        <v>185</v>
      </c>
      <c r="S14" s="61">
        <v>23</v>
      </c>
      <c r="T14" s="60">
        <v>44495</v>
      </c>
      <c r="U14" t="s" s="58">
        <v>186</v>
      </c>
      <c r="V14" t="s" s="58">
        <v>187</v>
      </c>
      <c r="W14" t="s" s="58">
        <v>188</v>
      </c>
      <c r="X14" s="61">
        <v>30</v>
      </c>
      <c r="Y14" t="s" s="58">
        <v>10</v>
      </c>
      <c r="Z14" s="55" cm="1">
        <f t="array" ref="Z14">M14</f>
        <v>49946000</v>
      </c>
      <c r="AA14" t="s" s="58">
        <v>196</v>
      </c>
      <c r="AB14" s="60" cm="1">
        <f t="array" ref="AB14">AH14</f>
        <v>45305</v>
      </c>
      <c r="AC14" s="53"/>
      <c r="AD14" t="s" s="58">
        <v>128</v>
      </c>
      <c r="AE14" t="s" s="58">
        <v>13</v>
      </c>
      <c r="AF14" t="s" s="58">
        <v>167</v>
      </c>
      <c r="AG14" s="60">
        <v>45304</v>
      </c>
      <c r="AH14" s="60">
        <v>45305</v>
      </c>
      <c r="AI14" s="60">
        <v>45305</v>
      </c>
      <c r="AJ14" s="60">
        <v>45306</v>
      </c>
      <c r="AK14" s="60">
        <v>45306</v>
      </c>
      <c r="AL14" s="60">
        <v>45307</v>
      </c>
      <c r="AM14" s="60">
        <v>45307</v>
      </c>
      <c r="AN14" t="s" s="58">
        <v>197</v>
      </c>
      <c r="AO14" s="60" cm="1">
        <f t="array" ref="AO14">AJ14</f>
        <v>45306</v>
      </c>
      <c r="AP14" t="s" s="58">
        <v>198</v>
      </c>
      <c r="AQ14" s="60" cm="1">
        <f t="array" ref="AQ14">AJ14</f>
        <v>45306</v>
      </c>
      <c r="AR14" t="s" s="58">
        <v>199</v>
      </c>
      <c r="AS14" s="60" cm="1">
        <f t="array" ref="AS14">AJ14</f>
        <v>45306</v>
      </c>
      <c r="AT14" s="62"/>
      <c r="AU14" s="53"/>
      <c r="AV14" s="53"/>
      <c r="AW14" t="str" s="63" cm="1">
        <f t="array" ref="AW14">"600/"&amp;$B14&amp;"/"&amp;IF(AND($AE14="Konsultansi",M14&lt;=100000000),"SPK",IF(AND($AE14="Konsultansi",M14&gt;100000000),"Kont",IF(AND($AE14&lt;&gt;"Konsultansi",M14&lt;=200000000),"SPK","Kont")))&amp;"-"&amp;AE14&amp;"/PPK/DPUPR"</f>
        <v>600/49668994/SPK-Konsultansi/PPK/DPUPR</v>
      </c>
      <c r="AX14" t="str" s="63" cm="1">
        <f t="array" ref="AX14">"600/"&amp;$B14&amp;"/SPMK/PPK/DPUPR"</f>
        <v>600/49668994/SPMK/PPK/DPUPR</v>
      </c>
      <c r="AY14" s="53"/>
      <c r="AZ14" s="53"/>
      <c r="BA14" s="53"/>
      <c r="BB14" s="53"/>
      <c r="BC14" s="53"/>
      <c r="BD14" s="53"/>
      <c r="BE14" s="53"/>
      <c r="BF14" s="53"/>
      <c r="BG14" s="64">
        <v>223</v>
      </c>
      <c r="BH14" t="s" s="58">
        <v>182</v>
      </c>
      <c r="BI14" t="s" s="58">
        <v>21</v>
      </c>
      <c r="BJ14" t="s" s="58">
        <v>22</v>
      </c>
      <c r="BK14" t="s" s="58">
        <v>23</v>
      </c>
      <c r="BL14" t="s" s="58">
        <v>24</v>
      </c>
      <c r="BM14" s="53"/>
      <c r="BN14" s="53"/>
      <c r="BO14" s="53"/>
      <c r="BP14" s="53"/>
      <c r="BQ14" s="53"/>
      <c r="BR14" t="b" s="61">
        <v>0</v>
      </c>
      <c r="BS14" s="55" cm="1">
        <f t="array" ref="BS14">IF(M14&lt;=0.8*K14,5%*K14,M14*5%)</f>
        <v>2497300</v>
      </c>
      <c r="BT14" t="s" s="58">
        <v>25</v>
      </c>
      <c r="BU14" s="53"/>
      <c r="BV14" s="55" cm="1">
        <f t="array" ref="BV14">J14-M14</f>
        <v>54000</v>
      </c>
    </row>
    <row r="15" ht="36.25" customHeight="1">
      <c r="A15" s="49"/>
      <c r="B15" s="50">
        <v>49669032</v>
      </c>
      <c r="C15" t="s" s="51">
        <v>202</v>
      </c>
      <c r="D15" t="s" s="65">
        <v>1</v>
      </c>
      <c r="E15" t="str" s="66" cm="1">
        <f t="array" ref="E15">$C15</f>
        <v>Stock Desain Jalan Kabupaten Paket III cs.</v>
      </c>
      <c r="F15" s="67"/>
      <c r="G15" s="66"/>
      <c r="H15" s="66"/>
      <c r="I15" s="66"/>
      <c r="J15" s="68">
        <v>100000000</v>
      </c>
      <c r="K15" s="69">
        <v>99975837.59999999</v>
      </c>
      <c r="L15" s="57">
        <v>99899082</v>
      </c>
      <c r="M15" s="68">
        <v>99899000</v>
      </c>
      <c r="N15" t="s" s="70">
        <v>182</v>
      </c>
      <c r="O15" t="s" s="71">
        <v>183</v>
      </c>
      <c r="P15" t="s" s="70">
        <v>4</v>
      </c>
      <c r="Q15" t="s" s="70">
        <v>184</v>
      </c>
      <c r="R15" t="s" s="70">
        <v>185</v>
      </c>
      <c r="S15" s="73">
        <v>23</v>
      </c>
      <c r="T15" s="72">
        <v>44495</v>
      </c>
      <c r="U15" t="s" s="70">
        <v>186</v>
      </c>
      <c r="V15" t="s" s="70">
        <v>187</v>
      </c>
      <c r="W15" t="s" s="70">
        <v>188</v>
      </c>
      <c r="X15" s="73">
        <v>30</v>
      </c>
      <c r="Y15" t="s" s="70">
        <v>10</v>
      </c>
      <c r="Z15" s="68" cm="1">
        <f t="array" ref="Z15">M15</f>
        <v>99899000</v>
      </c>
      <c r="AA15" t="s" s="70">
        <v>203</v>
      </c>
      <c r="AB15" s="72" cm="1">
        <f t="array" ref="AB15">AH15</f>
        <v>45305</v>
      </c>
      <c r="AC15" s="66"/>
      <c r="AD15" t="s" s="70">
        <v>128</v>
      </c>
      <c r="AE15" t="s" s="70">
        <v>13</v>
      </c>
      <c r="AF15" t="s" s="70">
        <v>167</v>
      </c>
      <c r="AG15" s="72">
        <v>45304</v>
      </c>
      <c r="AH15" s="72">
        <v>45305</v>
      </c>
      <c r="AI15" s="72">
        <v>45305</v>
      </c>
      <c r="AJ15" s="72">
        <v>45306</v>
      </c>
      <c r="AK15" s="72">
        <v>45306</v>
      </c>
      <c r="AL15" s="72">
        <v>45307</v>
      </c>
      <c r="AM15" s="72">
        <v>45307</v>
      </c>
      <c r="AN15" t="s" s="70">
        <v>204</v>
      </c>
      <c r="AO15" s="72" cm="1">
        <f t="array" ref="AO15">AJ15</f>
        <v>45306</v>
      </c>
      <c r="AP15" t="s" s="70">
        <v>205</v>
      </c>
      <c r="AQ15" s="72" cm="1">
        <f t="array" ref="AQ15">AJ15</f>
        <v>45306</v>
      </c>
      <c r="AR15" t="s" s="70">
        <v>206</v>
      </c>
      <c r="AS15" s="72" cm="1">
        <f t="array" ref="AS15">AJ15</f>
        <v>45306</v>
      </c>
      <c r="AT15" s="62"/>
      <c r="AU15" s="66"/>
      <c r="AV15" s="66"/>
      <c r="AW15" t="str" s="74" cm="1">
        <f t="array" ref="AW15">"600/"&amp;$B15&amp;"/"&amp;IF(AND($AE15="Konsultansi",M15&lt;=100000000),"SPK",IF(AND($AE15="Konsultansi",M15&gt;100000000),"Kont",IF(AND($AE15&lt;&gt;"Konsultansi",M15&lt;=200000000),"SPK","Kont")))&amp;"-"&amp;AE15&amp;"/PPK/DPUPR"</f>
        <v>600/49669032/SPK-Konsultansi/PPK/DPUPR</v>
      </c>
      <c r="AX15" t="str" s="74" cm="1">
        <f t="array" ref="AX15">"600/"&amp;$B15&amp;"/SPMK/PPK/DPUPR"</f>
        <v>600/49669032/SPMK/PPK/DPUPR</v>
      </c>
      <c r="AY15" s="66"/>
      <c r="AZ15" s="66"/>
      <c r="BA15" s="66"/>
      <c r="BB15" s="66"/>
      <c r="BC15" s="66"/>
      <c r="BD15" s="66"/>
      <c r="BE15" s="66"/>
      <c r="BF15" s="66"/>
      <c r="BG15" s="75">
        <v>223</v>
      </c>
      <c r="BH15" t="s" s="70">
        <v>182</v>
      </c>
      <c r="BI15" t="s" s="70">
        <v>21</v>
      </c>
      <c r="BJ15" t="s" s="70">
        <v>22</v>
      </c>
      <c r="BK15" t="s" s="70">
        <v>23</v>
      </c>
      <c r="BL15" t="s" s="70">
        <v>24</v>
      </c>
      <c r="BM15" s="66"/>
      <c r="BN15" s="66"/>
      <c r="BO15" s="66"/>
      <c r="BP15" s="66"/>
      <c r="BQ15" s="66"/>
      <c r="BR15" t="b" s="73">
        <v>0</v>
      </c>
      <c r="BS15" s="68" cm="1">
        <f t="array" ref="BS15">IF(M15&lt;=0.8*K15,5%*K15,M15*5%)</f>
        <v>4994950</v>
      </c>
      <c r="BT15" t="s" s="70">
        <v>25</v>
      </c>
      <c r="BU15" s="66"/>
      <c r="BV15" s="68" cm="1">
        <f t="array" ref="BV15">J15-M15</f>
        <v>101000</v>
      </c>
    </row>
    <row r="16" ht="68.25" customHeight="1">
      <c r="A16" s="49"/>
      <c r="B16" s="50">
        <v>4879660</v>
      </c>
      <c r="C16" t="s" s="51">
        <v>209</v>
      </c>
      <c r="D16" t="s" s="52">
        <v>1</v>
      </c>
      <c r="E16" t="str" s="53" cm="1">
        <f t="array" ref="E16">$C16</f>
        <v>Pengawasan Penanganan Long Segment (pemeliharaan Rutin, Pemeliharaan Berkala, Peningkatan/rekonstruksi) Jalan Trans Sulawesi - Tikke Raya - Jengeng (DAK)</v>
      </c>
      <c r="F16" s="54"/>
      <c r="G16" s="53"/>
      <c r="H16" s="53"/>
      <c r="I16" s="53"/>
      <c r="J16" s="55">
        <v>250000000</v>
      </c>
      <c r="K16" s="55">
        <v>249950000</v>
      </c>
      <c r="L16" s="55">
        <v>249400000</v>
      </c>
      <c r="M16" s="55">
        <v>249400000</v>
      </c>
      <c r="N16" t="s" s="58">
        <v>210</v>
      </c>
      <c r="O16" t="s" s="59">
        <v>211</v>
      </c>
      <c r="P16" t="s" s="58">
        <v>4</v>
      </c>
      <c r="Q16" t="s" s="58">
        <v>212</v>
      </c>
      <c r="R16" t="s" s="58">
        <v>213</v>
      </c>
      <c r="S16" t="s" s="58">
        <v>214</v>
      </c>
      <c r="T16" t="s" s="58">
        <v>215</v>
      </c>
      <c r="U16" t="s" s="58">
        <v>216</v>
      </c>
      <c r="V16" t="s" s="58">
        <v>217</v>
      </c>
      <c r="W16" t="s" s="58">
        <v>117</v>
      </c>
      <c r="X16" s="61" cm="1">
        <f t="array" ref="X16">300-17</f>
        <v>283</v>
      </c>
      <c r="Y16" t="s" s="58">
        <v>107</v>
      </c>
      <c r="Z16" s="55" cm="1">
        <f t="array" ref="Z16">M16</f>
        <v>249400000</v>
      </c>
      <c r="AA16" t="s" s="58">
        <v>218</v>
      </c>
      <c r="AB16" s="60">
        <v>45313</v>
      </c>
      <c r="AC16" s="53"/>
      <c r="AD16" t="s" s="58">
        <v>12</v>
      </c>
      <c r="AE16" t="s" s="58">
        <v>13</v>
      </c>
      <c r="AF16" t="s" s="58">
        <v>111</v>
      </c>
      <c r="AG16" s="60"/>
      <c r="AH16" s="60"/>
      <c r="AI16" s="60"/>
      <c r="AJ16" s="60"/>
      <c r="AK16" s="60">
        <v>45324</v>
      </c>
      <c r="AL16" s="60">
        <v>45324</v>
      </c>
      <c r="AM16" s="60">
        <v>45324</v>
      </c>
      <c r="AN16" t="s" s="58">
        <v>219</v>
      </c>
      <c r="AO16" s="60">
        <v>45321</v>
      </c>
      <c r="AP16" t="str" s="53" cm="1">
        <f t="array" ref="AP16">AN16</f>
        <v>P-2.04.02/BAHP/BPBJ</v>
      </c>
      <c r="AQ16" s="60" cm="1">
        <f t="array" ref="AQ16">AO16</f>
        <v>45321</v>
      </c>
      <c r="AR16" t="s" s="58">
        <v>220</v>
      </c>
      <c r="AS16" s="53" cm="1">
        <f t="array" ref="AS16">AJ16</f>
      </c>
      <c r="AT16" t="s" s="78">
        <v>221</v>
      </c>
      <c r="AU16" s="60">
        <v>45321</v>
      </c>
      <c r="AV16" s="53"/>
      <c r="AW16" t="str" s="63" cm="1">
        <f t="array" ref="AW16">"600/"&amp;$B16&amp;"/"&amp;IF(AND($AE16="Konsultansi",M16&lt;=100000000),"SPK",IF(AND($AE16="Konsultansi",M16&gt;100000000),"Kont",IF(AND($AE16&lt;&gt;"Konsultansi",M16&lt;=200000000),"SPK","Kont")))&amp;"-"&amp;AE16&amp;"/PPK/DPUPR"</f>
        <v>600/4879660/Kont-Konsultansi/PPK/DPUPR</v>
      </c>
      <c r="AX16" t="str" s="63" cm="1">
        <f t="array" ref="AX16">"600/"&amp;$B16&amp;"/SPMK/PPK/DPUPR"</f>
        <v>600/4879660/SPMK/PPK/DPUPR</v>
      </c>
      <c r="AY16" s="53"/>
      <c r="AZ16" s="53"/>
      <c r="BA16" s="53"/>
      <c r="BB16" s="53"/>
      <c r="BC16" s="53"/>
      <c r="BD16" s="53"/>
      <c r="BE16" s="53"/>
      <c r="BF16" s="53"/>
      <c r="BG16" s="64">
        <v>162</v>
      </c>
      <c r="BH16" t="s" s="58">
        <v>210</v>
      </c>
      <c r="BI16" t="s" s="58">
        <v>21</v>
      </c>
      <c r="BJ16" t="s" s="58">
        <v>22</v>
      </c>
      <c r="BK16" t="s" s="58">
        <v>23</v>
      </c>
      <c r="BL16" t="s" s="58">
        <v>24</v>
      </c>
      <c r="BM16" s="53"/>
      <c r="BN16" s="53"/>
      <c r="BO16" s="53"/>
      <c r="BP16" t="s" s="58">
        <v>106</v>
      </c>
      <c r="BQ16" s="53"/>
      <c r="BR16" t="b" s="61">
        <v>0</v>
      </c>
      <c r="BS16" s="55" cm="1">
        <f t="array" ref="BS16">IF(M16&lt;=0.8*K16,5%*K16,M16*5%)</f>
        <v>12470000</v>
      </c>
      <c r="BT16" t="s" s="58">
        <v>25</v>
      </c>
      <c r="BU16" s="53"/>
      <c r="BV16" s="55" cm="1">
        <f t="array" ref="BV16">J16-M16</f>
        <v>600000</v>
      </c>
    </row>
    <row r="17" ht="44.25" customHeight="1">
      <c r="A17" s="49"/>
      <c r="B17" s="50">
        <v>4880660</v>
      </c>
      <c r="C17" t="s" s="51">
        <v>224</v>
      </c>
      <c r="D17" t="s" s="65">
        <v>225</v>
      </c>
      <c r="E17" t="str" s="66" cm="1">
        <f t="array" ref="E17">$C17</f>
        <v>Pengawasan Penggantian Jembatan Jalan Poros Bulubonggu - Antai Kanan - Masabo (DAK)</v>
      </c>
      <c r="F17" s="67"/>
      <c r="G17" s="66"/>
      <c r="H17" s="66"/>
      <c r="I17" s="66"/>
      <c r="J17" s="68">
        <v>300000000</v>
      </c>
      <c r="K17" s="68">
        <v>299952000</v>
      </c>
      <c r="L17" s="57">
        <v>284271000</v>
      </c>
      <c r="M17" s="68">
        <v>284215000</v>
      </c>
      <c r="N17" t="s" s="70">
        <v>226</v>
      </c>
      <c r="O17" t="s" s="71">
        <v>227</v>
      </c>
      <c r="P17" t="s" s="70">
        <v>4</v>
      </c>
      <c r="Q17" t="s" s="70">
        <v>228</v>
      </c>
      <c r="R17" t="s" s="70">
        <v>229</v>
      </c>
      <c r="S17" t="s" s="70">
        <v>230</v>
      </c>
      <c r="T17" t="s" s="70">
        <v>231</v>
      </c>
      <c r="U17" t="s" s="70">
        <v>232</v>
      </c>
      <c r="V17" t="s" s="70">
        <v>233</v>
      </c>
      <c r="W17" t="s" s="70">
        <v>234</v>
      </c>
      <c r="X17" s="73">
        <v>305</v>
      </c>
      <c r="Y17" t="s" s="70">
        <v>107</v>
      </c>
      <c r="Z17" s="68" cm="1">
        <f t="array" ref="Z17">M17</f>
        <v>284215000</v>
      </c>
      <c r="AA17" t="s" s="70">
        <v>235</v>
      </c>
      <c r="AB17" s="72">
        <v>45318</v>
      </c>
      <c r="AC17" s="66"/>
      <c r="AD17" t="s" s="70">
        <v>12</v>
      </c>
      <c r="AE17" t="s" s="70">
        <v>13</v>
      </c>
      <c r="AF17" t="s" s="70">
        <v>236</v>
      </c>
      <c r="AG17" s="72"/>
      <c r="AH17" s="72"/>
      <c r="AI17" s="72"/>
      <c r="AJ17" s="72"/>
      <c r="AK17" s="72">
        <v>45342</v>
      </c>
      <c r="AL17" s="72">
        <v>45342</v>
      </c>
      <c r="AM17" s="72">
        <v>45342</v>
      </c>
      <c r="AN17" t="s" s="70">
        <v>237</v>
      </c>
      <c r="AO17" s="72">
        <v>45323</v>
      </c>
      <c r="AP17" t="s" s="70">
        <v>238</v>
      </c>
      <c r="AQ17" s="66" cm="1">
        <f t="array" ref="AQ17">AJ17</f>
      </c>
      <c r="AR17" t="s" s="70">
        <v>239</v>
      </c>
      <c r="AS17" s="66" cm="1">
        <f t="array" ref="AS17">AJ17</f>
      </c>
      <c r="AT17" t="s" s="70">
        <v>240</v>
      </c>
      <c r="AU17" s="72">
        <v>45341</v>
      </c>
      <c r="AV17" s="66"/>
      <c r="AW17" t="str" s="74" cm="1">
        <f t="array" ref="AW17">"600/"&amp;$B17&amp;"/"&amp;IF(AND($AE17="Konsultansi",M17&lt;=100000000),"SPK",IF(AND($AE17="Konsultansi",M17&gt;100000000),"Kont",IF(AND($AE17&lt;&gt;"Konsultansi",M17&lt;=200000000),"SPK","Kont")))&amp;"-"&amp;AE17&amp;"/PPK/DPUPR"</f>
        <v>600/4880660/Kont-Konsultansi/PPK/DPUPR</v>
      </c>
      <c r="AX17" t="str" s="74" cm="1">
        <f t="array" ref="AX17">"600/"&amp;$B17&amp;"/SPMK/PPK/DPUPR"</f>
        <v>600/4880660/SPMK/PPK/DPUPR</v>
      </c>
      <c r="AY17" s="66"/>
      <c r="AZ17" s="66"/>
      <c r="BA17" s="66"/>
      <c r="BB17" s="66"/>
      <c r="BC17" s="66"/>
      <c r="BD17" s="66"/>
      <c r="BE17" s="66"/>
      <c r="BF17" s="66"/>
      <c r="BG17" s="75">
        <v>7</v>
      </c>
      <c r="BH17" t="s" s="70">
        <v>226</v>
      </c>
      <c r="BI17" t="s" s="70">
        <v>21</v>
      </c>
      <c r="BJ17" t="s" s="70">
        <v>22</v>
      </c>
      <c r="BK17" t="s" s="70">
        <v>23</v>
      </c>
      <c r="BL17" t="s" s="70">
        <v>24</v>
      </c>
      <c r="BM17" s="66"/>
      <c r="BN17" s="66"/>
      <c r="BO17" s="66"/>
      <c r="BP17" t="s" s="70">
        <v>243</v>
      </c>
      <c r="BQ17" s="66"/>
      <c r="BR17" t="b" s="73">
        <v>0</v>
      </c>
      <c r="BS17" s="68" cm="1">
        <f t="array" ref="BS17">IF(M17&lt;=0.8*K17,5%*K17,M17*5%)</f>
        <v>14210750</v>
      </c>
      <c r="BT17" t="s" s="70">
        <v>25</v>
      </c>
      <c r="BU17" s="66"/>
      <c r="BV17" s="68" cm="1">
        <f t="array" ref="BV17">J17-M17</f>
        <v>15785000</v>
      </c>
    </row>
    <row r="18" ht="36.25" customHeight="1">
      <c r="A18" s="49"/>
      <c r="B18" s="50">
        <v>4872660</v>
      </c>
      <c r="C18" t="s" s="51">
        <v>244</v>
      </c>
      <c r="D18" t="s" s="52">
        <v>225</v>
      </c>
      <c r="E18" t="str" s="53" cm="1">
        <f t="array" ref="E18">$C18</f>
        <v>Penggantian Jembatan Jalan Poros Bulubunggu - Antai Kanan - Masabo (DAK)</v>
      </c>
      <c r="F18" s="54"/>
      <c r="G18" s="53"/>
      <c r="H18" s="53"/>
      <c r="I18" s="53"/>
      <c r="J18" s="55">
        <v>14848449000</v>
      </c>
      <c r="K18" s="55">
        <v>14848449000</v>
      </c>
      <c r="L18" s="57">
        <v>14792457468.58</v>
      </c>
      <c r="M18" s="55">
        <v>14792457000</v>
      </c>
      <c r="N18" t="s" s="58">
        <v>245</v>
      </c>
      <c r="O18" t="s" s="59">
        <v>246</v>
      </c>
      <c r="P18" t="s" s="58">
        <v>4</v>
      </c>
      <c r="Q18" t="s" s="58">
        <v>247</v>
      </c>
      <c r="R18" t="s" s="58">
        <v>248</v>
      </c>
      <c r="S18" t="s" s="58">
        <v>249</v>
      </c>
      <c r="T18" s="60">
        <v>44630</v>
      </c>
      <c r="U18" t="s" s="58">
        <v>250</v>
      </c>
      <c r="V18" t="s" s="58">
        <v>251</v>
      </c>
      <c r="W18" t="s" s="58">
        <v>243</v>
      </c>
      <c r="X18" s="61">
        <v>340</v>
      </c>
      <c r="Y18" t="s" s="58">
        <v>107</v>
      </c>
      <c r="Z18" s="55" cm="1">
        <f t="array" ref="Z18">M18</f>
        <v>14792457000</v>
      </c>
      <c r="AA18" t="s" s="58">
        <v>252</v>
      </c>
      <c r="AB18" s="60">
        <v>45286</v>
      </c>
      <c r="AC18" s="61">
        <v>360</v>
      </c>
      <c r="AD18" t="s" s="58">
        <v>109</v>
      </c>
      <c r="AE18" t="s" s="58">
        <v>110</v>
      </c>
      <c r="AF18" t="s" s="58">
        <v>253</v>
      </c>
      <c r="AG18" s="60"/>
      <c r="AH18" s="60"/>
      <c r="AI18" s="60"/>
      <c r="AJ18" s="60"/>
      <c r="AK18" s="60">
        <v>45306</v>
      </c>
      <c r="AL18" s="60">
        <v>45307</v>
      </c>
      <c r="AM18" s="60">
        <v>45307</v>
      </c>
      <c r="AN18" t="s" s="58">
        <v>254</v>
      </c>
      <c r="AO18" s="60">
        <v>45295</v>
      </c>
      <c r="AP18" t="s" s="58">
        <v>255</v>
      </c>
      <c r="AQ18" s="53" cm="1">
        <f t="array" ref="AQ18">AJ18</f>
      </c>
      <c r="AR18" t="s" s="58">
        <v>256</v>
      </c>
      <c r="AS18" s="53" cm="1">
        <f t="array" ref="AS18">AJ18</f>
      </c>
      <c r="AT18" t="s" s="78">
        <v>257</v>
      </c>
      <c r="AU18" s="79">
        <v>45295</v>
      </c>
      <c r="AV18" s="53"/>
      <c r="AW18" t="str" s="63" cm="1">
        <f t="array" ref="AW18">"600/"&amp;$B18&amp;"/"&amp;IF(AND($AE18="Konsultansi",M18&lt;=100000000),"SPK",IF(AND($AE18="Konsultansi",M18&gt;100000000),"Kont",IF(AND($AE18&lt;&gt;"Konsultansi",M18&lt;=200000000),"SPK","Kont")))&amp;"-"&amp;AE18&amp;"/PPK/DPUPR"</f>
        <v>600/4872660/Kont-Konstruksi/PPK/DPUPR</v>
      </c>
      <c r="AX18" t="str" s="63" cm="1">
        <f t="array" ref="AX18">"600/"&amp;$B18&amp;"/SPMK/PPK/DPUPR"</f>
        <v>600/4872660/SPMK/PPK/DPUPR</v>
      </c>
      <c r="AY18" s="53"/>
      <c r="AZ18" s="53"/>
      <c r="BA18" s="53"/>
      <c r="BB18" s="53"/>
      <c r="BC18" s="53"/>
      <c r="BD18" s="53"/>
      <c r="BE18" s="53"/>
      <c r="BF18" s="53"/>
      <c r="BG18" s="64">
        <v>20</v>
      </c>
      <c r="BH18" t="s" s="58">
        <v>245</v>
      </c>
      <c r="BI18" t="s" s="58">
        <v>21</v>
      </c>
      <c r="BJ18" t="s" s="58">
        <v>22</v>
      </c>
      <c r="BK18" t="s" s="58">
        <v>23</v>
      </c>
      <c r="BL18" t="s" s="58">
        <v>24</v>
      </c>
      <c r="BM18" s="53"/>
      <c r="BN18" s="53"/>
      <c r="BO18" s="53"/>
      <c r="BP18" s="53"/>
      <c r="BQ18" s="53"/>
      <c r="BR18" t="b" s="61">
        <v>0</v>
      </c>
      <c r="BS18" s="55" cm="1">
        <f t="array" ref="BS18">IF(M18&lt;=0.8*K18,5%*K18,M18*5%)</f>
        <v>739622850</v>
      </c>
      <c r="BT18" t="s" s="58">
        <v>25</v>
      </c>
      <c r="BU18" s="53"/>
      <c r="BV18" s="55" cm="1">
        <f t="array" ref="BV18">J18-M18</f>
        <v>55992000</v>
      </c>
    </row>
    <row r="19" ht="36.25" customHeight="1">
      <c r="A19" s="49"/>
      <c r="B19" s="50">
        <v>49015188</v>
      </c>
      <c r="C19" t="s" s="51">
        <v>260</v>
      </c>
      <c r="D19" t="s" s="65">
        <v>1</v>
      </c>
      <c r="E19" t="str" s="66" cm="1">
        <f t="array" ref="E19">$C19</f>
        <v>Pengawasan Pemb. Jalan Dusun Papo - Kalikuma Desa Sipakainga cs</v>
      </c>
      <c r="F19" s="67"/>
      <c r="G19" s="66"/>
      <c r="H19" s="66"/>
      <c r="I19" s="66"/>
      <c r="J19" s="68">
        <v>100000000</v>
      </c>
      <c r="K19" s="69">
        <v>99981399.59999999</v>
      </c>
      <c r="L19" s="57">
        <v>99764481.59999999</v>
      </c>
      <c r="M19" s="68">
        <v>99764000</v>
      </c>
      <c r="N19" t="s" s="70">
        <v>261</v>
      </c>
      <c r="O19" t="s" s="71">
        <v>262</v>
      </c>
      <c r="P19" t="s" s="70">
        <v>4</v>
      </c>
      <c r="Q19" t="s" s="70">
        <v>263</v>
      </c>
      <c r="R19" t="s" s="70">
        <v>264</v>
      </c>
      <c r="S19" s="73">
        <v>53</v>
      </c>
      <c r="T19" s="72">
        <v>41288</v>
      </c>
      <c r="U19" t="s" s="70">
        <v>265</v>
      </c>
      <c r="V19" t="s" s="70">
        <v>266</v>
      </c>
      <c r="W19" t="s" s="70">
        <v>267</v>
      </c>
      <c r="X19" s="73">
        <v>150</v>
      </c>
      <c r="Y19" t="s" s="70">
        <v>10</v>
      </c>
      <c r="Z19" s="68" cm="1">
        <f t="array" ref="Z19">M19</f>
        <v>99764000</v>
      </c>
      <c r="AA19" t="s" s="70">
        <v>268</v>
      </c>
      <c r="AB19" s="72" cm="1">
        <f t="array" ref="AB19">AH19</f>
        <v>45321</v>
      </c>
      <c r="AC19" s="73" cm="1">
        <f t="array" ref="AC19">6*30</f>
        <v>180</v>
      </c>
      <c r="AD19" t="s" s="70">
        <v>12</v>
      </c>
      <c r="AE19" t="s" s="70">
        <v>13</v>
      </c>
      <c r="AF19" t="s" s="70">
        <v>111</v>
      </c>
      <c r="AG19" s="72">
        <v>45320</v>
      </c>
      <c r="AH19" s="72">
        <v>45321</v>
      </c>
      <c r="AI19" s="72">
        <v>45321</v>
      </c>
      <c r="AJ19" s="80">
        <v>45321.625</v>
      </c>
      <c r="AK19" s="72">
        <v>45321</v>
      </c>
      <c r="AL19" s="72">
        <v>45321</v>
      </c>
      <c r="AM19" s="72">
        <v>45321</v>
      </c>
      <c r="AN19" t="s" s="70">
        <v>269</v>
      </c>
      <c r="AO19" s="80" cm="1">
        <f t="array" ref="AO19">AJ19</f>
        <v>45321.625</v>
      </c>
      <c r="AP19" t="s" s="70">
        <v>270</v>
      </c>
      <c r="AQ19" s="80" cm="1">
        <f t="array" ref="AQ19">AJ19</f>
        <v>45321.625</v>
      </c>
      <c r="AR19" t="s" s="70">
        <v>271</v>
      </c>
      <c r="AS19" s="80" cm="1">
        <f t="array" ref="AS19">AJ19</f>
        <v>45321.625</v>
      </c>
      <c r="AT19" t="s" s="78">
        <v>272</v>
      </c>
      <c r="AU19" s="80" cm="1">
        <f t="array" ref="AU19">AJ19</f>
        <v>45321.625</v>
      </c>
      <c r="AV19" s="66"/>
      <c r="AW19" t="str" s="74" cm="1">
        <f t="array" ref="AW19">"600/"&amp;$B19&amp;"/"&amp;IF(AND($AE19="Konsultansi",M19&lt;=100000000),"SPK",IF(AND($AE19="Konsultansi",M19&gt;100000000),"Kont",IF(AND($AE19&lt;&gt;"Konsultansi",M19&lt;=200000000),"SPK","Kont")))&amp;"-"&amp;AE19&amp;"/PPK/DPUPR"</f>
        <v>600/49015188/SPK-Konsultansi/PPK/DPUPR</v>
      </c>
      <c r="AX19" t="str" s="74" cm="1">
        <f t="array" ref="AX19">"600/"&amp;$B19&amp;"/SPMK/PPK/DPUPR"</f>
        <v>600/49015188/SPMK/PPK/DPUPR</v>
      </c>
      <c r="AY19" s="66"/>
      <c r="AZ19" s="66"/>
      <c r="BA19" s="66"/>
      <c r="BB19" s="66"/>
      <c r="BC19" s="66"/>
      <c r="BD19" s="66"/>
      <c r="BE19" s="66"/>
      <c r="BF19" s="66"/>
      <c r="BG19" s="75">
        <v>1</v>
      </c>
      <c r="BH19" t="s" s="70">
        <v>261</v>
      </c>
      <c r="BI19" t="s" s="70">
        <v>21</v>
      </c>
      <c r="BJ19" t="s" s="70">
        <v>22</v>
      </c>
      <c r="BK19" t="s" s="70">
        <v>23</v>
      </c>
      <c r="BL19" t="s" s="70">
        <v>24</v>
      </c>
      <c r="BM19" s="66"/>
      <c r="BN19" s="66"/>
      <c r="BO19" s="66"/>
      <c r="BP19" s="66"/>
      <c r="BQ19" s="66"/>
      <c r="BR19" t="b" s="73">
        <v>0</v>
      </c>
      <c r="BS19" s="68" cm="1">
        <f t="array" ref="BS19">IF(M19&lt;=0.8*K19,5%*K19,M19*5%)</f>
        <v>4988200</v>
      </c>
      <c r="BT19" t="s" s="70">
        <v>25</v>
      </c>
      <c r="BU19" s="66"/>
      <c r="BV19" s="68" cm="1">
        <f t="array" ref="BV19">J19-M19</f>
        <v>236000</v>
      </c>
    </row>
    <row r="20" ht="36.25" customHeight="1">
      <c r="A20" s="49"/>
      <c r="B20" s="50">
        <v>49013066</v>
      </c>
      <c r="C20" t="s" s="51">
        <v>275</v>
      </c>
      <c r="D20" t="s" s="52">
        <v>1</v>
      </c>
      <c r="E20" t="str" s="53" cm="1">
        <f t="array" ref="E20">$C20</f>
        <v>Peningkatan Jalan Bambamone-Kalibamba</v>
      </c>
      <c r="F20" s="54"/>
      <c r="G20" s="53"/>
      <c r="H20" s="53"/>
      <c r="I20" s="53"/>
      <c r="J20" s="55">
        <v>195000000</v>
      </c>
      <c r="K20" s="77">
        <v>194985124.97</v>
      </c>
      <c r="L20" s="57">
        <v>194795919.86</v>
      </c>
      <c r="M20" s="55">
        <v>194795000</v>
      </c>
      <c r="N20" t="s" s="58">
        <v>276</v>
      </c>
      <c r="O20" t="s" s="59">
        <v>277</v>
      </c>
      <c r="P20" t="s" s="58">
        <v>4</v>
      </c>
      <c r="Q20" t="s" s="58">
        <v>278</v>
      </c>
      <c r="R20" t="s" s="58">
        <v>279</v>
      </c>
      <c r="S20" t="s" s="58">
        <v>280</v>
      </c>
      <c r="T20" s="60">
        <v>40634</v>
      </c>
      <c r="U20" t="s" s="58">
        <v>281</v>
      </c>
      <c r="V20" t="s" s="58">
        <v>282</v>
      </c>
      <c r="W20" t="s" s="58">
        <v>283</v>
      </c>
      <c r="X20" s="61">
        <v>150</v>
      </c>
      <c r="Y20" t="s" s="58">
        <v>10</v>
      </c>
      <c r="Z20" s="55" cm="1">
        <f t="array" ref="Z20">M20</f>
        <v>194795000</v>
      </c>
      <c r="AA20" t="s" s="58">
        <v>284</v>
      </c>
      <c r="AB20" s="60" cm="1">
        <f t="array" ref="AB20">AH20</f>
        <v>45321</v>
      </c>
      <c r="AC20" s="61" cm="1">
        <f t="array" ref="AC20">6*30</f>
        <v>180</v>
      </c>
      <c r="AD20" t="s" s="58">
        <v>109</v>
      </c>
      <c r="AE20" t="s" s="58">
        <v>110</v>
      </c>
      <c r="AF20" t="s" s="58">
        <v>111</v>
      </c>
      <c r="AG20" s="60">
        <v>45320</v>
      </c>
      <c r="AH20" s="60">
        <v>45321</v>
      </c>
      <c r="AI20" s="60">
        <v>45321</v>
      </c>
      <c r="AJ20" s="81">
        <v>45321.625</v>
      </c>
      <c r="AK20" s="60">
        <v>45321</v>
      </c>
      <c r="AL20" s="60">
        <v>45321</v>
      </c>
      <c r="AM20" s="60">
        <v>45321</v>
      </c>
      <c r="AN20" t="s" s="58">
        <v>285</v>
      </c>
      <c r="AO20" s="81" cm="1">
        <f t="array" ref="AO20">AJ20</f>
        <v>45321.625</v>
      </c>
      <c r="AP20" t="s" s="58">
        <v>286</v>
      </c>
      <c r="AQ20" s="81" cm="1">
        <f t="array" ref="AQ20">AJ20</f>
        <v>45321.625</v>
      </c>
      <c r="AR20" t="s" s="58">
        <v>287</v>
      </c>
      <c r="AS20" s="81" cm="1">
        <f t="array" ref="AS20">AJ20</f>
        <v>45321.625</v>
      </c>
      <c r="AT20" t="s" s="78">
        <v>288</v>
      </c>
      <c r="AU20" s="81" cm="1">
        <f t="array" ref="AU20">AJ20</f>
        <v>45321.625</v>
      </c>
      <c r="AV20" s="53"/>
      <c r="AW20" t="str" s="63" cm="1">
        <f t="array" ref="AW20">"600/"&amp;$B20&amp;"/"&amp;IF(AND($AE20="Konsultansi",M20&lt;=100000000),"SPK",IF(AND($AE20="Konsultansi",M20&gt;100000000),"Kont",IF(AND($AE20&lt;&gt;"Konsultansi",M20&lt;=200000000),"SPK","Kont")))&amp;"-"&amp;AE20&amp;"/PPK/DPUPR"</f>
        <v>600/49013066/SPK-Konstruksi/PPK/DPUPR</v>
      </c>
      <c r="AX20" t="str" s="63" cm="1">
        <f t="array" ref="AX20">"600/"&amp;$B20&amp;"/SPMK/PPK/DPUPR"</f>
        <v>600/49013066/SPMK/PPK/DPUPR</v>
      </c>
      <c r="AY20" s="53"/>
      <c r="AZ20" s="53"/>
      <c r="BA20" s="53"/>
      <c r="BB20" s="53"/>
      <c r="BC20" s="53"/>
      <c r="BD20" s="53"/>
      <c r="BE20" s="53"/>
      <c r="BF20" s="53"/>
      <c r="BG20" s="64">
        <v>19</v>
      </c>
      <c r="BH20" t="s" s="58">
        <v>276</v>
      </c>
      <c r="BI20" t="s" s="58">
        <v>21</v>
      </c>
      <c r="BJ20" t="s" s="58">
        <v>22</v>
      </c>
      <c r="BK20" t="s" s="58">
        <v>23</v>
      </c>
      <c r="BL20" t="s" s="58">
        <v>24</v>
      </c>
      <c r="BM20" s="53"/>
      <c r="BN20" s="53"/>
      <c r="BO20" s="53"/>
      <c r="BP20" s="53"/>
      <c r="BQ20" s="53"/>
      <c r="BR20" t="b" s="61">
        <v>0</v>
      </c>
      <c r="BS20" s="55" cm="1">
        <f t="array" ref="BS20">IF(M20&lt;=0.8*K20,5%*K20,M20*5%)</f>
        <v>9739750</v>
      </c>
      <c r="BT20" t="s" s="58">
        <v>25</v>
      </c>
      <c r="BU20" s="53"/>
      <c r="BV20" s="55" cm="1">
        <f t="array" ref="BV20">J20-M20</f>
        <v>205000</v>
      </c>
    </row>
    <row r="21" ht="36.25" customHeight="1">
      <c r="A21" s="49"/>
      <c r="B21" s="50">
        <v>49013151</v>
      </c>
      <c r="C21" t="s" s="51">
        <v>291</v>
      </c>
      <c r="D21" t="s" s="65">
        <v>1</v>
      </c>
      <c r="E21" t="str" s="66" cm="1">
        <f t="array" ref="E21">$C21</f>
        <v>Peningkatan Jalan Mandar Dua Saluapu</v>
      </c>
      <c r="F21" s="67"/>
      <c r="G21" s="66"/>
      <c r="H21" s="66"/>
      <c r="I21" s="66"/>
      <c r="J21" s="68">
        <v>195000000</v>
      </c>
      <c r="K21" s="76">
        <v>194795117.72</v>
      </c>
      <c r="L21" s="57">
        <v>194703704.18</v>
      </c>
      <c r="M21" s="68">
        <v>194703000</v>
      </c>
      <c r="N21" t="s" s="70">
        <v>292</v>
      </c>
      <c r="O21" t="s" s="71">
        <v>293</v>
      </c>
      <c r="P21" t="s" s="70">
        <v>4</v>
      </c>
      <c r="Q21" t="s" s="70">
        <v>294</v>
      </c>
      <c r="R21" t="s" s="70">
        <v>295</v>
      </c>
      <c r="S21" s="73">
        <v>11</v>
      </c>
      <c r="T21" s="82">
        <v>42508</v>
      </c>
      <c r="U21" t="s" s="70">
        <v>296</v>
      </c>
      <c r="V21" t="s" s="70">
        <v>297</v>
      </c>
      <c r="W21" t="s" s="70">
        <v>298</v>
      </c>
      <c r="X21" s="73">
        <v>150</v>
      </c>
      <c r="Y21" t="s" s="70">
        <v>10</v>
      </c>
      <c r="Z21" s="68" cm="1">
        <f t="array" ref="Z21">M21</f>
        <v>194703000</v>
      </c>
      <c r="AA21" t="s" s="70">
        <v>299</v>
      </c>
      <c r="AB21" s="72" cm="1">
        <f t="array" ref="AB21">AH21</f>
        <v>45321</v>
      </c>
      <c r="AC21" s="73" cm="1">
        <f t="array" ref="AC21">6*30</f>
        <v>180</v>
      </c>
      <c r="AD21" t="s" s="70">
        <v>109</v>
      </c>
      <c r="AE21" t="s" s="70">
        <v>110</v>
      </c>
      <c r="AF21" t="s" s="70">
        <v>111</v>
      </c>
      <c r="AG21" s="72">
        <v>45320</v>
      </c>
      <c r="AH21" s="72">
        <v>45321</v>
      </c>
      <c r="AI21" s="72">
        <v>45321</v>
      </c>
      <c r="AJ21" s="80">
        <v>45321.625</v>
      </c>
      <c r="AK21" s="72">
        <v>45321</v>
      </c>
      <c r="AL21" s="72">
        <v>45321</v>
      </c>
      <c r="AM21" s="72">
        <v>45321</v>
      </c>
      <c r="AN21" t="s" s="70">
        <v>300</v>
      </c>
      <c r="AO21" s="80" cm="1">
        <f t="array" ref="AO21">AJ21</f>
        <v>45321.625</v>
      </c>
      <c r="AP21" t="s" s="70">
        <v>301</v>
      </c>
      <c r="AQ21" s="80" cm="1">
        <f t="array" ref="AQ21">AJ21</f>
        <v>45321.625</v>
      </c>
      <c r="AR21" t="s" s="70">
        <v>302</v>
      </c>
      <c r="AS21" s="80" cm="1">
        <f t="array" ref="AS21">AJ21</f>
        <v>45321.625</v>
      </c>
      <c r="AT21" t="s" s="78">
        <v>303</v>
      </c>
      <c r="AU21" s="80" cm="1">
        <f t="array" ref="AU21">AJ21</f>
        <v>45321.625</v>
      </c>
      <c r="AV21" s="66"/>
      <c r="AW21" t="str" s="74" cm="1">
        <f t="array" ref="AW21">"600/"&amp;$B21&amp;"/"&amp;IF(AND($AE21="Konsultansi",M21&lt;=100000000),"SPK",IF(AND($AE21="Konsultansi",M21&gt;100000000),"Kont",IF(AND($AE21&lt;&gt;"Konsultansi",M21&lt;=200000000),"SPK","Kont")))&amp;"-"&amp;AE21&amp;"/PPK/DPUPR"</f>
        <v>600/49013151/SPK-Konstruksi/PPK/DPUPR</v>
      </c>
      <c r="AX21" t="str" s="74" cm="1">
        <f t="array" ref="AX21">"600/"&amp;$B21&amp;"/SPMK/PPK/DPUPR"</f>
        <v>600/49013151/SPMK/PPK/DPUPR</v>
      </c>
      <c r="AY21" s="66"/>
      <c r="AZ21" s="66"/>
      <c r="BA21" s="66"/>
      <c r="BB21" s="66"/>
      <c r="BC21" s="66"/>
      <c r="BD21" s="66"/>
      <c r="BE21" s="66"/>
      <c r="BF21" s="66"/>
      <c r="BG21" s="75">
        <v>72</v>
      </c>
      <c r="BH21" t="s" s="70">
        <v>292</v>
      </c>
      <c r="BI21" t="s" s="70">
        <v>21</v>
      </c>
      <c r="BJ21" t="s" s="70">
        <v>22</v>
      </c>
      <c r="BK21" t="s" s="70">
        <v>23</v>
      </c>
      <c r="BL21" t="s" s="70">
        <v>24</v>
      </c>
      <c r="BM21" s="66"/>
      <c r="BN21" s="66"/>
      <c r="BO21" s="66"/>
      <c r="BP21" s="66"/>
      <c r="BQ21" s="66"/>
      <c r="BR21" t="b" s="73">
        <v>0</v>
      </c>
      <c r="BS21" s="68" cm="1">
        <f t="array" ref="BS21">IF(M21&lt;=0.8*K21,5%*K21,M21*5%)</f>
        <v>9735150</v>
      </c>
      <c r="BT21" t="s" s="70">
        <v>25</v>
      </c>
      <c r="BU21" s="66"/>
      <c r="BV21" s="68" cm="1">
        <f t="array" ref="BV21">J21-M21</f>
        <v>297000</v>
      </c>
    </row>
    <row r="22" ht="36.25" customHeight="1">
      <c r="A22" s="49"/>
      <c r="B22" s="50">
        <v>49013206</v>
      </c>
      <c r="C22" t="s" s="51">
        <v>306</v>
      </c>
      <c r="D22" t="s" s="52">
        <v>1</v>
      </c>
      <c r="E22" t="str" s="53" cm="1">
        <f t="array" ref="E22">$C22</f>
        <v>Peningkatan Jalan Baliri</v>
      </c>
      <c r="F22" s="54"/>
      <c r="G22" s="53"/>
      <c r="H22" s="53"/>
      <c r="I22" s="53"/>
      <c r="J22" s="55">
        <v>195000000</v>
      </c>
      <c r="K22" s="77">
        <v>194911628.32</v>
      </c>
      <c r="L22" s="57">
        <v>194862916.22</v>
      </c>
      <c r="M22" s="55">
        <v>194862000</v>
      </c>
      <c r="N22" t="s" s="58">
        <v>307</v>
      </c>
      <c r="O22" t="s" s="59">
        <v>308</v>
      </c>
      <c r="P22" t="s" s="58">
        <v>4</v>
      </c>
      <c r="Q22" t="s" s="58">
        <v>309</v>
      </c>
      <c r="R22" t="s" s="58">
        <v>310</v>
      </c>
      <c r="S22" s="61">
        <v>42</v>
      </c>
      <c r="T22" s="60">
        <v>44404</v>
      </c>
      <c r="U22" t="s" s="58">
        <v>296</v>
      </c>
      <c r="V22" t="s" s="58">
        <v>311</v>
      </c>
      <c r="W22" t="s" s="58">
        <v>312</v>
      </c>
      <c r="X22" s="61">
        <v>150</v>
      </c>
      <c r="Y22" t="s" s="58">
        <v>10</v>
      </c>
      <c r="Z22" s="55" cm="1">
        <f t="array" ref="Z22">M22</f>
        <v>194862000</v>
      </c>
      <c r="AA22" t="s" s="58">
        <v>313</v>
      </c>
      <c r="AB22" s="60" cm="1">
        <f t="array" ref="AB22">AH22</f>
        <v>45321</v>
      </c>
      <c r="AC22" s="61" cm="1">
        <f t="array" ref="AC22">6*30</f>
        <v>180</v>
      </c>
      <c r="AD22" t="s" s="58">
        <v>109</v>
      </c>
      <c r="AE22" t="s" s="58">
        <v>110</v>
      </c>
      <c r="AF22" t="s" s="58">
        <v>111</v>
      </c>
      <c r="AG22" s="60">
        <v>45320</v>
      </c>
      <c r="AH22" s="60">
        <v>45321</v>
      </c>
      <c r="AI22" s="60">
        <v>45321</v>
      </c>
      <c r="AJ22" s="81">
        <v>45321.625</v>
      </c>
      <c r="AK22" s="60">
        <v>45321</v>
      </c>
      <c r="AL22" s="60">
        <v>45321</v>
      </c>
      <c r="AM22" s="60">
        <v>45321</v>
      </c>
      <c r="AN22" t="s" s="58">
        <v>314</v>
      </c>
      <c r="AO22" s="81" cm="1">
        <f t="array" ref="AO22">AJ22</f>
        <v>45321.625</v>
      </c>
      <c r="AP22" t="s" s="58">
        <v>315</v>
      </c>
      <c r="AQ22" s="81" cm="1">
        <f t="array" ref="AQ22">AJ22</f>
        <v>45321.625</v>
      </c>
      <c r="AR22" t="s" s="58">
        <v>316</v>
      </c>
      <c r="AS22" s="81" cm="1">
        <f t="array" ref="AS22">AJ22</f>
        <v>45321.625</v>
      </c>
      <c r="AT22" t="s" s="78">
        <v>317</v>
      </c>
      <c r="AU22" s="81" cm="1">
        <f t="array" ref="AU22">AJ22</f>
        <v>45321.625</v>
      </c>
      <c r="AV22" s="53"/>
      <c r="AW22" t="str" s="63" cm="1">
        <f t="array" ref="AW22">"600/"&amp;$B22&amp;"/"&amp;IF(AND($AE22="Konsultansi",M22&lt;=100000000),"SPK",IF(AND($AE22="Konsultansi",M22&gt;100000000),"Kont",IF(AND($AE22&lt;&gt;"Konsultansi",M22&lt;=200000000),"SPK","Kont")))&amp;"-"&amp;AE22&amp;"/PPK/DPUPR"</f>
        <v>600/49013206/SPK-Konstruksi/PPK/DPUPR</v>
      </c>
      <c r="AX22" t="str" s="63" cm="1">
        <f t="array" ref="AX22">"600/"&amp;$B22&amp;"/SPMK/PPK/DPUPR"</f>
        <v>600/49013206/SPMK/PPK/DPUPR</v>
      </c>
      <c r="AY22" s="53"/>
      <c r="AZ22" s="53"/>
      <c r="BA22" s="53"/>
      <c r="BB22" s="53"/>
      <c r="BC22" s="53"/>
      <c r="BD22" s="53"/>
      <c r="BE22" s="53"/>
      <c r="BF22" s="53"/>
      <c r="BG22" s="64">
        <v>22</v>
      </c>
      <c r="BH22" t="s" s="58">
        <v>307</v>
      </c>
      <c r="BI22" t="s" s="58">
        <v>21</v>
      </c>
      <c r="BJ22" t="s" s="58">
        <v>22</v>
      </c>
      <c r="BK22" t="s" s="58">
        <v>23</v>
      </c>
      <c r="BL22" t="s" s="58">
        <v>24</v>
      </c>
      <c r="BM22" s="53"/>
      <c r="BN22" s="53"/>
      <c r="BO22" s="53"/>
      <c r="BP22" s="53"/>
      <c r="BQ22" s="53"/>
      <c r="BR22" t="b" s="61">
        <v>0</v>
      </c>
      <c r="BS22" s="55" cm="1">
        <f t="array" ref="BS22">IF(M22&lt;=0.8*K22,5%*K22,M22*5%)</f>
        <v>9743100</v>
      </c>
      <c r="BT22" t="s" s="58">
        <v>25</v>
      </c>
      <c r="BU22" s="53"/>
      <c r="BV22" s="55" cm="1">
        <f t="array" ref="BV22">J22-M22</f>
        <v>138000</v>
      </c>
    </row>
    <row r="23" ht="36.25" customHeight="1">
      <c r="A23" s="49"/>
      <c r="B23" s="50">
        <v>49013260</v>
      </c>
      <c r="C23" t="s" s="51">
        <v>320</v>
      </c>
      <c r="D23" t="s" s="65">
        <v>1</v>
      </c>
      <c r="E23" t="str" s="66" cm="1">
        <f t="array" ref="E23">$C23</f>
        <v>Peningkatan Jalan Lingkar Sawi</v>
      </c>
      <c r="F23" s="67"/>
      <c r="G23" s="66"/>
      <c r="H23" s="66"/>
      <c r="I23" s="66"/>
      <c r="J23" s="68">
        <v>195000000</v>
      </c>
      <c r="K23" s="76">
        <v>194766871.42</v>
      </c>
      <c r="L23" s="57">
        <v>194720966.24</v>
      </c>
      <c r="M23" s="68">
        <v>194720000</v>
      </c>
      <c r="N23" t="s" s="70">
        <v>321</v>
      </c>
      <c r="O23" t="s" s="71">
        <v>322</v>
      </c>
      <c r="P23" t="s" s="70">
        <v>4</v>
      </c>
      <c r="Q23" t="s" s="70">
        <v>323</v>
      </c>
      <c r="R23" t="s" s="70">
        <v>279</v>
      </c>
      <c r="S23" t="s" s="70">
        <v>324</v>
      </c>
      <c r="T23" s="82">
        <v>43979</v>
      </c>
      <c r="U23" t="s" s="70">
        <v>124</v>
      </c>
      <c r="V23" t="s" s="70">
        <v>325</v>
      </c>
      <c r="W23" t="s" s="70">
        <v>326</v>
      </c>
      <c r="X23" s="73">
        <v>150</v>
      </c>
      <c r="Y23" t="s" s="70">
        <v>10</v>
      </c>
      <c r="Z23" s="68" cm="1">
        <f t="array" ref="Z23">M23</f>
        <v>194720000</v>
      </c>
      <c r="AA23" t="s" s="70">
        <v>327</v>
      </c>
      <c r="AB23" s="72" cm="1">
        <f t="array" ref="AB23">AH23</f>
        <v>45321</v>
      </c>
      <c r="AC23" s="73" cm="1">
        <f t="array" ref="AC23">6*30</f>
        <v>180</v>
      </c>
      <c r="AD23" t="s" s="70">
        <v>109</v>
      </c>
      <c r="AE23" t="s" s="70">
        <v>110</v>
      </c>
      <c r="AF23" t="s" s="70">
        <v>111</v>
      </c>
      <c r="AG23" s="72">
        <v>45320</v>
      </c>
      <c r="AH23" s="72">
        <v>45321</v>
      </c>
      <c r="AI23" s="72">
        <v>45321</v>
      </c>
      <c r="AJ23" s="80">
        <v>45321.625</v>
      </c>
      <c r="AK23" s="72">
        <v>45321</v>
      </c>
      <c r="AL23" s="72">
        <v>45321</v>
      </c>
      <c r="AM23" s="72">
        <v>45321</v>
      </c>
      <c r="AN23" t="s" s="70">
        <v>328</v>
      </c>
      <c r="AO23" s="80" cm="1">
        <f t="array" ref="AO23">AJ23</f>
        <v>45321.625</v>
      </c>
      <c r="AP23" t="s" s="70">
        <v>329</v>
      </c>
      <c r="AQ23" s="80" cm="1">
        <f t="array" ref="AQ23">AJ23</f>
        <v>45321.625</v>
      </c>
      <c r="AR23" t="s" s="70">
        <v>330</v>
      </c>
      <c r="AS23" s="80" cm="1">
        <f t="array" ref="AS23">AJ23</f>
        <v>45321.625</v>
      </c>
      <c r="AT23" t="s" s="78">
        <v>331</v>
      </c>
      <c r="AU23" s="80" cm="1">
        <f t="array" ref="AU23">AJ23</f>
        <v>45321.625</v>
      </c>
      <c r="AV23" s="66"/>
      <c r="AW23" t="str" s="74" cm="1">
        <f t="array" ref="AW23">"600/"&amp;$B23&amp;"/"&amp;IF(AND($AE23="Konsultansi",M23&lt;=100000000),"SPK",IF(AND($AE23="Konsultansi",M23&gt;100000000),"Kont",IF(AND($AE23&lt;&gt;"Konsultansi",M23&lt;=200000000),"SPK","Kont")))&amp;"-"&amp;AE23&amp;"/PPK/DPUPR"</f>
        <v>600/49013260/SPK-Konstruksi/PPK/DPUPR</v>
      </c>
      <c r="AX23" t="str" s="74" cm="1">
        <f t="array" ref="AX23">"600/"&amp;$B23&amp;"/SPMK/PPK/DPUPR"</f>
        <v>600/49013260/SPMK/PPK/DPUPR</v>
      </c>
      <c r="AY23" s="66"/>
      <c r="AZ23" s="66"/>
      <c r="BA23" s="66"/>
      <c r="BB23" s="66"/>
      <c r="BC23" s="66"/>
      <c r="BD23" s="66"/>
      <c r="BE23" s="66"/>
      <c r="BF23" s="66"/>
      <c r="BG23" s="75">
        <v>15</v>
      </c>
      <c r="BH23" t="s" s="70">
        <v>321</v>
      </c>
      <c r="BI23" t="s" s="70">
        <v>21</v>
      </c>
      <c r="BJ23" t="s" s="70">
        <v>22</v>
      </c>
      <c r="BK23" t="s" s="70">
        <v>23</v>
      </c>
      <c r="BL23" t="s" s="70">
        <v>24</v>
      </c>
      <c r="BM23" s="66"/>
      <c r="BN23" s="66"/>
      <c r="BO23" s="66"/>
      <c r="BP23" s="66"/>
      <c r="BQ23" s="66"/>
      <c r="BR23" t="b" s="73">
        <v>0</v>
      </c>
      <c r="BS23" s="68" cm="1">
        <f t="array" ref="BS23">IF(M23&lt;=0.8*K23,5%*K23,M23*5%)</f>
        <v>9736000</v>
      </c>
      <c r="BT23" t="s" s="70">
        <v>25</v>
      </c>
      <c r="BU23" s="66"/>
      <c r="BV23" s="68" cm="1">
        <f t="array" ref="BV23">J23-M23</f>
        <v>280000</v>
      </c>
    </row>
    <row r="24" ht="36.25" customHeight="1">
      <c r="A24" s="49"/>
      <c r="B24" s="50">
        <v>49013313</v>
      </c>
      <c r="C24" t="s" s="51">
        <v>334</v>
      </c>
      <c r="D24" t="s" s="52">
        <v>1</v>
      </c>
      <c r="E24" t="str" s="53" cm="1">
        <f t="array" ref="E24">$C24</f>
        <v>Peningkatan Jalan Dsn Meju Desa Ompi</v>
      </c>
      <c r="F24" s="54"/>
      <c r="G24" s="53"/>
      <c r="H24" s="53"/>
      <c r="I24" s="53"/>
      <c r="J24" s="55">
        <v>195000000</v>
      </c>
      <c r="K24" s="77">
        <v>194837179.73</v>
      </c>
      <c r="L24" s="57">
        <v>194735621.65</v>
      </c>
      <c r="M24" s="55">
        <v>194735000</v>
      </c>
      <c r="N24" t="s" s="58">
        <v>276</v>
      </c>
      <c r="O24" t="s" s="59">
        <v>277</v>
      </c>
      <c r="P24" t="s" s="58">
        <v>4</v>
      </c>
      <c r="Q24" t="s" s="58">
        <v>278</v>
      </c>
      <c r="R24" t="s" s="58">
        <v>279</v>
      </c>
      <c r="S24" t="s" s="58">
        <v>280</v>
      </c>
      <c r="T24" s="60">
        <v>40634</v>
      </c>
      <c r="U24" t="s" s="58">
        <v>281</v>
      </c>
      <c r="V24" t="s" s="58">
        <v>282</v>
      </c>
      <c r="W24" t="s" s="58">
        <v>283</v>
      </c>
      <c r="X24" s="61">
        <v>150</v>
      </c>
      <c r="Y24" t="s" s="58">
        <v>10</v>
      </c>
      <c r="Z24" s="55" cm="1">
        <f t="array" ref="Z24">M24</f>
        <v>194735000</v>
      </c>
      <c r="AA24" t="s" s="58">
        <v>335</v>
      </c>
      <c r="AB24" s="60" cm="1">
        <f t="array" ref="AB24">AH24</f>
        <v>45321</v>
      </c>
      <c r="AC24" s="61" cm="1">
        <f t="array" ref="AC24">6*30</f>
        <v>180</v>
      </c>
      <c r="AD24" t="s" s="58">
        <v>109</v>
      </c>
      <c r="AE24" t="s" s="58">
        <v>110</v>
      </c>
      <c r="AF24" t="s" s="58">
        <v>111</v>
      </c>
      <c r="AG24" s="60">
        <v>45320</v>
      </c>
      <c r="AH24" s="60">
        <v>45321</v>
      </c>
      <c r="AI24" s="60">
        <v>45321</v>
      </c>
      <c r="AJ24" s="81">
        <v>45321.625</v>
      </c>
      <c r="AK24" s="60">
        <v>45321</v>
      </c>
      <c r="AL24" s="60">
        <v>45321</v>
      </c>
      <c r="AM24" s="60">
        <v>45321</v>
      </c>
      <c r="AN24" t="s" s="58">
        <v>336</v>
      </c>
      <c r="AO24" s="81" cm="1">
        <f t="array" ref="AO24">AJ24</f>
        <v>45321.625</v>
      </c>
      <c r="AP24" t="s" s="58">
        <v>337</v>
      </c>
      <c r="AQ24" s="81" cm="1">
        <f t="array" ref="AQ24">AJ24</f>
        <v>45321.625</v>
      </c>
      <c r="AR24" t="s" s="58">
        <v>338</v>
      </c>
      <c r="AS24" s="81" cm="1">
        <f t="array" ref="AS24">AJ24</f>
        <v>45321.625</v>
      </c>
      <c r="AT24" t="s" s="78">
        <v>339</v>
      </c>
      <c r="AU24" s="81" cm="1">
        <f t="array" ref="AU24">AJ24</f>
        <v>45321.625</v>
      </c>
      <c r="AV24" s="53"/>
      <c r="AW24" t="str" s="63" cm="1">
        <f t="array" ref="AW24">"600/"&amp;$B24&amp;"/"&amp;IF(AND($AE24="Konsultansi",M24&lt;=100000000),"SPK",IF(AND($AE24="Konsultansi",M24&gt;100000000),"Kont",IF(AND($AE24&lt;&gt;"Konsultansi",M24&lt;=200000000),"SPK","Kont")))&amp;"-"&amp;AE24&amp;"/PPK/DPUPR"</f>
        <v>600/49013313/SPK-Konstruksi/PPK/DPUPR</v>
      </c>
      <c r="AX24" t="str" s="63" cm="1">
        <f t="array" ref="AX24">"600/"&amp;$B24&amp;"/SPMK/PPK/DPUPR"</f>
        <v>600/49013313/SPMK/PPK/DPUPR</v>
      </c>
      <c r="AY24" s="53"/>
      <c r="AZ24" s="53"/>
      <c r="BA24" s="53"/>
      <c r="BB24" s="53"/>
      <c r="BC24" s="53"/>
      <c r="BD24" s="53"/>
      <c r="BE24" s="53"/>
      <c r="BF24" s="53"/>
      <c r="BG24" s="64">
        <v>19</v>
      </c>
      <c r="BH24" t="s" s="58">
        <v>276</v>
      </c>
      <c r="BI24" t="s" s="58">
        <v>21</v>
      </c>
      <c r="BJ24" t="s" s="58">
        <v>22</v>
      </c>
      <c r="BK24" t="s" s="58">
        <v>23</v>
      </c>
      <c r="BL24" t="s" s="58">
        <v>24</v>
      </c>
      <c r="BM24" s="53"/>
      <c r="BN24" s="53"/>
      <c r="BO24" s="53"/>
      <c r="BP24" s="53"/>
      <c r="BQ24" s="53"/>
      <c r="BR24" t="b" s="61">
        <v>0</v>
      </c>
      <c r="BS24" s="55" cm="1">
        <f t="array" ref="BS24">IF(M24&lt;=0.8*K24,5%*K24,M24*5%)</f>
        <v>9736750</v>
      </c>
      <c r="BT24" t="s" s="58">
        <v>25</v>
      </c>
      <c r="BU24" s="53"/>
      <c r="BV24" s="55" cm="1">
        <f t="array" ref="BV24">J24-M24</f>
        <v>265000</v>
      </c>
    </row>
    <row r="25" ht="36.25" customHeight="1">
      <c r="A25" s="49"/>
      <c r="B25" s="50">
        <v>49013354</v>
      </c>
      <c r="C25" t="s" s="51">
        <v>342</v>
      </c>
      <c r="D25" t="s" s="65">
        <v>1</v>
      </c>
      <c r="E25" t="str" s="66" cm="1">
        <f t="array" ref="E25">$C25</f>
        <v>Peningkatan Jalan Kasano Kelurahan Baras</v>
      </c>
      <c r="F25" s="67"/>
      <c r="G25" s="66"/>
      <c r="H25" s="66"/>
      <c r="I25" s="66"/>
      <c r="J25" s="68">
        <v>195000000</v>
      </c>
      <c r="K25" s="76">
        <v>194752136.03</v>
      </c>
      <c r="L25" s="57">
        <v>194660709.17</v>
      </c>
      <c r="M25" s="68">
        <v>194660000</v>
      </c>
      <c r="N25" t="s" s="70">
        <v>292</v>
      </c>
      <c r="O25" t="s" s="71">
        <v>293</v>
      </c>
      <c r="P25" t="s" s="70">
        <v>4</v>
      </c>
      <c r="Q25" t="s" s="70">
        <v>294</v>
      </c>
      <c r="R25" t="s" s="70">
        <v>295</v>
      </c>
      <c r="S25" s="73">
        <v>11</v>
      </c>
      <c r="T25" s="82">
        <v>42508</v>
      </c>
      <c r="U25" t="s" s="70">
        <v>296</v>
      </c>
      <c r="V25" t="s" s="70">
        <v>297</v>
      </c>
      <c r="W25" t="s" s="70">
        <v>298</v>
      </c>
      <c r="X25" s="73">
        <v>150</v>
      </c>
      <c r="Y25" t="s" s="70">
        <v>10</v>
      </c>
      <c r="Z25" s="68" cm="1">
        <f t="array" ref="Z25">M25</f>
        <v>194660000</v>
      </c>
      <c r="AA25" t="s" s="70">
        <v>343</v>
      </c>
      <c r="AB25" s="72" cm="1">
        <f t="array" ref="AB25">AH25</f>
        <v>45321</v>
      </c>
      <c r="AC25" s="73" cm="1">
        <f t="array" ref="AC25">6*30</f>
        <v>180</v>
      </c>
      <c r="AD25" t="s" s="70">
        <v>109</v>
      </c>
      <c r="AE25" t="s" s="70">
        <v>110</v>
      </c>
      <c r="AF25" t="s" s="70">
        <v>111</v>
      </c>
      <c r="AG25" s="72">
        <v>45320</v>
      </c>
      <c r="AH25" s="72">
        <v>45321</v>
      </c>
      <c r="AI25" s="72">
        <v>45321</v>
      </c>
      <c r="AJ25" s="80">
        <v>45321.625</v>
      </c>
      <c r="AK25" s="72">
        <v>45321</v>
      </c>
      <c r="AL25" s="72">
        <v>45321</v>
      </c>
      <c r="AM25" s="72">
        <v>45321</v>
      </c>
      <c r="AN25" t="s" s="70">
        <v>344</v>
      </c>
      <c r="AO25" s="80" cm="1">
        <f t="array" ref="AO25">AJ25</f>
        <v>45321.625</v>
      </c>
      <c r="AP25" t="s" s="70">
        <v>345</v>
      </c>
      <c r="AQ25" s="80" cm="1">
        <f t="array" ref="AQ25">AJ25</f>
        <v>45321.625</v>
      </c>
      <c r="AR25" t="s" s="70">
        <v>346</v>
      </c>
      <c r="AS25" s="80" cm="1">
        <f t="array" ref="AS25">AJ25</f>
        <v>45321.625</v>
      </c>
      <c r="AT25" t="s" s="78">
        <v>347</v>
      </c>
      <c r="AU25" s="80" cm="1">
        <f t="array" ref="AU25">AJ25</f>
        <v>45321.625</v>
      </c>
      <c r="AV25" s="66"/>
      <c r="AW25" t="str" s="74" cm="1">
        <f t="array" ref="AW25">"600/"&amp;$B25&amp;"/"&amp;IF(AND($AE25="Konsultansi",M25&lt;=100000000),"SPK",IF(AND($AE25="Konsultansi",M25&gt;100000000),"Kont",IF(AND($AE25&lt;&gt;"Konsultansi",M25&lt;=200000000),"SPK","Kont")))&amp;"-"&amp;AE25&amp;"/PPK/DPUPR"</f>
        <v>600/49013354/SPK-Konstruksi/PPK/DPUPR</v>
      </c>
      <c r="AX25" t="str" s="74" cm="1">
        <f t="array" ref="AX25">"600/"&amp;$B25&amp;"/SPMK/PPK/DPUPR"</f>
        <v>600/49013354/SPMK/PPK/DPUPR</v>
      </c>
      <c r="AY25" s="66"/>
      <c r="AZ25" s="66"/>
      <c r="BA25" s="66"/>
      <c r="BB25" s="66"/>
      <c r="BC25" s="66"/>
      <c r="BD25" s="66"/>
      <c r="BE25" s="66"/>
      <c r="BF25" s="66"/>
      <c r="BG25" s="75">
        <v>72</v>
      </c>
      <c r="BH25" t="s" s="70">
        <v>292</v>
      </c>
      <c r="BI25" t="s" s="70">
        <v>21</v>
      </c>
      <c r="BJ25" t="s" s="70">
        <v>22</v>
      </c>
      <c r="BK25" t="s" s="70">
        <v>23</v>
      </c>
      <c r="BL25" t="s" s="70">
        <v>24</v>
      </c>
      <c r="BM25" s="66"/>
      <c r="BN25" s="66"/>
      <c r="BO25" s="66"/>
      <c r="BP25" s="66"/>
      <c r="BQ25" s="66"/>
      <c r="BR25" t="b" s="73">
        <v>0</v>
      </c>
      <c r="BS25" s="68" cm="1">
        <f t="array" ref="BS25">IF(M25&lt;=0.8*K25,5%*K25,M25*5%)</f>
        <v>9733000</v>
      </c>
      <c r="BT25" t="s" s="70">
        <v>25</v>
      </c>
      <c r="BU25" s="66"/>
      <c r="BV25" s="68" cm="1">
        <f t="array" ref="BV25">J25-M25</f>
        <v>340000</v>
      </c>
    </row>
    <row r="26" ht="36.25" customHeight="1">
      <c r="A26" s="49"/>
      <c r="B26" s="50">
        <v>49013411</v>
      </c>
      <c r="C26" t="s" s="51">
        <v>350</v>
      </c>
      <c r="D26" t="s" s="52">
        <v>1</v>
      </c>
      <c r="E26" t="str" s="53" cm="1">
        <f t="array" ref="E26">$C26</f>
        <v>Peningkatan Jalan/Proteksi Dusun Sawi Kel. Bambalamotu</v>
      </c>
      <c r="F26" s="54"/>
      <c r="G26" s="53"/>
      <c r="H26" s="53"/>
      <c r="I26" s="53"/>
      <c r="J26" s="55">
        <v>195000000</v>
      </c>
      <c r="K26" s="77">
        <v>194759071.13</v>
      </c>
      <c r="L26" s="57">
        <v>194682728.64</v>
      </c>
      <c r="M26" s="55">
        <v>194682000</v>
      </c>
      <c r="N26" t="s" s="58">
        <v>307</v>
      </c>
      <c r="O26" t="s" s="59">
        <v>308</v>
      </c>
      <c r="P26" t="s" s="58">
        <v>4</v>
      </c>
      <c r="Q26" t="s" s="58">
        <v>309</v>
      </c>
      <c r="R26" t="s" s="58">
        <v>310</v>
      </c>
      <c r="S26" s="61">
        <v>42</v>
      </c>
      <c r="T26" s="60">
        <v>44404</v>
      </c>
      <c r="U26" t="s" s="58">
        <v>296</v>
      </c>
      <c r="V26" t="s" s="58">
        <v>311</v>
      </c>
      <c r="W26" t="s" s="58">
        <v>312</v>
      </c>
      <c r="X26" s="61">
        <v>150</v>
      </c>
      <c r="Y26" t="s" s="58">
        <v>10</v>
      </c>
      <c r="Z26" s="55" cm="1">
        <f t="array" ref="Z26">M26</f>
        <v>194682000</v>
      </c>
      <c r="AA26" t="s" s="58">
        <v>351</v>
      </c>
      <c r="AB26" s="60" cm="1">
        <f t="array" ref="AB26">AH26</f>
        <v>45321</v>
      </c>
      <c r="AC26" s="61" cm="1">
        <f t="array" ref="AC26">6*30</f>
        <v>180</v>
      </c>
      <c r="AD26" t="s" s="58">
        <v>109</v>
      </c>
      <c r="AE26" t="s" s="58">
        <v>110</v>
      </c>
      <c r="AF26" t="s" s="58">
        <v>111</v>
      </c>
      <c r="AG26" s="60">
        <v>45320</v>
      </c>
      <c r="AH26" s="60">
        <v>45321</v>
      </c>
      <c r="AI26" s="60">
        <v>45321</v>
      </c>
      <c r="AJ26" s="81">
        <v>45321.625</v>
      </c>
      <c r="AK26" s="60">
        <v>45321</v>
      </c>
      <c r="AL26" s="60">
        <v>45321</v>
      </c>
      <c r="AM26" s="60">
        <v>45321</v>
      </c>
      <c r="AN26" t="s" s="58">
        <v>352</v>
      </c>
      <c r="AO26" s="81" cm="1">
        <f t="array" ref="AO26">AJ26</f>
        <v>45321.625</v>
      </c>
      <c r="AP26" t="s" s="58">
        <v>353</v>
      </c>
      <c r="AQ26" s="81" cm="1">
        <f t="array" ref="AQ26">AJ26</f>
        <v>45321.625</v>
      </c>
      <c r="AR26" t="s" s="58">
        <v>354</v>
      </c>
      <c r="AS26" s="81" cm="1">
        <f t="array" ref="AS26">AJ26</f>
        <v>45321.625</v>
      </c>
      <c r="AT26" t="s" s="78">
        <v>355</v>
      </c>
      <c r="AU26" s="81" cm="1">
        <f t="array" ref="AU26">AJ26</f>
        <v>45321.625</v>
      </c>
      <c r="AV26" s="53"/>
      <c r="AW26" t="str" s="63" cm="1">
        <f t="array" ref="AW26">"600/"&amp;$B26&amp;"/"&amp;IF(AND($AE26="Konsultansi",M26&lt;=100000000),"SPK",IF(AND($AE26="Konsultansi",M26&gt;100000000),"Kont",IF(AND($AE26&lt;&gt;"Konsultansi",M26&lt;=200000000),"SPK","Kont")))&amp;"-"&amp;AE26&amp;"/PPK/DPUPR"</f>
        <v>600/49013411/SPK-Konstruksi/PPK/DPUPR</v>
      </c>
      <c r="AX26" t="str" s="63" cm="1">
        <f t="array" ref="AX26">"600/"&amp;$B26&amp;"/SPMK/PPK/DPUPR"</f>
        <v>600/49013411/SPMK/PPK/DPUPR</v>
      </c>
      <c r="AY26" s="53"/>
      <c r="AZ26" s="53"/>
      <c r="BA26" s="53"/>
      <c r="BB26" s="53"/>
      <c r="BC26" s="53"/>
      <c r="BD26" s="53"/>
      <c r="BE26" s="53"/>
      <c r="BF26" s="53"/>
      <c r="BG26" s="64">
        <v>22</v>
      </c>
      <c r="BH26" t="s" s="58">
        <v>307</v>
      </c>
      <c r="BI26" t="s" s="58">
        <v>21</v>
      </c>
      <c r="BJ26" t="s" s="58">
        <v>22</v>
      </c>
      <c r="BK26" t="s" s="58">
        <v>23</v>
      </c>
      <c r="BL26" t="s" s="58">
        <v>24</v>
      </c>
      <c r="BM26" s="53"/>
      <c r="BN26" s="53"/>
      <c r="BO26" s="53"/>
      <c r="BP26" s="53"/>
      <c r="BQ26" s="53"/>
      <c r="BR26" t="b" s="61">
        <v>0</v>
      </c>
      <c r="BS26" s="55" cm="1">
        <f t="array" ref="BS26">IF(M26&lt;=0.8*K26,5%*K26,M26*5%)</f>
        <v>9734100</v>
      </c>
      <c r="BT26" t="s" s="58">
        <v>25</v>
      </c>
      <c r="BU26" s="53"/>
      <c r="BV26" s="55" cm="1">
        <f t="array" ref="BV26">J26-M26</f>
        <v>318000</v>
      </c>
    </row>
    <row r="27" ht="36.25" customHeight="1">
      <c r="A27" s="49"/>
      <c r="B27" s="50">
        <v>49015289</v>
      </c>
      <c r="C27" t="s" s="51">
        <v>358</v>
      </c>
      <c r="D27" t="s" s="65">
        <v>149</v>
      </c>
      <c r="E27" t="str" s="66" cm="1">
        <f t="array" ref="E27">$C27</f>
        <v>Pengawasan Pemb. Jembatan Batio Todai (Abutment) cs.</v>
      </c>
      <c r="F27" s="67"/>
      <c r="G27" s="66"/>
      <c r="H27" s="66"/>
      <c r="I27" s="66"/>
      <c r="J27" s="68">
        <v>50000000</v>
      </c>
      <c r="K27" s="69">
        <v>49999042.8</v>
      </c>
      <c r="L27" s="57">
        <v>49802148</v>
      </c>
      <c r="M27" s="68">
        <v>49802000</v>
      </c>
      <c r="N27" t="s" s="70">
        <v>359</v>
      </c>
      <c r="O27" t="s" s="71">
        <v>360</v>
      </c>
      <c r="P27" t="s" s="70">
        <v>4</v>
      </c>
      <c r="Q27" t="s" s="70">
        <v>361</v>
      </c>
      <c r="R27" t="s" s="70">
        <v>362</v>
      </c>
      <c r="S27" s="73">
        <v>20</v>
      </c>
      <c r="T27" s="72">
        <v>43496</v>
      </c>
      <c r="U27" t="s" s="70">
        <v>363</v>
      </c>
      <c r="V27" t="s" s="70">
        <v>364</v>
      </c>
      <c r="W27" t="s" s="70">
        <v>365</v>
      </c>
      <c r="X27" s="73">
        <v>150</v>
      </c>
      <c r="Y27" t="s" s="70">
        <v>10</v>
      </c>
      <c r="Z27" s="68" cm="1">
        <f t="array" ref="Z27">M27</f>
        <v>49802000</v>
      </c>
      <c r="AA27" t="s" s="70">
        <v>366</v>
      </c>
      <c r="AB27" s="72" cm="1">
        <f t="array" ref="AB27">AH27</f>
        <v>45321</v>
      </c>
      <c r="AC27" s="66"/>
      <c r="AD27" t="s" s="70">
        <v>12</v>
      </c>
      <c r="AE27" t="s" s="70">
        <v>13</v>
      </c>
      <c r="AF27" t="s" s="70">
        <v>150</v>
      </c>
      <c r="AG27" s="72">
        <v>45320</v>
      </c>
      <c r="AH27" s="72">
        <v>45321</v>
      </c>
      <c r="AI27" s="72">
        <v>45321</v>
      </c>
      <c r="AJ27" s="80">
        <v>45321.625</v>
      </c>
      <c r="AK27" s="72">
        <v>45321</v>
      </c>
      <c r="AL27" s="72">
        <v>45321</v>
      </c>
      <c r="AM27" s="72">
        <v>45321</v>
      </c>
      <c r="AN27" t="s" s="70">
        <v>367</v>
      </c>
      <c r="AO27" s="80" cm="1">
        <f t="array" ref="AO27">AJ27</f>
        <v>45321.625</v>
      </c>
      <c r="AP27" t="s" s="70">
        <v>368</v>
      </c>
      <c r="AQ27" s="80" cm="1">
        <f t="array" ref="AQ27">AJ27</f>
        <v>45321.625</v>
      </c>
      <c r="AR27" t="s" s="70">
        <v>369</v>
      </c>
      <c r="AS27" s="80" cm="1">
        <f t="array" ref="AS27">AJ27</f>
        <v>45321.625</v>
      </c>
      <c r="AT27" t="s" s="78">
        <v>370</v>
      </c>
      <c r="AU27" s="80" cm="1">
        <f t="array" ref="AU27">AJ27</f>
        <v>45321.625</v>
      </c>
      <c r="AV27" s="66"/>
      <c r="AW27" t="str" s="74" cm="1">
        <f t="array" ref="AW27">"600/"&amp;$B27&amp;"/"&amp;IF(AND($AE27="Konsultansi",M27&lt;=100000000),"SPK",IF(AND($AE27="Konsultansi",M27&gt;100000000),"Kont",IF(AND($AE27&lt;&gt;"Konsultansi",M27&lt;=200000000),"SPK","Kont")))&amp;"-"&amp;AE27&amp;"/PPK/DPUPR"</f>
        <v>600/49015289/SPK-Konsultansi/PPK/DPUPR</v>
      </c>
      <c r="AX27" t="str" s="74" cm="1">
        <f t="array" ref="AX27">"600/"&amp;$B27&amp;"/SPMK/PPK/DPUPR"</f>
        <v>600/49015289/SPMK/PPK/DPUPR</v>
      </c>
      <c r="AY27" s="66"/>
      <c r="AZ27" s="66"/>
      <c r="BA27" s="66"/>
      <c r="BB27" s="66"/>
      <c r="BC27" s="66"/>
      <c r="BD27" s="66"/>
      <c r="BE27" s="66"/>
      <c r="BF27" s="66"/>
      <c r="BG27" s="75">
        <v>178</v>
      </c>
      <c r="BH27" t="s" s="70">
        <v>359</v>
      </c>
      <c r="BI27" t="s" s="70">
        <v>21</v>
      </c>
      <c r="BJ27" t="s" s="70">
        <v>22</v>
      </c>
      <c r="BK27" t="s" s="70">
        <v>23</v>
      </c>
      <c r="BL27" t="s" s="70">
        <v>24</v>
      </c>
      <c r="BM27" s="66"/>
      <c r="BN27" s="66"/>
      <c r="BO27" s="66"/>
      <c r="BP27" s="66"/>
      <c r="BQ27" s="66"/>
      <c r="BR27" t="b" s="73">
        <v>0</v>
      </c>
      <c r="BS27" s="68" cm="1">
        <f t="array" ref="BS27">IF(M27&lt;=0.8*K27,5%*K27,M27*5%)</f>
        <v>2490100</v>
      </c>
      <c r="BT27" t="s" s="70">
        <v>156</v>
      </c>
      <c r="BU27" s="66"/>
      <c r="BV27" s="68" cm="1">
        <f t="array" ref="BV27">J27-M27</f>
        <v>198000</v>
      </c>
    </row>
    <row r="28" ht="36.25" customHeight="1">
      <c r="A28" s="49"/>
      <c r="B28" s="50">
        <v>49013538</v>
      </c>
      <c r="C28" t="s" s="51">
        <v>373</v>
      </c>
      <c r="D28" t="s" s="52">
        <v>149</v>
      </c>
      <c r="E28" t="str" s="53" cm="1">
        <f t="array" ref="E28">$C28</f>
        <v>Pemb. Jembatan Batio Todai (Abutment)</v>
      </c>
      <c r="F28" s="54"/>
      <c r="G28" s="53"/>
      <c r="H28" s="53"/>
      <c r="I28" s="53"/>
      <c r="J28" s="55">
        <v>200000000</v>
      </c>
      <c r="K28" s="77">
        <v>199931917.17</v>
      </c>
      <c r="L28" s="57">
        <v>199801520.78</v>
      </c>
      <c r="M28" s="55">
        <v>199801000</v>
      </c>
      <c r="N28" t="s" s="58">
        <v>321</v>
      </c>
      <c r="O28" t="s" s="59">
        <v>322</v>
      </c>
      <c r="P28" t="s" s="58">
        <v>4</v>
      </c>
      <c r="Q28" t="s" s="58">
        <v>323</v>
      </c>
      <c r="R28" t="s" s="58">
        <v>279</v>
      </c>
      <c r="S28" t="s" s="58">
        <v>324</v>
      </c>
      <c r="T28" s="83">
        <v>43979</v>
      </c>
      <c r="U28" t="s" s="58">
        <v>124</v>
      </c>
      <c r="V28" t="s" s="58">
        <v>325</v>
      </c>
      <c r="W28" t="s" s="58">
        <v>326</v>
      </c>
      <c r="X28" s="61">
        <v>150</v>
      </c>
      <c r="Y28" t="s" s="58">
        <v>10</v>
      </c>
      <c r="Z28" s="55" cm="1">
        <f t="array" ref="Z28">M28</f>
        <v>199801000</v>
      </c>
      <c r="AA28" t="s" s="58">
        <v>327</v>
      </c>
      <c r="AB28" s="60" cm="1">
        <f t="array" ref="AB28">AH28</f>
        <v>45321</v>
      </c>
      <c r="AC28" s="61" cm="1">
        <f t="array" ref="AC28">6*30</f>
        <v>180</v>
      </c>
      <c r="AD28" t="s" s="58">
        <v>109</v>
      </c>
      <c r="AE28" t="s" s="58">
        <v>110</v>
      </c>
      <c r="AF28" t="s" s="58">
        <v>150</v>
      </c>
      <c r="AG28" s="60">
        <v>45320</v>
      </c>
      <c r="AH28" s="60">
        <v>45321</v>
      </c>
      <c r="AI28" s="60">
        <v>45321</v>
      </c>
      <c r="AJ28" s="81">
        <v>45321.625</v>
      </c>
      <c r="AK28" s="60">
        <v>45321</v>
      </c>
      <c r="AL28" s="60">
        <v>45321</v>
      </c>
      <c r="AM28" s="60">
        <v>45321</v>
      </c>
      <c r="AN28" t="s" s="58">
        <v>374</v>
      </c>
      <c r="AO28" s="81" cm="1">
        <f t="array" ref="AO28">AJ28</f>
        <v>45321.625</v>
      </c>
      <c r="AP28" t="s" s="58">
        <v>375</v>
      </c>
      <c r="AQ28" s="81" cm="1">
        <f t="array" ref="AQ28">AJ28</f>
        <v>45321.625</v>
      </c>
      <c r="AR28" t="s" s="58">
        <v>376</v>
      </c>
      <c r="AS28" s="81" cm="1">
        <f t="array" ref="AS28">AJ28</f>
        <v>45321.625</v>
      </c>
      <c r="AT28" t="s" s="78">
        <v>377</v>
      </c>
      <c r="AU28" s="81" cm="1">
        <f t="array" ref="AU28">AJ28</f>
        <v>45321.625</v>
      </c>
      <c r="AV28" s="53"/>
      <c r="AW28" t="str" s="63" cm="1">
        <f t="array" ref="AW28">"600/"&amp;$B28&amp;"/"&amp;IF(AND($AE28="Konsultansi",M28&lt;=100000000),"SPK",IF(AND($AE28="Konsultansi",M28&gt;100000000),"Kont",IF(AND($AE28&lt;&gt;"Konsultansi",M28&lt;=200000000),"SPK","Kont")))&amp;"-"&amp;AE28&amp;"/PPK/DPUPR"</f>
        <v>600/49013538/SPK-Konstruksi/PPK/DPUPR</v>
      </c>
      <c r="AX28" t="str" s="63" cm="1">
        <f t="array" ref="AX28">"600/"&amp;$B28&amp;"/SPMK/PPK/DPUPR"</f>
        <v>600/49013538/SPMK/PPK/DPUPR</v>
      </c>
      <c r="AY28" s="53"/>
      <c r="AZ28" s="53"/>
      <c r="BA28" s="53"/>
      <c r="BB28" s="53"/>
      <c r="BC28" s="53"/>
      <c r="BD28" s="53"/>
      <c r="BE28" s="53"/>
      <c r="BF28" s="53"/>
      <c r="BG28" s="64">
        <v>15</v>
      </c>
      <c r="BH28" t="s" s="58">
        <v>321</v>
      </c>
      <c r="BI28" t="s" s="58">
        <v>21</v>
      </c>
      <c r="BJ28" t="s" s="58">
        <v>22</v>
      </c>
      <c r="BK28" t="s" s="58">
        <v>23</v>
      </c>
      <c r="BL28" t="s" s="58">
        <v>24</v>
      </c>
      <c r="BM28" s="53"/>
      <c r="BN28" s="53"/>
      <c r="BO28" s="53"/>
      <c r="BP28" s="53"/>
      <c r="BQ28" s="53"/>
      <c r="BR28" t="b" s="61">
        <v>0</v>
      </c>
      <c r="BS28" s="55" cm="1">
        <f t="array" ref="BS28">IF(M28&lt;=0.8*K28,5%*K28,M28*5%)</f>
        <v>9990050</v>
      </c>
      <c r="BT28" t="s" s="58">
        <v>156</v>
      </c>
      <c r="BU28" s="53"/>
      <c r="BV28" s="55" cm="1">
        <f t="array" ref="BV28">J28-M28</f>
        <v>199000</v>
      </c>
    </row>
    <row r="29" ht="36.25" customHeight="1">
      <c r="A29" s="49"/>
      <c r="B29" s="50">
        <v>49014437</v>
      </c>
      <c r="C29" t="s" s="51">
        <v>380</v>
      </c>
      <c r="D29" t="s" s="65">
        <v>149</v>
      </c>
      <c r="E29" t="str" s="66" cm="1">
        <f t="array" ref="E29">$C29</f>
        <v>Pemb. Jembatan Dusun Sangge (Abutment)</v>
      </c>
      <c r="F29" s="67"/>
      <c r="G29" s="66"/>
      <c r="H29" s="66"/>
      <c r="I29" s="66"/>
      <c r="J29" s="68">
        <v>200000000</v>
      </c>
      <c r="K29" s="76">
        <v>199994766.35</v>
      </c>
      <c r="L29" s="57">
        <v>199884235.44</v>
      </c>
      <c r="M29" s="68">
        <v>199884000</v>
      </c>
      <c r="N29" t="s" s="70">
        <v>276</v>
      </c>
      <c r="O29" t="s" s="71">
        <v>277</v>
      </c>
      <c r="P29" t="s" s="70">
        <v>4</v>
      </c>
      <c r="Q29" t="s" s="70">
        <v>278</v>
      </c>
      <c r="R29" t="s" s="70">
        <v>279</v>
      </c>
      <c r="S29" t="s" s="70">
        <v>280</v>
      </c>
      <c r="T29" s="72">
        <v>40634</v>
      </c>
      <c r="U29" t="s" s="70">
        <v>281</v>
      </c>
      <c r="V29" t="s" s="70">
        <v>282</v>
      </c>
      <c r="W29" t="s" s="70">
        <v>283</v>
      </c>
      <c r="X29" s="73">
        <v>150</v>
      </c>
      <c r="Y29" t="s" s="70">
        <v>10</v>
      </c>
      <c r="Z29" s="68" cm="1">
        <f t="array" ref="Z29">M29</f>
        <v>199884000</v>
      </c>
      <c r="AA29" t="s" s="70">
        <v>381</v>
      </c>
      <c r="AB29" s="72" cm="1">
        <f t="array" ref="AB29">AH29</f>
        <v>45321</v>
      </c>
      <c r="AC29" s="73" cm="1">
        <f t="array" ref="AC29">6*30</f>
        <v>180</v>
      </c>
      <c r="AD29" t="s" s="70">
        <v>109</v>
      </c>
      <c r="AE29" t="s" s="70">
        <v>110</v>
      </c>
      <c r="AF29" t="s" s="70">
        <v>150</v>
      </c>
      <c r="AG29" s="72">
        <v>45320</v>
      </c>
      <c r="AH29" s="72">
        <v>45321</v>
      </c>
      <c r="AI29" s="72">
        <v>45321</v>
      </c>
      <c r="AJ29" s="80">
        <v>45321.625</v>
      </c>
      <c r="AK29" s="72">
        <v>45321</v>
      </c>
      <c r="AL29" s="72">
        <v>45321</v>
      </c>
      <c r="AM29" s="72">
        <v>45321</v>
      </c>
      <c r="AN29" t="s" s="70">
        <v>382</v>
      </c>
      <c r="AO29" s="80" cm="1">
        <f t="array" ref="AO29">AJ29</f>
        <v>45321.625</v>
      </c>
      <c r="AP29" t="s" s="70">
        <v>383</v>
      </c>
      <c r="AQ29" s="80" cm="1">
        <f t="array" ref="AQ29">AJ29</f>
        <v>45321.625</v>
      </c>
      <c r="AR29" t="s" s="70">
        <v>384</v>
      </c>
      <c r="AS29" s="80" cm="1">
        <f t="array" ref="AS29">AJ29</f>
        <v>45321.625</v>
      </c>
      <c r="AT29" t="s" s="78">
        <v>385</v>
      </c>
      <c r="AU29" s="80" cm="1">
        <f t="array" ref="AU29">AJ29</f>
        <v>45321.625</v>
      </c>
      <c r="AV29" s="66"/>
      <c r="AW29" t="str" s="74" cm="1">
        <f t="array" ref="AW29">"600/"&amp;$B29&amp;"/"&amp;IF(AND($AE29="Konsultansi",M29&lt;=100000000),"SPK",IF(AND($AE29="Konsultansi",M29&gt;100000000),"Kont",IF(AND($AE29&lt;&gt;"Konsultansi",M29&lt;=200000000),"SPK","Kont")))&amp;"-"&amp;AE29&amp;"/PPK/DPUPR"</f>
        <v>600/49014437/SPK-Konstruksi/PPK/DPUPR</v>
      </c>
      <c r="AX29" t="str" s="74" cm="1">
        <f t="array" ref="AX29">"600/"&amp;$B29&amp;"/SPMK/PPK/DPUPR"</f>
        <v>600/49014437/SPMK/PPK/DPUPR</v>
      </c>
      <c r="AY29" s="66"/>
      <c r="AZ29" s="66"/>
      <c r="BA29" s="66"/>
      <c r="BB29" s="66"/>
      <c r="BC29" s="66"/>
      <c r="BD29" s="66"/>
      <c r="BE29" s="66"/>
      <c r="BF29" s="66"/>
      <c r="BG29" s="75">
        <v>19</v>
      </c>
      <c r="BH29" t="s" s="70">
        <v>276</v>
      </c>
      <c r="BI29" t="s" s="70">
        <v>21</v>
      </c>
      <c r="BJ29" t="s" s="70">
        <v>22</v>
      </c>
      <c r="BK29" t="s" s="70">
        <v>23</v>
      </c>
      <c r="BL29" t="s" s="70">
        <v>24</v>
      </c>
      <c r="BM29" s="66"/>
      <c r="BN29" s="66"/>
      <c r="BO29" s="66"/>
      <c r="BP29" s="66"/>
      <c r="BQ29" s="66"/>
      <c r="BR29" t="b" s="73">
        <v>0</v>
      </c>
      <c r="BS29" s="68" cm="1">
        <f t="array" ref="BS29">IF(M29&lt;=0.8*K29,5%*K29,M29*5%)</f>
        <v>9994200</v>
      </c>
      <c r="BT29" t="s" s="70">
        <v>156</v>
      </c>
      <c r="BU29" s="66"/>
      <c r="BV29" s="68" cm="1">
        <f t="array" ref="BV29">J29-M29</f>
        <v>116000</v>
      </c>
    </row>
    <row r="30" ht="36.25" customHeight="1">
      <c r="A30" s="49"/>
      <c r="B30" s="50">
        <v>49014701</v>
      </c>
      <c r="C30" t="s" s="51">
        <v>388</v>
      </c>
      <c r="D30" t="s" s="52">
        <v>149</v>
      </c>
      <c r="E30" t="str" s="53" cm="1">
        <f t="array" ref="E30">$C30</f>
        <v>Pemb. Proteksi Jembatan Bambamone</v>
      </c>
      <c r="F30" s="54"/>
      <c r="G30" s="53"/>
      <c r="H30" s="53"/>
      <c r="I30" s="53"/>
      <c r="J30" s="55">
        <v>200000000</v>
      </c>
      <c r="K30" s="77">
        <v>199881871.97</v>
      </c>
      <c r="L30" s="57">
        <v>199710616.86</v>
      </c>
      <c r="M30" s="55">
        <v>199710000</v>
      </c>
      <c r="N30" t="s" s="58">
        <v>292</v>
      </c>
      <c r="O30" t="s" s="59">
        <v>293</v>
      </c>
      <c r="P30" t="s" s="58">
        <v>4</v>
      </c>
      <c r="Q30" t="s" s="58">
        <v>294</v>
      </c>
      <c r="R30" t="s" s="58">
        <v>295</v>
      </c>
      <c r="S30" s="61">
        <v>11</v>
      </c>
      <c r="T30" s="83">
        <v>42508</v>
      </c>
      <c r="U30" t="s" s="58">
        <v>296</v>
      </c>
      <c r="V30" t="s" s="58">
        <v>297</v>
      </c>
      <c r="W30" t="s" s="58">
        <v>298</v>
      </c>
      <c r="X30" s="61">
        <v>150</v>
      </c>
      <c r="Y30" t="s" s="58">
        <v>10</v>
      </c>
      <c r="Z30" s="55" cm="1">
        <f t="array" ref="Z30">M30</f>
        <v>199710000</v>
      </c>
      <c r="AA30" t="s" s="58">
        <v>389</v>
      </c>
      <c r="AB30" s="60" cm="1">
        <f t="array" ref="AB30">AH30</f>
        <v>45321</v>
      </c>
      <c r="AC30" s="61" cm="1">
        <f t="array" ref="AC30">6*30</f>
        <v>180</v>
      </c>
      <c r="AD30" t="s" s="58">
        <v>109</v>
      </c>
      <c r="AE30" t="s" s="58">
        <v>110</v>
      </c>
      <c r="AF30" t="s" s="58">
        <v>150</v>
      </c>
      <c r="AG30" s="60">
        <v>45320</v>
      </c>
      <c r="AH30" s="60">
        <v>45321</v>
      </c>
      <c r="AI30" s="60">
        <v>45321</v>
      </c>
      <c r="AJ30" s="81">
        <v>45321.625</v>
      </c>
      <c r="AK30" s="60">
        <v>45321</v>
      </c>
      <c r="AL30" s="60">
        <v>45321</v>
      </c>
      <c r="AM30" s="60">
        <v>45321</v>
      </c>
      <c r="AN30" t="s" s="58">
        <v>390</v>
      </c>
      <c r="AO30" s="81" cm="1">
        <f t="array" ref="AO30">AJ30</f>
        <v>45321.625</v>
      </c>
      <c r="AP30" t="s" s="58">
        <v>391</v>
      </c>
      <c r="AQ30" s="81" cm="1">
        <f t="array" ref="AQ30">AJ30</f>
        <v>45321.625</v>
      </c>
      <c r="AR30" t="s" s="58">
        <v>392</v>
      </c>
      <c r="AS30" s="81" cm="1">
        <f t="array" ref="AS30">AJ30</f>
        <v>45321.625</v>
      </c>
      <c r="AT30" t="s" s="78">
        <v>393</v>
      </c>
      <c r="AU30" s="81" cm="1">
        <f t="array" ref="AU30">AJ30</f>
        <v>45321.625</v>
      </c>
      <c r="AV30" s="53"/>
      <c r="AW30" t="str" s="63" cm="1">
        <f t="array" ref="AW30">"600/"&amp;$B30&amp;"/"&amp;IF(AND($AE30="Konsultansi",M30&lt;=100000000),"SPK",IF(AND($AE30="Konsultansi",M30&gt;100000000),"Kont",IF(AND($AE30&lt;&gt;"Konsultansi",M30&lt;=200000000),"SPK","Kont")))&amp;"-"&amp;AE30&amp;"/PPK/DPUPR"</f>
        <v>600/49014701/SPK-Konstruksi/PPK/DPUPR</v>
      </c>
      <c r="AX30" t="str" s="63" cm="1">
        <f t="array" ref="AX30">"600/"&amp;$B30&amp;"/SPMK/PPK/DPUPR"</f>
        <v>600/49014701/SPMK/PPK/DPUPR</v>
      </c>
      <c r="AY30" s="53"/>
      <c r="AZ30" s="53"/>
      <c r="BA30" s="53"/>
      <c r="BB30" s="53"/>
      <c r="BC30" s="53"/>
      <c r="BD30" s="53"/>
      <c r="BE30" s="53"/>
      <c r="BF30" s="53"/>
      <c r="BG30" s="64">
        <v>72</v>
      </c>
      <c r="BH30" t="s" s="58">
        <v>292</v>
      </c>
      <c r="BI30" t="s" s="58">
        <v>21</v>
      </c>
      <c r="BJ30" t="s" s="58">
        <v>22</v>
      </c>
      <c r="BK30" t="s" s="58">
        <v>23</v>
      </c>
      <c r="BL30" t="s" s="58">
        <v>24</v>
      </c>
      <c r="BM30" s="53"/>
      <c r="BN30" s="53"/>
      <c r="BO30" s="53"/>
      <c r="BP30" s="53"/>
      <c r="BQ30" s="53"/>
      <c r="BR30" t="b" s="61">
        <v>0</v>
      </c>
      <c r="BS30" s="55" cm="1">
        <f t="array" ref="BS30">IF(M30&lt;=0.8*K30,5%*K30,M30*5%)</f>
        <v>9985500</v>
      </c>
      <c r="BT30" t="s" s="58">
        <v>156</v>
      </c>
      <c r="BU30" s="53"/>
      <c r="BV30" s="55" cm="1">
        <f t="array" ref="BV30">J30-M30</f>
        <v>290000</v>
      </c>
    </row>
    <row r="31" ht="36.25" customHeight="1">
      <c r="A31" s="49"/>
      <c r="B31" s="50">
        <v>49011769</v>
      </c>
      <c r="C31" t="s" s="51">
        <v>396</v>
      </c>
      <c r="D31" t="s" s="65">
        <v>1</v>
      </c>
      <c r="E31" t="str" s="66" cm="1">
        <f t="array" ref="E31">$C31</f>
        <v>Pemb. Jalan Dusun Papo - Kalikuma Desa Sipakainga</v>
      </c>
      <c r="F31" s="67"/>
      <c r="G31" s="66"/>
      <c r="H31" s="66"/>
      <c r="I31" s="66"/>
      <c r="J31" s="68">
        <v>195000000</v>
      </c>
      <c r="K31" s="76">
        <v>194804092.88</v>
      </c>
      <c r="L31" s="57">
        <v>194692902.89</v>
      </c>
      <c r="M31" s="68">
        <v>194692000</v>
      </c>
      <c r="N31" t="s" s="70">
        <v>276</v>
      </c>
      <c r="O31" t="s" s="71">
        <v>277</v>
      </c>
      <c r="P31" t="s" s="70">
        <v>4</v>
      </c>
      <c r="Q31" t="s" s="70">
        <v>278</v>
      </c>
      <c r="R31" t="s" s="70">
        <v>279</v>
      </c>
      <c r="S31" t="s" s="70">
        <v>280</v>
      </c>
      <c r="T31" s="72">
        <v>40634</v>
      </c>
      <c r="U31" t="s" s="70">
        <v>281</v>
      </c>
      <c r="V31" t="s" s="70">
        <v>282</v>
      </c>
      <c r="W31" t="s" s="70">
        <v>283</v>
      </c>
      <c r="X31" s="73">
        <v>120</v>
      </c>
      <c r="Y31" t="s" s="70">
        <v>10</v>
      </c>
      <c r="Z31" s="68" cm="1">
        <f t="array" ref="Z31">M31</f>
        <v>194692000</v>
      </c>
      <c r="AA31" t="s" s="70">
        <v>11</v>
      </c>
      <c r="AB31" s="72" cm="1">
        <f t="array" ref="AB31">AH31</f>
        <v>45329.375694444447</v>
      </c>
      <c r="AC31" s="73">
        <v>180</v>
      </c>
      <c r="AD31" t="s" s="70">
        <v>109</v>
      </c>
      <c r="AE31" t="s" s="70">
        <v>110</v>
      </c>
      <c r="AF31" t="s" s="70">
        <v>111</v>
      </c>
      <c r="AG31" s="72">
        <v>45328.708333333336</v>
      </c>
      <c r="AH31" s="72">
        <v>45329.375694444447</v>
      </c>
      <c r="AI31" s="72">
        <v>45329.382638888892</v>
      </c>
      <c r="AJ31" s="72">
        <v>45329.417361111111</v>
      </c>
      <c r="AK31" s="72">
        <v>45329.459027777775</v>
      </c>
      <c r="AL31" s="72">
        <v>45329.459027777775</v>
      </c>
      <c r="AM31" s="72">
        <v>45329.459027777775</v>
      </c>
      <c r="AN31" t="s" s="70">
        <v>397</v>
      </c>
      <c r="AO31" s="72" cm="1">
        <f t="array" ref="AO31">AJ31</f>
        <v>45329.417361111111</v>
      </c>
      <c r="AP31" t="s" s="70">
        <v>398</v>
      </c>
      <c r="AQ31" s="72" cm="1">
        <f t="array" ref="AQ31">AJ31</f>
        <v>45329.417361111111</v>
      </c>
      <c r="AR31" t="s" s="70">
        <v>399</v>
      </c>
      <c r="AS31" s="72" cm="1">
        <f t="array" ref="AS31">AJ31</f>
        <v>45329.417361111111</v>
      </c>
      <c r="AT31" t="s" s="78">
        <v>400</v>
      </c>
      <c r="AU31" s="72" cm="1">
        <f t="array" ref="AU31">AJ31</f>
        <v>45329.417361111111</v>
      </c>
      <c r="AV31" s="66"/>
      <c r="AW31" t="str" s="74" cm="1">
        <f t="array" ref="AW31">"600/"&amp;$B31&amp;"/"&amp;IF(AND($AE31="Konsultansi",M31&lt;=100000000),"SPK",IF(AND($AE31="Konsultansi",M31&gt;100000000),"Kont",IF(AND($AE31&lt;&gt;"Konsultansi",M31&lt;=200000000),"SPK","Kont")))&amp;"-"&amp;AE31&amp;"/PPK/DPUPR"</f>
        <v>600/49011769/SPK-Konstruksi/PPK/DPUPR</v>
      </c>
      <c r="AX31" t="str" s="74" cm="1">
        <f t="array" ref="AX31">"600/"&amp;$B31&amp;"/SPMK/PPK/DPUPR"</f>
        <v>600/49011769/SPMK/PPK/DPUPR</v>
      </c>
      <c r="AY31" s="66"/>
      <c r="AZ31" s="66"/>
      <c r="BA31" s="66"/>
      <c r="BB31" s="66"/>
      <c r="BC31" s="66"/>
      <c r="BD31" s="66"/>
      <c r="BE31" s="66"/>
      <c r="BF31" s="66"/>
      <c r="BG31" s="75">
        <v>19</v>
      </c>
      <c r="BH31" t="s" s="70">
        <v>276</v>
      </c>
      <c r="BI31" t="s" s="70">
        <v>21</v>
      </c>
      <c r="BJ31" t="s" s="70">
        <v>22</v>
      </c>
      <c r="BK31" t="s" s="70">
        <v>23</v>
      </c>
      <c r="BL31" t="s" s="70">
        <v>24</v>
      </c>
      <c r="BM31" s="66"/>
      <c r="BN31" s="66"/>
      <c r="BO31" s="66"/>
      <c r="BP31" s="66"/>
      <c r="BQ31" s="66"/>
      <c r="BR31" t="b" s="73">
        <v>0</v>
      </c>
      <c r="BS31" s="68" cm="1">
        <f t="array" ref="BS31">IF(M31&lt;=0.8*K31,5%*K31,M31*5%)</f>
        <v>9734600</v>
      </c>
      <c r="BT31" t="s" s="70">
        <v>25</v>
      </c>
      <c r="BU31" s="66"/>
      <c r="BV31" s="68" cm="1">
        <f t="array" ref="BV31">J31-M31</f>
        <v>308000</v>
      </c>
    </row>
    <row r="32" ht="36.25" customHeight="1">
      <c r="A32" s="49"/>
      <c r="B32" s="50">
        <v>49012180</v>
      </c>
      <c r="C32" t="s" s="51">
        <v>403</v>
      </c>
      <c r="D32" t="s" s="52">
        <v>1</v>
      </c>
      <c r="E32" t="str" s="53" cm="1">
        <f t="array" ref="E32">$C32</f>
        <v>Pemb. Jalan Mandar 2</v>
      </c>
      <c r="F32" s="54"/>
      <c r="G32" s="53"/>
      <c r="H32" s="53"/>
      <c r="I32" s="53"/>
      <c r="J32" s="55">
        <v>195000000</v>
      </c>
      <c r="K32" s="77">
        <v>194921176.37</v>
      </c>
      <c r="L32" s="57">
        <v>194476416.37</v>
      </c>
      <c r="M32" s="55">
        <v>194476000</v>
      </c>
      <c r="N32" t="s" s="58">
        <v>292</v>
      </c>
      <c r="O32" t="s" s="59">
        <v>293</v>
      </c>
      <c r="P32" t="s" s="58">
        <v>4</v>
      </c>
      <c r="Q32" t="s" s="58">
        <v>294</v>
      </c>
      <c r="R32" t="s" s="58">
        <v>295</v>
      </c>
      <c r="S32" s="61">
        <v>11</v>
      </c>
      <c r="T32" s="83">
        <v>42508</v>
      </c>
      <c r="U32" t="s" s="58">
        <v>296</v>
      </c>
      <c r="V32" t="s" s="58">
        <v>297</v>
      </c>
      <c r="W32" t="s" s="58">
        <v>298</v>
      </c>
      <c r="X32" s="61">
        <v>120</v>
      </c>
      <c r="Y32" t="s" s="58">
        <v>10</v>
      </c>
      <c r="Z32" s="55" cm="1">
        <f t="array" ref="Z32">M32</f>
        <v>194476000</v>
      </c>
      <c r="AA32" t="s" s="58">
        <v>11</v>
      </c>
      <c r="AB32" s="60" cm="1">
        <f t="array" ref="AB32">AH32</f>
        <v>45329.375694444447</v>
      </c>
      <c r="AC32" s="61">
        <v>180</v>
      </c>
      <c r="AD32" t="s" s="58">
        <v>109</v>
      </c>
      <c r="AE32" t="s" s="58">
        <v>110</v>
      </c>
      <c r="AF32" t="s" s="58">
        <v>111</v>
      </c>
      <c r="AG32" s="60">
        <v>45328.708333333336</v>
      </c>
      <c r="AH32" s="60">
        <v>45329.375694444447</v>
      </c>
      <c r="AI32" s="60">
        <v>45329.382638888892</v>
      </c>
      <c r="AJ32" s="60">
        <v>45329.417361111111</v>
      </c>
      <c r="AK32" s="60">
        <v>45329.459027777775</v>
      </c>
      <c r="AL32" s="60">
        <v>45329.459027777775</v>
      </c>
      <c r="AM32" s="60">
        <v>45329.459027777775</v>
      </c>
      <c r="AN32" t="s" s="58">
        <v>404</v>
      </c>
      <c r="AO32" s="60" cm="1">
        <f t="array" ref="AO32">AJ32</f>
        <v>45329.417361111111</v>
      </c>
      <c r="AP32" t="s" s="58">
        <v>405</v>
      </c>
      <c r="AQ32" s="60" cm="1">
        <f t="array" ref="AQ32">AJ32</f>
        <v>45329.417361111111</v>
      </c>
      <c r="AR32" t="s" s="58">
        <v>406</v>
      </c>
      <c r="AS32" s="60" cm="1">
        <f t="array" ref="AS32">AJ32</f>
        <v>45329.417361111111</v>
      </c>
      <c r="AT32" t="s" s="78">
        <v>407</v>
      </c>
      <c r="AU32" s="60" cm="1">
        <f t="array" ref="AU32">AJ32</f>
        <v>45329.417361111111</v>
      </c>
      <c r="AV32" s="53"/>
      <c r="AW32" t="str" s="63" cm="1">
        <f t="array" ref="AW32">"600/"&amp;$B32&amp;"/"&amp;IF(AND($AE32="Konsultansi",M32&lt;=100000000),"SPK",IF(AND($AE32="Konsultansi",M32&gt;100000000),"Kont",IF(AND($AE32&lt;&gt;"Konsultansi",M32&lt;=200000000),"SPK","Kont")))&amp;"-"&amp;AE32&amp;"/PPK/DPUPR"</f>
        <v>600/49012180/SPK-Konstruksi/PPK/DPUPR</v>
      </c>
      <c r="AX32" t="str" s="63" cm="1">
        <f t="array" ref="AX32">"600/"&amp;$B32&amp;"/SPMK/PPK/DPUPR"</f>
        <v>600/49012180/SPMK/PPK/DPUPR</v>
      </c>
      <c r="AY32" s="53"/>
      <c r="AZ32" s="53"/>
      <c r="BA32" s="53"/>
      <c r="BB32" s="53"/>
      <c r="BC32" s="53"/>
      <c r="BD32" s="53"/>
      <c r="BE32" s="53"/>
      <c r="BF32" s="53"/>
      <c r="BG32" s="64">
        <v>72</v>
      </c>
      <c r="BH32" t="s" s="58">
        <v>292</v>
      </c>
      <c r="BI32" t="s" s="58">
        <v>21</v>
      </c>
      <c r="BJ32" t="s" s="58">
        <v>22</v>
      </c>
      <c r="BK32" t="s" s="58">
        <v>23</v>
      </c>
      <c r="BL32" t="s" s="58">
        <v>24</v>
      </c>
      <c r="BM32" s="53"/>
      <c r="BN32" s="53"/>
      <c r="BO32" s="53"/>
      <c r="BP32" s="53"/>
      <c r="BQ32" s="53"/>
      <c r="BR32" t="b" s="61">
        <v>0</v>
      </c>
      <c r="BS32" s="55" cm="1">
        <f t="array" ref="BS32">IF(M32&lt;=0.8*K32,5%*K32,M32*5%)</f>
        <v>9723800</v>
      </c>
      <c r="BT32" t="s" s="58">
        <v>25</v>
      </c>
      <c r="BU32" s="53"/>
      <c r="BV32" s="55" cm="1">
        <f t="array" ref="BV32">J32-M32</f>
        <v>524000</v>
      </c>
    </row>
    <row r="33" ht="36.25" customHeight="1">
      <c r="A33" s="49"/>
      <c r="B33" s="50">
        <v>49012327</v>
      </c>
      <c r="C33" t="s" s="51">
        <v>410</v>
      </c>
      <c r="D33" t="s" s="65">
        <v>1</v>
      </c>
      <c r="E33" t="str" s="66" cm="1">
        <f t="array" ref="E33">$C33</f>
        <v>Peningkatan jalan Bukit Harapan Dsn. Barubu</v>
      </c>
      <c r="F33" s="67"/>
      <c r="G33" s="66"/>
      <c r="H33" s="66"/>
      <c r="I33" s="66"/>
      <c r="J33" s="68">
        <v>195000000</v>
      </c>
      <c r="K33" s="76">
        <v>194695861.51</v>
      </c>
      <c r="L33" s="57">
        <v>194028721.51</v>
      </c>
      <c r="M33" s="68">
        <v>194028000</v>
      </c>
      <c r="N33" t="s" s="70">
        <v>307</v>
      </c>
      <c r="O33" t="s" s="71">
        <v>308</v>
      </c>
      <c r="P33" t="s" s="70">
        <v>4</v>
      </c>
      <c r="Q33" t="s" s="70">
        <v>309</v>
      </c>
      <c r="R33" t="s" s="70">
        <v>310</v>
      </c>
      <c r="S33" s="73">
        <v>42</v>
      </c>
      <c r="T33" s="72">
        <v>44404</v>
      </c>
      <c r="U33" t="s" s="70">
        <v>296</v>
      </c>
      <c r="V33" t="s" s="70">
        <v>311</v>
      </c>
      <c r="W33" t="s" s="70">
        <v>312</v>
      </c>
      <c r="X33" s="73">
        <v>120</v>
      </c>
      <c r="Y33" t="s" s="70">
        <v>10</v>
      </c>
      <c r="Z33" s="68" cm="1">
        <f t="array" ref="Z33">M33</f>
        <v>194028000</v>
      </c>
      <c r="AA33" t="s" s="70">
        <v>11</v>
      </c>
      <c r="AB33" s="72" cm="1">
        <f t="array" ref="AB33">AH33</f>
        <v>45329.375694444447</v>
      </c>
      <c r="AC33" s="73">
        <v>180</v>
      </c>
      <c r="AD33" t="s" s="70">
        <v>109</v>
      </c>
      <c r="AE33" t="s" s="70">
        <v>110</v>
      </c>
      <c r="AF33" t="s" s="70">
        <v>111</v>
      </c>
      <c r="AG33" s="72">
        <v>45328.708333333336</v>
      </c>
      <c r="AH33" s="72">
        <v>45329.375694444447</v>
      </c>
      <c r="AI33" s="72">
        <v>45329.382638888892</v>
      </c>
      <c r="AJ33" s="72">
        <v>45329.417361111111</v>
      </c>
      <c r="AK33" s="72">
        <v>45329.459027777775</v>
      </c>
      <c r="AL33" s="72">
        <v>45329.459027777775</v>
      </c>
      <c r="AM33" s="72">
        <v>45329.459027777775</v>
      </c>
      <c r="AN33" t="s" s="70">
        <v>411</v>
      </c>
      <c r="AO33" s="72" cm="1">
        <f t="array" ref="AO33">AJ33</f>
        <v>45329.417361111111</v>
      </c>
      <c r="AP33" t="s" s="70">
        <v>412</v>
      </c>
      <c r="AQ33" s="72" cm="1">
        <f t="array" ref="AQ33">AJ33</f>
        <v>45329.417361111111</v>
      </c>
      <c r="AR33" t="s" s="70">
        <v>413</v>
      </c>
      <c r="AS33" s="72" cm="1">
        <f t="array" ref="AS33">AJ33</f>
        <v>45329.417361111111</v>
      </c>
      <c r="AT33" t="s" s="78">
        <v>414</v>
      </c>
      <c r="AU33" s="72" cm="1">
        <f t="array" ref="AU33">AJ33</f>
        <v>45329.417361111111</v>
      </c>
      <c r="AV33" s="66"/>
      <c r="AW33" t="str" s="74" cm="1">
        <f t="array" ref="AW33">"600/"&amp;$B33&amp;"/"&amp;IF(AND($AE33="Konsultansi",M33&lt;=100000000),"SPK",IF(AND($AE33="Konsultansi",M33&gt;100000000),"Kont",IF(AND($AE33&lt;&gt;"Konsultansi",M33&lt;=200000000),"SPK","Kont")))&amp;"-"&amp;AE33&amp;"/PPK/DPUPR"</f>
        <v>600/49012327/SPK-Konstruksi/PPK/DPUPR</v>
      </c>
      <c r="AX33" t="str" s="74" cm="1">
        <f t="array" ref="AX33">"600/"&amp;$B33&amp;"/SPMK/PPK/DPUPR"</f>
        <v>600/49012327/SPMK/PPK/DPUPR</v>
      </c>
      <c r="AY33" s="66"/>
      <c r="AZ33" s="66"/>
      <c r="BA33" s="66"/>
      <c r="BB33" s="66"/>
      <c r="BC33" s="66"/>
      <c r="BD33" s="66"/>
      <c r="BE33" s="66"/>
      <c r="BF33" s="66"/>
      <c r="BG33" s="75">
        <v>22</v>
      </c>
      <c r="BH33" t="s" s="70">
        <v>307</v>
      </c>
      <c r="BI33" t="s" s="70">
        <v>21</v>
      </c>
      <c r="BJ33" t="s" s="70">
        <v>22</v>
      </c>
      <c r="BK33" t="s" s="70">
        <v>23</v>
      </c>
      <c r="BL33" t="s" s="70">
        <v>24</v>
      </c>
      <c r="BM33" s="66"/>
      <c r="BN33" s="66"/>
      <c r="BO33" s="66"/>
      <c r="BP33" s="66"/>
      <c r="BQ33" s="66"/>
      <c r="BR33" t="b" s="73">
        <v>0</v>
      </c>
      <c r="BS33" s="68" cm="1">
        <f t="array" ref="BS33">IF(M33&lt;=0.8*K33,5%*K33,M33*5%)</f>
        <v>9701400</v>
      </c>
      <c r="BT33" t="s" s="70">
        <v>25</v>
      </c>
      <c r="BU33" s="66"/>
      <c r="BV33" s="68" cm="1">
        <f t="array" ref="BV33">J33-M33</f>
        <v>972000</v>
      </c>
    </row>
    <row r="34" ht="36.25" customHeight="1">
      <c r="A34" s="49"/>
      <c r="B34" s="50">
        <v>49012446</v>
      </c>
      <c r="C34" t="s" s="51">
        <v>417</v>
      </c>
      <c r="D34" t="s" s="52">
        <v>1</v>
      </c>
      <c r="E34" t="str" s="53" cm="1">
        <f t="array" ref="E34">$C34</f>
        <v>Peningkatan jalan arah Jembatan Wirabuana</v>
      </c>
      <c r="F34" s="54"/>
      <c r="G34" s="53"/>
      <c r="H34" s="53"/>
      <c r="I34" s="53"/>
      <c r="J34" s="55">
        <v>195000000</v>
      </c>
      <c r="K34" s="77">
        <v>194967545.13</v>
      </c>
      <c r="L34" s="57">
        <v>194856355.13</v>
      </c>
      <c r="M34" s="55">
        <v>194856000</v>
      </c>
      <c r="N34" t="s" s="58">
        <v>321</v>
      </c>
      <c r="O34" t="s" s="59">
        <v>322</v>
      </c>
      <c r="P34" t="s" s="58">
        <v>4</v>
      </c>
      <c r="Q34" t="s" s="58">
        <v>323</v>
      </c>
      <c r="R34" t="s" s="58">
        <v>279</v>
      </c>
      <c r="S34" t="s" s="58">
        <v>324</v>
      </c>
      <c r="T34" s="83">
        <v>43979</v>
      </c>
      <c r="U34" t="s" s="58">
        <v>124</v>
      </c>
      <c r="V34" t="s" s="58">
        <v>325</v>
      </c>
      <c r="W34" t="s" s="58">
        <v>326</v>
      </c>
      <c r="X34" s="61">
        <v>120</v>
      </c>
      <c r="Y34" t="s" s="58">
        <v>10</v>
      </c>
      <c r="Z34" s="55" cm="1">
        <f t="array" ref="Z34">M34</f>
        <v>194856000</v>
      </c>
      <c r="AA34" t="s" s="58">
        <v>11</v>
      </c>
      <c r="AB34" s="60" cm="1">
        <f t="array" ref="AB34">AH34</f>
        <v>45329.375694444447</v>
      </c>
      <c r="AC34" s="61">
        <v>180</v>
      </c>
      <c r="AD34" t="s" s="58">
        <v>109</v>
      </c>
      <c r="AE34" t="s" s="58">
        <v>110</v>
      </c>
      <c r="AF34" t="s" s="58">
        <v>111</v>
      </c>
      <c r="AG34" s="60">
        <v>45328.708333333336</v>
      </c>
      <c r="AH34" s="60">
        <v>45329.375694444447</v>
      </c>
      <c r="AI34" s="60">
        <v>45329.382638888892</v>
      </c>
      <c r="AJ34" s="60">
        <v>45329.417361111111</v>
      </c>
      <c r="AK34" s="60">
        <v>45329.459027777775</v>
      </c>
      <c r="AL34" s="60">
        <v>45329.459027777775</v>
      </c>
      <c r="AM34" s="60">
        <v>45329.459027777775</v>
      </c>
      <c r="AN34" t="s" s="58">
        <v>418</v>
      </c>
      <c r="AO34" s="60" cm="1">
        <f t="array" ref="AO34">AJ34</f>
        <v>45329.417361111111</v>
      </c>
      <c r="AP34" t="s" s="58">
        <v>419</v>
      </c>
      <c r="AQ34" s="60" cm="1">
        <f t="array" ref="AQ34">AJ34</f>
        <v>45329.417361111111</v>
      </c>
      <c r="AR34" t="s" s="58">
        <v>420</v>
      </c>
      <c r="AS34" s="60" cm="1">
        <f t="array" ref="AS34">AJ34</f>
        <v>45329.417361111111</v>
      </c>
      <c r="AT34" t="s" s="78">
        <v>421</v>
      </c>
      <c r="AU34" s="60" cm="1">
        <f t="array" ref="AU34">AJ34</f>
        <v>45329.417361111111</v>
      </c>
      <c r="AV34" s="53"/>
      <c r="AW34" t="str" s="63" cm="1">
        <f t="array" ref="AW34">"600/"&amp;$B34&amp;"/"&amp;IF(AND($AE34="Konsultansi",M34&lt;=100000000),"SPK",IF(AND($AE34="Konsultansi",M34&gt;100000000),"Kont",IF(AND($AE34&lt;&gt;"Konsultansi",M34&lt;=200000000),"SPK","Kont")))&amp;"-"&amp;AE34&amp;"/PPK/DPUPR"</f>
        <v>600/49012446/SPK-Konstruksi/PPK/DPUPR</v>
      </c>
      <c r="AX34" t="str" s="63" cm="1">
        <f t="array" ref="AX34">"600/"&amp;$B34&amp;"/SPMK/PPK/DPUPR"</f>
        <v>600/49012446/SPMK/PPK/DPUPR</v>
      </c>
      <c r="AY34" s="53"/>
      <c r="AZ34" s="53"/>
      <c r="BA34" s="53"/>
      <c r="BB34" s="53"/>
      <c r="BC34" s="53"/>
      <c r="BD34" s="53"/>
      <c r="BE34" s="53"/>
      <c r="BF34" s="53"/>
      <c r="BG34" s="64">
        <v>15</v>
      </c>
      <c r="BH34" t="s" s="58">
        <v>321</v>
      </c>
      <c r="BI34" t="s" s="58">
        <v>21</v>
      </c>
      <c r="BJ34" t="s" s="58">
        <v>22</v>
      </c>
      <c r="BK34" t="s" s="58">
        <v>23</v>
      </c>
      <c r="BL34" t="s" s="58">
        <v>24</v>
      </c>
      <c r="BM34" s="53"/>
      <c r="BN34" s="53"/>
      <c r="BO34" s="53"/>
      <c r="BP34" s="53"/>
      <c r="BQ34" s="53"/>
      <c r="BR34" t="b" s="61">
        <v>0</v>
      </c>
      <c r="BS34" s="55" cm="1">
        <f t="array" ref="BS34">IF(M34&lt;=0.8*K34,5%*K34,M34*5%)</f>
        <v>9742800</v>
      </c>
      <c r="BT34" t="s" s="58">
        <v>25</v>
      </c>
      <c r="BU34" s="53"/>
      <c r="BV34" s="55" cm="1">
        <f t="array" ref="BV34">J34-M34</f>
        <v>144000</v>
      </c>
    </row>
    <row r="35" ht="36.25" customHeight="1">
      <c r="A35" s="49"/>
      <c r="B35" s="50">
        <v>49012568</v>
      </c>
      <c r="C35" t="s" s="51">
        <v>424</v>
      </c>
      <c r="D35" t="s" s="65">
        <v>1</v>
      </c>
      <c r="E35" t="str" s="66" cm="1">
        <f t="array" ref="E35">$C35</f>
        <v>Peningkatan Jalan Kampung Hikma</v>
      </c>
      <c r="F35" s="67"/>
      <c r="G35" s="66"/>
      <c r="H35" s="66"/>
      <c r="I35" s="66"/>
      <c r="J35" s="68">
        <v>195000000</v>
      </c>
      <c r="K35" s="76">
        <v>194945178.43</v>
      </c>
      <c r="L35" s="57">
        <v>194833950.16</v>
      </c>
      <c r="M35" s="68">
        <v>194833000</v>
      </c>
      <c r="N35" t="s" s="70">
        <v>276</v>
      </c>
      <c r="O35" t="s" s="71">
        <v>277</v>
      </c>
      <c r="P35" t="s" s="70">
        <v>4</v>
      </c>
      <c r="Q35" t="s" s="70">
        <v>278</v>
      </c>
      <c r="R35" t="s" s="70">
        <v>279</v>
      </c>
      <c r="S35" t="s" s="70">
        <v>280</v>
      </c>
      <c r="T35" s="72">
        <v>40634</v>
      </c>
      <c r="U35" t="s" s="70">
        <v>281</v>
      </c>
      <c r="V35" t="s" s="70">
        <v>282</v>
      </c>
      <c r="W35" t="s" s="70">
        <v>283</v>
      </c>
      <c r="X35" s="73">
        <v>120</v>
      </c>
      <c r="Y35" t="s" s="70">
        <v>10</v>
      </c>
      <c r="Z35" s="68" cm="1">
        <f t="array" ref="Z35">M35</f>
        <v>194833000</v>
      </c>
      <c r="AA35" t="s" s="70">
        <v>11</v>
      </c>
      <c r="AB35" s="72" cm="1">
        <f t="array" ref="AB35">AH35</f>
        <v>45329.375694444447</v>
      </c>
      <c r="AC35" s="73">
        <v>180</v>
      </c>
      <c r="AD35" t="s" s="70">
        <v>109</v>
      </c>
      <c r="AE35" t="s" s="70">
        <v>110</v>
      </c>
      <c r="AF35" t="s" s="70">
        <v>111</v>
      </c>
      <c r="AG35" s="72">
        <v>45328.708333333336</v>
      </c>
      <c r="AH35" s="72">
        <v>45329.375694444447</v>
      </c>
      <c r="AI35" s="72">
        <v>45329.382638888892</v>
      </c>
      <c r="AJ35" s="72">
        <v>45329.417361111111</v>
      </c>
      <c r="AK35" s="72">
        <v>45329.459027777775</v>
      </c>
      <c r="AL35" s="72">
        <v>45329.459027777775</v>
      </c>
      <c r="AM35" s="72">
        <v>45329.459027777775</v>
      </c>
      <c r="AN35" t="s" s="70">
        <v>425</v>
      </c>
      <c r="AO35" s="72" cm="1">
        <f t="array" ref="AO35">AJ35</f>
        <v>45329.417361111111</v>
      </c>
      <c r="AP35" t="s" s="70">
        <v>426</v>
      </c>
      <c r="AQ35" s="72" cm="1">
        <f t="array" ref="AQ35">AJ35</f>
        <v>45329.417361111111</v>
      </c>
      <c r="AR35" t="s" s="70">
        <v>427</v>
      </c>
      <c r="AS35" s="72" cm="1">
        <f t="array" ref="AS35">AJ35</f>
        <v>45329.417361111111</v>
      </c>
      <c r="AT35" t="s" s="78">
        <v>428</v>
      </c>
      <c r="AU35" s="72" cm="1">
        <f t="array" ref="AU35">AJ35</f>
        <v>45329.417361111111</v>
      </c>
      <c r="AV35" s="66"/>
      <c r="AW35" t="str" s="74" cm="1">
        <f t="array" ref="AW35">"600/"&amp;$B35&amp;"/"&amp;IF(AND($AE35="Konsultansi",M35&lt;=100000000),"SPK",IF(AND($AE35="Konsultansi",M35&gt;100000000),"Kont",IF(AND($AE35&lt;&gt;"Konsultansi",M35&lt;=200000000),"SPK","Kont")))&amp;"-"&amp;AE35&amp;"/PPK/DPUPR"</f>
        <v>600/49012568/SPK-Konstruksi/PPK/DPUPR</v>
      </c>
      <c r="AX35" t="str" s="74" cm="1">
        <f t="array" ref="AX35">"600/"&amp;$B35&amp;"/SPMK/PPK/DPUPR"</f>
        <v>600/49012568/SPMK/PPK/DPUPR</v>
      </c>
      <c r="AY35" s="66"/>
      <c r="AZ35" s="66"/>
      <c r="BA35" s="66"/>
      <c r="BB35" s="66"/>
      <c r="BC35" s="66"/>
      <c r="BD35" s="66"/>
      <c r="BE35" s="66"/>
      <c r="BF35" s="66"/>
      <c r="BG35" s="75">
        <v>19</v>
      </c>
      <c r="BH35" t="s" s="70">
        <v>276</v>
      </c>
      <c r="BI35" t="s" s="70">
        <v>21</v>
      </c>
      <c r="BJ35" t="s" s="70">
        <v>22</v>
      </c>
      <c r="BK35" t="s" s="70">
        <v>23</v>
      </c>
      <c r="BL35" t="s" s="70">
        <v>24</v>
      </c>
      <c r="BM35" s="66"/>
      <c r="BN35" s="66"/>
      <c r="BO35" s="66"/>
      <c r="BP35" s="66"/>
      <c r="BQ35" s="66"/>
      <c r="BR35" t="b" s="73">
        <v>0</v>
      </c>
      <c r="BS35" s="68" cm="1">
        <f t="array" ref="BS35">IF(M35&lt;=0.8*K35,5%*K35,M35*5%)</f>
        <v>9741650</v>
      </c>
      <c r="BT35" t="s" s="70">
        <v>25</v>
      </c>
      <c r="BU35" s="66"/>
      <c r="BV35" s="68" cm="1">
        <f t="array" ref="BV35">J35-M35</f>
        <v>167000</v>
      </c>
    </row>
    <row r="36" ht="36.25" customHeight="1">
      <c r="A36" s="49"/>
      <c r="B36" s="50">
        <v>49012718</v>
      </c>
      <c r="C36" t="s" s="51">
        <v>431</v>
      </c>
      <c r="D36" t="s" s="52">
        <v>1</v>
      </c>
      <c r="E36" t="str" s="53" cm="1">
        <f t="array" ref="E36">$C36</f>
        <v>Peningkatan Jalan Desa Karya Bersama</v>
      </c>
      <c r="F36" s="54"/>
      <c r="G36" s="53"/>
      <c r="H36" s="53"/>
      <c r="I36" s="53"/>
      <c r="J36" s="55">
        <v>195000000</v>
      </c>
      <c r="K36" s="77">
        <v>194916142.54</v>
      </c>
      <c r="L36" s="57">
        <v>194598139.14</v>
      </c>
      <c r="M36" s="55">
        <v>194598000</v>
      </c>
      <c r="N36" t="s" s="58">
        <v>292</v>
      </c>
      <c r="O36" t="s" s="59">
        <v>293</v>
      </c>
      <c r="P36" t="s" s="58">
        <v>4</v>
      </c>
      <c r="Q36" t="s" s="58">
        <v>294</v>
      </c>
      <c r="R36" t="s" s="58">
        <v>295</v>
      </c>
      <c r="S36" s="61">
        <v>11</v>
      </c>
      <c r="T36" s="83">
        <v>42508</v>
      </c>
      <c r="U36" t="s" s="58">
        <v>296</v>
      </c>
      <c r="V36" t="s" s="58">
        <v>297</v>
      </c>
      <c r="W36" t="s" s="58">
        <v>298</v>
      </c>
      <c r="X36" s="61">
        <v>120</v>
      </c>
      <c r="Y36" t="s" s="58">
        <v>10</v>
      </c>
      <c r="Z36" s="55" cm="1">
        <f t="array" ref="Z36">M36</f>
        <v>194598000</v>
      </c>
      <c r="AA36" t="s" s="58">
        <v>11</v>
      </c>
      <c r="AB36" s="60" cm="1">
        <f t="array" ref="AB36">AH36</f>
        <v>45329.375694444447</v>
      </c>
      <c r="AC36" s="61">
        <v>180</v>
      </c>
      <c r="AD36" t="s" s="58">
        <v>109</v>
      </c>
      <c r="AE36" t="s" s="58">
        <v>110</v>
      </c>
      <c r="AF36" t="s" s="58">
        <v>111</v>
      </c>
      <c r="AG36" s="60">
        <v>45328.708333333336</v>
      </c>
      <c r="AH36" s="60">
        <v>45329.375694444447</v>
      </c>
      <c r="AI36" s="60">
        <v>45329.382638888892</v>
      </c>
      <c r="AJ36" s="60">
        <v>45329.417361111111</v>
      </c>
      <c r="AK36" s="60">
        <v>45329.459027777775</v>
      </c>
      <c r="AL36" s="60">
        <v>45329.459027777775</v>
      </c>
      <c r="AM36" s="60">
        <v>45329.459027777775</v>
      </c>
      <c r="AN36" t="s" s="58">
        <v>432</v>
      </c>
      <c r="AO36" s="60" cm="1">
        <f t="array" ref="AO36">AJ36</f>
        <v>45329.417361111111</v>
      </c>
      <c r="AP36" t="s" s="58">
        <v>433</v>
      </c>
      <c r="AQ36" s="60" cm="1">
        <f t="array" ref="AQ36">AJ36</f>
        <v>45329.417361111111</v>
      </c>
      <c r="AR36" t="s" s="58">
        <v>434</v>
      </c>
      <c r="AS36" s="60" cm="1">
        <f t="array" ref="AS36">AJ36</f>
        <v>45329.417361111111</v>
      </c>
      <c r="AT36" t="s" s="78">
        <v>435</v>
      </c>
      <c r="AU36" s="60" cm="1">
        <f t="array" ref="AU36">AJ36</f>
        <v>45329.417361111111</v>
      </c>
      <c r="AV36" s="53"/>
      <c r="AW36" t="str" s="63" cm="1">
        <f t="array" ref="AW36">"600/"&amp;$B36&amp;"/"&amp;IF(AND($AE36="Konsultansi",M36&lt;=100000000),"SPK",IF(AND($AE36="Konsultansi",M36&gt;100000000),"Kont",IF(AND($AE36&lt;&gt;"Konsultansi",M36&lt;=200000000),"SPK","Kont")))&amp;"-"&amp;AE36&amp;"/PPK/DPUPR"</f>
        <v>600/49012718/SPK-Konstruksi/PPK/DPUPR</v>
      </c>
      <c r="AX36" t="str" s="63" cm="1">
        <f t="array" ref="AX36">"600/"&amp;$B36&amp;"/SPMK/PPK/DPUPR"</f>
        <v>600/49012718/SPMK/PPK/DPUPR</v>
      </c>
      <c r="AY36" s="53"/>
      <c r="AZ36" s="53"/>
      <c r="BA36" s="53"/>
      <c r="BB36" s="53"/>
      <c r="BC36" s="53"/>
      <c r="BD36" s="53"/>
      <c r="BE36" s="53"/>
      <c r="BF36" s="53"/>
      <c r="BG36" s="64">
        <v>72</v>
      </c>
      <c r="BH36" t="s" s="58">
        <v>292</v>
      </c>
      <c r="BI36" t="s" s="58">
        <v>21</v>
      </c>
      <c r="BJ36" t="s" s="58">
        <v>22</v>
      </c>
      <c r="BK36" t="s" s="58">
        <v>23</v>
      </c>
      <c r="BL36" t="s" s="58">
        <v>24</v>
      </c>
      <c r="BM36" s="53"/>
      <c r="BN36" s="53"/>
      <c r="BO36" s="53"/>
      <c r="BP36" s="53"/>
      <c r="BQ36" s="53"/>
      <c r="BR36" t="b" s="61">
        <v>0</v>
      </c>
      <c r="BS36" s="55" cm="1">
        <f t="array" ref="BS36">IF(M36&lt;=0.8*K36,5%*K36,M36*5%)</f>
        <v>9729900</v>
      </c>
      <c r="BT36" t="s" s="58">
        <v>25</v>
      </c>
      <c r="BU36" s="53"/>
      <c r="BV36" s="55" cm="1">
        <f t="array" ref="BV36">J36-M36</f>
        <v>402000</v>
      </c>
    </row>
    <row r="37" ht="36.25" customHeight="1">
      <c r="A37" s="49"/>
      <c r="B37" s="50">
        <v>49012815</v>
      </c>
      <c r="C37" t="s" s="51">
        <v>438</v>
      </c>
      <c r="D37" t="s" s="65">
        <v>1</v>
      </c>
      <c r="E37" t="str" s="66" cm="1">
        <f t="array" ref="E37">$C37</f>
        <v>Peningkatan Jalan belakang Pos Polisi lingungan Bukit sari</v>
      </c>
      <c r="F37" s="67"/>
      <c r="G37" s="66"/>
      <c r="H37" s="66"/>
      <c r="I37" s="66"/>
      <c r="J37" s="68">
        <v>195000000</v>
      </c>
      <c r="K37" s="76">
        <v>194936668.36</v>
      </c>
      <c r="L37" s="57">
        <v>194825478.36</v>
      </c>
      <c r="M37" s="68">
        <v>194825000</v>
      </c>
      <c r="N37" t="s" s="70">
        <v>307</v>
      </c>
      <c r="O37" t="s" s="71">
        <v>308</v>
      </c>
      <c r="P37" t="s" s="70">
        <v>4</v>
      </c>
      <c r="Q37" t="s" s="70">
        <v>309</v>
      </c>
      <c r="R37" t="s" s="70">
        <v>310</v>
      </c>
      <c r="S37" s="73">
        <v>42</v>
      </c>
      <c r="T37" s="72">
        <v>44404</v>
      </c>
      <c r="U37" t="s" s="70">
        <v>296</v>
      </c>
      <c r="V37" t="s" s="70">
        <v>311</v>
      </c>
      <c r="W37" t="s" s="70">
        <v>312</v>
      </c>
      <c r="X37" s="73">
        <v>120</v>
      </c>
      <c r="Y37" t="s" s="70">
        <v>10</v>
      </c>
      <c r="Z37" s="68" cm="1">
        <f t="array" ref="Z37">M37</f>
        <v>194825000</v>
      </c>
      <c r="AA37" t="s" s="70">
        <v>11</v>
      </c>
      <c r="AB37" s="72" cm="1">
        <f t="array" ref="AB37">AH37</f>
        <v>45329.375694444447</v>
      </c>
      <c r="AC37" s="73">
        <v>180</v>
      </c>
      <c r="AD37" t="s" s="70">
        <v>109</v>
      </c>
      <c r="AE37" t="s" s="70">
        <v>110</v>
      </c>
      <c r="AF37" t="s" s="70">
        <v>111</v>
      </c>
      <c r="AG37" s="72">
        <v>45328.708333333336</v>
      </c>
      <c r="AH37" s="72">
        <v>45329.375694444447</v>
      </c>
      <c r="AI37" s="72">
        <v>45329.382638888892</v>
      </c>
      <c r="AJ37" s="72">
        <v>45329.417361111111</v>
      </c>
      <c r="AK37" s="72">
        <v>45329.459027777775</v>
      </c>
      <c r="AL37" s="72">
        <v>45329.459027777775</v>
      </c>
      <c r="AM37" s="72">
        <v>45329.459027777775</v>
      </c>
      <c r="AN37" t="s" s="70">
        <v>439</v>
      </c>
      <c r="AO37" s="72" cm="1">
        <f t="array" ref="AO37">AJ37</f>
        <v>45329.417361111111</v>
      </c>
      <c r="AP37" t="s" s="70">
        <v>440</v>
      </c>
      <c r="AQ37" s="72" cm="1">
        <f t="array" ref="AQ37">AJ37</f>
        <v>45329.417361111111</v>
      </c>
      <c r="AR37" t="s" s="70">
        <v>441</v>
      </c>
      <c r="AS37" s="72" cm="1">
        <f t="array" ref="AS37">AJ37</f>
        <v>45329.417361111111</v>
      </c>
      <c r="AT37" t="s" s="78">
        <v>442</v>
      </c>
      <c r="AU37" s="72" cm="1">
        <f t="array" ref="AU37">AJ37</f>
        <v>45329.417361111111</v>
      </c>
      <c r="AV37" s="66"/>
      <c r="AW37" t="str" s="74" cm="1">
        <f t="array" ref="AW37">"600/"&amp;$B37&amp;"/"&amp;IF(AND($AE37="Konsultansi",M37&lt;=100000000),"SPK",IF(AND($AE37="Konsultansi",M37&gt;100000000),"Kont",IF(AND($AE37&lt;&gt;"Konsultansi",M37&lt;=200000000),"SPK","Kont")))&amp;"-"&amp;AE37&amp;"/PPK/DPUPR"</f>
        <v>600/49012815/SPK-Konstruksi/PPK/DPUPR</v>
      </c>
      <c r="AX37" t="str" s="74" cm="1">
        <f t="array" ref="AX37">"600/"&amp;$B37&amp;"/SPMK/PPK/DPUPR"</f>
        <v>600/49012815/SPMK/PPK/DPUPR</v>
      </c>
      <c r="AY37" s="66"/>
      <c r="AZ37" s="66"/>
      <c r="BA37" s="66"/>
      <c r="BB37" s="66"/>
      <c r="BC37" s="66"/>
      <c r="BD37" s="66"/>
      <c r="BE37" s="66"/>
      <c r="BF37" s="66"/>
      <c r="BG37" s="75">
        <v>22</v>
      </c>
      <c r="BH37" t="s" s="70">
        <v>307</v>
      </c>
      <c r="BI37" t="s" s="70">
        <v>21</v>
      </c>
      <c r="BJ37" t="s" s="70">
        <v>22</v>
      </c>
      <c r="BK37" t="s" s="70">
        <v>23</v>
      </c>
      <c r="BL37" t="s" s="70">
        <v>24</v>
      </c>
      <c r="BM37" s="66"/>
      <c r="BN37" s="66"/>
      <c r="BO37" s="66"/>
      <c r="BP37" s="66"/>
      <c r="BQ37" s="66"/>
      <c r="BR37" t="b" s="73">
        <v>0</v>
      </c>
      <c r="BS37" s="68" cm="1">
        <f t="array" ref="BS37">IF(M37&lt;=0.8*K37,5%*K37,M37*5%)</f>
        <v>9741250</v>
      </c>
      <c r="BT37" t="s" s="70">
        <v>25</v>
      </c>
      <c r="BU37" s="66"/>
      <c r="BV37" s="68" cm="1">
        <f t="array" ref="BV37">J37-M37</f>
        <v>175000</v>
      </c>
    </row>
    <row r="38" ht="36.25" customHeight="1">
      <c r="A38" s="49"/>
      <c r="B38" s="50">
        <v>49012954</v>
      </c>
      <c r="C38" t="s" s="51">
        <v>445</v>
      </c>
      <c r="D38" t="s" s="52">
        <v>1</v>
      </c>
      <c r="E38" t="str" s="53" cm="1">
        <f t="array" ref="E38">$C38</f>
        <v>Pemb. Jalan Purnama Baru</v>
      </c>
      <c r="F38" s="54"/>
      <c r="G38" s="53"/>
      <c r="H38" s="53"/>
      <c r="I38" s="53"/>
      <c r="J38" s="55">
        <v>195000000</v>
      </c>
      <c r="K38" s="77">
        <v>194756679.02</v>
      </c>
      <c r="L38" s="57">
        <v>194645489.02</v>
      </c>
      <c r="M38" s="55">
        <v>194645000</v>
      </c>
      <c r="N38" t="s" s="58">
        <v>321</v>
      </c>
      <c r="O38" t="s" s="59">
        <v>322</v>
      </c>
      <c r="P38" t="s" s="58">
        <v>4</v>
      </c>
      <c r="Q38" t="s" s="58">
        <v>323</v>
      </c>
      <c r="R38" t="s" s="58">
        <v>279</v>
      </c>
      <c r="S38" t="s" s="58">
        <v>324</v>
      </c>
      <c r="T38" s="83">
        <v>43979</v>
      </c>
      <c r="U38" t="s" s="58">
        <v>124</v>
      </c>
      <c r="V38" t="s" s="58">
        <v>325</v>
      </c>
      <c r="W38" t="s" s="58">
        <v>326</v>
      </c>
      <c r="X38" s="61">
        <v>120</v>
      </c>
      <c r="Y38" t="s" s="58">
        <v>10</v>
      </c>
      <c r="Z38" s="55" cm="1">
        <f t="array" ref="Z38">M38</f>
        <v>194645000</v>
      </c>
      <c r="AA38" t="s" s="58">
        <v>11</v>
      </c>
      <c r="AB38" s="60" cm="1">
        <f t="array" ref="AB38">AH38</f>
        <v>45329.375694444447</v>
      </c>
      <c r="AC38" s="61">
        <v>180</v>
      </c>
      <c r="AD38" t="s" s="58">
        <v>109</v>
      </c>
      <c r="AE38" t="s" s="58">
        <v>110</v>
      </c>
      <c r="AF38" t="s" s="58">
        <v>111</v>
      </c>
      <c r="AG38" s="60">
        <v>45328.708333333336</v>
      </c>
      <c r="AH38" s="60">
        <v>45329.375694444447</v>
      </c>
      <c r="AI38" s="60">
        <v>45329.382638888892</v>
      </c>
      <c r="AJ38" s="60">
        <v>45329.417361111111</v>
      </c>
      <c r="AK38" s="60">
        <v>45329.459027777775</v>
      </c>
      <c r="AL38" s="60">
        <v>45329.459027777775</v>
      </c>
      <c r="AM38" s="60">
        <v>45329.459027777775</v>
      </c>
      <c r="AN38" t="s" s="58">
        <v>446</v>
      </c>
      <c r="AO38" s="60" cm="1">
        <f t="array" ref="AO38">AJ38</f>
        <v>45329.417361111111</v>
      </c>
      <c r="AP38" t="s" s="58">
        <v>447</v>
      </c>
      <c r="AQ38" s="60" cm="1">
        <f t="array" ref="AQ38">AJ38</f>
        <v>45329.417361111111</v>
      </c>
      <c r="AR38" t="s" s="58">
        <v>448</v>
      </c>
      <c r="AS38" s="60" cm="1">
        <f t="array" ref="AS38">AJ38</f>
        <v>45329.417361111111</v>
      </c>
      <c r="AT38" t="s" s="78">
        <v>449</v>
      </c>
      <c r="AU38" s="60" cm="1">
        <f t="array" ref="AU38">AJ38</f>
        <v>45329.417361111111</v>
      </c>
      <c r="AV38" s="53"/>
      <c r="AW38" t="str" s="63" cm="1">
        <f t="array" ref="AW38">"600/"&amp;$B38&amp;"/"&amp;IF(AND($AE38="Konsultansi",M38&lt;=100000000),"SPK",IF(AND($AE38="Konsultansi",M38&gt;100000000),"Kont",IF(AND($AE38&lt;&gt;"Konsultansi",M38&lt;=200000000),"SPK","Kont")))&amp;"-"&amp;AE38&amp;"/PPK/DPUPR"</f>
        <v>600/49012954/SPK-Konstruksi/PPK/DPUPR</v>
      </c>
      <c r="AX38" t="str" s="63" cm="1">
        <f t="array" ref="AX38">"600/"&amp;$B38&amp;"/SPMK/PPK/DPUPR"</f>
        <v>600/49012954/SPMK/PPK/DPUPR</v>
      </c>
      <c r="AY38" s="53"/>
      <c r="AZ38" s="53"/>
      <c r="BA38" s="53"/>
      <c r="BB38" s="53"/>
      <c r="BC38" s="53"/>
      <c r="BD38" s="53"/>
      <c r="BE38" s="53"/>
      <c r="BF38" s="53"/>
      <c r="BG38" s="64">
        <v>15</v>
      </c>
      <c r="BH38" t="s" s="58">
        <v>321</v>
      </c>
      <c r="BI38" t="s" s="58">
        <v>21</v>
      </c>
      <c r="BJ38" t="s" s="58">
        <v>22</v>
      </c>
      <c r="BK38" t="s" s="58">
        <v>23</v>
      </c>
      <c r="BL38" t="s" s="58">
        <v>24</v>
      </c>
      <c r="BM38" s="53"/>
      <c r="BN38" s="53"/>
      <c r="BO38" s="53"/>
      <c r="BP38" s="53"/>
      <c r="BQ38" s="53"/>
      <c r="BR38" t="b" s="61">
        <v>0</v>
      </c>
      <c r="BS38" s="55" cm="1">
        <f t="array" ref="BS38">IF(M38&lt;=0.8*K38,5%*K38,M38*5%)</f>
        <v>9732250</v>
      </c>
      <c r="BT38" t="s" s="58">
        <v>25</v>
      </c>
      <c r="BU38" s="53"/>
      <c r="BV38" s="55" cm="1">
        <f t="array" ref="BV38">J38-M38</f>
        <v>355000</v>
      </c>
    </row>
    <row r="39" ht="36.25" customHeight="1">
      <c r="A39" s="49"/>
      <c r="B39" s="50">
        <v>49014897</v>
      </c>
      <c r="C39" t="s" s="51">
        <v>452</v>
      </c>
      <c r="D39" t="s" s="65">
        <v>149</v>
      </c>
      <c r="E39" t="str" s="66" cm="1">
        <f t="array" ref="E39">$C39</f>
        <v>Pemb. Box Culvert Mandar II Saluapu</v>
      </c>
      <c r="F39" s="67"/>
      <c r="G39" s="66"/>
      <c r="H39" s="66"/>
      <c r="I39" s="66"/>
      <c r="J39" s="68">
        <v>195000000</v>
      </c>
      <c r="K39" s="76">
        <v>194963664.53</v>
      </c>
      <c r="L39" s="57">
        <v>194833754.28</v>
      </c>
      <c r="M39" s="68">
        <v>194833000</v>
      </c>
      <c r="N39" t="s" s="70">
        <v>307</v>
      </c>
      <c r="O39" t="s" s="71">
        <v>308</v>
      </c>
      <c r="P39" t="s" s="70">
        <v>4</v>
      </c>
      <c r="Q39" t="s" s="70">
        <v>309</v>
      </c>
      <c r="R39" t="s" s="70">
        <v>310</v>
      </c>
      <c r="S39" s="73">
        <v>42</v>
      </c>
      <c r="T39" s="72">
        <v>44404</v>
      </c>
      <c r="U39" t="s" s="70">
        <v>296</v>
      </c>
      <c r="V39" t="s" s="70">
        <v>311</v>
      </c>
      <c r="W39" t="s" s="70">
        <v>312</v>
      </c>
      <c r="X39" s="73">
        <v>150</v>
      </c>
      <c r="Y39" t="s" s="70">
        <v>10</v>
      </c>
      <c r="Z39" s="68" cm="1">
        <f t="array" ref="Z39">M39</f>
        <v>194833000</v>
      </c>
      <c r="AA39" t="s" s="70">
        <v>453</v>
      </c>
      <c r="AB39" s="72" cm="1">
        <f t="array" ref="AB39">AH39</f>
        <v>45322.375</v>
      </c>
      <c r="AC39" s="73" cm="1">
        <f t="array" ref="AC39">6*30</f>
        <v>180</v>
      </c>
      <c r="AD39" t="s" s="70">
        <v>109</v>
      </c>
      <c r="AE39" t="s" s="70">
        <v>110</v>
      </c>
      <c r="AF39" t="s" s="70">
        <v>150</v>
      </c>
      <c r="AG39" s="80">
        <v>45321.375</v>
      </c>
      <c r="AH39" s="80">
        <v>45322.375</v>
      </c>
      <c r="AI39" s="80">
        <v>45322.375</v>
      </c>
      <c r="AJ39" s="80">
        <v>45322.416666666664</v>
      </c>
      <c r="AK39" s="80">
        <v>45322.458333333336</v>
      </c>
      <c r="AL39" s="80">
        <v>45322.458333333336</v>
      </c>
      <c r="AM39" s="80">
        <v>45322.458333333336</v>
      </c>
      <c r="AN39" t="s" s="70">
        <v>454</v>
      </c>
      <c r="AO39" s="80" cm="1">
        <f t="array" ref="AO39">AJ39</f>
        <v>45322.416666666664</v>
      </c>
      <c r="AP39" t="s" s="70">
        <v>455</v>
      </c>
      <c r="AQ39" s="80" cm="1">
        <f t="array" ref="AQ39">AJ39</f>
        <v>45322.416666666664</v>
      </c>
      <c r="AR39" t="s" s="70">
        <v>456</v>
      </c>
      <c r="AS39" s="80" cm="1">
        <f t="array" ref="AS39">AJ39</f>
        <v>45322.416666666664</v>
      </c>
      <c r="AT39" t="s" s="78">
        <v>457</v>
      </c>
      <c r="AU39" s="80" cm="1">
        <f t="array" ref="AU39">AJ39</f>
        <v>45322.416666666664</v>
      </c>
      <c r="AV39" s="66"/>
      <c r="AW39" t="str" s="74" cm="1">
        <f t="array" ref="AW39">"600/"&amp;$B39&amp;"/"&amp;IF(AND($AE39="Konsultansi",M39&lt;=100000000),"SPK",IF(AND($AE39="Konsultansi",M39&gt;100000000),"Kont",IF(AND($AE39&lt;&gt;"Konsultansi",M39&lt;=200000000),"SPK","Kont")))&amp;"-"&amp;AE39&amp;"/PPK/DPUPR"</f>
        <v>600/49014897/SPK-Konstruksi/PPK/DPUPR</v>
      </c>
      <c r="AX39" t="str" s="74" cm="1">
        <f t="array" ref="AX39">"600/"&amp;$B39&amp;"/SPMK/PPK/DPUPR"</f>
        <v>600/49014897/SPMK/PPK/DPUPR</v>
      </c>
      <c r="AY39" s="66"/>
      <c r="AZ39" s="66"/>
      <c r="BA39" s="66"/>
      <c r="BB39" s="66"/>
      <c r="BC39" s="66"/>
      <c r="BD39" s="66"/>
      <c r="BE39" s="66"/>
      <c r="BF39" s="66"/>
      <c r="BG39" s="75">
        <v>22</v>
      </c>
      <c r="BH39" t="s" s="70">
        <v>307</v>
      </c>
      <c r="BI39" t="s" s="70">
        <v>21</v>
      </c>
      <c r="BJ39" t="s" s="70">
        <v>22</v>
      </c>
      <c r="BK39" t="s" s="70">
        <v>23</v>
      </c>
      <c r="BL39" t="s" s="70">
        <v>24</v>
      </c>
      <c r="BM39" s="66"/>
      <c r="BN39" s="66"/>
      <c r="BO39" s="66"/>
      <c r="BP39" s="66"/>
      <c r="BQ39" s="66"/>
      <c r="BR39" t="b" s="73">
        <v>0</v>
      </c>
      <c r="BS39" s="68" cm="1">
        <f t="array" ref="BS39">IF(M39&lt;=0.8*K39,5%*K39,M39*5%)</f>
        <v>9741650</v>
      </c>
      <c r="BT39" t="s" s="70">
        <v>156</v>
      </c>
      <c r="BU39" s="66"/>
      <c r="BV39" s="68" cm="1">
        <f t="array" ref="BV39">J39-M39</f>
        <v>167000</v>
      </c>
    </row>
    <row r="40" ht="36.25" customHeight="1">
      <c r="A40" s="49"/>
      <c r="B40" s="50">
        <v>49014944</v>
      </c>
      <c r="C40" t="s" s="51">
        <v>460</v>
      </c>
      <c r="D40" t="s" s="52">
        <v>149</v>
      </c>
      <c r="E40" t="str" s="53" cm="1">
        <f t="array" ref="E40">$C40</f>
        <v>Pemb. Box Culvert Desa Karya Bersama</v>
      </c>
      <c r="F40" s="54"/>
      <c r="G40" s="53"/>
      <c r="H40" s="53"/>
      <c r="I40" s="53"/>
      <c r="J40" s="55">
        <v>150000000</v>
      </c>
      <c r="K40" s="77">
        <v>149869353.17</v>
      </c>
      <c r="L40" s="57">
        <v>149765936.35</v>
      </c>
      <c r="M40" s="55">
        <v>149765000</v>
      </c>
      <c r="N40" t="s" s="58">
        <v>321</v>
      </c>
      <c r="O40" t="s" s="59">
        <v>322</v>
      </c>
      <c r="P40" t="s" s="58">
        <v>4</v>
      </c>
      <c r="Q40" t="s" s="58">
        <v>323</v>
      </c>
      <c r="R40" t="s" s="58">
        <v>279</v>
      </c>
      <c r="S40" t="s" s="58">
        <v>324</v>
      </c>
      <c r="T40" s="83">
        <v>43979</v>
      </c>
      <c r="U40" t="s" s="58">
        <v>124</v>
      </c>
      <c r="V40" t="s" s="58">
        <v>325</v>
      </c>
      <c r="W40" t="s" s="58">
        <v>326</v>
      </c>
      <c r="X40" s="61">
        <v>150</v>
      </c>
      <c r="Y40" t="s" s="58">
        <v>10</v>
      </c>
      <c r="Z40" s="55" cm="1">
        <f t="array" ref="Z40">M40</f>
        <v>149765000</v>
      </c>
      <c r="AA40" t="s" s="58">
        <v>461</v>
      </c>
      <c r="AB40" s="60" cm="1">
        <f t="array" ref="AB40">AH40</f>
        <v>45322.375</v>
      </c>
      <c r="AC40" s="61" cm="1">
        <f t="array" ref="AC40">6*30</f>
        <v>180</v>
      </c>
      <c r="AD40" t="s" s="58">
        <v>109</v>
      </c>
      <c r="AE40" t="s" s="58">
        <v>110</v>
      </c>
      <c r="AF40" t="s" s="58">
        <v>150</v>
      </c>
      <c r="AG40" s="81">
        <v>45321.375</v>
      </c>
      <c r="AH40" s="81">
        <v>45322.375</v>
      </c>
      <c r="AI40" s="81">
        <v>45322.375</v>
      </c>
      <c r="AJ40" s="81">
        <v>45322.416666666664</v>
      </c>
      <c r="AK40" s="81">
        <v>45322.458333333336</v>
      </c>
      <c r="AL40" s="81">
        <v>45322.458333333336</v>
      </c>
      <c r="AM40" s="81">
        <v>45322.458333333336</v>
      </c>
      <c r="AN40" t="s" s="58">
        <v>462</v>
      </c>
      <c r="AO40" s="81" cm="1">
        <f t="array" ref="AO40">AJ40</f>
        <v>45322.416666666664</v>
      </c>
      <c r="AP40" t="s" s="58">
        <v>463</v>
      </c>
      <c r="AQ40" s="81" cm="1">
        <f t="array" ref="AQ40">AJ40</f>
        <v>45322.416666666664</v>
      </c>
      <c r="AR40" t="s" s="58">
        <v>464</v>
      </c>
      <c r="AS40" s="81" cm="1">
        <f t="array" ref="AS40">AJ40</f>
        <v>45322.416666666664</v>
      </c>
      <c r="AT40" t="s" s="78">
        <v>465</v>
      </c>
      <c r="AU40" s="81" cm="1">
        <f t="array" ref="AU40">AJ40</f>
        <v>45322.416666666664</v>
      </c>
      <c r="AV40" s="53"/>
      <c r="AW40" t="str" s="63" cm="1">
        <f t="array" ref="AW40">"600/"&amp;$B40&amp;"/"&amp;IF(AND($AE40="Konsultansi",M40&lt;=100000000),"SPK",IF(AND($AE40="Konsultansi",M40&gt;100000000),"Kont",IF(AND($AE40&lt;&gt;"Konsultansi",M40&lt;=200000000),"SPK","Kont")))&amp;"-"&amp;AE40&amp;"/PPK/DPUPR"</f>
        <v>600/49014944/SPK-Konstruksi/PPK/DPUPR</v>
      </c>
      <c r="AX40" t="str" s="63" cm="1">
        <f t="array" ref="AX40">"600/"&amp;$B40&amp;"/SPMK/PPK/DPUPR"</f>
        <v>600/49014944/SPMK/PPK/DPUPR</v>
      </c>
      <c r="AY40" s="53"/>
      <c r="AZ40" s="53"/>
      <c r="BA40" s="53"/>
      <c r="BB40" s="53"/>
      <c r="BC40" s="53"/>
      <c r="BD40" s="53"/>
      <c r="BE40" s="53"/>
      <c r="BF40" s="53"/>
      <c r="BG40" s="64">
        <v>15</v>
      </c>
      <c r="BH40" t="s" s="58">
        <v>321</v>
      </c>
      <c r="BI40" t="s" s="58">
        <v>21</v>
      </c>
      <c r="BJ40" t="s" s="58">
        <v>22</v>
      </c>
      <c r="BK40" t="s" s="58">
        <v>23</v>
      </c>
      <c r="BL40" t="s" s="58">
        <v>24</v>
      </c>
      <c r="BM40" s="53"/>
      <c r="BN40" s="53"/>
      <c r="BO40" s="53"/>
      <c r="BP40" s="53"/>
      <c r="BQ40" s="53"/>
      <c r="BR40" t="b" s="61">
        <v>0</v>
      </c>
      <c r="BS40" s="55" cm="1">
        <f t="array" ref="BS40">IF(M40&lt;=0.8*K40,5%*K40,M40*5%)</f>
        <v>7488250</v>
      </c>
      <c r="BT40" t="s" s="58">
        <v>156</v>
      </c>
      <c r="BU40" s="53"/>
      <c r="BV40" s="55" cm="1">
        <f t="array" ref="BV40">J40-M40</f>
        <v>235000</v>
      </c>
    </row>
    <row r="41" ht="36.25" customHeight="1">
      <c r="A41" s="49"/>
      <c r="B41" s="50">
        <v>49014993</v>
      </c>
      <c r="C41" t="s" s="51">
        <v>468</v>
      </c>
      <c r="D41" t="s" s="65">
        <v>149</v>
      </c>
      <c r="E41" t="str" s="66" cm="1">
        <f t="array" ref="E41">$C41</f>
        <v>Pemb. Box Culvert Dusun Maros Baru Desa Benggaulu</v>
      </c>
      <c r="F41" s="67"/>
      <c r="G41" s="66"/>
      <c r="H41" s="66"/>
      <c r="I41" s="66"/>
      <c r="J41" s="68">
        <v>150000000</v>
      </c>
      <c r="K41" s="76">
        <v>149869353.17</v>
      </c>
      <c r="L41" s="57">
        <v>149696440.26</v>
      </c>
      <c r="M41" s="68">
        <v>149696000</v>
      </c>
      <c r="N41" t="s" s="70">
        <v>469</v>
      </c>
      <c r="O41" t="s" s="71">
        <v>470</v>
      </c>
      <c r="P41" t="s" s="70">
        <v>4</v>
      </c>
      <c r="Q41" t="s" s="70">
        <v>471</v>
      </c>
      <c r="R41" t="s" s="70">
        <v>472</v>
      </c>
      <c r="S41" s="73">
        <v>35</v>
      </c>
      <c r="T41" s="72">
        <v>41715</v>
      </c>
      <c r="U41" t="s" s="70">
        <v>473</v>
      </c>
      <c r="V41" t="s" s="70">
        <v>474</v>
      </c>
      <c r="W41" t="s" s="70">
        <v>475</v>
      </c>
      <c r="X41" s="73">
        <v>150</v>
      </c>
      <c r="Y41" t="s" s="70">
        <v>10</v>
      </c>
      <c r="Z41" s="68" cm="1">
        <f t="array" ref="Z41">M41</f>
        <v>149696000</v>
      </c>
      <c r="AA41" t="s" s="70">
        <v>476</v>
      </c>
      <c r="AB41" s="72" cm="1">
        <f t="array" ref="AB41">AH41</f>
        <v>45322.375</v>
      </c>
      <c r="AC41" s="73" cm="1">
        <f t="array" ref="AC41">6*30</f>
        <v>180</v>
      </c>
      <c r="AD41" t="s" s="70">
        <v>109</v>
      </c>
      <c r="AE41" t="s" s="70">
        <v>110</v>
      </c>
      <c r="AF41" t="s" s="70">
        <v>150</v>
      </c>
      <c r="AG41" s="80">
        <v>45321.375</v>
      </c>
      <c r="AH41" s="80">
        <v>45322.375</v>
      </c>
      <c r="AI41" s="80">
        <v>45322.375</v>
      </c>
      <c r="AJ41" s="80">
        <v>45322.416666666664</v>
      </c>
      <c r="AK41" s="80">
        <v>45322.458333333336</v>
      </c>
      <c r="AL41" s="80">
        <v>45322.458333333336</v>
      </c>
      <c r="AM41" s="80">
        <v>45322.458333333336</v>
      </c>
      <c r="AN41" t="s" s="70">
        <v>477</v>
      </c>
      <c r="AO41" s="80" cm="1">
        <f t="array" ref="AO41">AJ41</f>
        <v>45322.416666666664</v>
      </c>
      <c r="AP41" t="s" s="70">
        <v>478</v>
      </c>
      <c r="AQ41" s="80" cm="1">
        <f t="array" ref="AQ41">AJ41</f>
        <v>45322.416666666664</v>
      </c>
      <c r="AR41" t="s" s="70">
        <v>479</v>
      </c>
      <c r="AS41" s="80" cm="1">
        <f t="array" ref="AS41">AJ41</f>
        <v>45322.416666666664</v>
      </c>
      <c r="AT41" t="s" s="78">
        <v>480</v>
      </c>
      <c r="AU41" s="80" cm="1">
        <f t="array" ref="AU41">AJ41</f>
        <v>45322.416666666664</v>
      </c>
      <c r="AV41" s="66"/>
      <c r="AW41" t="str" s="74" cm="1">
        <f t="array" ref="AW41">"600/"&amp;$B41&amp;"/"&amp;IF(AND($AE41="Konsultansi",M41&lt;=100000000),"SPK",IF(AND($AE41="Konsultansi",M41&gt;100000000),"Kont",IF(AND($AE41&lt;&gt;"Konsultansi",M41&lt;=200000000),"SPK","Kont")))&amp;"-"&amp;AE41&amp;"/PPK/DPUPR"</f>
        <v>600/49014993/SPK-Konstruksi/PPK/DPUPR</v>
      </c>
      <c r="AX41" t="str" s="74" cm="1">
        <f t="array" ref="AX41">"600/"&amp;$B41&amp;"/SPMK/PPK/DPUPR"</f>
        <v>600/49014993/SPMK/PPK/DPUPR</v>
      </c>
      <c r="AY41" s="66"/>
      <c r="AZ41" s="66"/>
      <c r="BA41" s="66"/>
      <c r="BB41" s="66"/>
      <c r="BC41" s="66"/>
      <c r="BD41" s="66"/>
      <c r="BE41" s="66"/>
      <c r="BF41" s="66"/>
      <c r="BG41" s="75">
        <v>190</v>
      </c>
      <c r="BH41" t="s" s="70">
        <v>469</v>
      </c>
      <c r="BI41" t="s" s="70">
        <v>21</v>
      </c>
      <c r="BJ41" t="s" s="70">
        <v>22</v>
      </c>
      <c r="BK41" t="s" s="70">
        <v>23</v>
      </c>
      <c r="BL41" t="s" s="70">
        <v>24</v>
      </c>
      <c r="BM41" s="66"/>
      <c r="BN41" s="66"/>
      <c r="BO41" s="66"/>
      <c r="BP41" s="66"/>
      <c r="BQ41" s="66"/>
      <c r="BR41" t="b" s="73">
        <v>0</v>
      </c>
      <c r="BS41" s="68" cm="1">
        <f t="array" ref="BS41">IF(M41&lt;=0.8*K41,5%*K41,M41*5%)</f>
        <v>7484800</v>
      </c>
      <c r="BT41" t="s" s="70">
        <v>156</v>
      </c>
      <c r="BU41" s="66"/>
      <c r="BV41" s="68" cm="1">
        <f t="array" ref="BV41">J41-M41</f>
        <v>304000</v>
      </c>
    </row>
    <row r="42" ht="36.25" customHeight="1">
      <c r="A42" s="49"/>
      <c r="B42" s="50">
        <v>49015008</v>
      </c>
      <c r="C42" t="s" s="51">
        <v>483</v>
      </c>
      <c r="D42" t="s" s="52">
        <v>149</v>
      </c>
      <c r="E42" t="str" s="53" cm="1">
        <f t="array" ref="E42">$C42</f>
        <v>Pemb. Box Culvert Dusun Mata Allo Desa Tamarunang</v>
      </c>
      <c r="F42" s="54"/>
      <c r="G42" s="53"/>
      <c r="H42" s="53"/>
      <c r="I42" s="53"/>
      <c r="J42" s="55">
        <v>150000000</v>
      </c>
      <c r="K42" s="77">
        <v>149749997.24</v>
      </c>
      <c r="L42" s="57">
        <v>149571937.43</v>
      </c>
      <c r="M42" s="55">
        <v>149571000</v>
      </c>
      <c r="N42" t="s" s="58">
        <v>469</v>
      </c>
      <c r="O42" t="s" s="59">
        <v>470</v>
      </c>
      <c r="P42" t="s" s="58">
        <v>4</v>
      </c>
      <c r="Q42" t="s" s="58">
        <v>471</v>
      </c>
      <c r="R42" t="s" s="58">
        <v>472</v>
      </c>
      <c r="S42" s="61">
        <v>35</v>
      </c>
      <c r="T42" s="60">
        <v>41715</v>
      </c>
      <c r="U42" t="s" s="58">
        <v>473</v>
      </c>
      <c r="V42" t="s" s="58">
        <v>474</v>
      </c>
      <c r="W42" t="s" s="58">
        <v>475</v>
      </c>
      <c r="X42" s="61">
        <v>150</v>
      </c>
      <c r="Y42" t="s" s="58">
        <v>10</v>
      </c>
      <c r="Z42" s="55" cm="1">
        <f t="array" ref="Z42">M42</f>
        <v>149571000</v>
      </c>
      <c r="AA42" t="s" s="58">
        <v>484</v>
      </c>
      <c r="AB42" s="60" cm="1">
        <f t="array" ref="AB42">AH42</f>
        <v>45322.375</v>
      </c>
      <c r="AC42" s="61" cm="1">
        <f t="array" ref="AC42">6*30</f>
        <v>180</v>
      </c>
      <c r="AD42" t="s" s="58">
        <v>109</v>
      </c>
      <c r="AE42" t="s" s="58">
        <v>110</v>
      </c>
      <c r="AF42" t="s" s="58">
        <v>150</v>
      </c>
      <c r="AG42" s="81">
        <v>45321.375</v>
      </c>
      <c r="AH42" s="81">
        <v>45322.375</v>
      </c>
      <c r="AI42" s="81">
        <v>45322.375</v>
      </c>
      <c r="AJ42" s="81">
        <v>45322.416666666664</v>
      </c>
      <c r="AK42" s="81">
        <v>45322.458333333336</v>
      </c>
      <c r="AL42" s="81">
        <v>45322.458333333336</v>
      </c>
      <c r="AM42" s="81">
        <v>45322.458333333336</v>
      </c>
      <c r="AN42" t="s" s="58">
        <v>485</v>
      </c>
      <c r="AO42" s="81" cm="1">
        <f t="array" ref="AO42">AJ42</f>
        <v>45322.416666666664</v>
      </c>
      <c r="AP42" t="s" s="58">
        <v>486</v>
      </c>
      <c r="AQ42" s="81" cm="1">
        <f t="array" ref="AQ42">AJ42</f>
        <v>45322.416666666664</v>
      </c>
      <c r="AR42" t="s" s="58">
        <v>487</v>
      </c>
      <c r="AS42" s="81" cm="1">
        <f t="array" ref="AS42">AJ42</f>
        <v>45322.416666666664</v>
      </c>
      <c r="AT42" t="s" s="78">
        <v>488</v>
      </c>
      <c r="AU42" s="81" cm="1">
        <f t="array" ref="AU42">AJ42</f>
        <v>45322.416666666664</v>
      </c>
      <c r="AV42" s="53"/>
      <c r="AW42" t="str" s="63" cm="1">
        <f t="array" ref="AW42">"600/"&amp;$B42&amp;"/"&amp;IF(AND($AE42="Konsultansi",M42&lt;=100000000),"SPK",IF(AND($AE42="Konsultansi",M42&gt;100000000),"Kont",IF(AND($AE42&lt;&gt;"Konsultansi",M42&lt;=200000000),"SPK","Kont")))&amp;"-"&amp;AE42&amp;"/PPK/DPUPR"</f>
        <v>600/49015008/SPK-Konstruksi/PPK/DPUPR</v>
      </c>
      <c r="AX42" t="str" s="63" cm="1">
        <f t="array" ref="AX42">"600/"&amp;$B42&amp;"/SPMK/PPK/DPUPR"</f>
        <v>600/49015008/SPMK/PPK/DPUPR</v>
      </c>
      <c r="AY42" s="53"/>
      <c r="AZ42" s="53"/>
      <c r="BA42" s="53"/>
      <c r="BB42" s="53"/>
      <c r="BC42" s="53"/>
      <c r="BD42" s="53"/>
      <c r="BE42" s="53"/>
      <c r="BF42" s="53"/>
      <c r="BG42" s="64">
        <v>190</v>
      </c>
      <c r="BH42" t="s" s="58">
        <v>469</v>
      </c>
      <c r="BI42" t="s" s="58">
        <v>21</v>
      </c>
      <c r="BJ42" t="s" s="58">
        <v>22</v>
      </c>
      <c r="BK42" t="s" s="58">
        <v>23</v>
      </c>
      <c r="BL42" t="s" s="58">
        <v>24</v>
      </c>
      <c r="BM42" s="53"/>
      <c r="BN42" s="53"/>
      <c r="BO42" s="53"/>
      <c r="BP42" s="53"/>
      <c r="BQ42" s="53"/>
      <c r="BR42" t="b" s="61">
        <v>0</v>
      </c>
      <c r="BS42" s="55" cm="1">
        <f t="array" ref="BS42">IF(M42&lt;=0.8*K42,5%*K42,M42*5%)</f>
        <v>7478550</v>
      </c>
      <c r="BT42" t="s" s="58">
        <v>156</v>
      </c>
      <c r="BU42" s="53"/>
      <c r="BV42" s="55" cm="1">
        <f t="array" ref="BV42">J42-M42</f>
        <v>429000</v>
      </c>
    </row>
    <row r="43" ht="36.25" customHeight="1">
      <c r="A43" s="49"/>
      <c r="B43" s="50">
        <v>5510660</v>
      </c>
      <c r="C43" t="s" s="51">
        <v>491</v>
      </c>
      <c r="D43" t="s" s="65">
        <v>1</v>
      </c>
      <c r="E43" t="str" s="66" cm="1">
        <f t="array" ref="E43">$C43</f>
        <v>Peningkatan Jalan Dusun Kali Kuma I Desa Sipakainga</v>
      </c>
      <c r="F43" s="67"/>
      <c r="G43" s="66"/>
      <c r="H43" s="66"/>
      <c r="I43" s="66"/>
      <c r="J43" s="68">
        <v>180000000</v>
      </c>
      <c r="K43" s="76">
        <v>179903522.75</v>
      </c>
      <c r="L43" s="57">
        <v>179733989.4</v>
      </c>
      <c r="M43" s="68">
        <v>179733000</v>
      </c>
      <c r="N43" t="s" s="70">
        <v>492</v>
      </c>
      <c r="O43" t="s" s="71">
        <v>493</v>
      </c>
      <c r="P43" t="s" s="70">
        <v>4</v>
      </c>
      <c r="Q43" t="s" s="70">
        <v>494</v>
      </c>
      <c r="R43" t="s" s="70">
        <v>495</v>
      </c>
      <c r="S43" s="73">
        <v>29</v>
      </c>
      <c r="T43" s="72">
        <v>44587</v>
      </c>
      <c r="U43" t="s" s="70">
        <v>250</v>
      </c>
      <c r="V43" t="s" s="70">
        <v>496</v>
      </c>
      <c r="W43" t="s" s="70">
        <v>497</v>
      </c>
      <c r="X43" s="73">
        <v>120</v>
      </c>
      <c r="Y43" t="s" s="70">
        <v>10</v>
      </c>
      <c r="Z43" s="68" cm="1">
        <f t="array" ref="Z43">M43</f>
        <v>179733000</v>
      </c>
      <c r="AA43" t="s" s="70">
        <v>11</v>
      </c>
      <c r="AB43" s="72" cm="1">
        <f t="array" ref="AB43">AH43</f>
        <v>45349</v>
      </c>
      <c r="AC43" s="73" cm="1">
        <f t="array" ref="AC43">6*30</f>
        <v>180</v>
      </c>
      <c r="AD43" t="s" s="70">
        <v>109</v>
      </c>
      <c r="AE43" t="s" s="70">
        <v>110</v>
      </c>
      <c r="AF43" t="s" s="70">
        <v>111</v>
      </c>
      <c r="AG43" s="72">
        <v>45348</v>
      </c>
      <c r="AH43" s="72">
        <v>45349</v>
      </c>
      <c r="AI43" s="72">
        <v>45349</v>
      </c>
      <c r="AJ43" s="72">
        <v>45349</v>
      </c>
      <c r="AK43" s="72">
        <v>45350</v>
      </c>
      <c r="AL43" s="72">
        <v>45350</v>
      </c>
      <c r="AM43" s="72">
        <v>45350</v>
      </c>
      <c r="AN43" t="s" s="70">
        <v>498</v>
      </c>
      <c r="AO43" s="72" cm="1">
        <f t="array" ref="AO43">AJ43</f>
        <v>45349</v>
      </c>
      <c r="AP43" t="s" s="70">
        <v>499</v>
      </c>
      <c r="AQ43" s="72" cm="1">
        <f t="array" ref="AQ43">AJ43</f>
        <v>45349</v>
      </c>
      <c r="AR43" t="s" s="70">
        <v>500</v>
      </c>
      <c r="AS43" s="72" cm="1">
        <f t="array" ref="AS43">AJ43</f>
        <v>45349</v>
      </c>
      <c r="AT43" t="s" s="78">
        <v>501</v>
      </c>
      <c r="AU43" s="72" cm="1">
        <f t="array" ref="AU43">AJ43</f>
        <v>45349</v>
      </c>
      <c r="AV43" s="66"/>
      <c r="AW43" t="str" s="74" cm="1">
        <f t="array" ref="AW43">"600/"&amp;$B43&amp;"/"&amp;IF(AND($AE43="Konsultansi",M43&lt;=100000000),"SPK",IF(AND($AE43="Konsultansi",M43&gt;100000000),"Kont",IF(AND($AE43&lt;&gt;"Konsultansi",M43&lt;=200000000),"SPK","Kont")))&amp;"-"&amp;AE43&amp;"/PPK/DPUPR"</f>
        <v>600/5510660/SPK-Konstruksi/PPK/DPUPR</v>
      </c>
      <c r="AX43" t="str" s="74" cm="1">
        <f t="array" ref="AX43">"600/"&amp;$B43&amp;"/SPMK/PPK/DPUPR"</f>
        <v>600/5510660/SPMK/PPK/DPUPR</v>
      </c>
      <c r="AY43" s="66"/>
      <c r="AZ43" s="66"/>
      <c r="BA43" s="66"/>
      <c r="BB43" s="66"/>
      <c r="BC43" s="66"/>
      <c r="BD43" s="66"/>
      <c r="BE43" s="66"/>
      <c r="BF43" s="66"/>
      <c r="BG43" s="75">
        <v>200</v>
      </c>
      <c r="BH43" t="s" s="70">
        <v>492</v>
      </c>
      <c r="BI43" t="s" s="70">
        <v>21</v>
      </c>
      <c r="BJ43" t="s" s="70">
        <v>22</v>
      </c>
      <c r="BK43" t="s" s="70">
        <v>23</v>
      </c>
      <c r="BL43" t="s" s="70">
        <v>24</v>
      </c>
      <c r="BM43" s="66"/>
      <c r="BN43" s="66"/>
      <c r="BO43" s="66"/>
      <c r="BP43" s="66"/>
      <c r="BQ43" s="66"/>
      <c r="BR43" t="b" s="73">
        <v>0</v>
      </c>
      <c r="BS43" s="68" cm="1">
        <f t="array" ref="BS43">IF(M43&lt;=0.8*K43,5%*K43,M43*5%)</f>
        <v>8986650</v>
      </c>
      <c r="BT43" t="s" s="70">
        <v>25</v>
      </c>
      <c r="BU43" s="66"/>
      <c r="BV43" s="68" cm="1">
        <f t="array" ref="BV43">J43-M43</f>
        <v>267000</v>
      </c>
    </row>
    <row r="44" ht="36.25" customHeight="1">
      <c r="A44" s="49"/>
      <c r="B44" s="50">
        <v>5511660</v>
      </c>
      <c r="C44" t="s" s="51">
        <v>504</v>
      </c>
      <c r="D44" t="s" s="52">
        <v>1</v>
      </c>
      <c r="E44" t="str" s="53" cm="1">
        <f t="array" ref="E44">$C44</f>
        <v>Peningkatan Jalan Dusun Kuma Indah</v>
      </c>
      <c r="F44" s="54"/>
      <c r="G44" s="53"/>
      <c r="H44" s="53"/>
      <c r="I44" s="53"/>
      <c r="J44" s="55">
        <v>80000000</v>
      </c>
      <c r="K44" s="77">
        <v>79896213.56</v>
      </c>
      <c r="L44" s="57">
        <v>79785459.69</v>
      </c>
      <c r="M44" s="55">
        <v>79785000</v>
      </c>
      <c r="N44" t="s" s="58">
        <v>505</v>
      </c>
      <c r="O44" t="s" s="59">
        <v>506</v>
      </c>
      <c r="P44" t="s" s="58">
        <v>4</v>
      </c>
      <c r="Q44" t="s" s="58">
        <v>507</v>
      </c>
      <c r="R44" t="s" s="58">
        <v>508</v>
      </c>
      <c r="S44" s="61">
        <v>11</v>
      </c>
      <c r="T44" s="60">
        <v>44449</v>
      </c>
      <c r="U44" t="s" s="58">
        <v>363</v>
      </c>
      <c r="V44" t="s" s="58">
        <v>509</v>
      </c>
      <c r="W44" t="s" s="58">
        <v>510</v>
      </c>
      <c r="X44" s="61">
        <v>90</v>
      </c>
      <c r="Y44" t="s" s="58">
        <v>10</v>
      </c>
      <c r="Z44" s="55" cm="1">
        <f t="array" ref="Z44">M44</f>
        <v>79785000</v>
      </c>
      <c r="AA44" t="s" s="58">
        <v>11</v>
      </c>
      <c r="AB44" s="60" cm="1">
        <f t="array" ref="AB44">AH44</f>
        <v>45349</v>
      </c>
      <c r="AC44" s="61" cm="1">
        <f t="array" ref="AC44">6*30</f>
        <v>180</v>
      </c>
      <c r="AD44" t="s" s="58">
        <v>109</v>
      </c>
      <c r="AE44" t="s" s="58">
        <v>110</v>
      </c>
      <c r="AF44" t="s" s="58">
        <v>111</v>
      </c>
      <c r="AG44" s="60">
        <v>45348</v>
      </c>
      <c r="AH44" s="60">
        <v>45349</v>
      </c>
      <c r="AI44" s="60">
        <v>45349</v>
      </c>
      <c r="AJ44" s="60">
        <v>45349</v>
      </c>
      <c r="AK44" s="60">
        <v>45350</v>
      </c>
      <c r="AL44" s="60">
        <v>45350</v>
      </c>
      <c r="AM44" s="60">
        <v>45350</v>
      </c>
      <c r="AN44" t="s" s="58">
        <v>511</v>
      </c>
      <c r="AO44" s="60" cm="1">
        <f t="array" ref="AO44">AJ44</f>
        <v>45349</v>
      </c>
      <c r="AP44" t="s" s="58">
        <v>512</v>
      </c>
      <c r="AQ44" s="60" cm="1">
        <f t="array" ref="AQ44">AJ44</f>
        <v>45349</v>
      </c>
      <c r="AR44" t="s" s="58">
        <v>513</v>
      </c>
      <c r="AS44" s="60" cm="1">
        <f t="array" ref="AS44">AJ44</f>
        <v>45349</v>
      </c>
      <c r="AT44" t="s" s="78">
        <v>514</v>
      </c>
      <c r="AU44" s="60" cm="1">
        <f t="array" ref="AU44">AJ44</f>
        <v>45349</v>
      </c>
      <c r="AV44" s="53"/>
      <c r="AW44" t="str" s="63" cm="1">
        <f t="array" ref="AW44">"600/"&amp;$B44&amp;"/"&amp;IF(AND($AE44="Konsultansi",M44&lt;=100000000),"SPK",IF(AND($AE44="Konsultansi",M44&gt;100000000),"Kont",IF(AND($AE44&lt;&gt;"Konsultansi",M44&lt;=200000000),"SPK","Kont")))&amp;"-"&amp;AE44&amp;"/PPK/DPUPR"</f>
        <v>600/5511660/SPK-Konstruksi/PPK/DPUPR</v>
      </c>
      <c r="AX44" t="str" s="63" cm="1">
        <f t="array" ref="AX44">"600/"&amp;$B44&amp;"/SPMK/PPK/DPUPR"</f>
        <v>600/5511660/SPMK/PPK/DPUPR</v>
      </c>
      <c r="AY44" s="53"/>
      <c r="AZ44" s="53"/>
      <c r="BA44" s="53"/>
      <c r="BB44" s="53"/>
      <c r="BC44" s="53"/>
      <c r="BD44" s="53"/>
      <c r="BE44" s="53"/>
      <c r="BF44" s="53"/>
      <c r="BG44" s="64">
        <v>186</v>
      </c>
      <c r="BH44" t="s" s="58">
        <v>505</v>
      </c>
      <c r="BI44" t="s" s="58">
        <v>21</v>
      </c>
      <c r="BJ44" t="s" s="58">
        <v>22</v>
      </c>
      <c r="BK44" t="s" s="58">
        <v>23</v>
      </c>
      <c r="BL44" t="s" s="58">
        <v>24</v>
      </c>
      <c r="BM44" s="53"/>
      <c r="BN44" s="53"/>
      <c r="BO44" s="53"/>
      <c r="BP44" s="53"/>
      <c r="BQ44" s="53"/>
      <c r="BR44" t="b" s="61">
        <v>0</v>
      </c>
      <c r="BS44" s="55" cm="1">
        <f t="array" ref="BS44">IF(M44&lt;=0.8*K44,5%*K44,M44*5%)</f>
        <v>3989250</v>
      </c>
      <c r="BT44" t="s" s="58">
        <v>25</v>
      </c>
      <c r="BU44" s="53"/>
      <c r="BV44" s="55" cm="1">
        <f t="array" ref="BV44">J44-M44</f>
        <v>215000</v>
      </c>
    </row>
    <row r="45" ht="36.25" customHeight="1">
      <c r="A45" s="49"/>
      <c r="B45" s="50">
        <v>5508660</v>
      </c>
      <c r="C45" t="s" s="51">
        <v>517</v>
      </c>
      <c r="D45" t="s" s="65">
        <v>1</v>
      </c>
      <c r="E45" t="str" s="66" cm="1">
        <f t="array" ref="E45">$C45</f>
        <v>Peningkatan Jalan Dusun Camba Desa Teranggi</v>
      </c>
      <c r="F45" s="67"/>
      <c r="G45" s="66"/>
      <c r="H45" s="66"/>
      <c r="I45" s="66"/>
      <c r="J45" s="68">
        <v>180000000</v>
      </c>
      <c r="K45" s="76">
        <v>179734836.66</v>
      </c>
      <c r="L45" s="57">
        <v>179638445.3</v>
      </c>
      <c r="M45" s="68">
        <v>179638000</v>
      </c>
      <c r="N45" t="s" s="70">
        <v>492</v>
      </c>
      <c r="O45" t="s" s="71">
        <v>493</v>
      </c>
      <c r="P45" t="s" s="70">
        <v>4</v>
      </c>
      <c r="Q45" t="s" s="70">
        <v>494</v>
      </c>
      <c r="R45" t="s" s="70">
        <v>495</v>
      </c>
      <c r="S45" s="73">
        <v>29</v>
      </c>
      <c r="T45" s="72">
        <v>44587</v>
      </c>
      <c r="U45" t="s" s="70">
        <v>250</v>
      </c>
      <c r="V45" t="s" s="70">
        <v>496</v>
      </c>
      <c r="W45" t="s" s="70">
        <v>497</v>
      </c>
      <c r="X45" s="73">
        <v>120</v>
      </c>
      <c r="Y45" t="s" s="70">
        <v>10</v>
      </c>
      <c r="Z45" s="68" cm="1">
        <f t="array" ref="Z45">M45</f>
        <v>179638000</v>
      </c>
      <c r="AA45" t="s" s="70">
        <v>11</v>
      </c>
      <c r="AB45" s="72" cm="1">
        <f t="array" ref="AB45">AH45</f>
        <v>45349</v>
      </c>
      <c r="AC45" s="73" cm="1">
        <f t="array" ref="AC45">6*30</f>
        <v>180</v>
      </c>
      <c r="AD45" t="s" s="70">
        <v>109</v>
      </c>
      <c r="AE45" t="s" s="70">
        <v>110</v>
      </c>
      <c r="AF45" t="s" s="70">
        <v>111</v>
      </c>
      <c r="AG45" s="72">
        <v>45348</v>
      </c>
      <c r="AH45" s="72">
        <v>45349</v>
      </c>
      <c r="AI45" s="72">
        <v>45349</v>
      </c>
      <c r="AJ45" s="72">
        <v>45349</v>
      </c>
      <c r="AK45" s="72">
        <v>45350</v>
      </c>
      <c r="AL45" s="72">
        <v>45350</v>
      </c>
      <c r="AM45" s="72">
        <v>45350</v>
      </c>
      <c r="AN45" t="s" s="70">
        <v>518</v>
      </c>
      <c r="AO45" s="72" cm="1">
        <f t="array" ref="AO45">AJ45</f>
        <v>45349</v>
      </c>
      <c r="AP45" t="s" s="70">
        <v>519</v>
      </c>
      <c r="AQ45" s="72" cm="1">
        <f t="array" ref="AQ45">AJ45</f>
        <v>45349</v>
      </c>
      <c r="AR45" t="s" s="70">
        <v>520</v>
      </c>
      <c r="AS45" s="72" cm="1">
        <f t="array" ref="AS45">AJ45</f>
        <v>45349</v>
      </c>
      <c r="AT45" t="s" s="78">
        <v>521</v>
      </c>
      <c r="AU45" s="72" cm="1">
        <f t="array" ref="AU45">AJ45</f>
        <v>45349</v>
      </c>
      <c r="AV45" s="66"/>
      <c r="AW45" t="str" s="74" cm="1">
        <f t="array" ref="AW45">"600/"&amp;$B45&amp;"/"&amp;IF(AND($AE45="Konsultansi",M45&lt;=100000000),"SPK",IF(AND($AE45="Konsultansi",M45&gt;100000000),"Kont",IF(AND($AE45&lt;&gt;"Konsultansi",M45&lt;=200000000),"SPK","Kont")))&amp;"-"&amp;AE45&amp;"/PPK/DPUPR"</f>
        <v>600/5508660/SPK-Konstruksi/PPK/DPUPR</v>
      </c>
      <c r="AX45" t="str" s="74" cm="1">
        <f t="array" ref="AX45">"600/"&amp;$B45&amp;"/SPMK/PPK/DPUPR"</f>
        <v>600/5508660/SPMK/PPK/DPUPR</v>
      </c>
      <c r="AY45" s="66"/>
      <c r="AZ45" s="66"/>
      <c r="BA45" s="66"/>
      <c r="BB45" s="66"/>
      <c r="BC45" s="66"/>
      <c r="BD45" s="66"/>
      <c r="BE45" s="66"/>
      <c r="BF45" s="66"/>
      <c r="BG45" s="75">
        <v>200</v>
      </c>
      <c r="BH45" t="s" s="70">
        <v>492</v>
      </c>
      <c r="BI45" t="s" s="70">
        <v>21</v>
      </c>
      <c r="BJ45" t="s" s="70">
        <v>22</v>
      </c>
      <c r="BK45" t="s" s="70">
        <v>23</v>
      </c>
      <c r="BL45" t="s" s="70">
        <v>24</v>
      </c>
      <c r="BM45" s="66"/>
      <c r="BN45" s="66"/>
      <c r="BO45" s="66"/>
      <c r="BP45" s="66"/>
      <c r="BQ45" s="66"/>
      <c r="BR45" t="b" s="73">
        <v>0</v>
      </c>
      <c r="BS45" s="68" cm="1">
        <f t="array" ref="BS45">IF(M45&lt;=0.8*K45,5%*K45,M45*5%)</f>
        <v>8981900</v>
      </c>
      <c r="BT45" t="s" s="70">
        <v>25</v>
      </c>
      <c r="BU45" s="66"/>
      <c r="BV45" s="68" cm="1">
        <f t="array" ref="BV45">J45-M45</f>
        <v>362000</v>
      </c>
    </row>
    <row r="46" ht="36.25" customHeight="1">
      <c r="A46" s="49"/>
      <c r="B46" s="50">
        <v>5512660</v>
      </c>
      <c r="C46" t="s" s="51">
        <v>524</v>
      </c>
      <c r="D46" t="s" s="52">
        <v>1</v>
      </c>
      <c r="E46" t="str" s="53" cm="1">
        <f t="array" ref="E46">$C46</f>
        <v>Peningkatan Jalan Dusun Nirannuang Desa Tamarunang</v>
      </c>
      <c r="F46" s="54"/>
      <c r="G46" s="53"/>
      <c r="H46" s="53"/>
      <c r="I46" s="53"/>
      <c r="J46" s="55">
        <v>180000000</v>
      </c>
      <c r="K46" s="77">
        <v>179948596.24</v>
      </c>
      <c r="L46" s="57">
        <v>179782900.27</v>
      </c>
      <c r="M46" s="55">
        <v>179782000</v>
      </c>
      <c r="N46" t="s" s="58">
        <v>492</v>
      </c>
      <c r="O46" t="s" s="59">
        <v>493</v>
      </c>
      <c r="P46" t="s" s="58">
        <v>4</v>
      </c>
      <c r="Q46" t="s" s="58">
        <v>494</v>
      </c>
      <c r="R46" t="s" s="58">
        <v>495</v>
      </c>
      <c r="S46" s="61">
        <v>29</v>
      </c>
      <c r="T46" s="60">
        <v>44587</v>
      </c>
      <c r="U46" t="s" s="58">
        <v>250</v>
      </c>
      <c r="V46" t="s" s="58">
        <v>496</v>
      </c>
      <c r="W46" t="s" s="58">
        <v>497</v>
      </c>
      <c r="X46" s="61">
        <v>120</v>
      </c>
      <c r="Y46" t="s" s="58">
        <v>10</v>
      </c>
      <c r="Z46" s="55" cm="1">
        <f t="array" ref="Z46">M46</f>
        <v>179782000</v>
      </c>
      <c r="AA46" t="s" s="58">
        <v>11</v>
      </c>
      <c r="AB46" s="60" cm="1">
        <f t="array" ref="AB46">AH46</f>
        <v>45349</v>
      </c>
      <c r="AC46" s="61" cm="1">
        <f t="array" ref="AC46">6*30</f>
        <v>180</v>
      </c>
      <c r="AD46" t="s" s="58">
        <v>109</v>
      </c>
      <c r="AE46" t="s" s="58">
        <v>110</v>
      </c>
      <c r="AF46" t="s" s="58">
        <v>111</v>
      </c>
      <c r="AG46" s="60">
        <v>45348</v>
      </c>
      <c r="AH46" s="60">
        <v>45349</v>
      </c>
      <c r="AI46" s="60">
        <v>45349</v>
      </c>
      <c r="AJ46" s="60">
        <v>45349</v>
      </c>
      <c r="AK46" s="60">
        <v>45350</v>
      </c>
      <c r="AL46" s="60">
        <v>45350</v>
      </c>
      <c r="AM46" s="60">
        <v>45350</v>
      </c>
      <c r="AN46" t="s" s="58">
        <v>525</v>
      </c>
      <c r="AO46" s="60" cm="1">
        <f t="array" ref="AO46">AJ46</f>
        <v>45349</v>
      </c>
      <c r="AP46" t="s" s="58">
        <v>526</v>
      </c>
      <c r="AQ46" s="60" cm="1">
        <f t="array" ref="AQ46">AJ46</f>
        <v>45349</v>
      </c>
      <c r="AR46" t="s" s="58">
        <v>527</v>
      </c>
      <c r="AS46" s="60" cm="1">
        <f t="array" ref="AS46">AJ46</f>
        <v>45349</v>
      </c>
      <c r="AT46" t="s" s="78">
        <v>528</v>
      </c>
      <c r="AU46" s="60" cm="1">
        <f t="array" ref="AU46">AJ46</f>
        <v>45349</v>
      </c>
      <c r="AV46" s="53"/>
      <c r="AW46" t="str" s="63" cm="1">
        <f t="array" ref="AW46">"600/"&amp;$B46&amp;"/"&amp;IF(AND($AE46="Konsultansi",M46&lt;=100000000),"SPK",IF(AND($AE46="Konsultansi",M46&gt;100000000),"Kont",IF(AND($AE46&lt;&gt;"Konsultansi",M46&lt;=200000000),"SPK","Kont")))&amp;"-"&amp;AE46&amp;"/PPK/DPUPR"</f>
        <v>600/5512660/SPK-Konstruksi/PPK/DPUPR</v>
      </c>
      <c r="AX46" t="str" s="63" cm="1">
        <f t="array" ref="AX46">"600/"&amp;$B46&amp;"/SPMK/PPK/DPUPR"</f>
        <v>600/5512660/SPMK/PPK/DPUPR</v>
      </c>
      <c r="AY46" s="53"/>
      <c r="AZ46" s="53"/>
      <c r="BA46" s="53"/>
      <c r="BB46" s="53"/>
      <c r="BC46" s="53"/>
      <c r="BD46" s="53"/>
      <c r="BE46" s="53"/>
      <c r="BF46" s="53"/>
      <c r="BG46" s="64">
        <v>200</v>
      </c>
      <c r="BH46" t="s" s="58">
        <v>492</v>
      </c>
      <c r="BI46" t="s" s="58">
        <v>21</v>
      </c>
      <c r="BJ46" t="s" s="58">
        <v>22</v>
      </c>
      <c r="BK46" t="s" s="58">
        <v>23</v>
      </c>
      <c r="BL46" t="s" s="58">
        <v>24</v>
      </c>
      <c r="BM46" s="53"/>
      <c r="BN46" s="53"/>
      <c r="BO46" s="53"/>
      <c r="BP46" s="53"/>
      <c r="BQ46" s="53"/>
      <c r="BR46" t="b" s="61">
        <v>0</v>
      </c>
      <c r="BS46" s="55" cm="1">
        <f t="array" ref="BS46">IF(M46&lt;=0.8*K46,5%*K46,M46*5%)</f>
        <v>8989100</v>
      </c>
      <c r="BT46" t="s" s="58">
        <v>25</v>
      </c>
      <c r="BU46" s="53"/>
      <c r="BV46" s="55" cm="1">
        <f t="array" ref="BV46">J46-M46</f>
        <v>218000</v>
      </c>
    </row>
    <row r="47" ht="36.25" customHeight="1">
      <c r="A47" s="49"/>
      <c r="B47" s="50">
        <v>5516660</v>
      </c>
      <c r="C47" t="s" s="51">
        <v>531</v>
      </c>
      <c r="D47" t="s" s="65">
        <v>1</v>
      </c>
      <c r="E47" t="str" s="66" cm="1">
        <f t="array" ref="E47">$C47</f>
        <v>Stock Design Long Segment Jalan Kabupaten IV</v>
      </c>
      <c r="F47" s="67"/>
      <c r="G47" s="66"/>
      <c r="H47" s="66"/>
      <c r="I47" s="66"/>
      <c r="J47" s="68">
        <v>100000000</v>
      </c>
      <c r="K47" s="69">
        <v>99975837.59999999</v>
      </c>
      <c r="L47" s="57">
        <v>99906900</v>
      </c>
      <c r="M47" s="68">
        <v>99906000</v>
      </c>
      <c r="N47" t="s" s="70">
        <v>261</v>
      </c>
      <c r="O47" t="s" s="71">
        <v>262</v>
      </c>
      <c r="P47" t="s" s="70">
        <v>4</v>
      </c>
      <c r="Q47" t="s" s="70">
        <v>263</v>
      </c>
      <c r="R47" t="s" s="70">
        <v>264</v>
      </c>
      <c r="S47" s="73">
        <v>53</v>
      </c>
      <c r="T47" s="72">
        <v>41288</v>
      </c>
      <c r="U47" t="s" s="70">
        <v>265</v>
      </c>
      <c r="V47" t="s" s="70">
        <v>266</v>
      </c>
      <c r="W47" t="s" s="70">
        <v>267</v>
      </c>
      <c r="X47" s="73">
        <v>30</v>
      </c>
      <c r="Y47" t="s" s="70">
        <v>10</v>
      </c>
      <c r="Z47" s="68" cm="1">
        <f t="array" ref="Z47">M47</f>
        <v>99906000</v>
      </c>
      <c r="AA47" t="s" s="70">
        <v>11</v>
      </c>
      <c r="AB47" s="72" cm="1">
        <f t="array" ref="AB47">AH47</f>
        <v>45344.416666666664</v>
      </c>
      <c r="AC47" s="66"/>
      <c r="AD47" t="s" s="70">
        <v>128</v>
      </c>
      <c r="AE47" t="s" s="70">
        <v>13</v>
      </c>
      <c r="AF47" t="s" s="70">
        <v>111</v>
      </c>
      <c r="AG47" s="72">
        <v>45342.583333333336</v>
      </c>
      <c r="AH47" s="72">
        <v>45344.416666666664</v>
      </c>
      <c r="AI47" s="72">
        <v>45344.438194444447</v>
      </c>
      <c r="AJ47" s="72">
        <v>45344.563194444447</v>
      </c>
      <c r="AK47" s="72">
        <v>45344.625694444447</v>
      </c>
      <c r="AL47" s="72">
        <v>45344.625694444447</v>
      </c>
      <c r="AM47" s="72">
        <v>45344.625694444447</v>
      </c>
      <c r="AN47" t="s" s="70">
        <v>532</v>
      </c>
      <c r="AO47" s="72" cm="1">
        <f t="array" ref="AO47">AJ47</f>
        <v>45344.563194444447</v>
      </c>
      <c r="AP47" t="s" s="70">
        <v>533</v>
      </c>
      <c r="AQ47" s="72" cm="1">
        <f t="array" ref="AQ47">AJ47</f>
        <v>45344.563194444447</v>
      </c>
      <c r="AR47" t="s" s="70">
        <v>534</v>
      </c>
      <c r="AS47" s="72" cm="1">
        <f t="array" ref="AS47">AJ47</f>
        <v>45344.563194444447</v>
      </c>
      <c r="AT47" t="s" s="78">
        <v>535</v>
      </c>
      <c r="AU47" s="72" cm="1">
        <f t="array" ref="AU47">AJ47</f>
        <v>45344.563194444447</v>
      </c>
      <c r="AV47" s="66"/>
      <c r="AW47" t="str" s="74" cm="1">
        <f t="array" ref="AW47">"600/"&amp;$B47&amp;"/"&amp;IF(AND($AE47="Konsultansi",M47&lt;=100000000),"SPK",IF(AND($AE47="Konsultansi",M47&gt;100000000),"Kont",IF(AND($AE47&lt;&gt;"Konsultansi",M47&lt;=200000000),"SPK","Kont")))&amp;"-"&amp;AE47&amp;"/PPK/DPUPR"</f>
        <v>600/5516660/SPK-Konsultansi/PPK/DPUPR</v>
      </c>
      <c r="AX47" t="str" s="74" cm="1">
        <f t="array" ref="AX47">"600/"&amp;$B47&amp;"/SPMK/PPK/DPUPR"</f>
        <v>600/5516660/SPMK/PPK/DPUPR</v>
      </c>
      <c r="AY47" s="66"/>
      <c r="AZ47" s="66"/>
      <c r="BA47" s="66"/>
      <c r="BB47" s="66"/>
      <c r="BC47" s="66"/>
      <c r="BD47" s="66"/>
      <c r="BE47" s="66"/>
      <c r="BF47" s="66"/>
      <c r="BG47" s="75">
        <v>1</v>
      </c>
      <c r="BH47" t="s" s="70">
        <v>261</v>
      </c>
      <c r="BI47" t="s" s="70">
        <v>21</v>
      </c>
      <c r="BJ47" t="s" s="70">
        <v>22</v>
      </c>
      <c r="BK47" t="s" s="70">
        <v>23</v>
      </c>
      <c r="BL47" t="s" s="70">
        <v>24</v>
      </c>
      <c r="BM47" s="66"/>
      <c r="BN47" s="66"/>
      <c r="BO47" s="66"/>
      <c r="BP47" s="66"/>
      <c r="BQ47" s="66"/>
      <c r="BR47" t="b" s="73">
        <v>0</v>
      </c>
      <c r="BS47" s="68" cm="1">
        <f t="array" ref="BS47">IF(M47&lt;=0.8*K47,5%*K47,M47*5%)</f>
        <v>4995300</v>
      </c>
      <c r="BT47" t="s" s="70">
        <v>25</v>
      </c>
      <c r="BU47" s="66"/>
      <c r="BV47" s="68" cm="1">
        <f t="array" ref="BV47">J47-M47</f>
        <v>94000</v>
      </c>
    </row>
    <row r="48" ht="252.25" customHeight="1">
      <c r="A48" s="49"/>
      <c r="B48" s="50">
        <v>51221455</v>
      </c>
      <c r="C48" t="s" s="51">
        <v>538</v>
      </c>
      <c r="D48" t="s" s="52">
        <v>1</v>
      </c>
      <c r="E48" t="s" s="58">
        <v>539</v>
      </c>
      <c r="F48" s="54"/>
      <c r="G48" s="53"/>
      <c r="H48" s="53"/>
      <c r="I48" s="53"/>
      <c r="J48" s="55">
        <v>84500000</v>
      </c>
      <c r="K48" s="77">
        <v>84498571.44</v>
      </c>
      <c r="L48" s="57">
        <v>84431160</v>
      </c>
      <c r="M48" s="55">
        <v>84431000</v>
      </c>
      <c r="N48" t="s" s="58">
        <v>182</v>
      </c>
      <c r="O48" t="s" s="59">
        <v>183</v>
      </c>
      <c r="P48" t="s" s="58">
        <v>4</v>
      </c>
      <c r="Q48" t="s" s="58">
        <v>184</v>
      </c>
      <c r="R48" t="s" s="58">
        <v>185</v>
      </c>
      <c r="S48" s="61">
        <v>23</v>
      </c>
      <c r="T48" s="60">
        <v>44495</v>
      </c>
      <c r="U48" t="s" s="58">
        <v>186</v>
      </c>
      <c r="V48" t="s" s="58">
        <v>187</v>
      </c>
      <c r="W48" t="s" s="58">
        <v>188</v>
      </c>
      <c r="X48" s="61">
        <v>30</v>
      </c>
      <c r="Y48" t="s" s="58">
        <v>10</v>
      </c>
      <c r="Z48" s="55" cm="1">
        <f t="array" ref="Z48">M48</f>
        <v>84431000</v>
      </c>
      <c r="AA48" t="s" s="58">
        <v>540</v>
      </c>
      <c r="AB48" s="60" cm="1">
        <f t="array" ref="AB48">AH48</f>
        <v>45344.416666666664</v>
      </c>
      <c r="AC48" s="53"/>
      <c r="AD48" t="s" s="58">
        <v>128</v>
      </c>
      <c r="AE48" t="s" s="58">
        <v>13</v>
      </c>
      <c r="AF48" t="s" s="58">
        <v>111</v>
      </c>
      <c r="AG48" s="60">
        <v>45342.583333333336</v>
      </c>
      <c r="AH48" s="60">
        <v>45344.416666666664</v>
      </c>
      <c r="AI48" s="60">
        <v>45344.438194444447</v>
      </c>
      <c r="AJ48" s="60">
        <v>45344.563194444447</v>
      </c>
      <c r="AK48" s="60">
        <v>45344.625694444447</v>
      </c>
      <c r="AL48" s="60">
        <v>45344.625694444447</v>
      </c>
      <c r="AM48" s="60">
        <v>45344.625694444447</v>
      </c>
      <c r="AN48" t="s" s="58">
        <v>541</v>
      </c>
      <c r="AO48" s="60" cm="1">
        <f t="array" ref="AO48">AJ48</f>
        <v>45344.563194444447</v>
      </c>
      <c r="AP48" t="s" s="58">
        <v>542</v>
      </c>
      <c r="AQ48" s="60" cm="1">
        <f t="array" ref="AQ48">AJ48</f>
        <v>45344.563194444447</v>
      </c>
      <c r="AR48" t="s" s="58">
        <v>543</v>
      </c>
      <c r="AS48" s="60" cm="1">
        <f t="array" ref="AS48">AJ48</f>
        <v>45344.563194444447</v>
      </c>
      <c r="AT48" t="s" s="78">
        <v>544</v>
      </c>
      <c r="AU48" s="60" cm="1">
        <f t="array" ref="AU48">AJ48</f>
        <v>45344.563194444447</v>
      </c>
      <c r="AV48" s="53"/>
      <c r="AW48" t="str" s="63" cm="1">
        <f t="array" ref="AW48">"600/"&amp;$B48&amp;"/"&amp;IF(AND($AE48="Konsultansi",M48&lt;=100000000),"SPK",IF(AND($AE48="Konsultansi",M48&gt;100000000),"Kont",IF(AND($AE48&lt;&gt;"Konsultansi",M48&lt;=200000000),"SPK","Kont")))&amp;"-"&amp;AE48&amp;"/PPK/DPUPR"</f>
        <v>600/51221455/SPK-Konsultansi/PPK/DPUPR</v>
      </c>
      <c r="AX48" t="str" s="63" cm="1">
        <f t="array" ref="AX48">"600/"&amp;$B48&amp;"/SPMK/PPK/DPUPR"</f>
        <v>600/51221455/SPMK/PPK/DPUPR</v>
      </c>
      <c r="AY48" s="53"/>
      <c r="AZ48" s="53"/>
      <c r="BA48" s="53"/>
      <c r="BB48" s="53"/>
      <c r="BC48" s="53"/>
      <c r="BD48" s="53"/>
      <c r="BE48" s="53"/>
      <c r="BF48" s="53"/>
      <c r="BG48" s="64">
        <v>223</v>
      </c>
      <c r="BH48" t="s" s="58">
        <v>182</v>
      </c>
      <c r="BI48" t="s" s="58">
        <v>21</v>
      </c>
      <c r="BJ48" t="s" s="58">
        <v>22</v>
      </c>
      <c r="BK48" t="s" s="58">
        <v>23</v>
      </c>
      <c r="BL48" t="s" s="58">
        <v>24</v>
      </c>
      <c r="BM48" s="53"/>
      <c r="BN48" s="53"/>
      <c r="BO48" s="53"/>
      <c r="BP48" s="53"/>
      <c r="BQ48" s="53"/>
      <c r="BR48" t="b" s="61">
        <v>0</v>
      </c>
      <c r="BS48" s="55" cm="1">
        <f t="array" ref="BS48">IF(M48&lt;=0.8*K48,5%*K48,M48*5%)</f>
        <v>4221550</v>
      </c>
      <c r="BT48" t="s" s="58">
        <v>25</v>
      </c>
      <c r="BU48" s="53"/>
      <c r="BV48" s="55" cm="1">
        <f t="array" ref="BV48">J48-M48</f>
        <v>69000</v>
      </c>
    </row>
    <row r="49" ht="132.25" customHeight="1">
      <c r="A49" s="49"/>
      <c r="B49" s="50">
        <v>49949358</v>
      </c>
      <c r="C49" t="s" s="51">
        <v>547</v>
      </c>
      <c r="D49" t="s" s="65">
        <v>149</v>
      </c>
      <c r="E49" t="s" s="70">
        <v>548</v>
      </c>
      <c r="F49" s="67"/>
      <c r="G49" s="66"/>
      <c r="H49" s="66"/>
      <c r="I49" s="66"/>
      <c r="J49" s="68">
        <v>31500000</v>
      </c>
      <c r="K49" s="68">
        <v>31497606</v>
      </c>
      <c r="L49" s="57">
        <v>31429050</v>
      </c>
      <c r="M49" s="68">
        <v>31429000</v>
      </c>
      <c r="N49" t="s" s="70">
        <v>182</v>
      </c>
      <c r="O49" t="s" s="71">
        <v>183</v>
      </c>
      <c r="P49" t="s" s="70">
        <v>4</v>
      </c>
      <c r="Q49" t="s" s="70">
        <v>184</v>
      </c>
      <c r="R49" t="s" s="70">
        <v>185</v>
      </c>
      <c r="S49" s="73">
        <v>23</v>
      </c>
      <c r="T49" s="72">
        <v>44495</v>
      </c>
      <c r="U49" t="s" s="70">
        <v>186</v>
      </c>
      <c r="V49" t="s" s="70">
        <v>187</v>
      </c>
      <c r="W49" t="s" s="70">
        <v>188</v>
      </c>
      <c r="X49" s="73">
        <v>30</v>
      </c>
      <c r="Y49" t="s" s="70">
        <v>10</v>
      </c>
      <c r="Z49" s="68" cm="1">
        <f t="array" ref="Z49">M49</f>
        <v>31429000</v>
      </c>
      <c r="AA49" t="s" s="70">
        <v>549</v>
      </c>
      <c r="AB49" s="72" cm="1">
        <f t="array" ref="AB49">AH49</f>
        <v>45344.416666666664</v>
      </c>
      <c r="AC49" s="66"/>
      <c r="AD49" t="s" s="70">
        <v>128</v>
      </c>
      <c r="AE49" t="s" s="70">
        <v>13</v>
      </c>
      <c r="AF49" t="s" s="70">
        <v>150</v>
      </c>
      <c r="AG49" s="72">
        <v>45342.583333333336</v>
      </c>
      <c r="AH49" s="72">
        <v>45344.416666666664</v>
      </c>
      <c r="AI49" s="72">
        <v>45344.438194444447</v>
      </c>
      <c r="AJ49" s="72">
        <v>45344.563194444447</v>
      </c>
      <c r="AK49" s="72">
        <v>45344.625694444447</v>
      </c>
      <c r="AL49" s="72">
        <v>45344.625694444447</v>
      </c>
      <c r="AM49" s="72">
        <v>45344.625694444447</v>
      </c>
      <c r="AN49" t="s" s="70">
        <v>550</v>
      </c>
      <c r="AO49" s="72" cm="1">
        <f t="array" ref="AO49">AJ49</f>
        <v>45344.563194444447</v>
      </c>
      <c r="AP49" t="s" s="70">
        <v>551</v>
      </c>
      <c r="AQ49" s="72" cm="1">
        <f t="array" ref="AQ49">AJ49</f>
        <v>45344.563194444447</v>
      </c>
      <c r="AR49" t="s" s="70">
        <v>552</v>
      </c>
      <c r="AS49" s="72" cm="1">
        <f t="array" ref="AS49">AJ49</f>
        <v>45344.563194444447</v>
      </c>
      <c r="AT49" t="s" s="78">
        <v>553</v>
      </c>
      <c r="AU49" s="72" cm="1">
        <f t="array" ref="AU49">AJ49</f>
        <v>45344.563194444447</v>
      </c>
      <c r="AV49" s="66"/>
      <c r="AW49" t="str" s="74" cm="1">
        <f t="array" ref="AW49">"600/"&amp;$B49&amp;"/"&amp;IF(AND($AE49="Konsultansi",M49&lt;=100000000),"SPK",IF(AND($AE49="Konsultansi",M49&gt;100000000),"Kont",IF(AND($AE49&lt;&gt;"Konsultansi",M49&lt;=200000000),"SPK","Kont")))&amp;"-"&amp;AE49&amp;"/PPK/DPUPR"</f>
        <v>600/49949358/SPK-Konsultansi/PPK/DPUPR</v>
      </c>
      <c r="AX49" t="str" s="74" cm="1">
        <f t="array" ref="AX49">"600/"&amp;$B49&amp;"/SPMK/PPK/DPUPR"</f>
        <v>600/49949358/SPMK/PPK/DPUPR</v>
      </c>
      <c r="AY49" s="66"/>
      <c r="AZ49" s="66"/>
      <c r="BA49" s="66"/>
      <c r="BB49" s="66"/>
      <c r="BC49" s="66"/>
      <c r="BD49" s="66"/>
      <c r="BE49" s="66"/>
      <c r="BF49" s="66"/>
      <c r="BG49" s="75">
        <v>223</v>
      </c>
      <c r="BH49" t="s" s="70">
        <v>182</v>
      </c>
      <c r="BI49" t="s" s="70">
        <v>21</v>
      </c>
      <c r="BJ49" t="s" s="70">
        <v>22</v>
      </c>
      <c r="BK49" t="s" s="70">
        <v>23</v>
      </c>
      <c r="BL49" t="s" s="70">
        <v>24</v>
      </c>
      <c r="BM49" s="66"/>
      <c r="BN49" s="66"/>
      <c r="BO49" s="66"/>
      <c r="BP49" s="66"/>
      <c r="BQ49" s="66"/>
      <c r="BR49" t="b" s="73">
        <v>0</v>
      </c>
      <c r="BS49" s="68" cm="1">
        <f t="array" ref="BS49">IF(M49&lt;=0.8*K49,5%*K49,M49*5%)</f>
        <v>1571450</v>
      </c>
      <c r="BT49" t="s" s="70">
        <v>156</v>
      </c>
      <c r="BU49" s="66"/>
      <c r="BV49" s="68" cm="1">
        <f t="array" ref="BV49">J49-M49</f>
        <v>71000</v>
      </c>
    </row>
    <row r="50" ht="92.25" customHeight="1">
      <c r="A50" s="49"/>
      <c r="B50" s="50">
        <v>49979058</v>
      </c>
      <c r="C50" t="s" s="51">
        <v>556</v>
      </c>
      <c r="D50" t="s" s="52">
        <v>557</v>
      </c>
      <c r="E50" t="str" s="53" cm="1">
        <f t="array" ref="E50">$C50</f>
        <v>Perenc. Pemb. Tiang Bendera Alun-Alun Pasangkayu,Perenc. Pemeliharaan/Rehabilitasi Taman Air Mancur Pasangkayu, Perenc. Pemb. Jalan Rabat Beton Pasangkayu cs., Perenc. Pemb. Saluran Drainase Ling. Sawi Kel. Bambalamotu cs.</v>
      </c>
      <c r="F50" s="54"/>
      <c r="G50" s="53"/>
      <c r="H50" s="53"/>
      <c r="I50" s="53"/>
      <c r="J50" s="55" cm="1">
        <f t="array" ref="J50">3750000+5000000+6250000+13000000</f>
        <v>28000000</v>
      </c>
      <c r="K50" s="77">
        <v>27999552.96</v>
      </c>
      <c r="L50" s="57">
        <v>27965736</v>
      </c>
      <c r="M50" s="55">
        <v>27965000</v>
      </c>
      <c r="N50" t="s" s="58">
        <v>558</v>
      </c>
      <c r="O50" t="s" s="59">
        <v>559</v>
      </c>
      <c r="P50" t="s" s="58">
        <v>4</v>
      </c>
      <c r="Q50" t="s" s="58">
        <v>560</v>
      </c>
      <c r="R50" t="s" s="58">
        <v>561</v>
      </c>
      <c r="S50" s="61">
        <v>3</v>
      </c>
      <c r="T50" s="60">
        <v>42618</v>
      </c>
      <c r="U50" t="s" s="58">
        <v>562</v>
      </c>
      <c r="V50" t="s" s="58">
        <v>563</v>
      </c>
      <c r="W50" t="s" s="58">
        <v>564</v>
      </c>
      <c r="X50" s="61">
        <v>30</v>
      </c>
      <c r="Y50" t="s" s="58">
        <v>10</v>
      </c>
      <c r="Z50" s="55" cm="1">
        <f t="array" ref="Z50">M50</f>
        <v>27965000</v>
      </c>
      <c r="AA50" t="s" s="58">
        <v>11</v>
      </c>
      <c r="AB50" s="60" cm="1">
        <f t="array" ref="AB50">AH50</f>
        <v>45344.416666666664</v>
      </c>
      <c r="AC50" s="53"/>
      <c r="AD50" t="s" s="58">
        <v>128</v>
      </c>
      <c r="AE50" t="s" s="58">
        <v>13</v>
      </c>
      <c r="AF50" t="s" s="58">
        <v>565</v>
      </c>
      <c r="AG50" s="60">
        <v>45342.583333333336</v>
      </c>
      <c r="AH50" s="60">
        <v>45344.416666666664</v>
      </c>
      <c r="AI50" s="60">
        <v>45344.438194444447</v>
      </c>
      <c r="AJ50" s="60">
        <v>45344.563194444447</v>
      </c>
      <c r="AK50" s="60">
        <v>45344.625694444447</v>
      </c>
      <c r="AL50" s="60">
        <v>45344.625694444447</v>
      </c>
      <c r="AM50" s="60">
        <v>45344.625694444447</v>
      </c>
      <c r="AN50" t="s" s="58">
        <v>566</v>
      </c>
      <c r="AO50" s="60" cm="1">
        <f t="array" ref="AO50">AJ50</f>
        <v>45344.563194444447</v>
      </c>
      <c r="AP50" t="s" s="58">
        <v>567</v>
      </c>
      <c r="AQ50" s="60" cm="1">
        <f t="array" ref="AQ50">AJ50</f>
        <v>45344.563194444447</v>
      </c>
      <c r="AR50" t="s" s="58">
        <v>568</v>
      </c>
      <c r="AS50" s="60" cm="1">
        <f t="array" ref="AS50">AJ50</f>
        <v>45344.563194444447</v>
      </c>
      <c r="AT50" t="s" s="78">
        <v>569</v>
      </c>
      <c r="AU50" s="60" cm="1">
        <f t="array" ref="AU50">AJ50</f>
        <v>45344.563194444447</v>
      </c>
      <c r="AV50" s="53"/>
      <c r="AW50" t="str" s="63" cm="1">
        <f t="array" ref="AW50">"600/"&amp;$B50&amp;"/"&amp;IF(AND($AE50="Konsultansi",M50&lt;=100000000),"SPK",IF(AND($AE50="Konsultansi",M50&gt;100000000),"Kont",IF(AND($AE50&lt;&gt;"Konsultansi",M50&lt;=200000000),"SPK","Kont")))&amp;"-"&amp;AE50&amp;"/PPK/DPUPR"</f>
        <v>600/49979058/SPK-Konsultansi/PPK/DPUPR</v>
      </c>
      <c r="AX50" t="str" s="63" cm="1">
        <f t="array" ref="AX50">"600/"&amp;$B50&amp;"/SPMK/PPK/DPUPR"</f>
        <v>600/49979058/SPMK/PPK/DPUPR</v>
      </c>
      <c r="AY50" s="53"/>
      <c r="AZ50" s="53"/>
      <c r="BA50" s="53"/>
      <c r="BB50" s="53"/>
      <c r="BC50" s="53"/>
      <c r="BD50" s="53"/>
      <c r="BE50" s="53"/>
      <c r="BF50" s="53"/>
      <c r="BG50" s="64">
        <v>217</v>
      </c>
      <c r="BH50" t="s" s="58">
        <v>558</v>
      </c>
      <c r="BI50" t="s" s="58">
        <v>21</v>
      </c>
      <c r="BJ50" t="s" s="58">
        <v>22</v>
      </c>
      <c r="BK50" t="s" s="58">
        <v>23</v>
      </c>
      <c r="BL50" t="s" s="58">
        <v>24</v>
      </c>
      <c r="BM50" s="53"/>
      <c r="BN50" s="53"/>
      <c r="BO50" s="53"/>
      <c r="BP50" s="53"/>
      <c r="BQ50" s="53"/>
      <c r="BR50" t="b" s="61">
        <v>0</v>
      </c>
      <c r="BS50" s="55" cm="1">
        <f t="array" ref="BS50">IF(M50&lt;=0.8*K50,5%*K50,M50*5%)</f>
        <v>1398250</v>
      </c>
      <c r="BT50" t="s" s="58">
        <v>173</v>
      </c>
      <c r="BU50" s="53"/>
      <c r="BV50" s="55" cm="1">
        <f t="array" ref="BV50">J50-M50</f>
        <v>35000</v>
      </c>
    </row>
    <row r="51" ht="36.25" customHeight="1">
      <c r="A51" s="84"/>
      <c r="B51" s="85">
        <v>51245546</v>
      </c>
      <c r="C51" t="s" s="86">
        <v>572</v>
      </c>
      <c r="D51" t="s" s="87">
        <v>1</v>
      </c>
      <c r="E51" t="str" s="88" cm="1">
        <f t="array" ref="E51">$C51</f>
        <v>Stock Design Long Segment Jalan Kabupaten V</v>
      </c>
      <c r="F51" s="89"/>
      <c r="G51" s="88"/>
      <c r="H51" s="88"/>
      <c r="I51" s="88"/>
      <c r="J51" s="90">
        <v>100000000</v>
      </c>
      <c r="K51" s="91">
        <v>99999642.95999999</v>
      </c>
      <c r="L51" s="89">
        <v>99937459.8</v>
      </c>
      <c r="M51" s="90">
        <v>99937000</v>
      </c>
      <c r="N51" t="s" s="92">
        <v>573</v>
      </c>
      <c r="O51" t="s" s="93">
        <v>574</v>
      </c>
      <c r="P51" t="s" s="92">
        <v>4</v>
      </c>
      <c r="Q51" t="s" s="92">
        <v>575</v>
      </c>
      <c r="R51" t="s" s="92">
        <v>576</v>
      </c>
      <c r="S51" s="94">
        <v>7</v>
      </c>
      <c r="T51" s="95">
        <v>43105</v>
      </c>
      <c r="U51" t="s" s="92">
        <v>577</v>
      </c>
      <c r="V51" t="s" s="92">
        <v>578</v>
      </c>
      <c r="W51" t="s" s="92">
        <v>579</v>
      </c>
      <c r="X51" s="94">
        <v>30</v>
      </c>
      <c r="Y51" t="s" s="92">
        <v>10</v>
      </c>
      <c r="Z51" s="90" cm="1">
        <f t="array" ref="Z51">M51</f>
        <v>99937000</v>
      </c>
      <c r="AA51" t="s" s="92">
        <v>580</v>
      </c>
      <c r="AB51" s="95" cm="1">
        <f t="array" ref="AB51">AH51</f>
        <v>45344.416666666664</v>
      </c>
      <c r="AC51" s="88"/>
      <c r="AD51" t="s" s="92">
        <v>128</v>
      </c>
      <c r="AE51" t="s" s="92">
        <v>13</v>
      </c>
      <c r="AF51" t="s" s="92">
        <v>111</v>
      </c>
      <c r="AG51" s="95">
        <v>45342.583333333336</v>
      </c>
      <c r="AH51" s="95">
        <v>45344.416666666664</v>
      </c>
      <c r="AI51" s="95">
        <v>45344.438194444447</v>
      </c>
      <c r="AJ51" s="95">
        <v>45344.563194444447</v>
      </c>
      <c r="AK51" s="95">
        <v>45344.625694444447</v>
      </c>
      <c r="AL51" s="95">
        <v>45344.625694444447</v>
      </c>
      <c r="AM51" s="95">
        <v>45344.625694444447</v>
      </c>
      <c r="AN51" t="s" s="92">
        <v>581</v>
      </c>
      <c r="AO51" s="95" cm="1">
        <f t="array" ref="AO51">AJ51</f>
        <v>45344.563194444447</v>
      </c>
      <c r="AP51" t="s" s="92">
        <v>582</v>
      </c>
      <c r="AQ51" s="95" cm="1">
        <f t="array" ref="AQ51">AJ51</f>
        <v>45344.563194444447</v>
      </c>
      <c r="AR51" t="s" s="92">
        <v>583</v>
      </c>
      <c r="AS51" s="95" cm="1">
        <f t="array" ref="AS51">AJ51</f>
        <v>45344.563194444447</v>
      </c>
      <c r="AT51" t="s" s="92">
        <v>584</v>
      </c>
      <c r="AU51" s="95" cm="1">
        <f t="array" ref="AU51">AJ51</f>
        <v>45344.563194444447</v>
      </c>
      <c r="AV51" s="88"/>
      <c r="AW51" t="str" s="96" cm="1">
        <f t="array" ref="AW51">"600/"&amp;$B51&amp;"/"&amp;IF(AND($AE51="Konsultansi",M51&lt;=100000000),"SPK",IF(AND($AE51="Konsultansi",M51&gt;100000000),"Kont",IF(AND($AE51&lt;&gt;"Konsultansi",M51&lt;=200000000),"SPK","Kont")))&amp;"-"&amp;AE51&amp;"/PPK/DPUPR"</f>
        <v>600/51245546/SPK-Konsultansi/PPK/DPUPR</v>
      </c>
      <c r="AX51" t="str" s="96" cm="1">
        <f t="array" ref="AX51">"600/"&amp;$B51&amp;"/SPMK/PPK/DPUPR"</f>
        <v>600/51245546/SPMK/PPK/DPUPR</v>
      </c>
      <c r="AY51" s="88"/>
      <c r="AZ51" s="88"/>
      <c r="BA51" s="88"/>
      <c r="BB51" s="88"/>
      <c r="BC51" s="88"/>
      <c r="BD51" s="88"/>
      <c r="BE51" s="88"/>
      <c r="BF51" s="88"/>
      <c r="BG51" s="97">
        <v>226</v>
      </c>
      <c r="BH51" t="s" s="92">
        <v>573</v>
      </c>
      <c r="BI51" t="s" s="92">
        <v>21</v>
      </c>
      <c r="BJ51" t="s" s="92">
        <v>22</v>
      </c>
      <c r="BK51" t="s" s="92">
        <v>23</v>
      </c>
      <c r="BL51" t="s" s="92">
        <v>24</v>
      </c>
      <c r="BM51" s="88"/>
      <c r="BN51" s="88"/>
      <c r="BO51" s="88"/>
      <c r="BP51" s="88"/>
      <c r="BQ51" s="88"/>
      <c r="BR51" t="b" s="94">
        <v>0</v>
      </c>
      <c r="BS51" s="90" cm="1">
        <f t="array" ref="BS51">IF(M51&lt;=0.8*K51,5%*K51,M51*5%)</f>
        <v>4996850</v>
      </c>
      <c r="BT51" t="s" s="92">
        <v>25</v>
      </c>
      <c r="BU51" s="88"/>
      <c r="BV51" s="90" cm="1">
        <f t="array" ref="BV51">J51-M51</f>
        <v>63000</v>
      </c>
    </row>
    <row r="52" ht="36.25" customHeight="1">
      <c r="A52" s="49"/>
      <c r="B52" s="50">
        <v>49974591</v>
      </c>
      <c r="C52" t="s" s="51">
        <v>587</v>
      </c>
      <c r="D52" t="s" s="52">
        <v>588</v>
      </c>
      <c r="E52" t="str" s="53" cm="1">
        <f t="array" ref="E52">$C52</f>
        <v>Stock Design Perencanaan Jaringan Perpipaan Air Bersih Kabupaten</v>
      </c>
      <c r="F52" s="54"/>
      <c r="G52" s="53"/>
      <c r="H52" s="53"/>
      <c r="I52" s="53"/>
      <c r="J52" s="55">
        <v>100000000</v>
      </c>
      <c r="K52" s="77">
        <v>99999642.95999999</v>
      </c>
      <c r="L52" s="57">
        <v>99882396</v>
      </c>
      <c r="M52" s="55">
        <v>99882000</v>
      </c>
      <c r="N52" t="s" s="58">
        <v>261</v>
      </c>
      <c r="O52" t="s" s="59">
        <v>262</v>
      </c>
      <c r="P52" t="s" s="58">
        <v>4</v>
      </c>
      <c r="Q52" t="s" s="58">
        <v>263</v>
      </c>
      <c r="R52" t="s" s="58">
        <v>264</v>
      </c>
      <c r="S52" s="61">
        <v>53</v>
      </c>
      <c r="T52" s="60">
        <v>41288</v>
      </c>
      <c r="U52" t="s" s="58">
        <v>265</v>
      </c>
      <c r="V52" t="s" s="58">
        <v>266</v>
      </c>
      <c r="W52" t="s" s="58">
        <v>267</v>
      </c>
      <c r="X52" s="61">
        <v>30</v>
      </c>
      <c r="Y52" t="s" s="58">
        <v>10</v>
      </c>
      <c r="Z52" s="55" cm="1">
        <f t="array" ref="Z52">M52</f>
        <v>99882000</v>
      </c>
      <c r="AA52" t="s" s="58">
        <v>11</v>
      </c>
      <c r="AB52" s="60" cm="1">
        <f t="array" ref="AB52">AH52</f>
        <v>45538.416666666664</v>
      </c>
      <c r="AC52" s="53"/>
      <c r="AD52" t="s" s="58">
        <v>128</v>
      </c>
      <c r="AE52" t="s" s="58">
        <v>13</v>
      </c>
      <c r="AF52" t="s" s="58">
        <v>589</v>
      </c>
      <c r="AG52" s="60">
        <v>45537.416666666664</v>
      </c>
      <c r="AH52" s="60">
        <v>45538.416666666664</v>
      </c>
      <c r="AI52" s="60">
        <v>45538.416666666664</v>
      </c>
      <c r="AJ52" s="60">
        <v>45538.5</v>
      </c>
      <c r="AK52" s="60">
        <v>45538.583333333336</v>
      </c>
      <c r="AL52" s="60">
        <v>45538.583333333336</v>
      </c>
      <c r="AM52" s="60">
        <v>45538.583333333336</v>
      </c>
      <c r="AN52" t="s" s="58">
        <v>590</v>
      </c>
      <c r="AO52" s="60" cm="1">
        <f t="array" ref="AO52">AJ52</f>
        <v>45538.5</v>
      </c>
      <c r="AP52" t="s" s="58">
        <v>591</v>
      </c>
      <c r="AQ52" s="60" cm="1">
        <f t="array" ref="AQ52">AJ52</f>
        <v>45538.5</v>
      </c>
      <c r="AR52" t="s" s="58">
        <v>592</v>
      </c>
      <c r="AS52" s="60" cm="1">
        <f t="array" ref="AS52">AJ52</f>
        <v>45538.5</v>
      </c>
      <c r="AT52" t="s" s="78">
        <v>593</v>
      </c>
      <c r="AU52" s="60" cm="1">
        <f t="array" ref="AU52">AJ52</f>
        <v>45538.5</v>
      </c>
      <c r="AV52" s="53"/>
      <c r="AW52" t="str" s="63" cm="1">
        <f t="array" ref="AW52">"600/"&amp;$B52&amp;"/"&amp;IF(AND($AE52="Konsultansi",M52&lt;=100000000),"SPK",IF(AND($AE52="Konsultansi",M52&gt;100000000),"Kont",IF(AND($AE52&lt;&gt;"Konsultansi",M52&lt;=200000000),"SPK","Kont")))&amp;"-"&amp;AE52&amp;"/PPK/DPUPR"</f>
        <v>600/49974591/SPK-Konsultansi/PPK/DPUPR</v>
      </c>
      <c r="AX52" t="str" s="63" cm="1">
        <f t="array" ref="AX52">"600/"&amp;$B52&amp;"/SPMK/PPK/DPUPR"</f>
        <v>600/49974591/SPMK/PPK/DPUPR</v>
      </c>
      <c r="AY52" s="53"/>
      <c r="AZ52" s="53"/>
      <c r="BA52" s="53"/>
      <c r="BB52" s="53"/>
      <c r="BC52" s="53"/>
      <c r="BD52" s="53"/>
      <c r="BE52" s="53"/>
      <c r="BF52" s="53"/>
      <c r="BG52" s="64">
        <v>1</v>
      </c>
      <c r="BH52" t="s" s="58">
        <v>261</v>
      </c>
      <c r="BI52" t="s" s="58">
        <v>21</v>
      </c>
      <c r="BJ52" t="s" s="58">
        <v>22</v>
      </c>
      <c r="BK52" t="s" s="58">
        <v>23</v>
      </c>
      <c r="BL52" t="s" s="58">
        <v>24</v>
      </c>
      <c r="BM52" s="53"/>
      <c r="BN52" s="53"/>
      <c r="BO52" s="53"/>
      <c r="BP52" s="53"/>
      <c r="BQ52" s="53"/>
      <c r="BR52" t="b" s="61">
        <v>0</v>
      </c>
      <c r="BS52" s="55" cm="1">
        <f t="array" ref="BS52">IF(M52&lt;=0.8*K52,5%*K52,M52*5%)</f>
        <v>4994100</v>
      </c>
      <c r="BT52" t="s" s="58">
        <v>173</v>
      </c>
      <c r="BU52" s="53"/>
      <c r="BV52" s="55" cm="1">
        <f t="array" ref="BV52">J52-M52</f>
        <v>118000</v>
      </c>
    </row>
    <row r="53" ht="36.25" customHeight="1">
      <c r="A53" s="49"/>
      <c r="B53" s="50">
        <v>5509660</v>
      </c>
      <c r="C53" t="s" s="98">
        <v>596</v>
      </c>
      <c r="D53" t="s" s="65">
        <v>1</v>
      </c>
      <c r="E53" t="str" s="66" cm="1">
        <f t="array" ref="E53">$C53</f>
        <v>Peningkatan Jalan Dusun Camming Desa Benggaulu</v>
      </c>
      <c r="F53" s="67"/>
      <c r="G53" s="66"/>
      <c r="H53" s="66"/>
      <c r="I53" s="66"/>
      <c r="J53" s="68">
        <v>200000000</v>
      </c>
      <c r="K53" s="76">
        <v>199625430.89</v>
      </c>
      <c r="L53" s="57">
        <v>199515808.62</v>
      </c>
      <c r="M53" s="68">
        <v>199515000</v>
      </c>
      <c r="N53" t="s" s="70">
        <v>505</v>
      </c>
      <c r="O53" t="s" s="71">
        <v>506</v>
      </c>
      <c r="P53" t="s" s="70">
        <v>4</v>
      </c>
      <c r="Q53" t="s" s="70">
        <v>507</v>
      </c>
      <c r="R53" t="s" s="70">
        <v>508</v>
      </c>
      <c r="S53" s="73">
        <v>11</v>
      </c>
      <c r="T53" s="72">
        <v>44449</v>
      </c>
      <c r="U53" t="s" s="70">
        <v>363</v>
      </c>
      <c r="V53" t="s" s="70">
        <v>509</v>
      </c>
      <c r="W53" t="s" s="70">
        <v>510</v>
      </c>
      <c r="X53" s="73">
        <v>120</v>
      </c>
      <c r="Y53" t="s" s="70">
        <v>10</v>
      </c>
      <c r="Z53" s="68" cm="1">
        <f t="array" ref="Z53">M53</f>
        <v>199515000</v>
      </c>
      <c r="AA53" t="s" s="70">
        <v>11</v>
      </c>
      <c r="AB53" s="72" cm="1">
        <f t="array" ref="AB53">AH53</f>
        <v>45365</v>
      </c>
      <c r="AC53" s="73" cm="1">
        <f t="array" ref="AC53">6*30</f>
        <v>180</v>
      </c>
      <c r="AD53" t="s" s="70">
        <v>109</v>
      </c>
      <c r="AE53" t="s" s="70">
        <v>110</v>
      </c>
      <c r="AF53" t="s" s="70">
        <v>111</v>
      </c>
      <c r="AG53" s="72">
        <v>45364</v>
      </c>
      <c r="AH53" s="72">
        <v>45365</v>
      </c>
      <c r="AI53" s="72">
        <v>45365</v>
      </c>
      <c r="AJ53" s="72">
        <v>45365</v>
      </c>
      <c r="AK53" s="72">
        <v>45366</v>
      </c>
      <c r="AL53" s="72">
        <v>45366</v>
      </c>
      <c r="AM53" s="72">
        <v>45366</v>
      </c>
      <c r="AN53" t="s" s="70">
        <v>597</v>
      </c>
      <c r="AO53" s="72" cm="1">
        <f t="array" ref="AO53">AJ53</f>
        <v>45365</v>
      </c>
      <c r="AP53" t="s" s="70">
        <v>598</v>
      </c>
      <c r="AQ53" s="72" cm="1">
        <f t="array" ref="AQ53">AJ53</f>
        <v>45365</v>
      </c>
      <c r="AR53" t="s" s="70">
        <v>599</v>
      </c>
      <c r="AS53" s="72" cm="1">
        <f t="array" ref="AS53">AJ53</f>
        <v>45365</v>
      </c>
      <c r="AT53" t="s" s="78">
        <v>600</v>
      </c>
      <c r="AU53" s="72" cm="1">
        <f t="array" ref="AU53">AJ53</f>
        <v>45365</v>
      </c>
      <c r="AV53" s="66"/>
      <c r="AW53" t="str" s="74" cm="1">
        <f t="array" ref="AW53">"600/"&amp;$B53&amp;"/"&amp;IF(AND($AE53="Konsultansi",M53&lt;=100000000),"SPK",IF(AND($AE53="Konsultansi",M53&gt;100000000),"Kont",IF(AND($AE53&lt;&gt;"Konsultansi",M53&lt;=200000000),"SPK","Kont")))&amp;"-"&amp;AE53&amp;"/PPK/DPUPR"</f>
        <v>600/5509660/SPK-Konstruksi/PPK/DPUPR</v>
      </c>
      <c r="AX53" t="str" s="74" cm="1">
        <f t="array" ref="AX53">"600/"&amp;$B53&amp;"/SPMK/PPK/DPUPR"</f>
        <v>600/5509660/SPMK/PPK/DPUPR</v>
      </c>
      <c r="AY53" s="66"/>
      <c r="AZ53" s="66"/>
      <c r="BA53" s="66"/>
      <c r="BB53" s="66"/>
      <c r="BC53" s="66"/>
      <c r="BD53" s="66"/>
      <c r="BE53" s="66"/>
      <c r="BF53" s="66"/>
      <c r="BG53" s="75">
        <v>186</v>
      </c>
      <c r="BH53" t="s" s="70">
        <v>505</v>
      </c>
      <c r="BI53" t="s" s="70">
        <v>21</v>
      </c>
      <c r="BJ53" t="s" s="70">
        <v>22</v>
      </c>
      <c r="BK53" t="s" s="70">
        <v>23</v>
      </c>
      <c r="BL53" t="s" s="70">
        <v>24</v>
      </c>
      <c r="BM53" s="66"/>
      <c r="BN53" s="66"/>
      <c r="BO53" s="66"/>
      <c r="BP53" s="66"/>
      <c r="BQ53" s="66"/>
      <c r="BR53" t="b" s="73">
        <v>0</v>
      </c>
      <c r="BS53" s="68" cm="1">
        <f t="array" ref="BS53">IF(M53&lt;=0.8*K53,5%*K53,M53*5%)</f>
        <v>9975750</v>
      </c>
      <c r="BT53" t="s" s="70">
        <v>25</v>
      </c>
      <c r="BU53" s="66"/>
      <c r="BV53" s="68" cm="1">
        <f t="array" ref="BV53">J53-M53</f>
        <v>485000</v>
      </c>
    </row>
    <row r="54" ht="36.25" customHeight="1">
      <c r="A54" s="49"/>
      <c r="B54" s="50">
        <v>5507660</v>
      </c>
      <c r="C54" t="s" s="98">
        <v>603</v>
      </c>
      <c r="D54" t="s" s="52">
        <v>1</v>
      </c>
      <c r="E54" t="str" s="53" cm="1">
        <f t="array" ref="E54">$C54</f>
        <v>Peningkatan Jalan Dusun Antai Kanan Desa Bulubonggu</v>
      </c>
      <c r="F54" s="54"/>
      <c r="G54" s="53"/>
      <c r="H54" s="53"/>
      <c r="I54" s="53"/>
      <c r="J54" s="55">
        <v>150000000</v>
      </c>
      <c r="K54" s="77">
        <v>149869010.81</v>
      </c>
      <c r="L54" s="57">
        <v>149758435.86</v>
      </c>
      <c r="M54" s="55">
        <v>149758000</v>
      </c>
      <c r="N54" t="s" s="58">
        <v>505</v>
      </c>
      <c r="O54" t="s" s="59">
        <v>506</v>
      </c>
      <c r="P54" t="s" s="58">
        <v>4</v>
      </c>
      <c r="Q54" t="s" s="58">
        <v>507</v>
      </c>
      <c r="R54" t="s" s="58">
        <v>508</v>
      </c>
      <c r="S54" s="61">
        <v>11</v>
      </c>
      <c r="T54" s="60">
        <v>44449</v>
      </c>
      <c r="U54" t="s" s="58">
        <v>363</v>
      </c>
      <c r="V54" t="s" s="58">
        <v>509</v>
      </c>
      <c r="W54" t="s" s="58">
        <v>510</v>
      </c>
      <c r="X54" s="61">
        <v>120</v>
      </c>
      <c r="Y54" t="s" s="58">
        <v>10</v>
      </c>
      <c r="Z54" s="55" cm="1">
        <f t="array" ref="Z54">M54</f>
        <v>149758000</v>
      </c>
      <c r="AA54" t="s" s="58">
        <v>11</v>
      </c>
      <c r="AB54" s="60" cm="1">
        <f t="array" ref="AB54">AH54</f>
        <v>45365</v>
      </c>
      <c r="AC54" s="61" cm="1">
        <f t="array" ref="AC54">6*30</f>
        <v>180</v>
      </c>
      <c r="AD54" t="s" s="58">
        <v>109</v>
      </c>
      <c r="AE54" t="s" s="58">
        <v>110</v>
      </c>
      <c r="AF54" t="s" s="58">
        <v>111</v>
      </c>
      <c r="AG54" s="60">
        <v>45364</v>
      </c>
      <c r="AH54" s="60">
        <v>45365</v>
      </c>
      <c r="AI54" s="60">
        <v>45365</v>
      </c>
      <c r="AJ54" s="60">
        <v>45365</v>
      </c>
      <c r="AK54" s="60">
        <v>45366</v>
      </c>
      <c r="AL54" s="60">
        <v>45366</v>
      </c>
      <c r="AM54" s="60">
        <v>45366</v>
      </c>
      <c r="AN54" t="s" s="58">
        <v>604</v>
      </c>
      <c r="AO54" s="60" cm="1">
        <f t="array" ref="AO54">AJ54</f>
        <v>45365</v>
      </c>
      <c r="AP54" t="s" s="58">
        <v>605</v>
      </c>
      <c r="AQ54" s="60" cm="1">
        <f t="array" ref="AQ54">AJ54</f>
        <v>45365</v>
      </c>
      <c r="AR54" t="s" s="58">
        <v>606</v>
      </c>
      <c r="AS54" s="60" cm="1">
        <f t="array" ref="AS54">AJ54</f>
        <v>45365</v>
      </c>
      <c r="AT54" t="s" s="78">
        <v>607</v>
      </c>
      <c r="AU54" s="60" cm="1">
        <f t="array" ref="AU54">AJ54</f>
        <v>45365</v>
      </c>
      <c r="AV54" s="53"/>
      <c r="AW54" t="str" s="63" cm="1">
        <f t="array" ref="AW54">"600/"&amp;$B54&amp;"/"&amp;IF(AND($AE54="Konsultansi",M54&lt;=100000000),"SPK",IF(AND($AE54="Konsultansi",M54&gt;100000000),"Kont",IF(AND($AE54&lt;&gt;"Konsultansi",M54&lt;=200000000),"SPK","Kont")))&amp;"-"&amp;AE54&amp;"/PPK/DPUPR"</f>
        <v>600/5507660/SPK-Konstruksi/PPK/DPUPR</v>
      </c>
      <c r="AX54" t="str" s="63" cm="1">
        <f t="array" ref="AX54">"600/"&amp;$B54&amp;"/SPMK/PPK/DPUPR"</f>
        <v>600/5507660/SPMK/PPK/DPUPR</v>
      </c>
      <c r="AY54" s="53"/>
      <c r="AZ54" s="53"/>
      <c r="BA54" s="53"/>
      <c r="BB54" s="53"/>
      <c r="BC54" s="53"/>
      <c r="BD54" s="53"/>
      <c r="BE54" s="53"/>
      <c r="BF54" s="53"/>
      <c r="BG54" s="64">
        <v>186</v>
      </c>
      <c r="BH54" t="s" s="58">
        <v>505</v>
      </c>
      <c r="BI54" t="s" s="58">
        <v>21</v>
      </c>
      <c r="BJ54" t="s" s="58">
        <v>22</v>
      </c>
      <c r="BK54" t="s" s="58">
        <v>23</v>
      </c>
      <c r="BL54" t="s" s="58">
        <v>24</v>
      </c>
      <c r="BM54" s="53"/>
      <c r="BN54" s="53"/>
      <c r="BO54" s="53"/>
      <c r="BP54" s="53"/>
      <c r="BQ54" s="53"/>
      <c r="BR54" t="b" s="61">
        <v>0</v>
      </c>
      <c r="BS54" s="55" cm="1">
        <f t="array" ref="BS54">IF(M54&lt;=0.8*K54,5%*K54,M54*5%)</f>
        <v>7487900</v>
      </c>
      <c r="BT54" t="s" s="58">
        <v>25</v>
      </c>
      <c r="BU54" s="53"/>
      <c r="BV54" s="55" cm="1">
        <f t="array" ref="BV54">J54-M54</f>
        <v>242000</v>
      </c>
    </row>
    <row r="55" ht="48.25" customHeight="1">
      <c r="A55" s="49"/>
      <c r="B55" s="50">
        <v>50782722</v>
      </c>
      <c r="C55" t="s" s="51">
        <v>610</v>
      </c>
      <c r="D55" t="s" s="65">
        <v>1</v>
      </c>
      <c r="E55" t="str" s="66" cm="1">
        <f t="array" ref="E55">$C55</f>
        <v>Peningkatan Jalan Dusun Antai</v>
      </c>
      <c r="F55" s="67"/>
      <c r="G55" s="66"/>
      <c r="H55" s="66"/>
      <c r="I55" s="66"/>
      <c r="J55" s="68">
        <v>200000000</v>
      </c>
      <c r="K55" s="76">
        <v>199986659.74</v>
      </c>
      <c r="L55" s="57">
        <v>199873611.41</v>
      </c>
      <c r="M55" s="68">
        <v>199873000</v>
      </c>
      <c r="N55" t="s" s="70">
        <v>611</v>
      </c>
      <c r="O55" t="s" s="71">
        <v>612</v>
      </c>
      <c r="P55" t="s" s="70">
        <v>4</v>
      </c>
      <c r="Q55" t="s" s="70">
        <v>613</v>
      </c>
      <c r="R55" t="s" s="70">
        <v>614</v>
      </c>
      <c r="S55" t="s" s="70">
        <v>615</v>
      </c>
      <c r="T55" s="72">
        <v>43873</v>
      </c>
      <c r="U55" t="s" s="70">
        <v>616</v>
      </c>
      <c r="V55" t="s" s="70">
        <v>617</v>
      </c>
      <c r="W55" t="s" s="70">
        <v>618</v>
      </c>
      <c r="X55" s="73">
        <v>120</v>
      </c>
      <c r="Y55" t="s" s="70">
        <v>10</v>
      </c>
      <c r="Z55" s="68" cm="1">
        <f t="array" ref="Z55">M55</f>
        <v>199873000</v>
      </c>
      <c r="AA55" t="s" s="70">
        <v>11</v>
      </c>
      <c r="AB55" s="72" cm="1">
        <f t="array" ref="AB55">AH55</f>
        <v>45365</v>
      </c>
      <c r="AC55" s="73" cm="1">
        <f t="array" ref="AC55">6*30</f>
        <v>180</v>
      </c>
      <c r="AD55" t="s" s="70">
        <v>109</v>
      </c>
      <c r="AE55" t="s" s="70">
        <v>110</v>
      </c>
      <c r="AF55" t="s" s="70">
        <v>111</v>
      </c>
      <c r="AG55" s="72">
        <v>45364</v>
      </c>
      <c r="AH55" s="72">
        <v>45365</v>
      </c>
      <c r="AI55" s="72">
        <v>45365</v>
      </c>
      <c r="AJ55" s="72">
        <v>45365</v>
      </c>
      <c r="AK55" s="72">
        <v>45366</v>
      </c>
      <c r="AL55" s="72">
        <v>45366</v>
      </c>
      <c r="AM55" s="72">
        <v>45366</v>
      </c>
      <c r="AN55" t="s" s="70">
        <v>619</v>
      </c>
      <c r="AO55" s="72" cm="1">
        <f t="array" ref="AO55">AJ55</f>
        <v>45365</v>
      </c>
      <c r="AP55" t="s" s="70">
        <v>620</v>
      </c>
      <c r="AQ55" s="72" cm="1">
        <f t="array" ref="AQ55">AJ55</f>
        <v>45365</v>
      </c>
      <c r="AR55" t="s" s="70">
        <v>621</v>
      </c>
      <c r="AS55" s="72" cm="1">
        <f t="array" ref="AS55">AJ55</f>
        <v>45365</v>
      </c>
      <c r="AT55" t="s" s="78">
        <v>622</v>
      </c>
      <c r="AU55" s="72" cm="1">
        <f t="array" ref="AU55">AJ55</f>
        <v>45365</v>
      </c>
      <c r="AV55" s="66"/>
      <c r="AW55" t="str" s="74" cm="1">
        <f t="array" ref="AW55">"600/"&amp;$B55&amp;"/"&amp;IF(AND($AE55="Konsultansi",M55&lt;=100000000),"SPK",IF(AND($AE55="Konsultansi",M55&gt;100000000),"Kont",IF(AND($AE55&lt;&gt;"Konsultansi",M55&lt;=200000000),"SPK","Kont")))&amp;"-"&amp;AE55&amp;"/PPK/DPUPR"</f>
        <v>600/50782722/SPK-Konstruksi/PPK/DPUPR</v>
      </c>
      <c r="AX55" t="str" s="74" cm="1">
        <f t="array" ref="AX55">"600/"&amp;$B55&amp;"/SPMK/PPK/DPUPR"</f>
        <v>600/50782722/SPMK/PPK/DPUPR</v>
      </c>
      <c r="AY55" s="66"/>
      <c r="AZ55" s="66"/>
      <c r="BA55" s="66"/>
      <c r="BB55" s="66"/>
      <c r="BC55" s="66"/>
      <c r="BD55" s="66"/>
      <c r="BE55" s="66"/>
      <c r="BF55" s="66"/>
      <c r="BG55" s="75">
        <v>206</v>
      </c>
      <c r="BH55" t="s" s="70">
        <v>611</v>
      </c>
      <c r="BI55" t="s" s="70">
        <v>21</v>
      </c>
      <c r="BJ55" t="s" s="70">
        <v>22</v>
      </c>
      <c r="BK55" t="s" s="70">
        <v>23</v>
      </c>
      <c r="BL55" t="s" s="70">
        <v>24</v>
      </c>
      <c r="BM55" s="66"/>
      <c r="BN55" s="66"/>
      <c r="BO55" s="66"/>
      <c r="BP55" s="66"/>
      <c r="BQ55" s="66"/>
      <c r="BR55" t="b" s="73">
        <v>0</v>
      </c>
      <c r="BS55" s="68" cm="1">
        <f t="array" ref="BS55">IF(M55&lt;=0.8*K55,5%*K55,M55*5%)</f>
        <v>9993650</v>
      </c>
      <c r="BT55" t="s" s="70">
        <v>25</v>
      </c>
      <c r="BU55" s="66"/>
      <c r="BV55" s="68" cm="1">
        <f t="array" ref="BV55">J55-M55</f>
        <v>127000</v>
      </c>
    </row>
    <row r="56" ht="48.25" customHeight="1">
      <c r="A56" s="49"/>
      <c r="B56" s="50">
        <v>50782898</v>
      </c>
      <c r="C56" t="s" s="51">
        <v>625</v>
      </c>
      <c r="D56" t="s" s="52">
        <v>1</v>
      </c>
      <c r="E56" t="str" s="53" cm="1">
        <f t="array" ref="E56">$C56</f>
        <v>Peningkatan Jalan Desa Randomayang</v>
      </c>
      <c r="F56" s="54"/>
      <c r="G56" s="53"/>
      <c r="H56" s="53"/>
      <c r="I56" s="53"/>
      <c r="J56" s="55">
        <v>180000000</v>
      </c>
      <c r="K56" s="77">
        <v>179657663.06</v>
      </c>
      <c r="L56" s="57">
        <v>179524935.32</v>
      </c>
      <c r="M56" s="55">
        <v>179524000</v>
      </c>
      <c r="N56" t="s" s="58">
        <v>626</v>
      </c>
      <c r="O56" t="s" s="59">
        <v>627</v>
      </c>
      <c r="P56" t="s" s="58">
        <v>4</v>
      </c>
      <c r="Q56" t="s" s="58">
        <v>628</v>
      </c>
      <c r="R56" t="s" s="58">
        <v>629</v>
      </c>
      <c r="S56" t="s" s="58">
        <v>280</v>
      </c>
      <c r="T56" s="60">
        <v>44256</v>
      </c>
      <c r="U56" t="s" s="58">
        <v>630</v>
      </c>
      <c r="V56" t="s" s="58">
        <v>631</v>
      </c>
      <c r="W56" t="s" s="58">
        <v>632</v>
      </c>
      <c r="X56" s="61">
        <v>120</v>
      </c>
      <c r="Y56" t="s" s="58">
        <v>10</v>
      </c>
      <c r="Z56" s="55" cm="1">
        <f t="array" ref="Z56">M56</f>
        <v>179524000</v>
      </c>
      <c r="AA56" t="s" s="58">
        <v>11</v>
      </c>
      <c r="AB56" s="60" cm="1">
        <f t="array" ref="AB56">AH56</f>
        <v>45365</v>
      </c>
      <c r="AC56" s="61" cm="1">
        <f t="array" ref="AC56">6*30</f>
        <v>180</v>
      </c>
      <c r="AD56" t="s" s="58">
        <v>109</v>
      </c>
      <c r="AE56" t="s" s="58">
        <v>110</v>
      </c>
      <c r="AF56" t="s" s="58">
        <v>111</v>
      </c>
      <c r="AG56" s="60">
        <v>45364</v>
      </c>
      <c r="AH56" s="60">
        <v>45365</v>
      </c>
      <c r="AI56" s="60">
        <v>45365</v>
      </c>
      <c r="AJ56" s="60">
        <v>45365</v>
      </c>
      <c r="AK56" s="60">
        <v>45366</v>
      </c>
      <c r="AL56" s="60">
        <v>45366</v>
      </c>
      <c r="AM56" s="60">
        <v>45366</v>
      </c>
      <c r="AN56" t="s" s="58">
        <v>633</v>
      </c>
      <c r="AO56" s="60" cm="1">
        <f t="array" ref="AO56">AJ56</f>
        <v>45365</v>
      </c>
      <c r="AP56" t="s" s="58">
        <v>634</v>
      </c>
      <c r="AQ56" s="60" cm="1">
        <f t="array" ref="AQ56">AJ56</f>
        <v>45365</v>
      </c>
      <c r="AR56" t="s" s="58">
        <v>635</v>
      </c>
      <c r="AS56" s="60" cm="1">
        <f t="array" ref="AS56">AJ56</f>
        <v>45365</v>
      </c>
      <c r="AT56" t="s" s="78">
        <v>636</v>
      </c>
      <c r="AU56" s="60" cm="1">
        <f t="array" ref="AU56">AJ56</f>
        <v>45365</v>
      </c>
      <c r="AV56" s="53"/>
      <c r="AW56" t="str" s="63" cm="1">
        <f t="array" ref="AW56">"600/"&amp;$B56&amp;"/"&amp;IF(AND($AE56="Konsultansi",M56&lt;=100000000),"SPK",IF(AND($AE56="Konsultansi",M56&gt;100000000),"Kont",IF(AND($AE56&lt;&gt;"Konsultansi",M56&lt;=200000000),"SPK","Kont")))&amp;"-"&amp;AE56&amp;"/PPK/DPUPR"</f>
        <v>600/50782898/SPK-Konstruksi/PPK/DPUPR</v>
      </c>
      <c r="AX56" t="str" s="63" cm="1">
        <f t="array" ref="AX56">"600/"&amp;$B56&amp;"/SPMK/PPK/DPUPR"</f>
        <v>600/50782898/SPMK/PPK/DPUPR</v>
      </c>
      <c r="AY56" s="53"/>
      <c r="AZ56" s="53"/>
      <c r="BA56" s="53"/>
      <c r="BB56" s="53"/>
      <c r="BC56" s="53"/>
      <c r="BD56" s="53"/>
      <c r="BE56" s="53"/>
      <c r="BF56" s="53"/>
      <c r="BG56" s="64">
        <v>225</v>
      </c>
      <c r="BH56" t="s" s="58">
        <v>626</v>
      </c>
      <c r="BI56" t="s" s="58">
        <v>21</v>
      </c>
      <c r="BJ56" t="s" s="58">
        <v>22</v>
      </c>
      <c r="BK56" t="s" s="58">
        <v>23</v>
      </c>
      <c r="BL56" t="s" s="58">
        <v>24</v>
      </c>
      <c r="BM56" s="53"/>
      <c r="BN56" s="53"/>
      <c r="BO56" s="53"/>
      <c r="BP56" s="53"/>
      <c r="BQ56" s="53"/>
      <c r="BR56" t="b" s="61">
        <v>0</v>
      </c>
      <c r="BS56" s="55" cm="1">
        <f t="array" ref="BS56">IF(M56&lt;=0.8*K56,5%*K56,M56*5%)</f>
        <v>8976200</v>
      </c>
      <c r="BT56" t="s" s="58">
        <v>25</v>
      </c>
      <c r="BU56" t="s" s="58">
        <v>639</v>
      </c>
      <c r="BV56" s="55" cm="1">
        <f t="array" ref="BV56">J56-M56</f>
        <v>476000</v>
      </c>
    </row>
    <row r="57" ht="36.25" customHeight="1">
      <c r="A57" s="49"/>
      <c r="B57" s="50">
        <v>50783071</v>
      </c>
      <c r="C57" t="s" s="51">
        <v>640</v>
      </c>
      <c r="D57" t="s" s="65">
        <v>1</v>
      </c>
      <c r="E57" t="str" s="66" cm="1">
        <f t="array" ref="E57">$C57</f>
        <v>Peningkatan Jalan Polewali Dsn Duriabiro</v>
      </c>
      <c r="F57" s="67"/>
      <c r="G57" s="66"/>
      <c r="H57" s="66"/>
      <c r="I57" s="66"/>
      <c r="J57" s="68">
        <v>150000000</v>
      </c>
      <c r="K57" s="76">
        <v>149962481.22</v>
      </c>
      <c r="L57" s="57">
        <v>149796199.14</v>
      </c>
      <c r="M57" s="68">
        <v>149796000</v>
      </c>
      <c r="N57" t="s" s="70">
        <v>641</v>
      </c>
      <c r="O57" t="s" s="71">
        <v>642</v>
      </c>
      <c r="P57" t="s" s="70">
        <v>4</v>
      </c>
      <c r="Q57" t="s" s="70">
        <v>643</v>
      </c>
      <c r="R57" t="s" s="70">
        <v>644</v>
      </c>
      <c r="S57" s="99">
        <v>0.0213082259663033</v>
      </c>
      <c r="T57" s="72">
        <v>43242</v>
      </c>
      <c r="U57" t="s" s="70">
        <v>616</v>
      </c>
      <c r="V57" t="s" s="70">
        <v>645</v>
      </c>
      <c r="W57" t="s" s="70">
        <v>646</v>
      </c>
      <c r="X57" s="73">
        <v>120</v>
      </c>
      <c r="Y57" t="s" s="70">
        <v>10</v>
      </c>
      <c r="Z57" s="68" cm="1">
        <f t="array" ref="Z57">M57</f>
        <v>149796000</v>
      </c>
      <c r="AA57" t="s" s="70">
        <v>11</v>
      </c>
      <c r="AB57" s="72" cm="1">
        <f t="array" ref="AB57">AH57</f>
        <v>45365</v>
      </c>
      <c r="AC57" s="73" cm="1">
        <f t="array" ref="AC57">6*30</f>
        <v>180</v>
      </c>
      <c r="AD57" t="s" s="70">
        <v>109</v>
      </c>
      <c r="AE57" t="s" s="70">
        <v>110</v>
      </c>
      <c r="AF57" t="s" s="70">
        <v>111</v>
      </c>
      <c r="AG57" s="72">
        <v>45364</v>
      </c>
      <c r="AH57" s="72">
        <v>45365</v>
      </c>
      <c r="AI57" s="72">
        <v>45365</v>
      </c>
      <c r="AJ57" s="72">
        <v>45365</v>
      </c>
      <c r="AK57" s="72">
        <v>45366</v>
      </c>
      <c r="AL57" s="72">
        <v>45366</v>
      </c>
      <c r="AM57" s="72">
        <v>45366</v>
      </c>
      <c r="AN57" t="s" s="70">
        <v>647</v>
      </c>
      <c r="AO57" s="72" cm="1">
        <f t="array" ref="AO57">AJ57</f>
        <v>45365</v>
      </c>
      <c r="AP57" t="s" s="70">
        <v>648</v>
      </c>
      <c r="AQ57" s="72" cm="1">
        <f t="array" ref="AQ57">AJ57</f>
        <v>45365</v>
      </c>
      <c r="AR57" t="s" s="70">
        <v>649</v>
      </c>
      <c r="AS57" s="72" cm="1">
        <f t="array" ref="AS57">AJ57</f>
        <v>45365</v>
      </c>
      <c r="AT57" t="s" s="78">
        <v>650</v>
      </c>
      <c r="AU57" s="72" cm="1">
        <f t="array" ref="AU57">AJ57</f>
        <v>45365</v>
      </c>
      <c r="AV57" s="66"/>
      <c r="AW57" t="str" s="74" cm="1">
        <f t="array" ref="AW57">"600/"&amp;$B57&amp;"/"&amp;IF(AND($AE57="Konsultansi",M57&lt;=100000000),"SPK",IF(AND($AE57="Konsultansi",M57&gt;100000000),"Kont",IF(AND($AE57&lt;&gt;"Konsultansi",M57&lt;=200000000),"SPK","Kont")))&amp;"-"&amp;AE57&amp;"/PPK/DPUPR"</f>
        <v>600/50783071/SPK-Konstruksi/PPK/DPUPR</v>
      </c>
      <c r="AX57" t="str" s="74" cm="1">
        <f t="array" ref="AX57">"600/"&amp;$B57&amp;"/SPMK/PPK/DPUPR"</f>
        <v>600/50783071/SPMK/PPK/DPUPR</v>
      </c>
      <c r="AY57" s="66"/>
      <c r="AZ57" s="66"/>
      <c r="BA57" s="66"/>
      <c r="BB57" s="66"/>
      <c r="BC57" s="66"/>
      <c r="BD57" s="66"/>
      <c r="BE57" s="66"/>
      <c r="BF57" s="66"/>
      <c r="BG57" s="75">
        <v>171</v>
      </c>
      <c r="BH57" t="s" s="70">
        <v>641</v>
      </c>
      <c r="BI57" t="s" s="70">
        <v>21</v>
      </c>
      <c r="BJ57" t="s" s="70">
        <v>22</v>
      </c>
      <c r="BK57" t="s" s="70">
        <v>23</v>
      </c>
      <c r="BL57" t="s" s="70">
        <v>24</v>
      </c>
      <c r="BM57" s="66"/>
      <c r="BN57" s="66"/>
      <c r="BO57" s="66"/>
      <c r="BP57" s="66"/>
      <c r="BQ57" s="66"/>
      <c r="BR57" t="b" s="73">
        <v>0</v>
      </c>
      <c r="BS57" s="68" cm="1">
        <f t="array" ref="BS57">IF(M57&lt;=0.8*K57,5%*K57,M57*5%)</f>
        <v>7489800</v>
      </c>
      <c r="BT57" t="s" s="70">
        <v>25</v>
      </c>
      <c r="BU57" t="s" s="70">
        <v>653</v>
      </c>
      <c r="BV57" s="68" cm="1">
        <f t="array" ref="BV57">J57-M57</f>
        <v>204000</v>
      </c>
    </row>
    <row r="58" ht="36.25" customHeight="1">
      <c r="A58" s="49"/>
      <c r="B58" s="50">
        <v>50783430</v>
      </c>
      <c r="C58" t="s" s="51">
        <v>654</v>
      </c>
      <c r="D58" t="s" s="52">
        <v>1</v>
      </c>
      <c r="E58" t="str" s="53" cm="1">
        <f t="array" ref="E58">$C58</f>
        <v>Pemb. Jalan Dusun Tinapu Kel.Pasangkayu</v>
      </c>
      <c r="F58" s="54"/>
      <c r="G58" s="53"/>
      <c r="H58" s="53"/>
      <c r="I58" s="53"/>
      <c r="J58" s="55">
        <v>180000000</v>
      </c>
      <c r="K58" s="77">
        <v>179795385.19</v>
      </c>
      <c r="L58" s="57">
        <v>179651195.66</v>
      </c>
      <c r="M58" s="55">
        <v>179651000</v>
      </c>
      <c r="N58" t="s" s="58">
        <v>641</v>
      </c>
      <c r="O58" t="s" s="59">
        <v>642</v>
      </c>
      <c r="P58" t="s" s="58">
        <v>4</v>
      </c>
      <c r="Q58" t="s" s="58">
        <v>643</v>
      </c>
      <c r="R58" t="s" s="58">
        <v>644</v>
      </c>
      <c r="S58" s="100">
        <v>0.0213082259663033</v>
      </c>
      <c r="T58" s="60">
        <v>43242</v>
      </c>
      <c r="U58" t="s" s="58">
        <v>616</v>
      </c>
      <c r="V58" t="s" s="58">
        <v>645</v>
      </c>
      <c r="W58" t="s" s="58">
        <v>646</v>
      </c>
      <c r="X58" s="61">
        <v>120</v>
      </c>
      <c r="Y58" t="s" s="58">
        <v>10</v>
      </c>
      <c r="Z58" s="55" cm="1">
        <f t="array" ref="Z58">M58</f>
        <v>179651000</v>
      </c>
      <c r="AA58" t="s" s="58">
        <v>11</v>
      </c>
      <c r="AB58" s="60" cm="1">
        <f t="array" ref="AB58">AH58</f>
        <v>45365</v>
      </c>
      <c r="AC58" s="61" cm="1">
        <f t="array" ref="AC58">6*30</f>
        <v>180</v>
      </c>
      <c r="AD58" t="s" s="58">
        <v>109</v>
      </c>
      <c r="AE58" t="s" s="58">
        <v>110</v>
      </c>
      <c r="AF58" t="s" s="58">
        <v>111</v>
      </c>
      <c r="AG58" s="60">
        <v>45364</v>
      </c>
      <c r="AH58" s="60">
        <v>45365</v>
      </c>
      <c r="AI58" s="60">
        <v>45365</v>
      </c>
      <c r="AJ58" s="60">
        <v>45365</v>
      </c>
      <c r="AK58" s="60">
        <v>45366</v>
      </c>
      <c r="AL58" s="60">
        <v>45366</v>
      </c>
      <c r="AM58" s="60">
        <v>45366</v>
      </c>
      <c r="AN58" t="s" s="58">
        <v>655</v>
      </c>
      <c r="AO58" s="60" cm="1">
        <f t="array" ref="AO58">AJ58</f>
        <v>45365</v>
      </c>
      <c r="AP58" t="s" s="58">
        <v>656</v>
      </c>
      <c r="AQ58" s="60" cm="1">
        <f t="array" ref="AQ58">AJ58</f>
        <v>45365</v>
      </c>
      <c r="AR58" t="s" s="58">
        <v>657</v>
      </c>
      <c r="AS58" s="60" cm="1">
        <f t="array" ref="AS58">AJ58</f>
        <v>45365</v>
      </c>
      <c r="AT58" t="s" s="78">
        <v>658</v>
      </c>
      <c r="AU58" s="60" cm="1">
        <f t="array" ref="AU58">AJ58</f>
        <v>45365</v>
      </c>
      <c r="AV58" s="53"/>
      <c r="AW58" t="str" s="63" cm="1">
        <f t="array" ref="AW58">"600/"&amp;$B58&amp;"/"&amp;IF(AND($AE58="Konsultansi",M58&lt;=100000000),"SPK",IF(AND($AE58="Konsultansi",M58&gt;100000000),"Kont",IF(AND($AE58&lt;&gt;"Konsultansi",M58&lt;=200000000),"SPK","Kont")))&amp;"-"&amp;AE58&amp;"/PPK/DPUPR"</f>
        <v>600/50783430/SPK-Konstruksi/PPK/DPUPR</v>
      </c>
      <c r="AX58" t="str" s="63" cm="1">
        <f t="array" ref="AX58">"600/"&amp;$B58&amp;"/SPMK/PPK/DPUPR"</f>
        <v>600/50783430/SPMK/PPK/DPUPR</v>
      </c>
      <c r="AY58" s="53"/>
      <c r="AZ58" s="53"/>
      <c r="BA58" s="53"/>
      <c r="BB58" s="53"/>
      <c r="BC58" s="53"/>
      <c r="BD58" s="53"/>
      <c r="BE58" s="53"/>
      <c r="BF58" s="53"/>
      <c r="BG58" s="64">
        <v>171</v>
      </c>
      <c r="BH58" t="s" s="58">
        <v>641</v>
      </c>
      <c r="BI58" t="s" s="58">
        <v>21</v>
      </c>
      <c r="BJ58" t="s" s="58">
        <v>22</v>
      </c>
      <c r="BK58" t="s" s="58">
        <v>23</v>
      </c>
      <c r="BL58" t="s" s="58">
        <v>24</v>
      </c>
      <c r="BM58" s="53"/>
      <c r="BN58" s="53"/>
      <c r="BO58" s="53"/>
      <c r="BP58" s="53"/>
      <c r="BQ58" s="53"/>
      <c r="BR58" t="b" s="61">
        <v>0</v>
      </c>
      <c r="BS58" s="55" cm="1">
        <f t="array" ref="BS58">IF(M58&lt;=0.8*K58,5%*K58,M58*5%)</f>
        <v>8982550</v>
      </c>
      <c r="BT58" t="s" s="58">
        <v>25</v>
      </c>
      <c r="BU58" t="s" s="58">
        <v>661</v>
      </c>
      <c r="BV58" s="55" cm="1">
        <f t="array" ref="BV58">J58-M58</f>
        <v>349000</v>
      </c>
    </row>
    <row r="59" ht="36.25" customHeight="1">
      <c r="A59" s="49"/>
      <c r="B59" s="50">
        <v>50783564</v>
      </c>
      <c r="C59" t="s" s="51">
        <v>662</v>
      </c>
      <c r="D59" t="s" s="65">
        <v>1</v>
      </c>
      <c r="E59" t="str" s="66" cm="1">
        <f t="array" ref="E59">$C59</f>
        <v>Peningkatan Jalan Kalibamba</v>
      </c>
      <c r="F59" s="67"/>
      <c r="G59" s="66"/>
      <c r="H59" s="66"/>
      <c r="I59" s="66"/>
      <c r="J59" s="68">
        <v>180000000</v>
      </c>
      <c r="K59" s="76">
        <v>179802544.79</v>
      </c>
      <c r="L59" s="57">
        <v>179627773.96</v>
      </c>
      <c r="M59" s="68">
        <v>179627000</v>
      </c>
      <c r="N59" t="s" s="70">
        <v>641</v>
      </c>
      <c r="O59" t="s" s="71">
        <v>642</v>
      </c>
      <c r="P59" t="s" s="70">
        <v>4</v>
      </c>
      <c r="Q59" t="s" s="70">
        <v>643</v>
      </c>
      <c r="R59" t="s" s="70">
        <v>644</v>
      </c>
      <c r="S59" s="99">
        <v>0.0213082259663033</v>
      </c>
      <c r="T59" s="72">
        <v>43242</v>
      </c>
      <c r="U59" t="s" s="70">
        <v>616</v>
      </c>
      <c r="V59" t="s" s="70">
        <v>645</v>
      </c>
      <c r="W59" t="s" s="70">
        <v>646</v>
      </c>
      <c r="X59" s="73">
        <v>120</v>
      </c>
      <c r="Y59" t="s" s="70">
        <v>10</v>
      </c>
      <c r="Z59" s="68" cm="1">
        <f t="array" ref="Z59">M59</f>
        <v>179627000</v>
      </c>
      <c r="AA59" t="s" s="70">
        <v>11</v>
      </c>
      <c r="AB59" s="72" cm="1">
        <f t="array" ref="AB59">AH59</f>
        <v>45365</v>
      </c>
      <c r="AC59" s="73" cm="1">
        <f t="array" ref="AC59">6*30</f>
        <v>180</v>
      </c>
      <c r="AD59" t="s" s="70">
        <v>109</v>
      </c>
      <c r="AE59" t="s" s="70">
        <v>110</v>
      </c>
      <c r="AF59" t="s" s="70">
        <v>111</v>
      </c>
      <c r="AG59" s="72">
        <v>45364</v>
      </c>
      <c r="AH59" s="72">
        <v>45365</v>
      </c>
      <c r="AI59" s="72">
        <v>45365</v>
      </c>
      <c r="AJ59" s="72">
        <v>45365</v>
      </c>
      <c r="AK59" s="72">
        <v>45366</v>
      </c>
      <c r="AL59" s="72">
        <v>45366</v>
      </c>
      <c r="AM59" s="72">
        <v>45366</v>
      </c>
      <c r="AN59" t="s" s="70">
        <v>663</v>
      </c>
      <c r="AO59" s="72" cm="1">
        <f t="array" ref="AO59">AJ59</f>
        <v>45365</v>
      </c>
      <c r="AP59" t="s" s="70">
        <v>664</v>
      </c>
      <c r="AQ59" s="72" cm="1">
        <f t="array" ref="AQ59">AJ59</f>
        <v>45365</v>
      </c>
      <c r="AR59" t="s" s="70">
        <v>665</v>
      </c>
      <c r="AS59" s="72" cm="1">
        <f t="array" ref="AS59">AJ59</f>
        <v>45365</v>
      </c>
      <c r="AT59" t="s" s="78">
        <v>666</v>
      </c>
      <c r="AU59" s="72" cm="1">
        <f t="array" ref="AU59">AJ59</f>
        <v>45365</v>
      </c>
      <c r="AV59" s="66"/>
      <c r="AW59" t="str" s="74" cm="1">
        <f t="array" ref="AW59">"600/"&amp;$B59&amp;"/"&amp;IF(AND($AE59="Konsultansi",M59&lt;=100000000),"SPK",IF(AND($AE59="Konsultansi",M59&gt;100000000),"Kont",IF(AND($AE59&lt;&gt;"Konsultansi",M59&lt;=200000000),"SPK","Kont")))&amp;"-"&amp;AE59&amp;"/PPK/DPUPR"</f>
        <v>600/50783564/SPK-Konstruksi/PPK/DPUPR</v>
      </c>
      <c r="AX59" t="str" s="74" cm="1">
        <f t="array" ref="AX59">"600/"&amp;$B59&amp;"/SPMK/PPK/DPUPR"</f>
        <v>600/50783564/SPMK/PPK/DPUPR</v>
      </c>
      <c r="AY59" s="66"/>
      <c r="AZ59" s="66"/>
      <c r="BA59" s="66"/>
      <c r="BB59" s="66"/>
      <c r="BC59" s="66"/>
      <c r="BD59" s="66"/>
      <c r="BE59" s="66"/>
      <c r="BF59" s="66"/>
      <c r="BG59" s="75">
        <v>171</v>
      </c>
      <c r="BH59" t="s" s="70">
        <v>641</v>
      </c>
      <c r="BI59" t="s" s="70">
        <v>21</v>
      </c>
      <c r="BJ59" t="s" s="70">
        <v>22</v>
      </c>
      <c r="BK59" t="s" s="70">
        <v>23</v>
      </c>
      <c r="BL59" t="s" s="70">
        <v>24</v>
      </c>
      <c r="BM59" s="66"/>
      <c r="BN59" s="66"/>
      <c r="BO59" s="66"/>
      <c r="BP59" s="66"/>
      <c r="BQ59" s="66"/>
      <c r="BR59" t="b" s="73">
        <v>0</v>
      </c>
      <c r="BS59" s="68" cm="1">
        <f t="array" ref="BS59">IF(M59&lt;=0.8*K59,5%*K59,M59*5%)</f>
        <v>8981350</v>
      </c>
      <c r="BT59" t="s" s="70">
        <v>25</v>
      </c>
      <c r="BU59" t="s" s="70">
        <v>653</v>
      </c>
      <c r="BV59" s="68" cm="1">
        <f t="array" ref="BV59">J59-M59</f>
        <v>373000</v>
      </c>
    </row>
    <row r="60" ht="48.25" customHeight="1">
      <c r="A60" s="49"/>
      <c r="B60" s="50">
        <v>50783707</v>
      </c>
      <c r="C60" t="s" s="51">
        <v>669</v>
      </c>
      <c r="D60" t="s" s="52">
        <v>1</v>
      </c>
      <c r="E60" t="str" s="53" cm="1">
        <f t="array" ref="E60">$C60</f>
        <v>Peningkatan Jalan Kalindu</v>
      </c>
      <c r="F60" s="54"/>
      <c r="G60" s="53"/>
      <c r="H60" s="53"/>
      <c r="I60" s="53"/>
      <c r="J60" s="55">
        <v>180000000</v>
      </c>
      <c r="K60" s="77">
        <v>179860281.77</v>
      </c>
      <c r="L60" s="57">
        <v>179653715.77</v>
      </c>
      <c r="M60" s="55">
        <v>179653000</v>
      </c>
      <c r="N60" t="s" s="58">
        <v>626</v>
      </c>
      <c r="O60" t="s" s="59">
        <v>627</v>
      </c>
      <c r="P60" t="s" s="58">
        <v>4</v>
      </c>
      <c r="Q60" t="s" s="58">
        <v>628</v>
      </c>
      <c r="R60" t="s" s="58">
        <v>629</v>
      </c>
      <c r="S60" t="s" s="58">
        <v>280</v>
      </c>
      <c r="T60" s="60">
        <v>44256</v>
      </c>
      <c r="U60" t="s" s="58">
        <v>630</v>
      </c>
      <c r="V60" t="s" s="58">
        <v>631</v>
      </c>
      <c r="W60" t="s" s="58">
        <v>632</v>
      </c>
      <c r="X60" s="61">
        <v>120</v>
      </c>
      <c r="Y60" t="s" s="58">
        <v>10</v>
      </c>
      <c r="Z60" s="55" cm="1">
        <f t="array" ref="Z60">M60</f>
        <v>179653000</v>
      </c>
      <c r="AA60" t="s" s="58">
        <v>11</v>
      </c>
      <c r="AB60" s="60" cm="1">
        <f t="array" ref="AB60">AH60</f>
        <v>45365</v>
      </c>
      <c r="AC60" s="61" cm="1">
        <f t="array" ref="AC60">6*30</f>
        <v>180</v>
      </c>
      <c r="AD60" t="s" s="58">
        <v>109</v>
      </c>
      <c r="AE60" t="s" s="58">
        <v>110</v>
      </c>
      <c r="AF60" t="s" s="58">
        <v>111</v>
      </c>
      <c r="AG60" s="60">
        <v>45364</v>
      </c>
      <c r="AH60" s="60">
        <v>45365</v>
      </c>
      <c r="AI60" s="60">
        <v>45365</v>
      </c>
      <c r="AJ60" s="60">
        <v>45365</v>
      </c>
      <c r="AK60" s="60">
        <v>45366</v>
      </c>
      <c r="AL60" s="60">
        <v>45366</v>
      </c>
      <c r="AM60" s="60">
        <v>45366</v>
      </c>
      <c r="AN60" t="s" s="58">
        <v>670</v>
      </c>
      <c r="AO60" s="60" cm="1">
        <f t="array" ref="AO60">AJ60</f>
        <v>45365</v>
      </c>
      <c r="AP60" t="s" s="58">
        <v>671</v>
      </c>
      <c r="AQ60" s="60" cm="1">
        <f t="array" ref="AQ60">AJ60</f>
        <v>45365</v>
      </c>
      <c r="AR60" t="s" s="58">
        <v>672</v>
      </c>
      <c r="AS60" s="60" cm="1">
        <f t="array" ref="AS60">AJ60</f>
        <v>45365</v>
      </c>
      <c r="AT60" t="s" s="78">
        <v>673</v>
      </c>
      <c r="AU60" s="60" cm="1">
        <f t="array" ref="AU60">AJ60</f>
        <v>45365</v>
      </c>
      <c r="AV60" s="53"/>
      <c r="AW60" t="str" s="63" cm="1">
        <f t="array" ref="AW60">"600/"&amp;$B60&amp;"/"&amp;IF(AND($AE60="Konsultansi",M60&lt;=100000000),"SPK",IF(AND($AE60="Konsultansi",M60&gt;100000000),"Kont",IF(AND($AE60&lt;&gt;"Konsultansi",M60&lt;=200000000),"SPK","Kont")))&amp;"-"&amp;AE60&amp;"/PPK/DPUPR"</f>
        <v>600/50783707/SPK-Konstruksi/PPK/DPUPR</v>
      </c>
      <c r="AX60" t="str" s="63" cm="1">
        <f t="array" ref="AX60">"600/"&amp;$B60&amp;"/SPMK/PPK/DPUPR"</f>
        <v>600/50783707/SPMK/PPK/DPUPR</v>
      </c>
      <c r="AY60" s="53"/>
      <c r="AZ60" s="53"/>
      <c r="BA60" s="53"/>
      <c r="BB60" s="53"/>
      <c r="BC60" s="53"/>
      <c r="BD60" s="53"/>
      <c r="BE60" s="53"/>
      <c r="BF60" s="53"/>
      <c r="BG60" s="64">
        <v>225</v>
      </c>
      <c r="BH60" t="s" s="58">
        <v>626</v>
      </c>
      <c r="BI60" t="s" s="58">
        <v>21</v>
      </c>
      <c r="BJ60" t="s" s="58">
        <v>22</v>
      </c>
      <c r="BK60" t="s" s="58">
        <v>23</v>
      </c>
      <c r="BL60" t="s" s="58">
        <v>24</v>
      </c>
      <c r="BM60" s="53"/>
      <c r="BN60" s="53"/>
      <c r="BO60" s="53"/>
      <c r="BP60" s="53"/>
      <c r="BQ60" s="53"/>
      <c r="BR60" t="b" s="61">
        <v>0</v>
      </c>
      <c r="BS60" s="55" cm="1">
        <f t="array" ref="BS60">IF(M60&lt;=0.8*K60,5%*K60,M60*5%)</f>
        <v>8982650</v>
      </c>
      <c r="BT60" t="s" s="58">
        <v>25</v>
      </c>
      <c r="BU60" t="s" s="58">
        <v>639</v>
      </c>
      <c r="BV60" s="55" cm="1">
        <f t="array" ref="BV60">J60-M60</f>
        <v>347000</v>
      </c>
    </row>
    <row r="61" ht="36.25" customHeight="1">
      <c r="A61" s="49"/>
      <c r="B61" s="49"/>
      <c r="C61" s="101"/>
      <c r="D61" t="s" s="65">
        <v>149</v>
      </c>
      <c r="E61" s="73" cm="1">
        <f t="array" ref="E61">$C61</f>
        <v>0</v>
      </c>
      <c r="F61" s="67"/>
      <c r="G61" s="66"/>
      <c r="H61" s="66"/>
      <c r="I61" s="66"/>
      <c r="J61" s="68"/>
      <c r="K61" s="68"/>
      <c r="L61" s="57"/>
      <c r="M61" s="68"/>
      <c r="N61" t="s" s="70">
        <v>676</v>
      </c>
      <c r="O61" t="s" s="71">
        <v>676</v>
      </c>
      <c r="P61" t="s" s="70">
        <v>676</v>
      </c>
      <c r="Q61" t="s" s="70">
        <v>676</v>
      </c>
      <c r="R61" t="s" s="70">
        <v>676</v>
      </c>
      <c r="S61" t="s" s="70">
        <v>676</v>
      </c>
      <c r="T61" t="s" s="70">
        <v>676</v>
      </c>
      <c r="U61" t="s" s="70">
        <v>676</v>
      </c>
      <c r="V61" t="s" s="70">
        <v>676</v>
      </c>
      <c r="W61" t="s" s="70">
        <v>676</v>
      </c>
      <c r="X61" s="73">
        <v>120</v>
      </c>
      <c r="Y61" t="s" s="70">
        <v>10</v>
      </c>
      <c r="Z61" s="68" cm="1">
        <f t="array" ref="Z61">M61</f>
        <v>0</v>
      </c>
      <c r="AA61" t="s" s="70">
        <v>11</v>
      </c>
      <c r="AB61" s="72" cm="1">
        <f t="array" ref="AB61">AH61</f>
        <v>45365</v>
      </c>
      <c r="AC61" s="73" cm="1">
        <f t="array" ref="AC61">6*30</f>
        <v>180</v>
      </c>
      <c r="AD61" t="s" s="70">
        <v>109</v>
      </c>
      <c r="AE61" t="s" s="70">
        <v>110</v>
      </c>
      <c r="AF61" t="s" s="70">
        <v>150</v>
      </c>
      <c r="AG61" s="72">
        <v>45364</v>
      </c>
      <c r="AH61" s="72">
        <v>45365</v>
      </c>
      <c r="AI61" s="72">
        <v>45365</v>
      </c>
      <c r="AJ61" s="72">
        <v>45365</v>
      </c>
      <c r="AK61" s="72">
        <v>45366</v>
      </c>
      <c r="AL61" s="72">
        <v>45366</v>
      </c>
      <c r="AM61" s="72">
        <v>45366</v>
      </c>
      <c r="AN61" t="s" s="70">
        <v>677</v>
      </c>
      <c r="AO61" s="72" cm="1">
        <f t="array" ref="AO61">AJ61</f>
        <v>45365</v>
      </c>
      <c r="AP61" t="s" s="70">
        <v>678</v>
      </c>
      <c r="AQ61" s="72" cm="1">
        <f t="array" ref="AQ61">AJ61</f>
        <v>45365</v>
      </c>
      <c r="AR61" t="s" s="70">
        <v>679</v>
      </c>
      <c r="AS61" s="72" cm="1">
        <f t="array" ref="AS61">AJ61</f>
        <v>45365</v>
      </c>
      <c r="AT61" t="s" s="78">
        <v>680</v>
      </c>
      <c r="AU61" s="72" cm="1">
        <f t="array" ref="AU61">AJ61</f>
        <v>45365</v>
      </c>
      <c r="AV61" s="66"/>
      <c r="AW61" t="str" s="74" cm="1">
        <f t="array" ref="AW61">"600/"&amp;$B61&amp;"/"&amp;IF(AND($AE61="Konsultansi",M61&lt;=100000000),"SPK",IF(AND($AE61="Konsultansi",M61&gt;100000000),"Kont",IF(AND($AE61&lt;&gt;"Konsultansi",M61&lt;=200000000),"SPK","Kont")))&amp;"-"&amp;AE61&amp;"/PPK/DPUPR"</f>
        <v>600//SPK-Konstruksi/PPK/DPUPR</v>
      </c>
      <c r="AX61" t="str" s="74" cm="1">
        <f t="array" ref="AX61">"600/"&amp;$B61&amp;"/SPMK/PPK/DPUPR"</f>
        <v>600//SPMK/PPK/DPUPR</v>
      </c>
      <c r="AY61" s="66"/>
      <c r="AZ61" s="66"/>
      <c r="BA61" s="66"/>
      <c r="BB61" s="66"/>
      <c r="BC61" s="66"/>
      <c r="BD61" s="66"/>
      <c r="BE61" s="66"/>
      <c r="BF61" s="66"/>
      <c r="BG61" s="102"/>
      <c r="BH61" t="s" s="70">
        <v>683</v>
      </c>
      <c r="BI61" t="s" s="70">
        <v>21</v>
      </c>
      <c r="BJ61" t="s" s="70">
        <v>22</v>
      </c>
      <c r="BK61" t="s" s="70">
        <v>23</v>
      </c>
      <c r="BL61" t="s" s="70">
        <v>24</v>
      </c>
      <c r="BM61" s="66"/>
      <c r="BN61" s="66"/>
      <c r="BO61" s="66"/>
      <c r="BP61" s="66"/>
      <c r="BQ61" s="66"/>
      <c r="BR61" t="b" s="73">
        <v>0</v>
      </c>
      <c r="BS61" s="68" cm="1">
        <f t="array" ref="BS61">IF(M61&lt;=0.8*K61,5%*K61,M61*5%)</f>
        <v>0</v>
      </c>
      <c r="BT61" t="s" s="70">
        <v>156</v>
      </c>
      <c r="BU61" t="s" s="70">
        <v>684</v>
      </c>
      <c r="BV61" s="68" cm="1">
        <f t="array" ref="BV61">J61-M61</f>
        <v>0</v>
      </c>
    </row>
    <row r="62" ht="36.25" customHeight="1">
      <c r="A62" s="49"/>
      <c r="B62" s="49"/>
      <c r="C62" s="101"/>
      <c r="D62" t="s" s="52">
        <v>149</v>
      </c>
      <c r="E62" s="61" cm="1">
        <f t="array" ref="E62">$C62</f>
        <v>0</v>
      </c>
      <c r="F62" s="54"/>
      <c r="G62" s="53"/>
      <c r="H62" s="53"/>
      <c r="I62" s="53"/>
      <c r="J62" s="55"/>
      <c r="K62" s="55"/>
      <c r="L62" s="57"/>
      <c r="M62" s="55"/>
      <c r="N62" t="s" s="58">
        <v>676</v>
      </c>
      <c r="O62" t="s" s="59">
        <v>676</v>
      </c>
      <c r="P62" t="s" s="58">
        <v>676</v>
      </c>
      <c r="Q62" t="s" s="58">
        <v>676</v>
      </c>
      <c r="R62" t="s" s="58">
        <v>676</v>
      </c>
      <c r="S62" t="s" s="58">
        <v>676</v>
      </c>
      <c r="T62" t="s" s="58">
        <v>676</v>
      </c>
      <c r="U62" t="s" s="58">
        <v>676</v>
      </c>
      <c r="V62" t="s" s="58">
        <v>676</v>
      </c>
      <c r="W62" t="s" s="58">
        <v>676</v>
      </c>
      <c r="X62" s="61">
        <v>120</v>
      </c>
      <c r="Y62" t="s" s="58">
        <v>10</v>
      </c>
      <c r="Z62" s="55" cm="1">
        <f t="array" ref="Z62">M62</f>
        <v>0</v>
      </c>
      <c r="AA62" t="s" s="58">
        <v>11</v>
      </c>
      <c r="AB62" s="60" cm="1">
        <f t="array" ref="AB62">AH62</f>
        <v>45365</v>
      </c>
      <c r="AC62" s="61" cm="1">
        <f t="array" ref="AC62">6*30</f>
        <v>180</v>
      </c>
      <c r="AD62" t="s" s="58">
        <v>109</v>
      </c>
      <c r="AE62" t="s" s="58">
        <v>110</v>
      </c>
      <c r="AF62" t="s" s="58">
        <v>150</v>
      </c>
      <c r="AG62" s="60">
        <v>45364</v>
      </c>
      <c r="AH62" s="60">
        <v>45365</v>
      </c>
      <c r="AI62" s="60">
        <v>45365</v>
      </c>
      <c r="AJ62" s="60">
        <v>45365</v>
      </c>
      <c r="AK62" s="60">
        <v>45366</v>
      </c>
      <c r="AL62" s="60">
        <v>45366</v>
      </c>
      <c r="AM62" s="60">
        <v>45366</v>
      </c>
      <c r="AN62" t="s" s="58">
        <v>677</v>
      </c>
      <c r="AO62" s="60" cm="1">
        <f t="array" ref="AO62">AJ62</f>
        <v>45365</v>
      </c>
      <c r="AP62" t="s" s="58">
        <v>678</v>
      </c>
      <c r="AQ62" s="60" cm="1">
        <f t="array" ref="AQ62">AJ62</f>
        <v>45365</v>
      </c>
      <c r="AR62" t="s" s="58">
        <v>679</v>
      </c>
      <c r="AS62" s="60" cm="1">
        <f t="array" ref="AS62">AJ62</f>
        <v>45365</v>
      </c>
      <c r="AT62" t="s" s="78">
        <v>680</v>
      </c>
      <c r="AU62" s="60" cm="1">
        <f t="array" ref="AU62">AJ62</f>
        <v>45365</v>
      </c>
      <c r="AV62" s="53"/>
      <c r="AW62" t="str" s="63" cm="1">
        <f t="array" ref="AW62">"600/"&amp;$B62&amp;"/"&amp;IF(AND($AE62="Konsultansi",M62&lt;=100000000),"SPK",IF(AND($AE62="Konsultansi",M62&gt;100000000),"Kont",IF(AND($AE62&lt;&gt;"Konsultansi",M62&lt;=200000000),"SPK","Kont")))&amp;"-"&amp;AE62&amp;"/PPK/DPUPR"</f>
        <v>600//SPK-Konstruksi/PPK/DPUPR</v>
      </c>
      <c r="AX62" t="str" s="63" cm="1">
        <f t="array" ref="AX62">"600/"&amp;$B62&amp;"/SPMK/PPK/DPUPR"</f>
        <v>600//SPMK/PPK/DPUPR</v>
      </c>
      <c r="AY62" s="53"/>
      <c r="AZ62" s="53"/>
      <c r="BA62" s="53"/>
      <c r="BB62" s="53"/>
      <c r="BC62" s="53"/>
      <c r="BD62" s="53"/>
      <c r="BE62" s="53"/>
      <c r="BF62" s="53"/>
      <c r="BG62" s="103"/>
      <c r="BH62" t="s" s="58">
        <v>683</v>
      </c>
      <c r="BI62" t="s" s="58">
        <v>21</v>
      </c>
      <c r="BJ62" t="s" s="58">
        <v>22</v>
      </c>
      <c r="BK62" t="s" s="58">
        <v>23</v>
      </c>
      <c r="BL62" t="s" s="58">
        <v>24</v>
      </c>
      <c r="BM62" s="53"/>
      <c r="BN62" s="53"/>
      <c r="BO62" s="53"/>
      <c r="BP62" s="53"/>
      <c r="BQ62" s="53"/>
      <c r="BR62" t="b" s="61">
        <v>0</v>
      </c>
      <c r="BS62" s="55" cm="1">
        <f t="array" ref="BS62">IF(M62&lt;=0.8*K62,5%*K62,M62*5%)</f>
        <v>0</v>
      </c>
      <c r="BT62" t="s" s="58">
        <v>156</v>
      </c>
      <c r="BU62" t="s" s="58">
        <v>684</v>
      </c>
      <c r="BV62" s="55" cm="1">
        <f t="array" ref="BV62">J62-M62</f>
        <v>0</v>
      </c>
    </row>
    <row r="63" ht="72.25" customHeight="1">
      <c r="A63" s="49"/>
      <c r="B63" s="50">
        <v>49978186</v>
      </c>
      <c r="C63" t="s" s="51">
        <v>685</v>
      </c>
      <c r="D63" t="s" s="65">
        <v>165</v>
      </c>
      <c r="E63" t="str" s="66" cm="1">
        <f t="array" ref="E63">$C63</f>
        <v>Perenc. Pemeliharaan/Rehabilitasi Bangunan Masjid Madaniah</v>
      </c>
      <c r="F63" s="67"/>
      <c r="G63" s="66"/>
      <c r="H63" s="66"/>
      <c r="I63" s="66"/>
      <c r="J63" s="68">
        <v>25000000</v>
      </c>
      <c r="K63" s="76">
        <v>24999410.16</v>
      </c>
      <c r="L63" s="57">
        <v>24912198</v>
      </c>
      <c r="M63" s="68">
        <v>24912000</v>
      </c>
      <c r="N63" t="s" s="70">
        <v>686</v>
      </c>
      <c r="O63" t="s" s="71">
        <v>687</v>
      </c>
      <c r="P63" t="s" s="70">
        <v>4</v>
      </c>
      <c r="Q63" t="s" s="70">
        <v>688</v>
      </c>
      <c r="R63" t="s" s="70">
        <v>689</v>
      </c>
      <c r="S63" t="s" s="70">
        <v>690</v>
      </c>
      <c r="T63" s="72">
        <v>44571</v>
      </c>
      <c r="U63" t="s" s="70">
        <v>691</v>
      </c>
      <c r="V63" t="s" s="70">
        <v>692</v>
      </c>
      <c r="W63" t="s" s="70">
        <v>693</v>
      </c>
      <c r="X63" s="73">
        <v>30</v>
      </c>
      <c r="Y63" t="s" s="70">
        <v>10</v>
      </c>
      <c r="Z63" s="68" cm="1">
        <f t="array" ref="Z63">M63</f>
        <v>24912000</v>
      </c>
      <c r="AA63" t="s" s="70">
        <v>11</v>
      </c>
      <c r="AB63" s="72" cm="1">
        <f t="array" ref="AB63">AH63</f>
        <v>45378</v>
      </c>
      <c r="AC63" s="73" cm="1">
        <f t="array" ref="AC63">6*30</f>
        <v>180</v>
      </c>
      <c r="AD63" t="s" s="70">
        <v>109</v>
      </c>
      <c r="AE63" t="s" s="70">
        <v>13</v>
      </c>
      <c r="AF63" t="s" s="70">
        <v>694</v>
      </c>
      <c r="AG63" s="72">
        <v>45377</v>
      </c>
      <c r="AH63" s="72">
        <v>45378</v>
      </c>
      <c r="AI63" s="72">
        <v>45378</v>
      </c>
      <c r="AJ63" s="72">
        <v>45378</v>
      </c>
      <c r="AK63" s="72">
        <v>45378</v>
      </c>
      <c r="AL63" s="72">
        <v>45378</v>
      </c>
      <c r="AM63" s="72">
        <v>45378</v>
      </c>
      <c r="AN63" t="s" s="70">
        <v>695</v>
      </c>
      <c r="AO63" s="72" cm="1">
        <f t="array" ref="AO63">AJ63</f>
        <v>45378</v>
      </c>
      <c r="AP63" t="s" s="70">
        <v>696</v>
      </c>
      <c r="AQ63" s="72" cm="1">
        <f t="array" ref="AQ63">AJ63</f>
        <v>45378</v>
      </c>
      <c r="AR63" t="s" s="70">
        <v>697</v>
      </c>
      <c r="AS63" s="72" cm="1">
        <f t="array" ref="AS63">AJ63</f>
        <v>45378</v>
      </c>
      <c r="AT63" t="s" s="78">
        <v>698</v>
      </c>
      <c r="AU63" s="72" cm="1">
        <f t="array" ref="AU63">AJ63</f>
        <v>45378</v>
      </c>
      <c r="AV63" s="66"/>
      <c r="AW63" t="str" s="74" cm="1">
        <f t="array" ref="AW63">"600/"&amp;$B63&amp;"/"&amp;IF(AND($AE63="Konsultansi",M63&lt;=100000000),"SPK",IF(AND($AE63="Konsultansi",M63&gt;100000000),"Kont",IF(AND($AE63&lt;&gt;"Konsultansi",M63&lt;=200000000),"SPK","Kont")))&amp;"-"&amp;AE63&amp;"/PPK/DPUPR"</f>
        <v>600/49978186/SPK-Konsultansi/PPK/DPUPR</v>
      </c>
      <c r="AX63" t="str" s="74" cm="1">
        <f t="array" ref="AX63">"600/"&amp;$B63&amp;"/SPMK/PPK/DPUPR"</f>
        <v>600/49978186/SPMK/PPK/DPUPR</v>
      </c>
      <c r="AY63" s="66"/>
      <c r="AZ63" s="66"/>
      <c r="BA63" s="66"/>
      <c r="BB63" s="66"/>
      <c r="BC63" s="66"/>
      <c r="BD63" s="66"/>
      <c r="BE63" s="66"/>
      <c r="BF63" s="66"/>
      <c r="BG63" s="75">
        <v>160</v>
      </c>
      <c r="BH63" t="s" s="70">
        <v>686</v>
      </c>
      <c r="BI63" t="s" s="70">
        <v>21</v>
      </c>
      <c r="BJ63" t="s" s="70">
        <v>22</v>
      </c>
      <c r="BK63" t="s" s="70">
        <v>23</v>
      </c>
      <c r="BL63" t="s" s="70">
        <v>24</v>
      </c>
      <c r="BM63" s="66"/>
      <c r="BN63" s="66"/>
      <c r="BO63" s="66"/>
      <c r="BP63" s="66"/>
      <c r="BQ63" s="66"/>
      <c r="BR63" t="b" s="73">
        <v>0</v>
      </c>
      <c r="BS63" s="68" cm="1">
        <f t="array" ref="BS63">IF(M63&lt;=0.8*K63,5%*K63,M63*5%)</f>
        <v>1245600</v>
      </c>
      <c r="BT63" t="s" s="70">
        <v>173</v>
      </c>
      <c r="BU63" s="66"/>
      <c r="BV63" s="68" cm="1">
        <f t="array" ref="BV63">J63-M63</f>
        <v>88000</v>
      </c>
    </row>
    <row r="64" ht="24.25" customHeight="1">
      <c r="A64" s="49"/>
      <c r="B64" s="49"/>
      <c r="C64" s="101"/>
      <c r="D64" s="104"/>
      <c r="E64" s="61" cm="1">
        <f t="array" ref="E64">$C64</f>
        <v>0</v>
      </c>
      <c r="F64" s="54"/>
      <c r="G64" s="53"/>
      <c r="H64" s="53"/>
      <c r="I64" s="53"/>
      <c r="J64" s="55"/>
      <c r="K64" s="55"/>
      <c r="L64" s="57"/>
      <c r="M64" s="55"/>
      <c r="N64" t="s" s="58">
        <v>676</v>
      </c>
      <c r="O64" t="s" s="59">
        <v>676</v>
      </c>
      <c r="P64" t="s" s="58">
        <v>676</v>
      </c>
      <c r="Q64" t="s" s="58">
        <v>676</v>
      </c>
      <c r="R64" t="s" s="58">
        <v>676</v>
      </c>
      <c r="S64" t="s" s="58">
        <v>676</v>
      </c>
      <c r="T64" t="s" s="58">
        <v>676</v>
      </c>
      <c r="U64" t="s" s="58">
        <v>676</v>
      </c>
      <c r="V64" t="s" s="58">
        <v>676</v>
      </c>
      <c r="W64" t="s" s="58">
        <v>676</v>
      </c>
      <c r="X64" s="53"/>
      <c r="Y64" s="53"/>
      <c r="Z64" s="55" cm="1">
        <f t="array" ref="Z64">M64</f>
        <v>0</v>
      </c>
      <c r="AA64" s="53"/>
      <c r="AB64" s="60" cm="1">
        <f t="array" ref="AB64">AH64</f>
      </c>
      <c r="AC64" s="61" cm="1">
        <f t="array" ref="AC64">6*30</f>
        <v>180</v>
      </c>
      <c r="AD64" s="53"/>
      <c r="AE64" t="s" s="58">
        <v>701</v>
      </c>
      <c r="AF64" s="53"/>
      <c r="AG64" s="60"/>
      <c r="AH64" s="60"/>
      <c r="AI64" s="60"/>
      <c r="AJ64" s="60"/>
      <c r="AK64" s="60"/>
      <c r="AL64" s="60"/>
      <c r="AM64" s="60"/>
      <c r="AN64" t="s" s="58">
        <v>677</v>
      </c>
      <c r="AO64" s="53" cm="1">
        <f t="array" ref="AO64">AJ64</f>
      </c>
      <c r="AP64" t="s" s="58">
        <v>678</v>
      </c>
      <c r="AQ64" s="53" cm="1">
        <f t="array" ref="AQ64">AJ64</f>
      </c>
      <c r="AR64" t="s" s="58">
        <v>702</v>
      </c>
      <c r="AS64" s="53" cm="1">
        <f t="array" ref="AS64">AJ64</f>
      </c>
      <c r="AT64" t="s" s="78">
        <v>703</v>
      </c>
      <c r="AU64" s="53" cm="1">
        <f t="array" ref="AU64">AJ64</f>
      </c>
      <c r="AV64" s="53"/>
      <c r="AW64" t="str" s="63" cm="1">
        <f t="array" ref="AW64">"600/"&amp;$B64&amp;"/"&amp;IF(AND($AE64="Konsultansi",M64&lt;=100000000),"SPK",IF(AND($AE64="Konsultansi",M64&gt;100000000),"Kont",IF(AND($AE64&lt;&gt;"Konsultansi",M64&lt;=200000000),"SPK","Kont")))&amp;"-"&amp;AE64&amp;"/PPK/DPUPR"</f>
        <v>600//SPK-Barang/PPK/DPUPR</v>
      </c>
      <c r="AX64" t="str" s="63" cm="1">
        <f t="array" ref="AX64">"600/"&amp;$B64&amp;"/SPMK/PPK/DPUPR"</f>
        <v>600//SPMK/PPK/DPUPR</v>
      </c>
      <c r="AY64" s="53"/>
      <c r="AZ64" s="53"/>
      <c r="BA64" s="53"/>
      <c r="BB64" s="53"/>
      <c r="BC64" s="53"/>
      <c r="BD64" s="53"/>
      <c r="BE64" s="53"/>
      <c r="BF64" s="53"/>
      <c r="BG64" s="103"/>
      <c r="BH64" t="s" s="58">
        <v>683</v>
      </c>
      <c r="BI64" t="s" s="58">
        <v>21</v>
      </c>
      <c r="BJ64" t="s" s="58">
        <v>22</v>
      </c>
      <c r="BK64" t="s" s="58">
        <v>23</v>
      </c>
      <c r="BL64" t="s" s="58">
        <v>24</v>
      </c>
      <c r="BM64" s="53"/>
      <c r="BN64" s="53"/>
      <c r="BO64" s="53"/>
      <c r="BP64" s="53"/>
      <c r="BQ64" s="53"/>
      <c r="BR64" t="b" s="61">
        <v>0</v>
      </c>
      <c r="BS64" s="55" cm="1">
        <f t="array" ref="BS64">IF(M64&lt;=0.8*K64,5%*K64,M64*5%)</f>
        <v>0</v>
      </c>
      <c r="BT64" t="s" s="58">
        <v>705</v>
      </c>
      <c r="BU64" s="53"/>
      <c r="BV64" s="55" cm="1">
        <f t="array" ref="BV64">J64-M64</f>
        <v>0</v>
      </c>
    </row>
    <row r="65" ht="36.25" customHeight="1">
      <c r="A65" s="49"/>
      <c r="B65" s="50">
        <v>50783712</v>
      </c>
      <c r="C65" t="s" s="51">
        <v>706</v>
      </c>
      <c r="D65" t="s" s="65">
        <v>1</v>
      </c>
      <c r="E65" t="str" s="66" cm="1">
        <f t="array" ref="E65">$C65</f>
        <v>Peningkatan Jalan Dusun Salobulu Kel. Pasangkayu</v>
      </c>
      <c r="F65" s="67"/>
      <c r="G65" s="66"/>
      <c r="H65" s="66"/>
      <c r="I65" s="66"/>
      <c r="J65" s="68">
        <v>180000000</v>
      </c>
      <c r="K65" s="76">
        <v>179245766.26</v>
      </c>
      <c r="L65" s="57">
        <v>179119089.28</v>
      </c>
      <c r="M65" s="68">
        <v>179119000</v>
      </c>
      <c r="N65" t="s" s="70">
        <v>492</v>
      </c>
      <c r="O65" t="s" s="71">
        <v>493</v>
      </c>
      <c r="P65" t="s" s="70">
        <v>4</v>
      </c>
      <c r="Q65" t="s" s="70">
        <v>494</v>
      </c>
      <c r="R65" t="s" s="70">
        <v>495</v>
      </c>
      <c r="S65" s="73">
        <v>29</v>
      </c>
      <c r="T65" s="72">
        <v>44587</v>
      </c>
      <c r="U65" t="s" s="70">
        <v>250</v>
      </c>
      <c r="V65" t="s" s="70">
        <v>496</v>
      </c>
      <c r="W65" t="s" s="70">
        <v>497</v>
      </c>
      <c r="X65" s="73">
        <v>120</v>
      </c>
      <c r="Y65" t="s" s="70">
        <v>10</v>
      </c>
      <c r="Z65" s="68" cm="1">
        <f t="array" ref="Z65">M65</f>
        <v>179119000</v>
      </c>
      <c r="AA65" t="s" s="70">
        <v>11</v>
      </c>
      <c r="AB65" s="72" cm="1">
        <f t="array" ref="AB65">AH65</f>
        <v>45365</v>
      </c>
      <c r="AC65" s="73" cm="1">
        <f t="array" ref="AC65">6*30</f>
        <v>180</v>
      </c>
      <c r="AD65" t="s" s="70">
        <v>109</v>
      </c>
      <c r="AE65" t="s" s="70">
        <v>110</v>
      </c>
      <c r="AF65" t="s" s="70">
        <v>150</v>
      </c>
      <c r="AG65" s="72">
        <v>45364</v>
      </c>
      <c r="AH65" s="72">
        <v>45365</v>
      </c>
      <c r="AI65" s="72">
        <v>45365</v>
      </c>
      <c r="AJ65" s="72">
        <v>45365</v>
      </c>
      <c r="AK65" s="72">
        <v>45366</v>
      </c>
      <c r="AL65" s="72">
        <v>45366</v>
      </c>
      <c r="AM65" s="72">
        <v>45366</v>
      </c>
      <c r="AN65" t="s" s="70">
        <v>707</v>
      </c>
      <c r="AO65" s="72" cm="1">
        <f t="array" ref="AO65">AJ65</f>
        <v>45365</v>
      </c>
      <c r="AP65" t="s" s="70">
        <v>708</v>
      </c>
      <c r="AQ65" s="72" cm="1">
        <f t="array" ref="AQ65">AJ65</f>
        <v>45365</v>
      </c>
      <c r="AR65" t="s" s="70">
        <v>709</v>
      </c>
      <c r="AS65" s="72" cm="1">
        <f t="array" ref="AS65">AJ65</f>
        <v>45365</v>
      </c>
      <c r="AT65" t="s" s="78">
        <v>710</v>
      </c>
      <c r="AU65" s="72" cm="1">
        <f t="array" ref="AU65">AJ65</f>
        <v>45365</v>
      </c>
      <c r="AV65" s="66"/>
      <c r="AW65" t="str" s="74" cm="1">
        <f t="array" ref="AW65">"600/"&amp;$B65&amp;"/"&amp;IF(AND($AE65="Konsultansi",M65&lt;=100000000),"SPK",IF(AND($AE65="Konsultansi",M65&gt;100000000),"Kont",IF(AND($AE65&lt;&gt;"Konsultansi",M65&lt;=200000000),"SPK","Kont")))&amp;"-"&amp;AE65&amp;"/PPK/DPUPR"</f>
        <v>600/50783712/SPK-Konstruksi/PPK/DPUPR</v>
      </c>
      <c r="AX65" t="str" s="74" cm="1">
        <f t="array" ref="AX65">"600/"&amp;$B65&amp;"/SPMK/PPK/DPUPR"</f>
        <v>600/50783712/SPMK/PPK/DPUPR</v>
      </c>
      <c r="AY65" s="66"/>
      <c r="AZ65" s="66"/>
      <c r="BA65" s="66"/>
      <c r="BB65" s="66"/>
      <c r="BC65" s="66"/>
      <c r="BD65" s="66"/>
      <c r="BE65" s="66"/>
      <c r="BF65" s="66"/>
      <c r="BG65" s="75">
        <v>200</v>
      </c>
      <c r="BH65" t="s" s="70">
        <v>492</v>
      </c>
      <c r="BI65" t="s" s="70">
        <v>21</v>
      </c>
      <c r="BJ65" t="s" s="70">
        <v>22</v>
      </c>
      <c r="BK65" t="s" s="70">
        <v>23</v>
      </c>
      <c r="BL65" t="s" s="70">
        <v>24</v>
      </c>
      <c r="BM65" s="66"/>
      <c r="BN65" s="66"/>
      <c r="BO65" s="66"/>
      <c r="BP65" s="66"/>
      <c r="BQ65" s="66"/>
      <c r="BR65" t="b" s="73">
        <v>0</v>
      </c>
      <c r="BS65" s="68" cm="1">
        <f t="array" ref="BS65">IF(M65&lt;=0.8*K65,5%*K65,M65*5%)</f>
        <v>8955950</v>
      </c>
      <c r="BT65" t="s" s="70">
        <v>25</v>
      </c>
      <c r="BU65" s="66"/>
      <c r="BV65" s="68" cm="1">
        <f t="array" ref="BV65">J65-M65</f>
        <v>881000</v>
      </c>
    </row>
    <row r="66" ht="36.25" customHeight="1">
      <c r="A66" s="49"/>
      <c r="B66" s="105">
        <v>51173499</v>
      </c>
      <c r="C66" t="s" s="51">
        <v>713</v>
      </c>
      <c r="D66" t="s" s="52">
        <v>1</v>
      </c>
      <c r="E66" t="str" s="53" cm="1">
        <f t="array" ref="E66">$C66</f>
        <v>Perencanaan Peningkatan Jalan Hotmix Bulumario - Patika - Saptanajaya</v>
      </c>
      <c r="F66" s="54"/>
      <c r="G66" s="53"/>
      <c r="H66" s="53"/>
      <c r="I66" s="53"/>
      <c r="J66" s="55">
        <v>90000000</v>
      </c>
      <c r="K66" s="56">
        <v>89999834.40000001</v>
      </c>
      <c r="L66" s="57">
        <v>89990000</v>
      </c>
      <c r="M66" s="55">
        <v>89990000</v>
      </c>
      <c r="N66" t="s" s="58">
        <v>210</v>
      </c>
      <c r="O66" t="s" s="59">
        <v>211</v>
      </c>
      <c r="P66" t="s" s="58">
        <v>4</v>
      </c>
      <c r="Q66" t="s" s="58">
        <v>212</v>
      </c>
      <c r="R66" t="s" s="58">
        <v>213</v>
      </c>
      <c r="S66" t="s" s="58">
        <v>214</v>
      </c>
      <c r="T66" t="s" s="58">
        <v>215</v>
      </c>
      <c r="U66" t="s" s="58">
        <v>216</v>
      </c>
      <c r="V66" t="s" s="58">
        <v>217</v>
      </c>
      <c r="W66" t="s" s="58">
        <v>117</v>
      </c>
      <c r="X66" s="61">
        <v>30</v>
      </c>
      <c r="Y66" t="s" s="58">
        <v>10</v>
      </c>
      <c r="Z66" s="55" cm="1">
        <f t="array" ref="Z66">M66</f>
        <v>89990000</v>
      </c>
      <c r="AA66" t="s" s="58">
        <v>11</v>
      </c>
      <c r="AB66" s="60" cm="1">
        <f t="array" ref="AB66">AH66</f>
        <v>45387.625694444447</v>
      </c>
      <c r="AC66" s="53"/>
      <c r="AD66" t="s" s="58">
        <v>128</v>
      </c>
      <c r="AE66" t="s" s="58">
        <v>13</v>
      </c>
      <c r="AF66" t="s" s="58">
        <v>111</v>
      </c>
      <c r="AG66" s="60">
        <v>45385.291666666664</v>
      </c>
      <c r="AH66" s="60">
        <v>45387.625694444447</v>
      </c>
      <c r="AI66" s="60">
        <v>45387.636111111111</v>
      </c>
      <c r="AJ66" s="60">
        <v>45387.993055555555</v>
      </c>
      <c r="AK66" s="60">
        <v>45388.070138888892</v>
      </c>
      <c r="AL66" s="60">
        <v>45390.070138888892</v>
      </c>
      <c r="AM66" s="60">
        <v>45390.070138888892</v>
      </c>
      <c r="AN66" t="s" s="58">
        <v>714</v>
      </c>
      <c r="AO66" s="60" cm="1">
        <f t="array" ref="AO66">AJ66</f>
        <v>45387.993055555555</v>
      </c>
      <c r="AP66" t="s" s="58">
        <v>715</v>
      </c>
      <c r="AQ66" s="60" cm="1">
        <f t="array" ref="AQ66">AJ66</f>
        <v>45387.993055555555</v>
      </c>
      <c r="AR66" t="s" s="58">
        <v>716</v>
      </c>
      <c r="AS66" s="60" cm="1">
        <f t="array" ref="AS66">AJ66</f>
        <v>45387.993055555555</v>
      </c>
      <c r="AT66" t="s" s="78">
        <v>717</v>
      </c>
      <c r="AU66" s="60" cm="1">
        <f t="array" ref="AU66">AJ66</f>
        <v>45387.993055555555</v>
      </c>
      <c r="AV66" s="53"/>
      <c r="AW66" t="str" s="63" cm="1">
        <f t="array" ref="AW66">"600/"&amp;$B66&amp;"/"&amp;IF(AND($AE66="Konsultansi",M66&lt;=100000000),"SPK",IF(AND($AE66="Konsultansi",M66&gt;100000000),"Kont",IF(AND($AE66&lt;&gt;"Konsultansi",M66&lt;=200000000),"SPK","Kont")))&amp;"-"&amp;AE66&amp;"/PPK/DPUPR"</f>
        <v>600/51173499/SPK-Konsultansi/PPK/DPUPR</v>
      </c>
      <c r="AX66" t="str" s="63" cm="1">
        <f t="array" ref="AX66">"600/"&amp;$B66&amp;"/SPMK/PPK/DPUPR"</f>
        <v>600/51173499/SPMK/PPK/DPUPR</v>
      </c>
      <c r="AY66" s="53"/>
      <c r="AZ66" s="53"/>
      <c r="BA66" s="53"/>
      <c r="BB66" s="53"/>
      <c r="BC66" s="53"/>
      <c r="BD66" s="53"/>
      <c r="BE66" s="53"/>
      <c r="BF66" s="53"/>
      <c r="BG66" s="64">
        <v>162</v>
      </c>
      <c r="BH66" t="s" s="58">
        <v>210</v>
      </c>
      <c r="BI66" t="s" s="58">
        <v>21</v>
      </c>
      <c r="BJ66" t="s" s="58">
        <v>22</v>
      </c>
      <c r="BK66" t="s" s="58">
        <v>23</v>
      </c>
      <c r="BL66" t="s" s="58">
        <v>24</v>
      </c>
      <c r="BM66" s="53"/>
      <c r="BN66" s="53"/>
      <c r="BO66" s="53"/>
      <c r="BP66" s="53"/>
      <c r="BQ66" s="53"/>
      <c r="BR66" t="b" s="61">
        <v>0</v>
      </c>
      <c r="BS66" s="55" cm="1">
        <f t="array" ref="BS66">IF(M66&lt;=0.8*K66,5%*K66,M66*5%)</f>
        <v>4499500</v>
      </c>
      <c r="BT66" t="s" s="58">
        <v>25</v>
      </c>
      <c r="BU66" s="53"/>
      <c r="BV66" s="55" cm="1">
        <f t="array" ref="BV66">J66-M66</f>
        <v>10000</v>
      </c>
    </row>
    <row r="67" ht="36.25" customHeight="1">
      <c r="A67" s="49"/>
      <c r="B67" s="50">
        <v>5543660</v>
      </c>
      <c r="C67" t="s" s="51">
        <v>720</v>
      </c>
      <c r="D67" t="s" s="65">
        <v>1</v>
      </c>
      <c r="E67" t="str" s="66" cm="1">
        <f t="array" ref="E67">$C67</f>
        <v>Perencanaan Peningkatan Jalan Hotmix Wulai cs.</v>
      </c>
      <c r="F67" s="67"/>
      <c r="G67" s="66"/>
      <c r="H67" s="66"/>
      <c r="I67" s="66"/>
      <c r="J67" s="68">
        <v>99500000</v>
      </c>
      <c r="K67" s="76">
        <v>99499952.88</v>
      </c>
      <c r="L67" s="57">
        <v>99408513.59999999</v>
      </c>
      <c r="M67" s="68">
        <v>99408000</v>
      </c>
      <c r="N67" t="s" s="70">
        <v>210</v>
      </c>
      <c r="O67" t="s" s="71">
        <v>211</v>
      </c>
      <c r="P67" t="s" s="70">
        <v>4</v>
      </c>
      <c r="Q67" t="s" s="70">
        <v>212</v>
      </c>
      <c r="R67" t="s" s="70">
        <v>213</v>
      </c>
      <c r="S67" t="s" s="70">
        <v>214</v>
      </c>
      <c r="T67" t="s" s="70">
        <v>215</v>
      </c>
      <c r="U67" t="s" s="70">
        <v>216</v>
      </c>
      <c r="V67" t="s" s="70">
        <v>217</v>
      </c>
      <c r="W67" t="s" s="70">
        <v>117</v>
      </c>
      <c r="X67" s="73">
        <v>30</v>
      </c>
      <c r="Y67" t="s" s="70">
        <v>10</v>
      </c>
      <c r="Z67" s="68" cm="1">
        <f t="array" ref="Z67">M67</f>
        <v>99408000</v>
      </c>
      <c r="AA67" t="s" s="70">
        <v>11</v>
      </c>
      <c r="AB67" s="72" cm="1">
        <f t="array" ref="AB67">AH67</f>
        <v>45399</v>
      </c>
      <c r="AC67" s="66"/>
      <c r="AD67" t="s" s="70">
        <v>128</v>
      </c>
      <c r="AE67" t="s" s="70">
        <v>13</v>
      </c>
      <c r="AF67" t="s" s="70">
        <v>111</v>
      </c>
      <c r="AG67" s="72">
        <v>45398</v>
      </c>
      <c r="AH67" s="72">
        <v>45399</v>
      </c>
      <c r="AI67" s="72">
        <v>45399</v>
      </c>
      <c r="AJ67" s="72">
        <v>45400</v>
      </c>
      <c r="AK67" s="72">
        <v>45400</v>
      </c>
      <c r="AL67" s="72">
        <v>45400</v>
      </c>
      <c r="AM67" s="72">
        <v>45400</v>
      </c>
      <c r="AN67" t="s" s="70">
        <v>721</v>
      </c>
      <c r="AO67" s="72" cm="1">
        <f t="array" ref="AO67">AJ67</f>
        <v>45400</v>
      </c>
      <c r="AP67" t="s" s="70">
        <v>722</v>
      </c>
      <c r="AQ67" s="72" cm="1">
        <f t="array" ref="AQ67">AJ67</f>
        <v>45400</v>
      </c>
      <c r="AR67" t="s" s="70">
        <v>723</v>
      </c>
      <c r="AS67" s="72" cm="1">
        <f t="array" ref="AS67">AJ67</f>
        <v>45400</v>
      </c>
      <c r="AT67" t="s" s="78">
        <v>724</v>
      </c>
      <c r="AU67" s="72" cm="1">
        <f t="array" ref="AU67">AJ67</f>
        <v>45400</v>
      </c>
      <c r="AV67" s="66"/>
      <c r="AW67" t="str" s="74" cm="1">
        <f t="array" ref="AW67">"600/"&amp;$B67&amp;"/"&amp;IF(AND($AE67="Konsultansi",M67&lt;=100000000),"SPK",IF(AND($AE67="Konsultansi",M67&gt;100000000),"Kont",IF(AND($AE67&lt;&gt;"Konsultansi",M67&lt;=200000000),"SPK","Kont")))&amp;"-"&amp;AE67&amp;"/PPK/DPUPR"</f>
        <v>600/5543660/SPK-Konsultansi/PPK/DPUPR</v>
      </c>
      <c r="AX67" t="str" s="74" cm="1">
        <f t="array" ref="AX67">"600/"&amp;$B67&amp;"/SPMK/PPK/DPUPR"</f>
        <v>600/5543660/SPMK/PPK/DPUPR</v>
      </c>
      <c r="AY67" s="66"/>
      <c r="AZ67" s="66"/>
      <c r="BA67" s="66"/>
      <c r="BB67" s="66"/>
      <c r="BC67" s="66"/>
      <c r="BD67" s="66"/>
      <c r="BE67" s="66"/>
      <c r="BF67" s="66"/>
      <c r="BG67" s="75">
        <v>162</v>
      </c>
      <c r="BH67" t="s" s="70">
        <v>210</v>
      </c>
      <c r="BI67" t="s" s="70">
        <v>21</v>
      </c>
      <c r="BJ67" t="s" s="70">
        <v>22</v>
      </c>
      <c r="BK67" t="s" s="70">
        <v>23</v>
      </c>
      <c r="BL67" t="s" s="70">
        <v>24</v>
      </c>
      <c r="BM67" s="66"/>
      <c r="BN67" s="66"/>
      <c r="BO67" s="66"/>
      <c r="BP67" s="66"/>
      <c r="BQ67" s="66"/>
      <c r="BR67" t="b" s="73">
        <v>0</v>
      </c>
      <c r="BS67" s="68" cm="1">
        <f t="array" ref="BS67">IF(M67&lt;=0.8*K67,5%*K67,M67*5%)</f>
        <v>4970400</v>
      </c>
      <c r="BT67" t="s" s="70">
        <v>25</v>
      </c>
      <c r="BU67" s="66"/>
      <c r="BV67" s="68" cm="1">
        <f t="array" ref="BV67">J67-M67</f>
        <v>92000</v>
      </c>
    </row>
    <row r="68" ht="56.25" customHeight="1">
      <c r="A68" s="49"/>
      <c r="B68" s="50">
        <v>51173383</v>
      </c>
      <c r="C68" t="s" s="51">
        <v>727</v>
      </c>
      <c r="D68" t="s" s="52">
        <v>1</v>
      </c>
      <c r="E68" t="str" s="53" cm="1">
        <f t="array" ref="E68">$C68</f>
        <v>Perenc. Pembangunan dan pemeliharaan infrastruktur jalan Jalan Trans Sulawesi - Poros Pasar Limua - Belawarahmat -Tirtabuana cs.</v>
      </c>
      <c r="F68" s="54"/>
      <c r="G68" s="53"/>
      <c r="H68" s="53"/>
      <c r="I68" s="53"/>
      <c r="J68" s="55">
        <v>100000000</v>
      </c>
      <c r="K68" s="77">
        <v>99999642.95999999</v>
      </c>
      <c r="L68" s="57">
        <v>99893520</v>
      </c>
      <c r="M68" s="55">
        <v>99893000</v>
      </c>
      <c r="N68" t="s" s="58">
        <v>210</v>
      </c>
      <c r="O68" t="s" s="59">
        <v>211</v>
      </c>
      <c r="P68" t="s" s="58">
        <v>4</v>
      </c>
      <c r="Q68" t="s" s="58">
        <v>212</v>
      </c>
      <c r="R68" t="s" s="58">
        <v>213</v>
      </c>
      <c r="S68" t="s" s="58">
        <v>214</v>
      </c>
      <c r="T68" t="s" s="58">
        <v>215</v>
      </c>
      <c r="U68" t="s" s="58">
        <v>216</v>
      </c>
      <c r="V68" t="s" s="58">
        <v>217</v>
      </c>
      <c r="W68" t="s" s="58">
        <v>117</v>
      </c>
      <c r="X68" s="61">
        <v>30</v>
      </c>
      <c r="Y68" t="s" s="58">
        <v>10</v>
      </c>
      <c r="Z68" s="55" cm="1">
        <f t="array" ref="Z68">M68</f>
        <v>99893000</v>
      </c>
      <c r="AA68" t="s" s="58">
        <v>11</v>
      </c>
      <c r="AB68" s="60" cm="1">
        <f t="array" ref="AB68">AH68</f>
        <v>45399</v>
      </c>
      <c r="AC68" s="53"/>
      <c r="AD68" t="s" s="58">
        <v>128</v>
      </c>
      <c r="AE68" t="s" s="58">
        <v>13</v>
      </c>
      <c r="AF68" t="s" s="58">
        <v>111</v>
      </c>
      <c r="AG68" s="60">
        <v>45398</v>
      </c>
      <c r="AH68" s="60">
        <v>45399</v>
      </c>
      <c r="AI68" s="60">
        <v>45399</v>
      </c>
      <c r="AJ68" s="60">
        <v>45400</v>
      </c>
      <c r="AK68" s="60">
        <v>45400</v>
      </c>
      <c r="AL68" s="60">
        <v>45400</v>
      </c>
      <c r="AM68" s="60">
        <v>45400</v>
      </c>
      <c r="AN68" t="s" s="58">
        <v>728</v>
      </c>
      <c r="AO68" s="60" cm="1">
        <f t="array" ref="AO68">AJ68</f>
        <v>45400</v>
      </c>
      <c r="AP68" t="s" s="58">
        <v>729</v>
      </c>
      <c r="AQ68" s="60" cm="1">
        <f t="array" ref="AQ68">AJ68</f>
        <v>45400</v>
      </c>
      <c r="AR68" t="s" s="58">
        <v>730</v>
      </c>
      <c r="AS68" s="60" cm="1">
        <f t="array" ref="AS68">AJ68</f>
        <v>45400</v>
      </c>
      <c r="AT68" t="s" s="78">
        <v>731</v>
      </c>
      <c r="AU68" s="60" cm="1">
        <f t="array" ref="AU68">AJ68</f>
        <v>45400</v>
      </c>
      <c r="AV68" s="53"/>
      <c r="AW68" t="str" s="63" cm="1">
        <f t="array" ref="AW68">"600/"&amp;$B68&amp;"/"&amp;IF(AND($AE68="Konsultansi",M68&lt;=100000000),"SPK",IF(AND($AE68="Konsultansi",M68&gt;100000000),"Kont",IF(AND($AE68&lt;&gt;"Konsultansi",M68&lt;=200000000),"SPK","Kont")))&amp;"-"&amp;AE68&amp;"/PPK/DPUPR"</f>
        <v>600/51173383/SPK-Konsultansi/PPK/DPUPR</v>
      </c>
      <c r="AX68" t="str" s="63" cm="1">
        <f t="array" ref="AX68">"600/"&amp;$B68&amp;"/SPMK/PPK/DPUPR"</f>
        <v>600/51173383/SPMK/PPK/DPUPR</v>
      </c>
      <c r="AY68" s="53"/>
      <c r="AZ68" s="53"/>
      <c r="BA68" s="53"/>
      <c r="BB68" s="53"/>
      <c r="BC68" s="53"/>
      <c r="BD68" s="53"/>
      <c r="BE68" s="53"/>
      <c r="BF68" s="53"/>
      <c r="BG68" s="64">
        <v>162</v>
      </c>
      <c r="BH68" t="s" s="58">
        <v>210</v>
      </c>
      <c r="BI68" t="s" s="58">
        <v>21</v>
      </c>
      <c r="BJ68" t="s" s="58">
        <v>22</v>
      </c>
      <c r="BK68" t="s" s="58">
        <v>23</v>
      </c>
      <c r="BL68" t="s" s="58">
        <v>24</v>
      </c>
      <c r="BM68" s="53"/>
      <c r="BN68" s="53"/>
      <c r="BO68" s="53"/>
      <c r="BP68" s="53"/>
      <c r="BQ68" s="53"/>
      <c r="BR68" t="b" s="61">
        <v>0</v>
      </c>
      <c r="BS68" s="55" cm="1">
        <f t="array" ref="BS68">IF(M68&lt;=0.8*K68,5%*K68,M68*5%)</f>
        <v>4994650</v>
      </c>
      <c r="BT68" t="s" s="58">
        <v>25</v>
      </c>
      <c r="BU68" s="53"/>
      <c r="BV68" s="55" cm="1">
        <f t="array" ref="BV68">J68-M68</f>
        <v>107000</v>
      </c>
    </row>
    <row r="69" ht="36.25" customHeight="1">
      <c r="A69" s="49"/>
      <c r="B69" s="105">
        <v>5545660</v>
      </c>
      <c r="C69" t="s" s="51">
        <v>734</v>
      </c>
      <c r="D69" t="s" s="65">
        <v>1</v>
      </c>
      <c r="E69" t="str" s="66" cm="1">
        <f t="array" ref="E69">$C69</f>
        <v>Perencanaan Peningkatan Jalan Hotmix dalam Kota Pasangkayu cs</v>
      </c>
      <c r="F69" s="67"/>
      <c r="G69" s="66"/>
      <c r="H69" s="66"/>
      <c r="I69" s="66"/>
      <c r="J69" s="68">
        <v>85000000</v>
      </c>
      <c r="K69" s="76">
        <v>84999818.88</v>
      </c>
      <c r="L69" s="57">
        <v>84999812</v>
      </c>
      <c r="M69" s="68">
        <v>84999000</v>
      </c>
      <c r="N69" t="s" s="70">
        <v>210</v>
      </c>
      <c r="O69" t="s" s="71">
        <v>211</v>
      </c>
      <c r="P69" t="s" s="70">
        <v>4</v>
      </c>
      <c r="Q69" t="s" s="70">
        <v>212</v>
      </c>
      <c r="R69" t="s" s="70">
        <v>213</v>
      </c>
      <c r="S69" t="s" s="70">
        <v>214</v>
      </c>
      <c r="T69" t="s" s="70">
        <v>215</v>
      </c>
      <c r="U69" t="s" s="70">
        <v>216</v>
      </c>
      <c r="V69" t="s" s="70">
        <v>217</v>
      </c>
      <c r="W69" t="s" s="70">
        <v>117</v>
      </c>
      <c r="X69" s="73">
        <v>30</v>
      </c>
      <c r="Y69" t="s" s="70">
        <v>10</v>
      </c>
      <c r="Z69" s="68" cm="1">
        <f t="array" ref="Z69">M69</f>
        <v>84999000</v>
      </c>
      <c r="AA69" t="s" s="70">
        <v>11</v>
      </c>
      <c r="AB69" s="72" cm="1">
        <f t="array" ref="AB69">AH69</f>
        <v>45387.625694444447</v>
      </c>
      <c r="AC69" s="66"/>
      <c r="AD69" t="s" s="70">
        <v>128</v>
      </c>
      <c r="AE69" t="s" s="70">
        <v>13</v>
      </c>
      <c r="AF69" t="s" s="70">
        <v>111</v>
      </c>
      <c r="AG69" s="72">
        <v>45385.291666666664</v>
      </c>
      <c r="AH69" s="72">
        <v>45387.625694444447</v>
      </c>
      <c r="AI69" s="72">
        <v>45387.636111111111</v>
      </c>
      <c r="AJ69" s="72">
        <v>45387.993055555555</v>
      </c>
      <c r="AK69" s="72">
        <v>45388.070138888892</v>
      </c>
      <c r="AL69" s="72">
        <v>45390.070138888892</v>
      </c>
      <c r="AM69" s="72">
        <v>45390.070138888892</v>
      </c>
      <c r="AN69" t="s" s="70">
        <v>735</v>
      </c>
      <c r="AO69" s="72" cm="1">
        <f t="array" ref="AO69">AJ69</f>
        <v>45387.993055555555</v>
      </c>
      <c r="AP69" t="s" s="70">
        <v>736</v>
      </c>
      <c r="AQ69" s="72" cm="1">
        <f t="array" ref="AQ69">AJ69</f>
        <v>45387.993055555555</v>
      </c>
      <c r="AR69" t="s" s="70">
        <v>737</v>
      </c>
      <c r="AS69" s="72" cm="1">
        <f t="array" ref="AS69">AJ69</f>
        <v>45387.993055555555</v>
      </c>
      <c r="AT69" t="s" s="78">
        <v>738</v>
      </c>
      <c r="AU69" s="72" cm="1">
        <f t="array" ref="AU69">AJ69</f>
        <v>45387.993055555555</v>
      </c>
      <c r="AV69" s="66"/>
      <c r="AW69" t="str" s="74" cm="1">
        <f t="array" ref="AW69">"600/"&amp;$B69&amp;"/"&amp;IF(AND($AE69="Konsultansi",M69&lt;=100000000),"SPK",IF(AND($AE69="Konsultansi",M69&gt;100000000),"Kont",IF(AND($AE69&lt;&gt;"Konsultansi",M69&lt;=200000000),"SPK","Kont")))&amp;"-"&amp;AE69&amp;"/PPK/DPUPR"</f>
        <v>600/5545660/SPK-Konsultansi/PPK/DPUPR</v>
      </c>
      <c r="AX69" t="str" s="74" cm="1">
        <f t="array" ref="AX69">"600/"&amp;$B69&amp;"/SPMK/PPK/DPUPR"</f>
        <v>600/5545660/SPMK/PPK/DPUPR</v>
      </c>
      <c r="AY69" s="66"/>
      <c r="AZ69" s="66"/>
      <c r="BA69" s="66"/>
      <c r="BB69" s="66"/>
      <c r="BC69" s="66"/>
      <c r="BD69" s="66"/>
      <c r="BE69" s="66"/>
      <c r="BF69" s="66"/>
      <c r="BG69" s="75">
        <v>162</v>
      </c>
      <c r="BH69" t="s" s="70">
        <v>210</v>
      </c>
      <c r="BI69" t="s" s="70">
        <v>21</v>
      </c>
      <c r="BJ69" t="s" s="70">
        <v>22</v>
      </c>
      <c r="BK69" t="s" s="70">
        <v>23</v>
      </c>
      <c r="BL69" t="s" s="70">
        <v>24</v>
      </c>
      <c r="BM69" s="66"/>
      <c r="BN69" s="66"/>
      <c r="BO69" s="66"/>
      <c r="BP69" s="66"/>
      <c r="BQ69" s="66"/>
      <c r="BR69" t="b" s="73">
        <v>0</v>
      </c>
      <c r="BS69" s="68" cm="1">
        <f t="array" ref="BS69">IF(M69&lt;=0.8*K69,5%*K69,M69*5%)</f>
        <v>4249950</v>
      </c>
      <c r="BT69" t="s" s="70">
        <v>25</v>
      </c>
      <c r="BU69" s="66"/>
      <c r="BV69" s="68" cm="1">
        <f t="array" ref="BV69">J69-M69</f>
        <v>1000</v>
      </c>
    </row>
    <row r="70" ht="36.25" customHeight="1">
      <c r="A70" s="49"/>
      <c r="B70" s="105">
        <v>5546660</v>
      </c>
      <c r="C70" t="s" s="51">
        <v>741</v>
      </c>
      <c r="D70" t="s" s="52">
        <v>1</v>
      </c>
      <c r="E70" t="str" s="53" cm="1">
        <f t="array" ref="E70">$C70</f>
        <v>Perencanaan Peningkatan Jalan Hotmix Jono Muara Tikke</v>
      </c>
      <c r="F70" s="54"/>
      <c r="G70" s="53"/>
      <c r="H70" s="53"/>
      <c r="I70" s="53"/>
      <c r="J70" s="55">
        <v>70000000</v>
      </c>
      <c r="K70" s="77">
        <v>69967067.76000001</v>
      </c>
      <c r="L70" s="57">
        <v>69967000</v>
      </c>
      <c r="M70" s="55">
        <v>69967000</v>
      </c>
      <c r="N70" t="s" s="58">
        <v>210</v>
      </c>
      <c r="O70" t="s" s="59">
        <v>211</v>
      </c>
      <c r="P70" t="s" s="58">
        <v>4</v>
      </c>
      <c r="Q70" t="s" s="58">
        <v>212</v>
      </c>
      <c r="R70" t="s" s="58">
        <v>213</v>
      </c>
      <c r="S70" t="s" s="58">
        <v>214</v>
      </c>
      <c r="T70" t="s" s="58">
        <v>215</v>
      </c>
      <c r="U70" t="s" s="58">
        <v>216</v>
      </c>
      <c r="V70" t="s" s="58">
        <v>217</v>
      </c>
      <c r="W70" t="s" s="58">
        <v>117</v>
      </c>
      <c r="X70" s="61">
        <v>30</v>
      </c>
      <c r="Y70" t="s" s="58">
        <v>10</v>
      </c>
      <c r="Z70" s="55" cm="1">
        <f t="array" ref="Z70">M70</f>
        <v>69967000</v>
      </c>
      <c r="AA70" t="s" s="58">
        <v>11</v>
      </c>
      <c r="AB70" s="60" cm="1">
        <f t="array" ref="AB70">AH70</f>
        <v>45387.625694444447</v>
      </c>
      <c r="AC70" s="53"/>
      <c r="AD70" t="s" s="58">
        <v>128</v>
      </c>
      <c r="AE70" t="s" s="58">
        <v>13</v>
      </c>
      <c r="AF70" t="s" s="58">
        <v>111</v>
      </c>
      <c r="AG70" s="60">
        <v>45385.291666666664</v>
      </c>
      <c r="AH70" s="60">
        <v>45387.625694444447</v>
      </c>
      <c r="AI70" s="60">
        <v>45387.636111111111</v>
      </c>
      <c r="AJ70" s="60">
        <v>45387.993055555555</v>
      </c>
      <c r="AK70" s="60">
        <v>45388.070138888892</v>
      </c>
      <c r="AL70" s="60">
        <v>45390.070138888892</v>
      </c>
      <c r="AM70" s="60">
        <v>45390.070138888892</v>
      </c>
      <c r="AN70" t="s" s="58">
        <v>742</v>
      </c>
      <c r="AO70" s="60" cm="1">
        <f t="array" ref="AO70">AJ70</f>
        <v>45387.993055555555</v>
      </c>
      <c r="AP70" t="s" s="58">
        <v>743</v>
      </c>
      <c r="AQ70" s="60" cm="1">
        <f t="array" ref="AQ70">AJ70</f>
        <v>45387.993055555555</v>
      </c>
      <c r="AR70" t="s" s="58">
        <v>744</v>
      </c>
      <c r="AS70" s="60" cm="1">
        <f t="array" ref="AS70">AJ70</f>
        <v>45387.993055555555</v>
      </c>
      <c r="AT70" t="s" s="78">
        <v>745</v>
      </c>
      <c r="AU70" s="60" cm="1">
        <f t="array" ref="AU70">AJ70</f>
        <v>45387.993055555555</v>
      </c>
      <c r="AV70" s="53"/>
      <c r="AW70" t="str" s="63" cm="1">
        <f t="array" ref="AW70">"600/"&amp;$B70&amp;"/"&amp;IF(AND($AE70="Konsultansi",M70&lt;=100000000),"SPK",IF(AND($AE70="Konsultansi",M70&gt;100000000),"Kont",IF(AND($AE70&lt;&gt;"Konsultansi",M70&lt;=200000000),"SPK","Kont")))&amp;"-"&amp;AE70&amp;"/PPK/DPUPR"</f>
        <v>600/5546660/SPK-Konsultansi/PPK/DPUPR</v>
      </c>
      <c r="AX70" t="str" s="63" cm="1">
        <f t="array" ref="AX70">"600/"&amp;$B70&amp;"/SPMK/PPK/DPUPR"</f>
        <v>600/5546660/SPMK/PPK/DPUPR</v>
      </c>
      <c r="AY70" s="53"/>
      <c r="AZ70" s="53"/>
      <c r="BA70" s="53"/>
      <c r="BB70" s="53"/>
      <c r="BC70" s="53"/>
      <c r="BD70" s="53"/>
      <c r="BE70" s="53"/>
      <c r="BF70" s="53"/>
      <c r="BG70" s="64">
        <v>162</v>
      </c>
      <c r="BH70" t="s" s="58">
        <v>210</v>
      </c>
      <c r="BI70" t="s" s="58">
        <v>21</v>
      </c>
      <c r="BJ70" t="s" s="58">
        <v>22</v>
      </c>
      <c r="BK70" t="s" s="58">
        <v>23</v>
      </c>
      <c r="BL70" t="s" s="58">
        <v>24</v>
      </c>
      <c r="BM70" s="53"/>
      <c r="BN70" s="53"/>
      <c r="BO70" s="53"/>
      <c r="BP70" s="53"/>
      <c r="BQ70" s="53"/>
      <c r="BR70" t="b" s="61">
        <v>0</v>
      </c>
      <c r="BS70" s="55" cm="1">
        <f t="array" ref="BS70">IF(M70&lt;=0.8*K70,5%*K70,M70*5%)</f>
        <v>3498350</v>
      </c>
      <c r="BT70" t="s" s="58">
        <v>25</v>
      </c>
      <c r="BU70" s="53"/>
      <c r="BV70" s="55" cm="1">
        <f t="array" ref="BV70">J70-M70</f>
        <v>33000</v>
      </c>
    </row>
    <row r="71" ht="32.25" customHeight="1">
      <c r="A71" s="49"/>
      <c r="B71" s="49"/>
      <c r="C71" t="s" s="51">
        <v>748</v>
      </c>
      <c r="D71" t="s" s="65">
        <v>1</v>
      </c>
      <c r="E71" t="str" s="66" cm="1">
        <f t="array" ref="E71">$C71</f>
        <v>Stock Design Status Jalan Kabupaten/Non Status Paket IV</v>
      </c>
      <c r="F71" s="67"/>
      <c r="G71" s="66"/>
      <c r="H71" s="66"/>
      <c r="I71" s="66"/>
      <c r="J71" s="68"/>
      <c r="K71" s="68"/>
      <c r="L71" s="57"/>
      <c r="M71" s="68"/>
      <c r="N71" t="s" s="70">
        <v>676</v>
      </c>
      <c r="O71" t="s" s="71">
        <v>676</v>
      </c>
      <c r="P71" t="s" s="70">
        <v>676</v>
      </c>
      <c r="Q71" t="s" s="70">
        <v>676</v>
      </c>
      <c r="R71" t="s" s="70">
        <v>676</v>
      </c>
      <c r="S71" t="s" s="70">
        <v>676</v>
      </c>
      <c r="T71" t="s" s="70">
        <v>676</v>
      </c>
      <c r="U71" t="s" s="70">
        <v>676</v>
      </c>
      <c r="V71" t="s" s="70">
        <v>676</v>
      </c>
      <c r="W71" t="s" s="70">
        <v>676</v>
      </c>
      <c r="X71" s="66"/>
      <c r="Y71" s="66"/>
      <c r="Z71" s="68" cm="1">
        <f t="array" ref="Z71">M71</f>
        <v>0</v>
      </c>
      <c r="AA71" s="66"/>
      <c r="AB71" s="72" cm="1">
        <f t="array" ref="AB71">AH71</f>
      </c>
      <c r="AC71" s="66"/>
      <c r="AD71" t="s" s="70">
        <v>128</v>
      </c>
      <c r="AE71" t="s" s="70">
        <v>13</v>
      </c>
      <c r="AF71" s="66"/>
      <c r="AG71" s="72"/>
      <c r="AH71" s="72"/>
      <c r="AI71" s="72"/>
      <c r="AJ71" s="72"/>
      <c r="AK71" s="72"/>
      <c r="AL71" s="72"/>
      <c r="AM71" s="72"/>
      <c r="AN71" t="s" s="70">
        <v>677</v>
      </c>
      <c r="AO71" s="66" cm="1">
        <f t="array" ref="AO71">AJ71</f>
      </c>
      <c r="AP71" t="s" s="70">
        <v>678</v>
      </c>
      <c r="AQ71" s="66" cm="1">
        <f t="array" ref="AQ71">AJ71</f>
      </c>
      <c r="AR71" t="s" s="70">
        <v>702</v>
      </c>
      <c r="AS71" s="66" cm="1">
        <f t="array" ref="AS71">AJ71</f>
      </c>
      <c r="AT71" t="s" s="78">
        <v>703</v>
      </c>
      <c r="AU71" s="66" cm="1">
        <f t="array" ref="AU71">AJ71</f>
      </c>
      <c r="AV71" s="66"/>
      <c r="AW71" t="str" s="74" cm="1">
        <f t="array" ref="AW71">"600/"&amp;$B71&amp;"/"&amp;IF(AND($AE71="Konsultansi",M71&lt;=100000000),"SPK",IF(AND($AE71="Konsultansi",M71&gt;100000000),"Kont",IF(AND($AE71&lt;&gt;"Konsultansi",M71&lt;=200000000),"SPK","Kont")))&amp;"-"&amp;AE71&amp;"/PPK/DPUPR"</f>
        <v>600//SPK-Konsultansi/PPK/DPUPR</v>
      </c>
      <c r="AX71" t="str" s="74" cm="1">
        <f t="array" ref="AX71">"600/"&amp;$B71&amp;"/SPMK/PPK/DPUPR"</f>
        <v>600//SPMK/PPK/DPUPR</v>
      </c>
      <c r="AY71" s="66"/>
      <c r="AZ71" s="66"/>
      <c r="BA71" s="66"/>
      <c r="BB71" s="66"/>
      <c r="BC71" s="66"/>
      <c r="BD71" s="66"/>
      <c r="BE71" s="66"/>
      <c r="BF71" s="66"/>
      <c r="BG71" s="102"/>
      <c r="BH71" t="s" s="70">
        <v>683</v>
      </c>
      <c r="BI71" t="s" s="70">
        <v>21</v>
      </c>
      <c r="BJ71" t="s" s="70">
        <v>22</v>
      </c>
      <c r="BK71" t="s" s="70">
        <v>23</v>
      </c>
      <c r="BL71" t="s" s="70">
        <v>24</v>
      </c>
      <c r="BM71" s="66"/>
      <c r="BN71" s="66"/>
      <c r="BO71" s="66"/>
      <c r="BP71" s="66"/>
      <c r="BQ71" s="66"/>
      <c r="BR71" t="b" s="73">
        <v>0</v>
      </c>
      <c r="BS71" s="68" cm="1">
        <f t="array" ref="BS71">IF(M71&lt;=0.8*K71,5%*K71,M71*5%)</f>
        <v>0</v>
      </c>
      <c r="BT71" t="s" s="70">
        <v>25</v>
      </c>
      <c r="BU71" s="66"/>
      <c r="BV71" s="68" cm="1">
        <f t="array" ref="BV71">J71-M71</f>
        <v>0</v>
      </c>
    </row>
    <row r="72" ht="32.25" customHeight="1">
      <c r="A72" s="49"/>
      <c r="B72" s="49"/>
      <c r="C72" t="s" s="51">
        <v>750</v>
      </c>
      <c r="D72" t="s" s="52">
        <v>1</v>
      </c>
      <c r="E72" t="str" s="53" cm="1">
        <f t="array" ref="E72">$C72</f>
        <v>Stock Design Status Jalan Kabupaten/Non Status  Paket IV</v>
      </c>
      <c r="F72" s="54"/>
      <c r="G72" s="53"/>
      <c r="H72" s="53"/>
      <c r="I72" s="53"/>
      <c r="J72" s="55"/>
      <c r="K72" s="55"/>
      <c r="L72" s="57"/>
      <c r="M72" s="55"/>
      <c r="N72" t="s" s="58">
        <v>676</v>
      </c>
      <c r="O72" t="s" s="59">
        <v>676</v>
      </c>
      <c r="P72" t="s" s="58">
        <v>676</v>
      </c>
      <c r="Q72" t="s" s="58">
        <v>676</v>
      </c>
      <c r="R72" t="s" s="58">
        <v>676</v>
      </c>
      <c r="S72" t="s" s="58">
        <v>676</v>
      </c>
      <c r="T72" t="s" s="58">
        <v>676</v>
      </c>
      <c r="U72" t="s" s="58">
        <v>676</v>
      </c>
      <c r="V72" t="s" s="58">
        <v>676</v>
      </c>
      <c r="W72" t="s" s="58">
        <v>676</v>
      </c>
      <c r="X72" s="53"/>
      <c r="Y72" s="53"/>
      <c r="Z72" s="55" cm="1">
        <f t="array" ref="Z72">M72</f>
        <v>0</v>
      </c>
      <c r="AA72" s="53"/>
      <c r="AB72" s="60" cm="1">
        <f t="array" ref="AB72">AH72</f>
      </c>
      <c r="AC72" s="53"/>
      <c r="AD72" t="s" s="58">
        <v>128</v>
      </c>
      <c r="AE72" t="s" s="58">
        <v>13</v>
      </c>
      <c r="AF72" s="53"/>
      <c r="AG72" s="60"/>
      <c r="AH72" s="60"/>
      <c r="AI72" s="60"/>
      <c r="AJ72" s="60"/>
      <c r="AK72" s="60"/>
      <c r="AL72" s="60"/>
      <c r="AM72" s="60"/>
      <c r="AN72" t="s" s="58">
        <v>677</v>
      </c>
      <c r="AO72" s="53" cm="1">
        <f t="array" ref="AO72">AJ72</f>
      </c>
      <c r="AP72" t="s" s="58">
        <v>678</v>
      </c>
      <c r="AQ72" s="53" cm="1">
        <f t="array" ref="AQ72">AJ72</f>
      </c>
      <c r="AR72" t="s" s="58">
        <v>702</v>
      </c>
      <c r="AS72" s="53" cm="1">
        <f t="array" ref="AS72">AJ72</f>
      </c>
      <c r="AT72" t="s" s="78">
        <v>703</v>
      </c>
      <c r="AU72" s="53" cm="1">
        <f t="array" ref="AU72">AJ72</f>
      </c>
      <c r="AV72" s="53"/>
      <c r="AW72" t="str" s="63" cm="1">
        <f t="array" ref="AW72">"600/"&amp;$B72&amp;"/"&amp;IF(AND($AE72="Konsultansi",M72&lt;=100000000),"SPK",IF(AND($AE72="Konsultansi",M72&gt;100000000),"Kont",IF(AND($AE72&lt;&gt;"Konsultansi",M72&lt;=200000000),"SPK","Kont")))&amp;"-"&amp;AE72&amp;"/PPK/DPUPR"</f>
        <v>600//SPK-Konsultansi/PPK/DPUPR</v>
      </c>
      <c r="AX72" t="str" s="63" cm="1">
        <f t="array" ref="AX72">"600/"&amp;$B72&amp;"/SPMK/PPK/DPUPR"</f>
        <v>600//SPMK/PPK/DPUPR</v>
      </c>
      <c r="AY72" s="53"/>
      <c r="AZ72" s="53"/>
      <c r="BA72" s="53"/>
      <c r="BB72" s="53"/>
      <c r="BC72" s="53"/>
      <c r="BD72" s="53"/>
      <c r="BE72" s="53"/>
      <c r="BF72" s="53"/>
      <c r="BG72" s="103"/>
      <c r="BH72" t="s" s="58">
        <v>683</v>
      </c>
      <c r="BI72" t="s" s="58">
        <v>21</v>
      </c>
      <c r="BJ72" t="s" s="58">
        <v>22</v>
      </c>
      <c r="BK72" t="s" s="58">
        <v>23</v>
      </c>
      <c r="BL72" t="s" s="58">
        <v>24</v>
      </c>
      <c r="BM72" s="53"/>
      <c r="BN72" s="53"/>
      <c r="BO72" s="53"/>
      <c r="BP72" s="53"/>
      <c r="BQ72" s="53"/>
      <c r="BR72" t="b" s="61">
        <v>0</v>
      </c>
      <c r="BS72" s="55" cm="1">
        <f t="array" ref="BS72">IF(M72&lt;=0.8*K72,5%*K72,M72*5%)</f>
        <v>0</v>
      </c>
      <c r="BT72" t="s" s="58">
        <v>25</v>
      </c>
      <c r="BU72" s="53"/>
      <c r="BV72" s="55" cm="1">
        <f t="array" ref="BV72">J72-M72</f>
        <v>0</v>
      </c>
    </row>
    <row r="73" ht="44.25" customHeight="1">
      <c r="A73" s="49"/>
      <c r="B73" s="50">
        <v>49944383</v>
      </c>
      <c r="C73" t="s" s="51">
        <v>751</v>
      </c>
      <c r="D73" t="s" s="65">
        <v>752</v>
      </c>
      <c r="E73" t="str" s="66" cm="1">
        <f t="array" ref="E73">$C73</f>
        <v>Perencanaan Normalisasi Saluran Pembuang/Sungai Saptanajaya - Tawoni - Patika - Bulumario</v>
      </c>
      <c r="F73" s="67"/>
      <c r="G73" s="66"/>
      <c r="H73" s="66"/>
      <c r="I73" s="66"/>
      <c r="J73" s="68">
        <v>20500000</v>
      </c>
      <c r="K73" s="76">
        <v>20499917.25</v>
      </c>
      <c r="L73" s="57">
        <v>20401416</v>
      </c>
      <c r="M73" s="68">
        <v>20401000</v>
      </c>
      <c r="N73" t="s" s="70">
        <v>210</v>
      </c>
      <c r="O73" t="s" s="71">
        <v>211</v>
      </c>
      <c r="P73" t="s" s="70">
        <v>4</v>
      </c>
      <c r="Q73" t="s" s="70">
        <v>212</v>
      </c>
      <c r="R73" t="s" s="70">
        <v>213</v>
      </c>
      <c r="S73" t="s" s="70">
        <v>214</v>
      </c>
      <c r="T73" t="s" s="70">
        <v>215</v>
      </c>
      <c r="U73" t="s" s="70">
        <v>216</v>
      </c>
      <c r="V73" t="s" s="70">
        <v>217</v>
      </c>
      <c r="W73" t="s" s="70">
        <v>117</v>
      </c>
      <c r="X73" s="73">
        <v>30</v>
      </c>
      <c r="Y73" t="s" s="70">
        <v>10</v>
      </c>
      <c r="Z73" s="68" cm="1">
        <f t="array" ref="Z73">M73</f>
        <v>20401000</v>
      </c>
      <c r="AA73" t="s" s="70">
        <v>11</v>
      </c>
      <c r="AB73" s="72" cm="1">
        <f t="array" ref="AB73">AH73</f>
        <v>45434</v>
      </c>
      <c r="AC73" s="66"/>
      <c r="AD73" t="s" s="70">
        <v>128</v>
      </c>
      <c r="AE73" t="s" s="70">
        <v>13</v>
      </c>
      <c r="AF73" t="s" s="70">
        <v>753</v>
      </c>
      <c r="AG73" s="72">
        <v>45434</v>
      </c>
      <c r="AH73" s="72">
        <v>45434</v>
      </c>
      <c r="AI73" s="72">
        <v>45434</v>
      </c>
      <c r="AJ73" s="72">
        <v>45434</v>
      </c>
      <c r="AK73" s="72">
        <v>45434</v>
      </c>
      <c r="AL73" s="72">
        <v>45434</v>
      </c>
      <c r="AM73" s="72">
        <v>45434</v>
      </c>
      <c r="AN73" t="s" s="70">
        <v>754</v>
      </c>
      <c r="AO73" s="72" cm="1">
        <f t="array" ref="AO73">AJ73</f>
        <v>45434</v>
      </c>
      <c r="AP73" t="s" s="70">
        <v>755</v>
      </c>
      <c r="AQ73" s="72" cm="1">
        <f t="array" ref="AQ73">AJ73</f>
        <v>45434</v>
      </c>
      <c r="AR73" t="s" s="70">
        <v>756</v>
      </c>
      <c r="AS73" s="72" cm="1">
        <f t="array" ref="AS73">AJ73</f>
        <v>45434</v>
      </c>
      <c r="AT73" t="s" s="78">
        <v>757</v>
      </c>
      <c r="AU73" s="72" cm="1">
        <f t="array" ref="AU73">AJ73</f>
        <v>45434</v>
      </c>
      <c r="AV73" s="66"/>
      <c r="AW73" t="str" s="74" cm="1">
        <f t="array" ref="AW73">"600/"&amp;$B73&amp;"/"&amp;IF(AND($AE73="Konsultansi",M73&lt;=100000000),"SPK",IF(AND($AE73="Konsultansi",M73&gt;100000000),"Kont",IF(AND($AE73&lt;&gt;"Konsultansi",M73&lt;=200000000),"SPK","Kont")))&amp;"-"&amp;AE73&amp;"/PPK/DPUPR"</f>
        <v>600/49944383/SPK-Konsultansi/PPK/DPUPR</v>
      </c>
      <c r="AX73" t="str" s="74" cm="1">
        <f t="array" ref="AX73">"600/"&amp;$B73&amp;"/SPMK/PPK/DPUPR"</f>
        <v>600/49944383/SPMK/PPK/DPUPR</v>
      </c>
      <c r="AY73" s="66"/>
      <c r="AZ73" s="66"/>
      <c r="BA73" s="66"/>
      <c r="BB73" s="66"/>
      <c r="BC73" s="66"/>
      <c r="BD73" s="66"/>
      <c r="BE73" s="66"/>
      <c r="BF73" s="66"/>
      <c r="BG73" s="75">
        <v>162</v>
      </c>
      <c r="BH73" t="s" s="70">
        <v>210</v>
      </c>
      <c r="BI73" t="s" s="70">
        <v>21</v>
      </c>
      <c r="BJ73" t="s" s="70">
        <v>22</v>
      </c>
      <c r="BK73" t="s" s="70">
        <v>23</v>
      </c>
      <c r="BL73" t="s" s="70">
        <v>24</v>
      </c>
      <c r="BM73" s="66"/>
      <c r="BN73" s="66"/>
      <c r="BO73" s="66"/>
      <c r="BP73" s="66"/>
      <c r="BQ73" s="66"/>
      <c r="BR73" t="b" s="73">
        <v>0</v>
      </c>
      <c r="BS73" s="68" cm="1">
        <f t="array" ref="BS73">IF(M73&lt;=0.8*K73,5%*K73,M73*5%)</f>
        <v>1020050</v>
      </c>
      <c r="BT73" t="s" s="70">
        <v>156</v>
      </c>
      <c r="BU73" s="66"/>
      <c r="BV73" s="68" cm="1">
        <f t="array" ref="BV73">J73-M73</f>
        <v>99000</v>
      </c>
    </row>
    <row r="74" ht="36.25" customHeight="1">
      <c r="A74" s="49"/>
      <c r="B74" s="50">
        <v>51581417</v>
      </c>
      <c r="C74" t="s" s="51">
        <v>760</v>
      </c>
      <c r="D74" t="s" s="52">
        <v>149</v>
      </c>
      <c r="E74" t="str" s="53" cm="1">
        <f t="array" ref="E74">$C74</f>
        <v>Stock Design Jembatan Kabupaten Paket III</v>
      </c>
      <c r="F74" s="54"/>
      <c r="G74" s="53"/>
      <c r="H74" s="53"/>
      <c r="I74" s="53"/>
      <c r="J74" s="55">
        <v>100000000</v>
      </c>
      <c r="K74" s="77">
        <v>99999642.95999999</v>
      </c>
      <c r="L74" s="57">
        <v>99889292.88</v>
      </c>
      <c r="M74" s="55">
        <v>99889000</v>
      </c>
      <c r="N74" t="s" s="58">
        <v>119</v>
      </c>
      <c r="O74" t="s" s="59">
        <v>120</v>
      </c>
      <c r="P74" t="s" s="58">
        <v>4</v>
      </c>
      <c r="Q74" t="s" s="58">
        <v>121</v>
      </c>
      <c r="R74" t="s" s="58">
        <v>122</v>
      </c>
      <c r="S74" t="s" s="58">
        <v>123</v>
      </c>
      <c r="T74" s="60">
        <v>41871</v>
      </c>
      <c r="U74" t="s" s="58">
        <v>124</v>
      </c>
      <c r="V74" t="s" s="58">
        <v>125</v>
      </c>
      <c r="W74" t="s" s="58">
        <v>126</v>
      </c>
      <c r="X74" s="61">
        <v>30</v>
      </c>
      <c r="Y74" t="s" s="58">
        <v>10</v>
      </c>
      <c r="Z74" s="55" cm="1">
        <f t="array" ref="Z74">M74</f>
        <v>99889000</v>
      </c>
      <c r="AA74" t="s" s="58">
        <v>11</v>
      </c>
      <c r="AB74" s="60" cm="1">
        <f t="array" ref="AB74">AH74</f>
        <v>45384</v>
      </c>
      <c r="AC74" s="53"/>
      <c r="AD74" t="s" s="58">
        <v>128</v>
      </c>
      <c r="AE74" t="s" s="58">
        <v>13</v>
      </c>
      <c r="AF74" t="s" s="58">
        <v>150</v>
      </c>
      <c r="AG74" s="60">
        <v>45383</v>
      </c>
      <c r="AH74" s="60">
        <v>45384</v>
      </c>
      <c r="AI74" s="60">
        <v>45384</v>
      </c>
      <c r="AJ74" s="60">
        <v>45384</v>
      </c>
      <c r="AK74" s="60">
        <v>45384</v>
      </c>
      <c r="AL74" s="60">
        <v>45384</v>
      </c>
      <c r="AM74" s="60">
        <v>45384</v>
      </c>
      <c r="AN74" t="s" s="58">
        <v>761</v>
      </c>
      <c r="AO74" s="60" cm="1">
        <f t="array" ref="AO74">AJ74</f>
        <v>45384</v>
      </c>
      <c r="AP74" t="s" s="58">
        <v>762</v>
      </c>
      <c r="AQ74" s="60" cm="1">
        <f t="array" ref="AQ74">AJ74</f>
        <v>45384</v>
      </c>
      <c r="AR74" t="s" s="58">
        <v>763</v>
      </c>
      <c r="AS74" s="60" cm="1">
        <f t="array" ref="AS74">AJ74</f>
        <v>45384</v>
      </c>
      <c r="AT74" t="s" s="78">
        <v>764</v>
      </c>
      <c r="AU74" s="60" cm="1">
        <f t="array" ref="AU74">AJ74</f>
        <v>45384</v>
      </c>
      <c r="AV74" s="53"/>
      <c r="AW74" t="str" s="63" cm="1">
        <f t="array" ref="AW74">"600/"&amp;$B74&amp;"/"&amp;IF(AND($AE74="Konsultansi",M74&lt;=100000000),"SPK",IF(AND($AE74="Konsultansi",M74&gt;100000000),"Kont",IF(AND($AE74&lt;&gt;"Konsultansi",M74&lt;=200000000),"SPK","Kont")))&amp;"-"&amp;AE74&amp;"/PPK/DPUPR"</f>
        <v>600/51581417/SPK-Konsultansi/PPK/DPUPR</v>
      </c>
      <c r="AX74" t="str" s="63" cm="1">
        <f t="array" ref="AX74">"600/"&amp;$B74&amp;"/SPMK/PPK/DPUPR"</f>
        <v>600/51581417/SPMK/PPK/DPUPR</v>
      </c>
      <c r="AY74" s="53"/>
      <c r="AZ74" s="53"/>
      <c r="BA74" s="53"/>
      <c r="BB74" s="53"/>
      <c r="BC74" s="53"/>
      <c r="BD74" s="53"/>
      <c r="BE74" s="53"/>
      <c r="BF74" s="53"/>
      <c r="BG74" s="64">
        <v>158</v>
      </c>
      <c r="BH74" t="s" s="58">
        <v>119</v>
      </c>
      <c r="BI74" t="s" s="58">
        <v>21</v>
      </c>
      <c r="BJ74" t="s" s="58">
        <v>22</v>
      </c>
      <c r="BK74" t="s" s="58">
        <v>23</v>
      </c>
      <c r="BL74" t="s" s="58">
        <v>24</v>
      </c>
      <c r="BM74" s="53"/>
      <c r="BN74" s="53"/>
      <c r="BO74" s="53"/>
      <c r="BP74" s="53"/>
      <c r="BQ74" s="53"/>
      <c r="BR74" t="b" s="61">
        <v>0</v>
      </c>
      <c r="BS74" s="55" cm="1">
        <f t="array" ref="BS74">IF(M74&lt;=0.8*K74,5%*K74,M74*5%)</f>
        <v>4994450</v>
      </c>
      <c r="BT74" t="s" s="58">
        <v>156</v>
      </c>
      <c r="BU74" s="53"/>
      <c r="BV74" s="55" cm="1">
        <f t="array" ref="BV74">J74-M74</f>
        <v>111000</v>
      </c>
    </row>
    <row r="75" ht="36.25" customHeight="1">
      <c r="A75" s="49"/>
      <c r="B75" s="50">
        <v>51581423</v>
      </c>
      <c r="C75" t="s" s="51">
        <v>767</v>
      </c>
      <c r="D75" t="s" s="65">
        <v>149</v>
      </c>
      <c r="E75" t="str" s="66" cm="1">
        <f t="array" ref="E75">$C75</f>
        <v>Stock Design Jembatan Kabupaten Paket IV</v>
      </c>
      <c r="F75" s="67"/>
      <c r="G75" s="66"/>
      <c r="H75" s="66"/>
      <c r="I75" s="66"/>
      <c r="J75" s="68">
        <v>100000000</v>
      </c>
      <c r="K75" s="76">
        <v>99999642.95999999</v>
      </c>
      <c r="L75" s="57">
        <v>99889292.88</v>
      </c>
      <c r="M75" s="68">
        <v>99889000</v>
      </c>
      <c r="N75" t="s" s="70">
        <v>119</v>
      </c>
      <c r="O75" t="s" s="71">
        <v>120</v>
      </c>
      <c r="P75" t="s" s="70">
        <v>4</v>
      </c>
      <c r="Q75" t="s" s="70">
        <v>121</v>
      </c>
      <c r="R75" t="s" s="70">
        <v>122</v>
      </c>
      <c r="S75" t="s" s="70">
        <v>123</v>
      </c>
      <c r="T75" s="72">
        <v>41871</v>
      </c>
      <c r="U75" t="s" s="70">
        <v>124</v>
      </c>
      <c r="V75" t="s" s="70">
        <v>125</v>
      </c>
      <c r="W75" t="s" s="70">
        <v>126</v>
      </c>
      <c r="X75" s="73">
        <v>30</v>
      </c>
      <c r="Y75" t="s" s="70">
        <v>10</v>
      </c>
      <c r="Z75" s="68" cm="1">
        <f t="array" ref="Z75">M75</f>
        <v>99889000</v>
      </c>
      <c r="AA75" t="s" s="70">
        <v>11</v>
      </c>
      <c r="AB75" s="72" cm="1">
        <f t="array" ref="AB75">AH75</f>
        <v>45384</v>
      </c>
      <c r="AC75" s="66"/>
      <c r="AD75" t="s" s="70">
        <v>128</v>
      </c>
      <c r="AE75" t="s" s="70">
        <v>13</v>
      </c>
      <c r="AF75" t="s" s="70">
        <v>150</v>
      </c>
      <c r="AG75" s="72">
        <v>45383</v>
      </c>
      <c r="AH75" s="72">
        <v>45384</v>
      </c>
      <c r="AI75" s="72">
        <v>45384</v>
      </c>
      <c r="AJ75" s="72">
        <v>45384</v>
      </c>
      <c r="AK75" s="72">
        <v>45384</v>
      </c>
      <c r="AL75" s="72">
        <v>45384</v>
      </c>
      <c r="AM75" s="72">
        <v>45384</v>
      </c>
      <c r="AN75" t="s" s="70">
        <v>768</v>
      </c>
      <c r="AO75" s="72" cm="1">
        <f t="array" ref="AO75">AJ75</f>
        <v>45384</v>
      </c>
      <c r="AP75" t="s" s="70">
        <v>769</v>
      </c>
      <c r="AQ75" s="72" cm="1">
        <f t="array" ref="AQ75">AJ75</f>
        <v>45384</v>
      </c>
      <c r="AR75" t="s" s="70">
        <v>770</v>
      </c>
      <c r="AS75" s="72" cm="1">
        <f t="array" ref="AS75">AJ75</f>
        <v>45384</v>
      </c>
      <c r="AT75" t="s" s="78">
        <v>771</v>
      </c>
      <c r="AU75" s="72" cm="1">
        <f t="array" ref="AU75">AJ75</f>
        <v>45384</v>
      </c>
      <c r="AV75" s="66"/>
      <c r="AW75" t="str" s="74" cm="1">
        <f t="array" ref="AW75">"600/"&amp;$B75&amp;"/"&amp;IF(AND($AE75="Konsultansi",M75&lt;=100000000),"SPK",IF(AND($AE75="Konsultansi",M75&gt;100000000),"Kont",IF(AND($AE75&lt;&gt;"Konsultansi",M75&lt;=200000000),"SPK","Kont")))&amp;"-"&amp;AE75&amp;"/PPK/DPUPR"</f>
        <v>600/51581423/SPK-Konsultansi/PPK/DPUPR</v>
      </c>
      <c r="AX75" t="str" s="74" cm="1">
        <f t="array" ref="AX75">"600/"&amp;$B75&amp;"/SPMK/PPK/DPUPR"</f>
        <v>600/51581423/SPMK/PPK/DPUPR</v>
      </c>
      <c r="AY75" s="66"/>
      <c r="AZ75" s="66"/>
      <c r="BA75" s="66"/>
      <c r="BB75" s="66"/>
      <c r="BC75" s="66"/>
      <c r="BD75" s="66"/>
      <c r="BE75" s="66"/>
      <c r="BF75" s="66"/>
      <c r="BG75" s="75">
        <v>158</v>
      </c>
      <c r="BH75" t="s" s="70">
        <v>119</v>
      </c>
      <c r="BI75" t="s" s="70">
        <v>21</v>
      </c>
      <c r="BJ75" t="s" s="70">
        <v>22</v>
      </c>
      <c r="BK75" t="s" s="70">
        <v>23</v>
      </c>
      <c r="BL75" t="s" s="70">
        <v>24</v>
      </c>
      <c r="BM75" s="66"/>
      <c r="BN75" s="66"/>
      <c r="BO75" s="66"/>
      <c r="BP75" s="66"/>
      <c r="BQ75" s="66"/>
      <c r="BR75" t="b" s="73">
        <v>0</v>
      </c>
      <c r="BS75" s="68" cm="1">
        <f t="array" ref="BS75">IF(M75&lt;=0.8*K75,5%*K75,M75*5%)</f>
        <v>4994450</v>
      </c>
      <c r="BT75" t="s" s="70">
        <v>156</v>
      </c>
      <c r="BU75" s="66"/>
      <c r="BV75" s="68" cm="1">
        <f t="array" ref="BV75">J75-M75</f>
        <v>111000</v>
      </c>
    </row>
    <row r="76" ht="36.25" customHeight="1">
      <c r="A76" s="49"/>
      <c r="B76" s="50">
        <v>51024146</v>
      </c>
      <c r="C76" t="s" s="51">
        <v>774</v>
      </c>
      <c r="D76" t="s" s="52">
        <v>149</v>
      </c>
      <c r="E76" t="str" s="53" cm="1">
        <f t="array" ref="E76">$C76</f>
        <v>Pemb. Box Culvert Malei</v>
      </c>
      <c r="F76" s="54"/>
      <c r="G76" s="53"/>
      <c r="H76" s="53"/>
      <c r="I76" s="53"/>
      <c r="J76" s="55">
        <v>130000000</v>
      </c>
      <c r="K76" s="77">
        <v>129710820.45</v>
      </c>
      <c r="L76" s="57">
        <v>129556603.16</v>
      </c>
      <c r="M76" s="55">
        <v>129556000</v>
      </c>
      <c r="N76" t="s" s="58">
        <v>307</v>
      </c>
      <c r="O76" t="s" s="59">
        <v>308</v>
      </c>
      <c r="P76" t="s" s="58">
        <v>4</v>
      </c>
      <c r="Q76" t="s" s="58">
        <v>309</v>
      </c>
      <c r="R76" t="s" s="58">
        <v>310</v>
      </c>
      <c r="S76" s="61">
        <v>42</v>
      </c>
      <c r="T76" s="60">
        <v>44404</v>
      </c>
      <c r="U76" t="s" s="58">
        <v>296</v>
      </c>
      <c r="V76" t="s" s="58">
        <v>311</v>
      </c>
      <c r="W76" t="s" s="58">
        <v>312</v>
      </c>
      <c r="X76" s="61">
        <v>90</v>
      </c>
      <c r="Y76" t="s" s="58">
        <v>10</v>
      </c>
      <c r="Z76" s="55" cm="1">
        <f t="array" ref="Z76">M76</f>
        <v>129556000</v>
      </c>
      <c r="AA76" t="s" s="58">
        <v>11</v>
      </c>
      <c r="AB76" s="60" cm="1">
        <f t="array" ref="AB76">AH76</f>
        <v>45384</v>
      </c>
      <c r="AC76" s="53"/>
      <c r="AD76" t="s" s="58">
        <v>109</v>
      </c>
      <c r="AE76" t="s" s="58">
        <v>110</v>
      </c>
      <c r="AF76" t="s" s="58">
        <v>150</v>
      </c>
      <c r="AG76" s="60">
        <v>45383</v>
      </c>
      <c r="AH76" s="60">
        <v>45384</v>
      </c>
      <c r="AI76" s="60">
        <v>45384</v>
      </c>
      <c r="AJ76" s="60">
        <v>45384</v>
      </c>
      <c r="AK76" s="60">
        <v>45384</v>
      </c>
      <c r="AL76" s="60">
        <v>45384</v>
      </c>
      <c r="AM76" s="60">
        <v>45384</v>
      </c>
      <c r="AN76" t="s" s="58">
        <v>775</v>
      </c>
      <c r="AO76" s="60" cm="1">
        <f t="array" ref="AO76">AJ76</f>
        <v>45384</v>
      </c>
      <c r="AP76" t="s" s="58">
        <v>776</v>
      </c>
      <c r="AQ76" s="60" cm="1">
        <f t="array" ref="AQ76">AJ76</f>
        <v>45384</v>
      </c>
      <c r="AR76" t="s" s="58">
        <v>777</v>
      </c>
      <c r="AS76" s="60" cm="1">
        <f t="array" ref="AS76">AJ76</f>
        <v>45384</v>
      </c>
      <c r="AT76" t="s" s="78">
        <v>778</v>
      </c>
      <c r="AU76" s="60" cm="1">
        <f t="array" ref="AU76">AJ76</f>
        <v>45384</v>
      </c>
      <c r="AV76" s="53"/>
      <c r="AW76" t="str" s="63" cm="1">
        <f t="array" ref="AW76">"600/"&amp;$B76&amp;"/"&amp;IF(AND($AE76="Konsultansi",M76&lt;=100000000),"SPK",IF(AND($AE76="Konsultansi",M76&gt;100000000),"Kont",IF(AND($AE76&lt;&gt;"Konsultansi",M76&lt;=200000000),"SPK","Kont")))&amp;"-"&amp;AE76&amp;"/PPK/DPUPR"</f>
        <v>600/51024146/SPK-Konstruksi/PPK/DPUPR</v>
      </c>
      <c r="AX76" t="str" s="63" cm="1">
        <f t="array" ref="AX76">"600/"&amp;$B76&amp;"/SPMK/PPK/DPUPR"</f>
        <v>600/51024146/SPMK/PPK/DPUPR</v>
      </c>
      <c r="AY76" s="53"/>
      <c r="AZ76" s="53"/>
      <c r="BA76" s="53"/>
      <c r="BB76" s="53"/>
      <c r="BC76" s="53"/>
      <c r="BD76" s="53"/>
      <c r="BE76" s="53"/>
      <c r="BF76" s="53"/>
      <c r="BG76" s="64">
        <v>22</v>
      </c>
      <c r="BH76" t="s" s="58">
        <v>307</v>
      </c>
      <c r="BI76" t="s" s="58">
        <v>21</v>
      </c>
      <c r="BJ76" t="s" s="58">
        <v>22</v>
      </c>
      <c r="BK76" t="s" s="58">
        <v>23</v>
      </c>
      <c r="BL76" t="s" s="58">
        <v>24</v>
      </c>
      <c r="BM76" s="53"/>
      <c r="BN76" s="53"/>
      <c r="BO76" s="53"/>
      <c r="BP76" s="53"/>
      <c r="BQ76" s="53"/>
      <c r="BR76" t="b" s="61">
        <v>0</v>
      </c>
      <c r="BS76" s="55" cm="1">
        <f t="array" ref="BS76">IF(M76&lt;=0.8*K76,5%*K76,M76*5%)</f>
        <v>6477800</v>
      </c>
      <c r="BT76" t="s" s="58">
        <v>156</v>
      </c>
      <c r="BU76" s="53"/>
      <c r="BV76" s="55" cm="1">
        <f t="array" ref="BV76">J76-M76</f>
        <v>444000</v>
      </c>
    </row>
    <row r="77" ht="36.25" customHeight="1">
      <c r="A77" s="49"/>
      <c r="B77" s="50">
        <v>51023923</v>
      </c>
      <c r="C77" t="s" s="51">
        <v>781</v>
      </c>
      <c r="D77" t="s" s="65">
        <v>149</v>
      </c>
      <c r="E77" t="str" s="66" cm="1">
        <f t="array" ref="E77">$C77</f>
        <v>Pemb. Box Culvert Kastabuana</v>
      </c>
      <c r="F77" s="67"/>
      <c r="G77" s="66"/>
      <c r="H77" s="66"/>
      <c r="I77" s="66"/>
      <c r="J77" s="68">
        <v>130000000</v>
      </c>
      <c r="K77" s="76">
        <v>129729360.84</v>
      </c>
      <c r="L77" s="57">
        <v>129537539.18</v>
      </c>
      <c r="M77" s="68">
        <v>129537000</v>
      </c>
      <c r="N77" t="s" s="70">
        <v>292</v>
      </c>
      <c r="O77" t="s" s="71">
        <v>293</v>
      </c>
      <c r="P77" t="s" s="70">
        <v>4</v>
      </c>
      <c r="Q77" t="s" s="70">
        <v>294</v>
      </c>
      <c r="R77" t="s" s="70">
        <v>295</v>
      </c>
      <c r="S77" s="73">
        <v>11</v>
      </c>
      <c r="T77" s="82">
        <v>42508</v>
      </c>
      <c r="U77" t="s" s="70">
        <v>296</v>
      </c>
      <c r="V77" t="s" s="70">
        <v>297</v>
      </c>
      <c r="W77" t="s" s="70">
        <v>298</v>
      </c>
      <c r="X77" s="73">
        <v>90</v>
      </c>
      <c r="Y77" t="s" s="70">
        <v>10</v>
      </c>
      <c r="Z77" s="68" cm="1">
        <f t="array" ref="Z77">M77</f>
        <v>129537000</v>
      </c>
      <c r="AA77" t="s" s="70">
        <v>11</v>
      </c>
      <c r="AB77" s="72" cm="1">
        <f t="array" ref="AB77">AH77</f>
        <v>45384</v>
      </c>
      <c r="AC77" s="66"/>
      <c r="AD77" t="s" s="70">
        <v>109</v>
      </c>
      <c r="AE77" t="s" s="70">
        <v>110</v>
      </c>
      <c r="AF77" t="s" s="70">
        <v>150</v>
      </c>
      <c r="AG77" s="72">
        <v>45383</v>
      </c>
      <c r="AH77" s="72">
        <v>45384</v>
      </c>
      <c r="AI77" s="72">
        <v>45384</v>
      </c>
      <c r="AJ77" s="72">
        <v>45384</v>
      </c>
      <c r="AK77" s="72">
        <v>45384</v>
      </c>
      <c r="AL77" s="72">
        <v>45384</v>
      </c>
      <c r="AM77" s="72">
        <v>45384</v>
      </c>
      <c r="AN77" t="s" s="70">
        <v>782</v>
      </c>
      <c r="AO77" s="72" cm="1">
        <f t="array" ref="AO77">AJ77</f>
        <v>45384</v>
      </c>
      <c r="AP77" t="s" s="70">
        <v>783</v>
      </c>
      <c r="AQ77" s="72" cm="1">
        <f t="array" ref="AQ77">AJ77</f>
        <v>45384</v>
      </c>
      <c r="AR77" t="s" s="70">
        <v>784</v>
      </c>
      <c r="AS77" s="72" cm="1">
        <f t="array" ref="AS77">AJ77</f>
        <v>45384</v>
      </c>
      <c r="AT77" t="s" s="78">
        <v>785</v>
      </c>
      <c r="AU77" s="72" cm="1">
        <f t="array" ref="AU77">AJ77</f>
        <v>45384</v>
      </c>
      <c r="AV77" s="66"/>
      <c r="AW77" t="str" s="74" cm="1">
        <f t="array" ref="AW77">"600/"&amp;$B77&amp;"/"&amp;IF(AND($AE77="Konsultansi",M77&lt;=100000000),"SPK",IF(AND($AE77="Konsultansi",M77&gt;100000000),"Kont",IF(AND($AE77&lt;&gt;"Konsultansi",M77&lt;=200000000),"SPK","Kont")))&amp;"-"&amp;AE77&amp;"/PPK/DPUPR"</f>
        <v>600/51023923/SPK-Konstruksi/PPK/DPUPR</v>
      </c>
      <c r="AX77" t="str" s="74" cm="1">
        <f t="array" ref="AX77">"600/"&amp;$B77&amp;"/SPMK/PPK/DPUPR"</f>
        <v>600/51023923/SPMK/PPK/DPUPR</v>
      </c>
      <c r="AY77" s="66"/>
      <c r="AZ77" s="66"/>
      <c r="BA77" s="66"/>
      <c r="BB77" s="66"/>
      <c r="BC77" s="66"/>
      <c r="BD77" s="66"/>
      <c r="BE77" s="66"/>
      <c r="BF77" s="66"/>
      <c r="BG77" s="75">
        <v>72</v>
      </c>
      <c r="BH77" t="s" s="70">
        <v>292</v>
      </c>
      <c r="BI77" t="s" s="70">
        <v>21</v>
      </c>
      <c r="BJ77" t="s" s="70">
        <v>22</v>
      </c>
      <c r="BK77" t="s" s="70">
        <v>23</v>
      </c>
      <c r="BL77" t="s" s="70">
        <v>24</v>
      </c>
      <c r="BM77" s="66"/>
      <c r="BN77" s="66"/>
      <c r="BO77" s="66"/>
      <c r="BP77" s="66"/>
      <c r="BQ77" s="66"/>
      <c r="BR77" t="b" s="73">
        <v>0</v>
      </c>
      <c r="BS77" s="68" cm="1">
        <f t="array" ref="BS77">IF(M77&lt;=0.8*K77,5%*K77,M77*5%)</f>
        <v>6476850</v>
      </c>
      <c r="BT77" t="s" s="70">
        <v>156</v>
      </c>
      <c r="BU77" s="66"/>
      <c r="BV77" s="68" cm="1">
        <f t="array" ref="BV77">J77-M77</f>
        <v>463000</v>
      </c>
    </row>
    <row r="78" ht="36.25" customHeight="1">
      <c r="A78" s="49"/>
      <c r="B78" s="50">
        <v>51091700</v>
      </c>
      <c r="C78" t="s" s="51">
        <v>788</v>
      </c>
      <c r="D78" t="s" s="52">
        <v>149</v>
      </c>
      <c r="E78" t="str" s="53" cm="1">
        <f t="array" ref="E78">$C78</f>
        <v>Pemb. Jembatan Gantung Dsn. Bengko Desa Motu (lanjutan)</v>
      </c>
      <c r="F78" s="54"/>
      <c r="G78" s="53"/>
      <c r="H78" s="53"/>
      <c r="I78" s="53"/>
      <c r="J78" s="55">
        <v>200000000</v>
      </c>
      <c r="K78" s="55">
        <v>199998597</v>
      </c>
      <c r="L78" s="57">
        <v>199870380.5</v>
      </c>
      <c r="M78" s="55">
        <v>199870000</v>
      </c>
      <c r="N78" t="s" s="58">
        <v>307</v>
      </c>
      <c r="O78" t="s" s="59">
        <v>308</v>
      </c>
      <c r="P78" t="s" s="58">
        <v>4</v>
      </c>
      <c r="Q78" t="s" s="58">
        <v>309</v>
      </c>
      <c r="R78" t="s" s="58">
        <v>310</v>
      </c>
      <c r="S78" s="61">
        <v>42</v>
      </c>
      <c r="T78" s="60">
        <v>44404</v>
      </c>
      <c r="U78" t="s" s="58">
        <v>296</v>
      </c>
      <c r="V78" t="s" s="58">
        <v>311</v>
      </c>
      <c r="W78" t="s" s="58">
        <v>312</v>
      </c>
      <c r="X78" s="61">
        <v>90</v>
      </c>
      <c r="Y78" t="s" s="58">
        <v>10</v>
      </c>
      <c r="Z78" s="55" cm="1">
        <f t="array" ref="Z78">M78</f>
        <v>199870000</v>
      </c>
      <c r="AA78" t="s" s="58">
        <v>11</v>
      </c>
      <c r="AB78" s="60" cm="1">
        <f t="array" ref="AB78">AH78</f>
        <v>45384</v>
      </c>
      <c r="AC78" s="53"/>
      <c r="AD78" t="s" s="58">
        <v>109</v>
      </c>
      <c r="AE78" t="s" s="58">
        <v>110</v>
      </c>
      <c r="AF78" t="s" s="58">
        <v>150</v>
      </c>
      <c r="AG78" s="60">
        <v>45383</v>
      </c>
      <c r="AH78" s="60">
        <v>45384</v>
      </c>
      <c r="AI78" s="60">
        <v>45384</v>
      </c>
      <c r="AJ78" s="60">
        <v>45384</v>
      </c>
      <c r="AK78" s="60">
        <v>45384</v>
      </c>
      <c r="AL78" s="60">
        <v>45384</v>
      </c>
      <c r="AM78" s="60">
        <v>45384</v>
      </c>
      <c r="AN78" t="s" s="58">
        <v>789</v>
      </c>
      <c r="AO78" s="60" cm="1">
        <f t="array" ref="AO78">AJ78</f>
        <v>45384</v>
      </c>
      <c r="AP78" t="s" s="58">
        <v>790</v>
      </c>
      <c r="AQ78" s="60" cm="1">
        <f t="array" ref="AQ78">AJ78</f>
        <v>45384</v>
      </c>
      <c r="AR78" t="s" s="58">
        <v>791</v>
      </c>
      <c r="AS78" s="60" cm="1">
        <f t="array" ref="AS78">AJ78</f>
        <v>45384</v>
      </c>
      <c r="AT78" t="s" s="78">
        <v>792</v>
      </c>
      <c r="AU78" s="60" cm="1">
        <f t="array" ref="AU78">AJ78</f>
        <v>45384</v>
      </c>
      <c r="AV78" s="53"/>
      <c r="AW78" t="str" s="63" cm="1">
        <f t="array" ref="AW78">"600/"&amp;$B78&amp;"/"&amp;IF(AND($AE78="Konsultansi",M78&lt;=100000000),"SPK",IF(AND($AE78="Konsultansi",M78&gt;100000000),"Kont",IF(AND($AE78&lt;&gt;"Konsultansi",M78&lt;=200000000),"SPK","Kont")))&amp;"-"&amp;AE78&amp;"/PPK/DPUPR"</f>
        <v>600/51091700/SPK-Konstruksi/PPK/DPUPR</v>
      </c>
      <c r="AX78" t="str" s="63" cm="1">
        <f t="array" ref="AX78">"600/"&amp;$B78&amp;"/SPMK/PPK/DPUPR"</f>
        <v>600/51091700/SPMK/PPK/DPUPR</v>
      </c>
      <c r="AY78" s="53"/>
      <c r="AZ78" s="53"/>
      <c r="BA78" s="53"/>
      <c r="BB78" s="53"/>
      <c r="BC78" s="53"/>
      <c r="BD78" s="53"/>
      <c r="BE78" s="53"/>
      <c r="BF78" s="53"/>
      <c r="BG78" s="64">
        <v>22</v>
      </c>
      <c r="BH78" t="s" s="58">
        <v>307</v>
      </c>
      <c r="BI78" t="s" s="58">
        <v>21</v>
      </c>
      <c r="BJ78" t="s" s="58">
        <v>22</v>
      </c>
      <c r="BK78" t="s" s="58">
        <v>23</v>
      </c>
      <c r="BL78" t="s" s="58">
        <v>24</v>
      </c>
      <c r="BM78" s="53"/>
      <c r="BN78" s="53"/>
      <c r="BO78" s="53"/>
      <c r="BP78" s="53"/>
      <c r="BQ78" s="53"/>
      <c r="BR78" t="b" s="61">
        <v>0</v>
      </c>
      <c r="BS78" s="55" cm="1">
        <f t="array" ref="BS78">IF(M78&lt;=0.8*K78,5%*K78,M78*5%)</f>
        <v>9993500</v>
      </c>
      <c r="BT78" t="s" s="58">
        <v>156</v>
      </c>
      <c r="BU78" s="53"/>
      <c r="BV78" s="55" cm="1">
        <f t="array" ref="BV78">J78-M78</f>
        <v>130000</v>
      </c>
    </row>
    <row r="79" ht="36.25" customHeight="1">
      <c r="A79" s="49"/>
      <c r="B79" s="50">
        <v>51023355</v>
      </c>
      <c r="C79" t="s" s="51">
        <v>795</v>
      </c>
      <c r="D79" t="s" s="65">
        <v>149</v>
      </c>
      <c r="E79" t="str" s="66" cm="1">
        <f t="array" ref="E79">$C79</f>
        <v>Pemb. Box Culvert Doda</v>
      </c>
      <c r="F79" s="67"/>
      <c r="G79" s="66"/>
      <c r="H79" s="66"/>
      <c r="I79" s="66"/>
      <c r="J79" s="68">
        <v>100000000</v>
      </c>
      <c r="K79" s="76">
        <v>99861182.48999999</v>
      </c>
      <c r="L79" s="57">
        <v>99715510.81999999</v>
      </c>
      <c r="M79" s="68">
        <v>99715000</v>
      </c>
      <c r="N79" t="s" s="70">
        <v>276</v>
      </c>
      <c r="O79" t="s" s="71">
        <v>277</v>
      </c>
      <c r="P79" t="s" s="70">
        <v>4</v>
      </c>
      <c r="Q79" t="s" s="70">
        <v>278</v>
      </c>
      <c r="R79" t="s" s="70">
        <v>279</v>
      </c>
      <c r="S79" t="s" s="70">
        <v>280</v>
      </c>
      <c r="T79" s="72">
        <v>40634</v>
      </c>
      <c r="U79" t="s" s="70">
        <v>281</v>
      </c>
      <c r="V79" t="s" s="70">
        <v>282</v>
      </c>
      <c r="W79" t="s" s="70">
        <v>283</v>
      </c>
      <c r="X79" s="73">
        <v>90</v>
      </c>
      <c r="Y79" t="s" s="70">
        <v>10</v>
      </c>
      <c r="Z79" s="68" cm="1">
        <f t="array" ref="Z79">M79</f>
        <v>99715000</v>
      </c>
      <c r="AA79" t="s" s="70">
        <v>11</v>
      </c>
      <c r="AB79" s="72" cm="1">
        <f t="array" ref="AB79">AH79</f>
        <v>45384</v>
      </c>
      <c r="AC79" s="66"/>
      <c r="AD79" t="s" s="70">
        <v>109</v>
      </c>
      <c r="AE79" t="s" s="70">
        <v>110</v>
      </c>
      <c r="AF79" t="s" s="70">
        <v>150</v>
      </c>
      <c r="AG79" s="72">
        <v>45383</v>
      </c>
      <c r="AH79" s="72">
        <v>45384</v>
      </c>
      <c r="AI79" s="72">
        <v>45384</v>
      </c>
      <c r="AJ79" s="72">
        <v>45384</v>
      </c>
      <c r="AK79" s="72">
        <v>45384</v>
      </c>
      <c r="AL79" s="72">
        <v>45384</v>
      </c>
      <c r="AM79" s="72">
        <v>45384</v>
      </c>
      <c r="AN79" t="s" s="70">
        <v>796</v>
      </c>
      <c r="AO79" s="72" cm="1">
        <f t="array" ref="AO79">AJ79</f>
        <v>45384</v>
      </c>
      <c r="AP79" t="s" s="70">
        <v>797</v>
      </c>
      <c r="AQ79" s="72" cm="1">
        <f t="array" ref="AQ79">AJ79</f>
        <v>45384</v>
      </c>
      <c r="AR79" t="s" s="70">
        <v>798</v>
      </c>
      <c r="AS79" s="72" cm="1">
        <f t="array" ref="AS79">AJ79</f>
        <v>45384</v>
      </c>
      <c r="AT79" t="s" s="78">
        <v>799</v>
      </c>
      <c r="AU79" s="72" cm="1">
        <f t="array" ref="AU79">AJ79</f>
        <v>45384</v>
      </c>
      <c r="AV79" s="66"/>
      <c r="AW79" t="str" s="74" cm="1">
        <f t="array" ref="AW79">"600/"&amp;$B79&amp;"/"&amp;IF(AND($AE79="Konsultansi",M79&lt;=100000000),"SPK",IF(AND($AE79="Konsultansi",M79&gt;100000000),"Kont",IF(AND($AE79&lt;&gt;"Konsultansi",M79&lt;=200000000),"SPK","Kont")))&amp;"-"&amp;AE79&amp;"/PPK/DPUPR"</f>
        <v>600/51023355/SPK-Konstruksi/PPK/DPUPR</v>
      </c>
      <c r="AX79" t="str" s="74" cm="1">
        <f t="array" ref="AX79">"600/"&amp;$B79&amp;"/SPMK/PPK/DPUPR"</f>
        <v>600/51023355/SPMK/PPK/DPUPR</v>
      </c>
      <c r="AY79" s="66"/>
      <c r="AZ79" s="66"/>
      <c r="BA79" s="66"/>
      <c r="BB79" s="66"/>
      <c r="BC79" s="66"/>
      <c r="BD79" s="66"/>
      <c r="BE79" s="66"/>
      <c r="BF79" s="66"/>
      <c r="BG79" s="75">
        <v>19</v>
      </c>
      <c r="BH79" t="s" s="70">
        <v>276</v>
      </c>
      <c r="BI79" t="s" s="70">
        <v>21</v>
      </c>
      <c r="BJ79" t="s" s="70">
        <v>22</v>
      </c>
      <c r="BK79" t="s" s="70">
        <v>23</v>
      </c>
      <c r="BL79" t="s" s="70">
        <v>24</v>
      </c>
      <c r="BM79" s="66"/>
      <c r="BN79" s="66"/>
      <c r="BO79" s="66"/>
      <c r="BP79" s="66"/>
      <c r="BQ79" s="66"/>
      <c r="BR79" t="b" s="73">
        <v>0</v>
      </c>
      <c r="BS79" s="68" cm="1">
        <f t="array" ref="BS79">IF(M79&lt;=0.8*K79,5%*K79,M79*5%)</f>
        <v>4985750</v>
      </c>
      <c r="BT79" t="s" s="70">
        <v>156</v>
      </c>
      <c r="BU79" s="66"/>
      <c r="BV79" s="68" cm="1">
        <f t="array" ref="BV79">J79-M79</f>
        <v>285000</v>
      </c>
    </row>
    <row r="80" ht="36.25" customHeight="1">
      <c r="A80" s="49"/>
      <c r="B80" s="50">
        <v>51024298</v>
      </c>
      <c r="C80" t="s" s="51">
        <v>802</v>
      </c>
      <c r="D80" t="s" s="52">
        <v>149</v>
      </c>
      <c r="E80" t="str" s="53" cm="1">
        <f t="array" ref="E80">$C80</f>
        <v>Pemb. Box Culvert Pangiang</v>
      </c>
      <c r="F80" s="54"/>
      <c r="G80" s="53"/>
      <c r="H80" s="53"/>
      <c r="I80" s="53"/>
      <c r="J80" s="55">
        <v>75000000</v>
      </c>
      <c r="K80" s="77">
        <v>74950468.76000001</v>
      </c>
      <c r="L80" s="57">
        <v>74785362.84</v>
      </c>
      <c r="M80" s="55">
        <v>74785000</v>
      </c>
      <c r="N80" t="s" s="58">
        <v>321</v>
      </c>
      <c r="O80" t="s" s="59">
        <v>322</v>
      </c>
      <c r="P80" t="s" s="58">
        <v>4</v>
      </c>
      <c r="Q80" t="s" s="58">
        <v>323</v>
      </c>
      <c r="R80" t="s" s="58">
        <v>279</v>
      </c>
      <c r="S80" t="s" s="58">
        <v>324</v>
      </c>
      <c r="T80" s="83">
        <v>43979</v>
      </c>
      <c r="U80" t="s" s="58">
        <v>124</v>
      </c>
      <c r="V80" t="s" s="58">
        <v>325</v>
      </c>
      <c r="W80" t="s" s="58">
        <v>326</v>
      </c>
      <c r="X80" s="61">
        <v>90</v>
      </c>
      <c r="Y80" t="s" s="58">
        <v>10</v>
      </c>
      <c r="Z80" s="55" cm="1">
        <f t="array" ref="Z80">M80</f>
        <v>74785000</v>
      </c>
      <c r="AA80" t="s" s="58">
        <v>11</v>
      </c>
      <c r="AB80" s="60" cm="1">
        <f t="array" ref="AB80">AH80</f>
        <v>45384</v>
      </c>
      <c r="AC80" s="53"/>
      <c r="AD80" t="s" s="58">
        <v>109</v>
      </c>
      <c r="AE80" t="s" s="58">
        <v>110</v>
      </c>
      <c r="AF80" t="s" s="58">
        <v>150</v>
      </c>
      <c r="AG80" s="60">
        <v>45383</v>
      </c>
      <c r="AH80" s="60">
        <v>45384</v>
      </c>
      <c r="AI80" s="60">
        <v>45384</v>
      </c>
      <c r="AJ80" s="60">
        <v>45384</v>
      </c>
      <c r="AK80" s="60">
        <v>45384</v>
      </c>
      <c r="AL80" s="60">
        <v>45384</v>
      </c>
      <c r="AM80" s="60">
        <v>45384</v>
      </c>
      <c r="AN80" t="s" s="58">
        <v>803</v>
      </c>
      <c r="AO80" s="60" cm="1">
        <f t="array" ref="AO80">AJ80</f>
        <v>45384</v>
      </c>
      <c r="AP80" t="s" s="58">
        <v>804</v>
      </c>
      <c r="AQ80" s="60" cm="1">
        <f t="array" ref="AQ80">AJ80</f>
        <v>45384</v>
      </c>
      <c r="AR80" t="s" s="58">
        <v>805</v>
      </c>
      <c r="AS80" s="60" cm="1">
        <f t="array" ref="AS80">AJ80</f>
        <v>45384</v>
      </c>
      <c r="AT80" t="s" s="78">
        <v>806</v>
      </c>
      <c r="AU80" s="60" cm="1">
        <f t="array" ref="AU80">AJ80</f>
        <v>45384</v>
      </c>
      <c r="AV80" s="53"/>
      <c r="AW80" t="str" s="63" cm="1">
        <f t="array" ref="AW80">"600/"&amp;$B80&amp;"/"&amp;IF(AND($AE80="Konsultansi",M80&lt;=100000000),"SPK",IF(AND($AE80="Konsultansi",M80&gt;100000000),"Kont",IF(AND($AE80&lt;&gt;"Konsultansi",M80&lt;=200000000),"SPK","Kont")))&amp;"-"&amp;AE80&amp;"/PPK/DPUPR"</f>
        <v>600/51024298/SPK-Konstruksi/PPK/DPUPR</v>
      </c>
      <c r="AX80" t="str" s="63" cm="1">
        <f t="array" ref="AX80">"600/"&amp;$B80&amp;"/SPMK/PPK/DPUPR"</f>
        <v>600/51024298/SPMK/PPK/DPUPR</v>
      </c>
      <c r="AY80" s="53"/>
      <c r="AZ80" s="53"/>
      <c r="BA80" s="53"/>
      <c r="BB80" s="53"/>
      <c r="BC80" s="53"/>
      <c r="BD80" s="53"/>
      <c r="BE80" s="53"/>
      <c r="BF80" s="53"/>
      <c r="BG80" s="64">
        <v>15</v>
      </c>
      <c r="BH80" t="s" s="58">
        <v>321</v>
      </c>
      <c r="BI80" t="s" s="58">
        <v>21</v>
      </c>
      <c r="BJ80" t="s" s="58">
        <v>22</v>
      </c>
      <c r="BK80" t="s" s="58">
        <v>23</v>
      </c>
      <c r="BL80" t="s" s="58">
        <v>24</v>
      </c>
      <c r="BM80" s="53"/>
      <c r="BN80" s="53"/>
      <c r="BO80" s="53"/>
      <c r="BP80" s="53"/>
      <c r="BQ80" s="53"/>
      <c r="BR80" t="b" s="61">
        <v>0</v>
      </c>
      <c r="BS80" s="55" cm="1">
        <f t="array" ref="BS80">IF(M80&lt;=0.8*K80,5%*K80,M80*5%)</f>
        <v>3739250</v>
      </c>
      <c r="BT80" t="s" s="58">
        <v>156</v>
      </c>
      <c r="BU80" s="53"/>
      <c r="BV80" s="55" cm="1">
        <f t="array" ref="BV80">J80-M80</f>
        <v>215000</v>
      </c>
    </row>
    <row r="81" ht="36.25" customHeight="1">
      <c r="A81" s="49"/>
      <c r="B81" s="50">
        <v>49975119</v>
      </c>
      <c r="C81" t="s" s="51">
        <v>809</v>
      </c>
      <c r="D81" t="s" s="65">
        <v>810</v>
      </c>
      <c r="E81" t="str" s="66" cm="1">
        <f t="array" ref="E81">$C81</f>
        <v>Pemb. Saluran Drainase Desa Malei</v>
      </c>
      <c r="F81" s="67"/>
      <c r="G81" s="66"/>
      <c r="H81" s="66"/>
      <c r="I81" s="66"/>
      <c r="J81" s="68">
        <v>100000000</v>
      </c>
      <c r="K81" s="69">
        <v>99973886.2</v>
      </c>
      <c r="L81" s="57">
        <v>99555673.28</v>
      </c>
      <c r="M81" s="68">
        <v>99550000</v>
      </c>
      <c r="N81" t="s" s="70">
        <v>276</v>
      </c>
      <c r="O81" t="s" s="71">
        <v>277</v>
      </c>
      <c r="P81" t="s" s="70">
        <v>4</v>
      </c>
      <c r="Q81" t="s" s="70">
        <v>278</v>
      </c>
      <c r="R81" t="s" s="70">
        <v>279</v>
      </c>
      <c r="S81" t="s" s="70">
        <v>280</v>
      </c>
      <c r="T81" s="72">
        <v>40634</v>
      </c>
      <c r="U81" t="s" s="70">
        <v>281</v>
      </c>
      <c r="V81" t="s" s="70">
        <v>282</v>
      </c>
      <c r="W81" t="s" s="70">
        <v>283</v>
      </c>
      <c r="X81" s="73">
        <v>90</v>
      </c>
      <c r="Y81" t="s" s="70">
        <v>10</v>
      </c>
      <c r="Z81" s="68" cm="1">
        <f t="array" ref="Z81">M81</f>
        <v>99550000</v>
      </c>
      <c r="AA81" t="s" s="70">
        <v>11</v>
      </c>
      <c r="AB81" s="72" cm="1">
        <f t="array" ref="AB81">AH81</f>
        <v>45384</v>
      </c>
      <c r="AC81" s="66"/>
      <c r="AD81" t="s" s="70">
        <v>109</v>
      </c>
      <c r="AE81" t="s" s="70">
        <v>110</v>
      </c>
      <c r="AF81" t="s" s="70">
        <v>811</v>
      </c>
      <c r="AG81" s="72">
        <v>45383</v>
      </c>
      <c r="AH81" s="72">
        <v>45384</v>
      </c>
      <c r="AI81" s="72">
        <v>45384</v>
      </c>
      <c r="AJ81" s="72">
        <v>45384</v>
      </c>
      <c r="AK81" s="72">
        <v>45384</v>
      </c>
      <c r="AL81" s="72">
        <v>45384</v>
      </c>
      <c r="AM81" s="72">
        <v>45384</v>
      </c>
      <c r="AN81" t="s" s="70">
        <v>812</v>
      </c>
      <c r="AO81" s="72" cm="1">
        <f t="array" ref="AO81">AJ81</f>
        <v>45384</v>
      </c>
      <c r="AP81" t="s" s="70">
        <v>813</v>
      </c>
      <c r="AQ81" s="72" cm="1">
        <f t="array" ref="AQ81">AJ81</f>
        <v>45384</v>
      </c>
      <c r="AR81" t="s" s="70">
        <v>814</v>
      </c>
      <c r="AS81" s="72" cm="1">
        <f t="array" ref="AS81">AJ81</f>
        <v>45384</v>
      </c>
      <c r="AT81" t="s" s="78">
        <v>815</v>
      </c>
      <c r="AU81" s="72" cm="1">
        <f t="array" ref="AU81">AJ81</f>
        <v>45384</v>
      </c>
      <c r="AV81" s="66"/>
      <c r="AW81" t="str" s="74" cm="1">
        <f t="array" ref="AW81">"600/"&amp;$B81&amp;"/"&amp;IF(AND($AE81="Konsultansi",M81&lt;=100000000),"SPK",IF(AND($AE81="Konsultansi",M81&gt;100000000),"Kont",IF(AND($AE81&lt;&gt;"Konsultansi",M81&lt;=200000000),"SPK","Kont")))&amp;"-"&amp;AE81&amp;"/PPK/DPUPR"</f>
        <v>600/49975119/SPK-Konstruksi/PPK/DPUPR</v>
      </c>
      <c r="AX81" t="str" s="74" cm="1">
        <f t="array" ref="AX81">"600/"&amp;$B81&amp;"/SPMK/PPK/DPUPR"</f>
        <v>600/49975119/SPMK/PPK/DPUPR</v>
      </c>
      <c r="AY81" s="66"/>
      <c r="AZ81" s="66"/>
      <c r="BA81" s="66"/>
      <c r="BB81" s="66"/>
      <c r="BC81" s="66"/>
      <c r="BD81" s="66"/>
      <c r="BE81" s="66"/>
      <c r="BF81" s="66"/>
      <c r="BG81" s="75">
        <v>19</v>
      </c>
      <c r="BH81" t="s" s="70">
        <v>276</v>
      </c>
      <c r="BI81" t="s" s="70">
        <v>21</v>
      </c>
      <c r="BJ81" t="s" s="70">
        <v>22</v>
      </c>
      <c r="BK81" t="s" s="70">
        <v>23</v>
      </c>
      <c r="BL81" t="s" s="70">
        <v>24</v>
      </c>
      <c r="BM81" s="66"/>
      <c r="BN81" s="66"/>
      <c r="BO81" s="66"/>
      <c r="BP81" s="66"/>
      <c r="BQ81" s="66"/>
      <c r="BR81" t="b" s="73">
        <v>0</v>
      </c>
      <c r="BS81" s="68" cm="1">
        <f t="array" ref="BS81">IF(M81&lt;=0.8*K81,5%*K81,M81*5%)</f>
        <v>4977500</v>
      </c>
      <c r="BT81" t="s" s="70">
        <v>173</v>
      </c>
      <c r="BU81" s="66"/>
      <c r="BV81" s="68" cm="1">
        <f t="array" ref="BV81">J81-M81</f>
        <v>450000</v>
      </c>
    </row>
    <row r="82" ht="84.25" customHeight="1">
      <c r="A82" s="49"/>
      <c r="B82" s="50">
        <v>49981901</v>
      </c>
      <c r="C82" t="s" s="51">
        <v>818</v>
      </c>
      <c r="D82" t="s" s="52">
        <v>819</v>
      </c>
      <c r="E82" t="str" s="53" cm="1">
        <f t="array" ref="E82">$C82</f>
        <v>Pemb. Jalan Rabat Beton Pesantren Ako</v>
      </c>
      <c r="F82" s="54"/>
      <c r="G82" s="53"/>
      <c r="H82" s="53"/>
      <c r="I82" s="53"/>
      <c r="J82" s="55">
        <v>150000000</v>
      </c>
      <c r="K82" s="77">
        <v>149519630.26</v>
      </c>
      <c r="L82" s="57">
        <v>149426351</v>
      </c>
      <c r="M82" s="55">
        <v>149426000</v>
      </c>
      <c r="N82" t="s" s="58">
        <v>292</v>
      </c>
      <c r="O82" t="s" s="59">
        <v>293</v>
      </c>
      <c r="P82" t="s" s="58">
        <v>4</v>
      </c>
      <c r="Q82" t="s" s="58">
        <v>294</v>
      </c>
      <c r="R82" t="s" s="58">
        <v>295</v>
      </c>
      <c r="S82" s="61">
        <v>11</v>
      </c>
      <c r="T82" s="83">
        <v>42508</v>
      </c>
      <c r="U82" t="s" s="58">
        <v>296</v>
      </c>
      <c r="V82" t="s" s="58">
        <v>297</v>
      </c>
      <c r="W82" t="s" s="58">
        <v>298</v>
      </c>
      <c r="X82" s="61">
        <v>90</v>
      </c>
      <c r="Y82" t="s" s="58">
        <v>10</v>
      </c>
      <c r="Z82" s="55" cm="1">
        <f t="array" ref="Z82">M82</f>
        <v>149426000</v>
      </c>
      <c r="AA82" t="s" s="58">
        <v>11</v>
      </c>
      <c r="AB82" s="60" cm="1">
        <f t="array" ref="AB82">AH82</f>
        <v>45384</v>
      </c>
      <c r="AC82" s="53"/>
      <c r="AD82" t="s" s="58">
        <v>109</v>
      </c>
      <c r="AE82" t="s" s="58">
        <v>110</v>
      </c>
      <c r="AF82" t="s" s="58">
        <v>167</v>
      </c>
      <c r="AG82" s="60">
        <v>45383</v>
      </c>
      <c r="AH82" s="60">
        <v>45384</v>
      </c>
      <c r="AI82" s="60">
        <v>45384</v>
      </c>
      <c r="AJ82" s="60">
        <v>45384</v>
      </c>
      <c r="AK82" s="60">
        <v>45384</v>
      </c>
      <c r="AL82" s="60">
        <v>45384</v>
      </c>
      <c r="AM82" s="60">
        <v>45384</v>
      </c>
      <c r="AN82" t="s" s="58">
        <v>820</v>
      </c>
      <c r="AO82" s="60" cm="1">
        <f t="array" ref="AO82">AJ82</f>
        <v>45384</v>
      </c>
      <c r="AP82" t="s" s="58">
        <v>821</v>
      </c>
      <c r="AQ82" s="60" cm="1">
        <f t="array" ref="AQ82">AJ82</f>
        <v>45384</v>
      </c>
      <c r="AR82" t="s" s="58">
        <v>822</v>
      </c>
      <c r="AS82" s="60" cm="1">
        <f t="array" ref="AS82">AJ82</f>
        <v>45384</v>
      </c>
      <c r="AT82" t="s" s="78">
        <v>823</v>
      </c>
      <c r="AU82" s="60" cm="1">
        <f t="array" ref="AU82">AJ82</f>
        <v>45384</v>
      </c>
      <c r="AV82" s="53"/>
      <c r="AW82" t="str" s="63" cm="1">
        <f t="array" ref="AW82">"600/"&amp;$B82&amp;"/"&amp;IF(AND($AE82="Konsultansi",M82&lt;=100000000),"SPK",IF(AND($AE82="Konsultansi",M82&gt;100000000),"Kont",IF(AND($AE82&lt;&gt;"Konsultansi",M82&lt;=200000000),"SPK","Kont")))&amp;"-"&amp;AE82&amp;"/PPK/DPUPR"</f>
        <v>600/49981901/SPK-Konstruksi/PPK/DPUPR</v>
      </c>
      <c r="AX82" t="str" s="63" cm="1">
        <f t="array" ref="AX82">"600/"&amp;$B82&amp;"/SPMK/PPK/DPUPR"</f>
        <v>600/49981901/SPMK/PPK/DPUPR</v>
      </c>
      <c r="AY82" s="53"/>
      <c r="AZ82" s="53"/>
      <c r="BA82" s="53"/>
      <c r="BB82" s="53"/>
      <c r="BC82" s="53"/>
      <c r="BD82" s="53"/>
      <c r="BE82" s="53"/>
      <c r="BF82" s="53"/>
      <c r="BG82" s="64">
        <v>72</v>
      </c>
      <c r="BH82" t="s" s="58">
        <v>292</v>
      </c>
      <c r="BI82" t="s" s="58">
        <v>21</v>
      </c>
      <c r="BJ82" t="s" s="58">
        <v>22</v>
      </c>
      <c r="BK82" t="s" s="58">
        <v>23</v>
      </c>
      <c r="BL82" t="s" s="58">
        <v>24</v>
      </c>
      <c r="BM82" s="53"/>
      <c r="BN82" s="53"/>
      <c r="BO82" s="53"/>
      <c r="BP82" s="53"/>
      <c r="BQ82" s="53"/>
      <c r="BR82" t="b" s="61">
        <v>0</v>
      </c>
      <c r="BS82" s="55" cm="1">
        <f t="array" ref="BS82">IF(M82&lt;=0.8*K82,5%*K82,M82*5%)</f>
        <v>7471300</v>
      </c>
      <c r="BT82" t="s" s="58">
        <v>173</v>
      </c>
      <c r="BU82" s="53"/>
      <c r="BV82" s="55" cm="1">
        <f t="array" ref="BV82">J82-M82</f>
        <v>574000</v>
      </c>
    </row>
    <row r="83" ht="36.25" customHeight="1">
      <c r="A83" s="49"/>
      <c r="B83" s="50">
        <v>49943495</v>
      </c>
      <c r="C83" t="s" s="51">
        <v>826</v>
      </c>
      <c r="D83" t="s" s="65">
        <v>827</v>
      </c>
      <c r="E83" t="str" s="66" cm="1">
        <f t="array" ref="E83">$C83</f>
        <v> Perenc. Bronjong Pesantren Albana Asing</v>
      </c>
      <c r="F83" s="67"/>
      <c r="G83" s="66"/>
      <c r="H83" s="66"/>
      <c r="I83" s="66"/>
      <c r="J83" s="68">
        <v>4500000</v>
      </c>
      <c r="K83" s="76">
        <v>4499769.24</v>
      </c>
      <c r="L83" s="57">
        <v>4499214</v>
      </c>
      <c r="M83" s="68">
        <v>4499000</v>
      </c>
      <c r="N83" t="s" s="70">
        <v>261</v>
      </c>
      <c r="O83" t="s" s="71">
        <v>262</v>
      </c>
      <c r="P83" t="s" s="70">
        <v>4</v>
      </c>
      <c r="Q83" t="s" s="70">
        <v>263</v>
      </c>
      <c r="R83" t="s" s="70">
        <v>264</v>
      </c>
      <c r="S83" s="73">
        <v>53</v>
      </c>
      <c r="T83" s="72">
        <v>41288</v>
      </c>
      <c r="U83" t="s" s="70">
        <v>265</v>
      </c>
      <c r="V83" t="s" s="70">
        <v>266</v>
      </c>
      <c r="W83" t="s" s="70">
        <v>267</v>
      </c>
      <c r="X83" s="73">
        <v>30</v>
      </c>
      <c r="Y83" t="s" s="70">
        <v>10</v>
      </c>
      <c r="Z83" s="68" cm="1">
        <f t="array" ref="Z83">M83</f>
        <v>4499000</v>
      </c>
      <c r="AA83" t="s" s="70">
        <v>11</v>
      </c>
      <c r="AB83" s="72" cm="1">
        <f t="array" ref="AB83">AH83</f>
        <v>45384</v>
      </c>
      <c r="AC83" s="66"/>
      <c r="AD83" t="s" s="70">
        <v>109</v>
      </c>
      <c r="AE83" t="s" s="70">
        <v>13</v>
      </c>
      <c r="AF83" t="s" s="70">
        <v>14</v>
      </c>
      <c r="AG83" s="72">
        <v>45384</v>
      </c>
      <c r="AH83" s="72">
        <v>45384</v>
      </c>
      <c r="AI83" s="72">
        <v>45384</v>
      </c>
      <c r="AJ83" s="72">
        <v>45384</v>
      </c>
      <c r="AK83" s="72">
        <v>45385</v>
      </c>
      <c r="AL83" s="72">
        <v>45385</v>
      </c>
      <c r="AM83" s="72">
        <v>45385</v>
      </c>
      <c r="AN83" t="s" s="70">
        <v>828</v>
      </c>
      <c r="AO83" s="72" cm="1">
        <f t="array" ref="AO83">AJ83</f>
        <v>45384</v>
      </c>
      <c r="AP83" t="s" s="70">
        <v>829</v>
      </c>
      <c r="AQ83" s="72" cm="1">
        <f t="array" ref="AQ83">AJ83</f>
        <v>45384</v>
      </c>
      <c r="AR83" t="s" s="70">
        <v>830</v>
      </c>
      <c r="AS83" s="72" cm="1">
        <f t="array" ref="AS83">AJ83</f>
        <v>45384</v>
      </c>
      <c r="AT83" t="s" s="78">
        <v>831</v>
      </c>
      <c r="AU83" s="72" cm="1">
        <f t="array" ref="AU83">AJ83</f>
        <v>45384</v>
      </c>
      <c r="AV83" s="66"/>
      <c r="AW83" t="str" s="74" cm="1">
        <f t="array" ref="AW83">"600/"&amp;$B83&amp;"/"&amp;IF(AND($AE83="Konsultansi",M83&lt;=100000000),"SPK",IF(AND($AE83="Konsultansi",M83&gt;100000000),"Kont",IF(AND($AE83&lt;&gt;"Konsultansi",M83&lt;=200000000),"SPK","Kont")))&amp;"-"&amp;AE83&amp;"/PPK/DPUPR"</f>
        <v>600/49943495/SPK-Konsultansi/PPK/DPUPR</v>
      </c>
      <c r="AX83" t="str" s="74" cm="1">
        <f t="array" ref="AX83">"600/"&amp;$B83&amp;"/SPMK/PPK/DPUPR"</f>
        <v>600/49943495/SPMK/PPK/DPUPR</v>
      </c>
      <c r="AY83" s="66"/>
      <c r="AZ83" s="66"/>
      <c r="BA83" s="66"/>
      <c r="BB83" s="66"/>
      <c r="BC83" s="66"/>
      <c r="BD83" s="66"/>
      <c r="BE83" s="66"/>
      <c r="BF83" s="66"/>
      <c r="BG83" s="75">
        <v>1</v>
      </c>
      <c r="BH83" t="s" s="70">
        <v>261</v>
      </c>
      <c r="BI83" t="s" s="70">
        <v>21</v>
      </c>
      <c r="BJ83" t="s" s="70">
        <v>22</v>
      </c>
      <c r="BK83" t="s" s="70">
        <v>23</v>
      </c>
      <c r="BL83" t="s" s="70">
        <v>24</v>
      </c>
      <c r="BM83" s="66"/>
      <c r="BN83" s="66"/>
      <c r="BO83" s="66"/>
      <c r="BP83" s="66"/>
      <c r="BQ83" s="66"/>
      <c r="BR83" t="b" s="73">
        <v>0</v>
      </c>
      <c r="BS83" s="68" cm="1">
        <f t="array" ref="BS83">IF(M83&lt;=0.8*K83,5%*K83,M83*5%)</f>
        <v>224950</v>
      </c>
      <c r="BT83" t="s" s="70">
        <v>156</v>
      </c>
      <c r="BU83" s="66"/>
      <c r="BV83" s="68" cm="1">
        <f t="array" ref="BV83">J83-M83</f>
        <v>1000</v>
      </c>
    </row>
    <row r="84" ht="36.25" customHeight="1">
      <c r="A84" s="49"/>
      <c r="B84" s="50">
        <v>49767242</v>
      </c>
      <c r="C84" t="s" s="51">
        <v>834</v>
      </c>
      <c r="D84" t="s" s="52">
        <v>835</v>
      </c>
      <c r="E84" t="str" s="53" cm="1">
        <f t="array" ref="E84">$C84</f>
        <v>Bronjong Pesantren Albana Asing</v>
      </c>
      <c r="F84" s="54"/>
      <c r="G84" s="53"/>
      <c r="H84" s="53"/>
      <c r="I84" s="53"/>
      <c r="J84" s="55">
        <v>180000000</v>
      </c>
      <c r="K84" s="77">
        <v>179986265.64</v>
      </c>
      <c r="L84" s="57">
        <v>179772637.36</v>
      </c>
      <c r="M84" s="55">
        <v>179772000</v>
      </c>
      <c r="N84" t="s" s="58">
        <v>292</v>
      </c>
      <c r="O84" t="s" s="59">
        <v>293</v>
      </c>
      <c r="P84" t="s" s="58">
        <v>4</v>
      </c>
      <c r="Q84" t="s" s="58">
        <v>294</v>
      </c>
      <c r="R84" t="s" s="58">
        <v>295</v>
      </c>
      <c r="S84" s="61">
        <v>11</v>
      </c>
      <c r="T84" s="83">
        <v>42508</v>
      </c>
      <c r="U84" t="s" s="58">
        <v>296</v>
      </c>
      <c r="V84" t="s" s="58">
        <v>297</v>
      </c>
      <c r="W84" t="s" s="58">
        <v>298</v>
      </c>
      <c r="X84" s="61">
        <v>90</v>
      </c>
      <c r="Y84" t="s" s="58">
        <v>10</v>
      </c>
      <c r="Z84" s="55" cm="1">
        <f t="array" ref="Z84">M84</f>
        <v>179772000</v>
      </c>
      <c r="AA84" t="s" s="58">
        <v>11</v>
      </c>
      <c r="AB84" s="60" cm="1">
        <f t="array" ref="AB84">AH84</f>
        <v>45384</v>
      </c>
      <c r="AC84" s="53"/>
      <c r="AD84" t="s" s="58">
        <v>109</v>
      </c>
      <c r="AE84" t="s" s="58">
        <v>110</v>
      </c>
      <c r="AF84" t="s" s="58">
        <v>14</v>
      </c>
      <c r="AG84" s="60">
        <v>45383</v>
      </c>
      <c r="AH84" s="60">
        <v>45384</v>
      </c>
      <c r="AI84" s="60">
        <v>45384</v>
      </c>
      <c r="AJ84" s="60">
        <v>45384</v>
      </c>
      <c r="AK84" s="60">
        <v>45384</v>
      </c>
      <c r="AL84" s="60">
        <v>45384</v>
      </c>
      <c r="AM84" s="60">
        <v>45384</v>
      </c>
      <c r="AN84" t="s" s="58">
        <v>836</v>
      </c>
      <c r="AO84" s="60" cm="1">
        <f t="array" ref="AO84">AJ84</f>
        <v>45384</v>
      </c>
      <c r="AP84" t="s" s="58">
        <v>837</v>
      </c>
      <c r="AQ84" s="60" cm="1">
        <f t="array" ref="AQ84">AJ84</f>
        <v>45384</v>
      </c>
      <c r="AR84" t="s" s="58">
        <v>838</v>
      </c>
      <c r="AS84" s="60" cm="1">
        <f t="array" ref="AS84">AJ84</f>
        <v>45384</v>
      </c>
      <c r="AT84" t="s" s="78">
        <v>839</v>
      </c>
      <c r="AU84" s="60" cm="1">
        <f t="array" ref="AU84">AJ84</f>
        <v>45384</v>
      </c>
      <c r="AV84" s="53"/>
      <c r="AW84" t="str" s="63" cm="1">
        <f t="array" ref="AW84">"600/"&amp;$B84&amp;"/"&amp;IF(AND($AE84="Konsultansi",M84&lt;=100000000),"SPK",IF(AND($AE84="Konsultansi",M84&gt;100000000),"Kont",IF(AND($AE84&lt;&gt;"Konsultansi",M84&lt;=200000000),"SPK","Kont")))&amp;"-"&amp;AE84&amp;"/PPK/DPUPR"</f>
        <v>600/49767242/SPK-Konstruksi/PPK/DPUPR</v>
      </c>
      <c r="AX84" t="str" s="63" cm="1">
        <f t="array" ref="AX84">"600/"&amp;$B84&amp;"/SPMK/PPK/DPUPR"</f>
        <v>600/49767242/SPMK/PPK/DPUPR</v>
      </c>
      <c r="AY84" s="53"/>
      <c r="AZ84" s="53"/>
      <c r="BA84" s="53"/>
      <c r="BB84" s="53"/>
      <c r="BC84" s="53"/>
      <c r="BD84" s="53"/>
      <c r="BE84" s="53"/>
      <c r="BF84" s="53"/>
      <c r="BG84" s="64">
        <v>72</v>
      </c>
      <c r="BH84" t="s" s="58">
        <v>292</v>
      </c>
      <c r="BI84" t="s" s="58">
        <v>21</v>
      </c>
      <c r="BJ84" t="s" s="58">
        <v>22</v>
      </c>
      <c r="BK84" t="s" s="58">
        <v>23</v>
      </c>
      <c r="BL84" t="s" s="58">
        <v>24</v>
      </c>
      <c r="BM84" s="53"/>
      <c r="BN84" s="53"/>
      <c r="BO84" s="53"/>
      <c r="BP84" s="53"/>
      <c r="BQ84" s="53"/>
      <c r="BR84" t="b" s="61">
        <v>0</v>
      </c>
      <c r="BS84" s="55" cm="1">
        <f t="array" ref="BS84">IF(M84&lt;=0.8*K84,5%*K84,M84*5%)</f>
        <v>8988600</v>
      </c>
      <c r="BT84" t="s" s="58">
        <v>156</v>
      </c>
      <c r="BU84" s="53"/>
      <c r="BV84" s="55" cm="1">
        <f t="array" ref="BV84">J84-M84</f>
        <v>228000</v>
      </c>
    </row>
    <row r="85" ht="36.25" customHeight="1">
      <c r="A85" s="49"/>
      <c r="B85" s="50">
        <v>49943333</v>
      </c>
      <c r="C85" t="s" s="51">
        <v>842</v>
      </c>
      <c r="D85" t="s" s="65">
        <v>827</v>
      </c>
      <c r="E85" t="str" s="66" cm="1">
        <f t="array" ref="E85">$C85</f>
        <v>Pengawasan Bronjong Pesantren Albana Asing</v>
      </c>
      <c r="F85" s="67"/>
      <c r="G85" s="66"/>
      <c r="H85" s="66"/>
      <c r="I85" s="66"/>
      <c r="J85" s="68">
        <v>4500000</v>
      </c>
      <c r="K85" s="68">
        <v>4499000</v>
      </c>
      <c r="L85" s="57">
        <v>4495500</v>
      </c>
      <c r="M85" s="68">
        <v>4495000</v>
      </c>
      <c r="N85" t="s" s="70">
        <v>261</v>
      </c>
      <c r="O85" t="s" s="71">
        <v>262</v>
      </c>
      <c r="P85" t="s" s="70">
        <v>4</v>
      </c>
      <c r="Q85" t="s" s="70">
        <v>263</v>
      </c>
      <c r="R85" t="s" s="70">
        <v>264</v>
      </c>
      <c r="S85" s="73">
        <v>53</v>
      </c>
      <c r="T85" s="72">
        <v>41288</v>
      </c>
      <c r="U85" t="s" s="70">
        <v>265</v>
      </c>
      <c r="V85" t="s" s="70">
        <v>266</v>
      </c>
      <c r="W85" t="s" s="70">
        <v>267</v>
      </c>
      <c r="X85" s="73">
        <v>90</v>
      </c>
      <c r="Y85" t="s" s="70">
        <v>10</v>
      </c>
      <c r="Z85" s="68" cm="1">
        <f t="array" ref="Z85">M85</f>
        <v>4495000</v>
      </c>
      <c r="AA85" t="s" s="70">
        <v>11</v>
      </c>
      <c r="AB85" s="72" cm="1">
        <f t="array" ref="AB85">AH85</f>
        <v>45384</v>
      </c>
      <c r="AC85" s="66"/>
      <c r="AD85" t="s" s="70">
        <v>12</v>
      </c>
      <c r="AE85" t="s" s="70">
        <v>13</v>
      </c>
      <c r="AF85" t="s" s="70">
        <v>14</v>
      </c>
      <c r="AG85" s="72">
        <v>45383</v>
      </c>
      <c r="AH85" s="72">
        <v>45384</v>
      </c>
      <c r="AI85" s="72">
        <v>45384</v>
      </c>
      <c r="AJ85" s="72">
        <v>45384</v>
      </c>
      <c r="AK85" s="72">
        <v>45384</v>
      </c>
      <c r="AL85" s="72">
        <v>45384</v>
      </c>
      <c r="AM85" s="72">
        <v>45384</v>
      </c>
      <c r="AN85" t="s" s="70">
        <v>843</v>
      </c>
      <c r="AO85" s="72" cm="1">
        <f t="array" ref="AO85">AJ85</f>
        <v>45384</v>
      </c>
      <c r="AP85" t="s" s="70">
        <v>844</v>
      </c>
      <c r="AQ85" s="72" cm="1">
        <f t="array" ref="AQ85">AJ85</f>
        <v>45384</v>
      </c>
      <c r="AR85" t="s" s="70">
        <v>845</v>
      </c>
      <c r="AS85" s="72" cm="1">
        <f t="array" ref="AS85">AJ85</f>
        <v>45384</v>
      </c>
      <c r="AT85" t="s" s="78">
        <v>846</v>
      </c>
      <c r="AU85" s="72" cm="1">
        <f t="array" ref="AU85">AJ85</f>
        <v>45384</v>
      </c>
      <c r="AV85" s="66"/>
      <c r="AW85" t="str" s="74" cm="1">
        <f t="array" ref="AW85">"600/"&amp;$B85&amp;"/"&amp;IF(AND($AE85="Konsultansi",M85&lt;=100000000),"SPK",IF(AND($AE85="Konsultansi",M85&gt;100000000),"Kont",IF(AND($AE85&lt;&gt;"Konsultansi",M85&lt;=200000000),"SPK","Kont")))&amp;"-"&amp;AE85&amp;"/PPK/DPUPR"</f>
        <v>600/49943333/SPK-Konsultansi/PPK/DPUPR</v>
      </c>
      <c r="AX85" t="str" s="74" cm="1">
        <f t="array" ref="AX85">"600/"&amp;$B85&amp;"/SPMK/PPK/DPUPR"</f>
        <v>600/49943333/SPMK/PPK/DPUPR</v>
      </c>
      <c r="AY85" s="66"/>
      <c r="AZ85" s="66"/>
      <c r="BA85" s="66"/>
      <c r="BB85" s="66"/>
      <c r="BC85" s="66"/>
      <c r="BD85" s="66"/>
      <c r="BE85" s="66"/>
      <c r="BF85" s="66"/>
      <c r="BG85" s="75">
        <v>1</v>
      </c>
      <c r="BH85" t="s" s="70">
        <v>261</v>
      </c>
      <c r="BI85" t="s" s="70">
        <v>21</v>
      </c>
      <c r="BJ85" t="s" s="70">
        <v>22</v>
      </c>
      <c r="BK85" t="s" s="70">
        <v>23</v>
      </c>
      <c r="BL85" t="s" s="70">
        <v>24</v>
      </c>
      <c r="BM85" s="66"/>
      <c r="BN85" s="66"/>
      <c r="BO85" s="66"/>
      <c r="BP85" s="66"/>
      <c r="BQ85" s="66"/>
      <c r="BR85" t="b" s="73">
        <v>0</v>
      </c>
      <c r="BS85" s="68" cm="1">
        <f t="array" ref="BS85">IF(M85&lt;=0.8*K85,5%*K85,M85*5%)</f>
        <v>224750</v>
      </c>
      <c r="BT85" t="s" s="70">
        <v>156</v>
      </c>
      <c r="BU85" s="66"/>
      <c r="BV85" s="68" cm="1">
        <f t="array" ref="BV85">J85-M85</f>
        <v>5000</v>
      </c>
    </row>
    <row r="86" ht="36.25" customHeight="1">
      <c r="A86" s="49"/>
      <c r="B86" s="50">
        <v>49975231</v>
      </c>
      <c r="C86" t="s" s="51">
        <v>849</v>
      </c>
      <c r="D86" t="s" s="52">
        <v>810</v>
      </c>
      <c r="E86" t="str" s="53" cm="1">
        <f t="array" ref="E86">$C86</f>
        <v>Pemb. Saluran Drainase Pasangkayu Samping Kantor Bupati</v>
      </c>
      <c r="F86" s="54"/>
      <c r="G86" s="53"/>
      <c r="H86" s="53"/>
      <c r="I86" s="53"/>
      <c r="J86" s="55">
        <v>100000000</v>
      </c>
      <c r="K86" s="77">
        <v>99982756.75</v>
      </c>
      <c r="L86" s="57">
        <v>99591216.75</v>
      </c>
      <c r="M86" s="55">
        <v>99587000</v>
      </c>
      <c r="N86" t="s" s="58">
        <v>307</v>
      </c>
      <c r="O86" t="s" s="59">
        <v>308</v>
      </c>
      <c r="P86" t="s" s="58">
        <v>4</v>
      </c>
      <c r="Q86" t="s" s="58">
        <v>309</v>
      </c>
      <c r="R86" t="s" s="58">
        <v>310</v>
      </c>
      <c r="S86" s="61">
        <v>42</v>
      </c>
      <c r="T86" s="60">
        <v>44404</v>
      </c>
      <c r="U86" t="s" s="58">
        <v>296</v>
      </c>
      <c r="V86" t="s" s="58">
        <v>311</v>
      </c>
      <c r="W86" t="s" s="58">
        <v>312</v>
      </c>
      <c r="X86" s="61">
        <v>90</v>
      </c>
      <c r="Y86" t="s" s="58">
        <v>10</v>
      </c>
      <c r="Z86" s="55" cm="1">
        <f t="array" ref="Z86">M86</f>
        <v>99587000</v>
      </c>
      <c r="AA86" t="s" s="58">
        <v>11</v>
      </c>
      <c r="AB86" s="60" cm="1">
        <f t="array" ref="AB86">AH86</f>
        <v>45384</v>
      </c>
      <c r="AC86" s="53"/>
      <c r="AD86" t="s" s="58">
        <v>109</v>
      </c>
      <c r="AE86" t="s" s="58">
        <v>110</v>
      </c>
      <c r="AF86" t="s" s="58">
        <v>811</v>
      </c>
      <c r="AG86" s="60">
        <v>45383</v>
      </c>
      <c r="AH86" s="60">
        <v>45384</v>
      </c>
      <c r="AI86" s="60">
        <v>45384</v>
      </c>
      <c r="AJ86" s="60">
        <v>45384</v>
      </c>
      <c r="AK86" s="60">
        <v>45384</v>
      </c>
      <c r="AL86" s="60">
        <v>45384</v>
      </c>
      <c r="AM86" s="60">
        <v>45384</v>
      </c>
      <c r="AN86" t="s" s="58">
        <v>850</v>
      </c>
      <c r="AO86" s="60" cm="1">
        <f t="array" ref="AO86">AJ86</f>
        <v>45384</v>
      </c>
      <c r="AP86" t="s" s="58">
        <v>851</v>
      </c>
      <c r="AQ86" s="60" cm="1">
        <f t="array" ref="AQ86">AJ86</f>
        <v>45384</v>
      </c>
      <c r="AR86" t="s" s="58">
        <v>852</v>
      </c>
      <c r="AS86" s="60" cm="1">
        <f t="array" ref="AS86">AJ86</f>
        <v>45384</v>
      </c>
      <c r="AT86" t="s" s="78">
        <v>853</v>
      </c>
      <c r="AU86" s="60" cm="1">
        <f t="array" ref="AU86">AJ86</f>
        <v>45384</v>
      </c>
      <c r="AV86" s="53"/>
      <c r="AW86" t="str" s="63" cm="1">
        <f t="array" ref="AW86">"600/"&amp;$B86&amp;"/"&amp;IF(AND($AE86="Konsultansi",M86&lt;=100000000),"SPK",IF(AND($AE86="Konsultansi",M86&gt;100000000),"Kont",IF(AND($AE86&lt;&gt;"Konsultansi",M86&lt;=200000000),"SPK","Kont")))&amp;"-"&amp;AE86&amp;"/PPK/DPUPR"</f>
        <v>600/49975231/SPK-Konstruksi/PPK/DPUPR</v>
      </c>
      <c r="AX86" t="str" s="63" cm="1">
        <f t="array" ref="AX86">"600/"&amp;$B86&amp;"/SPMK/PPK/DPUPR"</f>
        <v>600/49975231/SPMK/PPK/DPUPR</v>
      </c>
      <c r="AY86" s="53"/>
      <c r="AZ86" s="53"/>
      <c r="BA86" s="53"/>
      <c r="BB86" s="53"/>
      <c r="BC86" s="53"/>
      <c r="BD86" s="53"/>
      <c r="BE86" s="53"/>
      <c r="BF86" s="53"/>
      <c r="BG86" s="64">
        <v>22</v>
      </c>
      <c r="BH86" t="s" s="58">
        <v>307</v>
      </c>
      <c r="BI86" t="s" s="58">
        <v>21</v>
      </c>
      <c r="BJ86" t="s" s="58">
        <v>22</v>
      </c>
      <c r="BK86" t="s" s="58">
        <v>23</v>
      </c>
      <c r="BL86" t="s" s="58">
        <v>24</v>
      </c>
      <c r="BM86" s="53"/>
      <c r="BN86" s="53"/>
      <c r="BO86" s="53"/>
      <c r="BP86" s="53"/>
      <c r="BQ86" s="53"/>
      <c r="BR86" t="b" s="61">
        <v>0</v>
      </c>
      <c r="BS86" s="55" cm="1">
        <f t="array" ref="BS86">IF(M86&lt;=0.8*K86,5%*K86,M86*5%)</f>
        <v>4979350</v>
      </c>
      <c r="BT86" t="s" s="58">
        <v>173</v>
      </c>
      <c r="BU86" s="53"/>
      <c r="BV86" s="55" cm="1">
        <f t="array" ref="BV86">J86-M86</f>
        <v>413000</v>
      </c>
    </row>
    <row r="87" ht="36.25" customHeight="1">
      <c r="A87" s="49"/>
      <c r="B87" s="50">
        <v>51267063</v>
      </c>
      <c r="C87" t="s" s="51">
        <v>856</v>
      </c>
      <c r="D87" t="s" s="65">
        <v>149</v>
      </c>
      <c r="E87" t="str" s="66" cm="1">
        <f t="array" ref="E87">$C87</f>
        <v>Pengawasan Pemb. Box Culvert Pasangkayu cs.</v>
      </c>
      <c r="F87" s="67"/>
      <c r="G87" s="66"/>
      <c r="H87" s="66"/>
      <c r="I87" s="66"/>
      <c r="J87" s="68">
        <v>31500000</v>
      </c>
      <c r="K87" s="68">
        <v>31377000</v>
      </c>
      <c r="L87" s="57">
        <v>31236192</v>
      </c>
      <c r="M87" s="68">
        <v>31236000</v>
      </c>
      <c r="N87" t="s" s="70">
        <v>182</v>
      </c>
      <c r="O87" t="s" s="71">
        <v>183</v>
      </c>
      <c r="P87" t="s" s="70">
        <v>4</v>
      </c>
      <c r="Q87" t="s" s="70">
        <v>184</v>
      </c>
      <c r="R87" t="s" s="70">
        <v>185</v>
      </c>
      <c r="S87" s="73">
        <v>23</v>
      </c>
      <c r="T87" s="72">
        <v>44495</v>
      </c>
      <c r="U87" t="s" s="70">
        <v>186</v>
      </c>
      <c r="V87" t="s" s="70">
        <v>187</v>
      </c>
      <c r="W87" t="s" s="70">
        <v>188</v>
      </c>
      <c r="X87" s="73" cm="1">
        <f t="array" ref="X87">6*30</f>
        <v>180</v>
      </c>
      <c r="Y87" t="s" s="70">
        <v>10</v>
      </c>
      <c r="Z87" s="68" cm="1">
        <f t="array" ref="Z87">M87</f>
        <v>31236000</v>
      </c>
      <c r="AA87" t="s" s="70">
        <v>11</v>
      </c>
      <c r="AB87" s="72" cm="1">
        <f t="array" ref="AB87">AH87</f>
        <v>45384</v>
      </c>
      <c r="AC87" s="66"/>
      <c r="AD87" t="s" s="70">
        <v>12</v>
      </c>
      <c r="AE87" t="s" s="70">
        <v>13</v>
      </c>
      <c r="AF87" t="s" s="70">
        <v>150</v>
      </c>
      <c r="AG87" s="72">
        <v>45383</v>
      </c>
      <c r="AH87" s="72">
        <v>45384</v>
      </c>
      <c r="AI87" s="72">
        <v>45384</v>
      </c>
      <c r="AJ87" s="72">
        <v>45384</v>
      </c>
      <c r="AK87" s="72">
        <v>45384</v>
      </c>
      <c r="AL87" s="72">
        <v>45384</v>
      </c>
      <c r="AM87" s="72">
        <v>45384</v>
      </c>
      <c r="AN87" t="s" s="70">
        <v>857</v>
      </c>
      <c r="AO87" s="72" cm="1">
        <f t="array" ref="AO87">AJ87</f>
        <v>45384</v>
      </c>
      <c r="AP87" t="s" s="70">
        <v>858</v>
      </c>
      <c r="AQ87" s="72" cm="1">
        <f t="array" ref="AQ87">AJ87</f>
        <v>45384</v>
      </c>
      <c r="AR87" t="s" s="70">
        <v>859</v>
      </c>
      <c r="AS87" s="72" cm="1">
        <f t="array" ref="AS87">AJ87</f>
        <v>45384</v>
      </c>
      <c r="AT87" t="s" s="78">
        <v>860</v>
      </c>
      <c r="AU87" s="72" cm="1">
        <f t="array" ref="AU87">AJ87</f>
        <v>45384</v>
      </c>
      <c r="AV87" s="66"/>
      <c r="AW87" t="str" s="74" cm="1">
        <f t="array" ref="AW87">"600/"&amp;$B87&amp;"/"&amp;IF(AND($AE87="Konsultansi",M87&lt;=100000000),"SPK",IF(AND($AE87="Konsultansi",M87&gt;100000000),"Kont",IF(AND($AE87&lt;&gt;"Konsultansi",M87&lt;=200000000),"SPK","Kont")))&amp;"-"&amp;AE87&amp;"/PPK/DPUPR"</f>
        <v>600/51267063/SPK-Konsultansi/PPK/DPUPR</v>
      </c>
      <c r="AX87" t="str" s="74" cm="1">
        <f t="array" ref="AX87">"600/"&amp;$B87&amp;"/SPMK/PPK/DPUPR"</f>
        <v>600/51267063/SPMK/PPK/DPUPR</v>
      </c>
      <c r="AY87" s="66"/>
      <c r="AZ87" s="66"/>
      <c r="BA87" s="66"/>
      <c r="BB87" s="66"/>
      <c r="BC87" s="66"/>
      <c r="BD87" s="66"/>
      <c r="BE87" s="66"/>
      <c r="BF87" s="66"/>
      <c r="BG87" s="75">
        <v>223</v>
      </c>
      <c r="BH87" t="s" s="70">
        <v>182</v>
      </c>
      <c r="BI87" t="s" s="70">
        <v>21</v>
      </c>
      <c r="BJ87" t="s" s="70">
        <v>22</v>
      </c>
      <c r="BK87" t="s" s="70">
        <v>23</v>
      </c>
      <c r="BL87" t="s" s="70">
        <v>24</v>
      </c>
      <c r="BM87" s="66"/>
      <c r="BN87" s="66"/>
      <c r="BO87" s="66"/>
      <c r="BP87" s="66"/>
      <c r="BQ87" s="66"/>
      <c r="BR87" t="b" s="73">
        <v>0</v>
      </c>
      <c r="BS87" s="68" cm="1">
        <f t="array" ref="BS87">IF(M87&lt;=0.8*K87,5%*K87,M87*5%)</f>
        <v>1561800</v>
      </c>
      <c r="BT87" t="s" s="70">
        <v>156</v>
      </c>
      <c r="BU87" s="66"/>
      <c r="BV87" s="68" cm="1">
        <f t="array" ref="BV87">J87-M87</f>
        <v>264000</v>
      </c>
    </row>
    <row r="88" ht="36.25" customHeight="1">
      <c r="A88" s="49"/>
      <c r="B88" s="50">
        <v>51367031</v>
      </c>
      <c r="C88" t="s" s="51">
        <v>863</v>
      </c>
      <c r="D88" t="s" s="52">
        <v>149</v>
      </c>
      <c r="E88" t="str" s="53" cm="1">
        <f t="array" ref="E88">$C88</f>
        <v>Pemb. Box Culvert Pasangkayu</v>
      </c>
      <c r="F88" s="54"/>
      <c r="G88" s="53"/>
      <c r="H88" s="53"/>
      <c r="I88" s="53"/>
      <c r="J88" s="55">
        <v>75000000</v>
      </c>
      <c r="K88" s="77">
        <v>74818001.52</v>
      </c>
      <c r="L88" s="57">
        <v>74656242.27</v>
      </c>
      <c r="M88" s="55">
        <v>74656000</v>
      </c>
      <c r="N88" t="s" s="58">
        <v>321</v>
      </c>
      <c r="O88" t="s" s="59">
        <v>322</v>
      </c>
      <c r="P88" t="s" s="58">
        <v>4</v>
      </c>
      <c r="Q88" t="s" s="58">
        <v>323</v>
      </c>
      <c r="R88" t="s" s="58">
        <v>279</v>
      </c>
      <c r="S88" t="s" s="58">
        <v>324</v>
      </c>
      <c r="T88" s="83">
        <v>43979</v>
      </c>
      <c r="U88" t="s" s="58">
        <v>124</v>
      </c>
      <c r="V88" t="s" s="58">
        <v>325</v>
      </c>
      <c r="W88" t="s" s="58">
        <v>326</v>
      </c>
      <c r="X88" s="61">
        <v>90</v>
      </c>
      <c r="Y88" t="s" s="58">
        <v>10</v>
      </c>
      <c r="Z88" s="55" cm="1">
        <f t="array" ref="Z88">M88</f>
        <v>74656000</v>
      </c>
      <c r="AA88" t="s" s="58">
        <v>11</v>
      </c>
      <c r="AB88" s="60" cm="1">
        <f t="array" ref="AB88">AH88</f>
        <v>45384</v>
      </c>
      <c r="AC88" s="53"/>
      <c r="AD88" t="s" s="58">
        <v>109</v>
      </c>
      <c r="AE88" t="s" s="58">
        <v>110</v>
      </c>
      <c r="AF88" t="s" s="58">
        <v>150</v>
      </c>
      <c r="AG88" s="60">
        <v>45383</v>
      </c>
      <c r="AH88" s="60">
        <v>45384</v>
      </c>
      <c r="AI88" s="60">
        <v>45384</v>
      </c>
      <c r="AJ88" s="60">
        <v>45384</v>
      </c>
      <c r="AK88" s="60">
        <v>45384</v>
      </c>
      <c r="AL88" s="60">
        <v>45384</v>
      </c>
      <c r="AM88" s="60">
        <v>45384</v>
      </c>
      <c r="AN88" t="s" s="58">
        <v>864</v>
      </c>
      <c r="AO88" s="60" cm="1">
        <f t="array" ref="AO88">AJ88</f>
        <v>45384</v>
      </c>
      <c r="AP88" t="s" s="58">
        <v>865</v>
      </c>
      <c r="AQ88" s="60" cm="1">
        <f t="array" ref="AQ88">AJ88</f>
        <v>45384</v>
      </c>
      <c r="AR88" t="s" s="58">
        <v>866</v>
      </c>
      <c r="AS88" s="60" cm="1">
        <f t="array" ref="AS88">AJ88</f>
        <v>45384</v>
      </c>
      <c r="AT88" t="s" s="78">
        <v>867</v>
      </c>
      <c r="AU88" s="60" cm="1">
        <f t="array" ref="AU88">AJ88</f>
        <v>45384</v>
      </c>
      <c r="AV88" s="53"/>
      <c r="AW88" t="str" s="63" cm="1">
        <f t="array" ref="AW88">"600/"&amp;$B88&amp;"/"&amp;IF(AND($AE88="Konsultansi",M88&lt;=100000000),"SPK",IF(AND($AE88="Konsultansi",M88&gt;100000000),"Kont",IF(AND($AE88&lt;&gt;"Konsultansi",M88&lt;=200000000),"SPK","Kont")))&amp;"-"&amp;AE88&amp;"/PPK/DPUPR"</f>
        <v>600/51367031/SPK-Konstruksi/PPK/DPUPR</v>
      </c>
      <c r="AX88" t="str" s="63" cm="1">
        <f t="array" ref="AX88">"600/"&amp;$B88&amp;"/SPMK/PPK/DPUPR"</f>
        <v>600/51367031/SPMK/PPK/DPUPR</v>
      </c>
      <c r="AY88" s="53"/>
      <c r="AZ88" s="53"/>
      <c r="BA88" s="53"/>
      <c r="BB88" s="53"/>
      <c r="BC88" s="53"/>
      <c r="BD88" s="53"/>
      <c r="BE88" s="53"/>
      <c r="BF88" s="53"/>
      <c r="BG88" s="64">
        <v>15</v>
      </c>
      <c r="BH88" t="s" s="58">
        <v>321</v>
      </c>
      <c r="BI88" t="s" s="58">
        <v>21</v>
      </c>
      <c r="BJ88" t="s" s="58">
        <v>22</v>
      </c>
      <c r="BK88" t="s" s="58">
        <v>23</v>
      </c>
      <c r="BL88" t="s" s="58">
        <v>24</v>
      </c>
      <c r="BM88" s="53"/>
      <c r="BN88" s="53"/>
      <c r="BO88" s="53"/>
      <c r="BP88" s="53"/>
      <c r="BQ88" s="53"/>
      <c r="BR88" t="b" s="61">
        <v>0</v>
      </c>
      <c r="BS88" s="55" cm="1">
        <f t="array" ref="BS88">IF(M88&lt;=0.8*K88,5%*K88,M88*5%)</f>
        <v>3732800</v>
      </c>
      <c r="BT88" t="s" s="58">
        <v>156</v>
      </c>
      <c r="BU88" s="53"/>
      <c r="BV88" s="55" cm="1">
        <f t="array" ref="BV88">J88-M88</f>
        <v>344000</v>
      </c>
    </row>
    <row r="89" ht="92.25" customHeight="1">
      <c r="A89" s="49"/>
      <c r="B89" s="50">
        <v>49974911</v>
      </c>
      <c r="C89" t="s" s="51">
        <v>870</v>
      </c>
      <c r="D89" t="s" s="65">
        <v>557</v>
      </c>
      <c r="E89" t="s" s="70">
        <v>870</v>
      </c>
      <c r="F89" s="67"/>
      <c r="G89" s="66"/>
      <c r="H89" s="66"/>
      <c r="I89" s="66"/>
      <c r="J89" s="68" cm="1">
        <f t="array" ref="J89">3750000+5000000+6250000+13000000</f>
        <v>28000000</v>
      </c>
      <c r="K89" s="69">
        <v>27998551.8</v>
      </c>
      <c r="L89" s="57">
        <v>27980950</v>
      </c>
      <c r="M89" s="68">
        <v>27921000</v>
      </c>
      <c r="N89" t="s" s="70">
        <v>261</v>
      </c>
      <c r="O89" t="s" s="71">
        <v>262</v>
      </c>
      <c r="P89" t="s" s="70">
        <v>4</v>
      </c>
      <c r="Q89" t="s" s="70">
        <v>263</v>
      </c>
      <c r="R89" t="s" s="70">
        <v>264</v>
      </c>
      <c r="S89" s="73">
        <v>53</v>
      </c>
      <c r="T89" s="72">
        <v>41288</v>
      </c>
      <c r="U89" t="s" s="70">
        <v>265</v>
      </c>
      <c r="V89" t="s" s="70">
        <v>266</v>
      </c>
      <c r="W89" t="s" s="70">
        <v>267</v>
      </c>
      <c r="X89" s="73">
        <v>45</v>
      </c>
      <c r="Y89" t="s" s="70">
        <v>10</v>
      </c>
      <c r="Z89" s="68" cm="1">
        <f t="array" ref="Z89">M89</f>
        <v>27921000</v>
      </c>
      <c r="AA89" t="s" s="70">
        <v>11</v>
      </c>
      <c r="AB89" s="72" cm="1">
        <f t="array" ref="AB89">AH89</f>
        <v>45384</v>
      </c>
      <c r="AC89" s="66"/>
      <c r="AD89" t="s" s="70">
        <v>12</v>
      </c>
      <c r="AE89" t="s" s="70">
        <v>13</v>
      </c>
      <c r="AF89" t="s" s="70">
        <v>565</v>
      </c>
      <c r="AG89" s="72">
        <v>45383</v>
      </c>
      <c r="AH89" s="72">
        <v>45384</v>
      </c>
      <c r="AI89" s="72">
        <v>45384</v>
      </c>
      <c r="AJ89" s="72">
        <v>45384</v>
      </c>
      <c r="AK89" s="72">
        <v>45384</v>
      </c>
      <c r="AL89" s="72">
        <v>45384</v>
      </c>
      <c r="AM89" s="72">
        <v>45384</v>
      </c>
      <c r="AN89" t="s" s="70">
        <v>871</v>
      </c>
      <c r="AO89" s="72" cm="1">
        <f t="array" ref="AO89">AJ89</f>
        <v>45384</v>
      </c>
      <c r="AP89" t="s" s="70">
        <v>872</v>
      </c>
      <c r="AQ89" s="72" cm="1">
        <f t="array" ref="AQ89">AJ89</f>
        <v>45384</v>
      </c>
      <c r="AR89" t="s" s="70">
        <v>873</v>
      </c>
      <c r="AS89" s="72" cm="1">
        <f t="array" ref="AS89">AJ89</f>
        <v>45384</v>
      </c>
      <c r="AT89" t="s" s="78">
        <v>874</v>
      </c>
      <c r="AU89" s="72" cm="1">
        <f t="array" ref="AU89">AJ89</f>
        <v>45384</v>
      </c>
      <c r="AV89" s="66"/>
      <c r="AW89" t="str" s="74" cm="1">
        <f t="array" ref="AW89">"600/"&amp;$B89&amp;"/"&amp;IF(AND($AE89="Konsultansi",M89&lt;=100000000),"SPK",IF(AND($AE89="Konsultansi",M89&gt;100000000),"Kont",IF(AND($AE89&lt;&gt;"Konsultansi",M89&lt;=200000000),"SPK","Kont")))&amp;"-"&amp;AE89&amp;"/PPK/DPUPR"</f>
        <v>600/49974911/SPK-Konsultansi/PPK/DPUPR</v>
      </c>
      <c r="AX89" t="str" s="74" cm="1">
        <f t="array" ref="AX89">"600/"&amp;$B89&amp;"/SPMK/PPK/DPUPR"</f>
        <v>600/49974911/SPMK/PPK/DPUPR</v>
      </c>
      <c r="AY89" s="66"/>
      <c r="AZ89" s="66"/>
      <c r="BA89" s="66"/>
      <c r="BB89" s="66"/>
      <c r="BC89" s="66"/>
      <c r="BD89" s="66"/>
      <c r="BE89" s="66"/>
      <c r="BF89" s="66"/>
      <c r="BG89" s="75">
        <v>1</v>
      </c>
      <c r="BH89" t="s" s="70">
        <v>261</v>
      </c>
      <c r="BI89" t="s" s="70">
        <v>21</v>
      </c>
      <c r="BJ89" t="s" s="70">
        <v>22</v>
      </c>
      <c r="BK89" t="s" s="70">
        <v>23</v>
      </c>
      <c r="BL89" t="s" s="70">
        <v>24</v>
      </c>
      <c r="BM89" s="66"/>
      <c r="BN89" s="66"/>
      <c r="BO89" s="66"/>
      <c r="BP89" s="66"/>
      <c r="BQ89" s="66"/>
      <c r="BR89" t="b" s="73">
        <v>0</v>
      </c>
      <c r="BS89" s="68" cm="1">
        <f t="array" ref="BS89">IF(M89&lt;=0.8*K89,5%*K89,M89*5%)</f>
        <v>1396050</v>
      </c>
      <c r="BT89" t="s" s="70">
        <v>173</v>
      </c>
      <c r="BU89" s="66"/>
      <c r="BV89" s="68" cm="1">
        <f t="array" ref="BV89">J89-M89</f>
        <v>79000</v>
      </c>
    </row>
    <row r="90" ht="36.25" customHeight="1">
      <c r="A90" s="49"/>
      <c r="B90" s="50">
        <v>49944052</v>
      </c>
      <c r="C90" t="s" s="51">
        <v>877</v>
      </c>
      <c r="D90" t="s" s="52">
        <v>752</v>
      </c>
      <c r="E90" t="str" s="53" cm="1">
        <f t="array" ref="E90">$C90</f>
        <v>Perenc. Normalisasi Saluran Pembuang/Sungai Salubulu</v>
      </c>
      <c r="F90" s="54"/>
      <c r="G90" s="53"/>
      <c r="H90" s="53"/>
      <c r="I90" s="53"/>
      <c r="J90" s="55">
        <v>3750000</v>
      </c>
      <c r="K90" s="77">
        <v>3747786.84</v>
      </c>
      <c r="L90" s="57">
        <v>3746449</v>
      </c>
      <c r="M90" s="55">
        <v>3746000</v>
      </c>
      <c r="N90" t="s" s="58">
        <v>261</v>
      </c>
      <c r="O90" t="s" s="59">
        <v>262</v>
      </c>
      <c r="P90" t="s" s="58">
        <v>4</v>
      </c>
      <c r="Q90" t="s" s="58">
        <v>263</v>
      </c>
      <c r="R90" t="s" s="58">
        <v>264</v>
      </c>
      <c r="S90" s="61">
        <v>53</v>
      </c>
      <c r="T90" s="60">
        <v>41288</v>
      </c>
      <c r="U90" t="s" s="58">
        <v>265</v>
      </c>
      <c r="V90" t="s" s="58">
        <v>266</v>
      </c>
      <c r="W90" t="s" s="58">
        <v>267</v>
      </c>
      <c r="X90" s="61">
        <v>30</v>
      </c>
      <c r="Y90" t="s" s="58">
        <v>10</v>
      </c>
      <c r="Z90" s="55" cm="1">
        <f t="array" ref="Z90">M90</f>
        <v>3746000</v>
      </c>
      <c r="AA90" t="s" s="58">
        <v>11</v>
      </c>
      <c r="AB90" s="60" cm="1">
        <f t="array" ref="AB90">AH90</f>
        <v>45384</v>
      </c>
      <c r="AC90" s="53"/>
      <c r="AD90" t="s" s="58">
        <v>109</v>
      </c>
      <c r="AE90" t="s" s="58">
        <v>13</v>
      </c>
      <c r="AF90" t="s" s="58">
        <v>878</v>
      </c>
      <c r="AG90" s="60">
        <v>45384</v>
      </c>
      <c r="AH90" s="60">
        <v>45384</v>
      </c>
      <c r="AI90" s="60">
        <v>45384</v>
      </c>
      <c r="AJ90" s="60">
        <v>45384</v>
      </c>
      <c r="AK90" s="60">
        <v>45385</v>
      </c>
      <c r="AL90" s="60">
        <v>45385</v>
      </c>
      <c r="AM90" s="60">
        <v>45385</v>
      </c>
      <c r="AN90" t="s" s="58">
        <v>879</v>
      </c>
      <c r="AO90" s="60" cm="1">
        <f t="array" ref="AO90">AJ90</f>
        <v>45384</v>
      </c>
      <c r="AP90" t="s" s="58">
        <v>880</v>
      </c>
      <c r="AQ90" s="60" cm="1">
        <f t="array" ref="AQ90">AJ90</f>
        <v>45384</v>
      </c>
      <c r="AR90" t="s" s="58">
        <v>881</v>
      </c>
      <c r="AS90" s="60" cm="1">
        <f t="array" ref="AS90">AJ90</f>
        <v>45384</v>
      </c>
      <c r="AT90" t="s" s="78">
        <v>882</v>
      </c>
      <c r="AU90" s="60" cm="1">
        <f t="array" ref="AU90">AJ90</f>
        <v>45384</v>
      </c>
      <c r="AV90" s="53"/>
      <c r="AW90" t="str" s="63" cm="1">
        <f t="array" ref="AW90">"600/"&amp;$B90&amp;"/"&amp;IF(AND($AE90="Konsultansi",M90&lt;=100000000),"SPK",IF(AND($AE90="Konsultansi",M90&gt;100000000),"Kont",IF(AND($AE90&lt;&gt;"Konsultansi",M90&lt;=200000000),"SPK","Kont")))&amp;"-"&amp;AE90&amp;"/PPK/DPUPR"</f>
        <v>600/49944052/SPK-Konsultansi/PPK/DPUPR</v>
      </c>
      <c r="AX90" t="str" s="63" cm="1">
        <f t="array" ref="AX90">"600/"&amp;$B90&amp;"/SPMK/PPK/DPUPR"</f>
        <v>600/49944052/SPMK/PPK/DPUPR</v>
      </c>
      <c r="AY90" s="53"/>
      <c r="AZ90" s="53"/>
      <c r="BA90" s="53"/>
      <c r="BB90" s="53"/>
      <c r="BC90" s="53"/>
      <c r="BD90" s="53"/>
      <c r="BE90" s="53"/>
      <c r="BF90" s="53"/>
      <c r="BG90" s="64">
        <v>1</v>
      </c>
      <c r="BH90" t="s" s="58">
        <v>261</v>
      </c>
      <c r="BI90" t="s" s="58">
        <v>21</v>
      </c>
      <c r="BJ90" t="s" s="58">
        <v>22</v>
      </c>
      <c r="BK90" t="s" s="58">
        <v>23</v>
      </c>
      <c r="BL90" t="s" s="58">
        <v>24</v>
      </c>
      <c r="BM90" s="53"/>
      <c r="BN90" s="53"/>
      <c r="BO90" s="53"/>
      <c r="BP90" s="53"/>
      <c r="BQ90" s="53"/>
      <c r="BR90" t="b" s="61">
        <v>0</v>
      </c>
      <c r="BS90" s="55" cm="1">
        <f t="array" ref="BS90">IF(M90&lt;=0.8*K90,5%*K90,M90*5%)</f>
        <v>187300</v>
      </c>
      <c r="BT90" t="s" s="58">
        <v>156</v>
      </c>
      <c r="BU90" s="53"/>
      <c r="BV90" s="55" cm="1">
        <f t="array" ref="BV90">J90-M90</f>
        <v>4000</v>
      </c>
    </row>
    <row r="91" ht="44.25" customHeight="1">
      <c r="A91" s="49"/>
      <c r="B91" s="50">
        <v>50002531</v>
      </c>
      <c r="C91" t="s" s="51">
        <v>885</v>
      </c>
      <c r="D91" t="s" s="65">
        <v>886</v>
      </c>
      <c r="E91" t="str" s="66" cm="1">
        <f t="array" ref="E91">$C91</f>
        <v>Stok Desain Perencanaan Pembangunan/Rehabilitasi Daerah Irigasi (Stock Desain Pembangunan Irigasi)</v>
      </c>
      <c r="F91" s="67"/>
      <c r="G91" s="66"/>
      <c r="H91" s="66"/>
      <c r="I91" s="66"/>
      <c r="J91" s="68">
        <v>100000000</v>
      </c>
      <c r="K91" s="76">
        <v>99999642.95999999</v>
      </c>
      <c r="L91" s="57">
        <v>99887958</v>
      </c>
      <c r="M91" s="68">
        <v>99887000</v>
      </c>
      <c r="N91" t="s" s="70">
        <v>261</v>
      </c>
      <c r="O91" t="s" s="71">
        <v>262</v>
      </c>
      <c r="P91" t="s" s="70">
        <v>4</v>
      </c>
      <c r="Q91" t="s" s="70">
        <v>263</v>
      </c>
      <c r="R91" t="s" s="70">
        <v>264</v>
      </c>
      <c r="S91" s="73">
        <v>53</v>
      </c>
      <c r="T91" s="72">
        <v>41288</v>
      </c>
      <c r="U91" t="s" s="70">
        <v>265</v>
      </c>
      <c r="V91" t="s" s="70">
        <v>266</v>
      </c>
      <c r="W91" t="s" s="70">
        <v>267</v>
      </c>
      <c r="X91" s="73">
        <v>30</v>
      </c>
      <c r="Y91" t="s" s="70">
        <v>10</v>
      </c>
      <c r="Z91" s="68" cm="1">
        <f t="array" ref="Z91">M91</f>
        <v>99887000</v>
      </c>
      <c r="AA91" t="s" s="70">
        <v>11</v>
      </c>
      <c r="AB91" s="72" cm="1">
        <f t="array" ref="AB91">AH91</f>
        <v>45384</v>
      </c>
      <c r="AC91" s="66"/>
      <c r="AD91" t="s" s="70">
        <v>109</v>
      </c>
      <c r="AE91" t="s" s="70">
        <v>13</v>
      </c>
      <c r="AF91" t="s" s="70">
        <v>887</v>
      </c>
      <c r="AG91" s="72">
        <v>45384</v>
      </c>
      <c r="AH91" s="72">
        <v>45384</v>
      </c>
      <c r="AI91" s="72">
        <v>45384</v>
      </c>
      <c r="AJ91" s="72">
        <v>45384</v>
      </c>
      <c r="AK91" s="72">
        <v>45385</v>
      </c>
      <c r="AL91" s="72">
        <v>45385</v>
      </c>
      <c r="AM91" s="72">
        <v>45385</v>
      </c>
      <c r="AN91" t="s" s="70">
        <v>888</v>
      </c>
      <c r="AO91" s="72" cm="1">
        <f t="array" ref="AO91">AJ91</f>
        <v>45384</v>
      </c>
      <c r="AP91" t="s" s="70">
        <v>889</v>
      </c>
      <c r="AQ91" s="72" cm="1">
        <f t="array" ref="AQ91">AJ91</f>
        <v>45384</v>
      </c>
      <c r="AR91" t="s" s="70">
        <v>890</v>
      </c>
      <c r="AS91" s="72" cm="1">
        <f t="array" ref="AS91">AJ91</f>
        <v>45384</v>
      </c>
      <c r="AT91" t="s" s="78">
        <v>891</v>
      </c>
      <c r="AU91" s="72" cm="1">
        <f t="array" ref="AU91">AJ91</f>
        <v>45384</v>
      </c>
      <c r="AV91" s="66"/>
      <c r="AW91" t="str" s="74" cm="1">
        <f t="array" ref="AW91">"600/"&amp;$B91&amp;"/"&amp;IF(AND($AE91="Konsultansi",M91&lt;=100000000),"SPK",IF(AND($AE91="Konsultansi",M91&gt;100000000),"Kont",IF(AND($AE91&lt;&gt;"Konsultansi",M91&lt;=200000000),"SPK","Kont")))&amp;"-"&amp;AE91&amp;"/PPK/DPUPR"</f>
        <v>600/50002531/SPK-Konsultansi/PPK/DPUPR</v>
      </c>
      <c r="AX91" t="str" s="74" cm="1">
        <f t="array" ref="AX91">"600/"&amp;$B91&amp;"/SPMK/PPK/DPUPR"</f>
        <v>600/50002531/SPMK/PPK/DPUPR</v>
      </c>
      <c r="AY91" s="66"/>
      <c r="AZ91" s="66"/>
      <c r="BA91" s="66"/>
      <c r="BB91" s="66"/>
      <c r="BC91" s="66"/>
      <c r="BD91" s="66"/>
      <c r="BE91" s="66"/>
      <c r="BF91" s="66"/>
      <c r="BG91" s="75">
        <v>1</v>
      </c>
      <c r="BH91" t="s" s="70">
        <v>261</v>
      </c>
      <c r="BI91" t="s" s="70">
        <v>21</v>
      </c>
      <c r="BJ91" t="s" s="70">
        <v>22</v>
      </c>
      <c r="BK91" t="s" s="70">
        <v>23</v>
      </c>
      <c r="BL91" t="s" s="70">
        <v>24</v>
      </c>
      <c r="BM91" s="66"/>
      <c r="BN91" s="66"/>
      <c r="BO91" s="66"/>
      <c r="BP91" s="66"/>
      <c r="BQ91" s="66"/>
      <c r="BR91" t="b" s="73">
        <v>0</v>
      </c>
      <c r="BS91" s="68" cm="1">
        <f t="array" ref="BS91">IF(M91&lt;=0.8*K91,5%*K91,M91*5%)</f>
        <v>4994350</v>
      </c>
      <c r="BT91" t="s" s="70">
        <v>156</v>
      </c>
      <c r="BU91" s="66"/>
      <c r="BV91" s="68" cm="1">
        <f t="array" ref="BV91">J91-M91</f>
        <v>113000</v>
      </c>
    </row>
    <row r="92" ht="44.25" customHeight="1">
      <c r="A92" s="49"/>
      <c r="B92" s="50">
        <v>49767016</v>
      </c>
      <c r="C92" t="s" s="51">
        <v>894</v>
      </c>
      <c r="D92" t="s" s="52">
        <v>886</v>
      </c>
      <c r="E92" t="str" s="53" cm="1">
        <f t="array" ref="E92">$C92</f>
        <v>Stok Desain Perencanaan Pembangunan/Rehabilitasi Daerah Irigasi (Perencanaan Konstruksi)</v>
      </c>
      <c r="F92" s="54"/>
      <c r="G92" s="53"/>
      <c r="H92" s="53"/>
      <c r="I92" s="53"/>
      <c r="J92" s="55">
        <v>50000000</v>
      </c>
      <c r="K92" s="77">
        <v>49999254.48</v>
      </c>
      <c r="L92" s="57">
        <v>49891140</v>
      </c>
      <c r="M92" s="55">
        <v>49891000</v>
      </c>
      <c r="N92" t="s" s="58">
        <v>261</v>
      </c>
      <c r="O92" t="s" s="59">
        <v>262</v>
      </c>
      <c r="P92" t="s" s="58">
        <v>4</v>
      </c>
      <c r="Q92" t="s" s="58">
        <v>263</v>
      </c>
      <c r="R92" t="s" s="58">
        <v>264</v>
      </c>
      <c r="S92" s="61">
        <v>53</v>
      </c>
      <c r="T92" s="60">
        <v>41288</v>
      </c>
      <c r="U92" t="s" s="58">
        <v>265</v>
      </c>
      <c r="V92" t="s" s="58">
        <v>266</v>
      </c>
      <c r="W92" t="s" s="58">
        <v>267</v>
      </c>
      <c r="X92" s="61">
        <v>30</v>
      </c>
      <c r="Y92" t="s" s="58">
        <v>10</v>
      </c>
      <c r="Z92" s="55" cm="1">
        <f t="array" ref="Z92">M92</f>
        <v>49891000</v>
      </c>
      <c r="AA92" t="s" s="58">
        <v>11</v>
      </c>
      <c r="AB92" s="60" cm="1">
        <f t="array" ref="AB92">AH92</f>
        <v>45384</v>
      </c>
      <c r="AC92" s="53"/>
      <c r="AD92" t="s" s="58">
        <v>109</v>
      </c>
      <c r="AE92" t="s" s="58">
        <v>13</v>
      </c>
      <c r="AF92" t="s" s="58">
        <v>887</v>
      </c>
      <c r="AG92" s="60">
        <v>45384</v>
      </c>
      <c r="AH92" s="60">
        <v>45384</v>
      </c>
      <c r="AI92" s="60">
        <v>45384</v>
      </c>
      <c r="AJ92" s="60">
        <v>45384</v>
      </c>
      <c r="AK92" s="60">
        <v>45385</v>
      </c>
      <c r="AL92" s="60">
        <v>45385</v>
      </c>
      <c r="AM92" s="60">
        <v>45385</v>
      </c>
      <c r="AN92" t="s" s="58">
        <v>895</v>
      </c>
      <c r="AO92" s="60" cm="1">
        <f t="array" ref="AO92">AJ92</f>
        <v>45384</v>
      </c>
      <c r="AP92" t="s" s="58">
        <v>896</v>
      </c>
      <c r="AQ92" s="60" cm="1">
        <f t="array" ref="AQ92">AJ92</f>
        <v>45384</v>
      </c>
      <c r="AR92" t="s" s="58">
        <v>897</v>
      </c>
      <c r="AS92" s="60" cm="1">
        <f t="array" ref="AS92">AJ92</f>
        <v>45384</v>
      </c>
      <c r="AT92" t="s" s="78">
        <v>898</v>
      </c>
      <c r="AU92" s="60" cm="1">
        <f t="array" ref="AU92">AJ92</f>
        <v>45384</v>
      </c>
      <c r="AV92" s="53"/>
      <c r="AW92" t="str" s="63" cm="1">
        <f t="array" ref="AW92">"600/"&amp;$B92&amp;"/"&amp;IF(AND($AE92="Konsultansi",M92&lt;=100000000),"SPK",IF(AND($AE92="Konsultansi",M92&gt;100000000),"Kont",IF(AND($AE92&lt;&gt;"Konsultansi",M92&lt;=200000000),"SPK","Kont")))&amp;"-"&amp;AE92&amp;"/PPK/DPUPR"</f>
        <v>600/49767016/SPK-Konsultansi/PPK/DPUPR</v>
      </c>
      <c r="AX92" t="str" s="63" cm="1">
        <f t="array" ref="AX92">"600/"&amp;$B92&amp;"/SPMK/PPK/DPUPR"</f>
        <v>600/49767016/SPMK/PPK/DPUPR</v>
      </c>
      <c r="AY92" s="53"/>
      <c r="AZ92" s="53"/>
      <c r="BA92" s="53"/>
      <c r="BB92" s="53"/>
      <c r="BC92" s="53"/>
      <c r="BD92" s="53"/>
      <c r="BE92" s="53"/>
      <c r="BF92" s="53"/>
      <c r="BG92" s="64">
        <v>1</v>
      </c>
      <c r="BH92" t="s" s="58">
        <v>261</v>
      </c>
      <c r="BI92" t="s" s="58">
        <v>21</v>
      </c>
      <c r="BJ92" t="s" s="58">
        <v>22</v>
      </c>
      <c r="BK92" t="s" s="58">
        <v>23</v>
      </c>
      <c r="BL92" t="s" s="58">
        <v>24</v>
      </c>
      <c r="BM92" s="53"/>
      <c r="BN92" s="53"/>
      <c r="BO92" s="53"/>
      <c r="BP92" s="53"/>
      <c r="BQ92" s="53"/>
      <c r="BR92" t="b" s="61">
        <v>0</v>
      </c>
      <c r="BS92" s="55" cm="1">
        <f t="array" ref="BS92">IF(M92&lt;=0.8*K92,5%*K92,M92*5%)</f>
        <v>2494550</v>
      </c>
      <c r="BT92" t="s" s="58">
        <v>156</v>
      </c>
      <c r="BU92" s="53"/>
      <c r="BV92" s="55" cm="1">
        <f t="array" ref="BV92">J92-M92</f>
        <v>109000</v>
      </c>
    </row>
    <row r="93" ht="36.25" customHeight="1">
      <c r="A93" s="49"/>
      <c r="B93" s="50">
        <v>51307223</v>
      </c>
      <c r="C93" t="s" s="51">
        <v>901</v>
      </c>
      <c r="D93" t="s" s="65">
        <v>902</v>
      </c>
      <c r="E93" t="str" s="66" cm="1">
        <f t="array" ref="E93">$C93</f>
        <v>Belanja Modal Alat Laboratorium Mekanika Tanah dan Batuan</v>
      </c>
      <c r="F93" s="67"/>
      <c r="G93" s="66"/>
      <c r="H93" s="66"/>
      <c r="I93" s="66"/>
      <c r="J93" s="68">
        <v>349309500</v>
      </c>
      <c r="K93" s="68">
        <v>349309500</v>
      </c>
      <c r="L93" s="57">
        <v>348426500</v>
      </c>
      <c r="M93" s="68">
        <v>347750000</v>
      </c>
      <c r="N93" t="s" s="70">
        <v>321</v>
      </c>
      <c r="O93" t="s" s="71">
        <v>322</v>
      </c>
      <c r="P93" t="s" s="70">
        <v>4</v>
      </c>
      <c r="Q93" t="s" s="70">
        <v>323</v>
      </c>
      <c r="R93" t="s" s="70">
        <v>279</v>
      </c>
      <c r="S93" t="s" s="70">
        <v>324</v>
      </c>
      <c r="T93" s="82">
        <v>43979</v>
      </c>
      <c r="U93" t="s" s="70">
        <v>124</v>
      </c>
      <c r="V93" t="s" s="70">
        <v>325</v>
      </c>
      <c r="W93" t="s" s="70">
        <v>326</v>
      </c>
      <c r="X93" s="73">
        <v>70</v>
      </c>
      <c r="Y93" t="s" s="70">
        <v>10</v>
      </c>
      <c r="Z93" s="68" cm="1">
        <f t="array" ref="Z93">M93</f>
        <v>347750000</v>
      </c>
      <c r="AA93" t="s" s="70">
        <v>11</v>
      </c>
      <c r="AB93" s="72" cm="1">
        <f t="array" ref="AB93">AH93</f>
        <v>45384</v>
      </c>
      <c r="AC93" s="73">
        <v>360</v>
      </c>
      <c r="AD93" t="s" s="70">
        <v>109</v>
      </c>
      <c r="AE93" t="s" s="70">
        <v>701</v>
      </c>
      <c r="AF93" t="s" s="70">
        <v>903</v>
      </c>
      <c r="AG93" s="72">
        <v>45384</v>
      </c>
      <c r="AH93" s="72">
        <v>45384</v>
      </c>
      <c r="AI93" s="72">
        <v>45384</v>
      </c>
      <c r="AJ93" s="72">
        <v>45384</v>
      </c>
      <c r="AK93" s="72">
        <v>45385</v>
      </c>
      <c r="AL93" s="72">
        <v>45385</v>
      </c>
      <c r="AM93" s="72">
        <v>45385</v>
      </c>
      <c r="AN93" t="s" s="70">
        <v>904</v>
      </c>
      <c r="AO93" s="72" cm="1">
        <f t="array" ref="AO93">AJ93</f>
        <v>45384</v>
      </c>
      <c r="AP93" t="s" s="70">
        <v>905</v>
      </c>
      <c r="AQ93" s="72" cm="1">
        <f t="array" ref="AQ93">AJ93</f>
        <v>45384</v>
      </c>
      <c r="AR93" t="s" s="70">
        <v>906</v>
      </c>
      <c r="AS93" s="72" cm="1">
        <f t="array" ref="AS93">AJ93</f>
        <v>45384</v>
      </c>
      <c r="AT93" t="s" s="78">
        <v>907</v>
      </c>
      <c r="AU93" s="72" cm="1">
        <f t="array" ref="AU93">AJ93</f>
        <v>45384</v>
      </c>
      <c r="AV93" s="66"/>
      <c r="AW93" t="str" s="74" cm="1">
        <f t="array" ref="AW93">"600/"&amp;$B93&amp;"/"&amp;IF(AND($AE93="Konsultansi",M93&lt;=100000000),"SPK",IF(AND($AE93="Konsultansi",M93&gt;100000000),"Kont",IF(AND($AE93&lt;&gt;"Konsultansi",M93&lt;=200000000),"SPK","Kont")))&amp;"-"&amp;AE93&amp;"/PPK/DPUPR"</f>
        <v>600/51307223/Kont-Barang/PPK/DPUPR</v>
      </c>
      <c r="AX93" t="str" s="74" cm="1">
        <f t="array" ref="AX93">"600/"&amp;$B93&amp;"/SPMK/PPK/DPUPR"</f>
        <v>600/51307223/SPMK/PPK/DPUPR</v>
      </c>
      <c r="AY93" s="66"/>
      <c r="AZ93" s="66"/>
      <c r="BA93" s="66"/>
      <c r="BB93" s="66"/>
      <c r="BC93" s="66"/>
      <c r="BD93" s="66"/>
      <c r="BE93" s="66"/>
      <c r="BF93" s="66"/>
      <c r="BG93" s="75">
        <v>15</v>
      </c>
      <c r="BH93" t="s" s="70">
        <v>321</v>
      </c>
      <c r="BI93" t="s" s="70">
        <v>21</v>
      </c>
      <c r="BJ93" t="s" s="70">
        <v>22</v>
      </c>
      <c r="BK93" t="s" s="70">
        <v>23</v>
      </c>
      <c r="BL93" t="s" s="70">
        <v>24</v>
      </c>
      <c r="BM93" s="66"/>
      <c r="BN93" s="66"/>
      <c r="BO93" s="66"/>
      <c r="BP93" s="66"/>
      <c r="BQ93" s="66"/>
      <c r="BR93" t="b" s="73">
        <v>0</v>
      </c>
      <c r="BS93" s="68" cm="1">
        <f t="array" ref="BS93">IF(M93&lt;=0.8*K93,5%*K93,M93*5%)</f>
        <v>17387500</v>
      </c>
      <c r="BT93" t="s" s="70">
        <v>910</v>
      </c>
      <c r="BU93" s="66"/>
      <c r="BV93" s="68" cm="1">
        <f t="array" ref="BV93">J93-M93</f>
        <v>1559500</v>
      </c>
    </row>
    <row r="94" ht="72.25" customHeight="1">
      <c r="A94" s="49"/>
      <c r="B94" s="50">
        <v>49977774</v>
      </c>
      <c r="C94" t="s" s="51">
        <v>911</v>
      </c>
      <c r="D94" t="s" s="52">
        <v>165</v>
      </c>
      <c r="E94" t="str" s="53" cm="1">
        <f t="array" ref="E94">$C94</f>
        <v>Rehabilitasi Gedung Kantor/Partisi Kantor Dinas PUPR</v>
      </c>
      <c r="F94" s="54"/>
      <c r="G94" s="53"/>
      <c r="H94" s="53"/>
      <c r="I94" s="53"/>
      <c r="J94" s="55">
        <v>180000000</v>
      </c>
      <c r="K94" s="77">
        <v>179987345.23</v>
      </c>
      <c r="L94" s="57">
        <v>179834126.94</v>
      </c>
      <c r="M94" s="55">
        <v>179800000</v>
      </c>
      <c r="N94" t="s" s="58">
        <v>912</v>
      </c>
      <c r="O94" t="s" s="59">
        <v>913</v>
      </c>
      <c r="P94" t="s" s="58">
        <v>4</v>
      </c>
      <c r="Q94" t="s" s="58">
        <v>914</v>
      </c>
      <c r="R94" t="s" s="58">
        <v>915</v>
      </c>
      <c r="S94" t="s" s="58">
        <v>230</v>
      </c>
      <c r="T94" s="60">
        <v>45112</v>
      </c>
      <c r="U94" t="s" s="58">
        <v>916</v>
      </c>
      <c r="V94" t="s" s="58">
        <v>917</v>
      </c>
      <c r="W94" t="s" s="58">
        <v>918</v>
      </c>
      <c r="X94" s="61">
        <v>90</v>
      </c>
      <c r="Y94" t="s" s="58">
        <v>10</v>
      </c>
      <c r="Z94" s="55" cm="1">
        <f t="array" ref="Z94">M94</f>
        <v>179800000</v>
      </c>
      <c r="AA94" t="s" s="58">
        <v>11</v>
      </c>
      <c r="AB94" s="60" cm="1">
        <f t="array" ref="AB94">AH94</f>
        <v>45385</v>
      </c>
      <c r="AC94" s="61" cm="1">
        <f t="array" ref="AC94">6*30</f>
        <v>180</v>
      </c>
      <c r="AD94" t="s" s="58">
        <v>109</v>
      </c>
      <c r="AE94" t="s" s="58">
        <v>110</v>
      </c>
      <c r="AF94" t="s" s="58">
        <v>167</v>
      </c>
      <c r="AG94" s="60">
        <v>45384</v>
      </c>
      <c r="AH94" s="60">
        <v>45385</v>
      </c>
      <c r="AI94" s="60">
        <v>45385</v>
      </c>
      <c r="AJ94" s="60">
        <v>45385</v>
      </c>
      <c r="AK94" s="60">
        <v>45385</v>
      </c>
      <c r="AL94" s="60">
        <v>45385</v>
      </c>
      <c r="AM94" s="60">
        <v>45385</v>
      </c>
      <c r="AN94" t="s" s="58">
        <v>919</v>
      </c>
      <c r="AO94" s="60" cm="1">
        <f t="array" ref="AO94">AJ94</f>
        <v>45385</v>
      </c>
      <c r="AP94" t="s" s="58">
        <v>920</v>
      </c>
      <c r="AQ94" s="60" cm="1">
        <f t="array" ref="AQ94">AJ94</f>
        <v>45385</v>
      </c>
      <c r="AR94" t="s" s="58">
        <v>921</v>
      </c>
      <c r="AS94" s="60" cm="1">
        <f t="array" ref="AS94">AJ94</f>
        <v>45385</v>
      </c>
      <c r="AT94" t="s" s="78">
        <v>922</v>
      </c>
      <c r="AU94" s="60" cm="1">
        <f t="array" ref="AU94">AJ94</f>
        <v>45385</v>
      </c>
      <c r="AV94" s="53"/>
      <c r="AW94" t="str" s="63" cm="1">
        <f t="array" ref="AW94">"600/"&amp;$B94&amp;"/"&amp;IF(AND($AE94="Konsultansi",M94&lt;=100000000),"SPK",IF(AND($AE94="Konsultansi",M94&gt;100000000),"Kont",IF(AND($AE94&lt;&gt;"Konsultansi",M94&lt;=200000000),"SPK","Kont")))&amp;"-"&amp;AE94&amp;"/PPK/DPUPR"</f>
        <v>600/49977774/SPK-Konstruksi/PPK/DPUPR</v>
      </c>
      <c r="AX94" t="str" s="63" cm="1">
        <f t="array" ref="AX94">"600/"&amp;$B94&amp;"/SPMK/PPK/DPUPR"</f>
        <v>600/49977774/SPMK/PPK/DPUPR</v>
      </c>
      <c r="AY94" s="53"/>
      <c r="AZ94" s="53"/>
      <c r="BA94" s="53"/>
      <c r="BB94" s="53"/>
      <c r="BC94" s="53"/>
      <c r="BD94" s="53"/>
      <c r="BE94" s="53"/>
      <c r="BF94" s="53"/>
      <c r="BG94" s="64">
        <v>227</v>
      </c>
      <c r="BH94" t="s" s="58">
        <v>912</v>
      </c>
      <c r="BI94" t="s" s="58">
        <v>21</v>
      </c>
      <c r="BJ94" t="s" s="58">
        <v>22</v>
      </c>
      <c r="BK94" t="s" s="58">
        <v>23</v>
      </c>
      <c r="BL94" t="s" s="58">
        <v>24</v>
      </c>
      <c r="BM94" s="53"/>
      <c r="BN94" s="53"/>
      <c r="BO94" s="53"/>
      <c r="BP94" s="53"/>
      <c r="BQ94" s="53"/>
      <c r="BR94" t="b" s="61">
        <v>0</v>
      </c>
      <c r="BS94" s="55" cm="1">
        <f t="array" ref="BS94">IF(M94&lt;=0.8*K94,5%*K94,M94*5%)</f>
        <v>8990000</v>
      </c>
      <c r="BT94" t="s" s="58">
        <v>173</v>
      </c>
      <c r="BU94" s="53"/>
      <c r="BV94" s="55" cm="1">
        <f t="array" ref="BV94">J94-M94</f>
        <v>200000</v>
      </c>
    </row>
    <row r="95" ht="72.25" customHeight="1">
      <c r="A95" s="49"/>
      <c r="B95" s="50">
        <v>49979513</v>
      </c>
      <c r="C95" t="s" s="51">
        <v>925</v>
      </c>
      <c r="D95" t="s" s="65">
        <v>165</v>
      </c>
      <c r="E95" t="str" s="66" cm="1">
        <f t="array" ref="E95">$C95</f>
        <v>Pemb. Tiang Bendera Alun-Alun Pasangkayu</v>
      </c>
      <c r="F95" s="67"/>
      <c r="G95" s="66"/>
      <c r="H95" s="66"/>
      <c r="I95" s="66"/>
      <c r="J95" s="68">
        <v>150000000</v>
      </c>
      <c r="K95" s="76">
        <v>149973909.91</v>
      </c>
      <c r="L95" s="57">
        <v>149914485.27</v>
      </c>
      <c r="M95" s="68">
        <v>149886000</v>
      </c>
      <c r="N95" t="s" s="70">
        <v>912</v>
      </c>
      <c r="O95" t="s" s="71">
        <v>913</v>
      </c>
      <c r="P95" t="s" s="70">
        <v>4</v>
      </c>
      <c r="Q95" t="s" s="70">
        <v>914</v>
      </c>
      <c r="R95" t="s" s="70">
        <v>915</v>
      </c>
      <c r="S95" t="s" s="70">
        <v>230</v>
      </c>
      <c r="T95" s="72">
        <v>45112</v>
      </c>
      <c r="U95" t="s" s="70">
        <v>916</v>
      </c>
      <c r="V95" t="s" s="70">
        <v>917</v>
      </c>
      <c r="W95" t="s" s="70">
        <v>918</v>
      </c>
      <c r="X95" s="73">
        <v>90</v>
      </c>
      <c r="Y95" t="s" s="70">
        <v>10</v>
      </c>
      <c r="Z95" s="68" cm="1">
        <f t="array" ref="Z95">M95</f>
        <v>149886000</v>
      </c>
      <c r="AA95" t="s" s="70">
        <v>11</v>
      </c>
      <c r="AB95" s="72" cm="1">
        <f t="array" ref="AB95">AH95</f>
        <v>45385</v>
      </c>
      <c r="AC95" s="73" cm="1">
        <f t="array" ref="AC95">6*30</f>
        <v>180</v>
      </c>
      <c r="AD95" t="s" s="70">
        <v>109</v>
      </c>
      <c r="AE95" t="s" s="70">
        <v>110</v>
      </c>
      <c r="AF95" t="s" s="70">
        <v>167</v>
      </c>
      <c r="AG95" s="72">
        <v>45384</v>
      </c>
      <c r="AH95" s="72">
        <v>45385</v>
      </c>
      <c r="AI95" s="72">
        <v>45385</v>
      </c>
      <c r="AJ95" s="72">
        <v>45385</v>
      </c>
      <c r="AK95" s="72">
        <v>45385</v>
      </c>
      <c r="AL95" s="72">
        <v>45385</v>
      </c>
      <c r="AM95" s="72">
        <v>45385</v>
      </c>
      <c r="AN95" t="s" s="70">
        <v>926</v>
      </c>
      <c r="AO95" s="72" cm="1">
        <f t="array" ref="AO95">AJ95</f>
        <v>45385</v>
      </c>
      <c r="AP95" t="s" s="70">
        <v>927</v>
      </c>
      <c r="AQ95" s="72" cm="1">
        <f t="array" ref="AQ95">AJ95</f>
        <v>45385</v>
      </c>
      <c r="AR95" t="s" s="70">
        <v>928</v>
      </c>
      <c r="AS95" s="72" cm="1">
        <f t="array" ref="AS95">AJ95</f>
        <v>45385</v>
      </c>
      <c r="AT95" t="s" s="78">
        <v>929</v>
      </c>
      <c r="AU95" s="72" cm="1">
        <f t="array" ref="AU95">AJ95</f>
        <v>45385</v>
      </c>
      <c r="AV95" s="66"/>
      <c r="AW95" t="str" s="74" cm="1">
        <f t="array" ref="AW95">"600/"&amp;$B95&amp;"/"&amp;IF(AND($AE95="Konsultansi",M95&lt;=100000000),"SPK",IF(AND($AE95="Konsultansi",M95&gt;100000000),"Kont",IF(AND($AE95&lt;&gt;"Konsultansi",M95&lt;=200000000),"SPK","Kont")))&amp;"-"&amp;AE95&amp;"/PPK/DPUPR"</f>
        <v>600/49979513/SPK-Konstruksi/PPK/DPUPR</v>
      </c>
      <c r="AX95" t="str" s="74" cm="1">
        <f t="array" ref="AX95">"600/"&amp;$B95&amp;"/SPMK/PPK/DPUPR"</f>
        <v>600/49979513/SPMK/PPK/DPUPR</v>
      </c>
      <c r="AY95" s="66"/>
      <c r="AZ95" s="66"/>
      <c r="BA95" s="66"/>
      <c r="BB95" s="66"/>
      <c r="BC95" s="66"/>
      <c r="BD95" s="66"/>
      <c r="BE95" s="66"/>
      <c r="BF95" s="66"/>
      <c r="BG95" s="75">
        <v>227</v>
      </c>
      <c r="BH95" t="s" s="70">
        <v>912</v>
      </c>
      <c r="BI95" t="s" s="70">
        <v>21</v>
      </c>
      <c r="BJ95" t="s" s="70">
        <v>22</v>
      </c>
      <c r="BK95" t="s" s="70">
        <v>23</v>
      </c>
      <c r="BL95" t="s" s="70">
        <v>24</v>
      </c>
      <c r="BM95" s="66"/>
      <c r="BN95" s="66"/>
      <c r="BO95" s="66"/>
      <c r="BP95" s="66"/>
      <c r="BQ95" s="66"/>
      <c r="BR95" t="b" s="73">
        <v>0</v>
      </c>
      <c r="BS95" s="68" cm="1">
        <f t="array" ref="BS95">IF(M95&lt;=0.8*K95,5%*K95,M95*5%)</f>
        <v>7494300</v>
      </c>
      <c r="BT95" t="s" s="70">
        <v>173</v>
      </c>
      <c r="BU95" s="66"/>
      <c r="BV95" s="68" cm="1">
        <f t="array" ref="BV95">J95-M95</f>
        <v>114000</v>
      </c>
    </row>
    <row r="96" ht="44.25" customHeight="1">
      <c r="A96" s="49"/>
      <c r="B96" s="50">
        <v>51864970</v>
      </c>
      <c r="C96" t="s" s="51">
        <v>932</v>
      </c>
      <c r="D96" t="s" s="52">
        <v>933</v>
      </c>
      <c r="E96" t="str" s="53" cm="1">
        <f t="array" ref="E96">$C96</f>
        <v>Standar Operasional Prosedur (SOP) Bidang Pekerjaan Umum dan Penataan Ruang</v>
      </c>
      <c r="F96" s="54"/>
      <c r="G96" s="53"/>
      <c r="H96" s="53"/>
      <c r="I96" s="53"/>
      <c r="J96" s="55">
        <v>100000000</v>
      </c>
      <c r="K96" s="77">
        <v>99999531.72</v>
      </c>
      <c r="L96" s="57">
        <v>99926892</v>
      </c>
      <c r="M96" s="55">
        <v>99926000</v>
      </c>
      <c r="N96" t="s" s="58">
        <v>119</v>
      </c>
      <c r="O96" t="s" s="59">
        <v>120</v>
      </c>
      <c r="P96" t="s" s="58">
        <v>4</v>
      </c>
      <c r="Q96" t="s" s="58">
        <v>121</v>
      </c>
      <c r="R96" t="s" s="58">
        <v>122</v>
      </c>
      <c r="S96" t="s" s="58">
        <v>123</v>
      </c>
      <c r="T96" s="60">
        <v>41871</v>
      </c>
      <c r="U96" t="s" s="58">
        <v>124</v>
      </c>
      <c r="V96" t="s" s="58">
        <v>125</v>
      </c>
      <c r="W96" t="s" s="58">
        <v>126</v>
      </c>
      <c r="X96" s="61">
        <v>60</v>
      </c>
      <c r="Y96" t="s" s="58">
        <v>10</v>
      </c>
      <c r="Z96" s="55" cm="1">
        <f t="array" ref="Z96">M96</f>
        <v>99926000</v>
      </c>
      <c r="AA96" t="s" s="58">
        <v>934</v>
      </c>
      <c r="AB96" s="60" cm="1">
        <f t="array" ref="AB96">AH96</f>
        <v>45399.416666666664</v>
      </c>
      <c r="AC96" s="53"/>
      <c r="AD96" t="s" s="58">
        <v>128</v>
      </c>
      <c r="AE96" t="s" s="58">
        <v>13</v>
      </c>
      <c r="AF96" t="s" s="58">
        <v>935</v>
      </c>
      <c r="AG96" s="60">
        <v>45398.416666666664</v>
      </c>
      <c r="AH96" s="60">
        <v>45399.416666666664</v>
      </c>
      <c r="AI96" s="60">
        <v>45399.427083333336</v>
      </c>
      <c r="AJ96" s="60">
        <v>45399.5</v>
      </c>
      <c r="AK96" s="60">
        <v>45399.583333333336</v>
      </c>
      <c r="AL96" s="60">
        <v>45399.583333333336</v>
      </c>
      <c r="AM96" s="60">
        <v>45399.583333333336</v>
      </c>
      <c r="AN96" t="s" s="58">
        <v>936</v>
      </c>
      <c r="AO96" s="60" cm="1">
        <f t="array" ref="AO96">AJ96</f>
        <v>45399.5</v>
      </c>
      <c r="AP96" t="s" s="58">
        <v>937</v>
      </c>
      <c r="AQ96" s="60" cm="1">
        <f t="array" ref="AQ96">AJ96</f>
        <v>45399.5</v>
      </c>
      <c r="AR96" t="s" s="58">
        <v>938</v>
      </c>
      <c r="AS96" s="60" cm="1">
        <f t="array" ref="AS96">AJ96</f>
        <v>45399.5</v>
      </c>
      <c r="AT96" t="s" s="78">
        <v>939</v>
      </c>
      <c r="AU96" s="60" cm="1">
        <f t="array" ref="AU96">AJ96</f>
        <v>45399.5</v>
      </c>
      <c r="AV96" s="53"/>
      <c r="AW96" t="str" s="63" cm="1">
        <f t="array" ref="AW96">"600/"&amp;$B96&amp;"/"&amp;IF(AND($AE96="Konsultansi",M96&lt;=100000000),"SPK",IF(AND($AE96="Konsultansi",M96&gt;100000000),"Kont",IF(AND($AE96&lt;&gt;"Konsultansi",M96&lt;=200000000),"SPK","Kont")))&amp;"-"&amp;AE96&amp;"/PPK/DPUPR"</f>
        <v>600/51864970/SPK-Konsultansi/PPK/DPUPR</v>
      </c>
      <c r="AX96" t="str" s="63" cm="1">
        <f t="array" ref="AX96">"600/"&amp;$B96&amp;"/SPMK/PPK/DPUPR"</f>
        <v>600/51864970/SPMK/PPK/DPUPR</v>
      </c>
      <c r="AY96" s="53"/>
      <c r="AZ96" s="53"/>
      <c r="BA96" s="53"/>
      <c r="BB96" s="53"/>
      <c r="BC96" s="53"/>
      <c r="BD96" s="53"/>
      <c r="BE96" s="53"/>
      <c r="BF96" s="53"/>
      <c r="BG96" s="64">
        <v>158</v>
      </c>
      <c r="BH96" t="s" s="58">
        <v>119</v>
      </c>
      <c r="BI96" t="s" s="58">
        <v>21</v>
      </c>
      <c r="BJ96" t="s" s="58">
        <v>22</v>
      </c>
      <c r="BK96" t="s" s="58">
        <v>23</v>
      </c>
      <c r="BL96" t="s" s="58">
        <v>24</v>
      </c>
      <c r="BM96" s="53"/>
      <c r="BN96" s="53"/>
      <c r="BO96" s="53"/>
      <c r="BP96" s="53"/>
      <c r="BQ96" s="53"/>
      <c r="BR96" t="b" s="61">
        <v>0</v>
      </c>
      <c r="BS96" s="55" cm="1">
        <f t="array" ref="BS96">IF(M96&lt;=0.8*K96,5%*K96,M96*5%)</f>
        <v>4996300</v>
      </c>
      <c r="BT96" t="s" s="58">
        <v>910</v>
      </c>
      <c r="BU96" s="53"/>
      <c r="BV96" s="55" cm="1">
        <f t="array" ref="BV96">J96-M96</f>
        <v>74000</v>
      </c>
    </row>
    <row r="97" ht="72.25" customHeight="1">
      <c r="A97" s="49"/>
      <c r="B97" s="50">
        <v>49979604</v>
      </c>
      <c r="C97" t="s" s="51">
        <v>942</v>
      </c>
      <c r="D97" t="s" s="65">
        <v>165</v>
      </c>
      <c r="E97" t="str" s="66" cm="1">
        <f t="array" ref="E97">$C97</f>
        <v>Pemeliharaan/Rehabilitasi Taman Air Mancur Pasangkayu</v>
      </c>
      <c r="F97" s="67"/>
      <c r="G97" s="66"/>
      <c r="H97" s="66"/>
      <c r="I97" s="66"/>
      <c r="J97" s="68">
        <v>185000000</v>
      </c>
      <c r="K97" s="69">
        <v>184999992.6</v>
      </c>
      <c r="L97" s="57">
        <v>184988892.6</v>
      </c>
      <c r="M97" s="68">
        <v>184988000</v>
      </c>
      <c r="N97" t="s" s="70">
        <v>943</v>
      </c>
      <c r="O97" t="s" s="71">
        <v>944</v>
      </c>
      <c r="P97" t="s" s="70">
        <v>4</v>
      </c>
      <c r="Q97" t="s" s="70">
        <v>945</v>
      </c>
      <c r="R97" t="s" s="70">
        <v>946</v>
      </c>
      <c r="S97" t="s" s="70">
        <v>947</v>
      </c>
      <c r="T97" s="72">
        <v>43689</v>
      </c>
      <c r="U97" t="s" s="70">
        <v>948</v>
      </c>
      <c r="V97" t="s" s="70">
        <v>949</v>
      </c>
      <c r="W97" t="s" s="70">
        <v>950</v>
      </c>
      <c r="X97" s="73">
        <v>90</v>
      </c>
      <c r="Y97" t="s" s="70">
        <v>10</v>
      </c>
      <c r="Z97" s="68" cm="1">
        <f t="array" ref="Z97">M97</f>
        <v>184988000</v>
      </c>
      <c r="AA97" t="s" s="70">
        <v>11</v>
      </c>
      <c r="AB97" s="72" cm="1">
        <f t="array" ref="AB97">AH97</f>
        <v>45400</v>
      </c>
      <c r="AC97" s="73" cm="1">
        <f t="array" ref="AC97">6*30</f>
        <v>180</v>
      </c>
      <c r="AD97" t="s" s="70">
        <v>109</v>
      </c>
      <c r="AE97" t="s" s="70">
        <v>110</v>
      </c>
      <c r="AF97" t="s" s="70">
        <v>167</v>
      </c>
      <c r="AG97" s="72">
        <v>45399</v>
      </c>
      <c r="AH97" s="72">
        <v>45400</v>
      </c>
      <c r="AI97" s="72">
        <v>45400</v>
      </c>
      <c r="AJ97" s="72">
        <v>45400</v>
      </c>
      <c r="AK97" s="72">
        <v>45400</v>
      </c>
      <c r="AL97" s="72">
        <v>45400</v>
      </c>
      <c r="AM97" s="72">
        <v>45400</v>
      </c>
      <c r="AN97" t="s" s="70">
        <v>951</v>
      </c>
      <c r="AO97" s="72" cm="1">
        <f t="array" ref="AO97">AJ97</f>
        <v>45400</v>
      </c>
      <c r="AP97" t="s" s="70">
        <v>952</v>
      </c>
      <c r="AQ97" s="72" cm="1">
        <f t="array" ref="AQ97">AJ97</f>
        <v>45400</v>
      </c>
      <c r="AR97" t="s" s="70">
        <v>953</v>
      </c>
      <c r="AS97" s="72" cm="1">
        <f t="array" ref="AS97">AJ97</f>
        <v>45400</v>
      </c>
      <c r="AT97" t="s" s="78">
        <v>954</v>
      </c>
      <c r="AU97" s="72" cm="1">
        <f t="array" ref="AU97">AJ97</f>
        <v>45400</v>
      </c>
      <c r="AV97" s="66"/>
      <c r="AW97" t="str" s="74" cm="1">
        <f t="array" ref="AW97">"600/"&amp;$B97&amp;"/"&amp;IF(AND($AE97="Konsultansi",M97&lt;=100000000),"SPK",IF(AND($AE97="Konsultansi",M97&gt;100000000),"Kont",IF(AND($AE97&lt;&gt;"Konsultansi",M97&lt;=200000000),"SPK","Kont")))&amp;"-"&amp;AE97&amp;"/PPK/DPUPR"</f>
        <v>600/49979604/SPK-Konstruksi/PPK/DPUPR</v>
      </c>
      <c r="AX97" t="str" s="74" cm="1">
        <f t="array" ref="AX97">"600/"&amp;$B97&amp;"/SPMK/PPK/DPUPR"</f>
        <v>600/49979604/SPMK/PPK/DPUPR</v>
      </c>
      <c r="AY97" s="66"/>
      <c r="AZ97" s="66"/>
      <c r="BA97" s="66"/>
      <c r="BB97" s="66"/>
      <c r="BC97" s="66"/>
      <c r="BD97" s="66"/>
      <c r="BE97" s="66"/>
      <c r="BF97" s="66"/>
      <c r="BG97" s="75">
        <v>228</v>
      </c>
      <c r="BH97" t="s" s="70">
        <v>943</v>
      </c>
      <c r="BI97" t="s" s="70">
        <v>21</v>
      </c>
      <c r="BJ97" t="s" s="70">
        <v>22</v>
      </c>
      <c r="BK97" t="s" s="70">
        <v>23</v>
      </c>
      <c r="BL97" t="s" s="70">
        <v>24</v>
      </c>
      <c r="BM97" s="66"/>
      <c r="BN97" s="66"/>
      <c r="BO97" s="66"/>
      <c r="BP97" s="66"/>
      <c r="BQ97" s="66"/>
      <c r="BR97" t="b" s="73">
        <v>0</v>
      </c>
      <c r="BS97" s="68" cm="1">
        <f t="array" ref="BS97">IF(M97&lt;=0.8*K97,5%*K97,M97*5%)</f>
        <v>9249400</v>
      </c>
      <c r="BT97" t="s" s="70">
        <v>173</v>
      </c>
      <c r="BU97" s="66"/>
      <c r="BV97" s="68" cm="1">
        <f t="array" ref="BV97">J97-M97</f>
        <v>12000</v>
      </c>
    </row>
    <row r="98" ht="72.25" customHeight="1">
      <c r="A98" s="49"/>
      <c r="B98" s="50">
        <v>49981784</v>
      </c>
      <c r="C98" t="s" s="51">
        <v>957</v>
      </c>
      <c r="D98" t="s" s="52">
        <v>165</v>
      </c>
      <c r="E98" t="str" s="53" cm="1">
        <f t="array" ref="E98">$C98</f>
        <v>Pemb. Jalan Rabat Beton Pasangkayu</v>
      </c>
      <c r="F98" s="54"/>
      <c r="G98" s="53"/>
      <c r="H98" s="53"/>
      <c r="I98" s="53"/>
      <c r="J98" s="55">
        <v>100000000</v>
      </c>
      <c r="K98" s="55">
        <v>99973479</v>
      </c>
      <c r="L98" s="57">
        <v>99560760.42</v>
      </c>
      <c r="M98" s="55">
        <v>99555000</v>
      </c>
      <c r="N98" t="s" s="58">
        <v>641</v>
      </c>
      <c r="O98" t="s" s="59">
        <v>642</v>
      </c>
      <c r="P98" t="s" s="58">
        <v>4</v>
      </c>
      <c r="Q98" t="s" s="58">
        <v>643</v>
      </c>
      <c r="R98" t="s" s="58">
        <v>644</v>
      </c>
      <c r="S98" s="100">
        <v>0.0213082259663033</v>
      </c>
      <c r="T98" s="60">
        <v>43242</v>
      </c>
      <c r="U98" t="s" s="58">
        <v>616</v>
      </c>
      <c r="V98" t="s" s="58">
        <v>645</v>
      </c>
      <c r="W98" t="s" s="58">
        <v>646</v>
      </c>
      <c r="X98" s="61">
        <v>90</v>
      </c>
      <c r="Y98" t="s" s="58">
        <v>10</v>
      </c>
      <c r="Z98" s="55" cm="1">
        <f t="array" ref="Z98">M98</f>
        <v>99555000</v>
      </c>
      <c r="AA98" t="s" s="58">
        <v>11</v>
      </c>
      <c r="AB98" s="60" cm="1">
        <f t="array" ref="AB98">AH98</f>
        <v>45415</v>
      </c>
      <c r="AC98" s="61" cm="1">
        <f t="array" ref="AC98">6*30</f>
        <v>180</v>
      </c>
      <c r="AD98" t="s" s="58">
        <v>109</v>
      </c>
      <c r="AE98" t="s" s="58">
        <v>110</v>
      </c>
      <c r="AF98" t="s" s="58">
        <v>958</v>
      </c>
      <c r="AG98" s="60">
        <v>45414</v>
      </c>
      <c r="AH98" s="60">
        <v>45415</v>
      </c>
      <c r="AI98" s="60">
        <v>45415</v>
      </c>
      <c r="AJ98" s="60">
        <v>45415</v>
      </c>
      <c r="AK98" s="60">
        <v>45415</v>
      </c>
      <c r="AL98" s="60">
        <v>45415</v>
      </c>
      <c r="AM98" s="60">
        <v>45415</v>
      </c>
      <c r="AN98" t="s" s="58">
        <v>959</v>
      </c>
      <c r="AO98" s="60" cm="1">
        <f t="array" ref="AO98">AJ98</f>
        <v>45415</v>
      </c>
      <c r="AP98" t="s" s="58">
        <v>960</v>
      </c>
      <c r="AQ98" s="60" cm="1">
        <f t="array" ref="AQ98">AJ98</f>
        <v>45415</v>
      </c>
      <c r="AR98" t="s" s="58">
        <v>961</v>
      </c>
      <c r="AS98" s="60" cm="1">
        <f t="array" ref="AS98">AJ98</f>
        <v>45415</v>
      </c>
      <c r="AT98" t="s" s="78">
        <v>962</v>
      </c>
      <c r="AU98" s="60" cm="1">
        <f t="array" ref="AU98">AJ98</f>
        <v>45415</v>
      </c>
      <c r="AV98" s="53"/>
      <c r="AW98" t="str" s="63" cm="1">
        <f t="array" ref="AW98">"600/"&amp;$B98&amp;"/"&amp;IF(AND($AE98="Konsultansi",M98&lt;=100000000),"SPK",IF(AND($AE98="Konsultansi",M98&gt;100000000),"Kont",IF(AND($AE98&lt;&gt;"Konsultansi",M98&lt;=200000000),"SPK","Kont")))&amp;"-"&amp;AE98&amp;"/PPK/DPUPR"</f>
        <v>600/49981784/SPK-Konstruksi/PPK/DPUPR</v>
      </c>
      <c r="AX98" t="str" s="63" cm="1">
        <f t="array" ref="AX98">"600/"&amp;$B98&amp;"/SPMK/PPK/DPUPR"</f>
        <v>600/49981784/SPMK/PPK/DPUPR</v>
      </c>
      <c r="AY98" s="53"/>
      <c r="AZ98" s="53"/>
      <c r="BA98" s="53"/>
      <c r="BB98" s="53"/>
      <c r="BC98" s="53"/>
      <c r="BD98" s="53"/>
      <c r="BE98" s="53"/>
      <c r="BF98" s="53"/>
      <c r="BG98" s="64">
        <v>171</v>
      </c>
      <c r="BH98" t="s" s="58">
        <v>641</v>
      </c>
      <c r="BI98" t="s" s="58">
        <v>21</v>
      </c>
      <c r="BJ98" t="s" s="58">
        <v>22</v>
      </c>
      <c r="BK98" t="s" s="58">
        <v>23</v>
      </c>
      <c r="BL98" t="s" s="58">
        <v>24</v>
      </c>
      <c r="BM98" s="53"/>
      <c r="BN98" s="53"/>
      <c r="BO98" s="53"/>
      <c r="BP98" s="53"/>
      <c r="BQ98" s="53"/>
      <c r="BR98" t="b" s="61">
        <v>0</v>
      </c>
      <c r="BS98" s="55" cm="1">
        <f t="array" ref="BS98">IF(M98&lt;=0.8*K98,5%*K98,M98*5%)</f>
        <v>4977750</v>
      </c>
      <c r="BT98" t="s" s="58">
        <v>173</v>
      </c>
      <c r="BU98" s="53"/>
      <c r="BV98" s="55" cm="1">
        <f t="array" ref="BV98">J98-M98</f>
        <v>445000</v>
      </c>
    </row>
    <row r="99" ht="24.25" customHeight="1">
      <c r="A99" s="49"/>
      <c r="B99" s="49"/>
      <c r="C99" s="101"/>
      <c r="D99" s="106"/>
      <c r="E99" s="73" cm="1">
        <f t="array" ref="E99">$C99</f>
        <v>0</v>
      </c>
      <c r="F99" s="67"/>
      <c r="G99" s="66"/>
      <c r="H99" s="66"/>
      <c r="I99" s="66"/>
      <c r="J99" s="68"/>
      <c r="K99" s="68"/>
      <c r="L99" s="57"/>
      <c r="M99" s="68"/>
      <c r="N99" t="s" s="70">
        <v>676</v>
      </c>
      <c r="O99" t="s" s="71">
        <v>676</v>
      </c>
      <c r="P99" t="s" s="70">
        <v>676</v>
      </c>
      <c r="Q99" t="s" s="70">
        <v>676</v>
      </c>
      <c r="R99" t="s" s="70">
        <v>676</v>
      </c>
      <c r="S99" t="s" s="70">
        <v>676</v>
      </c>
      <c r="T99" t="s" s="70">
        <v>676</v>
      </c>
      <c r="U99" t="s" s="70">
        <v>676</v>
      </c>
      <c r="V99" t="s" s="70">
        <v>676</v>
      </c>
      <c r="W99" t="s" s="70">
        <v>676</v>
      </c>
      <c r="X99" s="66"/>
      <c r="Y99" s="66"/>
      <c r="Z99" s="68" cm="1">
        <f t="array" ref="Z99">M99</f>
        <v>0</v>
      </c>
      <c r="AA99" s="66"/>
      <c r="AB99" s="72" cm="1">
        <f t="array" ref="AB99">AH99</f>
      </c>
      <c r="AC99" s="73" cm="1">
        <f t="array" ref="AC99">6*30</f>
        <v>180</v>
      </c>
      <c r="AD99" s="66"/>
      <c r="AE99" t="s" s="70">
        <v>701</v>
      </c>
      <c r="AF99" s="66"/>
      <c r="AG99" s="72"/>
      <c r="AH99" s="72"/>
      <c r="AI99" s="72"/>
      <c r="AJ99" s="72"/>
      <c r="AK99" s="72"/>
      <c r="AL99" s="72"/>
      <c r="AM99" s="72"/>
      <c r="AN99" t="s" s="70">
        <v>677</v>
      </c>
      <c r="AO99" s="66" cm="1">
        <f t="array" ref="AO99">AJ99</f>
      </c>
      <c r="AP99" t="s" s="70">
        <v>678</v>
      </c>
      <c r="AQ99" s="66" cm="1">
        <f t="array" ref="AQ99">AJ99</f>
      </c>
      <c r="AR99" t="s" s="70">
        <v>702</v>
      </c>
      <c r="AS99" s="66" cm="1">
        <f t="array" ref="AS99">AJ99</f>
      </c>
      <c r="AT99" t="s" s="78">
        <v>703</v>
      </c>
      <c r="AU99" s="66" cm="1">
        <f t="array" ref="AU99">AJ99</f>
      </c>
      <c r="AV99" s="66"/>
      <c r="AW99" t="str" s="74" cm="1">
        <f t="array" ref="AW99">"600/"&amp;$B99&amp;"/"&amp;IF(AND($AE99="Konsultansi",M99&lt;=100000000),"SPK",IF(AND($AE99="Konsultansi",M99&gt;100000000),"Kont",IF(AND($AE99&lt;&gt;"Konsultansi",M99&lt;=200000000),"SPK","Kont")))&amp;"-"&amp;AE99&amp;"/PPK/DPUPR"</f>
        <v>600//SPK-Barang/PPK/DPUPR</v>
      </c>
      <c r="AX99" t="str" s="74" cm="1">
        <f t="array" ref="AX99">"600/"&amp;$B99&amp;"/SPMK/PPK/DPUPR"</f>
        <v>600//SPMK/PPK/DPUPR</v>
      </c>
      <c r="AY99" s="66"/>
      <c r="AZ99" s="66"/>
      <c r="BA99" s="66"/>
      <c r="BB99" s="66"/>
      <c r="BC99" s="66"/>
      <c r="BD99" s="66"/>
      <c r="BE99" s="66"/>
      <c r="BF99" s="66"/>
      <c r="BG99" s="102"/>
      <c r="BH99" t="s" s="70">
        <v>683</v>
      </c>
      <c r="BI99" t="s" s="70">
        <v>21</v>
      </c>
      <c r="BJ99" t="s" s="70">
        <v>22</v>
      </c>
      <c r="BK99" t="s" s="70">
        <v>23</v>
      </c>
      <c r="BL99" t="s" s="70">
        <v>24</v>
      </c>
      <c r="BM99" s="66"/>
      <c r="BN99" s="66"/>
      <c r="BO99" s="66"/>
      <c r="BP99" s="66"/>
      <c r="BQ99" s="66"/>
      <c r="BR99" t="b" s="73">
        <v>0</v>
      </c>
      <c r="BS99" s="68" cm="1">
        <f t="array" ref="BS99">IF(M99&lt;=0.8*K99,5%*K99,M99*5%)</f>
        <v>0</v>
      </c>
      <c r="BT99" t="s" s="70">
        <v>705</v>
      </c>
      <c r="BU99" s="66"/>
      <c r="BV99" s="68" cm="1">
        <f t="array" ref="BV99">J99-M99</f>
        <v>0</v>
      </c>
    </row>
    <row r="100" ht="36.25" customHeight="1">
      <c r="A100" s="49"/>
      <c r="B100" s="50">
        <v>51309562</v>
      </c>
      <c r="C100" t="s" s="51">
        <v>965</v>
      </c>
      <c r="D100" t="s" s="52">
        <v>1</v>
      </c>
      <c r="E100" t="str" s="53" cm="1">
        <f t="array" ref="E100">$C100</f>
        <v>Perencanaan Peningkatan jalan Samping Kodim Pasangkayu cs.</v>
      </c>
      <c r="F100" s="54"/>
      <c r="G100" s="53"/>
      <c r="H100" s="53"/>
      <c r="I100" s="53"/>
      <c r="J100" s="55">
        <v>12500000</v>
      </c>
      <c r="K100" s="55">
        <v>12499000</v>
      </c>
      <c r="L100" s="57">
        <v>12470893.92</v>
      </c>
      <c r="M100" s="55">
        <v>12470000</v>
      </c>
      <c r="N100" t="s" s="58">
        <v>182</v>
      </c>
      <c r="O100" t="s" s="59">
        <v>183</v>
      </c>
      <c r="P100" t="s" s="58">
        <v>4</v>
      </c>
      <c r="Q100" t="s" s="58">
        <v>184</v>
      </c>
      <c r="R100" t="s" s="58">
        <v>185</v>
      </c>
      <c r="S100" s="61">
        <v>23</v>
      </c>
      <c r="T100" s="60">
        <v>44495</v>
      </c>
      <c r="U100" t="s" s="58">
        <v>186</v>
      </c>
      <c r="V100" t="s" s="58">
        <v>187</v>
      </c>
      <c r="W100" t="s" s="58">
        <v>188</v>
      </c>
      <c r="X100" s="61">
        <v>30</v>
      </c>
      <c r="Y100" t="s" s="58">
        <v>10</v>
      </c>
      <c r="Z100" s="55" cm="1">
        <f t="array" ref="Z100">M100</f>
        <v>12470000</v>
      </c>
      <c r="AA100" t="s" s="58">
        <v>540</v>
      </c>
      <c r="AB100" s="60" cm="1">
        <f t="array" ref="AB100">AH100</f>
        <v>45384</v>
      </c>
      <c r="AC100" s="53"/>
      <c r="AD100" t="s" s="58">
        <v>128</v>
      </c>
      <c r="AE100" t="s" s="58">
        <v>13</v>
      </c>
      <c r="AF100" t="s" s="58">
        <v>111</v>
      </c>
      <c r="AG100" s="60">
        <v>45384</v>
      </c>
      <c r="AH100" s="60">
        <v>45384</v>
      </c>
      <c r="AI100" s="60">
        <v>45384</v>
      </c>
      <c r="AJ100" s="60">
        <v>45384</v>
      </c>
      <c r="AK100" s="60">
        <v>45385</v>
      </c>
      <c r="AL100" s="60">
        <v>45385</v>
      </c>
      <c r="AM100" s="60">
        <v>45385</v>
      </c>
      <c r="AN100" t="s" s="58">
        <v>966</v>
      </c>
      <c r="AO100" s="60" cm="1">
        <f t="array" ref="AO100">AJ100</f>
        <v>45384</v>
      </c>
      <c r="AP100" t="s" s="58">
        <v>967</v>
      </c>
      <c r="AQ100" s="60" cm="1">
        <f t="array" ref="AQ100">AJ100</f>
        <v>45384</v>
      </c>
      <c r="AR100" t="s" s="58">
        <v>968</v>
      </c>
      <c r="AS100" s="60" cm="1">
        <f t="array" ref="AS100">AJ100</f>
        <v>45384</v>
      </c>
      <c r="AT100" t="s" s="78">
        <v>969</v>
      </c>
      <c r="AU100" s="60" cm="1">
        <f t="array" ref="AU100">AJ100</f>
        <v>45384</v>
      </c>
      <c r="AV100" s="53"/>
      <c r="AW100" t="str" s="63" cm="1">
        <f t="array" ref="AW100">"600/"&amp;$B100&amp;"/"&amp;IF(AND($AE100="Konsultansi",M100&lt;=100000000),"SPK",IF(AND($AE100="Konsultansi",M100&gt;100000000),"Kont",IF(AND($AE100&lt;&gt;"Konsultansi",M100&lt;=200000000),"SPK","Kont")))&amp;"-"&amp;AE100&amp;"/PPK/DPUPR"</f>
        <v>600/51309562/SPK-Konsultansi/PPK/DPUPR</v>
      </c>
      <c r="AX100" t="str" s="63" cm="1">
        <f t="array" ref="AX100">"600/"&amp;$B100&amp;"/SPMK/PPK/DPUPR"</f>
        <v>600/51309562/SPMK/PPK/DPUPR</v>
      </c>
      <c r="AY100" s="53"/>
      <c r="AZ100" s="53"/>
      <c r="BA100" s="53"/>
      <c r="BB100" s="53"/>
      <c r="BC100" s="53"/>
      <c r="BD100" s="53"/>
      <c r="BE100" s="53"/>
      <c r="BF100" s="53"/>
      <c r="BG100" s="64">
        <v>223</v>
      </c>
      <c r="BH100" t="s" s="58">
        <v>182</v>
      </c>
      <c r="BI100" t="s" s="58">
        <v>21</v>
      </c>
      <c r="BJ100" t="s" s="58">
        <v>22</v>
      </c>
      <c r="BK100" t="s" s="58">
        <v>23</v>
      </c>
      <c r="BL100" t="s" s="58">
        <v>24</v>
      </c>
      <c r="BM100" s="53"/>
      <c r="BN100" s="53"/>
      <c r="BO100" s="53"/>
      <c r="BP100" s="53"/>
      <c r="BQ100" s="53"/>
      <c r="BR100" t="b" s="61">
        <v>0</v>
      </c>
      <c r="BS100" s="55" cm="1">
        <f t="array" ref="BS100">IF(M100&lt;=0.8*K100,5%*K100,M100*5%)</f>
        <v>623500</v>
      </c>
      <c r="BT100" t="s" s="58">
        <v>25</v>
      </c>
      <c r="BU100" s="53"/>
      <c r="BV100" s="55" cm="1">
        <f t="array" ref="BV100">J100-M100</f>
        <v>30000</v>
      </c>
    </row>
    <row r="101" ht="36.25" customHeight="1">
      <c r="A101" s="49"/>
      <c r="B101" s="50">
        <v>51245302</v>
      </c>
      <c r="C101" t="s" s="51">
        <v>972</v>
      </c>
      <c r="D101" t="s" s="65">
        <v>1</v>
      </c>
      <c r="E101" t="str" s="66" cm="1">
        <f t="array" ref="E101">$C101</f>
        <v>Peningkatan Jalan Salonggabo (Lanjutan)</v>
      </c>
      <c r="F101" s="67"/>
      <c r="G101" s="66"/>
      <c r="H101" s="66"/>
      <c r="I101" s="66"/>
      <c r="J101" s="68">
        <v>200000000</v>
      </c>
      <c r="K101" s="76">
        <v>199893828.48</v>
      </c>
      <c r="L101" s="57">
        <v>199670417.91</v>
      </c>
      <c r="M101" s="68">
        <v>199670000</v>
      </c>
      <c r="N101" t="s" s="70">
        <v>973</v>
      </c>
      <c r="O101" t="s" s="71">
        <v>974</v>
      </c>
      <c r="P101" t="s" s="70">
        <v>4</v>
      </c>
      <c r="Q101" t="s" s="70">
        <v>975</v>
      </c>
      <c r="R101" t="s" s="70">
        <v>976</v>
      </c>
      <c r="S101" s="107">
        <v>43101</v>
      </c>
      <c r="T101" s="72">
        <v>43411</v>
      </c>
      <c r="U101" t="s" s="70">
        <v>977</v>
      </c>
      <c r="V101" t="s" s="70">
        <v>978</v>
      </c>
      <c r="W101" t="s" s="70">
        <v>979</v>
      </c>
      <c r="X101" s="73">
        <v>120</v>
      </c>
      <c r="Y101" t="s" s="70">
        <v>10</v>
      </c>
      <c r="Z101" s="68" cm="1">
        <f t="array" ref="Z101">M101</f>
        <v>199670000</v>
      </c>
      <c r="AA101" t="s" s="70">
        <v>11</v>
      </c>
      <c r="AB101" s="72" cm="1">
        <f t="array" ref="AB101">AH101</f>
        <v>45427.417361111111</v>
      </c>
      <c r="AC101" s="73" cm="1">
        <f t="array" ref="AC101">6*30</f>
        <v>180</v>
      </c>
      <c r="AD101" t="s" s="70">
        <v>109</v>
      </c>
      <c r="AE101" t="s" s="70">
        <v>110</v>
      </c>
      <c r="AF101" t="s" s="70">
        <v>111</v>
      </c>
      <c r="AG101" s="72">
        <v>45426.625</v>
      </c>
      <c r="AH101" s="72">
        <v>45427.417361111111</v>
      </c>
      <c r="AI101" s="72">
        <v>45427.427777777775</v>
      </c>
      <c r="AJ101" s="72">
        <v>45427.500694444447</v>
      </c>
      <c r="AK101" s="72">
        <v>45427.584027777775</v>
      </c>
      <c r="AL101" s="72">
        <v>45427.584027777775</v>
      </c>
      <c r="AM101" s="72">
        <v>45427.584027777775</v>
      </c>
      <c r="AN101" t="s" s="70">
        <v>980</v>
      </c>
      <c r="AO101" s="72" cm="1">
        <f t="array" ref="AO101">AJ101</f>
        <v>45427.500694444447</v>
      </c>
      <c r="AP101" t="s" s="70">
        <v>981</v>
      </c>
      <c r="AQ101" s="72" cm="1">
        <f t="array" ref="AQ101">AJ101</f>
        <v>45427.500694444447</v>
      </c>
      <c r="AR101" t="s" s="70">
        <v>982</v>
      </c>
      <c r="AS101" s="72" cm="1">
        <f t="array" ref="AS101">AJ101</f>
        <v>45427.500694444447</v>
      </c>
      <c r="AT101" t="s" s="78">
        <v>983</v>
      </c>
      <c r="AU101" s="72" cm="1">
        <f t="array" ref="AU101">AJ101</f>
        <v>45427.500694444447</v>
      </c>
      <c r="AV101" s="66"/>
      <c r="AW101" t="str" s="74" cm="1">
        <f t="array" ref="AW101">"600/"&amp;$B101&amp;"/"&amp;IF(AND($AE101="Konsultansi",M101&lt;=100000000),"SPK",IF(AND($AE101="Konsultansi",M101&gt;100000000),"Kont",IF(AND($AE101&lt;&gt;"Konsultansi",M101&lt;=200000000),"SPK","Kont")))&amp;"-"&amp;AE101&amp;"/PPK/DPUPR"</f>
        <v>600/51245302/SPK-Konstruksi/PPK/DPUPR</v>
      </c>
      <c r="AX101" t="str" s="74" cm="1">
        <f t="array" ref="AX101">"600/"&amp;$B101&amp;"/SPMK/PPK/DPUPR"</f>
        <v>600/51245302/SPMK/PPK/DPUPR</v>
      </c>
      <c r="AY101" s="66"/>
      <c r="AZ101" s="66"/>
      <c r="BA101" s="66"/>
      <c r="BB101" s="66"/>
      <c r="BC101" s="66"/>
      <c r="BD101" s="66"/>
      <c r="BE101" s="66"/>
      <c r="BF101" s="66"/>
      <c r="BG101" s="75">
        <v>172</v>
      </c>
      <c r="BH101" t="s" s="70">
        <v>973</v>
      </c>
      <c r="BI101" t="s" s="70">
        <v>21</v>
      </c>
      <c r="BJ101" t="s" s="70">
        <v>22</v>
      </c>
      <c r="BK101" t="s" s="70">
        <v>23</v>
      </c>
      <c r="BL101" t="s" s="70">
        <v>24</v>
      </c>
      <c r="BM101" s="66"/>
      <c r="BN101" s="66"/>
      <c r="BO101" s="66"/>
      <c r="BP101" s="66"/>
      <c r="BQ101" s="66"/>
      <c r="BR101" t="b" s="73">
        <v>0</v>
      </c>
      <c r="BS101" s="68" cm="1">
        <f t="array" ref="BS101">IF(M101&lt;=0.8*K101,5%*K101,M101*5%)</f>
        <v>9983500</v>
      </c>
      <c r="BT101" t="s" s="70">
        <v>25</v>
      </c>
      <c r="BU101" s="66"/>
      <c r="BV101" s="68" cm="1">
        <f t="array" ref="BV101">J101-M101</f>
        <v>330000</v>
      </c>
    </row>
    <row r="102" ht="56.25" customHeight="1">
      <c r="A102" s="49"/>
      <c r="B102" s="50">
        <v>51304504</v>
      </c>
      <c r="C102" t="s" s="51">
        <v>986</v>
      </c>
      <c r="D102" t="s" s="52">
        <v>1</v>
      </c>
      <c r="E102" t="str" s="53" cm="1">
        <f t="array" ref="E102">$C102</f>
        <v>Pengawasan Peningkatan Jalan Dusun Salobulu Kel. Pasangkayu cs. Pengawasan Peningkatan jalan Samping Kodim Pasangkayu cs.</v>
      </c>
      <c r="F102" s="54"/>
      <c r="G102" s="53"/>
      <c r="H102" s="53"/>
      <c r="I102" s="53"/>
      <c r="J102" s="55" cm="1">
        <f t="array" ref="J102">84500000+12500000</f>
        <v>97000000</v>
      </c>
      <c r="K102" s="55">
        <v>96990000</v>
      </c>
      <c r="L102" s="57">
        <v>96778800</v>
      </c>
      <c r="M102" s="55">
        <v>96667000</v>
      </c>
      <c r="N102" t="s" s="58">
        <v>182</v>
      </c>
      <c r="O102" t="s" s="59">
        <v>183</v>
      </c>
      <c r="P102" t="s" s="58">
        <v>4</v>
      </c>
      <c r="Q102" t="s" s="58">
        <v>184</v>
      </c>
      <c r="R102" t="s" s="58">
        <v>185</v>
      </c>
      <c r="S102" s="61">
        <v>23</v>
      </c>
      <c r="T102" s="60">
        <v>44495</v>
      </c>
      <c r="U102" t="s" s="58">
        <v>186</v>
      </c>
      <c r="V102" t="s" s="58">
        <v>187</v>
      </c>
      <c r="W102" t="s" s="58">
        <v>188</v>
      </c>
      <c r="X102" s="61" cm="1">
        <f t="array" ref="X102">6*30</f>
        <v>180</v>
      </c>
      <c r="Y102" t="s" s="58">
        <v>10</v>
      </c>
      <c r="Z102" s="55" cm="1">
        <f t="array" ref="Z102">M102</f>
        <v>96667000</v>
      </c>
      <c r="AA102" t="s" s="58">
        <v>11</v>
      </c>
      <c r="AB102" s="60" cm="1">
        <f t="array" ref="AB102">AH102</f>
        <v>45365</v>
      </c>
      <c r="AC102" s="61" cm="1">
        <f t="array" ref="AC102">6*30</f>
        <v>180</v>
      </c>
      <c r="AD102" t="s" s="58">
        <v>12</v>
      </c>
      <c r="AE102" t="s" s="58">
        <v>13</v>
      </c>
      <c r="AF102" t="s" s="58">
        <v>111</v>
      </c>
      <c r="AG102" s="60">
        <v>45364</v>
      </c>
      <c r="AH102" s="60">
        <v>45365</v>
      </c>
      <c r="AI102" s="60">
        <v>45365</v>
      </c>
      <c r="AJ102" s="60">
        <v>45365</v>
      </c>
      <c r="AK102" s="60">
        <v>45366</v>
      </c>
      <c r="AL102" s="60">
        <v>45366</v>
      </c>
      <c r="AM102" s="60">
        <v>45366</v>
      </c>
      <c r="AN102" t="s" s="58">
        <v>987</v>
      </c>
      <c r="AO102" s="60" cm="1">
        <f t="array" ref="AO102">AJ102</f>
        <v>45365</v>
      </c>
      <c r="AP102" t="s" s="58">
        <v>988</v>
      </c>
      <c r="AQ102" s="60" cm="1">
        <f t="array" ref="AQ102">AJ102</f>
        <v>45365</v>
      </c>
      <c r="AR102" t="s" s="58">
        <v>989</v>
      </c>
      <c r="AS102" s="60" cm="1">
        <f t="array" ref="AS102">AJ102</f>
        <v>45365</v>
      </c>
      <c r="AT102" t="s" s="78">
        <v>990</v>
      </c>
      <c r="AU102" s="60" cm="1">
        <f t="array" ref="AU102">AJ102</f>
        <v>45365</v>
      </c>
      <c r="AV102" s="53"/>
      <c r="AW102" t="str" s="63" cm="1">
        <f t="array" ref="AW102">"600/"&amp;$B102&amp;"/"&amp;IF(AND($AE102="Konsultansi",M102&lt;=100000000),"SPK",IF(AND($AE102="Konsultansi",M102&gt;100000000),"Kont",IF(AND($AE102&lt;&gt;"Konsultansi",M102&lt;=200000000),"SPK","Kont")))&amp;"-"&amp;AE102&amp;"/PPK/DPUPR"</f>
        <v>600/51304504/SPK-Konsultansi/PPK/DPUPR</v>
      </c>
      <c r="AX102" t="str" s="63" cm="1">
        <f t="array" ref="AX102">"600/"&amp;$B102&amp;"/SPMK/PPK/DPUPR"</f>
        <v>600/51304504/SPMK/PPK/DPUPR</v>
      </c>
      <c r="AY102" s="53"/>
      <c r="AZ102" s="53"/>
      <c r="BA102" s="53"/>
      <c r="BB102" s="53"/>
      <c r="BC102" s="53"/>
      <c r="BD102" s="53"/>
      <c r="BE102" s="53"/>
      <c r="BF102" s="53"/>
      <c r="BG102" s="64">
        <v>223</v>
      </c>
      <c r="BH102" t="s" s="58">
        <v>182</v>
      </c>
      <c r="BI102" t="s" s="58">
        <v>21</v>
      </c>
      <c r="BJ102" t="s" s="58">
        <v>22</v>
      </c>
      <c r="BK102" t="s" s="58">
        <v>23</v>
      </c>
      <c r="BL102" t="s" s="58">
        <v>24</v>
      </c>
      <c r="BM102" s="53"/>
      <c r="BN102" s="53"/>
      <c r="BO102" s="53"/>
      <c r="BP102" s="53"/>
      <c r="BQ102" s="53"/>
      <c r="BR102" t="b" s="61">
        <v>0</v>
      </c>
      <c r="BS102" s="55" cm="1">
        <f t="array" ref="BS102">IF(M102&lt;=0.8*K102,5%*K102,M102*5%)</f>
        <v>4833350</v>
      </c>
      <c r="BT102" t="s" s="58">
        <v>25</v>
      </c>
      <c r="BU102" s="53"/>
      <c r="BV102" s="55" cm="1">
        <f t="array" ref="BV102">J102-M102</f>
        <v>333000</v>
      </c>
    </row>
    <row r="103" ht="24.25" customHeight="1">
      <c r="A103" s="49"/>
      <c r="B103" s="49"/>
      <c r="C103" s="101"/>
      <c r="D103" s="106"/>
      <c r="E103" s="73" cm="1">
        <f t="array" ref="E103">$C103</f>
        <v>0</v>
      </c>
      <c r="F103" s="67"/>
      <c r="G103" s="66"/>
      <c r="H103" s="66"/>
      <c r="I103" s="66"/>
      <c r="J103" s="68"/>
      <c r="K103" s="68"/>
      <c r="L103" s="57"/>
      <c r="M103" s="68"/>
      <c r="N103" t="s" s="70">
        <v>676</v>
      </c>
      <c r="O103" t="s" s="71">
        <v>676</v>
      </c>
      <c r="P103" t="s" s="70">
        <v>676</v>
      </c>
      <c r="Q103" t="s" s="70">
        <v>676</v>
      </c>
      <c r="R103" t="s" s="70">
        <v>676</v>
      </c>
      <c r="S103" t="s" s="70">
        <v>676</v>
      </c>
      <c r="T103" t="s" s="70">
        <v>676</v>
      </c>
      <c r="U103" t="s" s="70">
        <v>676</v>
      </c>
      <c r="V103" t="s" s="70">
        <v>676</v>
      </c>
      <c r="W103" t="s" s="70">
        <v>676</v>
      </c>
      <c r="X103" s="66"/>
      <c r="Y103" s="66"/>
      <c r="Z103" s="68" cm="1">
        <f t="array" ref="Z103">M103</f>
        <v>0</v>
      </c>
      <c r="AA103" s="66"/>
      <c r="AB103" s="72" cm="1">
        <f t="array" ref="AB103">AH103</f>
      </c>
      <c r="AC103" s="73" cm="1">
        <f t="array" ref="AC103">6*30</f>
        <v>180</v>
      </c>
      <c r="AD103" s="66"/>
      <c r="AE103" t="s" s="70">
        <v>701</v>
      </c>
      <c r="AF103" s="66"/>
      <c r="AG103" s="72"/>
      <c r="AH103" s="72"/>
      <c r="AI103" s="72"/>
      <c r="AJ103" s="72"/>
      <c r="AK103" s="72"/>
      <c r="AL103" s="72"/>
      <c r="AM103" s="72"/>
      <c r="AN103" t="s" s="70">
        <v>677</v>
      </c>
      <c r="AO103" s="66" cm="1">
        <f t="array" ref="AO103">AJ103</f>
      </c>
      <c r="AP103" t="s" s="70">
        <v>678</v>
      </c>
      <c r="AQ103" s="66" cm="1">
        <f t="array" ref="AQ103">AJ103</f>
      </c>
      <c r="AR103" t="s" s="70">
        <v>702</v>
      </c>
      <c r="AS103" s="66" cm="1">
        <f t="array" ref="AS103">AJ103</f>
      </c>
      <c r="AT103" t="s" s="78">
        <v>703</v>
      </c>
      <c r="AU103" s="66" cm="1">
        <f t="array" ref="AU103">AJ103</f>
      </c>
      <c r="AV103" s="66"/>
      <c r="AW103" t="str" s="74" cm="1">
        <f t="array" ref="AW103">"600/"&amp;$B103&amp;"/"&amp;IF(AND($AE103="Konsultansi",M103&lt;=100000000),"SPK",IF(AND($AE103="Konsultansi",M103&gt;100000000),"Kont",IF(AND($AE103&lt;&gt;"Konsultansi",M103&lt;=200000000),"SPK","Kont")))&amp;"-"&amp;AE103&amp;"/PPK/DPUPR"</f>
        <v>600//SPK-Barang/PPK/DPUPR</v>
      </c>
      <c r="AX103" t="str" s="74" cm="1">
        <f t="array" ref="AX103">"600/"&amp;$B103&amp;"/SPMK/PPK/DPUPR"</f>
        <v>600//SPMK/PPK/DPUPR</v>
      </c>
      <c r="AY103" s="66"/>
      <c r="AZ103" s="66"/>
      <c r="BA103" s="66"/>
      <c r="BB103" s="66"/>
      <c r="BC103" s="66"/>
      <c r="BD103" s="66"/>
      <c r="BE103" s="66"/>
      <c r="BF103" s="66"/>
      <c r="BG103" s="102"/>
      <c r="BH103" t="s" s="70">
        <v>683</v>
      </c>
      <c r="BI103" t="s" s="70">
        <v>21</v>
      </c>
      <c r="BJ103" t="s" s="70">
        <v>22</v>
      </c>
      <c r="BK103" t="s" s="70">
        <v>23</v>
      </c>
      <c r="BL103" t="s" s="70">
        <v>24</v>
      </c>
      <c r="BM103" s="66"/>
      <c r="BN103" s="66"/>
      <c r="BO103" s="66"/>
      <c r="BP103" s="66"/>
      <c r="BQ103" s="66"/>
      <c r="BR103" t="b" s="73">
        <v>0</v>
      </c>
      <c r="BS103" s="68" cm="1">
        <f t="array" ref="BS103">IF(M103&lt;=0.8*K103,5%*K103,M103*5%)</f>
        <v>0</v>
      </c>
      <c r="BT103" t="s" s="70">
        <v>705</v>
      </c>
      <c r="BU103" s="66"/>
      <c r="BV103" s="68" cm="1">
        <f t="array" ref="BV103">J103-M103</f>
        <v>0</v>
      </c>
    </row>
    <row r="104" ht="36.25" customHeight="1">
      <c r="A104" s="49"/>
      <c r="B104" s="50">
        <v>51245324</v>
      </c>
      <c r="C104" t="s" s="51">
        <v>993</v>
      </c>
      <c r="D104" t="s" s="52">
        <v>1</v>
      </c>
      <c r="E104" t="str" s="53" cm="1">
        <f t="array" ref="E104">$C104</f>
        <v>Peningkatan jalan Samping Kodim Pasangkayu</v>
      </c>
      <c r="F104" s="54"/>
      <c r="G104" s="53"/>
      <c r="H104" s="53"/>
      <c r="I104" s="53"/>
      <c r="J104" s="55">
        <v>195000000</v>
      </c>
      <c r="K104" s="77">
        <v>194936508.97</v>
      </c>
      <c r="L104" s="57">
        <v>194774615.7</v>
      </c>
      <c r="M104" s="55">
        <v>194774000</v>
      </c>
      <c r="N104" t="s" s="58">
        <v>994</v>
      </c>
      <c r="O104" t="s" s="59">
        <v>995</v>
      </c>
      <c r="P104" t="s" s="58">
        <v>4</v>
      </c>
      <c r="Q104" t="s" s="58">
        <v>996</v>
      </c>
      <c r="R104" t="s" s="58">
        <v>997</v>
      </c>
      <c r="S104" s="61">
        <v>189</v>
      </c>
      <c r="T104" s="60">
        <v>45322</v>
      </c>
      <c r="U104" t="s" s="58">
        <v>998</v>
      </c>
      <c r="V104" t="s" s="58">
        <v>999</v>
      </c>
      <c r="W104" t="s" s="58">
        <v>1000</v>
      </c>
      <c r="X104" s="61">
        <v>120</v>
      </c>
      <c r="Y104" t="s" s="58">
        <v>10</v>
      </c>
      <c r="Z104" s="55" cm="1">
        <f t="array" ref="Z104">M104</f>
        <v>194774000</v>
      </c>
      <c r="AA104" t="s" s="58">
        <v>11</v>
      </c>
      <c r="AB104" s="60" cm="1">
        <f t="array" ref="AB104">AH104</f>
        <v>45434.334027777775</v>
      </c>
      <c r="AC104" s="61" cm="1">
        <f t="array" ref="AC104">6*30</f>
        <v>180</v>
      </c>
      <c r="AD104" t="s" s="58">
        <v>109</v>
      </c>
      <c r="AE104" t="s" s="58">
        <v>110</v>
      </c>
      <c r="AF104" t="s" s="58">
        <v>111</v>
      </c>
      <c r="AG104" s="60">
        <v>45433.708333333336</v>
      </c>
      <c r="AH104" s="60">
        <v>45434.334027777775</v>
      </c>
      <c r="AI104" s="60">
        <v>45434.344444444447</v>
      </c>
      <c r="AJ104" s="60">
        <v>45434.459027777775</v>
      </c>
      <c r="AK104" s="60">
        <v>45434.500694444447</v>
      </c>
      <c r="AL104" s="60">
        <v>45434.500694444447</v>
      </c>
      <c r="AM104" s="60">
        <v>45434.500694444447</v>
      </c>
      <c r="AN104" t="s" s="58">
        <v>1001</v>
      </c>
      <c r="AO104" s="60" cm="1">
        <f t="array" ref="AO104">AJ104</f>
        <v>45434.459027777775</v>
      </c>
      <c r="AP104" t="s" s="58">
        <v>1002</v>
      </c>
      <c r="AQ104" s="60" cm="1">
        <f t="array" ref="AQ104">AJ104</f>
        <v>45434.459027777775</v>
      </c>
      <c r="AR104" t="s" s="58">
        <v>1003</v>
      </c>
      <c r="AS104" s="60" cm="1">
        <f t="array" ref="AS104">AJ104</f>
        <v>45434.459027777775</v>
      </c>
      <c r="AT104" t="s" s="78">
        <v>1004</v>
      </c>
      <c r="AU104" s="60" cm="1">
        <f t="array" ref="AU104">AJ104</f>
        <v>45434.459027777775</v>
      </c>
      <c r="AV104" s="53"/>
      <c r="AW104" t="str" s="63" cm="1">
        <f t="array" ref="AW104">"600/"&amp;$B104&amp;"/"&amp;IF(AND($AE104="Konsultansi",M104&lt;=100000000),"SPK",IF(AND($AE104="Konsultansi",M104&gt;100000000),"Kont",IF(AND($AE104&lt;&gt;"Konsultansi",M104&lt;=200000000),"SPK","Kont")))&amp;"-"&amp;AE104&amp;"/PPK/DPUPR"</f>
        <v>600/51245324/SPK-Konstruksi/PPK/DPUPR</v>
      </c>
      <c r="AX104" t="str" s="63" cm="1">
        <f t="array" ref="AX104">"600/"&amp;$B104&amp;"/SPMK/PPK/DPUPR"</f>
        <v>600/51245324/SPMK/PPK/DPUPR</v>
      </c>
      <c r="AY104" s="53"/>
      <c r="AZ104" s="53"/>
      <c r="BA104" s="53"/>
      <c r="BB104" s="53"/>
      <c r="BC104" s="53"/>
      <c r="BD104" s="53"/>
      <c r="BE104" s="53"/>
      <c r="BF104" s="53"/>
      <c r="BG104" s="64">
        <v>229</v>
      </c>
      <c r="BH104" t="s" s="58">
        <v>994</v>
      </c>
      <c r="BI104" t="s" s="58">
        <v>21</v>
      </c>
      <c r="BJ104" t="s" s="58">
        <v>22</v>
      </c>
      <c r="BK104" t="s" s="58">
        <v>23</v>
      </c>
      <c r="BL104" t="s" s="58">
        <v>24</v>
      </c>
      <c r="BM104" s="53"/>
      <c r="BN104" s="53"/>
      <c r="BO104" s="53"/>
      <c r="BP104" s="53"/>
      <c r="BQ104" s="53"/>
      <c r="BR104" t="b" s="61">
        <v>0</v>
      </c>
      <c r="BS104" s="55" cm="1">
        <f t="array" ref="BS104">IF(M104&lt;=0.8*K104,5%*K104,M104*5%)</f>
        <v>9738700</v>
      </c>
      <c r="BT104" t="s" s="58">
        <v>25</v>
      </c>
      <c r="BU104" s="53"/>
      <c r="BV104" s="55" cm="1">
        <f t="array" ref="BV104">J104-M104</f>
        <v>226000</v>
      </c>
    </row>
    <row r="105" ht="36.25" customHeight="1">
      <c r="A105" s="49"/>
      <c r="B105" s="50">
        <v>51309467</v>
      </c>
      <c r="C105" t="s" s="51">
        <v>1007</v>
      </c>
      <c r="D105" t="s" s="65">
        <v>1</v>
      </c>
      <c r="E105" t="str" s="66" cm="1">
        <f t="array" ref="E105">$C105</f>
        <v>Stock Design Long Segment Jalan Kabupaten VI</v>
      </c>
      <c r="F105" s="67"/>
      <c r="G105" s="66"/>
      <c r="H105" s="66"/>
      <c r="I105" s="66"/>
      <c r="J105" s="68">
        <v>100000000</v>
      </c>
      <c r="K105" s="76">
        <v>99999642.95999999</v>
      </c>
      <c r="L105" s="57">
        <v>99938572.2</v>
      </c>
      <c r="M105" s="68">
        <v>99938000</v>
      </c>
      <c r="N105" t="s" s="70">
        <v>119</v>
      </c>
      <c r="O105" t="s" s="71">
        <v>120</v>
      </c>
      <c r="P105" t="s" s="70">
        <v>4</v>
      </c>
      <c r="Q105" t="s" s="70">
        <v>121</v>
      </c>
      <c r="R105" t="s" s="70">
        <v>122</v>
      </c>
      <c r="S105" t="s" s="70">
        <v>123</v>
      </c>
      <c r="T105" s="72">
        <v>41871</v>
      </c>
      <c r="U105" t="s" s="70">
        <v>124</v>
      </c>
      <c r="V105" t="s" s="70">
        <v>125</v>
      </c>
      <c r="W105" t="s" s="70">
        <v>126</v>
      </c>
      <c r="X105" s="73">
        <v>30</v>
      </c>
      <c r="Y105" t="s" s="70">
        <v>10</v>
      </c>
      <c r="Z105" s="68"/>
      <c r="AA105" t="s" s="70">
        <v>1008</v>
      </c>
      <c r="AB105" s="72" cm="1">
        <f t="array" ref="AB105">AH105</f>
        <v>45415.416666666664</v>
      </c>
      <c r="AC105" s="66"/>
      <c r="AD105" t="s" s="70">
        <v>128</v>
      </c>
      <c r="AE105" t="s" s="70">
        <v>13</v>
      </c>
      <c r="AF105" t="s" s="70">
        <v>111</v>
      </c>
      <c r="AG105" s="80">
        <v>45414.416666666664</v>
      </c>
      <c r="AH105" s="72">
        <v>45415.416666666664</v>
      </c>
      <c r="AI105" s="72">
        <v>45415.458333333336</v>
      </c>
      <c r="AJ105" s="72">
        <v>45415.583333333336</v>
      </c>
      <c r="AK105" s="72">
        <v>45415.708333333336</v>
      </c>
      <c r="AL105" s="72">
        <v>45415.708333333336</v>
      </c>
      <c r="AM105" s="72">
        <v>45415.708333333336</v>
      </c>
      <c r="AN105" t="s" s="70">
        <v>1009</v>
      </c>
      <c r="AO105" s="72" cm="1">
        <f t="array" ref="AO105">AJ105</f>
        <v>45415.583333333336</v>
      </c>
      <c r="AP105" t="s" s="70">
        <v>1010</v>
      </c>
      <c r="AQ105" s="72" cm="1">
        <f t="array" ref="AQ105">AJ105</f>
        <v>45415.583333333336</v>
      </c>
      <c r="AR105" t="s" s="70">
        <v>1011</v>
      </c>
      <c r="AS105" s="72" cm="1">
        <f t="array" ref="AS105">AJ105</f>
        <v>45415.583333333336</v>
      </c>
      <c r="AT105" t="s" s="78">
        <v>1012</v>
      </c>
      <c r="AU105" s="72" cm="1">
        <f t="array" ref="AU105">AJ105</f>
        <v>45415.583333333336</v>
      </c>
      <c r="AV105" s="66"/>
      <c r="AW105" t="str" s="74" cm="1">
        <f t="array" ref="AW105">"600/"&amp;$B105&amp;"/"&amp;IF(AND($AE105="Konsultansi",M105&lt;=100000000),"SPK",IF(AND($AE105="Konsultansi",M105&gt;100000000),"Kont",IF(AND($AE105&lt;&gt;"Konsultansi",M105&lt;=200000000),"SPK","Kont")))&amp;"-"&amp;AE105&amp;"/PPK/DPUPR"</f>
        <v>600/51309467/SPK-Konsultansi/PPK/DPUPR</v>
      </c>
      <c r="AX105" t="str" s="74" cm="1">
        <f t="array" ref="AX105">"600/"&amp;$B105&amp;"/SPMK/PPK/DPUPR"</f>
        <v>600/51309467/SPMK/PPK/DPUPR</v>
      </c>
      <c r="AY105" s="66"/>
      <c r="AZ105" s="66"/>
      <c r="BA105" s="66"/>
      <c r="BB105" s="66"/>
      <c r="BC105" s="66"/>
      <c r="BD105" s="66"/>
      <c r="BE105" s="66"/>
      <c r="BF105" s="66"/>
      <c r="BG105" s="75">
        <v>158</v>
      </c>
      <c r="BH105" t="s" s="70">
        <v>119</v>
      </c>
      <c r="BI105" t="s" s="70">
        <v>21</v>
      </c>
      <c r="BJ105" t="s" s="70">
        <v>22</v>
      </c>
      <c r="BK105" t="s" s="70">
        <v>23</v>
      </c>
      <c r="BL105" t="s" s="70">
        <v>24</v>
      </c>
      <c r="BM105" s="66"/>
      <c r="BN105" s="66"/>
      <c r="BO105" s="66"/>
      <c r="BP105" s="66"/>
      <c r="BQ105" s="66"/>
      <c r="BR105" t="b" s="73">
        <v>0</v>
      </c>
      <c r="BS105" s="68" cm="1">
        <f t="array" ref="BS105">IF(M105&lt;=0.8*K105,5%*K105,M105*5%)</f>
        <v>4996900</v>
      </c>
      <c r="BT105" t="s" s="70">
        <v>25</v>
      </c>
      <c r="BU105" s="66"/>
      <c r="BV105" s="68" cm="1">
        <f t="array" ref="BV105">J105-M105</f>
        <v>62000</v>
      </c>
    </row>
    <row r="106" ht="36.25" customHeight="1">
      <c r="A106" s="49"/>
      <c r="B106" s="50">
        <v>51309517</v>
      </c>
      <c r="C106" t="s" s="51">
        <v>1015</v>
      </c>
      <c r="D106" t="s" s="52">
        <v>1</v>
      </c>
      <c r="E106" t="str" s="53" cm="1">
        <f t="array" ref="E106">$C106</f>
        <v>Stock Design Long Segment Jalan Kabupaten VII</v>
      </c>
      <c r="F106" s="54"/>
      <c r="G106" s="53"/>
      <c r="H106" s="53"/>
      <c r="I106" s="53"/>
      <c r="J106" s="55">
        <v>100000000</v>
      </c>
      <c r="K106" s="77">
        <v>99999642.95999999</v>
      </c>
      <c r="L106" s="57">
        <v>99928004.40000001</v>
      </c>
      <c r="M106" s="55">
        <v>99928000</v>
      </c>
      <c r="N106" t="s" s="58">
        <v>119</v>
      </c>
      <c r="O106" t="s" s="59">
        <v>120</v>
      </c>
      <c r="P106" t="s" s="58">
        <v>4</v>
      </c>
      <c r="Q106" t="s" s="58">
        <v>121</v>
      </c>
      <c r="R106" t="s" s="58">
        <v>122</v>
      </c>
      <c r="S106" t="s" s="58">
        <v>123</v>
      </c>
      <c r="T106" s="60">
        <v>41871</v>
      </c>
      <c r="U106" t="s" s="58">
        <v>124</v>
      </c>
      <c r="V106" t="s" s="58">
        <v>125</v>
      </c>
      <c r="W106" t="s" s="58">
        <v>126</v>
      </c>
      <c r="X106" s="61">
        <v>30</v>
      </c>
      <c r="Y106" t="s" s="58">
        <v>10</v>
      </c>
      <c r="Z106" s="55" cm="1">
        <f t="array" ref="Z106">M106</f>
        <v>99928000</v>
      </c>
      <c r="AA106" t="s" s="58">
        <v>1016</v>
      </c>
      <c r="AB106" s="60" cm="1">
        <f t="array" ref="AB106">AH106</f>
        <v>45415.416666666664</v>
      </c>
      <c r="AC106" s="53"/>
      <c r="AD106" t="s" s="58">
        <v>128</v>
      </c>
      <c r="AE106" t="s" s="58">
        <v>13</v>
      </c>
      <c r="AF106" t="s" s="58">
        <v>111</v>
      </c>
      <c r="AG106" s="81">
        <v>45414.416666666664</v>
      </c>
      <c r="AH106" s="60">
        <v>45415.416666666664</v>
      </c>
      <c r="AI106" s="60">
        <v>45415.458333333336</v>
      </c>
      <c r="AJ106" s="60">
        <v>45415.583333333336</v>
      </c>
      <c r="AK106" s="60">
        <v>45415.708333333336</v>
      </c>
      <c r="AL106" s="60">
        <v>45415.708333333336</v>
      </c>
      <c r="AM106" s="60">
        <v>45415.708333333336</v>
      </c>
      <c r="AN106" t="s" s="58">
        <v>1017</v>
      </c>
      <c r="AO106" s="60" cm="1">
        <f t="array" ref="AO106">AJ106</f>
        <v>45415.583333333336</v>
      </c>
      <c r="AP106" t="s" s="58">
        <v>1018</v>
      </c>
      <c r="AQ106" s="60" cm="1">
        <f t="array" ref="AQ106">AJ106</f>
        <v>45415.583333333336</v>
      </c>
      <c r="AR106" t="s" s="58">
        <v>1019</v>
      </c>
      <c r="AS106" s="60" cm="1">
        <f t="array" ref="AS106">AJ106</f>
        <v>45415.583333333336</v>
      </c>
      <c r="AT106" t="s" s="78">
        <v>1020</v>
      </c>
      <c r="AU106" s="60" cm="1">
        <f t="array" ref="AU106">AJ106</f>
        <v>45415.583333333336</v>
      </c>
      <c r="AV106" s="53"/>
      <c r="AW106" t="str" s="63" cm="1">
        <f t="array" ref="AW106">"600/"&amp;$B106&amp;"/"&amp;IF(AND($AE106="Konsultansi",M106&lt;=100000000),"SPK",IF(AND($AE106="Konsultansi",M106&gt;100000000),"Kont",IF(AND($AE106&lt;&gt;"Konsultansi",M106&lt;=200000000),"SPK","Kont")))&amp;"-"&amp;AE106&amp;"/PPK/DPUPR"</f>
        <v>600/51309517/SPK-Konsultansi/PPK/DPUPR</v>
      </c>
      <c r="AX106" t="str" s="63" cm="1">
        <f t="array" ref="AX106">"600/"&amp;$B106&amp;"/SPMK/PPK/DPUPR"</f>
        <v>600/51309517/SPMK/PPK/DPUPR</v>
      </c>
      <c r="AY106" s="53"/>
      <c r="AZ106" s="53"/>
      <c r="BA106" s="53"/>
      <c r="BB106" s="53"/>
      <c r="BC106" s="53"/>
      <c r="BD106" s="53"/>
      <c r="BE106" s="53"/>
      <c r="BF106" s="53"/>
      <c r="BG106" s="64">
        <v>158</v>
      </c>
      <c r="BH106" t="s" s="58">
        <v>119</v>
      </c>
      <c r="BI106" t="s" s="58">
        <v>21</v>
      </c>
      <c r="BJ106" t="s" s="58">
        <v>22</v>
      </c>
      <c r="BK106" t="s" s="58">
        <v>23</v>
      </c>
      <c r="BL106" t="s" s="58">
        <v>24</v>
      </c>
      <c r="BM106" s="53"/>
      <c r="BN106" s="53"/>
      <c r="BO106" s="53"/>
      <c r="BP106" s="53"/>
      <c r="BQ106" s="53"/>
      <c r="BR106" t="b" s="61">
        <v>0</v>
      </c>
      <c r="BS106" s="55" cm="1">
        <f t="array" ref="BS106">IF(M106&lt;=0.8*K106,5%*K106,M106*5%)</f>
        <v>4996400</v>
      </c>
      <c r="BT106" t="s" s="58">
        <v>25</v>
      </c>
      <c r="BU106" s="53"/>
      <c r="BV106" s="55" cm="1">
        <f t="array" ref="BV106">J106-M106</f>
        <v>72000</v>
      </c>
    </row>
    <row r="107" ht="36.25" customHeight="1">
      <c r="A107" s="49"/>
      <c r="B107" s="50">
        <v>51861479</v>
      </c>
      <c r="C107" t="s" s="51">
        <v>748</v>
      </c>
      <c r="D107" t="s" s="65">
        <v>1</v>
      </c>
      <c r="E107" t="str" s="66" cm="1">
        <f t="array" ref="E107">$C107</f>
        <v>Stock Design Status Jalan Kabupaten/Non Status Paket IV</v>
      </c>
      <c r="F107" s="67"/>
      <c r="G107" s="66"/>
      <c r="H107" s="66"/>
      <c r="I107" s="66"/>
      <c r="J107" s="68">
        <v>100000000</v>
      </c>
      <c r="K107" s="76">
        <v>99999642.95999999</v>
      </c>
      <c r="L107" s="57">
        <v>99899082</v>
      </c>
      <c r="M107" s="68">
        <v>99899000</v>
      </c>
      <c r="N107" t="s" s="70">
        <v>119</v>
      </c>
      <c r="O107" t="s" s="71">
        <v>120</v>
      </c>
      <c r="P107" t="s" s="70">
        <v>4</v>
      </c>
      <c r="Q107" t="s" s="70">
        <v>121</v>
      </c>
      <c r="R107" t="s" s="70">
        <v>122</v>
      </c>
      <c r="S107" t="s" s="70">
        <v>123</v>
      </c>
      <c r="T107" s="72">
        <v>41871</v>
      </c>
      <c r="U107" t="s" s="70">
        <v>124</v>
      </c>
      <c r="V107" t="s" s="70">
        <v>125</v>
      </c>
      <c r="W107" t="s" s="70">
        <v>126</v>
      </c>
      <c r="X107" s="73">
        <v>30</v>
      </c>
      <c r="Y107" t="s" s="70">
        <v>10</v>
      </c>
      <c r="Z107" s="68" cm="1">
        <f t="array" ref="Z107">M107</f>
        <v>99899000</v>
      </c>
      <c r="AA107" t="s" s="70">
        <v>1023</v>
      </c>
      <c r="AB107" s="72" cm="1">
        <f t="array" ref="AB107">AH107</f>
        <v>45415.416666666664</v>
      </c>
      <c r="AC107" s="66"/>
      <c r="AD107" t="s" s="70">
        <v>128</v>
      </c>
      <c r="AE107" t="s" s="70">
        <v>13</v>
      </c>
      <c r="AF107" t="s" s="70">
        <v>111</v>
      </c>
      <c r="AG107" s="80">
        <v>45414.416666666664</v>
      </c>
      <c r="AH107" s="72">
        <v>45415.416666666664</v>
      </c>
      <c r="AI107" s="72">
        <v>45415.458333333336</v>
      </c>
      <c r="AJ107" s="72">
        <v>45415.583333333336</v>
      </c>
      <c r="AK107" s="72">
        <v>45415.708333333336</v>
      </c>
      <c r="AL107" s="72">
        <v>45415.708333333336</v>
      </c>
      <c r="AM107" s="72">
        <v>45415.708333333336</v>
      </c>
      <c r="AN107" t="s" s="70">
        <v>1024</v>
      </c>
      <c r="AO107" s="72" cm="1">
        <f t="array" ref="AO107">AJ107</f>
        <v>45415.583333333336</v>
      </c>
      <c r="AP107" t="s" s="70">
        <v>1025</v>
      </c>
      <c r="AQ107" s="72" cm="1">
        <f t="array" ref="AQ107">AJ107</f>
        <v>45415.583333333336</v>
      </c>
      <c r="AR107" t="s" s="70">
        <v>1026</v>
      </c>
      <c r="AS107" s="72" cm="1">
        <f t="array" ref="AS107">AJ107</f>
        <v>45415.583333333336</v>
      </c>
      <c r="AT107" t="s" s="78">
        <v>1027</v>
      </c>
      <c r="AU107" s="72" cm="1">
        <f t="array" ref="AU107">AJ107</f>
        <v>45415.583333333336</v>
      </c>
      <c r="AV107" s="66"/>
      <c r="AW107" t="str" s="74" cm="1">
        <f t="array" ref="AW107">"600/"&amp;$B107&amp;"/"&amp;IF(AND($AE107="Konsultansi",M107&lt;=100000000),"SPK",IF(AND($AE107="Konsultansi",M107&gt;100000000),"Kont",IF(AND($AE107&lt;&gt;"Konsultansi",M107&lt;=200000000),"SPK","Kont")))&amp;"-"&amp;AE107&amp;"/PPK/DPUPR"</f>
        <v>600/51861479/SPK-Konsultansi/PPK/DPUPR</v>
      </c>
      <c r="AX107" t="str" s="74" cm="1">
        <f t="array" ref="AX107">"600/"&amp;$B107&amp;"/SPMK/PPK/DPUPR"</f>
        <v>600/51861479/SPMK/PPK/DPUPR</v>
      </c>
      <c r="AY107" s="66"/>
      <c r="AZ107" s="66"/>
      <c r="BA107" s="66"/>
      <c r="BB107" s="66"/>
      <c r="BC107" s="66"/>
      <c r="BD107" s="66"/>
      <c r="BE107" s="66"/>
      <c r="BF107" s="66"/>
      <c r="BG107" s="75">
        <v>158</v>
      </c>
      <c r="BH107" t="s" s="70">
        <v>119</v>
      </c>
      <c r="BI107" t="s" s="70">
        <v>21</v>
      </c>
      <c r="BJ107" t="s" s="70">
        <v>22</v>
      </c>
      <c r="BK107" t="s" s="70">
        <v>23</v>
      </c>
      <c r="BL107" t="s" s="70">
        <v>24</v>
      </c>
      <c r="BM107" s="66"/>
      <c r="BN107" s="66"/>
      <c r="BO107" s="66"/>
      <c r="BP107" s="66"/>
      <c r="BQ107" s="66"/>
      <c r="BR107" t="b" s="73">
        <v>0</v>
      </c>
      <c r="BS107" s="68" cm="1">
        <f t="array" ref="BS107">IF(M107&lt;=0.8*K107,5%*K107,M107*5%)</f>
        <v>4994950</v>
      </c>
      <c r="BT107" t="s" s="70">
        <v>25</v>
      </c>
      <c r="BU107" s="66"/>
      <c r="BV107" s="68" cm="1">
        <f t="array" ref="BV107">J107-M107</f>
        <v>101000</v>
      </c>
    </row>
    <row r="108" ht="36.25" customHeight="1">
      <c r="A108" s="49"/>
      <c r="B108" s="50">
        <v>51861480</v>
      </c>
      <c r="C108" t="s" s="51">
        <v>1030</v>
      </c>
      <c r="D108" t="s" s="52">
        <v>1</v>
      </c>
      <c r="E108" t="str" s="53" cm="1">
        <f t="array" ref="E108">$C108</f>
        <v>Stock Design Status Jalan Kabupaten/Non Status  Paket V</v>
      </c>
      <c r="F108" s="54"/>
      <c r="G108" s="53"/>
      <c r="H108" s="53"/>
      <c r="I108" s="53"/>
      <c r="J108" s="55">
        <v>100000000</v>
      </c>
      <c r="K108" s="77">
        <v>99999642.95999999</v>
      </c>
      <c r="L108" s="57">
        <v>99916324.2</v>
      </c>
      <c r="M108" s="55">
        <v>99916000</v>
      </c>
      <c r="N108" t="s" s="58">
        <v>119</v>
      </c>
      <c r="O108" t="s" s="59">
        <v>120</v>
      </c>
      <c r="P108" t="s" s="58">
        <v>4</v>
      </c>
      <c r="Q108" t="s" s="58">
        <v>121</v>
      </c>
      <c r="R108" t="s" s="58">
        <v>122</v>
      </c>
      <c r="S108" t="s" s="58">
        <v>123</v>
      </c>
      <c r="T108" s="60">
        <v>41871</v>
      </c>
      <c r="U108" t="s" s="58">
        <v>124</v>
      </c>
      <c r="V108" t="s" s="58">
        <v>125</v>
      </c>
      <c r="W108" t="s" s="58">
        <v>126</v>
      </c>
      <c r="X108" s="61">
        <v>30</v>
      </c>
      <c r="Y108" t="s" s="58">
        <v>10</v>
      </c>
      <c r="Z108" s="55" cm="1">
        <f t="array" ref="Z108">M108</f>
        <v>99916000</v>
      </c>
      <c r="AA108" t="s" s="58">
        <v>1031</v>
      </c>
      <c r="AB108" s="60" cm="1">
        <f t="array" ref="AB108">AH108</f>
        <v>45415.416666666664</v>
      </c>
      <c r="AC108" s="53"/>
      <c r="AD108" t="s" s="58">
        <v>128</v>
      </c>
      <c r="AE108" t="s" s="58">
        <v>13</v>
      </c>
      <c r="AF108" t="s" s="58">
        <v>111</v>
      </c>
      <c r="AG108" s="81">
        <v>45414.416666666664</v>
      </c>
      <c r="AH108" s="60">
        <v>45415.416666666664</v>
      </c>
      <c r="AI108" s="60">
        <v>45415.458333333336</v>
      </c>
      <c r="AJ108" s="60">
        <v>45415.583333333336</v>
      </c>
      <c r="AK108" s="60">
        <v>45415.708333333336</v>
      </c>
      <c r="AL108" s="60">
        <v>45415.708333333336</v>
      </c>
      <c r="AM108" s="60">
        <v>45415.708333333336</v>
      </c>
      <c r="AN108" t="s" s="58">
        <v>1032</v>
      </c>
      <c r="AO108" s="60" cm="1">
        <f t="array" ref="AO108">AJ108</f>
        <v>45415.583333333336</v>
      </c>
      <c r="AP108" t="s" s="58">
        <v>1033</v>
      </c>
      <c r="AQ108" s="60" cm="1">
        <f t="array" ref="AQ108">AJ108</f>
        <v>45415.583333333336</v>
      </c>
      <c r="AR108" t="s" s="58">
        <v>1034</v>
      </c>
      <c r="AS108" s="60" cm="1">
        <f t="array" ref="AS108">AJ108</f>
        <v>45415.583333333336</v>
      </c>
      <c r="AT108" t="s" s="78">
        <v>1035</v>
      </c>
      <c r="AU108" s="60" cm="1">
        <f t="array" ref="AU108">AJ108</f>
        <v>45415.583333333336</v>
      </c>
      <c r="AV108" s="53"/>
      <c r="AW108" t="str" s="63" cm="1">
        <f t="array" ref="AW108">"600/"&amp;$B108&amp;"/"&amp;IF(AND($AE108="Konsultansi",M108&lt;=100000000),"SPK",IF(AND($AE108="Konsultansi",M108&gt;100000000),"Kont",IF(AND($AE108&lt;&gt;"Konsultansi",M108&lt;=200000000),"SPK","Kont")))&amp;"-"&amp;AE108&amp;"/PPK/DPUPR"</f>
        <v>600/51861480/SPK-Konsultansi/PPK/DPUPR</v>
      </c>
      <c r="AX108" t="str" s="63" cm="1">
        <f t="array" ref="AX108">"600/"&amp;$B108&amp;"/SPMK/PPK/DPUPR"</f>
        <v>600/51861480/SPMK/PPK/DPUPR</v>
      </c>
      <c r="AY108" s="53"/>
      <c r="AZ108" s="53"/>
      <c r="BA108" s="53"/>
      <c r="BB108" s="53"/>
      <c r="BC108" s="53"/>
      <c r="BD108" s="53"/>
      <c r="BE108" s="53"/>
      <c r="BF108" s="53"/>
      <c r="BG108" s="64">
        <v>158</v>
      </c>
      <c r="BH108" t="s" s="58">
        <v>119</v>
      </c>
      <c r="BI108" t="s" s="58">
        <v>21</v>
      </c>
      <c r="BJ108" t="s" s="58">
        <v>22</v>
      </c>
      <c r="BK108" t="s" s="58">
        <v>23</v>
      </c>
      <c r="BL108" t="s" s="58">
        <v>24</v>
      </c>
      <c r="BM108" s="53"/>
      <c r="BN108" s="53"/>
      <c r="BO108" s="53"/>
      <c r="BP108" s="53"/>
      <c r="BQ108" s="53"/>
      <c r="BR108" t="b" s="61">
        <v>0</v>
      </c>
      <c r="BS108" s="55" cm="1">
        <f t="array" ref="BS108">IF(M108&lt;=0.8*K108,5%*K108,M108*5%)</f>
        <v>4995800</v>
      </c>
      <c r="BT108" t="s" s="58">
        <v>25</v>
      </c>
      <c r="BU108" s="53"/>
      <c r="BV108" s="55" cm="1">
        <f t="array" ref="BV108">J108-M108</f>
        <v>84000</v>
      </c>
    </row>
    <row r="109" ht="36.25" customHeight="1">
      <c r="A109" s="49"/>
      <c r="B109" s="50">
        <v>51309415</v>
      </c>
      <c r="C109" t="s" s="51">
        <v>1038</v>
      </c>
      <c r="D109" t="s" s="65">
        <v>1</v>
      </c>
      <c r="E109" t="str" s="66" cm="1">
        <f t="array" ref="E109">$C109</f>
        <v>Stock Desain Jalan Kabupaten Paket V cs.</v>
      </c>
      <c r="F109" s="67"/>
      <c r="G109" s="66"/>
      <c r="H109" s="66"/>
      <c r="I109" s="66"/>
      <c r="J109" s="68">
        <v>64625508</v>
      </c>
      <c r="K109" s="76">
        <v>64624099.32</v>
      </c>
      <c r="L109" s="57">
        <v>64585944</v>
      </c>
      <c r="M109" s="68">
        <v>64585000</v>
      </c>
      <c r="N109" t="s" s="70">
        <v>119</v>
      </c>
      <c r="O109" t="s" s="71">
        <v>120</v>
      </c>
      <c r="P109" t="s" s="70">
        <v>4</v>
      </c>
      <c r="Q109" t="s" s="70">
        <v>121</v>
      </c>
      <c r="R109" t="s" s="70">
        <v>122</v>
      </c>
      <c r="S109" t="s" s="70">
        <v>123</v>
      </c>
      <c r="T109" s="72">
        <v>41871</v>
      </c>
      <c r="U109" t="s" s="70">
        <v>124</v>
      </c>
      <c r="V109" t="s" s="70">
        <v>125</v>
      </c>
      <c r="W109" t="s" s="70">
        <v>126</v>
      </c>
      <c r="X109" s="73">
        <v>30</v>
      </c>
      <c r="Y109" t="s" s="70">
        <v>10</v>
      </c>
      <c r="Z109" s="68" cm="1">
        <f t="array" ref="Z109">M109</f>
        <v>64585000</v>
      </c>
      <c r="AA109" t="s" s="70">
        <v>1039</v>
      </c>
      <c r="AB109" s="72" cm="1">
        <f t="array" ref="AB109">AH109</f>
        <v>45415.416666666664</v>
      </c>
      <c r="AC109" s="66"/>
      <c r="AD109" t="s" s="70">
        <v>128</v>
      </c>
      <c r="AE109" t="s" s="70">
        <v>13</v>
      </c>
      <c r="AF109" t="s" s="70">
        <v>111</v>
      </c>
      <c r="AG109" s="80">
        <v>45414.416666666664</v>
      </c>
      <c r="AH109" s="72">
        <v>45415.416666666664</v>
      </c>
      <c r="AI109" s="72">
        <v>45415.458333333336</v>
      </c>
      <c r="AJ109" s="72">
        <v>45415.583333333336</v>
      </c>
      <c r="AK109" s="72">
        <v>45415.708333333336</v>
      </c>
      <c r="AL109" s="72">
        <v>45415.708333333336</v>
      </c>
      <c r="AM109" s="72">
        <v>45415.708333333336</v>
      </c>
      <c r="AN109" t="s" s="70">
        <v>1040</v>
      </c>
      <c r="AO109" s="72" cm="1">
        <f t="array" ref="AO109">AJ109</f>
        <v>45415.583333333336</v>
      </c>
      <c r="AP109" t="s" s="70">
        <v>1041</v>
      </c>
      <c r="AQ109" s="72" cm="1">
        <f t="array" ref="AQ109">AJ109</f>
        <v>45415.583333333336</v>
      </c>
      <c r="AR109" t="s" s="70">
        <v>1042</v>
      </c>
      <c r="AS109" s="72" cm="1">
        <f t="array" ref="AS109">AJ109</f>
        <v>45415.583333333336</v>
      </c>
      <c r="AT109" t="s" s="78">
        <v>1043</v>
      </c>
      <c r="AU109" s="72" cm="1">
        <f t="array" ref="AU109">AJ109</f>
        <v>45415.583333333336</v>
      </c>
      <c r="AV109" s="66"/>
      <c r="AW109" t="str" s="74" cm="1">
        <f t="array" ref="AW109">"600/"&amp;$B109&amp;"/"&amp;IF(AND($AE109="Konsultansi",M109&lt;=100000000),"SPK",IF(AND($AE109="Konsultansi",M109&gt;100000000),"Kont",IF(AND($AE109&lt;&gt;"Konsultansi",M109&lt;=200000000),"SPK","Kont")))&amp;"-"&amp;AE109&amp;"/PPK/DPUPR"</f>
        <v>600/51309415/SPK-Konsultansi/PPK/DPUPR</v>
      </c>
      <c r="AX109" t="str" s="74" cm="1">
        <f t="array" ref="AX109">"600/"&amp;$B109&amp;"/SPMK/PPK/DPUPR"</f>
        <v>600/51309415/SPMK/PPK/DPUPR</v>
      </c>
      <c r="AY109" s="66"/>
      <c r="AZ109" s="66"/>
      <c r="BA109" s="66"/>
      <c r="BB109" s="66"/>
      <c r="BC109" s="66"/>
      <c r="BD109" s="66"/>
      <c r="BE109" s="66"/>
      <c r="BF109" s="66"/>
      <c r="BG109" s="75">
        <v>158</v>
      </c>
      <c r="BH109" t="s" s="70">
        <v>119</v>
      </c>
      <c r="BI109" t="s" s="70">
        <v>21</v>
      </c>
      <c r="BJ109" t="s" s="70">
        <v>22</v>
      </c>
      <c r="BK109" t="s" s="70">
        <v>23</v>
      </c>
      <c r="BL109" t="s" s="70">
        <v>24</v>
      </c>
      <c r="BM109" s="66"/>
      <c r="BN109" s="66"/>
      <c r="BO109" s="66"/>
      <c r="BP109" s="66"/>
      <c r="BQ109" s="66"/>
      <c r="BR109" t="b" s="73">
        <v>0</v>
      </c>
      <c r="BS109" s="68" cm="1">
        <f t="array" ref="BS109">IF(M109&lt;=0.8*K109,5%*K109,M109*5%)</f>
        <v>3229250</v>
      </c>
      <c r="BT109" t="s" s="70">
        <v>25</v>
      </c>
      <c r="BU109" s="66"/>
      <c r="BV109" s="68" cm="1">
        <f t="array" ref="BV109">J109-M109</f>
        <v>40508</v>
      </c>
    </row>
    <row r="110" ht="36.25" customHeight="1">
      <c r="A110" s="49"/>
      <c r="B110" s="50">
        <v>51309201</v>
      </c>
      <c r="C110" t="s" s="51">
        <v>1046</v>
      </c>
      <c r="D110" t="s" s="52">
        <v>1</v>
      </c>
      <c r="E110" t="str" s="53" cm="1">
        <f t="array" ref="E110">$C110</f>
        <v>Stock Desain Jalan Kabupaten Paket IV</v>
      </c>
      <c r="F110" s="54"/>
      <c r="G110" s="53"/>
      <c r="H110" s="53"/>
      <c r="I110" s="53"/>
      <c r="J110" s="55">
        <v>100000000</v>
      </c>
      <c r="K110" s="77">
        <v>99999642.95999999</v>
      </c>
      <c r="L110" s="57">
        <v>99905756.40000001</v>
      </c>
      <c r="M110" s="55">
        <v>99905000</v>
      </c>
      <c r="N110" t="s" s="58">
        <v>119</v>
      </c>
      <c r="O110" t="s" s="59">
        <v>120</v>
      </c>
      <c r="P110" t="s" s="58">
        <v>4</v>
      </c>
      <c r="Q110" t="s" s="58">
        <v>121</v>
      </c>
      <c r="R110" t="s" s="58">
        <v>122</v>
      </c>
      <c r="S110" t="s" s="58">
        <v>123</v>
      </c>
      <c r="T110" s="60">
        <v>41871</v>
      </c>
      <c r="U110" t="s" s="58">
        <v>124</v>
      </c>
      <c r="V110" t="s" s="58">
        <v>125</v>
      </c>
      <c r="W110" t="s" s="58">
        <v>126</v>
      </c>
      <c r="X110" s="61">
        <v>30</v>
      </c>
      <c r="Y110" t="s" s="58">
        <v>10</v>
      </c>
      <c r="Z110" s="55" cm="1">
        <f t="array" ref="Z110">M110</f>
        <v>99905000</v>
      </c>
      <c r="AA110" t="s" s="58">
        <v>1047</v>
      </c>
      <c r="AB110" s="60" cm="1">
        <f t="array" ref="AB110">AH110</f>
        <v>45415.416666666664</v>
      </c>
      <c r="AC110" s="53"/>
      <c r="AD110" t="s" s="58">
        <v>128</v>
      </c>
      <c r="AE110" t="s" s="58">
        <v>13</v>
      </c>
      <c r="AF110" t="s" s="58">
        <v>111</v>
      </c>
      <c r="AG110" s="81">
        <v>45414.416666666664</v>
      </c>
      <c r="AH110" s="60">
        <v>45415.416666666664</v>
      </c>
      <c r="AI110" s="60">
        <v>45415.458333333336</v>
      </c>
      <c r="AJ110" s="60">
        <v>45415.583333333336</v>
      </c>
      <c r="AK110" s="60">
        <v>45415.708333333336</v>
      </c>
      <c r="AL110" s="60">
        <v>45415.708333333336</v>
      </c>
      <c r="AM110" s="60">
        <v>45415.708333333336</v>
      </c>
      <c r="AN110" t="s" s="58">
        <v>1048</v>
      </c>
      <c r="AO110" s="60" cm="1">
        <f t="array" ref="AO110">AJ110</f>
        <v>45415.583333333336</v>
      </c>
      <c r="AP110" t="s" s="58">
        <v>1049</v>
      </c>
      <c r="AQ110" s="60" cm="1">
        <f t="array" ref="AQ110">AJ110</f>
        <v>45415.583333333336</v>
      </c>
      <c r="AR110" t="s" s="58">
        <v>1050</v>
      </c>
      <c r="AS110" s="60" cm="1">
        <f t="array" ref="AS110">AJ110</f>
        <v>45415.583333333336</v>
      </c>
      <c r="AT110" t="s" s="78">
        <v>1051</v>
      </c>
      <c r="AU110" s="60" cm="1">
        <f t="array" ref="AU110">AJ110</f>
        <v>45415.583333333336</v>
      </c>
      <c r="AV110" s="53"/>
      <c r="AW110" t="str" s="63" cm="1">
        <f t="array" ref="AW110">"600/"&amp;$B110&amp;"/"&amp;IF(AND($AE110="Konsultansi",M110&lt;=100000000),"SPK",IF(AND($AE110="Konsultansi",M110&gt;100000000),"Kont",IF(AND($AE110&lt;&gt;"Konsultansi",M110&lt;=200000000),"SPK","Kont")))&amp;"-"&amp;AE110&amp;"/PPK/DPUPR"</f>
        <v>600/51309201/SPK-Konsultansi/PPK/DPUPR</v>
      </c>
      <c r="AX110" t="str" s="63" cm="1">
        <f t="array" ref="AX110">"600/"&amp;$B110&amp;"/SPMK/PPK/DPUPR"</f>
        <v>600/51309201/SPMK/PPK/DPUPR</v>
      </c>
      <c r="AY110" s="53"/>
      <c r="AZ110" s="53"/>
      <c r="BA110" s="53"/>
      <c r="BB110" s="53"/>
      <c r="BC110" s="53"/>
      <c r="BD110" s="53"/>
      <c r="BE110" s="53"/>
      <c r="BF110" s="53"/>
      <c r="BG110" s="64">
        <v>158</v>
      </c>
      <c r="BH110" t="s" s="58">
        <v>119</v>
      </c>
      <c r="BI110" t="s" s="58">
        <v>21</v>
      </c>
      <c r="BJ110" t="s" s="58">
        <v>22</v>
      </c>
      <c r="BK110" t="s" s="58">
        <v>23</v>
      </c>
      <c r="BL110" t="s" s="58">
        <v>24</v>
      </c>
      <c r="BM110" s="53"/>
      <c r="BN110" s="53"/>
      <c r="BO110" s="53"/>
      <c r="BP110" s="53"/>
      <c r="BQ110" s="53"/>
      <c r="BR110" t="b" s="61">
        <v>0</v>
      </c>
      <c r="BS110" s="55" cm="1">
        <f t="array" ref="BS110">IF(M110&lt;=0.8*K110,5%*K110,M110*5%)</f>
        <v>4995250</v>
      </c>
      <c r="BT110" t="s" s="58">
        <v>25</v>
      </c>
      <c r="BU110" s="53"/>
      <c r="BV110" s="55" cm="1">
        <f t="array" ref="BV110">J110-M110</f>
        <v>95000</v>
      </c>
    </row>
    <row r="111" ht="36.25" customHeight="1">
      <c r="A111" s="49"/>
      <c r="B111" s="50">
        <v>51308914</v>
      </c>
      <c r="C111" t="s" s="51">
        <v>1054</v>
      </c>
      <c r="D111" t="s" s="65">
        <v>1</v>
      </c>
      <c r="E111" t="str" s="66" cm="1">
        <f t="array" ref="E111">$C111</f>
        <v>Perenc. Pembangunan Jalan Benggaulu </v>
      </c>
      <c r="F111" s="67"/>
      <c r="G111" s="66"/>
      <c r="H111" s="66"/>
      <c r="I111" s="66"/>
      <c r="J111" s="68">
        <v>22500000</v>
      </c>
      <c r="K111" s="69">
        <v>22499402.4</v>
      </c>
      <c r="L111" s="57">
        <v>22448232</v>
      </c>
      <c r="M111" s="68">
        <v>22448000</v>
      </c>
      <c r="N111" t="s" s="70">
        <v>2</v>
      </c>
      <c r="O111" t="s" s="71">
        <v>1055</v>
      </c>
      <c r="P111" t="s" s="70">
        <v>4</v>
      </c>
      <c r="Q111" t="s" s="70">
        <v>5</v>
      </c>
      <c r="R111" t="s" s="70">
        <v>6</v>
      </c>
      <c r="S111" s="73">
        <v>23</v>
      </c>
      <c r="T111" s="72">
        <v>41667</v>
      </c>
      <c r="U111" t="s" s="70">
        <v>7</v>
      </c>
      <c r="V111" t="s" s="70">
        <v>8</v>
      </c>
      <c r="W111" t="s" s="70">
        <v>9</v>
      </c>
      <c r="X111" s="73">
        <v>30</v>
      </c>
      <c r="Y111" t="s" s="70">
        <v>10</v>
      </c>
      <c r="Z111" s="68" cm="1">
        <f t="array" ref="Z111">M111</f>
        <v>22448000</v>
      </c>
      <c r="AA111" t="s" s="70">
        <v>11</v>
      </c>
      <c r="AB111" s="72" cm="1">
        <f t="array" ref="AB111">AH111</f>
        <v>45384</v>
      </c>
      <c r="AC111" s="66"/>
      <c r="AD111" t="s" s="70">
        <v>109</v>
      </c>
      <c r="AE111" t="s" s="70">
        <v>13</v>
      </c>
      <c r="AF111" t="s" s="70">
        <v>14</v>
      </c>
      <c r="AG111" s="72">
        <v>45384</v>
      </c>
      <c r="AH111" s="72">
        <v>45384</v>
      </c>
      <c r="AI111" s="72">
        <v>45384</v>
      </c>
      <c r="AJ111" s="72">
        <v>45384</v>
      </c>
      <c r="AK111" s="72">
        <v>45385</v>
      </c>
      <c r="AL111" s="72">
        <v>45385</v>
      </c>
      <c r="AM111" s="72">
        <v>45385</v>
      </c>
      <c r="AN111" t="s" s="70">
        <v>1056</v>
      </c>
      <c r="AO111" s="72" cm="1">
        <f t="array" ref="AO111">AJ111</f>
        <v>45384</v>
      </c>
      <c r="AP111" t="s" s="70">
        <v>1057</v>
      </c>
      <c r="AQ111" s="72" cm="1">
        <f t="array" ref="AQ111">AJ111</f>
        <v>45384</v>
      </c>
      <c r="AR111" t="s" s="70">
        <v>1058</v>
      </c>
      <c r="AS111" s="72" cm="1">
        <f t="array" ref="AS111">AJ111</f>
        <v>45384</v>
      </c>
      <c r="AT111" t="s" s="78">
        <v>1059</v>
      </c>
      <c r="AU111" s="72" cm="1">
        <f t="array" ref="AU111">AJ111</f>
        <v>45384</v>
      </c>
      <c r="AV111" s="66"/>
      <c r="AW111" t="str" s="74" cm="1">
        <f t="array" ref="AW111">"600/"&amp;$B111&amp;"/"&amp;IF(AND($AE111="Konsultansi",M111&lt;=100000000),"SPK",IF(AND($AE111="Konsultansi",M111&gt;100000000),"Kont",IF(AND($AE111&lt;&gt;"Konsultansi",M111&lt;=200000000),"SPK","Kont")))&amp;"-"&amp;AE111&amp;"/PPK/DPUPR"</f>
        <v>600/51308914/SPK-Konsultansi/PPK/DPUPR</v>
      </c>
      <c r="AX111" t="str" s="74" cm="1">
        <f t="array" ref="AX111">"600/"&amp;$B111&amp;"/SPMK/PPK/DPUPR"</f>
        <v>600/51308914/SPMK/PPK/DPUPR</v>
      </c>
      <c r="AY111" s="66"/>
      <c r="AZ111" s="66"/>
      <c r="BA111" s="66"/>
      <c r="BB111" s="66"/>
      <c r="BC111" s="66"/>
      <c r="BD111" s="66"/>
      <c r="BE111" s="66"/>
      <c r="BF111" s="66"/>
      <c r="BG111" s="75">
        <v>164</v>
      </c>
      <c r="BH111" t="s" s="70">
        <v>2</v>
      </c>
      <c r="BI111" t="s" s="70">
        <v>21</v>
      </c>
      <c r="BJ111" t="s" s="70">
        <v>22</v>
      </c>
      <c r="BK111" t="s" s="70">
        <v>23</v>
      </c>
      <c r="BL111" t="s" s="70">
        <v>24</v>
      </c>
      <c r="BM111" s="66"/>
      <c r="BN111" s="66"/>
      <c r="BO111" s="66"/>
      <c r="BP111" s="66"/>
      <c r="BQ111" s="66"/>
      <c r="BR111" t="b" s="73">
        <v>0</v>
      </c>
      <c r="BS111" s="68" cm="1">
        <f t="array" ref="BS111">IF(M111&lt;=0.8*K111,5%*K111,M111*5%)</f>
        <v>1122400</v>
      </c>
      <c r="BT111" t="s" s="70">
        <v>25</v>
      </c>
      <c r="BU111" s="66"/>
      <c r="BV111" s="68" cm="1">
        <f t="array" ref="BV111">J111-M111</f>
        <v>52000</v>
      </c>
    </row>
    <row r="112" ht="48.25" customHeight="1">
      <c r="A112" s="49"/>
      <c r="B112" s="50">
        <v>5575660</v>
      </c>
      <c r="C112" t="s" s="51">
        <v>1062</v>
      </c>
      <c r="D112" t="s" s="52">
        <v>1</v>
      </c>
      <c r="E112" t="str" s="53" cm="1">
        <f t="array" ref="E112">$C112</f>
        <v>Peningkatan Jalan Dusun Kampung Baru Desa Sarude</v>
      </c>
      <c r="F112" s="54"/>
      <c r="G112" s="53"/>
      <c r="H112" s="53"/>
      <c r="I112" s="53"/>
      <c r="J112" s="55">
        <v>200000000</v>
      </c>
      <c r="K112" s="77">
        <v>199768909.42</v>
      </c>
      <c r="L112" s="57">
        <v>199605851.06</v>
      </c>
      <c r="M112" s="55">
        <v>199605000</v>
      </c>
      <c r="N112" t="s" s="58">
        <v>1063</v>
      </c>
      <c r="O112" t="s" s="59">
        <v>1064</v>
      </c>
      <c r="P112" t="s" s="58">
        <v>4</v>
      </c>
      <c r="Q112" t="s" s="58">
        <v>1065</v>
      </c>
      <c r="R112" t="s" s="58">
        <v>1066</v>
      </c>
      <c r="S112" t="s" s="58">
        <v>1067</v>
      </c>
      <c r="T112" s="60">
        <v>43472</v>
      </c>
      <c r="U112" t="s" s="58">
        <v>1068</v>
      </c>
      <c r="V112" t="s" s="58">
        <v>1069</v>
      </c>
      <c r="W112" t="s" s="58">
        <v>1070</v>
      </c>
      <c r="X112" s="61">
        <v>120</v>
      </c>
      <c r="Y112" t="s" s="58">
        <v>10</v>
      </c>
      <c r="Z112" s="55" cm="1">
        <f t="array" ref="Z112">M112</f>
        <v>199605000</v>
      </c>
      <c r="AA112" t="s" s="58">
        <v>11</v>
      </c>
      <c r="AB112" s="60" cm="1">
        <f t="array" ref="AB112">AH112</f>
        <v>45448.542361111111</v>
      </c>
      <c r="AC112" s="61" cm="1">
        <f t="array" ref="AC112">6*30</f>
        <v>180</v>
      </c>
      <c r="AD112" t="s" s="58">
        <v>109</v>
      </c>
      <c r="AE112" t="s" s="58">
        <v>110</v>
      </c>
      <c r="AF112" t="s" s="58">
        <v>111</v>
      </c>
      <c r="AG112" s="60">
        <v>45447.041666666664</v>
      </c>
      <c r="AH112" s="60">
        <v>45448.542361111111</v>
      </c>
      <c r="AI112" s="60">
        <v>45448.552777777775</v>
      </c>
      <c r="AJ112" s="60">
        <v>45448.584027777775</v>
      </c>
      <c r="AK112" s="60">
        <v>45448.625694444447</v>
      </c>
      <c r="AL112" s="60">
        <v>45448.625694444447</v>
      </c>
      <c r="AM112" s="60">
        <v>45448.625694444447</v>
      </c>
      <c r="AN112" t="s" s="58">
        <v>1071</v>
      </c>
      <c r="AO112" s="60" cm="1">
        <f t="array" ref="AO112">AJ112</f>
        <v>45448.584027777775</v>
      </c>
      <c r="AP112" t="s" s="58">
        <v>1072</v>
      </c>
      <c r="AQ112" s="60" cm="1">
        <f t="array" ref="AQ112">AJ112</f>
        <v>45448.584027777775</v>
      </c>
      <c r="AR112" t="s" s="58">
        <v>1073</v>
      </c>
      <c r="AS112" s="60" cm="1">
        <f t="array" ref="AS112">AJ112</f>
        <v>45448.584027777775</v>
      </c>
      <c r="AT112" t="s" s="78">
        <v>1074</v>
      </c>
      <c r="AU112" s="60" cm="1">
        <f t="array" ref="AU112">AJ112</f>
        <v>45448.584027777775</v>
      </c>
      <c r="AV112" s="53"/>
      <c r="AW112" t="str" s="63" cm="1">
        <f t="array" ref="AW112">"600/"&amp;$B112&amp;"/"&amp;IF(AND($AE112="Konsultansi",M112&lt;=100000000),"SPK",IF(AND($AE112="Konsultansi",M112&gt;100000000),"Kont",IF(AND($AE112&lt;&gt;"Konsultansi",M112&lt;=200000000),"SPK","Kont")))&amp;"-"&amp;AE112&amp;"/PPK/DPUPR"</f>
        <v>600/5575660/SPK-Konstruksi/PPK/DPUPR</v>
      </c>
      <c r="AX112" t="str" s="63" cm="1">
        <f t="array" ref="AX112">"600/"&amp;$B112&amp;"/SPMK/PPK/DPUPR"</f>
        <v>600/5575660/SPMK/PPK/DPUPR</v>
      </c>
      <c r="AY112" s="53"/>
      <c r="AZ112" s="53"/>
      <c r="BA112" s="53"/>
      <c r="BB112" s="53"/>
      <c r="BC112" s="53"/>
      <c r="BD112" s="53"/>
      <c r="BE112" s="53"/>
      <c r="BF112" s="53"/>
      <c r="BG112" s="64">
        <v>230</v>
      </c>
      <c r="BH112" t="s" s="58">
        <v>1063</v>
      </c>
      <c r="BI112" t="s" s="58">
        <v>21</v>
      </c>
      <c r="BJ112" t="s" s="58">
        <v>22</v>
      </c>
      <c r="BK112" t="s" s="58">
        <v>23</v>
      </c>
      <c r="BL112" t="s" s="58">
        <v>24</v>
      </c>
      <c r="BM112" s="53"/>
      <c r="BN112" s="53"/>
      <c r="BO112" s="53"/>
      <c r="BP112" s="53"/>
      <c r="BQ112" s="53"/>
      <c r="BR112" t="b" s="61">
        <v>0</v>
      </c>
      <c r="BS112" s="55" cm="1">
        <f t="array" ref="BS112">IF(M112&lt;=0.8*K112,5%*K112,M112*5%)</f>
        <v>9980250</v>
      </c>
      <c r="BT112" t="s" s="58">
        <v>25</v>
      </c>
      <c r="BU112" s="53"/>
      <c r="BV112" s="55" cm="1">
        <f t="array" ref="BV112">J112-M112</f>
        <v>395000</v>
      </c>
    </row>
    <row r="113" ht="48.25" customHeight="1">
      <c r="A113" s="49"/>
      <c r="B113" s="50">
        <v>5583660</v>
      </c>
      <c r="C113" t="s" s="51">
        <v>1077</v>
      </c>
      <c r="D113" t="s" s="65">
        <v>1</v>
      </c>
      <c r="E113" t="str" s="66" cm="1">
        <f t="array" ref="E113">$C113</f>
        <v>Peningkatan Jalan Kota Pasangkayu</v>
      </c>
      <c r="F113" s="67"/>
      <c r="G113" s="66"/>
      <c r="H113" s="66"/>
      <c r="I113" s="66"/>
      <c r="J113" s="68">
        <v>190000000</v>
      </c>
      <c r="K113" s="76">
        <v>189762556.97</v>
      </c>
      <c r="L113" s="57">
        <v>189551235.18</v>
      </c>
      <c r="M113" s="68">
        <v>189551000</v>
      </c>
      <c r="N113" t="s" s="70">
        <v>1078</v>
      </c>
      <c r="O113" t="s" s="71">
        <v>1079</v>
      </c>
      <c r="P113" t="s" s="70">
        <v>4</v>
      </c>
      <c r="Q113" t="s" s="70">
        <v>1080</v>
      </c>
      <c r="R113" t="s" s="70">
        <v>1081</v>
      </c>
      <c r="S113" s="73">
        <v>171</v>
      </c>
      <c r="T113" s="72">
        <v>45320</v>
      </c>
      <c r="U113" t="s" s="70">
        <v>1082</v>
      </c>
      <c r="V113" t="s" s="70">
        <v>1083</v>
      </c>
      <c r="W113" t="s" s="70">
        <v>1084</v>
      </c>
      <c r="X113" s="73">
        <v>120</v>
      </c>
      <c r="Y113" t="s" s="70">
        <v>10</v>
      </c>
      <c r="Z113" s="68" cm="1">
        <f t="array" ref="Z113">M113</f>
        <v>189551000</v>
      </c>
      <c r="AA113" t="s" s="70">
        <v>11</v>
      </c>
      <c r="AB113" s="72" cm="1">
        <f t="array" ref="AB113">AH113</f>
        <v>45448.542361111111</v>
      </c>
      <c r="AC113" s="73" cm="1">
        <f t="array" ref="AC113">6*30</f>
        <v>180</v>
      </c>
      <c r="AD113" t="s" s="70">
        <v>109</v>
      </c>
      <c r="AE113" t="s" s="70">
        <v>110</v>
      </c>
      <c r="AF113" t="s" s="70">
        <v>111</v>
      </c>
      <c r="AG113" s="72">
        <v>45447.041666666664</v>
      </c>
      <c r="AH113" s="72">
        <v>45448.542361111111</v>
      </c>
      <c r="AI113" s="72">
        <v>45448.552777777775</v>
      </c>
      <c r="AJ113" s="72">
        <v>45448.584027777775</v>
      </c>
      <c r="AK113" s="72">
        <v>45448.625694444447</v>
      </c>
      <c r="AL113" s="72">
        <v>45448.625694444447</v>
      </c>
      <c r="AM113" s="72">
        <v>45448.625694444447</v>
      </c>
      <c r="AN113" t="s" s="70">
        <v>1085</v>
      </c>
      <c r="AO113" s="72" cm="1">
        <f t="array" ref="AO113">AJ113</f>
        <v>45448.584027777775</v>
      </c>
      <c r="AP113" t="s" s="70">
        <v>1086</v>
      </c>
      <c r="AQ113" s="72" cm="1">
        <f t="array" ref="AQ113">AJ113</f>
        <v>45448.584027777775</v>
      </c>
      <c r="AR113" t="s" s="70">
        <v>1087</v>
      </c>
      <c r="AS113" s="72" cm="1">
        <f t="array" ref="AS113">AJ113</f>
        <v>45448.584027777775</v>
      </c>
      <c r="AT113" t="s" s="78">
        <v>1088</v>
      </c>
      <c r="AU113" s="72" cm="1">
        <f t="array" ref="AU113">AJ113</f>
        <v>45448.584027777775</v>
      </c>
      <c r="AV113" s="66"/>
      <c r="AW113" t="str" s="74" cm="1">
        <f t="array" ref="AW113">"600/"&amp;$B113&amp;"/"&amp;IF(AND($AE113="Konsultansi",M113&lt;=100000000),"SPK",IF(AND($AE113="Konsultansi",M113&gt;100000000),"Kont",IF(AND($AE113&lt;&gt;"Konsultansi",M113&lt;=200000000),"SPK","Kont")))&amp;"-"&amp;AE113&amp;"/PPK/DPUPR"</f>
        <v>600/5583660/SPK-Konstruksi/PPK/DPUPR</v>
      </c>
      <c r="AX113" t="str" s="74" cm="1">
        <f t="array" ref="AX113">"600/"&amp;$B113&amp;"/SPMK/PPK/DPUPR"</f>
        <v>600/5583660/SPMK/PPK/DPUPR</v>
      </c>
      <c r="AY113" s="66"/>
      <c r="AZ113" s="66"/>
      <c r="BA113" s="66"/>
      <c r="BB113" s="66"/>
      <c r="BC113" s="66"/>
      <c r="BD113" s="66"/>
      <c r="BE113" s="66"/>
      <c r="BF113" s="66"/>
      <c r="BG113" s="75">
        <v>231</v>
      </c>
      <c r="BH113" t="s" s="70">
        <v>1078</v>
      </c>
      <c r="BI113" t="s" s="70">
        <v>21</v>
      </c>
      <c r="BJ113" t="s" s="70">
        <v>22</v>
      </c>
      <c r="BK113" t="s" s="70">
        <v>23</v>
      </c>
      <c r="BL113" t="s" s="70">
        <v>24</v>
      </c>
      <c r="BM113" s="66"/>
      <c r="BN113" s="66"/>
      <c r="BO113" s="66"/>
      <c r="BP113" s="66"/>
      <c r="BQ113" s="66"/>
      <c r="BR113" t="b" s="73">
        <v>0</v>
      </c>
      <c r="BS113" s="68" cm="1">
        <f t="array" ref="BS113">IF(M113&lt;=0.8*K113,5%*K113,M113*5%)</f>
        <v>9477550</v>
      </c>
      <c r="BT113" t="s" s="70">
        <v>25</v>
      </c>
      <c r="BU113" s="66"/>
      <c r="BV113" s="68" cm="1">
        <f t="array" ref="BV113">J113-M113</f>
        <v>449000</v>
      </c>
    </row>
    <row r="114" ht="20.25" customHeight="1">
      <c r="A114" s="108"/>
      <c r="B114" s="108"/>
      <c r="C114" s="101"/>
      <c r="D114" s="104"/>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row>
    <row r="115" ht="36.25" customHeight="1">
      <c r="A115" s="49"/>
      <c r="B115" s="50">
        <v>5574660</v>
      </c>
      <c r="C115" t="s" s="51">
        <v>1091</v>
      </c>
      <c r="D115" t="s" s="65">
        <v>149</v>
      </c>
      <c r="E115" t="str" s="66" cm="1">
        <f t="array" ref="E115">$C115</f>
        <v>Pemb. Box Culvert Antai II Bulubunggu</v>
      </c>
      <c r="F115" s="67"/>
      <c r="G115" s="66"/>
      <c r="H115" s="66"/>
      <c r="I115" s="66"/>
      <c r="J115" s="68">
        <v>75000000</v>
      </c>
      <c r="K115" s="76">
        <v>74985952.94</v>
      </c>
      <c r="L115" s="57">
        <v>74792497.56</v>
      </c>
      <c r="M115" s="68">
        <v>74792000</v>
      </c>
      <c r="N115" t="s" s="70">
        <v>505</v>
      </c>
      <c r="O115" t="s" s="71">
        <v>506</v>
      </c>
      <c r="P115" t="s" s="70">
        <v>4</v>
      </c>
      <c r="Q115" t="s" s="70">
        <v>507</v>
      </c>
      <c r="R115" t="s" s="70">
        <v>508</v>
      </c>
      <c r="S115" s="73">
        <v>11</v>
      </c>
      <c r="T115" s="72">
        <v>44449</v>
      </c>
      <c r="U115" t="s" s="70">
        <v>363</v>
      </c>
      <c r="V115" t="s" s="70">
        <v>509</v>
      </c>
      <c r="W115" t="s" s="70">
        <v>510</v>
      </c>
      <c r="X115" s="73">
        <v>120</v>
      </c>
      <c r="Y115" t="s" s="70">
        <v>10</v>
      </c>
      <c r="Z115" s="68" cm="1">
        <f t="array" ref="Z115">M115</f>
        <v>74792000</v>
      </c>
      <c r="AA115" t="s" s="70">
        <v>11</v>
      </c>
      <c r="AB115" s="72" cm="1">
        <f t="array" ref="AB115">AH115</f>
        <v>45453.417361111111</v>
      </c>
      <c r="AC115" s="73" cm="1">
        <f t="array" ref="AC115">6*30</f>
        <v>180</v>
      </c>
      <c r="AD115" t="s" s="70">
        <v>109</v>
      </c>
      <c r="AE115" t="s" s="70">
        <v>110</v>
      </c>
      <c r="AF115" t="s" s="70">
        <v>150</v>
      </c>
      <c r="AG115" s="72">
        <v>45452.916666666664</v>
      </c>
      <c r="AH115" s="72">
        <v>45453.417361111111</v>
      </c>
      <c r="AI115" s="72">
        <v>45453.427777777775</v>
      </c>
      <c r="AJ115" s="72">
        <v>45453.500694444447</v>
      </c>
      <c r="AK115" s="72">
        <v>45453.584027777775</v>
      </c>
      <c r="AL115" s="72">
        <v>45453.584027777775</v>
      </c>
      <c r="AM115" s="72">
        <v>45453.584027777775</v>
      </c>
      <c r="AN115" t="s" s="70">
        <v>1092</v>
      </c>
      <c r="AO115" s="72" cm="1">
        <f t="array" ref="AO115">AJ115</f>
        <v>45453.500694444447</v>
      </c>
      <c r="AP115" t="s" s="70">
        <v>1093</v>
      </c>
      <c r="AQ115" s="72" cm="1">
        <f t="array" ref="AQ115">AJ115</f>
        <v>45453.500694444447</v>
      </c>
      <c r="AR115" t="s" s="70">
        <v>1094</v>
      </c>
      <c r="AS115" s="72" cm="1">
        <f t="array" ref="AS115">AJ115</f>
        <v>45453.500694444447</v>
      </c>
      <c r="AT115" t="s" s="78">
        <v>1095</v>
      </c>
      <c r="AU115" s="72" cm="1">
        <f t="array" ref="AU115">AJ115</f>
        <v>45453.500694444447</v>
      </c>
      <c r="AV115" s="66"/>
      <c r="AW115" t="str" s="74" cm="1">
        <f t="array" ref="AW115">"600/"&amp;$B115&amp;"/"&amp;IF(AND($AE115="Konsultansi",M115&lt;=100000000),"SPK",IF(AND($AE115="Konsultansi",M115&gt;100000000),"Kont",IF(AND($AE115&lt;&gt;"Konsultansi",M115&lt;=200000000),"SPK","Kont")))&amp;"-"&amp;AE115&amp;"/PPK/DPUPR"</f>
        <v>600/5574660/SPK-Konstruksi/PPK/DPUPR</v>
      </c>
      <c r="AX115" t="str" s="74" cm="1">
        <f t="array" ref="AX115">"600/"&amp;$B115&amp;"/SPMK/PPK/DPUPR"</f>
        <v>600/5574660/SPMK/PPK/DPUPR</v>
      </c>
      <c r="AY115" s="66"/>
      <c r="AZ115" s="66"/>
      <c r="BA115" s="66"/>
      <c r="BB115" s="66"/>
      <c r="BC115" s="66"/>
      <c r="BD115" s="66"/>
      <c r="BE115" s="66"/>
      <c r="BF115" s="66"/>
      <c r="BG115" s="75">
        <v>186</v>
      </c>
      <c r="BH115" t="s" s="70">
        <v>505</v>
      </c>
      <c r="BI115" t="s" s="70">
        <v>21</v>
      </c>
      <c r="BJ115" t="s" s="70">
        <v>22</v>
      </c>
      <c r="BK115" t="s" s="70">
        <v>23</v>
      </c>
      <c r="BL115" t="s" s="70">
        <v>24</v>
      </c>
      <c r="BM115" s="66"/>
      <c r="BN115" s="66"/>
      <c r="BO115" s="66"/>
      <c r="BP115" s="66"/>
      <c r="BQ115" s="66"/>
      <c r="BR115" t="b" s="73">
        <v>0</v>
      </c>
      <c r="BS115" s="68" cm="1">
        <f t="array" ref="BS115">IF(M115&lt;=0.8*K115,5%*K115,M115*5%)</f>
        <v>3739600</v>
      </c>
      <c r="BT115" t="s" s="70">
        <v>156</v>
      </c>
      <c r="BU115" s="66"/>
      <c r="BV115" s="68" cm="1">
        <f t="array" ref="BV115">J115-M115</f>
        <v>208000</v>
      </c>
    </row>
    <row r="116" ht="72.25" customHeight="1">
      <c r="A116" s="49"/>
      <c r="B116" s="50">
        <v>4889660</v>
      </c>
      <c r="C116" t="s" s="51">
        <v>1098</v>
      </c>
      <c r="D116" t="s" s="52">
        <v>165</v>
      </c>
      <c r="E116" t="str" s="53" cm="1">
        <f t="array" ref="E116">$C116</f>
        <v>Pembangunan Pagar dan Selasar RSUD Pasangkayu</v>
      </c>
      <c r="F116" s="54"/>
      <c r="G116" s="53"/>
      <c r="H116" s="53"/>
      <c r="I116" s="53"/>
      <c r="J116" s="55">
        <v>1053400000</v>
      </c>
      <c r="K116" s="77">
        <v>1053118581.97</v>
      </c>
      <c r="L116" s="57">
        <v>1040031381.17</v>
      </c>
      <c r="M116" s="55">
        <v>1040031000</v>
      </c>
      <c r="N116" t="s" s="58">
        <v>1099</v>
      </c>
      <c r="O116" t="s" s="59">
        <v>1100</v>
      </c>
      <c r="P116" t="s" s="58">
        <v>4</v>
      </c>
      <c r="Q116" t="s" s="58">
        <v>1101</v>
      </c>
      <c r="R116" t="s" s="58">
        <v>279</v>
      </c>
      <c r="S116" t="s" s="58">
        <v>1102</v>
      </c>
      <c r="T116" s="60">
        <v>44987</v>
      </c>
      <c r="U116" t="s" s="58">
        <v>977</v>
      </c>
      <c r="V116" t="s" s="58">
        <v>1103</v>
      </c>
      <c r="W116" t="s" s="58">
        <v>1104</v>
      </c>
      <c r="X116" s="61">
        <v>200</v>
      </c>
      <c r="Y116" t="s" s="58">
        <v>10</v>
      </c>
      <c r="Z116" s="55" cm="1">
        <f t="array" ref="Z116">M116</f>
        <v>1040031000</v>
      </c>
      <c r="AA116" t="s" s="58">
        <v>1105</v>
      </c>
      <c r="AB116" s="60" cm="1">
        <f t="array" ref="AB116">AH116</f>
        <v>45439.378472222219</v>
      </c>
      <c r="AC116" s="61" cm="1">
        <f t="array" ref="AC116">12*30</f>
        <v>360</v>
      </c>
      <c r="AD116" t="s" s="58">
        <v>109</v>
      </c>
      <c r="AE116" t="s" s="58">
        <v>110</v>
      </c>
      <c r="AF116" t="s" s="58">
        <v>1106</v>
      </c>
      <c r="AG116" s="60">
        <v>45432.333333333336</v>
      </c>
      <c r="AH116" s="60">
        <v>45439.378472222219</v>
      </c>
      <c r="AI116" s="60">
        <v>45439.378472222219</v>
      </c>
      <c r="AJ116" s="60"/>
      <c r="AK116" s="60">
        <v>45455.333333333336</v>
      </c>
      <c r="AL116" s="60">
        <v>45456</v>
      </c>
      <c r="AM116" s="60">
        <v>45456</v>
      </c>
      <c r="AN116" t="s" s="58">
        <v>1107</v>
      </c>
      <c r="AO116" s="60">
        <v>45449</v>
      </c>
      <c r="AP116" t="s" s="58">
        <v>1108</v>
      </c>
      <c r="AQ116" s="53" cm="1">
        <f t="array" ref="AQ116">AJ116</f>
      </c>
      <c r="AR116" t="s" s="58">
        <v>1109</v>
      </c>
      <c r="AS116" s="53" cm="1">
        <f t="array" ref="AS116">AJ116</f>
      </c>
      <c r="AT116" t="s" s="78">
        <v>1110</v>
      </c>
      <c r="AU116" s="60">
        <v>45448</v>
      </c>
      <c r="AV116" s="53"/>
      <c r="AW116" t="str" s="63" cm="1">
        <f t="array" ref="AW116">"600/"&amp;$B116&amp;"/"&amp;IF(AND($AE116="Konsultansi",M116&lt;=100000000),"SPK",IF(AND($AE116="Konsultansi",M116&gt;100000000),"Kont",IF(AND($AE116&lt;&gt;"Konsultansi",M116&lt;=200000000),"SPK","Kont")))&amp;"-"&amp;AE116&amp;"/PPK/DPUPR"</f>
        <v>600/4889660/Kont-Konstruksi/PPK/DPUPR</v>
      </c>
      <c r="AX116" t="str" s="63" cm="1">
        <f t="array" ref="AX116">"600/"&amp;$B116&amp;"/SPMK/PPK/DPUPR"</f>
        <v>600/4889660/SPMK/PPK/DPUPR</v>
      </c>
      <c r="AY116" s="53"/>
      <c r="AZ116" s="53"/>
      <c r="BA116" s="53"/>
      <c r="BB116" s="53"/>
      <c r="BC116" s="53"/>
      <c r="BD116" s="53"/>
      <c r="BE116" s="53"/>
      <c r="BF116" s="53"/>
      <c r="BG116" s="64">
        <v>18</v>
      </c>
      <c r="BH116" t="s" s="58">
        <v>1099</v>
      </c>
      <c r="BI116" t="s" s="58">
        <v>21</v>
      </c>
      <c r="BJ116" t="s" s="58">
        <v>22</v>
      </c>
      <c r="BK116" t="s" s="58">
        <v>23</v>
      </c>
      <c r="BL116" t="s" s="58">
        <v>24</v>
      </c>
      <c r="BM116" s="53"/>
      <c r="BN116" s="53"/>
      <c r="BO116" s="53"/>
      <c r="BP116" s="53"/>
      <c r="BQ116" s="53"/>
      <c r="BR116" t="b" s="61">
        <v>0</v>
      </c>
      <c r="BS116" s="55" cm="1">
        <f t="array" ref="BS116">IF(M116&lt;=0.8*K116,5%*K116,M116*5%)</f>
        <v>52001550</v>
      </c>
      <c r="BT116" t="s" s="58">
        <v>173</v>
      </c>
      <c r="BU116" s="53"/>
      <c r="BV116" s="55" cm="1">
        <f t="array" ref="BV116">J116-M116</f>
        <v>13369000</v>
      </c>
    </row>
    <row r="117" ht="72.25" customHeight="1">
      <c r="A117" s="49"/>
      <c r="B117" s="50">
        <v>49976430</v>
      </c>
      <c r="C117" t="s" s="51">
        <v>1113</v>
      </c>
      <c r="D117" t="s" s="65">
        <v>165</v>
      </c>
      <c r="E117" t="str" s="66" cm="1">
        <f t="array" ref="E117">$C117</f>
        <v>Pengawasan Pembangunan Pagar dan Selasar RSUD Pasangkayu</v>
      </c>
      <c r="F117" s="67"/>
      <c r="G117" s="66"/>
      <c r="H117" s="66"/>
      <c r="I117" s="66"/>
      <c r="J117" s="68">
        <v>30000000</v>
      </c>
      <c r="K117" s="69">
        <v>29998090.8</v>
      </c>
      <c r="L117" s="57">
        <v>29940246</v>
      </c>
      <c r="M117" s="68">
        <v>29940000</v>
      </c>
      <c r="N117" t="s" s="70">
        <v>119</v>
      </c>
      <c r="O117" t="s" s="71">
        <v>120</v>
      </c>
      <c r="P117" t="s" s="70">
        <v>4</v>
      </c>
      <c r="Q117" t="s" s="70">
        <v>121</v>
      </c>
      <c r="R117" t="s" s="70">
        <v>122</v>
      </c>
      <c r="S117" t="s" s="70">
        <v>123</v>
      </c>
      <c r="T117" s="72">
        <v>41871</v>
      </c>
      <c r="U117" t="s" s="70">
        <v>124</v>
      </c>
      <c r="V117" t="s" s="70">
        <v>125</v>
      </c>
      <c r="W117" t="s" s="70">
        <v>126</v>
      </c>
      <c r="X117" s="73">
        <v>200</v>
      </c>
      <c r="Y117" t="s" s="70">
        <v>10</v>
      </c>
      <c r="Z117" s="68" cm="1">
        <f t="array" ref="Z117">M117</f>
        <v>29940000</v>
      </c>
      <c r="AA117" t="s" s="70">
        <v>1114</v>
      </c>
      <c r="AB117" s="72" cm="1">
        <f t="array" ref="AB117">AH117</f>
        <v>45456</v>
      </c>
      <c r="AC117" s="73" cm="1">
        <f t="array" ref="AC117">12*30</f>
        <v>360</v>
      </c>
      <c r="AD117" t="s" s="70">
        <v>12</v>
      </c>
      <c r="AE117" t="s" s="70">
        <v>13</v>
      </c>
      <c r="AF117" t="s" s="70">
        <v>1106</v>
      </c>
      <c r="AG117" s="72">
        <v>45455.333333333336</v>
      </c>
      <c r="AH117" s="72">
        <v>45456</v>
      </c>
      <c r="AI117" s="72">
        <v>45456</v>
      </c>
      <c r="AJ117" s="72">
        <v>45456</v>
      </c>
      <c r="AK117" s="72">
        <v>45456</v>
      </c>
      <c r="AL117" s="72">
        <v>45456</v>
      </c>
      <c r="AM117" s="72">
        <v>45456</v>
      </c>
      <c r="AN117" t="s" s="70">
        <v>1115</v>
      </c>
      <c r="AO117" s="72" cm="1">
        <f t="array" ref="AO117">AJ117</f>
        <v>45456</v>
      </c>
      <c r="AP117" t="s" s="70">
        <v>1116</v>
      </c>
      <c r="AQ117" s="72" cm="1">
        <f t="array" ref="AQ117">AJ117</f>
        <v>45456</v>
      </c>
      <c r="AR117" t="s" s="70">
        <v>1117</v>
      </c>
      <c r="AS117" s="72" cm="1">
        <f t="array" ref="AS117">AJ117</f>
        <v>45456</v>
      </c>
      <c r="AT117" t="s" s="78">
        <v>1118</v>
      </c>
      <c r="AU117" s="66"/>
      <c r="AV117" s="66"/>
      <c r="AW117" t="str" s="74" cm="1">
        <f t="array" ref="AW117">"600/"&amp;$B117&amp;"/"&amp;IF(AND($AE117="Konsultansi",M117&lt;=100000000),"SPK",IF(AND($AE117="Konsultansi",M117&gt;100000000),"Kont",IF(AND($AE117&lt;&gt;"Konsultansi",M117&lt;=200000000),"SPK","Kont")))&amp;"-"&amp;AE117&amp;"/PPK/DPUPR"</f>
        <v>600/49976430/SPK-Konsultansi/PPK/DPUPR</v>
      </c>
      <c r="AX117" t="str" s="74" cm="1">
        <f t="array" ref="AX117">"600/"&amp;$B117&amp;"/SPMK/PPK/DPUPR"</f>
        <v>600/49976430/SPMK/PPK/DPUPR</v>
      </c>
      <c r="AY117" s="66"/>
      <c r="AZ117" s="66"/>
      <c r="BA117" s="66"/>
      <c r="BB117" s="66"/>
      <c r="BC117" s="66"/>
      <c r="BD117" s="66"/>
      <c r="BE117" s="66"/>
      <c r="BF117" s="66"/>
      <c r="BG117" s="75">
        <v>158</v>
      </c>
      <c r="BH117" t="s" s="70">
        <v>119</v>
      </c>
      <c r="BI117" t="s" s="70">
        <v>21</v>
      </c>
      <c r="BJ117" t="s" s="70">
        <v>22</v>
      </c>
      <c r="BK117" t="s" s="70">
        <v>23</v>
      </c>
      <c r="BL117" t="s" s="70">
        <v>24</v>
      </c>
      <c r="BM117" s="66"/>
      <c r="BN117" s="66"/>
      <c r="BO117" s="66"/>
      <c r="BP117" s="66"/>
      <c r="BQ117" s="66"/>
      <c r="BR117" t="b" s="73">
        <v>0</v>
      </c>
      <c r="BS117" s="68" cm="1">
        <f t="array" ref="BS117">IF(M117&lt;=0.8*K117,5%*K117,M117*5%)</f>
        <v>1497000</v>
      </c>
      <c r="BT117" t="s" s="70">
        <v>173</v>
      </c>
      <c r="BU117" s="66"/>
      <c r="BV117" s="68" cm="1">
        <f t="array" ref="BV117">J117-M117</f>
        <v>60000</v>
      </c>
    </row>
    <row r="118" ht="72.25" customHeight="1">
      <c r="A118" s="49"/>
      <c r="B118" s="50">
        <v>4887660</v>
      </c>
      <c r="C118" t="s" s="51">
        <v>1121</v>
      </c>
      <c r="D118" t="s" s="52">
        <v>165</v>
      </c>
      <c r="E118" t="str" s="53" cm="1">
        <f t="array" ref="E118">$C118</f>
        <v>Pembangunan Ruang Operasi RSUD Pasangkayu</v>
      </c>
      <c r="F118" s="54"/>
      <c r="G118" s="53"/>
      <c r="H118" s="53"/>
      <c r="I118" s="53"/>
      <c r="J118" s="55">
        <v>1308355671</v>
      </c>
      <c r="K118" s="55">
        <v>1307854233</v>
      </c>
      <c r="L118" s="57">
        <v>1294473243.67</v>
      </c>
      <c r="M118" s="55">
        <v>1294473000</v>
      </c>
      <c r="N118" t="s" s="58">
        <v>1099</v>
      </c>
      <c r="O118" t="s" s="59">
        <v>1100</v>
      </c>
      <c r="P118" t="s" s="58">
        <v>4</v>
      </c>
      <c r="Q118" t="s" s="58">
        <v>1101</v>
      </c>
      <c r="R118" t="s" s="58">
        <v>279</v>
      </c>
      <c r="S118" t="s" s="58">
        <v>1102</v>
      </c>
      <c r="T118" s="60">
        <v>44987</v>
      </c>
      <c r="U118" t="s" s="58">
        <v>977</v>
      </c>
      <c r="V118" t="s" s="58">
        <v>1103</v>
      </c>
      <c r="W118" t="s" s="58">
        <v>1104</v>
      </c>
      <c r="X118" s="61">
        <v>200</v>
      </c>
      <c r="Y118" t="s" s="58">
        <v>10</v>
      </c>
      <c r="Z118" s="55" cm="1">
        <f t="array" ref="Z118">M118</f>
        <v>1294473000</v>
      </c>
      <c r="AA118" t="s" s="58">
        <v>1122</v>
      </c>
      <c r="AB118" s="60" cm="1">
        <f t="array" ref="AB118">AH118</f>
        <v>45439.378472222219</v>
      </c>
      <c r="AC118" s="61" cm="1">
        <f t="array" ref="AC118">12*30</f>
        <v>360</v>
      </c>
      <c r="AD118" t="s" s="58">
        <v>109</v>
      </c>
      <c r="AE118" t="s" s="58">
        <v>110</v>
      </c>
      <c r="AF118" t="s" s="58">
        <v>1106</v>
      </c>
      <c r="AG118" s="60">
        <v>45432.333333333336</v>
      </c>
      <c r="AH118" s="60">
        <v>45439.378472222219</v>
      </c>
      <c r="AI118" s="60">
        <v>45439.378472222219</v>
      </c>
      <c r="AJ118" s="60"/>
      <c r="AK118" s="60">
        <v>45455.333333333336</v>
      </c>
      <c r="AL118" s="60">
        <v>45456</v>
      </c>
      <c r="AM118" s="60">
        <v>45456</v>
      </c>
      <c r="AN118" t="s" s="58">
        <v>1107</v>
      </c>
      <c r="AO118" s="60">
        <v>45449</v>
      </c>
      <c r="AP118" t="s" s="58">
        <v>1123</v>
      </c>
      <c r="AQ118" s="53" cm="1">
        <f t="array" ref="AQ118">AJ118</f>
      </c>
      <c r="AR118" t="s" s="58">
        <v>1124</v>
      </c>
      <c r="AS118" s="53" cm="1">
        <f t="array" ref="AS118">AJ118</f>
      </c>
      <c r="AT118" t="s" s="78">
        <v>1125</v>
      </c>
      <c r="AU118" s="60">
        <v>45448</v>
      </c>
      <c r="AV118" s="53"/>
      <c r="AW118" t="str" s="63" cm="1">
        <f t="array" ref="AW118">"600/"&amp;$B118&amp;"/"&amp;IF(AND($AE118="Konsultansi",M118&lt;=100000000),"SPK",IF(AND($AE118="Konsultansi",M118&gt;100000000),"Kont",IF(AND($AE118&lt;&gt;"Konsultansi",M118&lt;=200000000),"SPK","Kont")))&amp;"-"&amp;AE118&amp;"/PPK/DPUPR"</f>
        <v>600/4887660/Kont-Konstruksi/PPK/DPUPR</v>
      </c>
      <c r="AX118" t="str" s="63" cm="1">
        <f t="array" ref="AX118">"600/"&amp;$B118&amp;"/SPMK/PPK/DPUPR"</f>
        <v>600/4887660/SPMK/PPK/DPUPR</v>
      </c>
      <c r="AY118" s="53"/>
      <c r="AZ118" s="53"/>
      <c r="BA118" s="53"/>
      <c r="BB118" s="53"/>
      <c r="BC118" s="53"/>
      <c r="BD118" s="53"/>
      <c r="BE118" s="53"/>
      <c r="BF118" s="53"/>
      <c r="BG118" s="64">
        <v>18</v>
      </c>
      <c r="BH118" t="s" s="58">
        <v>1099</v>
      </c>
      <c r="BI118" t="s" s="58">
        <v>21</v>
      </c>
      <c r="BJ118" t="s" s="58">
        <v>22</v>
      </c>
      <c r="BK118" t="s" s="58">
        <v>23</v>
      </c>
      <c r="BL118" t="s" s="58">
        <v>24</v>
      </c>
      <c r="BM118" s="53"/>
      <c r="BN118" s="53"/>
      <c r="BO118" s="53"/>
      <c r="BP118" s="53"/>
      <c r="BQ118" s="53"/>
      <c r="BR118" t="b" s="61">
        <v>0</v>
      </c>
      <c r="BS118" s="55" cm="1">
        <f t="array" ref="BS118">IF(M118&lt;=0.8*K118,5%*K118,M118*5%)</f>
        <v>64723650</v>
      </c>
      <c r="BT118" t="s" s="58">
        <v>173</v>
      </c>
      <c r="BU118" s="53"/>
      <c r="BV118" s="55" cm="1">
        <f t="array" ref="BV118">J118-M118</f>
        <v>13882671</v>
      </c>
    </row>
    <row r="119" ht="72.25" customHeight="1">
      <c r="A119" s="49"/>
      <c r="B119" s="50">
        <v>49976716</v>
      </c>
      <c r="C119" t="s" s="51">
        <v>1128</v>
      </c>
      <c r="D119" t="s" s="65">
        <v>165</v>
      </c>
      <c r="E119" t="str" s="66" cm="1">
        <f t="array" ref="E119">$C119</f>
        <v>Pengawasan Pembangunan Ruang Operasi RSUD</v>
      </c>
      <c r="F119" s="67"/>
      <c r="G119" s="66"/>
      <c r="H119" s="66"/>
      <c r="I119" s="66"/>
      <c r="J119" s="68">
        <v>40000000</v>
      </c>
      <c r="K119" s="69">
        <v>39998566.8</v>
      </c>
      <c r="L119" s="57">
        <v>39907350</v>
      </c>
      <c r="M119" s="68">
        <v>39796000</v>
      </c>
      <c r="N119" t="s" s="70">
        <v>119</v>
      </c>
      <c r="O119" t="s" s="71">
        <v>120</v>
      </c>
      <c r="P119" t="s" s="70">
        <v>4</v>
      </c>
      <c r="Q119" t="s" s="70">
        <v>121</v>
      </c>
      <c r="R119" t="s" s="70">
        <v>122</v>
      </c>
      <c r="S119" t="s" s="70">
        <v>123</v>
      </c>
      <c r="T119" s="72">
        <v>41871</v>
      </c>
      <c r="U119" t="s" s="70">
        <v>124</v>
      </c>
      <c r="V119" t="s" s="70">
        <v>125</v>
      </c>
      <c r="W119" t="s" s="70">
        <v>126</v>
      </c>
      <c r="X119" s="73">
        <v>200</v>
      </c>
      <c r="Y119" t="s" s="70">
        <v>10</v>
      </c>
      <c r="Z119" s="68" cm="1">
        <f t="array" ref="Z119">M119</f>
        <v>39796000</v>
      </c>
      <c r="AA119" t="s" s="70">
        <v>1129</v>
      </c>
      <c r="AB119" s="72" cm="1">
        <f t="array" ref="AB119">AH119</f>
        <v>45456</v>
      </c>
      <c r="AC119" s="73" cm="1">
        <f t="array" ref="AC119">12*30</f>
        <v>360</v>
      </c>
      <c r="AD119" t="s" s="70">
        <v>12</v>
      </c>
      <c r="AE119" t="s" s="70">
        <v>13</v>
      </c>
      <c r="AF119" t="s" s="70">
        <v>1106</v>
      </c>
      <c r="AG119" s="72">
        <v>45455.333333333336</v>
      </c>
      <c r="AH119" s="72">
        <v>45456</v>
      </c>
      <c r="AI119" s="72">
        <v>45456</v>
      </c>
      <c r="AJ119" s="72">
        <v>45456</v>
      </c>
      <c r="AK119" s="72">
        <v>45456</v>
      </c>
      <c r="AL119" s="72">
        <v>45456</v>
      </c>
      <c r="AM119" s="72">
        <v>45456</v>
      </c>
      <c r="AN119" t="s" s="70">
        <v>1130</v>
      </c>
      <c r="AO119" s="72" cm="1">
        <f t="array" ref="AO119">AJ119</f>
        <v>45456</v>
      </c>
      <c r="AP119" t="s" s="70">
        <v>1131</v>
      </c>
      <c r="AQ119" s="72" cm="1">
        <f t="array" ref="AQ119">AJ119</f>
        <v>45456</v>
      </c>
      <c r="AR119" t="s" s="70">
        <v>1132</v>
      </c>
      <c r="AS119" s="72" cm="1">
        <f t="array" ref="AS119">AJ119</f>
        <v>45456</v>
      </c>
      <c r="AT119" t="s" s="78">
        <v>1133</v>
      </c>
      <c r="AU119" s="66"/>
      <c r="AV119" s="66"/>
      <c r="AW119" t="str" s="74" cm="1">
        <f t="array" ref="AW119">"600/"&amp;$B119&amp;"/"&amp;IF(AND($AE119="Konsultansi",M119&lt;=100000000),"SPK",IF(AND($AE119="Konsultansi",M119&gt;100000000),"Kont",IF(AND($AE119&lt;&gt;"Konsultansi",M119&lt;=200000000),"SPK","Kont")))&amp;"-"&amp;AE119&amp;"/PPK/DPUPR"</f>
        <v>600/49976716/SPK-Konsultansi/PPK/DPUPR</v>
      </c>
      <c r="AX119" t="str" s="74" cm="1">
        <f t="array" ref="AX119">"600/"&amp;$B119&amp;"/SPMK/PPK/DPUPR"</f>
        <v>600/49976716/SPMK/PPK/DPUPR</v>
      </c>
      <c r="AY119" s="66"/>
      <c r="AZ119" s="66"/>
      <c r="BA119" s="66"/>
      <c r="BB119" s="66"/>
      <c r="BC119" s="66"/>
      <c r="BD119" s="66"/>
      <c r="BE119" s="66"/>
      <c r="BF119" s="66"/>
      <c r="BG119" s="75">
        <v>158</v>
      </c>
      <c r="BH119" t="s" s="70">
        <v>119</v>
      </c>
      <c r="BI119" t="s" s="70">
        <v>21</v>
      </c>
      <c r="BJ119" t="s" s="70">
        <v>22</v>
      </c>
      <c r="BK119" t="s" s="70">
        <v>23</v>
      </c>
      <c r="BL119" t="s" s="70">
        <v>24</v>
      </c>
      <c r="BM119" s="66"/>
      <c r="BN119" s="66"/>
      <c r="BO119" s="66"/>
      <c r="BP119" s="66"/>
      <c r="BQ119" s="66"/>
      <c r="BR119" t="b" s="73">
        <v>0</v>
      </c>
      <c r="BS119" s="68" cm="1">
        <f t="array" ref="BS119">IF(M119&lt;=0.8*K119,5%*K119,M119*5%)</f>
        <v>1989800</v>
      </c>
      <c r="BT119" t="s" s="70">
        <v>173</v>
      </c>
      <c r="BU119" s="66"/>
      <c r="BV119" s="68" cm="1">
        <f t="array" ref="BV119">J119-M119</f>
        <v>204000</v>
      </c>
    </row>
    <row r="120" ht="72.25" customHeight="1">
      <c r="A120" s="49"/>
      <c r="B120" s="50">
        <v>4888660</v>
      </c>
      <c r="C120" t="s" s="51">
        <v>1136</v>
      </c>
      <c r="D120" t="s" s="52">
        <v>165</v>
      </c>
      <c r="E120" t="str" s="53" cm="1">
        <f t="array" ref="E120">$C120</f>
        <v>Pembangunan Gedung Kantor Polsek Tikke Raya</v>
      </c>
      <c r="F120" s="54"/>
      <c r="G120" s="53"/>
      <c r="H120" s="53"/>
      <c r="I120" s="53"/>
      <c r="J120" s="55">
        <v>1145000000</v>
      </c>
      <c r="K120" s="55">
        <v>1144757286</v>
      </c>
      <c r="L120" s="57">
        <v>1134024738.74</v>
      </c>
      <c r="M120" s="55">
        <v>1134024000</v>
      </c>
      <c r="N120" t="s" s="58">
        <v>245</v>
      </c>
      <c r="O120" t="s" s="59">
        <v>246</v>
      </c>
      <c r="P120" t="s" s="58">
        <v>4</v>
      </c>
      <c r="Q120" t="s" s="58">
        <v>247</v>
      </c>
      <c r="R120" t="s" s="58">
        <v>248</v>
      </c>
      <c r="S120" t="s" s="58">
        <v>249</v>
      </c>
      <c r="T120" s="60">
        <v>44630</v>
      </c>
      <c r="U120" t="s" s="58">
        <v>250</v>
      </c>
      <c r="V120" t="s" s="58">
        <v>251</v>
      </c>
      <c r="W120" t="s" s="58">
        <v>243</v>
      </c>
      <c r="X120" s="61">
        <v>200</v>
      </c>
      <c r="Y120" t="s" s="58">
        <v>10</v>
      </c>
      <c r="Z120" s="55" cm="1">
        <f t="array" ref="Z120">M120</f>
        <v>1134024000</v>
      </c>
      <c r="AA120" t="s" s="58">
        <v>1137</v>
      </c>
      <c r="AB120" s="60" cm="1">
        <f t="array" ref="AB120">AH120</f>
        <v>45439.378472222219</v>
      </c>
      <c r="AC120" s="61" cm="1">
        <f t="array" ref="AC120">12*30</f>
        <v>360</v>
      </c>
      <c r="AD120" t="s" s="58">
        <v>109</v>
      </c>
      <c r="AE120" t="s" s="58">
        <v>110</v>
      </c>
      <c r="AF120" t="s" s="58">
        <v>1106</v>
      </c>
      <c r="AG120" s="60">
        <v>45432.333333333336</v>
      </c>
      <c r="AH120" s="60">
        <v>45439.378472222219</v>
      </c>
      <c r="AI120" s="60">
        <v>45439.378472222219</v>
      </c>
      <c r="AJ120" s="60"/>
      <c r="AK120" s="60">
        <v>45455.333333333336</v>
      </c>
      <c r="AL120" s="60">
        <v>45456</v>
      </c>
      <c r="AM120" s="60">
        <v>45456</v>
      </c>
      <c r="AN120" t="s" s="58">
        <v>1138</v>
      </c>
      <c r="AO120" s="60">
        <v>45449</v>
      </c>
      <c r="AP120" t="s" s="58">
        <v>1139</v>
      </c>
      <c r="AQ120" s="53" cm="1">
        <f t="array" ref="AQ120">AJ120</f>
      </c>
      <c r="AR120" t="s" s="58">
        <v>1140</v>
      </c>
      <c r="AS120" s="53" cm="1">
        <f t="array" ref="AS120">AJ120</f>
      </c>
      <c r="AT120" t="s" s="78">
        <v>1141</v>
      </c>
      <c r="AU120" s="60">
        <v>45448</v>
      </c>
      <c r="AV120" s="53"/>
      <c r="AW120" t="str" s="63" cm="1">
        <f t="array" ref="AW120">"600/"&amp;$B120&amp;"/"&amp;IF(AND($AE120="Konsultansi",M120&lt;=100000000),"SPK",IF(AND($AE120="Konsultansi",M120&gt;100000000),"Kont",IF(AND($AE120&lt;&gt;"Konsultansi",M120&lt;=200000000),"SPK","Kont")))&amp;"-"&amp;AE120&amp;"/PPK/DPUPR"</f>
        <v>600/4888660/Kont-Konstruksi/PPK/DPUPR</v>
      </c>
      <c r="AX120" t="str" s="63" cm="1">
        <f t="array" ref="AX120">"600/"&amp;$B120&amp;"/SPMK/PPK/DPUPR"</f>
        <v>600/4888660/SPMK/PPK/DPUPR</v>
      </c>
      <c r="AY120" s="53"/>
      <c r="AZ120" s="53"/>
      <c r="BA120" s="53"/>
      <c r="BB120" s="53"/>
      <c r="BC120" s="53"/>
      <c r="BD120" s="53"/>
      <c r="BE120" s="53"/>
      <c r="BF120" s="53"/>
      <c r="BG120" s="64">
        <v>20</v>
      </c>
      <c r="BH120" t="s" s="58">
        <v>245</v>
      </c>
      <c r="BI120" t="s" s="58">
        <v>21</v>
      </c>
      <c r="BJ120" t="s" s="58">
        <v>22</v>
      </c>
      <c r="BK120" t="s" s="58">
        <v>23</v>
      </c>
      <c r="BL120" t="s" s="58">
        <v>24</v>
      </c>
      <c r="BM120" s="53"/>
      <c r="BN120" s="53"/>
      <c r="BO120" s="53"/>
      <c r="BP120" s="53"/>
      <c r="BQ120" s="53"/>
      <c r="BR120" t="b" s="61">
        <v>0</v>
      </c>
      <c r="BS120" s="55" cm="1">
        <f t="array" ref="BS120">IF(M120&lt;=0.8*K120,5%*K120,M120*5%)</f>
        <v>56701200</v>
      </c>
      <c r="BT120" t="s" s="58">
        <v>173</v>
      </c>
      <c r="BU120" s="53"/>
      <c r="BV120" s="55" cm="1">
        <f t="array" ref="BV120">J120-M120</f>
        <v>10976000</v>
      </c>
    </row>
    <row r="121" ht="72.25" customHeight="1">
      <c r="A121" s="49"/>
      <c r="B121" s="50">
        <v>49975362</v>
      </c>
      <c r="C121" t="s" s="51">
        <v>1144</v>
      </c>
      <c r="D121" t="s" s="65">
        <v>165</v>
      </c>
      <c r="E121" t="str" s="66" cm="1">
        <f t="array" ref="E121">$C121</f>
        <v>Pengawasan Pembangunan Gedung Kantor Polsek Tikke Raya</v>
      </c>
      <c r="F121" s="67"/>
      <c r="G121" s="66"/>
      <c r="H121" s="66"/>
      <c r="I121" s="66"/>
      <c r="J121" s="68">
        <v>40000000</v>
      </c>
      <c r="K121" s="69">
        <v>39998566.8</v>
      </c>
      <c r="L121" s="57">
        <v>39929598</v>
      </c>
      <c r="M121" s="68">
        <v>39796000</v>
      </c>
      <c r="N121" t="s" s="70">
        <v>119</v>
      </c>
      <c r="O121" t="s" s="71">
        <v>120</v>
      </c>
      <c r="P121" t="s" s="70">
        <v>4</v>
      </c>
      <c r="Q121" t="s" s="70">
        <v>121</v>
      </c>
      <c r="R121" t="s" s="70">
        <v>122</v>
      </c>
      <c r="S121" t="s" s="70">
        <v>123</v>
      </c>
      <c r="T121" s="72">
        <v>41871</v>
      </c>
      <c r="U121" t="s" s="70">
        <v>124</v>
      </c>
      <c r="V121" t="s" s="70">
        <v>125</v>
      </c>
      <c r="W121" t="s" s="70">
        <v>126</v>
      </c>
      <c r="X121" s="73">
        <v>200</v>
      </c>
      <c r="Y121" t="s" s="70">
        <v>10</v>
      </c>
      <c r="Z121" s="68" cm="1">
        <f t="array" ref="Z121">M121</f>
        <v>39796000</v>
      </c>
      <c r="AA121" t="s" s="70">
        <v>1145</v>
      </c>
      <c r="AB121" s="72" cm="1">
        <f t="array" ref="AB121">AH121</f>
        <v>45456</v>
      </c>
      <c r="AC121" s="66"/>
      <c r="AD121" t="s" s="70">
        <v>12</v>
      </c>
      <c r="AE121" t="s" s="70">
        <v>13</v>
      </c>
      <c r="AF121" t="s" s="70">
        <v>1106</v>
      </c>
      <c r="AG121" s="72">
        <v>45455.333333333336</v>
      </c>
      <c r="AH121" s="72">
        <v>45456</v>
      </c>
      <c r="AI121" s="72">
        <v>45456</v>
      </c>
      <c r="AJ121" s="72">
        <v>45456</v>
      </c>
      <c r="AK121" s="72">
        <v>45456</v>
      </c>
      <c r="AL121" s="72">
        <v>45456</v>
      </c>
      <c r="AM121" s="72">
        <v>45456</v>
      </c>
      <c r="AN121" t="s" s="70">
        <v>1146</v>
      </c>
      <c r="AO121" s="72" cm="1">
        <f t="array" ref="AO121">AJ121</f>
        <v>45456</v>
      </c>
      <c r="AP121" t="s" s="70">
        <v>1147</v>
      </c>
      <c r="AQ121" s="72" cm="1">
        <f t="array" ref="AQ121">AJ121</f>
        <v>45456</v>
      </c>
      <c r="AR121" t="s" s="70">
        <v>1148</v>
      </c>
      <c r="AS121" s="72" cm="1">
        <f t="array" ref="AS121">AJ121</f>
        <v>45456</v>
      </c>
      <c r="AT121" t="s" s="78">
        <v>1149</v>
      </c>
      <c r="AU121" s="72" cm="1">
        <f t="array" ref="AU121">AJ121</f>
        <v>45456</v>
      </c>
      <c r="AV121" s="66"/>
      <c r="AW121" t="str" s="74" cm="1">
        <f t="array" ref="AW121">"600/"&amp;$B121&amp;"/"&amp;IF(AND($AE121="Konsultansi",M121&lt;=100000000),"SPK",IF(AND($AE121="Konsultansi",M121&gt;100000000),"Kont",IF(AND($AE121&lt;&gt;"Konsultansi",M121&lt;=200000000),"SPK","Kont")))&amp;"-"&amp;AE121&amp;"/PPK/DPUPR"</f>
        <v>600/49975362/SPK-Konsultansi/PPK/DPUPR</v>
      </c>
      <c r="AX121" t="str" s="74" cm="1">
        <f t="array" ref="AX121">"600/"&amp;$B121&amp;"/SPMK/PPK/DPUPR"</f>
        <v>600/49975362/SPMK/PPK/DPUPR</v>
      </c>
      <c r="AY121" s="66"/>
      <c r="AZ121" s="66"/>
      <c r="BA121" s="66"/>
      <c r="BB121" s="66"/>
      <c r="BC121" s="66"/>
      <c r="BD121" s="66"/>
      <c r="BE121" s="66"/>
      <c r="BF121" s="66"/>
      <c r="BG121" s="75">
        <v>158</v>
      </c>
      <c r="BH121" t="s" s="70">
        <v>119</v>
      </c>
      <c r="BI121" t="s" s="70">
        <v>21</v>
      </c>
      <c r="BJ121" t="s" s="70">
        <v>22</v>
      </c>
      <c r="BK121" t="s" s="70">
        <v>23</v>
      </c>
      <c r="BL121" t="s" s="70">
        <v>24</v>
      </c>
      <c r="BM121" s="66"/>
      <c r="BN121" s="66"/>
      <c r="BO121" s="66"/>
      <c r="BP121" s="66"/>
      <c r="BQ121" s="66"/>
      <c r="BR121" t="b" s="73">
        <v>0</v>
      </c>
      <c r="BS121" s="68" cm="1">
        <f t="array" ref="BS121">IF(M121&lt;=0.8*K121,5%*K121,M121*5%)</f>
        <v>1989800</v>
      </c>
      <c r="BT121" t="s" s="70">
        <v>173</v>
      </c>
      <c r="BU121" s="66"/>
      <c r="BV121" s="68" cm="1">
        <f t="array" ref="BV121">J121-M121</f>
        <v>204000</v>
      </c>
    </row>
    <row r="122" ht="72.25" customHeight="1">
      <c r="A122" s="49"/>
      <c r="B122" s="50">
        <v>49975815</v>
      </c>
      <c r="C122" t="s" s="51">
        <v>1152</v>
      </c>
      <c r="D122" t="s" s="52">
        <v>165</v>
      </c>
      <c r="E122" t="str" s="53" cm="1">
        <f t="array" ref="E122">$C122</f>
        <v>Perencanaan Rumah Tahfidz Kecamatan/Desa cs</v>
      </c>
      <c r="F122" s="54"/>
      <c r="G122" s="53"/>
      <c r="H122" s="53"/>
      <c r="I122" s="53"/>
      <c r="J122" s="55">
        <v>45000000</v>
      </c>
      <c r="K122" s="77">
        <v>44999249.76</v>
      </c>
      <c r="L122" s="57">
        <v>44929836</v>
      </c>
      <c r="M122" s="55">
        <v>44929000</v>
      </c>
      <c r="N122" t="s" s="58">
        <v>261</v>
      </c>
      <c r="O122" t="s" s="59">
        <v>262</v>
      </c>
      <c r="P122" t="s" s="58">
        <v>4</v>
      </c>
      <c r="Q122" t="s" s="58">
        <v>263</v>
      </c>
      <c r="R122" t="s" s="58">
        <v>264</v>
      </c>
      <c r="S122" s="61">
        <v>53</v>
      </c>
      <c r="T122" s="60">
        <v>41288</v>
      </c>
      <c r="U122" t="s" s="58">
        <v>265</v>
      </c>
      <c r="V122" t="s" s="58">
        <v>266</v>
      </c>
      <c r="W122" t="s" s="58">
        <v>267</v>
      </c>
      <c r="X122" s="61">
        <v>30</v>
      </c>
      <c r="Y122" t="s" s="58">
        <v>10</v>
      </c>
      <c r="Z122" s="55" cm="1">
        <f t="array" ref="Z122">M122</f>
        <v>44929000</v>
      </c>
      <c r="AA122" t="s" s="58">
        <v>1153</v>
      </c>
      <c r="AB122" s="60" cm="1">
        <f t="array" ref="AB122">AH122</f>
        <v>45456</v>
      </c>
      <c r="AC122" s="53"/>
      <c r="AD122" t="s" s="58">
        <v>12</v>
      </c>
      <c r="AE122" t="s" s="58">
        <v>13</v>
      </c>
      <c r="AF122" t="s" s="58">
        <v>1106</v>
      </c>
      <c r="AG122" s="60">
        <v>45455.333333333336</v>
      </c>
      <c r="AH122" s="60">
        <v>45456</v>
      </c>
      <c r="AI122" s="60">
        <v>45456</v>
      </c>
      <c r="AJ122" s="60">
        <v>45456</v>
      </c>
      <c r="AK122" s="60">
        <v>45456</v>
      </c>
      <c r="AL122" s="60">
        <v>45456</v>
      </c>
      <c r="AM122" s="60">
        <v>45456</v>
      </c>
      <c r="AN122" t="s" s="58">
        <v>1154</v>
      </c>
      <c r="AO122" s="60" cm="1">
        <f t="array" ref="AO122">AJ122</f>
        <v>45456</v>
      </c>
      <c r="AP122" t="s" s="58">
        <v>1155</v>
      </c>
      <c r="AQ122" s="60" cm="1">
        <f t="array" ref="AQ122">AJ122</f>
        <v>45456</v>
      </c>
      <c r="AR122" t="s" s="58">
        <v>1156</v>
      </c>
      <c r="AS122" s="60" cm="1">
        <f t="array" ref="AS122">AJ122</f>
        <v>45456</v>
      </c>
      <c r="AT122" t="s" s="78">
        <v>1157</v>
      </c>
      <c r="AU122" s="60" cm="1">
        <f t="array" ref="AU122">AJ122</f>
        <v>45456</v>
      </c>
      <c r="AV122" s="53"/>
      <c r="AW122" t="str" s="63" cm="1">
        <f t="array" ref="AW122">"600/"&amp;$B122&amp;"/"&amp;IF(AND($AE122="Konsultansi",M122&lt;=100000000),"SPK",IF(AND($AE122="Konsultansi",M122&gt;100000000),"Kont",IF(AND($AE122&lt;&gt;"Konsultansi",M122&lt;=200000000),"SPK","Kont")))&amp;"-"&amp;AE122&amp;"/PPK/DPUPR"</f>
        <v>600/49975815/SPK-Konsultansi/PPK/DPUPR</v>
      </c>
      <c r="AX122" t="str" s="63" cm="1">
        <f t="array" ref="AX122">"600/"&amp;$B122&amp;"/SPMK/PPK/DPUPR"</f>
        <v>600/49975815/SPMK/PPK/DPUPR</v>
      </c>
      <c r="AY122" s="53"/>
      <c r="AZ122" s="53"/>
      <c r="BA122" s="53"/>
      <c r="BB122" s="53"/>
      <c r="BC122" s="53"/>
      <c r="BD122" s="53"/>
      <c r="BE122" s="53"/>
      <c r="BF122" s="53"/>
      <c r="BG122" s="64">
        <v>1</v>
      </c>
      <c r="BH122" t="s" s="58">
        <v>261</v>
      </c>
      <c r="BI122" t="s" s="58">
        <v>21</v>
      </c>
      <c r="BJ122" t="s" s="58">
        <v>22</v>
      </c>
      <c r="BK122" t="s" s="58">
        <v>23</v>
      </c>
      <c r="BL122" t="s" s="58">
        <v>24</v>
      </c>
      <c r="BM122" s="53"/>
      <c r="BN122" s="53"/>
      <c r="BO122" s="53"/>
      <c r="BP122" s="53"/>
      <c r="BQ122" s="53"/>
      <c r="BR122" t="b" s="61">
        <v>0</v>
      </c>
      <c r="BS122" s="55" cm="1">
        <f t="array" ref="BS122">IF(M122&lt;=0.8*K122,5%*K122,M122*5%)</f>
        <v>2246450</v>
      </c>
      <c r="BT122" t="s" s="58">
        <v>173</v>
      </c>
      <c r="BU122" s="53"/>
      <c r="BV122" s="55" cm="1">
        <f t="array" ref="BV122">J122-M122</f>
        <v>71000</v>
      </c>
    </row>
    <row r="123" ht="72.25" customHeight="1">
      <c r="A123" s="49"/>
      <c r="B123" s="50">
        <v>49977097</v>
      </c>
      <c r="C123" t="s" s="51">
        <v>1160</v>
      </c>
      <c r="D123" t="s" s="65">
        <v>165</v>
      </c>
      <c r="E123" t="str" s="66" cm="1">
        <f t="array" ref="E123">$C123</f>
        <v>Perencanaan Pembangunan Rumah Adat Joglo</v>
      </c>
      <c r="F123" s="67"/>
      <c r="G123" s="66"/>
      <c r="H123" s="66"/>
      <c r="I123" s="66"/>
      <c r="J123" s="68">
        <v>20000000</v>
      </c>
      <c r="K123" s="69">
        <v>19999839.6</v>
      </c>
      <c r="L123" s="57">
        <v>19949781.6</v>
      </c>
      <c r="M123" s="68">
        <v>19949000</v>
      </c>
      <c r="N123" t="s" s="70">
        <v>1161</v>
      </c>
      <c r="O123" t="s" s="71">
        <v>1162</v>
      </c>
      <c r="P123" t="s" s="70">
        <v>1163</v>
      </c>
      <c r="Q123" t="s" s="70">
        <v>1164</v>
      </c>
      <c r="R123" t="s" s="70">
        <v>1165</v>
      </c>
      <c r="S123" s="73">
        <v>13</v>
      </c>
      <c r="T123" s="72">
        <v>43878</v>
      </c>
      <c r="U123" t="s" s="70">
        <v>691</v>
      </c>
      <c r="V123" t="s" s="70">
        <v>1166</v>
      </c>
      <c r="W123" t="s" s="70">
        <v>1167</v>
      </c>
      <c r="X123" s="73">
        <v>30</v>
      </c>
      <c r="Y123" t="s" s="70">
        <v>10</v>
      </c>
      <c r="Z123" s="68" cm="1">
        <f t="array" ref="Z123">M123</f>
        <v>19949000</v>
      </c>
      <c r="AA123" t="s" s="70">
        <v>1168</v>
      </c>
      <c r="AB123" s="72" cm="1">
        <f t="array" ref="AB123">AH123</f>
        <v>45456</v>
      </c>
      <c r="AC123" s="66"/>
      <c r="AD123" t="s" s="70">
        <v>12</v>
      </c>
      <c r="AE123" t="s" s="70">
        <v>13</v>
      </c>
      <c r="AF123" t="s" s="70">
        <v>1106</v>
      </c>
      <c r="AG123" s="72">
        <v>45455.333333333336</v>
      </c>
      <c r="AH123" s="72">
        <v>45456</v>
      </c>
      <c r="AI123" s="72">
        <v>45456</v>
      </c>
      <c r="AJ123" s="72">
        <v>45456</v>
      </c>
      <c r="AK123" s="72">
        <v>45456</v>
      </c>
      <c r="AL123" s="72">
        <v>45456</v>
      </c>
      <c r="AM123" s="72">
        <v>45456</v>
      </c>
      <c r="AN123" t="s" s="70">
        <v>1169</v>
      </c>
      <c r="AO123" s="72" cm="1">
        <f t="array" ref="AO123">AJ123</f>
        <v>45456</v>
      </c>
      <c r="AP123" t="s" s="70">
        <v>1170</v>
      </c>
      <c r="AQ123" s="72" cm="1">
        <f t="array" ref="AQ123">AJ123</f>
        <v>45456</v>
      </c>
      <c r="AR123" t="s" s="70">
        <v>1171</v>
      </c>
      <c r="AS123" s="72" cm="1">
        <f t="array" ref="AS123">AJ123</f>
        <v>45456</v>
      </c>
      <c r="AT123" t="s" s="78">
        <v>1172</v>
      </c>
      <c r="AU123" s="72" cm="1">
        <f t="array" ref="AU123">AJ123</f>
        <v>45456</v>
      </c>
      <c r="AV123" s="66"/>
      <c r="AW123" t="str" s="74" cm="1">
        <f t="array" ref="AW123">"600/"&amp;$B123&amp;"/"&amp;IF(AND($AE123="Konsultansi",M123&lt;=100000000),"SPK",IF(AND($AE123="Konsultansi",M123&gt;100000000),"Kont",IF(AND($AE123&lt;&gt;"Konsultansi",M123&lt;=200000000),"SPK","Kont")))&amp;"-"&amp;AE123&amp;"/PPK/DPUPR"</f>
        <v>600/49977097/SPK-Konsultansi/PPK/DPUPR</v>
      </c>
      <c r="AX123" t="str" s="74" cm="1">
        <f t="array" ref="AX123">"600/"&amp;$B123&amp;"/SPMK/PPK/DPUPR"</f>
        <v>600/49977097/SPMK/PPK/DPUPR</v>
      </c>
      <c r="AY123" s="66"/>
      <c r="AZ123" s="66"/>
      <c r="BA123" s="66"/>
      <c r="BB123" s="66"/>
      <c r="BC123" s="66"/>
      <c r="BD123" s="66"/>
      <c r="BE123" s="66"/>
      <c r="BF123" s="66"/>
      <c r="BG123" s="75">
        <v>197</v>
      </c>
      <c r="BH123" t="s" s="70">
        <v>1161</v>
      </c>
      <c r="BI123" t="s" s="70">
        <v>21</v>
      </c>
      <c r="BJ123" t="s" s="70">
        <v>22</v>
      </c>
      <c r="BK123" t="s" s="70">
        <v>23</v>
      </c>
      <c r="BL123" t="s" s="70">
        <v>24</v>
      </c>
      <c r="BM123" s="66"/>
      <c r="BN123" s="66"/>
      <c r="BO123" s="66"/>
      <c r="BP123" s="66"/>
      <c r="BQ123" s="66"/>
      <c r="BR123" t="b" s="73">
        <v>0</v>
      </c>
      <c r="BS123" s="68" cm="1">
        <f t="array" ref="BS123">IF(M123&lt;=0.8*K123,5%*K123,M123*5%)</f>
        <v>997450</v>
      </c>
      <c r="BT123" t="s" s="70">
        <v>173</v>
      </c>
      <c r="BU123" s="66"/>
      <c r="BV123" s="68" cm="1">
        <f t="array" ref="BV123">J123-M123</f>
        <v>51000</v>
      </c>
    </row>
    <row r="124" ht="36.25" customHeight="1">
      <c r="A124" s="49"/>
      <c r="B124" s="50">
        <v>5570660</v>
      </c>
      <c r="C124" t="s" s="51">
        <v>1175</v>
      </c>
      <c r="D124" t="s" s="52">
        <v>752</v>
      </c>
      <c r="E124" t="str" s="53" cm="1">
        <f t="array" ref="E124">$C124</f>
        <v>Normalisasi Saluran Pembuang/Sungai Salubulu</v>
      </c>
      <c r="F124" s="54"/>
      <c r="G124" s="53"/>
      <c r="H124" s="53"/>
      <c r="I124" s="53"/>
      <c r="J124" s="55">
        <v>150000000</v>
      </c>
      <c r="K124" s="77">
        <v>149999228.97</v>
      </c>
      <c r="L124" s="57">
        <v>149901801.71</v>
      </c>
      <c r="M124" s="55">
        <v>149901000</v>
      </c>
      <c r="N124" t="s" s="58">
        <v>492</v>
      </c>
      <c r="O124" t="s" s="59">
        <v>493</v>
      </c>
      <c r="P124" t="s" s="58">
        <v>4</v>
      </c>
      <c r="Q124" t="s" s="58">
        <v>494</v>
      </c>
      <c r="R124" t="s" s="58">
        <v>495</v>
      </c>
      <c r="S124" s="61">
        <v>29</v>
      </c>
      <c r="T124" s="60">
        <v>44587</v>
      </c>
      <c r="U124" t="s" s="58">
        <v>250</v>
      </c>
      <c r="V124" t="s" s="58">
        <v>496</v>
      </c>
      <c r="W124" t="s" s="58">
        <v>497</v>
      </c>
      <c r="X124" s="61">
        <v>120</v>
      </c>
      <c r="Y124" t="s" s="58">
        <v>10</v>
      </c>
      <c r="Z124" s="55" cm="1">
        <f t="array" ref="Z124">M124</f>
        <v>149901000</v>
      </c>
      <c r="AA124" t="s" s="58">
        <v>11</v>
      </c>
      <c r="AB124" s="60" cm="1">
        <f t="array" ref="AB124">AH124</f>
        <v>45456.459027777775</v>
      </c>
      <c r="AC124" s="61">
        <v>180</v>
      </c>
      <c r="AD124" t="s" s="58">
        <v>109</v>
      </c>
      <c r="AE124" t="s" s="58">
        <v>110</v>
      </c>
      <c r="AF124" t="s" s="58">
        <v>753</v>
      </c>
      <c r="AG124" s="60">
        <v>45456.041666666664</v>
      </c>
      <c r="AH124" s="60">
        <v>45456.459027777775</v>
      </c>
      <c r="AI124" s="60">
        <v>45456.469444444447</v>
      </c>
      <c r="AJ124" s="60">
        <v>45456.500694444447</v>
      </c>
      <c r="AK124" s="60">
        <v>45456.584027777775</v>
      </c>
      <c r="AL124" s="60">
        <v>45456.584027777775</v>
      </c>
      <c r="AM124" s="60">
        <v>45456.584027777775</v>
      </c>
      <c r="AN124" t="s" s="58">
        <v>1176</v>
      </c>
      <c r="AO124" s="60" cm="1">
        <f t="array" ref="AO124">AJ124</f>
        <v>45456.500694444447</v>
      </c>
      <c r="AP124" t="s" s="58">
        <v>1177</v>
      </c>
      <c r="AQ124" s="60" cm="1">
        <f t="array" ref="AQ124">AJ124</f>
        <v>45456.500694444447</v>
      </c>
      <c r="AR124" t="s" s="58">
        <v>1178</v>
      </c>
      <c r="AS124" s="60" cm="1">
        <f t="array" ref="AS124">AJ124</f>
        <v>45456.500694444447</v>
      </c>
      <c r="AT124" t="s" s="78">
        <v>1179</v>
      </c>
      <c r="AU124" s="60" cm="1">
        <f t="array" ref="AU124">AJ124</f>
        <v>45456.500694444447</v>
      </c>
      <c r="AV124" s="53"/>
      <c r="AW124" t="str" s="63" cm="1">
        <f t="array" ref="AW124">"600/"&amp;$B124&amp;"/"&amp;IF(AND($AE124="Konsultansi",M124&lt;=100000000),"SPK",IF(AND($AE124="Konsultansi",M124&gt;100000000),"Kont",IF(AND($AE124&lt;&gt;"Konsultansi",M124&lt;=200000000),"SPK","Kont")))&amp;"-"&amp;AE124&amp;"/PPK/DPUPR"</f>
        <v>600/5570660/SPK-Konstruksi/PPK/DPUPR</v>
      </c>
      <c r="AX124" t="str" s="63" cm="1">
        <f t="array" ref="AX124">"600/"&amp;$B124&amp;"/SPMK/PPK/DPUPR"</f>
        <v>600/5570660/SPMK/PPK/DPUPR</v>
      </c>
      <c r="AY124" s="53"/>
      <c r="AZ124" s="53"/>
      <c r="BA124" s="53"/>
      <c r="BB124" s="53"/>
      <c r="BC124" s="53"/>
      <c r="BD124" s="53"/>
      <c r="BE124" s="53"/>
      <c r="BF124" s="53"/>
      <c r="BG124" s="64">
        <v>200</v>
      </c>
      <c r="BH124" t="s" s="58">
        <v>492</v>
      </c>
      <c r="BI124" t="s" s="58">
        <v>21</v>
      </c>
      <c r="BJ124" t="s" s="58">
        <v>22</v>
      </c>
      <c r="BK124" t="s" s="58">
        <v>23</v>
      </c>
      <c r="BL124" t="s" s="58">
        <v>24</v>
      </c>
      <c r="BM124" s="53"/>
      <c r="BN124" s="53"/>
      <c r="BO124" s="53"/>
      <c r="BP124" s="53"/>
      <c r="BQ124" s="53"/>
      <c r="BR124" t="b" s="61">
        <v>0</v>
      </c>
      <c r="BS124" s="55" cm="1">
        <f t="array" ref="BS124">IF(M124&lt;=0.8*K124,5%*K124,M124*5%)</f>
        <v>7495050</v>
      </c>
      <c r="BT124" t="s" s="58">
        <v>156</v>
      </c>
      <c r="BU124" s="53"/>
      <c r="BV124" s="55" cm="1">
        <f t="array" ref="BV124">J124-M124</f>
        <v>99000</v>
      </c>
    </row>
    <row r="125" ht="36.25" customHeight="1">
      <c r="A125" s="49"/>
      <c r="B125" s="50">
        <v>49943775</v>
      </c>
      <c r="C125" t="s" s="51">
        <v>1182</v>
      </c>
      <c r="D125" t="s" s="65">
        <v>752</v>
      </c>
      <c r="E125" t="str" s="66" cm="1">
        <f t="array" ref="E125">$C125</f>
        <v>Pengawasan Normalisasi Saluran Pembuang/Sungai Salubulu</v>
      </c>
      <c r="F125" s="67"/>
      <c r="G125" s="66"/>
      <c r="H125" s="66"/>
      <c r="I125" s="66"/>
      <c r="J125" s="68">
        <v>3750000</v>
      </c>
      <c r="K125" s="68">
        <v>3750000</v>
      </c>
      <c r="L125" s="57">
        <v>3715416</v>
      </c>
      <c r="M125" s="68">
        <v>3715000</v>
      </c>
      <c r="N125" t="s" s="70">
        <v>261</v>
      </c>
      <c r="O125" t="s" s="71">
        <v>262</v>
      </c>
      <c r="P125" t="s" s="70">
        <v>4</v>
      </c>
      <c r="Q125" t="s" s="70">
        <v>263</v>
      </c>
      <c r="R125" t="s" s="70">
        <v>264</v>
      </c>
      <c r="S125" s="73">
        <v>53</v>
      </c>
      <c r="T125" s="72">
        <v>41288</v>
      </c>
      <c r="U125" t="s" s="70">
        <v>265</v>
      </c>
      <c r="V125" t="s" s="70">
        <v>266</v>
      </c>
      <c r="W125" t="s" s="70">
        <v>267</v>
      </c>
      <c r="X125" s="73">
        <v>120</v>
      </c>
      <c r="Y125" t="s" s="70">
        <v>10</v>
      </c>
      <c r="Z125" s="68" cm="1">
        <f t="array" ref="Z125">M125</f>
        <v>3715000</v>
      </c>
      <c r="AA125" t="s" s="70">
        <v>11</v>
      </c>
      <c r="AB125" s="72" cm="1">
        <f t="array" ref="AB125">AH125</f>
        <v>45456.459027777775</v>
      </c>
      <c r="AC125" s="66"/>
      <c r="AD125" t="s" s="70">
        <v>12</v>
      </c>
      <c r="AE125" t="s" s="70">
        <v>13</v>
      </c>
      <c r="AF125" t="s" s="70">
        <v>1183</v>
      </c>
      <c r="AG125" s="72">
        <v>45456.041666666664</v>
      </c>
      <c r="AH125" s="72">
        <v>45456.459027777775</v>
      </c>
      <c r="AI125" s="72">
        <v>45456.469444444447</v>
      </c>
      <c r="AJ125" s="72">
        <v>45456.500694444447</v>
      </c>
      <c r="AK125" s="72">
        <v>45456.584027777775</v>
      </c>
      <c r="AL125" s="72">
        <v>45456.584027777775</v>
      </c>
      <c r="AM125" s="72">
        <v>45456.584027777775</v>
      </c>
      <c r="AN125" t="s" s="70">
        <v>1184</v>
      </c>
      <c r="AO125" s="72" cm="1">
        <f t="array" ref="AO125">AJ125</f>
        <v>45456.500694444447</v>
      </c>
      <c r="AP125" t="s" s="70">
        <v>1185</v>
      </c>
      <c r="AQ125" s="72" cm="1">
        <f t="array" ref="AQ125">AJ125</f>
        <v>45456.500694444447</v>
      </c>
      <c r="AR125" t="s" s="70">
        <v>1186</v>
      </c>
      <c r="AS125" s="72" cm="1">
        <f t="array" ref="AS125">AJ125</f>
        <v>45456.500694444447</v>
      </c>
      <c r="AT125" t="s" s="78">
        <v>1187</v>
      </c>
      <c r="AU125" s="72" cm="1">
        <f t="array" ref="AU125">AJ125</f>
        <v>45456.500694444447</v>
      </c>
      <c r="AV125" s="66"/>
      <c r="AW125" t="str" s="74" cm="1">
        <f t="array" ref="AW125">"600/"&amp;$B125&amp;"/"&amp;IF(AND($AE125="Konsultansi",M125&lt;=100000000),"SPK",IF(AND($AE125="Konsultansi",M125&gt;100000000),"Kont",IF(AND($AE125&lt;&gt;"Konsultansi",M125&lt;=200000000),"SPK","Kont")))&amp;"-"&amp;AE125&amp;"/PPK/DPUPR"</f>
        <v>600/49943775/SPK-Konsultansi/PPK/DPUPR</v>
      </c>
      <c r="AX125" t="str" s="74" cm="1">
        <f t="array" ref="AX125">"600/"&amp;$B125&amp;"/SPMK/PPK/DPUPR"</f>
        <v>600/49943775/SPMK/PPK/DPUPR</v>
      </c>
      <c r="AY125" s="66"/>
      <c r="AZ125" s="66"/>
      <c r="BA125" s="66"/>
      <c r="BB125" s="66"/>
      <c r="BC125" s="66"/>
      <c r="BD125" s="66"/>
      <c r="BE125" s="66"/>
      <c r="BF125" s="66"/>
      <c r="BG125" s="75">
        <v>1</v>
      </c>
      <c r="BH125" t="s" s="70">
        <v>261</v>
      </c>
      <c r="BI125" t="s" s="70">
        <v>21</v>
      </c>
      <c r="BJ125" t="s" s="70">
        <v>22</v>
      </c>
      <c r="BK125" t="s" s="70">
        <v>23</v>
      </c>
      <c r="BL125" t="s" s="70">
        <v>24</v>
      </c>
      <c r="BM125" s="66"/>
      <c r="BN125" s="66"/>
      <c r="BO125" s="66"/>
      <c r="BP125" s="66"/>
      <c r="BQ125" s="66"/>
      <c r="BR125" t="b" s="73">
        <v>0</v>
      </c>
      <c r="BS125" s="68" cm="1">
        <f t="array" ref="BS125">IF(M125&lt;=0.8*K125,5%*K125,M125*5%)</f>
        <v>185750</v>
      </c>
      <c r="BT125" t="s" s="70">
        <v>156</v>
      </c>
      <c r="BU125" s="66"/>
      <c r="BV125" s="68" cm="1">
        <f t="array" ref="BV125">J125-M125</f>
        <v>35000</v>
      </c>
    </row>
    <row r="126" ht="36.25" customHeight="1">
      <c r="A126" s="49"/>
      <c r="B126" s="50">
        <v>5576660</v>
      </c>
      <c r="C126" t="s" s="51">
        <v>1190</v>
      </c>
      <c r="D126" t="s" s="52">
        <v>149</v>
      </c>
      <c r="E126" t="str" s="53" cm="1">
        <f t="array" ref="E126">$C126</f>
        <v>Pemb./Rehabilitasi Jembatan Tamarunang (Talud)</v>
      </c>
      <c r="F126" s="54"/>
      <c r="G126" s="53"/>
      <c r="H126" s="53"/>
      <c r="I126" s="53"/>
      <c r="J126" s="55">
        <v>200000000</v>
      </c>
      <c r="K126" s="56">
        <v>199972114.3</v>
      </c>
      <c r="L126" s="57">
        <v>199745085.98</v>
      </c>
      <c r="M126" s="55">
        <v>199745000</v>
      </c>
      <c r="N126" t="s" s="58">
        <v>492</v>
      </c>
      <c r="O126" t="s" s="59">
        <v>493</v>
      </c>
      <c r="P126" t="s" s="58">
        <v>4</v>
      </c>
      <c r="Q126" t="s" s="58">
        <v>494</v>
      </c>
      <c r="R126" t="s" s="58">
        <v>495</v>
      </c>
      <c r="S126" s="61">
        <v>29</v>
      </c>
      <c r="T126" s="60">
        <v>44587</v>
      </c>
      <c r="U126" t="s" s="58">
        <v>250</v>
      </c>
      <c r="V126" t="s" s="58">
        <v>496</v>
      </c>
      <c r="W126" t="s" s="58">
        <v>497</v>
      </c>
      <c r="X126" s="61">
        <v>120</v>
      </c>
      <c r="Y126" t="s" s="58">
        <v>10</v>
      </c>
      <c r="Z126" s="55" cm="1">
        <f t="array" ref="Z126">M126</f>
        <v>199745000</v>
      </c>
      <c r="AA126" t="s" s="58">
        <v>11</v>
      </c>
      <c r="AB126" s="60" cm="1">
        <f t="array" ref="AB126">AH126</f>
        <v>45469</v>
      </c>
      <c r="AC126" s="61">
        <v>180</v>
      </c>
      <c r="AD126" t="s" s="58">
        <v>109</v>
      </c>
      <c r="AE126" t="s" s="58">
        <v>110</v>
      </c>
      <c r="AF126" t="s" s="58">
        <v>150</v>
      </c>
      <c r="AG126" s="60">
        <v>45456.041666666664</v>
      </c>
      <c r="AH126" s="60">
        <v>45469</v>
      </c>
      <c r="AI126" s="60">
        <v>45469</v>
      </c>
      <c r="AJ126" s="60">
        <v>45469</v>
      </c>
      <c r="AK126" s="60">
        <v>45469</v>
      </c>
      <c r="AL126" s="60">
        <v>45469</v>
      </c>
      <c r="AM126" s="60">
        <v>45469</v>
      </c>
      <c r="AN126" t="s" s="58">
        <v>1191</v>
      </c>
      <c r="AO126" s="60" cm="1">
        <f t="array" ref="AO126">AJ126</f>
        <v>45469</v>
      </c>
      <c r="AP126" t="s" s="58">
        <v>1192</v>
      </c>
      <c r="AQ126" s="60" cm="1">
        <f t="array" ref="AQ126">AJ126</f>
        <v>45469</v>
      </c>
      <c r="AR126" t="s" s="58">
        <v>1193</v>
      </c>
      <c r="AS126" s="60" cm="1">
        <f t="array" ref="AS126">AJ126</f>
        <v>45469</v>
      </c>
      <c r="AT126" t="s" s="78">
        <v>1194</v>
      </c>
      <c r="AU126" s="60" cm="1">
        <f t="array" ref="AU126">AJ126</f>
        <v>45469</v>
      </c>
      <c r="AV126" s="53"/>
      <c r="AW126" t="str" s="63" cm="1">
        <f t="array" ref="AW126">"600/"&amp;$B126&amp;"/"&amp;IF(AND($AE126="Konsultansi",M126&lt;=100000000),"SPK",IF(AND($AE126="Konsultansi",M126&gt;100000000),"Kont",IF(AND($AE126&lt;&gt;"Konsultansi",M126&lt;=200000000),"SPK","Kont")))&amp;"-"&amp;AE126&amp;"/PPK/DPUPR"</f>
        <v>600/5576660/SPK-Konstruksi/PPK/DPUPR</v>
      </c>
      <c r="AX126" t="str" s="63" cm="1">
        <f t="array" ref="AX126">"600/"&amp;$B126&amp;"/SPMK/PPK/DPUPR"</f>
        <v>600/5576660/SPMK/PPK/DPUPR</v>
      </c>
      <c r="AY126" s="53"/>
      <c r="AZ126" s="53"/>
      <c r="BA126" s="53"/>
      <c r="BB126" s="53"/>
      <c r="BC126" s="53"/>
      <c r="BD126" s="53"/>
      <c r="BE126" s="53"/>
      <c r="BF126" s="53"/>
      <c r="BG126" s="64">
        <v>200</v>
      </c>
      <c r="BH126" t="s" s="58">
        <v>492</v>
      </c>
      <c r="BI126" t="s" s="58">
        <v>21</v>
      </c>
      <c r="BJ126" t="s" s="58">
        <v>22</v>
      </c>
      <c r="BK126" t="s" s="58">
        <v>23</v>
      </c>
      <c r="BL126" t="s" s="58">
        <v>24</v>
      </c>
      <c r="BM126" s="53"/>
      <c r="BN126" s="53"/>
      <c r="BO126" s="53"/>
      <c r="BP126" s="53"/>
      <c r="BQ126" s="53"/>
      <c r="BR126" t="b" s="61">
        <v>0</v>
      </c>
      <c r="BS126" s="55" cm="1">
        <f t="array" ref="BS126">IF(M126&lt;=0.8*K126,5%*K126,M126*5%)</f>
        <v>9987250</v>
      </c>
      <c r="BT126" t="s" s="58">
        <v>156</v>
      </c>
      <c r="BU126" s="53"/>
      <c r="BV126" s="55" cm="1">
        <f t="array" ref="BV126">J126-M126</f>
        <v>255000</v>
      </c>
    </row>
    <row r="127" ht="36.25" customHeight="1">
      <c r="A127" s="49"/>
      <c r="B127" s="50">
        <v>4884660</v>
      </c>
      <c r="C127" t="s" s="51">
        <v>1197</v>
      </c>
      <c r="D127" t="s" s="65">
        <v>886</v>
      </c>
      <c r="E127" t="str" s="66" cm="1">
        <f t="array" ref="E127">$C127</f>
        <v>Rehabilitasi Jaringan Irigasi D.I Patika (DAK)</v>
      </c>
      <c r="F127" s="67"/>
      <c r="G127" s="66"/>
      <c r="H127" s="66"/>
      <c r="I127" s="66"/>
      <c r="J127" s="68">
        <v>1062960532</v>
      </c>
      <c r="K127" s="76">
        <v>1062955745.03</v>
      </c>
      <c r="L127" s="57">
        <v>1025279749.87</v>
      </c>
      <c r="M127" s="68">
        <v>1025279000</v>
      </c>
      <c r="N127" t="s" s="70">
        <v>1198</v>
      </c>
      <c r="O127" t="s" s="71">
        <v>1199</v>
      </c>
      <c r="P127" t="s" s="70">
        <v>4</v>
      </c>
      <c r="Q127" t="s" s="70">
        <v>1200</v>
      </c>
      <c r="R127" t="s" s="70">
        <v>1201</v>
      </c>
      <c r="S127" s="73">
        <v>16</v>
      </c>
      <c r="T127" s="72">
        <v>45005</v>
      </c>
      <c r="U127" t="s" s="70">
        <v>1202</v>
      </c>
      <c r="V127" t="s" s="70">
        <v>1203</v>
      </c>
      <c r="W127" t="s" s="70">
        <v>1204</v>
      </c>
      <c r="X127" s="73">
        <v>195</v>
      </c>
      <c r="Y127" t="s" s="70">
        <v>107</v>
      </c>
      <c r="Z127" s="68" cm="1">
        <f t="array" ref="Z127">M127</f>
        <v>1025279000</v>
      </c>
      <c r="AA127" t="s" s="70">
        <v>1205</v>
      </c>
      <c r="AB127" s="72" cm="1">
        <f t="array" ref="AB127">AH127</f>
        <v>45439.375694444447</v>
      </c>
      <c r="AC127" s="73">
        <v>360</v>
      </c>
      <c r="AD127" t="s" s="70">
        <v>109</v>
      </c>
      <c r="AE127" t="s" s="70">
        <v>110</v>
      </c>
      <c r="AF127" t="s" s="70">
        <v>887</v>
      </c>
      <c r="AG127" s="72">
        <v>45432.5</v>
      </c>
      <c r="AH127" s="72">
        <v>45439.375694444447</v>
      </c>
      <c r="AI127" s="72">
        <v>45439.631944444445</v>
      </c>
      <c r="AJ127" s="72">
        <v>45447.333333333336</v>
      </c>
      <c r="AK127" s="72">
        <v>45456</v>
      </c>
      <c r="AL127" s="72">
        <v>45462</v>
      </c>
      <c r="AM127" s="72">
        <v>45462</v>
      </c>
      <c r="AN127" t="s" s="70">
        <v>1206</v>
      </c>
      <c r="AO127" s="72">
        <v>45449</v>
      </c>
      <c r="AP127" t="s" s="70">
        <v>1207</v>
      </c>
      <c r="AQ127" s="72" cm="1">
        <f t="array" ref="AQ127">AJ127</f>
        <v>45447.333333333336</v>
      </c>
      <c r="AR127" t="s" s="70">
        <v>1208</v>
      </c>
      <c r="AS127" s="72" cm="1">
        <f t="array" ref="AS127">AJ127</f>
        <v>45447.333333333336</v>
      </c>
      <c r="AT127" t="s" s="78">
        <v>1209</v>
      </c>
      <c r="AU127" s="72">
        <v>45448</v>
      </c>
      <c r="AV127" s="66"/>
      <c r="AW127" t="str" s="74" cm="1">
        <f t="array" ref="AW127">"600/"&amp;$B127&amp;"/"&amp;IF(AND($AE127="Konsultansi",M127&lt;=100000000),"SPK",IF(AND($AE127="Konsultansi",M127&gt;100000000),"Kont",IF(AND($AE127&lt;&gt;"Konsultansi",M127&lt;=200000000),"SPK","Kont")))&amp;"-"&amp;AE127&amp;"/PPK/DPUPR"</f>
        <v>600/4884660/Kont-Konstruksi/PPK/DPUPR</v>
      </c>
      <c r="AX127" t="str" s="74" cm="1">
        <f t="array" ref="AX127">"600/"&amp;$B127&amp;"/SPMK/PPK/DPUPR"</f>
        <v>600/4884660/SPMK/PPK/DPUPR</v>
      </c>
      <c r="AY127" s="66"/>
      <c r="AZ127" s="66"/>
      <c r="BA127" s="66"/>
      <c r="BB127" s="66"/>
      <c r="BC127" s="66"/>
      <c r="BD127" s="66"/>
      <c r="BE127" s="66"/>
      <c r="BF127" s="66"/>
      <c r="BG127" s="75">
        <v>207</v>
      </c>
      <c r="BH127" t="s" s="70">
        <v>1198</v>
      </c>
      <c r="BI127" t="s" s="70">
        <v>21</v>
      </c>
      <c r="BJ127" t="s" s="70">
        <v>22</v>
      </c>
      <c r="BK127" t="s" s="70">
        <v>23</v>
      </c>
      <c r="BL127" t="s" s="70">
        <v>24</v>
      </c>
      <c r="BM127" s="66"/>
      <c r="BN127" s="66"/>
      <c r="BO127" s="66"/>
      <c r="BP127" s="66"/>
      <c r="BQ127" s="66"/>
      <c r="BR127" t="b" s="73">
        <v>0</v>
      </c>
      <c r="BS127" s="68" cm="1">
        <f t="array" ref="BS127">IF(M127&lt;=0.8*K127,5%*K127,M127*5%)</f>
        <v>51263950</v>
      </c>
      <c r="BT127" t="s" s="70">
        <v>156</v>
      </c>
      <c r="BU127" s="66"/>
      <c r="BV127" s="68" cm="1">
        <f t="array" ref="BV127">J127-M127</f>
        <v>37681532</v>
      </c>
    </row>
    <row r="128" ht="36.25" customHeight="1">
      <c r="A128" s="49"/>
      <c r="B128" s="50">
        <v>4885660</v>
      </c>
      <c r="C128" t="s" s="51">
        <v>1212</v>
      </c>
      <c r="D128" t="s" s="52">
        <v>886</v>
      </c>
      <c r="E128" t="str" s="53" cm="1">
        <f t="array" ref="E128">$C128</f>
        <v>Rehabilitasi jaringan irigasi D.I. Rontojali (DAK)</v>
      </c>
      <c r="F128" s="54"/>
      <c r="G128" s="53"/>
      <c r="H128" s="53"/>
      <c r="I128" s="53"/>
      <c r="J128" s="55">
        <v>1691656960</v>
      </c>
      <c r="K128" s="77">
        <v>1691657840.64</v>
      </c>
      <c r="L128" s="57">
        <v>1631103390.13</v>
      </c>
      <c r="M128" s="55">
        <v>1631103000</v>
      </c>
      <c r="N128" t="s" s="58">
        <v>1213</v>
      </c>
      <c r="O128" t="s" s="59">
        <v>1214</v>
      </c>
      <c r="P128" t="s" s="58">
        <v>4</v>
      </c>
      <c r="Q128" t="s" s="58">
        <v>1215</v>
      </c>
      <c r="R128" t="s" s="58">
        <v>1216</v>
      </c>
      <c r="S128" s="61">
        <v>23</v>
      </c>
      <c r="T128" s="60">
        <v>45379</v>
      </c>
      <c r="U128" t="s" s="58">
        <v>1217</v>
      </c>
      <c r="V128" t="s" s="58">
        <v>1218</v>
      </c>
      <c r="W128" t="s" s="58">
        <v>1219</v>
      </c>
      <c r="X128" s="61">
        <v>195</v>
      </c>
      <c r="Y128" t="s" s="58">
        <v>107</v>
      </c>
      <c r="Z128" s="55" cm="1">
        <f t="array" ref="Z128">M128</f>
        <v>1631103000</v>
      </c>
      <c r="AA128" t="s" s="58">
        <v>1220</v>
      </c>
      <c r="AB128" s="60" cm="1">
        <f t="array" ref="AB128">AH128</f>
        <v>45439.375694444447</v>
      </c>
      <c r="AC128" s="61">
        <v>360</v>
      </c>
      <c r="AD128" t="s" s="58">
        <v>109</v>
      </c>
      <c r="AE128" t="s" s="58">
        <v>110</v>
      </c>
      <c r="AF128" t="s" s="58">
        <v>887</v>
      </c>
      <c r="AG128" s="60">
        <v>45432.333333333336</v>
      </c>
      <c r="AH128" s="60">
        <v>45439.375694444447</v>
      </c>
      <c r="AI128" s="60">
        <v>45439.631944444445</v>
      </c>
      <c r="AJ128" s="60">
        <v>45447.333333333336</v>
      </c>
      <c r="AK128" s="60">
        <v>45456</v>
      </c>
      <c r="AL128" s="60">
        <v>45462</v>
      </c>
      <c r="AM128" s="60">
        <v>45462</v>
      </c>
      <c r="AN128" t="s" s="58">
        <v>1221</v>
      </c>
      <c r="AO128" s="60" cm="1">
        <f t="array" ref="AO128">AJ128</f>
        <v>45447.333333333336</v>
      </c>
      <c r="AP128" t="s" s="58">
        <v>1222</v>
      </c>
      <c r="AQ128" s="60" cm="1">
        <f t="array" ref="AQ128">AJ128</f>
        <v>45447.333333333336</v>
      </c>
      <c r="AR128" t="s" s="58">
        <v>1223</v>
      </c>
      <c r="AS128" s="60" cm="1">
        <f t="array" ref="AS128">AJ128</f>
        <v>45447.333333333336</v>
      </c>
      <c r="AT128" t="s" s="78">
        <v>1224</v>
      </c>
      <c r="AU128" s="60" cm="1">
        <f t="array" ref="AU128">AJ128</f>
        <v>45447.333333333336</v>
      </c>
      <c r="AV128" s="53"/>
      <c r="AW128" t="str" s="63" cm="1">
        <f t="array" ref="AW128">"600/"&amp;$B128&amp;"/"&amp;IF(AND($AE128="Konsultansi",M128&lt;=100000000),"SPK",IF(AND($AE128="Konsultansi",M128&gt;100000000),"Kont",IF(AND($AE128&lt;&gt;"Konsultansi",M128&lt;=200000000),"SPK","Kont")))&amp;"-"&amp;AE128&amp;"/PPK/DPUPR"</f>
        <v>600/4885660/Kont-Konstruksi/PPK/DPUPR</v>
      </c>
      <c r="AX128" t="str" s="63" cm="1">
        <f t="array" ref="AX128">"600/"&amp;$B128&amp;"/SPMK/PPK/DPUPR"</f>
        <v>600/4885660/SPMK/PPK/DPUPR</v>
      </c>
      <c r="AY128" s="53"/>
      <c r="AZ128" s="53"/>
      <c r="BA128" s="53"/>
      <c r="BB128" s="53"/>
      <c r="BC128" s="53"/>
      <c r="BD128" s="53"/>
      <c r="BE128" s="53"/>
      <c r="BF128" s="53"/>
      <c r="BG128" s="64">
        <v>232</v>
      </c>
      <c r="BH128" t="s" s="58">
        <v>1213</v>
      </c>
      <c r="BI128" t="s" s="58">
        <v>21</v>
      </c>
      <c r="BJ128" t="s" s="58">
        <v>22</v>
      </c>
      <c r="BK128" t="s" s="58">
        <v>23</v>
      </c>
      <c r="BL128" t="s" s="58">
        <v>24</v>
      </c>
      <c r="BM128" s="53"/>
      <c r="BN128" s="53"/>
      <c r="BO128" s="53"/>
      <c r="BP128" s="53"/>
      <c r="BQ128" s="53"/>
      <c r="BR128" t="b" s="61">
        <v>0</v>
      </c>
      <c r="BS128" s="55" cm="1">
        <f t="array" ref="BS128">IF(M128&lt;=0.8*K128,5%*K128,M128*5%)</f>
        <v>81555150</v>
      </c>
      <c r="BT128" t="s" s="58">
        <v>156</v>
      </c>
      <c r="BU128" s="53"/>
      <c r="BV128" s="55" cm="1">
        <f t="array" ref="BV128">J128-M128</f>
        <v>60553960</v>
      </c>
    </row>
    <row r="129" ht="48.25" customHeight="1">
      <c r="A129" s="49"/>
      <c r="B129" s="50">
        <v>49975169</v>
      </c>
      <c r="C129" t="s" s="51">
        <v>1227</v>
      </c>
      <c r="D129" t="s" s="65">
        <v>810</v>
      </c>
      <c r="E129" t="str" s="66" cm="1">
        <f t="array" ref="E129">$C129</f>
        <v>Pemb. Saluran Drainase Ling. Sawi Kel. Bambalamotu</v>
      </c>
      <c r="F129" s="67"/>
      <c r="G129" s="66"/>
      <c r="H129" s="66"/>
      <c r="I129" s="66"/>
      <c r="J129" s="68">
        <v>150000000</v>
      </c>
      <c r="K129" s="76">
        <v>149919642.77</v>
      </c>
      <c r="L129" s="57">
        <v>149733016.47</v>
      </c>
      <c r="M129" s="68">
        <v>149733000</v>
      </c>
      <c r="N129" t="s" s="70">
        <v>1063</v>
      </c>
      <c r="O129" t="s" s="71">
        <v>1064</v>
      </c>
      <c r="P129" t="s" s="70">
        <v>4</v>
      </c>
      <c r="Q129" t="s" s="70">
        <v>1065</v>
      </c>
      <c r="R129" t="s" s="70">
        <v>1066</v>
      </c>
      <c r="S129" t="s" s="70">
        <v>1067</v>
      </c>
      <c r="T129" s="72">
        <v>43472</v>
      </c>
      <c r="U129" t="s" s="70">
        <v>1068</v>
      </c>
      <c r="V129" t="s" s="70">
        <v>1069</v>
      </c>
      <c r="W129" t="s" s="70">
        <v>1070</v>
      </c>
      <c r="X129" s="73">
        <v>90</v>
      </c>
      <c r="Y129" t="s" s="70">
        <v>10</v>
      </c>
      <c r="Z129" s="68" cm="1">
        <f t="array" ref="Z129">M129</f>
        <v>149733000</v>
      </c>
      <c r="AA129" t="s" s="70">
        <v>11</v>
      </c>
      <c r="AB129" s="72" cm="1">
        <f t="array" ref="AB129">AH129</f>
        <v>45462.417361111111</v>
      </c>
      <c r="AC129" s="73">
        <v>180</v>
      </c>
      <c r="AD129" t="s" s="70">
        <v>109</v>
      </c>
      <c r="AE129" t="s" s="70">
        <v>110</v>
      </c>
      <c r="AF129" t="s" s="70">
        <v>811</v>
      </c>
      <c r="AG129" s="72">
        <v>45461.999305555553</v>
      </c>
      <c r="AH129" s="72">
        <v>45462.417361111111</v>
      </c>
      <c r="AI129" s="72">
        <v>45462.427777777775</v>
      </c>
      <c r="AJ129" s="72">
        <v>45462.459027777775</v>
      </c>
      <c r="AK129" s="72">
        <v>45462.542361111111</v>
      </c>
      <c r="AL129" s="72">
        <v>45462.542361111111</v>
      </c>
      <c r="AM129" s="72">
        <v>45462.542361111111</v>
      </c>
      <c r="AN129" t="s" s="70">
        <v>1228</v>
      </c>
      <c r="AO129" s="72" cm="1">
        <f t="array" ref="AO129">AJ129</f>
        <v>45462.459027777775</v>
      </c>
      <c r="AP129" t="s" s="70">
        <v>1229</v>
      </c>
      <c r="AQ129" s="72" cm="1">
        <f t="array" ref="AQ129">AJ129</f>
        <v>45462.459027777775</v>
      </c>
      <c r="AR129" t="s" s="70">
        <v>1230</v>
      </c>
      <c r="AS129" s="72" cm="1">
        <f t="array" ref="AS129">AJ129</f>
        <v>45462.459027777775</v>
      </c>
      <c r="AT129" t="s" s="78">
        <v>1231</v>
      </c>
      <c r="AU129" s="72" cm="1">
        <f t="array" ref="AU129">AJ129</f>
        <v>45462.459027777775</v>
      </c>
      <c r="AV129" s="66"/>
      <c r="AW129" t="str" s="74" cm="1">
        <f t="array" ref="AW129">"600/"&amp;$B129&amp;"/"&amp;IF(AND($AE129="Konsultansi",M129&lt;=100000000),"SPK",IF(AND($AE129="Konsultansi",M129&gt;100000000),"Kont",IF(AND($AE129&lt;&gt;"Konsultansi",M129&lt;=200000000),"SPK","Kont")))&amp;"-"&amp;AE129&amp;"/PPK/DPUPR"</f>
        <v>600/49975169/SPK-Konstruksi/PPK/DPUPR</v>
      </c>
      <c r="AX129" t="str" s="74" cm="1">
        <f t="array" ref="AX129">"600/"&amp;$B129&amp;"/SPMK/PPK/DPUPR"</f>
        <v>600/49975169/SPMK/PPK/DPUPR</v>
      </c>
      <c r="AY129" s="66"/>
      <c r="AZ129" s="66"/>
      <c r="BA129" s="66"/>
      <c r="BB129" s="66"/>
      <c r="BC129" s="66"/>
      <c r="BD129" s="66"/>
      <c r="BE129" s="66"/>
      <c r="BF129" s="66"/>
      <c r="BG129" s="75">
        <v>230</v>
      </c>
      <c r="BH129" t="s" s="70">
        <v>1063</v>
      </c>
      <c r="BI129" t="s" s="70">
        <v>21</v>
      </c>
      <c r="BJ129" t="s" s="70">
        <v>22</v>
      </c>
      <c r="BK129" t="s" s="70">
        <v>23</v>
      </c>
      <c r="BL129" t="s" s="70">
        <v>24</v>
      </c>
      <c r="BM129" s="66"/>
      <c r="BN129" s="66"/>
      <c r="BO129" s="66"/>
      <c r="BP129" s="66"/>
      <c r="BQ129" s="66"/>
      <c r="BR129" t="b" s="73">
        <v>0</v>
      </c>
      <c r="BS129" s="68" cm="1">
        <f t="array" ref="BS129">IF(M129&lt;=0.8*K129,5%*K129,M129*5%)</f>
        <v>7486650</v>
      </c>
      <c r="BT129" t="s" s="70">
        <v>173</v>
      </c>
      <c r="BU129" s="66"/>
      <c r="BV129" s="68" cm="1">
        <f t="array" ref="BV129">J129-M129</f>
        <v>267000</v>
      </c>
    </row>
    <row r="130" ht="48.25" customHeight="1">
      <c r="A130" s="49"/>
      <c r="B130" s="50">
        <v>49975054</v>
      </c>
      <c r="C130" t="s" s="51">
        <v>1234</v>
      </c>
      <c r="D130" t="s" s="52">
        <v>810</v>
      </c>
      <c r="E130" t="str" s="53" cm="1">
        <f t="array" ref="E130">$C130</f>
        <v>Normalisasi Saluran Drainase Kota Pasangkayu</v>
      </c>
      <c r="F130" s="54"/>
      <c r="G130" s="53"/>
      <c r="H130" s="53"/>
      <c r="I130" s="53"/>
      <c r="J130" s="55">
        <v>170000000</v>
      </c>
      <c r="K130" s="77">
        <v>169966508.78</v>
      </c>
      <c r="L130" s="57">
        <v>169858996.19</v>
      </c>
      <c r="M130" s="55">
        <v>169858000</v>
      </c>
      <c r="N130" t="s" s="58">
        <v>1063</v>
      </c>
      <c r="O130" t="s" s="59">
        <v>1064</v>
      </c>
      <c r="P130" t="s" s="58">
        <v>4</v>
      </c>
      <c r="Q130" t="s" s="58">
        <v>1065</v>
      </c>
      <c r="R130" t="s" s="58">
        <v>1066</v>
      </c>
      <c r="S130" t="s" s="58">
        <v>1067</v>
      </c>
      <c r="T130" s="60">
        <v>43472</v>
      </c>
      <c r="U130" t="s" s="58">
        <v>1068</v>
      </c>
      <c r="V130" t="s" s="58">
        <v>1069</v>
      </c>
      <c r="W130" t="s" s="58">
        <v>1070</v>
      </c>
      <c r="X130" s="61">
        <v>90</v>
      </c>
      <c r="Y130" t="s" s="58">
        <v>10</v>
      </c>
      <c r="Z130" s="55" cm="1">
        <f t="array" ref="Z130">M130</f>
        <v>169858000</v>
      </c>
      <c r="AA130" t="s" s="58">
        <v>11</v>
      </c>
      <c r="AB130" s="60" cm="1">
        <f t="array" ref="AB130">AH130</f>
        <v>45462.417361111111</v>
      </c>
      <c r="AC130" s="61">
        <v>180</v>
      </c>
      <c r="AD130" t="s" s="58">
        <v>109</v>
      </c>
      <c r="AE130" t="s" s="58">
        <v>110</v>
      </c>
      <c r="AF130" t="s" s="58">
        <v>811</v>
      </c>
      <c r="AG130" s="60">
        <v>45461.999305555553</v>
      </c>
      <c r="AH130" s="60">
        <v>45462.417361111111</v>
      </c>
      <c r="AI130" s="60">
        <v>45462.427777777775</v>
      </c>
      <c r="AJ130" s="60">
        <v>45462.459027777775</v>
      </c>
      <c r="AK130" s="60">
        <v>45462.542361111111</v>
      </c>
      <c r="AL130" s="60">
        <v>45462.542361111111</v>
      </c>
      <c r="AM130" s="60">
        <v>45462.542361111111</v>
      </c>
      <c r="AN130" t="s" s="58">
        <v>1235</v>
      </c>
      <c r="AO130" s="60" cm="1">
        <f t="array" ref="AO130">AJ130</f>
        <v>45462.459027777775</v>
      </c>
      <c r="AP130" t="s" s="58">
        <v>1236</v>
      </c>
      <c r="AQ130" s="60" cm="1">
        <f t="array" ref="AQ130">AJ130</f>
        <v>45462.459027777775</v>
      </c>
      <c r="AR130" t="s" s="58">
        <v>1237</v>
      </c>
      <c r="AS130" s="60" cm="1">
        <f t="array" ref="AS130">AJ130</f>
        <v>45462.459027777775</v>
      </c>
      <c r="AT130" t="s" s="78">
        <v>1238</v>
      </c>
      <c r="AU130" s="60" cm="1">
        <f t="array" ref="AU130">AJ130</f>
        <v>45462.459027777775</v>
      </c>
      <c r="AV130" s="53"/>
      <c r="AW130" t="str" s="63" cm="1">
        <f t="array" ref="AW130">"600/"&amp;$B130&amp;"/"&amp;IF(AND($AE130="Konsultansi",M130&lt;=100000000),"SPK",IF(AND($AE130="Konsultansi",M130&gt;100000000),"Kont",IF(AND($AE130&lt;&gt;"Konsultansi",M130&lt;=200000000),"SPK","Kont")))&amp;"-"&amp;AE130&amp;"/PPK/DPUPR"</f>
        <v>600/49975054/SPK-Konstruksi/PPK/DPUPR</v>
      </c>
      <c r="AX130" t="str" s="63" cm="1">
        <f t="array" ref="AX130">"600/"&amp;$B130&amp;"/SPMK/PPK/DPUPR"</f>
        <v>600/49975054/SPMK/PPK/DPUPR</v>
      </c>
      <c r="AY130" s="53"/>
      <c r="AZ130" s="53"/>
      <c r="BA130" s="53"/>
      <c r="BB130" s="53"/>
      <c r="BC130" s="53"/>
      <c r="BD130" s="53"/>
      <c r="BE130" s="53"/>
      <c r="BF130" s="53"/>
      <c r="BG130" s="64">
        <v>230</v>
      </c>
      <c r="BH130" t="s" s="58">
        <v>1063</v>
      </c>
      <c r="BI130" t="s" s="58">
        <v>21</v>
      </c>
      <c r="BJ130" t="s" s="58">
        <v>22</v>
      </c>
      <c r="BK130" t="s" s="58">
        <v>23</v>
      </c>
      <c r="BL130" t="s" s="58">
        <v>24</v>
      </c>
      <c r="BM130" s="53"/>
      <c r="BN130" s="53"/>
      <c r="BO130" s="53"/>
      <c r="BP130" s="53"/>
      <c r="BQ130" s="53"/>
      <c r="BR130" t="b" s="61">
        <v>0</v>
      </c>
      <c r="BS130" s="55" cm="1">
        <f t="array" ref="BS130">IF(M130&lt;=0.8*K130,5%*K130,M130*5%)</f>
        <v>8492900</v>
      </c>
      <c r="BT130" t="s" s="58">
        <v>173</v>
      </c>
      <c r="BU130" s="53"/>
      <c r="BV130" s="55" cm="1">
        <f t="array" ref="BV130">J130-M130</f>
        <v>142000</v>
      </c>
    </row>
    <row r="131" ht="48.25" customHeight="1">
      <c r="A131" s="49"/>
      <c r="B131" s="50">
        <v>5630660</v>
      </c>
      <c r="C131" t="s" s="51">
        <v>1241</v>
      </c>
      <c r="D131" t="s" s="65">
        <v>1</v>
      </c>
      <c r="E131" t="str" s="66" cm="1">
        <f t="array" ref="E131">$C131</f>
        <v>Peningkatan Jalan Dusun Tinonto</v>
      </c>
      <c r="F131" s="67"/>
      <c r="G131" s="66"/>
      <c r="H131" s="66"/>
      <c r="I131" s="66"/>
      <c r="J131" s="68">
        <v>200000000</v>
      </c>
      <c r="K131" s="76">
        <v>189834095.55</v>
      </c>
      <c r="L131" s="57">
        <v>189552840.45</v>
      </c>
      <c r="M131" s="68">
        <v>189552000</v>
      </c>
      <c r="N131" t="s" s="70">
        <v>1078</v>
      </c>
      <c r="O131" t="s" s="71">
        <v>1079</v>
      </c>
      <c r="P131" t="s" s="70">
        <v>4</v>
      </c>
      <c r="Q131" t="s" s="70">
        <v>1080</v>
      </c>
      <c r="R131" t="s" s="70">
        <v>1081</v>
      </c>
      <c r="S131" s="73">
        <v>171</v>
      </c>
      <c r="T131" s="72">
        <v>45320</v>
      </c>
      <c r="U131" t="s" s="70">
        <v>1082</v>
      </c>
      <c r="V131" t="s" s="70">
        <v>1083</v>
      </c>
      <c r="W131" t="s" s="70">
        <v>1084</v>
      </c>
      <c r="X131" s="73">
        <v>120</v>
      </c>
      <c r="Y131" t="s" s="70">
        <v>10</v>
      </c>
      <c r="Z131" s="68" cm="1">
        <f t="array" ref="Z131">M131</f>
        <v>189552000</v>
      </c>
      <c r="AA131" t="s" s="70">
        <v>11</v>
      </c>
      <c r="AB131" s="72" cm="1">
        <f t="array" ref="AB131">AH131</f>
        <v>45474.417361111111</v>
      </c>
      <c r="AC131" s="73">
        <v>180</v>
      </c>
      <c r="AD131" t="s" s="70">
        <v>109</v>
      </c>
      <c r="AE131" t="s" s="70">
        <v>110</v>
      </c>
      <c r="AF131" t="s" s="70">
        <v>111</v>
      </c>
      <c r="AG131" s="72">
        <v>45473.583333333336</v>
      </c>
      <c r="AH131" s="72">
        <v>45474.417361111111</v>
      </c>
      <c r="AI131" s="72">
        <v>45474.427777777775</v>
      </c>
      <c r="AJ131" s="72">
        <v>45474.500694444447</v>
      </c>
      <c r="AK131" s="72">
        <v>45474.584027777775</v>
      </c>
      <c r="AL131" s="72">
        <v>45474.584027777775</v>
      </c>
      <c r="AM131" s="72">
        <v>45474.584027777775</v>
      </c>
      <c r="AN131" t="s" s="70">
        <v>1242</v>
      </c>
      <c r="AO131" s="72" cm="1">
        <f t="array" ref="AO131">AJ131</f>
        <v>45474.500694444447</v>
      </c>
      <c r="AP131" t="s" s="70">
        <v>1243</v>
      </c>
      <c r="AQ131" s="72" cm="1">
        <f t="array" ref="AQ131">AJ131</f>
        <v>45474.500694444447</v>
      </c>
      <c r="AR131" t="s" s="70">
        <v>1244</v>
      </c>
      <c r="AS131" s="72" cm="1">
        <f t="array" ref="AS131">AJ131</f>
        <v>45474.500694444447</v>
      </c>
      <c r="AT131" t="s" s="78">
        <v>1245</v>
      </c>
      <c r="AU131" s="72" cm="1">
        <f t="array" ref="AU131">AJ131</f>
        <v>45474.500694444447</v>
      </c>
      <c r="AV131" s="66"/>
      <c r="AW131" t="str" s="74" cm="1">
        <f t="array" ref="AW131">"600/"&amp;$B131&amp;"/"&amp;IF(AND($AE131="Konsultansi",M131&lt;=100000000),"SPK",IF(AND($AE131="Konsultansi",M131&gt;100000000),"Kont",IF(AND($AE131&lt;&gt;"Konsultansi",M131&lt;=200000000),"SPK","Kont")))&amp;"-"&amp;AE131&amp;"/PPK/DPUPR"</f>
        <v>600/5630660/SPK-Konstruksi/PPK/DPUPR</v>
      </c>
      <c r="AX131" t="str" s="74" cm="1">
        <f t="array" ref="AX131">"600/"&amp;$B131&amp;"/SPMK/PPK/DPUPR"</f>
        <v>600/5630660/SPMK/PPK/DPUPR</v>
      </c>
      <c r="AY131" s="66"/>
      <c r="AZ131" s="66"/>
      <c r="BA131" s="66"/>
      <c r="BB131" s="66"/>
      <c r="BC131" s="66"/>
      <c r="BD131" s="66"/>
      <c r="BE131" s="66"/>
      <c r="BF131" s="66"/>
      <c r="BG131" s="75">
        <v>231</v>
      </c>
      <c r="BH131" t="s" s="70">
        <v>1078</v>
      </c>
      <c r="BI131" t="s" s="70">
        <v>21</v>
      </c>
      <c r="BJ131" t="s" s="70">
        <v>22</v>
      </c>
      <c r="BK131" t="s" s="70">
        <v>23</v>
      </c>
      <c r="BL131" t="s" s="70">
        <v>24</v>
      </c>
      <c r="BM131" s="66"/>
      <c r="BN131" s="66"/>
      <c r="BO131" s="66"/>
      <c r="BP131" s="66"/>
      <c r="BQ131" s="66"/>
      <c r="BR131" t="b" s="73">
        <v>0</v>
      </c>
      <c r="BS131" s="68" cm="1">
        <f t="array" ref="BS131">IF(M131&lt;=0.8*K131,5%*K131,M131*5%)</f>
        <v>9477600</v>
      </c>
      <c r="BT131" t="s" s="70">
        <v>25</v>
      </c>
      <c r="BU131" s="66"/>
      <c r="BV131" s="68" cm="1">
        <f t="array" ref="BV131">J131-M131</f>
        <v>10448000</v>
      </c>
    </row>
    <row r="132" ht="48.25" customHeight="1">
      <c r="A132" s="49"/>
      <c r="B132" s="50">
        <v>5629660</v>
      </c>
      <c r="C132" t="s" s="51">
        <v>1248</v>
      </c>
      <c r="D132" t="s" s="52">
        <v>1</v>
      </c>
      <c r="E132" t="str" s="53" cm="1">
        <f t="array" ref="E132">$C132</f>
        <v>Peningkatan Jalan Dusun Tangnga-Tangnga Desa Sarjo
</v>
      </c>
      <c r="F132" s="54"/>
      <c r="G132" s="53"/>
      <c r="H132" s="53"/>
      <c r="I132" s="53"/>
      <c r="J132" s="55">
        <v>200000000</v>
      </c>
      <c r="K132" s="77">
        <v>188221840.55</v>
      </c>
      <c r="L132" s="57">
        <v>188157906.3</v>
      </c>
      <c r="M132" s="55">
        <v>188157000</v>
      </c>
      <c r="N132" t="s" s="58">
        <v>1078</v>
      </c>
      <c r="O132" t="s" s="59">
        <v>1079</v>
      </c>
      <c r="P132" t="s" s="58">
        <v>4</v>
      </c>
      <c r="Q132" t="s" s="58">
        <v>1080</v>
      </c>
      <c r="R132" t="s" s="58">
        <v>1081</v>
      </c>
      <c r="S132" s="61">
        <v>171</v>
      </c>
      <c r="T132" s="60">
        <v>45320</v>
      </c>
      <c r="U132" t="s" s="58">
        <v>1082</v>
      </c>
      <c r="V132" t="s" s="58">
        <v>1083</v>
      </c>
      <c r="W132" t="s" s="58">
        <v>1084</v>
      </c>
      <c r="X132" s="61">
        <v>120</v>
      </c>
      <c r="Y132" t="s" s="58">
        <v>10</v>
      </c>
      <c r="Z132" s="55" cm="1">
        <f t="array" ref="Z132">M132</f>
        <v>188157000</v>
      </c>
      <c r="AA132" t="s" s="58">
        <v>11</v>
      </c>
      <c r="AB132" s="60" cm="1">
        <f t="array" ref="AB132">AH132</f>
        <v>45474.417361111111</v>
      </c>
      <c r="AC132" s="61">
        <v>180</v>
      </c>
      <c r="AD132" t="s" s="58">
        <v>109</v>
      </c>
      <c r="AE132" t="s" s="58">
        <v>110</v>
      </c>
      <c r="AF132" t="s" s="58">
        <v>111</v>
      </c>
      <c r="AG132" s="60">
        <v>45473.583333333336</v>
      </c>
      <c r="AH132" s="60">
        <v>45474.417361111111</v>
      </c>
      <c r="AI132" s="60">
        <v>45474.427777777775</v>
      </c>
      <c r="AJ132" s="60">
        <v>45474.500694444447</v>
      </c>
      <c r="AK132" s="60">
        <v>45474.584027777775</v>
      </c>
      <c r="AL132" s="60">
        <v>45474.584027777775</v>
      </c>
      <c r="AM132" s="60">
        <v>45474.584027777775</v>
      </c>
      <c r="AN132" t="s" s="58">
        <v>1249</v>
      </c>
      <c r="AO132" s="60" cm="1">
        <f t="array" ref="AO132">AJ132</f>
        <v>45474.500694444447</v>
      </c>
      <c r="AP132" t="s" s="58">
        <v>1250</v>
      </c>
      <c r="AQ132" s="60" cm="1">
        <f t="array" ref="AQ132">AJ132</f>
        <v>45474.500694444447</v>
      </c>
      <c r="AR132" t="s" s="58">
        <v>1251</v>
      </c>
      <c r="AS132" s="60" cm="1">
        <f t="array" ref="AS132">AJ132</f>
        <v>45474.500694444447</v>
      </c>
      <c r="AT132" t="s" s="78">
        <v>1252</v>
      </c>
      <c r="AU132" s="60" cm="1">
        <f t="array" ref="AU132">AJ132</f>
        <v>45474.500694444447</v>
      </c>
      <c r="AV132" s="53"/>
      <c r="AW132" t="str" s="63" cm="1">
        <f t="array" ref="AW132">"600/"&amp;$B132&amp;"/"&amp;IF(AND($AE132="Konsultansi",M132&lt;=100000000),"SPK",IF(AND($AE132="Konsultansi",M132&gt;100000000),"Kont",IF(AND($AE132&lt;&gt;"Konsultansi",M132&lt;=200000000),"SPK","Kont")))&amp;"-"&amp;AE132&amp;"/PPK/DPUPR"</f>
        <v>600/5629660/SPK-Konstruksi/PPK/DPUPR</v>
      </c>
      <c r="AX132" t="str" s="63" cm="1">
        <f t="array" ref="AX132">"600/"&amp;$B132&amp;"/SPMK/PPK/DPUPR"</f>
        <v>600/5629660/SPMK/PPK/DPUPR</v>
      </c>
      <c r="AY132" s="53"/>
      <c r="AZ132" s="53"/>
      <c r="BA132" s="53"/>
      <c r="BB132" s="53"/>
      <c r="BC132" s="53"/>
      <c r="BD132" s="53"/>
      <c r="BE132" s="53"/>
      <c r="BF132" s="53"/>
      <c r="BG132" s="64">
        <v>231</v>
      </c>
      <c r="BH132" t="s" s="58">
        <v>1078</v>
      </c>
      <c r="BI132" t="s" s="58">
        <v>21</v>
      </c>
      <c r="BJ132" t="s" s="58">
        <v>22</v>
      </c>
      <c r="BK132" t="s" s="58">
        <v>23</v>
      </c>
      <c r="BL132" t="s" s="58">
        <v>24</v>
      </c>
      <c r="BM132" s="53"/>
      <c r="BN132" s="53"/>
      <c r="BO132" s="53"/>
      <c r="BP132" s="53"/>
      <c r="BQ132" s="53"/>
      <c r="BR132" t="b" s="61">
        <v>0</v>
      </c>
      <c r="BS132" s="55" cm="1">
        <f t="array" ref="BS132">IF(M132&lt;=0.8*K132,5%*K132,M132*5%)</f>
        <v>9407850</v>
      </c>
      <c r="BT132" t="s" s="58">
        <v>25</v>
      </c>
      <c r="BU132" s="53"/>
      <c r="BV132" s="55" cm="1">
        <f t="array" ref="BV132">J132-M132</f>
        <v>11843000</v>
      </c>
    </row>
    <row r="133" ht="120.25" customHeight="1">
      <c r="A133" s="49"/>
      <c r="B133" s="50">
        <v>4911660</v>
      </c>
      <c r="C133" t="s" s="51">
        <v>1255</v>
      </c>
      <c r="D133" t="s" s="65">
        <v>1</v>
      </c>
      <c r="E133" t="s" s="70">
        <v>1256</v>
      </c>
      <c r="F133" s="67"/>
      <c r="G133" s="66"/>
      <c r="H133" s="66"/>
      <c r="I133" s="66"/>
      <c r="J133" s="68" cm="1">
        <f t="array" ref="J133">214500000+132000000+108000000</f>
        <v>454500000</v>
      </c>
      <c r="K133" s="68">
        <v>454498400</v>
      </c>
      <c r="L133" s="57">
        <v>454400000</v>
      </c>
      <c r="M133" s="57">
        <v>454400000</v>
      </c>
      <c r="N133" t="s" s="70">
        <v>210</v>
      </c>
      <c r="O133" t="s" s="71">
        <v>211</v>
      </c>
      <c r="P133" t="s" s="70">
        <v>4</v>
      </c>
      <c r="Q133" t="s" s="70">
        <v>212</v>
      </c>
      <c r="R133" t="s" s="70">
        <v>213</v>
      </c>
      <c r="S133" t="s" s="70">
        <v>214</v>
      </c>
      <c r="T133" t="s" s="70">
        <v>215</v>
      </c>
      <c r="U133" t="s" s="70">
        <v>216</v>
      </c>
      <c r="V133" t="s" s="70">
        <v>217</v>
      </c>
      <c r="W133" t="s" s="70">
        <v>117</v>
      </c>
      <c r="X133" s="73">
        <v>173</v>
      </c>
      <c r="Y133" t="s" s="70">
        <v>1257</v>
      </c>
      <c r="Z133" s="68" cm="1">
        <f t="array" ref="Z133">M133</f>
        <v>454400000</v>
      </c>
      <c r="AA133" t="s" s="70">
        <v>1258</v>
      </c>
      <c r="AB133" s="72">
        <v>45476</v>
      </c>
      <c r="AC133" s="66"/>
      <c r="AD133" t="s" s="70">
        <v>12</v>
      </c>
      <c r="AE133" t="s" s="70">
        <v>13</v>
      </c>
      <c r="AF133" t="s" s="70">
        <v>111</v>
      </c>
      <c r="AG133" s="72"/>
      <c r="AH133" s="72"/>
      <c r="AI133" s="72"/>
      <c r="AJ133" s="72"/>
      <c r="AK133" s="72">
        <v>45485</v>
      </c>
      <c r="AL133" s="72">
        <v>45485</v>
      </c>
      <c r="AM133" s="72">
        <v>45485</v>
      </c>
      <c r="AN133" t="s" s="70">
        <v>1259</v>
      </c>
      <c r="AO133" s="72">
        <v>45481</v>
      </c>
      <c r="AP133" t="s" s="70">
        <v>1260</v>
      </c>
      <c r="AQ133" s="66" cm="1">
        <f t="array" ref="AQ133">AJ133</f>
      </c>
      <c r="AR133" t="s" s="70">
        <v>1261</v>
      </c>
      <c r="AS133" s="66" cm="1">
        <f t="array" ref="AS133">AJ133</f>
      </c>
      <c r="AT133" t="s" s="78">
        <v>1262</v>
      </c>
      <c r="AU133" s="66" cm="1">
        <f t="array" ref="AU133">AJ133</f>
      </c>
      <c r="AV133" s="66"/>
      <c r="AW133" t="str" s="74" cm="1">
        <f t="array" ref="AW133">"600/"&amp;$B133&amp;"/"&amp;IF(AND($AE133="Konsultansi",M133&lt;=100000000),"SPK",IF(AND($AE133="Konsultansi",M133&gt;100000000),"Kont",IF(AND($AE133&lt;&gt;"Konsultansi",M133&lt;=200000000),"SPK","Kont")))&amp;"-"&amp;AE133&amp;"/PPK/DPUPR"</f>
        <v>600/4911660/Kont-Konsultansi/PPK/DPUPR</v>
      </c>
      <c r="AX133" t="str" s="74" cm="1">
        <f t="array" ref="AX133">"600/"&amp;$B133&amp;"/SPMK/PPK/DPUPR"</f>
        <v>600/4911660/SPMK/PPK/DPUPR</v>
      </c>
      <c r="AY133" s="66"/>
      <c r="AZ133" s="66"/>
      <c r="BA133" s="66"/>
      <c r="BB133" s="66"/>
      <c r="BC133" s="66"/>
      <c r="BD133" s="66"/>
      <c r="BE133" s="66"/>
      <c r="BF133" s="66"/>
      <c r="BG133" s="75">
        <v>162</v>
      </c>
      <c r="BH133" t="s" s="70">
        <v>210</v>
      </c>
      <c r="BI133" t="s" s="70">
        <v>21</v>
      </c>
      <c r="BJ133" t="s" s="70">
        <v>22</v>
      </c>
      <c r="BK133" t="s" s="70">
        <v>23</v>
      </c>
      <c r="BL133" t="s" s="70">
        <v>24</v>
      </c>
      <c r="BM133" s="66"/>
      <c r="BN133" s="66"/>
      <c r="BO133" s="66"/>
      <c r="BP133" s="66"/>
      <c r="BQ133" s="66"/>
      <c r="BR133" t="b" s="73">
        <v>0</v>
      </c>
      <c r="BS133" s="67" cm="1">
        <f t="array" ref="BS133">IF(M133&lt;=0.8*K133,5%*K133,M133*5%)</f>
        <v>22720000</v>
      </c>
      <c r="BT133" t="s" s="70">
        <v>25</v>
      </c>
      <c r="BU133" s="66"/>
      <c r="BV133" s="68" cm="1">
        <f t="array" ref="BV133">J133-M133</f>
        <v>100000</v>
      </c>
    </row>
    <row r="134" ht="72.25" customHeight="1">
      <c r="A134" s="49"/>
      <c r="B134" s="50">
        <v>4906660</v>
      </c>
      <c r="C134" t="s" s="51">
        <v>1265</v>
      </c>
      <c r="D134" t="s" s="52">
        <v>1</v>
      </c>
      <c r="E134" t="s" s="58">
        <v>1266</v>
      </c>
      <c r="F134" t="s" s="58">
        <v>1267</v>
      </c>
      <c r="G134" s="53"/>
      <c r="H134" s="53"/>
      <c r="I134" s="53"/>
      <c r="J134" s="55">
        <v>13200000000</v>
      </c>
      <c r="K134" s="55">
        <v>13199101000</v>
      </c>
      <c r="L134" s="57">
        <v>13165687439.32</v>
      </c>
      <c r="M134" s="55">
        <v>13165687000</v>
      </c>
      <c r="N134" t="s" s="58">
        <v>1268</v>
      </c>
      <c r="O134" t="s" s="59">
        <v>1269</v>
      </c>
      <c r="P134" t="s" s="58">
        <v>1270</v>
      </c>
      <c r="Q134" t="s" s="58">
        <v>1271</v>
      </c>
      <c r="R134" t="s" s="58">
        <v>1272</v>
      </c>
      <c r="S134" s="61">
        <v>17</v>
      </c>
      <c r="T134" s="79">
        <v>45345</v>
      </c>
      <c r="U134" t="s" s="58">
        <v>1273</v>
      </c>
      <c r="V134" t="s" s="58">
        <v>1274</v>
      </c>
      <c r="W134" t="s" s="58">
        <v>1275</v>
      </c>
      <c r="X134" s="61">
        <v>180</v>
      </c>
      <c r="Y134" t="s" s="58">
        <v>1257</v>
      </c>
      <c r="Z134" s="55" cm="1">
        <f t="array" ref="Z134">M134</f>
        <v>13165687000</v>
      </c>
      <c r="AA134" t="s" s="58">
        <v>1276</v>
      </c>
      <c r="AB134" s="60">
        <v>45459</v>
      </c>
      <c r="AC134" s="61">
        <v>360</v>
      </c>
      <c r="AD134" t="s" s="58">
        <v>109</v>
      </c>
      <c r="AE134" t="s" s="58">
        <v>110</v>
      </c>
      <c r="AF134" t="s" s="58">
        <v>111</v>
      </c>
      <c r="AG134" s="60"/>
      <c r="AH134" s="60"/>
      <c r="AI134" s="60">
        <v>45469</v>
      </c>
      <c r="AJ134" s="60">
        <v>45468</v>
      </c>
      <c r="AK134" s="60">
        <v>45477</v>
      </c>
      <c r="AL134" s="60">
        <v>45478</v>
      </c>
      <c r="AM134" s="60">
        <v>45478</v>
      </c>
      <c r="AN134" t="s" s="58">
        <v>1277</v>
      </c>
      <c r="AO134" s="60">
        <v>45469</v>
      </c>
      <c r="AP134" t="s" s="58">
        <v>1278</v>
      </c>
      <c r="AQ134" s="60" cm="1">
        <f t="array" ref="AQ134">AJ134</f>
        <v>45468</v>
      </c>
      <c r="AR134" t="s" s="58">
        <v>1279</v>
      </c>
      <c r="AS134" s="60" cm="1">
        <f t="array" ref="AS134">AJ134</f>
        <v>45468</v>
      </c>
      <c r="AT134" t="s" s="78">
        <v>1280</v>
      </c>
      <c r="AU134" s="60">
        <v>45468</v>
      </c>
      <c r="AV134" s="53"/>
      <c r="AW134" t="str" s="63" cm="1">
        <f t="array" ref="AW134">"600/"&amp;$B134&amp;"/"&amp;IF(AND($AE134="Konsultansi",M134&lt;=100000000),"SPK",IF(AND($AE134="Konsultansi",M134&gt;100000000),"Kont",IF(AND($AE134&lt;&gt;"Konsultansi",M134&lt;=200000000),"SPK","Kont")))&amp;"-"&amp;AE134&amp;"/PPK/DPUPR"</f>
        <v>600/4906660/Kont-Konstruksi/PPK/DPUPR</v>
      </c>
      <c r="AX134" t="str" s="63" cm="1">
        <f t="array" ref="AX134">"600/"&amp;$B134&amp;"/SPMK/PPK/DPUPR"</f>
        <v>600/4906660/SPMK/PPK/DPUPR</v>
      </c>
      <c r="AY134" s="53"/>
      <c r="AZ134" s="53"/>
      <c r="BA134" s="53"/>
      <c r="BB134" s="53"/>
      <c r="BC134" s="53"/>
      <c r="BD134" s="53"/>
      <c r="BE134" s="53"/>
      <c r="BF134" s="53"/>
      <c r="BG134" s="64">
        <v>156</v>
      </c>
      <c r="BH134" t="s" s="58">
        <v>1268</v>
      </c>
      <c r="BI134" t="s" s="58">
        <v>21</v>
      </c>
      <c r="BJ134" t="s" s="58">
        <v>22</v>
      </c>
      <c r="BK134" t="s" s="58">
        <v>23</v>
      </c>
      <c r="BL134" t="s" s="58">
        <v>24</v>
      </c>
      <c r="BM134" s="53"/>
      <c r="BN134" s="53"/>
      <c r="BO134" s="53"/>
      <c r="BP134" s="53"/>
      <c r="BQ134" s="53"/>
      <c r="BR134" t="b" s="61">
        <v>0</v>
      </c>
      <c r="BS134" s="55" cm="1">
        <f t="array" ref="BS134">IF(M134&lt;=0.8*K134,5%*K134,M134*5%)</f>
        <v>658284350</v>
      </c>
      <c r="BT134" t="s" s="58">
        <v>25</v>
      </c>
      <c r="BU134" s="53"/>
      <c r="BV134" s="55" cm="1">
        <f t="array" ref="BV134">J134-M134</f>
        <v>34313000</v>
      </c>
    </row>
    <row r="135" ht="44.25" customHeight="1">
      <c r="A135" s="49"/>
      <c r="B135" s="50">
        <v>4908660</v>
      </c>
      <c r="C135" t="s" s="51">
        <v>1283</v>
      </c>
      <c r="D135" t="s" s="65">
        <v>1</v>
      </c>
      <c r="E135" t="str" s="66" cm="1">
        <f t="array" ref="E135">$C135</f>
        <v>Pembangunan dan pemeliharaan infrastruktur jalan (Pembangunan Jalan Poros Balanti - Towoni) (DBH II)</v>
      </c>
      <c r="F135" s="67"/>
      <c r="G135" s="66"/>
      <c r="H135" s="66"/>
      <c r="I135" s="66"/>
      <c r="J135" s="68">
        <v>3832718000</v>
      </c>
      <c r="K135" s="68">
        <v>3832710000</v>
      </c>
      <c r="L135" s="57">
        <v>3814517820.94</v>
      </c>
      <c r="M135" s="68">
        <v>3814517000</v>
      </c>
      <c r="N135" t="s" s="70">
        <v>1284</v>
      </c>
      <c r="O135" t="s" s="71">
        <v>1285</v>
      </c>
      <c r="P135" t="s" s="70">
        <v>4</v>
      </c>
      <c r="Q135" t="s" s="70">
        <v>1286</v>
      </c>
      <c r="R135" t="s" s="70">
        <v>1287</v>
      </c>
      <c r="S135" t="s" s="70">
        <v>1288</v>
      </c>
      <c r="T135" s="72">
        <v>45275</v>
      </c>
      <c r="U135" t="s" s="70">
        <v>1273</v>
      </c>
      <c r="V135" t="s" s="70">
        <v>1289</v>
      </c>
      <c r="W135" t="s" s="70">
        <v>1290</v>
      </c>
      <c r="X135" s="73">
        <v>180</v>
      </c>
      <c r="Y135" t="s" s="70">
        <v>1257</v>
      </c>
      <c r="Z135" s="68" cm="1">
        <f t="array" ref="Z135">M135</f>
        <v>3814517000</v>
      </c>
      <c r="AA135" t="s" s="70">
        <v>1291</v>
      </c>
      <c r="AB135" s="72">
        <v>45459</v>
      </c>
      <c r="AC135" s="73">
        <v>360</v>
      </c>
      <c r="AD135" t="s" s="70">
        <v>109</v>
      </c>
      <c r="AE135" t="s" s="70">
        <v>110</v>
      </c>
      <c r="AF135" t="s" s="70">
        <v>111</v>
      </c>
      <c r="AG135" s="72"/>
      <c r="AH135" s="72"/>
      <c r="AI135" s="72">
        <v>45469</v>
      </c>
      <c r="AJ135" s="72">
        <v>45468</v>
      </c>
      <c r="AK135" s="72">
        <v>45477</v>
      </c>
      <c r="AL135" s="72">
        <v>45478</v>
      </c>
      <c r="AM135" s="72">
        <v>45478</v>
      </c>
      <c r="AN135" t="s" s="70">
        <v>1292</v>
      </c>
      <c r="AO135" s="72">
        <v>45469</v>
      </c>
      <c r="AP135" t="s" s="70">
        <v>1293</v>
      </c>
      <c r="AQ135" s="72" cm="1">
        <f t="array" ref="AQ135">AJ135</f>
        <v>45468</v>
      </c>
      <c r="AR135" t="s" s="70">
        <v>1294</v>
      </c>
      <c r="AS135" s="72" cm="1">
        <f t="array" ref="AS135">AJ135</f>
        <v>45468</v>
      </c>
      <c r="AT135" t="s" s="78">
        <v>1294</v>
      </c>
      <c r="AU135" s="72">
        <v>45468</v>
      </c>
      <c r="AV135" s="66"/>
      <c r="AW135" t="str" s="74" cm="1">
        <f t="array" ref="AW135">"600/"&amp;$B135&amp;"/"&amp;IF(AND($AE135="Konsultansi",M135&lt;=100000000),"SPK",IF(AND($AE135="Konsultansi",M135&gt;100000000),"Kont",IF(AND($AE135&lt;&gt;"Konsultansi",M135&lt;=200000000),"SPK","Kont")))&amp;"-"&amp;AE135&amp;"/PPK/DPUPR"</f>
        <v>600/4908660/Kont-Konstruksi/PPK/DPUPR</v>
      </c>
      <c r="AX135" t="str" s="74" cm="1">
        <f t="array" ref="AX135">"600/"&amp;$B135&amp;"/SPMK/PPK/DPUPR"</f>
        <v>600/4908660/SPMK/PPK/DPUPR</v>
      </c>
      <c r="AY135" s="66"/>
      <c r="AZ135" s="66"/>
      <c r="BA135" s="66"/>
      <c r="BB135" s="66"/>
      <c r="BC135" s="66"/>
      <c r="BD135" s="66"/>
      <c r="BE135" s="66"/>
      <c r="BF135" s="66"/>
      <c r="BG135" s="75">
        <v>145</v>
      </c>
      <c r="BH135" t="s" s="70">
        <v>1284</v>
      </c>
      <c r="BI135" t="s" s="70">
        <v>21</v>
      </c>
      <c r="BJ135" t="s" s="70">
        <v>22</v>
      </c>
      <c r="BK135" t="s" s="70">
        <v>23</v>
      </c>
      <c r="BL135" t="s" s="70">
        <v>24</v>
      </c>
      <c r="BM135" s="66"/>
      <c r="BN135" s="66"/>
      <c r="BO135" s="66"/>
      <c r="BP135" s="66"/>
      <c r="BQ135" s="66"/>
      <c r="BR135" t="b" s="73">
        <v>0</v>
      </c>
      <c r="BS135" s="68" cm="1">
        <f t="array" ref="BS135">IF(M135&lt;=0.8*K135,5%*K135,M135*5%)</f>
        <v>190725850</v>
      </c>
      <c r="BT135" t="s" s="70">
        <v>25</v>
      </c>
      <c r="BU135" s="66"/>
      <c r="BV135" s="68" cm="1">
        <f t="array" ref="BV135">J135-M135</f>
        <v>18201000</v>
      </c>
    </row>
    <row r="136" ht="36.25" customHeight="1">
      <c r="A136" s="49"/>
      <c r="B136" s="50">
        <v>5639660</v>
      </c>
      <c r="C136" t="s" s="51">
        <v>1297</v>
      </c>
      <c r="D136" t="s" s="52">
        <v>886</v>
      </c>
      <c r="E136" t="str" s="53" cm="1">
        <f t="array" ref="E136">$C136</f>
        <v>Pengawasan Rehabilitasi Jaringan Irigasi D.I Patika (DAK)</v>
      </c>
      <c r="F136" s="54"/>
      <c r="G136" s="53"/>
      <c r="H136" s="53"/>
      <c r="I136" s="53"/>
      <c r="J136" s="55">
        <v>25000000</v>
      </c>
      <c r="K136" s="55">
        <v>25000000</v>
      </c>
      <c r="L136" s="57">
        <v>24986100</v>
      </c>
      <c r="M136" s="55">
        <v>24986000</v>
      </c>
      <c r="N136" t="s" s="58">
        <v>686</v>
      </c>
      <c r="O136" t="s" s="59">
        <v>687</v>
      </c>
      <c r="P136" t="s" s="58">
        <v>4</v>
      </c>
      <c r="Q136" t="s" s="58">
        <v>688</v>
      </c>
      <c r="R136" t="s" s="58">
        <v>689</v>
      </c>
      <c r="S136" t="s" s="58">
        <v>690</v>
      </c>
      <c r="T136" s="60">
        <v>44571</v>
      </c>
      <c r="U136" t="s" s="58">
        <v>691</v>
      </c>
      <c r="V136" t="s" s="58">
        <v>692</v>
      </c>
      <c r="W136" t="s" s="58">
        <v>693</v>
      </c>
      <c r="X136" s="61">
        <v>175</v>
      </c>
      <c r="Y136" t="s" s="58">
        <v>107</v>
      </c>
      <c r="Z136" s="55" cm="1">
        <f t="array" ref="Z136">M136</f>
        <v>24986000</v>
      </c>
      <c r="AA136" t="s" s="58">
        <v>11</v>
      </c>
      <c r="AB136" s="60" cm="1">
        <f t="array" ref="AB136">AH136</f>
        <v>45482.5</v>
      </c>
      <c r="AC136" s="53"/>
      <c r="AD136" t="s" s="58">
        <v>12</v>
      </c>
      <c r="AE136" t="s" s="58">
        <v>13</v>
      </c>
      <c r="AF136" t="s" s="58">
        <v>887</v>
      </c>
      <c r="AG136" s="60">
        <v>45480.875</v>
      </c>
      <c r="AH136" s="60">
        <v>45482.5</v>
      </c>
      <c r="AI136" s="60">
        <v>45482.511111111111</v>
      </c>
      <c r="AJ136" s="60">
        <v>45482.542361111111</v>
      </c>
      <c r="AK136" s="60">
        <v>45482.584027777775</v>
      </c>
      <c r="AL136" s="60">
        <v>45482.584027777775</v>
      </c>
      <c r="AM136" s="60">
        <v>45482.584027777775</v>
      </c>
      <c r="AN136" t="s" s="58">
        <v>1298</v>
      </c>
      <c r="AO136" s="60" cm="1">
        <f t="array" ref="AO136">AJ136</f>
        <v>45482.542361111111</v>
      </c>
      <c r="AP136" t="s" s="58">
        <v>1299</v>
      </c>
      <c r="AQ136" s="60" cm="1">
        <f t="array" ref="AQ136">AJ136</f>
        <v>45482.542361111111</v>
      </c>
      <c r="AR136" t="s" s="58">
        <v>1300</v>
      </c>
      <c r="AS136" s="60" cm="1">
        <f t="array" ref="AS136">AJ136</f>
        <v>45482.542361111111</v>
      </c>
      <c r="AT136" t="s" s="78">
        <v>1301</v>
      </c>
      <c r="AU136" s="60" cm="1">
        <f t="array" ref="AU136">AJ136</f>
        <v>45482.542361111111</v>
      </c>
      <c r="AV136" s="53"/>
      <c r="AW136" t="str" s="63" cm="1">
        <f t="array" ref="AW136">"600/"&amp;$B136&amp;"/"&amp;IF(AND($AE136="Konsultansi",M136&lt;=100000000),"SPK",IF(AND($AE136="Konsultansi",M136&gt;100000000),"Kont",IF(AND($AE136&lt;&gt;"Konsultansi",M136&lt;=200000000),"SPK","Kont")))&amp;"-"&amp;AE136&amp;"/PPK/DPUPR"</f>
        <v>600/5639660/SPK-Konsultansi/PPK/DPUPR</v>
      </c>
      <c r="AX136" t="str" s="63" cm="1">
        <f t="array" ref="AX136">"600/"&amp;$B136&amp;"/SPMK/PPK/DPUPR"</f>
        <v>600/5639660/SPMK/PPK/DPUPR</v>
      </c>
      <c r="AY136" s="53"/>
      <c r="AZ136" s="53"/>
      <c r="BA136" s="53"/>
      <c r="BB136" s="53"/>
      <c r="BC136" s="53"/>
      <c r="BD136" s="53"/>
      <c r="BE136" s="53"/>
      <c r="BF136" s="53"/>
      <c r="BG136" s="64">
        <v>160</v>
      </c>
      <c r="BH136" t="s" s="58">
        <v>686</v>
      </c>
      <c r="BI136" t="s" s="58">
        <v>21</v>
      </c>
      <c r="BJ136" t="s" s="58">
        <v>22</v>
      </c>
      <c r="BK136" t="s" s="58">
        <v>23</v>
      </c>
      <c r="BL136" t="s" s="58">
        <v>24</v>
      </c>
      <c r="BM136" s="53"/>
      <c r="BN136" s="53"/>
      <c r="BO136" s="53"/>
      <c r="BP136" s="53"/>
      <c r="BQ136" s="53"/>
      <c r="BR136" t="b" s="61">
        <v>0</v>
      </c>
      <c r="BS136" s="55" cm="1">
        <f t="array" ref="BS136">IF(M136&lt;=0.8*K136,5%*K136,M136*5%)</f>
        <v>1249300</v>
      </c>
      <c r="BT136" t="s" s="58">
        <v>156</v>
      </c>
      <c r="BU136" s="53"/>
      <c r="BV136" s="55" cm="1">
        <f t="array" ref="BV136">J136-M136</f>
        <v>14000</v>
      </c>
    </row>
    <row r="137" ht="36.25" customHeight="1">
      <c r="A137" s="49"/>
      <c r="B137" s="50">
        <v>5638660</v>
      </c>
      <c r="C137" t="s" s="51">
        <v>1304</v>
      </c>
      <c r="D137" t="s" s="65">
        <v>886</v>
      </c>
      <c r="E137" t="str" s="66" cm="1">
        <f t="array" ref="E137">$C137</f>
        <v>Pengawasan Rehabilitasi Jaringan Irigasi D.I Rontojali (DAK)</v>
      </c>
      <c r="F137" s="67"/>
      <c r="G137" s="66"/>
      <c r="H137" s="66"/>
      <c r="I137" s="66"/>
      <c r="J137" s="68">
        <v>25000000</v>
      </c>
      <c r="K137" s="68">
        <v>25000000</v>
      </c>
      <c r="L137" s="57">
        <v>24952800</v>
      </c>
      <c r="M137" s="68">
        <v>24952000</v>
      </c>
      <c r="N137" t="s" s="70">
        <v>686</v>
      </c>
      <c r="O137" t="s" s="71">
        <v>687</v>
      </c>
      <c r="P137" t="s" s="70">
        <v>4</v>
      </c>
      <c r="Q137" t="s" s="70">
        <v>688</v>
      </c>
      <c r="R137" t="s" s="70">
        <v>689</v>
      </c>
      <c r="S137" t="s" s="70">
        <v>690</v>
      </c>
      <c r="T137" s="72">
        <v>44571</v>
      </c>
      <c r="U137" t="s" s="70">
        <v>691</v>
      </c>
      <c r="V137" t="s" s="70">
        <v>692</v>
      </c>
      <c r="W137" t="s" s="70">
        <v>693</v>
      </c>
      <c r="X137" s="73">
        <v>175</v>
      </c>
      <c r="Y137" t="s" s="70">
        <v>107</v>
      </c>
      <c r="Z137" s="68" cm="1">
        <f t="array" ref="Z137">M137</f>
        <v>24952000</v>
      </c>
      <c r="AA137" t="s" s="70">
        <v>11</v>
      </c>
      <c r="AB137" s="72" cm="1">
        <f t="array" ref="AB137">AH137</f>
        <v>45482.5</v>
      </c>
      <c r="AC137" s="66"/>
      <c r="AD137" t="s" s="70">
        <v>12</v>
      </c>
      <c r="AE137" t="s" s="70">
        <v>13</v>
      </c>
      <c r="AF137" t="s" s="70">
        <v>887</v>
      </c>
      <c r="AG137" s="72">
        <v>45480.875</v>
      </c>
      <c r="AH137" s="72">
        <v>45482.5</v>
      </c>
      <c r="AI137" s="72">
        <v>45482.511111111111</v>
      </c>
      <c r="AJ137" s="72">
        <v>45482.542361111111</v>
      </c>
      <c r="AK137" s="72">
        <v>45482.584027777775</v>
      </c>
      <c r="AL137" s="72">
        <v>45482.584027777775</v>
      </c>
      <c r="AM137" s="72">
        <v>45482.584027777775</v>
      </c>
      <c r="AN137" t="s" s="70">
        <v>1305</v>
      </c>
      <c r="AO137" s="72" cm="1">
        <f t="array" ref="AO137">AJ137</f>
        <v>45482.542361111111</v>
      </c>
      <c r="AP137" t="s" s="70">
        <v>1306</v>
      </c>
      <c r="AQ137" s="72" cm="1">
        <f t="array" ref="AQ137">AJ137</f>
        <v>45482.542361111111</v>
      </c>
      <c r="AR137" t="s" s="70">
        <v>1307</v>
      </c>
      <c r="AS137" s="72" cm="1">
        <f t="array" ref="AS137">AJ137</f>
        <v>45482.542361111111</v>
      </c>
      <c r="AT137" t="s" s="78">
        <v>1308</v>
      </c>
      <c r="AU137" s="72" cm="1">
        <f t="array" ref="AU137">AJ137</f>
        <v>45482.542361111111</v>
      </c>
      <c r="AV137" s="66"/>
      <c r="AW137" t="str" s="74" cm="1">
        <f t="array" ref="AW137">"600/"&amp;$B137&amp;"/"&amp;IF(AND($AE137="Konsultansi",M137&lt;=100000000),"SPK",IF(AND($AE137="Konsultansi",M137&gt;100000000),"Kont",IF(AND($AE137&lt;&gt;"Konsultansi",M137&lt;=200000000),"SPK","Kont")))&amp;"-"&amp;AE137&amp;"/PPK/DPUPR"</f>
        <v>600/5638660/SPK-Konsultansi/PPK/DPUPR</v>
      </c>
      <c r="AX137" t="str" s="74" cm="1">
        <f t="array" ref="AX137">"600/"&amp;$B137&amp;"/SPMK/PPK/DPUPR"</f>
        <v>600/5638660/SPMK/PPK/DPUPR</v>
      </c>
      <c r="AY137" s="66"/>
      <c r="AZ137" s="66"/>
      <c r="BA137" s="66"/>
      <c r="BB137" s="66"/>
      <c r="BC137" s="66"/>
      <c r="BD137" s="66"/>
      <c r="BE137" s="66"/>
      <c r="BF137" s="66"/>
      <c r="BG137" s="75">
        <v>160</v>
      </c>
      <c r="BH137" t="s" s="70">
        <v>686</v>
      </c>
      <c r="BI137" t="s" s="70">
        <v>21</v>
      </c>
      <c r="BJ137" t="s" s="70">
        <v>22</v>
      </c>
      <c r="BK137" t="s" s="70">
        <v>23</v>
      </c>
      <c r="BL137" t="s" s="70">
        <v>24</v>
      </c>
      <c r="BM137" s="66"/>
      <c r="BN137" s="66"/>
      <c r="BO137" s="66"/>
      <c r="BP137" s="66"/>
      <c r="BQ137" s="66"/>
      <c r="BR137" t="b" s="73">
        <v>0</v>
      </c>
      <c r="BS137" s="68" cm="1">
        <f t="array" ref="BS137">IF(M137&lt;=0.8*K137,5%*K137,M137*5%)</f>
        <v>1247600</v>
      </c>
      <c r="BT137" t="s" s="70">
        <v>156</v>
      </c>
      <c r="BU137" s="66"/>
      <c r="BV137" s="68" cm="1">
        <f t="array" ref="BV137">J137-M137</f>
        <v>48000</v>
      </c>
    </row>
    <row r="138" ht="36.25" customHeight="1">
      <c r="A138" s="49"/>
      <c r="B138" s="50">
        <v>5636660</v>
      </c>
      <c r="C138" t="s" s="51">
        <v>1311</v>
      </c>
      <c r="D138" t="s" s="52">
        <v>149</v>
      </c>
      <c r="E138" t="str" s="53" cm="1">
        <f t="array" ref="E138">$C138</f>
        <v>Pemb. Box Culvert Antai</v>
      </c>
      <c r="F138" s="54"/>
      <c r="G138" s="53"/>
      <c r="H138" s="53"/>
      <c r="I138" s="53"/>
      <c r="J138" s="55">
        <v>75000000</v>
      </c>
      <c r="K138" s="56">
        <v>74540706.90000001</v>
      </c>
      <c r="L138" s="57">
        <v>74396199.27</v>
      </c>
      <c r="M138" s="55">
        <v>74396000</v>
      </c>
      <c r="N138" t="s" s="58">
        <v>641</v>
      </c>
      <c r="O138" t="s" s="59">
        <v>642</v>
      </c>
      <c r="P138" t="s" s="58">
        <v>4</v>
      </c>
      <c r="Q138" t="s" s="58">
        <v>643</v>
      </c>
      <c r="R138" t="s" s="58">
        <v>644</v>
      </c>
      <c r="S138" s="100">
        <v>0.0213082259663033</v>
      </c>
      <c r="T138" s="60">
        <v>43242</v>
      </c>
      <c r="U138" t="s" s="58">
        <v>616</v>
      </c>
      <c r="V138" t="s" s="58">
        <v>645</v>
      </c>
      <c r="W138" t="s" s="58">
        <v>646</v>
      </c>
      <c r="X138" s="61">
        <v>90</v>
      </c>
      <c r="Y138" t="s" s="58">
        <v>10</v>
      </c>
      <c r="Z138" s="55" cm="1">
        <f t="array" ref="Z138">M138</f>
        <v>74396000</v>
      </c>
      <c r="AA138" t="s" s="58">
        <v>11</v>
      </c>
      <c r="AB138" s="60" cm="1">
        <f t="array" ref="AB138">AH138</f>
        <v>45482.417361111111</v>
      </c>
      <c r="AC138" s="61">
        <v>180</v>
      </c>
      <c r="AD138" t="s" s="58">
        <v>109</v>
      </c>
      <c r="AE138" t="s" s="58">
        <v>110</v>
      </c>
      <c r="AF138" t="s" s="58">
        <v>150</v>
      </c>
      <c r="AG138" s="60">
        <v>45481.875</v>
      </c>
      <c r="AH138" s="60">
        <v>45482.417361111111</v>
      </c>
      <c r="AI138" s="60">
        <v>45482.427777777775</v>
      </c>
      <c r="AJ138" s="60">
        <v>45482.479861111111</v>
      </c>
      <c r="AK138" s="60">
        <v>45482.542361111111</v>
      </c>
      <c r="AL138" s="60">
        <v>45482.542361111111</v>
      </c>
      <c r="AM138" s="60">
        <v>45482.542361111111</v>
      </c>
      <c r="AN138" t="s" s="58">
        <v>1312</v>
      </c>
      <c r="AO138" s="60" cm="1">
        <f t="array" ref="AO138">AJ138</f>
        <v>45482.479861111111</v>
      </c>
      <c r="AP138" t="s" s="58">
        <v>1313</v>
      </c>
      <c r="AQ138" s="60" cm="1">
        <f t="array" ref="AQ138">AJ138</f>
        <v>45482.479861111111</v>
      </c>
      <c r="AR138" t="s" s="58">
        <v>1314</v>
      </c>
      <c r="AS138" s="60" cm="1">
        <f t="array" ref="AS138">AJ138</f>
        <v>45482.479861111111</v>
      </c>
      <c r="AT138" t="s" s="78">
        <v>1315</v>
      </c>
      <c r="AU138" s="60" cm="1">
        <f t="array" ref="AU138">AJ138</f>
        <v>45482.479861111111</v>
      </c>
      <c r="AV138" s="53"/>
      <c r="AW138" t="str" s="63" cm="1">
        <f t="array" ref="AW138">"600/"&amp;$B138&amp;"/"&amp;IF(AND($AE138="Konsultansi",M138&lt;=100000000),"SPK",IF(AND($AE138="Konsultansi",M138&gt;100000000),"Kont",IF(AND($AE138&lt;&gt;"Konsultansi",M138&lt;=200000000),"SPK","Kont")))&amp;"-"&amp;AE138&amp;"/PPK/DPUPR"</f>
        <v>600/5636660/SPK-Konstruksi/PPK/DPUPR</v>
      </c>
      <c r="AX138" t="str" s="63" cm="1">
        <f t="array" ref="AX138">"600/"&amp;$B138&amp;"/SPMK/PPK/DPUPR"</f>
        <v>600/5636660/SPMK/PPK/DPUPR</v>
      </c>
      <c r="AY138" s="53"/>
      <c r="AZ138" s="53"/>
      <c r="BA138" s="53"/>
      <c r="BB138" s="53"/>
      <c r="BC138" s="53"/>
      <c r="BD138" s="53"/>
      <c r="BE138" s="53"/>
      <c r="BF138" s="53"/>
      <c r="BG138" s="64">
        <v>171</v>
      </c>
      <c r="BH138" t="s" s="58">
        <v>641</v>
      </c>
      <c r="BI138" t="s" s="58">
        <v>21</v>
      </c>
      <c r="BJ138" t="s" s="58">
        <v>22</v>
      </c>
      <c r="BK138" t="s" s="58">
        <v>23</v>
      </c>
      <c r="BL138" t="s" s="58">
        <v>24</v>
      </c>
      <c r="BM138" s="53"/>
      <c r="BN138" s="53"/>
      <c r="BO138" s="53"/>
      <c r="BP138" s="53"/>
      <c r="BQ138" s="53"/>
      <c r="BR138" t="b" s="61">
        <v>0</v>
      </c>
      <c r="BS138" s="55" cm="1">
        <f t="array" ref="BS138">IF(M138&lt;=0.8*K138,5%*K138,M138*5%)</f>
        <v>3719800</v>
      </c>
      <c r="BT138" t="s" s="58">
        <v>156</v>
      </c>
      <c r="BU138" s="53"/>
      <c r="BV138" s="55" cm="1">
        <f t="array" ref="BV138">J138-M138</f>
        <v>604000</v>
      </c>
    </row>
    <row r="139" ht="84.25" customHeight="1">
      <c r="A139" s="49"/>
      <c r="B139" s="50">
        <v>4915660</v>
      </c>
      <c r="C139" t="s" s="51">
        <v>1318</v>
      </c>
      <c r="D139" t="s" s="65">
        <v>1</v>
      </c>
      <c r="E139" t="s" s="70">
        <v>1319</v>
      </c>
      <c r="F139" t="s" s="70">
        <v>1320</v>
      </c>
      <c r="G139" s="66"/>
      <c r="H139" s="66"/>
      <c r="I139" s="66"/>
      <c r="J139" s="68">
        <v>17511782000</v>
      </c>
      <c r="K139" s="68">
        <v>17511580000</v>
      </c>
      <c r="L139" s="57">
        <v>17453072480.45</v>
      </c>
      <c r="M139" s="68">
        <v>17453072000</v>
      </c>
      <c r="N139" t="s" s="70">
        <v>1321</v>
      </c>
      <c r="O139" t="s" s="71">
        <v>1322</v>
      </c>
      <c r="P139" t="s" s="70">
        <v>4</v>
      </c>
      <c r="Q139" t="s" s="70">
        <v>1323</v>
      </c>
      <c r="R139" t="s" s="70">
        <v>1324</v>
      </c>
      <c r="S139" t="s" s="70">
        <v>249</v>
      </c>
      <c r="T139" s="72">
        <v>41746</v>
      </c>
      <c r="U139" t="s" s="70">
        <v>1325</v>
      </c>
      <c r="V139" t="s" s="70">
        <v>1326</v>
      </c>
      <c r="W139" t="s" s="70">
        <v>1327</v>
      </c>
      <c r="X139" s="73">
        <v>169</v>
      </c>
      <c r="Y139" t="s" s="70">
        <v>10</v>
      </c>
      <c r="Z139" s="68" cm="1">
        <f t="array" ref="Z139">M139</f>
        <v>17453072000</v>
      </c>
      <c r="AA139" t="s" s="70">
        <v>1328</v>
      </c>
      <c r="AB139" s="72">
        <v>45466</v>
      </c>
      <c r="AC139" s="73">
        <v>360</v>
      </c>
      <c r="AD139" t="s" s="70">
        <v>109</v>
      </c>
      <c r="AE139" t="s" s="70">
        <v>110</v>
      </c>
      <c r="AF139" t="s" s="70">
        <v>111</v>
      </c>
      <c r="AG139" s="72">
        <v>45462.375</v>
      </c>
      <c r="AH139" s="72">
        <v>45467.500694444447</v>
      </c>
      <c r="AI139" s="72">
        <v>45468.333333333336</v>
      </c>
      <c r="AJ139" s="72">
        <v>45474.333333333336</v>
      </c>
      <c r="AK139" s="72">
        <v>45485</v>
      </c>
      <c r="AL139" s="72">
        <v>45488</v>
      </c>
      <c r="AM139" s="72">
        <v>45488</v>
      </c>
      <c r="AN139" t="s" s="70">
        <v>1329</v>
      </c>
      <c r="AO139" s="72">
        <v>45475</v>
      </c>
      <c r="AP139" t="s" s="70">
        <v>1330</v>
      </c>
      <c r="AQ139" s="72" cm="1">
        <f t="array" ref="AQ139">AJ139</f>
        <v>45474.333333333336</v>
      </c>
      <c r="AR139" t="s" s="70">
        <v>1331</v>
      </c>
      <c r="AS139" s="72" cm="1">
        <f t="array" ref="AS139">AJ139</f>
        <v>45474.333333333336</v>
      </c>
      <c r="AT139" t="s" s="78">
        <v>1332</v>
      </c>
      <c r="AU139" s="72">
        <v>45474</v>
      </c>
      <c r="AV139" s="66"/>
      <c r="AW139" t="str" s="74" cm="1">
        <f t="array" ref="AW139">"600/"&amp;$B139&amp;"/"&amp;IF(AND($AE139="Konsultansi",M139&lt;=100000000),"SPK",IF(AND($AE139="Konsultansi",M139&gt;100000000),"Kont",IF(AND($AE139&lt;&gt;"Konsultansi",M139&lt;=200000000),"SPK","Kont")))&amp;"-"&amp;AE139&amp;"/PPK/DPUPR"</f>
        <v>600/4915660/Kont-Konstruksi/PPK/DPUPR</v>
      </c>
      <c r="AX139" t="str" s="74" cm="1">
        <f t="array" ref="AX139">"600/"&amp;$B139&amp;"/SPMK/PPK/DPUPR"</f>
        <v>600/4915660/SPMK/PPK/DPUPR</v>
      </c>
      <c r="AY139" s="66"/>
      <c r="AZ139" s="66"/>
      <c r="BA139" s="66"/>
      <c r="BB139" s="66"/>
      <c r="BC139" s="66"/>
      <c r="BD139" s="66"/>
      <c r="BE139" s="66"/>
      <c r="BF139" s="66"/>
      <c r="BG139" s="75">
        <v>93</v>
      </c>
      <c r="BH139" t="s" s="70">
        <v>1321</v>
      </c>
      <c r="BI139" t="s" s="70">
        <v>21</v>
      </c>
      <c r="BJ139" t="s" s="70">
        <v>22</v>
      </c>
      <c r="BK139" t="s" s="70">
        <v>23</v>
      </c>
      <c r="BL139" t="s" s="70">
        <v>24</v>
      </c>
      <c r="BM139" s="66"/>
      <c r="BN139" s="66"/>
      <c r="BO139" s="66"/>
      <c r="BP139" s="66"/>
      <c r="BQ139" s="66"/>
      <c r="BR139" t="b" s="73">
        <v>0</v>
      </c>
      <c r="BS139" s="68" cm="1">
        <f t="array" ref="BS139">IF(M139&lt;=0.8*K139,5%*K139,M139*5%)</f>
        <v>872653600</v>
      </c>
      <c r="BT139" t="s" s="70">
        <v>25</v>
      </c>
      <c r="BU139" s="66"/>
      <c r="BV139" s="68" cm="1">
        <f t="array" ref="BV139">J139-M139</f>
        <v>58710000</v>
      </c>
    </row>
    <row r="140" ht="36.25" customHeight="1">
      <c r="A140" s="49"/>
      <c r="B140" s="50">
        <v>6772660</v>
      </c>
      <c r="C140" t="s" s="51">
        <v>1335</v>
      </c>
      <c r="D140" t="s" s="52">
        <v>1</v>
      </c>
      <c r="E140" t="str" s="53" cm="1">
        <f t="array" ref="E140">$C140</f>
        <v>Pengawasan Peningkatan Jalan Hotmix Bulumario - Patika - Saptanajaya</v>
      </c>
      <c r="F140" s="54"/>
      <c r="G140" s="53"/>
      <c r="H140" s="53"/>
      <c r="I140" s="53"/>
      <c r="J140" s="55">
        <v>80000000</v>
      </c>
      <c r="K140" s="55">
        <v>79978000</v>
      </c>
      <c r="L140" s="57">
        <v>79976000</v>
      </c>
      <c r="M140" s="55">
        <v>79976000</v>
      </c>
      <c r="N140" t="s" s="58">
        <v>1336</v>
      </c>
      <c r="O140" t="s" s="59">
        <v>1337</v>
      </c>
      <c r="P140" t="s" s="58">
        <v>4</v>
      </c>
      <c r="Q140" t="s" s="58">
        <v>1338</v>
      </c>
      <c r="R140" t="s" s="58">
        <v>1339</v>
      </c>
      <c r="S140" t="s" s="58">
        <v>280</v>
      </c>
      <c r="T140" s="60">
        <v>40187</v>
      </c>
      <c r="U140" t="s" s="58">
        <v>1340</v>
      </c>
      <c r="V140" t="s" s="58">
        <v>1341</v>
      </c>
      <c r="W140" t="s" s="58">
        <v>1342</v>
      </c>
      <c r="X140" s="61" cm="1">
        <f t="array" ref="X140">(30*5)-24</f>
        <v>126</v>
      </c>
      <c r="Y140" t="s" s="58">
        <v>10</v>
      </c>
      <c r="Z140" s="55" cm="1">
        <f t="array" ref="Z140">M140</f>
        <v>79976000</v>
      </c>
      <c r="AA140" t="s" s="58">
        <v>11</v>
      </c>
      <c r="AB140" s="60" cm="1">
        <f t="array" ref="AB140">AH140</f>
        <v>45531.417361111111</v>
      </c>
      <c r="AC140" s="53"/>
      <c r="AD140" t="s" s="58">
        <v>12</v>
      </c>
      <c r="AE140" t="s" s="58">
        <v>13</v>
      </c>
      <c r="AF140" t="s" s="58">
        <v>111</v>
      </c>
      <c r="AG140" s="60">
        <v>45530.493055555555</v>
      </c>
      <c r="AH140" s="60">
        <v>45531.417361111111</v>
      </c>
      <c r="AI140" s="60">
        <v>45531.427777777775</v>
      </c>
      <c r="AJ140" s="60">
        <v>45531.500694444447</v>
      </c>
      <c r="AK140" s="60">
        <v>45531.584027777775</v>
      </c>
      <c r="AL140" s="60">
        <v>45531.584027777775</v>
      </c>
      <c r="AM140" s="60">
        <v>45531.584027777775</v>
      </c>
      <c r="AN140" t="s" s="58">
        <v>1343</v>
      </c>
      <c r="AO140" s="60" cm="1">
        <f t="array" ref="AO140">AJ140</f>
        <v>45531.500694444447</v>
      </c>
      <c r="AP140" t="s" s="58">
        <v>1344</v>
      </c>
      <c r="AQ140" s="60" cm="1">
        <f t="array" ref="AQ140">AJ140</f>
        <v>45531.500694444447</v>
      </c>
      <c r="AR140" t="s" s="58">
        <v>1345</v>
      </c>
      <c r="AS140" s="60" cm="1">
        <f t="array" ref="AS140">AJ140</f>
        <v>45531.500694444447</v>
      </c>
      <c r="AT140" t="s" s="78">
        <v>1346</v>
      </c>
      <c r="AU140" s="60" cm="1">
        <f t="array" ref="AU140">AJ140</f>
        <v>45531.500694444447</v>
      </c>
      <c r="AV140" s="53"/>
      <c r="AW140" t="str" s="63" cm="1">
        <f t="array" ref="AW140">"600/"&amp;$B140&amp;"/"&amp;IF(AND($AE140="Konsultansi",M140&lt;=100000000),"SPK",IF(AND($AE140="Konsultansi",M140&gt;100000000),"Kont",IF(AND($AE140&lt;&gt;"Konsultansi",M140&lt;=200000000),"SPK","Kont")))&amp;"-"&amp;AE140&amp;"/PPK/DPUPR"</f>
        <v>600/6772660/SPK-Konsultansi/PPK/DPUPR</v>
      </c>
      <c r="AX140" t="str" s="63" cm="1">
        <f t="array" ref="AX140">"600/"&amp;$B140&amp;"/SPMK/PPK/DPUPR"</f>
        <v>600/6772660/SPMK/PPK/DPUPR</v>
      </c>
      <c r="AY140" s="53"/>
      <c r="AZ140" s="53"/>
      <c r="BA140" s="53"/>
      <c r="BB140" s="53"/>
      <c r="BC140" s="53"/>
      <c r="BD140" s="53"/>
      <c r="BE140" s="53"/>
      <c r="BF140" s="53"/>
      <c r="BG140" s="64">
        <v>163</v>
      </c>
      <c r="BH140" t="s" s="58">
        <v>1336</v>
      </c>
      <c r="BI140" t="s" s="58">
        <v>21</v>
      </c>
      <c r="BJ140" t="s" s="58">
        <v>22</v>
      </c>
      <c r="BK140" t="s" s="58">
        <v>23</v>
      </c>
      <c r="BL140" t="s" s="58">
        <v>24</v>
      </c>
      <c r="BM140" s="53"/>
      <c r="BN140" s="53"/>
      <c r="BO140" s="53"/>
      <c r="BP140" s="53"/>
      <c r="BQ140" s="53"/>
      <c r="BR140" t="b" s="61">
        <v>0</v>
      </c>
      <c r="BS140" s="55" cm="1">
        <f t="array" ref="BS140">IF(M140&lt;=0.8*K140,5%*K140,M140*5%)</f>
        <v>3998800</v>
      </c>
      <c r="BT140" t="s" s="58">
        <v>25</v>
      </c>
      <c r="BU140" s="53"/>
      <c r="BV140" s="55" cm="1">
        <f t="array" ref="BV140">J140-M140</f>
        <v>24000</v>
      </c>
    </row>
    <row r="141" ht="36.25" customHeight="1">
      <c r="A141" s="49"/>
      <c r="B141" s="50">
        <v>6771660</v>
      </c>
      <c r="C141" t="s" s="51">
        <v>1349</v>
      </c>
      <c r="D141" t="s" s="65">
        <v>1</v>
      </c>
      <c r="E141" t="str" s="66" cm="1">
        <f t="array" ref="E141">$C141</f>
        <v>Pengawasan Peningkatan Jalan Hotmix dalam Kota Pasangkayu cs</v>
      </c>
      <c r="F141" s="67"/>
      <c r="G141" s="66"/>
      <c r="H141" s="66"/>
      <c r="I141" s="66"/>
      <c r="J141" s="68">
        <v>80000000</v>
      </c>
      <c r="K141" s="68">
        <v>79978000</v>
      </c>
      <c r="L141" s="57">
        <v>79975000</v>
      </c>
      <c r="M141" s="68">
        <v>79975000</v>
      </c>
      <c r="N141" t="s" s="70">
        <v>210</v>
      </c>
      <c r="O141" t="s" s="71">
        <v>211</v>
      </c>
      <c r="P141" t="s" s="70">
        <v>4</v>
      </c>
      <c r="Q141" t="s" s="70">
        <v>212</v>
      </c>
      <c r="R141" t="s" s="70">
        <v>213</v>
      </c>
      <c r="S141" t="s" s="70">
        <v>214</v>
      </c>
      <c r="T141" t="s" s="70">
        <v>215</v>
      </c>
      <c r="U141" t="s" s="70">
        <v>216</v>
      </c>
      <c r="V141" t="s" s="70">
        <v>217</v>
      </c>
      <c r="W141" t="s" s="70">
        <v>117</v>
      </c>
      <c r="X141" s="73" cm="1">
        <f t="array" ref="X141">(30*5)-24</f>
        <v>126</v>
      </c>
      <c r="Y141" t="s" s="70">
        <v>10</v>
      </c>
      <c r="Z141" s="68" cm="1">
        <f t="array" ref="Z141">M141</f>
        <v>79975000</v>
      </c>
      <c r="AA141" t="s" s="70">
        <v>11</v>
      </c>
      <c r="AB141" s="72" cm="1">
        <f t="array" ref="AB141">AH141</f>
        <v>45531.417361111111</v>
      </c>
      <c r="AC141" s="66"/>
      <c r="AD141" t="s" s="70">
        <v>12</v>
      </c>
      <c r="AE141" t="s" s="70">
        <v>13</v>
      </c>
      <c r="AF141" t="s" s="70">
        <v>111</v>
      </c>
      <c r="AG141" s="72">
        <v>45530.493055555555</v>
      </c>
      <c r="AH141" s="72">
        <v>45531.417361111111</v>
      </c>
      <c r="AI141" s="72">
        <v>45531.427777777775</v>
      </c>
      <c r="AJ141" s="72">
        <v>45531.500694444447</v>
      </c>
      <c r="AK141" s="72">
        <v>45531.584027777775</v>
      </c>
      <c r="AL141" s="72">
        <v>45531.584027777775</v>
      </c>
      <c r="AM141" s="72">
        <v>45531.584027777775</v>
      </c>
      <c r="AN141" t="s" s="70">
        <v>1350</v>
      </c>
      <c r="AO141" s="72" cm="1">
        <f t="array" ref="AO141">AJ141</f>
        <v>45531.500694444447</v>
      </c>
      <c r="AP141" t="s" s="70">
        <v>1351</v>
      </c>
      <c r="AQ141" s="72" cm="1">
        <f t="array" ref="AQ141">AJ141</f>
        <v>45531.500694444447</v>
      </c>
      <c r="AR141" t="s" s="70">
        <v>1352</v>
      </c>
      <c r="AS141" s="72" cm="1">
        <f t="array" ref="AS141">AJ141</f>
        <v>45531.500694444447</v>
      </c>
      <c r="AT141" t="s" s="78">
        <v>1353</v>
      </c>
      <c r="AU141" s="72" cm="1">
        <f t="array" ref="AU141">AJ141</f>
        <v>45531.500694444447</v>
      </c>
      <c r="AV141" s="66"/>
      <c r="AW141" t="str" s="74" cm="1">
        <f t="array" ref="AW141">"600/"&amp;$B141&amp;"/"&amp;IF(AND($AE141="Konsultansi",M141&lt;=100000000),"SPK",IF(AND($AE141="Konsultansi",M141&gt;100000000),"Kont",IF(AND($AE141&lt;&gt;"Konsultansi",M141&lt;=200000000),"SPK","Kont")))&amp;"-"&amp;AE141&amp;"/PPK/DPUPR"</f>
        <v>600/6771660/SPK-Konsultansi/PPK/DPUPR</v>
      </c>
      <c r="AX141" t="str" s="74" cm="1">
        <f t="array" ref="AX141">"600/"&amp;$B141&amp;"/SPMK/PPK/DPUPR"</f>
        <v>600/6771660/SPMK/PPK/DPUPR</v>
      </c>
      <c r="AY141" s="66"/>
      <c r="AZ141" s="66"/>
      <c r="BA141" s="66"/>
      <c r="BB141" s="66"/>
      <c r="BC141" s="66"/>
      <c r="BD141" s="66"/>
      <c r="BE141" s="66"/>
      <c r="BF141" s="66"/>
      <c r="BG141" s="75">
        <v>162</v>
      </c>
      <c r="BH141" t="s" s="70">
        <v>210</v>
      </c>
      <c r="BI141" t="s" s="70">
        <v>21</v>
      </c>
      <c r="BJ141" t="s" s="70">
        <v>22</v>
      </c>
      <c r="BK141" t="s" s="70">
        <v>23</v>
      </c>
      <c r="BL141" t="s" s="70">
        <v>24</v>
      </c>
      <c r="BM141" s="66"/>
      <c r="BN141" s="66"/>
      <c r="BO141" s="66"/>
      <c r="BP141" s="66"/>
      <c r="BQ141" s="66"/>
      <c r="BR141" t="b" s="73">
        <v>0</v>
      </c>
      <c r="BS141" s="68" cm="1">
        <f t="array" ref="BS141">IF(M141&lt;=0.8*K141,5%*K141,M141*5%)</f>
        <v>3998750</v>
      </c>
      <c r="BT141" t="s" s="70">
        <v>25</v>
      </c>
      <c r="BU141" s="66"/>
      <c r="BV141" s="68" cm="1">
        <f t="array" ref="BV141">J141-M141</f>
        <v>25000</v>
      </c>
    </row>
    <row r="142" ht="36.25" customHeight="1">
      <c r="A142" s="49"/>
      <c r="B142" s="50">
        <v>6770660</v>
      </c>
      <c r="C142" t="s" s="51">
        <v>1356</v>
      </c>
      <c r="D142" t="s" s="52">
        <v>1</v>
      </c>
      <c r="E142" t="str" s="53" cm="1">
        <f t="array" ref="E142">$C142</f>
        <v>Pengawasan Peningkatan Jalan Hotmix Jono Muara Tikke</v>
      </c>
      <c r="F142" s="54"/>
      <c r="G142" s="53"/>
      <c r="H142" s="53"/>
      <c r="I142" s="53"/>
      <c r="J142" s="55">
        <v>65000000</v>
      </c>
      <c r="K142" s="55">
        <v>64957000</v>
      </c>
      <c r="L142" s="57">
        <v>64957000</v>
      </c>
      <c r="M142" s="55">
        <v>64957000</v>
      </c>
      <c r="N142" t="s" s="58">
        <v>1336</v>
      </c>
      <c r="O142" t="s" s="59">
        <v>1337</v>
      </c>
      <c r="P142" t="s" s="58">
        <v>4</v>
      </c>
      <c r="Q142" t="s" s="58">
        <v>1338</v>
      </c>
      <c r="R142" t="s" s="58">
        <v>1339</v>
      </c>
      <c r="S142" t="s" s="58">
        <v>280</v>
      </c>
      <c r="T142" s="60">
        <v>40187</v>
      </c>
      <c r="U142" t="s" s="58">
        <v>1340</v>
      </c>
      <c r="V142" t="s" s="58">
        <v>1341</v>
      </c>
      <c r="W142" t="s" s="58">
        <v>1342</v>
      </c>
      <c r="X142" s="61" cm="1">
        <f t="array" ref="X142">(30*5)-24</f>
        <v>126</v>
      </c>
      <c r="Y142" t="s" s="58">
        <v>10</v>
      </c>
      <c r="Z142" s="55" cm="1">
        <f t="array" ref="Z142">M142</f>
        <v>64957000</v>
      </c>
      <c r="AA142" t="s" s="58">
        <v>11</v>
      </c>
      <c r="AB142" s="60" cm="1">
        <f t="array" ref="AB142">AH142</f>
        <v>45531.417361111111</v>
      </c>
      <c r="AC142" s="53"/>
      <c r="AD142" t="s" s="58">
        <v>12</v>
      </c>
      <c r="AE142" t="s" s="58">
        <v>13</v>
      </c>
      <c r="AF142" t="s" s="58">
        <v>111</v>
      </c>
      <c r="AG142" s="60">
        <v>45530.493055555555</v>
      </c>
      <c r="AH142" s="60">
        <v>45531.417361111111</v>
      </c>
      <c r="AI142" s="60">
        <v>45531.427777777775</v>
      </c>
      <c r="AJ142" s="60">
        <v>45531.500694444447</v>
      </c>
      <c r="AK142" s="60">
        <v>45531.584027777775</v>
      </c>
      <c r="AL142" s="60">
        <v>45531.584027777775</v>
      </c>
      <c r="AM142" s="60">
        <v>45531.584027777775</v>
      </c>
      <c r="AN142" t="s" s="58">
        <v>1357</v>
      </c>
      <c r="AO142" s="60" cm="1">
        <f t="array" ref="AO142">AJ142</f>
        <v>45531.500694444447</v>
      </c>
      <c r="AP142" t="s" s="58">
        <v>1358</v>
      </c>
      <c r="AQ142" s="60" cm="1">
        <f t="array" ref="AQ142">AJ142</f>
        <v>45531.500694444447</v>
      </c>
      <c r="AR142" t="s" s="58">
        <v>1359</v>
      </c>
      <c r="AS142" s="60" cm="1">
        <f t="array" ref="AS142">AJ142</f>
        <v>45531.500694444447</v>
      </c>
      <c r="AT142" t="s" s="78">
        <v>1360</v>
      </c>
      <c r="AU142" s="60" cm="1">
        <f t="array" ref="AU142">AJ142</f>
        <v>45531.500694444447</v>
      </c>
      <c r="AV142" s="53"/>
      <c r="AW142" t="str" s="63" cm="1">
        <f t="array" ref="AW142">"600/"&amp;$B142&amp;"/"&amp;IF(AND($AE142="Konsultansi",M142&lt;=100000000),"SPK",IF(AND($AE142="Konsultansi",M142&gt;100000000),"Kont",IF(AND($AE142&lt;&gt;"Konsultansi",M142&lt;=200000000),"SPK","Kont")))&amp;"-"&amp;AE142&amp;"/PPK/DPUPR"</f>
        <v>600/6770660/SPK-Konsultansi/PPK/DPUPR</v>
      </c>
      <c r="AX142" t="str" s="63" cm="1">
        <f t="array" ref="AX142">"600/"&amp;$B142&amp;"/SPMK/PPK/DPUPR"</f>
        <v>600/6770660/SPMK/PPK/DPUPR</v>
      </c>
      <c r="AY142" s="53"/>
      <c r="AZ142" s="53"/>
      <c r="BA142" s="53"/>
      <c r="BB142" s="53"/>
      <c r="BC142" s="53"/>
      <c r="BD142" s="53"/>
      <c r="BE142" s="53"/>
      <c r="BF142" s="53"/>
      <c r="BG142" s="64">
        <v>163</v>
      </c>
      <c r="BH142" t="s" s="58">
        <v>1336</v>
      </c>
      <c r="BI142" t="s" s="58">
        <v>21</v>
      </c>
      <c r="BJ142" t="s" s="58">
        <v>22</v>
      </c>
      <c r="BK142" t="s" s="58">
        <v>23</v>
      </c>
      <c r="BL142" t="s" s="58">
        <v>24</v>
      </c>
      <c r="BM142" s="53"/>
      <c r="BN142" s="53"/>
      <c r="BO142" s="53"/>
      <c r="BP142" s="53"/>
      <c r="BQ142" s="53"/>
      <c r="BR142" t="b" s="61">
        <v>0</v>
      </c>
      <c r="BS142" s="55" cm="1">
        <f t="array" ref="BS142">IF(M142&lt;=0.8*K142,5%*K142,M142*5%)</f>
        <v>3247850</v>
      </c>
      <c r="BT142" t="s" s="58">
        <v>25</v>
      </c>
      <c r="BU142" s="53"/>
      <c r="BV142" s="55" cm="1">
        <f t="array" ref="BV142">J142-M142</f>
        <v>43000</v>
      </c>
    </row>
    <row r="143" ht="36.25" customHeight="1">
      <c r="A143" s="49"/>
      <c r="B143" s="50">
        <v>6773661</v>
      </c>
      <c r="C143" t="s" s="51">
        <v>1363</v>
      </c>
      <c r="D143" t="s" s="65">
        <v>1</v>
      </c>
      <c r="E143" t="str" s="66" cm="1">
        <f t="array" ref="E143">$C143</f>
        <v>Pengawasan Peningkatan Jalan Hotmix Wulai cs</v>
      </c>
      <c r="F143" s="67"/>
      <c r="G143" s="66"/>
      <c r="H143" s="66"/>
      <c r="I143" s="66"/>
      <c r="J143" s="68">
        <v>56000000</v>
      </c>
      <c r="K143" s="68">
        <v>55998000</v>
      </c>
      <c r="L143" s="57">
        <v>55931472</v>
      </c>
      <c r="M143" s="68">
        <v>55931000</v>
      </c>
      <c r="N143" t="s" s="70">
        <v>261</v>
      </c>
      <c r="O143" t="s" s="71">
        <v>262</v>
      </c>
      <c r="P143" t="s" s="70">
        <v>4</v>
      </c>
      <c r="Q143" t="s" s="70">
        <v>263</v>
      </c>
      <c r="R143" t="s" s="70">
        <v>264</v>
      </c>
      <c r="S143" s="73">
        <v>53</v>
      </c>
      <c r="T143" s="72">
        <v>41288</v>
      </c>
      <c r="U143" t="s" s="70">
        <v>265</v>
      </c>
      <c r="V143" t="s" s="70">
        <v>266</v>
      </c>
      <c r="W143" t="s" s="70">
        <v>267</v>
      </c>
      <c r="X143" s="73" cm="1">
        <f t="array" ref="X143">(30*5)-24</f>
        <v>126</v>
      </c>
      <c r="Y143" t="s" s="70">
        <v>10</v>
      </c>
      <c r="Z143" s="68" cm="1">
        <f t="array" ref="Z143">M143</f>
        <v>55931000</v>
      </c>
      <c r="AA143" t="s" s="70">
        <v>11</v>
      </c>
      <c r="AB143" s="72" cm="1">
        <f t="array" ref="AB143">AH143</f>
        <v>45531.417361111111</v>
      </c>
      <c r="AC143" s="66"/>
      <c r="AD143" t="s" s="70">
        <v>12</v>
      </c>
      <c r="AE143" t="s" s="70">
        <v>13</v>
      </c>
      <c r="AF143" t="s" s="70">
        <v>111</v>
      </c>
      <c r="AG143" s="72">
        <v>45530.493055555555</v>
      </c>
      <c r="AH143" s="72">
        <v>45531.417361111111</v>
      </c>
      <c r="AI143" s="72">
        <v>45531.427777777775</v>
      </c>
      <c r="AJ143" s="72">
        <v>45531.500694444447</v>
      </c>
      <c r="AK143" s="72">
        <v>45531.584027777775</v>
      </c>
      <c r="AL143" s="72">
        <v>45531.584027777775</v>
      </c>
      <c r="AM143" s="72">
        <v>45531.584027777775</v>
      </c>
      <c r="AN143" t="s" s="70">
        <v>1364</v>
      </c>
      <c r="AO143" s="72" cm="1">
        <f t="array" ref="AO143">AJ143</f>
        <v>45531.500694444447</v>
      </c>
      <c r="AP143" t="s" s="70">
        <v>1365</v>
      </c>
      <c r="AQ143" s="72" cm="1">
        <f t="array" ref="AQ143">AJ143</f>
        <v>45531.500694444447</v>
      </c>
      <c r="AR143" t="s" s="70">
        <v>1366</v>
      </c>
      <c r="AS143" s="72" cm="1">
        <f t="array" ref="AS143">AJ143</f>
        <v>45531.500694444447</v>
      </c>
      <c r="AT143" t="s" s="78">
        <v>1367</v>
      </c>
      <c r="AU143" s="72" cm="1">
        <f t="array" ref="AU143">AJ143</f>
        <v>45531.500694444447</v>
      </c>
      <c r="AV143" s="66"/>
      <c r="AW143" t="str" s="74" cm="1">
        <f t="array" ref="AW143">"600/"&amp;$B143&amp;"/"&amp;IF(AND($AE143="Konsultansi",M143&lt;=100000000),"SPK",IF(AND($AE143="Konsultansi",M143&gt;100000000),"Kont",IF(AND($AE143&lt;&gt;"Konsultansi",M143&lt;=200000000),"SPK","Kont")))&amp;"-"&amp;AE143&amp;"/PPK/DPUPR"</f>
        <v>600/6773661/SPK-Konsultansi/PPK/DPUPR</v>
      </c>
      <c r="AX143" t="str" s="74" cm="1">
        <f t="array" ref="AX143">"600/"&amp;$B143&amp;"/SPMK/PPK/DPUPR"</f>
        <v>600/6773661/SPMK/PPK/DPUPR</v>
      </c>
      <c r="AY143" s="66"/>
      <c r="AZ143" s="66"/>
      <c r="BA143" s="66"/>
      <c r="BB143" s="66"/>
      <c r="BC143" s="66"/>
      <c r="BD143" s="66"/>
      <c r="BE143" s="66"/>
      <c r="BF143" s="66"/>
      <c r="BG143" s="75">
        <v>1</v>
      </c>
      <c r="BH143" t="s" s="70">
        <v>261</v>
      </c>
      <c r="BI143" t="s" s="70">
        <v>21</v>
      </c>
      <c r="BJ143" t="s" s="70">
        <v>22</v>
      </c>
      <c r="BK143" t="s" s="70">
        <v>23</v>
      </c>
      <c r="BL143" t="s" s="70">
        <v>24</v>
      </c>
      <c r="BM143" s="66"/>
      <c r="BN143" s="66"/>
      <c r="BO143" s="66"/>
      <c r="BP143" s="66"/>
      <c r="BQ143" s="66"/>
      <c r="BR143" t="b" s="73">
        <v>0</v>
      </c>
      <c r="BS143" s="68" cm="1">
        <f t="array" ref="BS143">IF(M143&lt;=0.8*K143,5%*K143,M143*5%)</f>
        <v>2796550</v>
      </c>
      <c r="BT143" t="s" s="70">
        <v>25</v>
      </c>
      <c r="BU143" s="66"/>
      <c r="BV143" s="68" cm="1">
        <f t="array" ref="BV143">J143-M143</f>
        <v>69000</v>
      </c>
    </row>
    <row r="144" ht="44.25" customHeight="1">
      <c r="A144" s="49"/>
      <c r="B144" s="50">
        <v>4925660</v>
      </c>
      <c r="C144" t="s" s="51">
        <v>1370</v>
      </c>
      <c r="D144" t="s" s="52">
        <v>588</v>
      </c>
      <c r="E144" t="str" s="53" cm="1">
        <f t="array" ref="E144">$C144</f>
        <v>Pengembangan Jaringan Distribusi dan Sambungan Rumah Desa Polewali Kec. Bambalamotu (DAK)</v>
      </c>
      <c r="F144" s="54"/>
      <c r="G144" s="53"/>
      <c r="H144" s="53"/>
      <c r="I144" s="53"/>
      <c r="J144" s="55">
        <v>1366600000</v>
      </c>
      <c r="K144" s="55">
        <v>1366181926</v>
      </c>
      <c r="L144" s="57">
        <v>1296086312.53</v>
      </c>
      <c r="M144" s="55">
        <v>1296086000</v>
      </c>
      <c r="N144" t="s" s="58">
        <v>1099</v>
      </c>
      <c r="O144" t="s" s="59">
        <v>1100</v>
      </c>
      <c r="P144" t="s" s="58">
        <v>4</v>
      </c>
      <c r="Q144" t="s" s="58">
        <v>1101</v>
      </c>
      <c r="R144" t="s" s="58">
        <v>279</v>
      </c>
      <c r="S144" t="s" s="58">
        <v>1102</v>
      </c>
      <c r="T144" s="60">
        <v>44987</v>
      </c>
      <c r="U144" t="s" s="58">
        <v>977</v>
      </c>
      <c r="V144" t="s" s="58">
        <v>1103</v>
      </c>
      <c r="W144" t="s" s="58">
        <v>1104</v>
      </c>
      <c r="X144" s="61">
        <v>168</v>
      </c>
      <c r="Y144" t="s" s="58">
        <v>107</v>
      </c>
      <c r="Z144" s="55" cm="1">
        <f t="array" ref="Z144">M144</f>
        <v>1296086000</v>
      </c>
      <c r="AA144" t="s" s="58">
        <v>1371</v>
      </c>
      <c r="AB144" s="60">
        <v>45474</v>
      </c>
      <c r="AC144" s="61">
        <v>360</v>
      </c>
      <c r="AD144" t="s" s="58">
        <v>109</v>
      </c>
      <c r="AE144" t="s" s="58">
        <v>110</v>
      </c>
      <c r="AF144" t="s" s="58">
        <v>589</v>
      </c>
      <c r="AG144" s="60"/>
      <c r="AH144" s="60"/>
      <c r="AI144" s="60"/>
      <c r="AJ144" s="60"/>
      <c r="AK144" s="60">
        <v>45490</v>
      </c>
      <c r="AL144" s="60">
        <v>45490</v>
      </c>
      <c r="AM144" s="60">
        <v>45490</v>
      </c>
      <c r="AN144" t="s" s="58">
        <v>1372</v>
      </c>
      <c r="AO144" s="60">
        <v>45484</v>
      </c>
      <c r="AP144" t="s" s="58">
        <v>1373</v>
      </c>
      <c r="AQ144" s="53" cm="1">
        <f t="array" ref="AQ144">AJ144</f>
      </c>
      <c r="AR144" t="s" s="58">
        <v>1374</v>
      </c>
      <c r="AS144" s="53" cm="1">
        <f t="array" ref="AS144">AJ144</f>
      </c>
      <c r="AT144" t="s" s="78">
        <v>1375</v>
      </c>
      <c r="AU144" s="53" cm="1">
        <f t="array" ref="AU144">AJ144</f>
      </c>
      <c r="AV144" s="53"/>
      <c r="AW144" t="str" s="63" cm="1">
        <f t="array" ref="AW144">"600/"&amp;$B144&amp;"/"&amp;IF(AND($AE144="Konsultansi",M144&lt;=100000000),"SPK",IF(AND($AE144="Konsultansi",M144&gt;100000000),"Kont",IF(AND($AE144&lt;&gt;"Konsultansi",M144&lt;=200000000),"SPK","Kont")))&amp;"-"&amp;AE144&amp;"/PPK/DPUPR"</f>
        <v>600/4925660/Kont-Konstruksi/PPK/DPUPR</v>
      </c>
      <c r="AX144" t="str" s="63" cm="1">
        <f t="array" ref="AX144">"600/"&amp;$B144&amp;"/SPMK/PPK/DPUPR"</f>
        <v>600/4925660/SPMK/PPK/DPUPR</v>
      </c>
      <c r="AY144" s="53"/>
      <c r="AZ144" s="53"/>
      <c r="BA144" s="53"/>
      <c r="BB144" s="53"/>
      <c r="BC144" s="53"/>
      <c r="BD144" s="53"/>
      <c r="BE144" s="53"/>
      <c r="BF144" s="53"/>
      <c r="BG144" s="64">
        <v>18</v>
      </c>
      <c r="BH144" t="s" s="58">
        <v>1099</v>
      </c>
      <c r="BI144" t="s" s="58">
        <v>21</v>
      </c>
      <c r="BJ144" t="s" s="58">
        <v>22</v>
      </c>
      <c r="BK144" t="s" s="58">
        <v>23</v>
      </c>
      <c r="BL144" t="s" s="58">
        <v>24</v>
      </c>
      <c r="BM144" s="53"/>
      <c r="BN144" s="53"/>
      <c r="BO144" s="53"/>
      <c r="BP144" s="53"/>
      <c r="BQ144" s="53"/>
      <c r="BR144" t="b" s="61">
        <v>0</v>
      </c>
      <c r="BS144" s="55" cm="1">
        <f t="array" ref="BS144">IF(M144&lt;=0.8*K144,5%*K144,M144*5%)</f>
        <v>64804300</v>
      </c>
      <c r="BT144" t="s" s="58">
        <v>173</v>
      </c>
      <c r="BU144" s="53"/>
      <c r="BV144" s="55" cm="1">
        <f t="array" ref="BV144">J144-M144</f>
        <v>70514000</v>
      </c>
    </row>
    <row r="145" ht="44.25" customHeight="1">
      <c r="A145" s="49"/>
      <c r="B145" s="50">
        <v>4922660</v>
      </c>
      <c r="C145" t="s" s="51">
        <v>1378</v>
      </c>
      <c r="D145" t="s" s="65">
        <v>588</v>
      </c>
      <c r="E145" t="str" s="66" cm="1">
        <f t="array" ref="E145">$C145</f>
        <v>Pengembangan Jaringan Distribusi dan Sambungan Rumah Desa Sarude Kec. Sarjo (DAK)</v>
      </c>
      <c r="F145" s="67"/>
      <c r="G145" s="66"/>
      <c r="H145" s="66"/>
      <c r="I145" s="66"/>
      <c r="J145" s="68">
        <v>1619385000</v>
      </c>
      <c r="K145" s="68">
        <v>1618065564</v>
      </c>
      <c r="L145" s="57">
        <v>1546769931.72</v>
      </c>
      <c r="M145" s="68">
        <v>1546769000</v>
      </c>
      <c r="N145" t="s" s="70">
        <v>245</v>
      </c>
      <c r="O145" t="s" s="71">
        <v>246</v>
      </c>
      <c r="P145" t="s" s="70">
        <v>4</v>
      </c>
      <c r="Q145" t="s" s="70">
        <v>247</v>
      </c>
      <c r="R145" t="s" s="70">
        <v>248</v>
      </c>
      <c r="S145" t="s" s="70">
        <v>249</v>
      </c>
      <c r="T145" s="72">
        <v>44630</v>
      </c>
      <c r="U145" t="s" s="70">
        <v>250</v>
      </c>
      <c r="V145" t="s" s="70">
        <v>251</v>
      </c>
      <c r="W145" t="s" s="70">
        <v>243</v>
      </c>
      <c r="X145" s="73">
        <v>168</v>
      </c>
      <c r="Y145" t="s" s="70">
        <v>107</v>
      </c>
      <c r="Z145" s="68" cm="1">
        <f t="array" ref="Z145">M145</f>
        <v>1546769000</v>
      </c>
      <c r="AA145" t="s" s="70">
        <v>1379</v>
      </c>
      <c r="AB145" s="72">
        <v>45474</v>
      </c>
      <c r="AC145" s="73">
        <v>360</v>
      </c>
      <c r="AD145" t="s" s="70">
        <v>109</v>
      </c>
      <c r="AE145" t="s" s="70">
        <v>110</v>
      </c>
      <c r="AF145" t="s" s="70">
        <v>589</v>
      </c>
      <c r="AG145" s="72"/>
      <c r="AH145" s="72"/>
      <c r="AI145" s="72"/>
      <c r="AJ145" s="72"/>
      <c r="AK145" s="72">
        <v>45490</v>
      </c>
      <c r="AL145" s="72">
        <v>45490</v>
      </c>
      <c r="AM145" s="72">
        <v>45490</v>
      </c>
      <c r="AN145" t="s" s="70">
        <v>1380</v>
      </c>
      <c r="AO145" s="72">
        <v>45484</v>
      </c>
      <c r="AP145" t="s" s="70">
        <v>1381</v>
      </c>
      <c r="AQ145" s="66" cm="1">
        <f t="array" ref="AQ145">AJ145</f>
      </c>
      <c r="AR145" t="s" s="70">
        <v>1382</v>
      </c>
      <c r="AS145" s="66" cm="1">
        <f t="array" ref="AS145">AJ145</f>
      </c>
      <c r="AT145" t="s" s="78">
        <v>1383</v>
      </c>
      <c r="AU145" s="66" cm="1">
        <f t="array" ref="AU145">AJ145</f>
      </c>
      <c r="AV145" s="66"/>
      <c r="AW145" t="str" s="74" cm="1">
        <f t="array" ref="AW145">"600/"&amp;$B145&amp;"/"&amp;IF(AND($AE145="Konsultansi",M145&lt;=100000000),"SPK",IF(AND($AE145="Konsultansi",M145&gt;100000000),"Kont",IF(AND($AE145&lt;&gt;"Konsultansi",M145&lt;=200000000),"SPK","Kont")))&amp;"-"&amp;AE145&amp;"/PPK/DPUPR"</f>
        <v>600/4922660/Kont-Konstruksi/PPK/DPUPR</v>
      </c>
      <c r="AX145" t="str" s="74" cm="1">
        <f t="array" ref="AX145">"600/"&amp;$B145&amp;"/SPMK/PPK/DPUPR"</f>
        <v>600/4922660/SPMK/PPK/DPUPR</v>
      </c>
      <c r="AY145" s="66"/>
      <c r="AZ145" s="66"/>
      <c r="BA145" s="66"/>
      <c r="BB145" s="66"/>
      <c r="BC145" s="66"/>
      <c r="BD145" s="66"/>
      <c r="BE145" s="66"/>
      <c r="BF145" s="66"/>
      <c r="BG145" s="75">
        <v>20</v>
      </c>
      <c r="BH145" t="s" s="70">
        <v>245</v>
      </c>
      <c r="BI145" t="s" s="70">
        <v>21</v>
      </c>
      <c r="BJ145" t="s" s="70">
        <v>22</v>
      </c>
      <c r="BK145" t="s" s="70">
        <v>23</v>
      </c>
      <c r="BL145" t="s" s="70">
        <v>24</v>
      </c>
      <c r="BM145" s="66"/>
      <c r="BN145" s="66"/>
      <c r="BO145" s="66"/>
      <c r="BP145" s="66"/>
      <c r="BQ145" s="66"/>
      <c r="BR145" t="b" s="73">
        <v>0</v>
      </c>
      <c r="BS145" s="68" cm="1">
        <f t="array" ref="BS145">IF(M145&lt;=0.8*K145,5%*K145,M145*5%)</f>
        <v>77338450</v>
      </c>
      <c r="BT145" t="s" s="70">
        <v>173</v>
      </c>
      <c r="BU145" s="66"/>
      <c r="BV145" s="68" cm="1">
        <f t="array" ref="BV145">J145-M145</f>
        <v>72616000</v>
      </c>
    </row>
    <row r="146" ht="44.25" customHeight="1">
      <c r="A146" s="49"/>
      <c r="B146" s="50">
        <v>4921660</v>
      </c>
      <c r="C146" t="s" s="51">
        <v>1386</v>
      </c>
      <c r="D146" t="s" s="52">
        <v>588</v>
      </c>
      <c r="E146" t="str" s="53" cm="1">
        <f t="array" ref="E146">$C146</f>
        <v>Pengembangan Jaringan Distribusi dan Sambungan Rumah Desa Bambalamotu Kec. Bambalamotu (DAK)</v>
      </c>
      <c r="F146" s="54"/>
      <c r="G146" s="53"/>
      <c r="H146" s="53"/>
      <c r="I146" s="53"/>
      <c r="J146" s="55">
        <v>1352400000</v>
      </c>
      <c r="K146" s="55">
        <v>1352124653</v>
      </c>
      <c r="L146" s="57">
        <v>1284853878.83</v>
      </c>
      <c r="M146" s="77">
        <v>1284853878.83</v>
      </c>
      <c r="N146" t="s" s="58">
        <v>1099</v>
      </c>
      <c r="O146" t="s" s="59">
        <v>1100</v>
      </c>
      <c r="P146" t="s" s="58">
        <v>4</v>
      </c>
      <c r="Q146" t="s" s="58">
        <v>1101</v>
      </c>
      <c r="R146" t="s" s="58">
        <v>279</v>
      </c>
      <c r="S146" t="s" s="58">
        <v>1102</v>
      </c>
      <c r="T146" s="60">
        <v>44987</v>
      </c>
      <c r="U146" t="s" s="58">
        <v>977</v>
      </c>
      <c r="V146" t="s" s="58">
        <v>1103</v>
      </c>
      <c r="W146" t="s" s="58">
        <v>1104</v>
      </c>
      <c r="X146" s="61">
        <v>168</v>
      </c>
      <c r="Y146" t="s" s="58">
        <v>107</v>
      </c>
      <c r="Z146" s="77" cm="1">
        <f t="array" ref="Z146">M146</f>
        <v>1284853878.83</v>
      </c>
      <c r="AA146" t="s" s="58">
        <v>1387</v>
      </c>
      <c r="AB146" s="60">
        <v>45474</v>
      </c>
      <c r="AC146" s="61">
        <v>360</v>
      </c>
      <c r="AD146" t="s" s="58">
        <v>109</v>
      </c>
      <c r="AE146" t="s" s="58">
        <v>110</v>
      </c>
      <c r="AF146" t="s" s="58">
        <v>589</v>
      </c>
      <c r="AG146" s="60"/>
      <c r="AH146" s="60"/>
      <c r="AI146" s="60"/>
      <c r="AJ146" s="60"/>
      <c r="AK146" s="60">
        <v>45490</v>
      </c>
      <c r="AL146" s="60">
        <v>45490</v>
      </c>
      <c r="AM146" s="60">
        <v>45490</v>
      </c>
      <c r="AN146" t="s" s="58">
        <v>1388</v>
      </c>
      <c r="AO146" s="60">
        <v>45484</v>
      </c>
      <c r="AP146" t="s" s="58">
        <v>1389</v>
      </c>
      <c r="AQ146" s="53" cm="1">
        <f t="array" ref="AQ146">AJ146</f>
      </c>
      <c r="AR146" t="s" s="58">
        <v>1390</v>
      </c>
      <c r="AS146" s="53" cm="1">
        <f t="array" ref="AS146">AJ146</f>
      </c>
      <c r="AT146" t="s" s="78">
        <v>1391</v>
      </c>
      <c r="AU146" s="53" cm="1">
        <f t="array" ref="AU146">AJ146</f>
      </c>
      <c r="AV146" s="53"/>
      <c r="AW146" t="str" s="63" cm="1">
        <f t="array" ref="AW146">"600/"&amp;$B146&amp;"/"&amp;IF(AND($AE146="Konsultansi",M146&lt;=100000000),"SPK",IF(AND($AE146="Konsultansi",M146&gt;100000000),"Kont",IF(AND($AE146&lt;&gt;"Konsultansi",M146&lt;=200000000),"SPK","Kont")))&amp;"-"&amp;AE146&amp;"/PPK/DPUPR"</f>
        <v>600/4921660/Kont-Konstruksi/PPK/DPUPR</v>
      </c>
      <c r="AX146" t="str" s="63" cm="1">
        <f t="array" ref="AX146">"600/"&amp;$B146&amp;"/SPMK/PPK/DPUPR"</f>
        <v>600/4921660/SPMK/PPK/DPUPR</v>
      </c>
      <c r="AY146" s="53"/>
      <c r="AZ146" s="53"/>
      <c r="BA146" s="53"/>
      <c r="BB146" s="53"/>
      <c r="BC146" s="53"/>
      <c r="BD146" s="53"/>
      <c r="BE146" s="53"/>
      <c r="BF146" s="53"/>
      <c r="BG146" s="64">
        <v>18</v>
      </c>
      <c r="BH146" t="s" s="58">
        <v>1099</v>
      </c>
      <c r="BI146" t="s" s="58">
        <v>21</v>
      </c>
      <c r="BJ146" t="s" s="58">
        <v>22</v>
      </c>
      <c r="BK146" t="s" s="58">
        <v>23</v>
      </c>
      <c r="BL146" t="s" s="58">
        <v>24</v>
      </c>
      <c r="BM146" s="53"/>
      <c r="BN146" s="53"/>
      <c r="BO146" s="53"/>
      <c r="BP146" s="53"/>
      <c r="BQ146" s="53"/>
      <c r="BR146" t="b" s="61">
        <v>0</v>
      </c>
      <c r="BS146" s="109" cm="1">
        <f t="array" ref="BS146">IF(M146&lt;=0.8*K146,5%*K146,M146*5%)</f>
        <v>64242693.9415</v>
      </c>
      <c r="BT146" t="s" s="58">
        <v>173</v>
      </c>
      <c r="BU146" s="53"/>
      <c r="BV146" s="77" cm="1">
        <f t="array" ref="BV146">J146-M146</f>
        <v>67546121.17</v>
      </c>
    </row>
    <row r="147" ht="44.25" customHeight="1">
      <c r="A147" s="49"/>
      <c r="B147" s="50">
        <v>4923660</v>
      </c>
      <c r="C147" t="s" s="51">
        <v>1394</v>
      </c>
      <c r="D147" t="s" s="65">
        <v>588</v>
      </c>
      <c r="E147" t="str" s="66" cm="1">
        <f t="array" ref="E147">$C147</f>
        <v>Pengembangan Jaringan Distribusi dan Sambungan Rumah Desa Tampaure Kec. Bambaira (DAK)</v>
      </c>
      <c r="F147" s="67"/>
      <c r="G147" s="66"/>
      <c r="H147" s="66"/>
      <c r="I147" s="66"/>
      <c r="J147" s="68">
        <v>998400000</v>
      </c>
      <c r="K147" s="68">
        <v>998061823</v>
      </c>
      <c r="L147" s="57">
        <v>971333885.4</v>
      </c>
      <c r="M147" s="68">
        <v>971333000</v>
      </c>
      <c r="N147" t="s" s="70">
        <v>1395</v>
      </c>
      <c r="O147" t="s" s="71">
        <v>1396</v>
      </c>
      <c r="P147" t="s" s="70">
        <v>1397</v>
      </c>
      <c r="Q147" t="s" s="70">
        <v>1398</v>
      </c>
      <c r="R147" t="s" s="70">
        <v>1399</v>
      </c>
      <c r="S147" t="s" s="70">
        <v>280</v>
      </c>
      <c r="T147" s="72">
        <v>45049</v>
      </c>
      <c r="U147" t="s" s="70">
        <v>1400</v>
      </c>
      <c r="V147" t="s" s="70">
        <v>1401</v>
      </c>
      <c r="W147" t="s" s="70">
        <v>1402</v>
      </c>
      <c r="X147" s="73">
        <v>168</v>
      </c>
      <c r="Y147" t="s" s="70">
        <v>107</v>
      </c>
      <c r="Z147" s="68" cm="1">
        <f t="array" ref="Z147">M147</f>
        <v>971333000</v>
      </c>
      <c r="AA147" t="s" s="70">
        <v>1403</v>
      </c>
      <c r="AB147" s="72">
        <v>45474</v>
      </c>
      <c r="AC147" s="73">
        <v>360</v>
      </c>
      <c r="AD147" t="s" s="70">
        <v>109</v>
      </c>
      <c r="AE147" t="s" s="70">
        <v>110</v>
      </c>
      <c r="AF147" t="s" s="70">
        <v>589</v>
      </c>
      <c r="AG147" s="72"/>
      <c r="AH147" s="72"/>
      <c r="AI147" s="72"/>
      <c r="AJ147" s="72"/>
      <c r="AK147" s="72">
        <v>45490</v>
      </c>
      <c r="AL147" s="72">
        <v>45490</v>
      </c>
      <c r="AM147" s="72">
        <v>45490</v>
      </c>
      <c r="AN147" t="s" s="70">
        <v>1404</v>
      </c>
      <c r="AO147" s="72">
        <v>45484</v>
      </c>
      <c r="AP147" t="s" s="70">
        <v>1405</v>
      </c>
      <c r="AQ147" s="66" cm="1">
        <f t="array" ref="AQ147">AJ147</f>
      </c>
      <c r="AR147" t="s" s="70">
        <v>1406</v>
      </c>
      <c r="AS147" s="66" cm="1">
        <f t="array" ref="AS147">AJ147</f>
      </c>
      <c r="AT147" t="s" s="78">
        <v>1407</v>
      </c>
      <c r="AU147" s="72">
        <v>45483</v>
      </c>
      <c r="AV147" s="66"/>
      <c r="AW147" t="str" s="74" cm="1">
        <f t="array" ref="AW147">"600/"&amp;$B147&amp;"/"&amp;IF(AND($AE147="Konsultansi",M147&lt;=100000000),"SPK",IF(AND($AE147="Konsultansi",M147&gt;100000000),"Kont",IF(AND($AE147&lt;&gt;"Konsultansi",M147&lt;=200000000),"SPK","Kont")))&amp;"-"&amp;AE147&amp;"/PPK/DPUPR"</f>
        <v>600/4923660/Kont-Konstruksi/PPK/DPUPR</v>
      </c>
      <c r="AX147" t="str" s="74" cm="1">
        <f t="array" ref="AX147">"600/"&amp;$B147&amp;"/SPMK/PPK/DPUPR"</f>
        <v>600/4923660/SPMK/PPK/DPUPR</v>
      </c>
      <c r="AY147" s="66"/>
      <c r="AZ147" s="66"/>
      <c r="BA147" s="66"/>
      <c r="BB147" s="66"/>
      <c r="BC147" s="66"/>
      <c r="BD147" s="66"/>
      <c r="BE147" s="66"/>
      <c r="BF147" s="66"/>
      <c r="BG147" s="75">
        <v>233</v>
      </c>
      <c r="BH147" t="s" s="70">
        <v>1395</v>
      </c>
      <c r="BI147" t="s" s="70">
        <v>21</v>
      </c>
      <c r="BJ147" t="s" s="70">
        <v>22</v>
      </c>
      <c r="BK147" t="s" s="70">
        <v>23</v>
      </c>
      <c r="BL147" t="s" s="70">
        <v>24</v>
      </c>
      <c r="BM147" s="66"/>
      <c r="BN147" s="66"/>
      <c r="BO147" s="66"/>
      <c r="BP147" s="66"/>
      <c r="BQ147" s="66"/>
      <c r="BR147" t="b" s="73">
        <v>0</v>
      </c>
      <c r="BS147" s="68" cm="1">
        <f t="array" ref="BS147">IF(M147&lt;=0.8*K147,5%*K147,M147*5%)</f>
        <v>48566650</v>
      </c>
      <c r="BT147" t="s" s="70">
        <v>173</v>
      </c>
      <c r="BU147" s="66"/>
      <c r="BV147" s="68" cm="1">
        <f t="array" ref="BV147">J147-M147</f>
        <v>27067000</v>
      </c>
    </row>
    <row r="148" ht="44.25" customHeight="1">
      <c r="A148" s="49"/>
      <c r="B148" s="50">
        <v>4927660</v>
      </c>
      <c r="C148" t="s" s="51">
        <v>1410</v>
      </c>
      <c r="D148" t="s" s="52">
        <v>588</v>
      </c>
      <c r="E148" t="str" s="53" cm="1">
        <f t="array" ref="E148">$C148</f>
        <v>Pengembangan Jaringan Distribusi dan Sambungan Rumah Desa Wulai Kec. Bambalamotu (DAK)</v>
      </c>
      <c r="F148" s="54"/>
      <c r="G148" s="53"/>
      <c r="H148" s="53"/>
      <c r="I148" s="53"/>
      <c r="J148" s="55">
        <v>995400000</v>
      </c>
      <c r="K148" s="55">
        <v>994361569</v>
      </c>
      <c r="L148" s="57">
        <v>943341664.1900001</v>
      </c>
      <c r="M148" s="55">
        <v>943341000</v>
      </c>
      <c r="N148" t="s" s="58">
        <v>1411</v>
      </c>
      <c r="O148" t="s" s="59">
        <v>1412</v>
      </c>
      <c r="P148" t="s" s="58">
        <v>4</v>
      </c>
      <c r="Q148" t="s" s="58">
        <v>1413</v>
      </c>
      <c r="R148" t="s" s="58">
        <v>1414</v>
      </c>
      <c r="S148" t="s" s="58">
        <v>1415</v>
      </c>
      <c r="T148" s="60">
        <v>45329</v>
      </c>
      <c r="U148" t="s" s="58">
        <v>1416</v>
      </c>
      <c r="V148" t="s" s="58">
        <v>1417</v>
      </c>
      <c r="W148" t="s" s="58">
        <v>1418</v>
      </c>
      <c r="X148" s="61">
        <v>168</v>
      </c>
      <c r="Y148" t="s" s="58">
        <v>107</v>
      </c>
      <c r="Z148" s="55" cm="1">
        <f t="array" ref="Z148">M148</f>
        <v>943341000</v>
      </c>
      <c r="AA148" t="s" s="58">
        <v>1419</v>
      </c>
      <c r="AB148" s="60">
        <v>45474</v>
      </c>
      <c r="AC148" s="61">
        <v>360</v>
      </c>
      <c r="AD148" t="s" s="58">
        <v>109</v>
      </c>
      <c r="AE148" t="s" s="58">
        <v>110</v>
      </c>
      <c r="AF148" t="s" s="58">
        <v>589</v>
      </c>
      <c r="AG148" s="60"/>
      <c r="AH148" s="60"/>
      <c r="AI148" s="60"/>
      <c r="AJ148" s="60"/>
      <c r="AK148" s="60">
        <v>45490</v>
      </c>
      <c r="AL148" s="60">
        <v>45490</v>
      </c>
      <c r="AM148" s="60">
        <v>45490</v>
      </c>
      <c r="AN148" t="s" s="58">
        <v>1420</v>
      </c>
      <c r="AO148" s="60">
        <v>45484</v>
      </c>
      <c r="AP148" t="s" s="58">
        <v>1421</v>
      </c>
      <c r="AQ148" s="53" cm="1">
        <f t="array" ref="AQ148">AJ148</f>
      </c>
      <c r="AR148" t="s" s="58">
        <v>1422</v>
      </c>
      <c r="AS148" s="53" cm="1">
        <f t="array" ref="AS148">AJ148</f>
      </c>
      <c r="AT148" t="s" s="78">
        <v>1423</v>
      </c>
      <c r="AU148" s="53" cm="1">
        <f t="array" ref="AU148">AJ148</f>
      </c>
      <c r="AV148" s="53"/>
      <c r="AW148" t="str" s="63" cm="1">
        <f t="array" ref="AW148">"600/"&amp;$B148&amp;"/"&amp;IF(AND($AE148="Konsultansi",M148&lt;=100000000),"SPK",IF(AND($AE148="Konsultansi",M148&gt;100000000),"Kont",IF(AND($AE148&lt;&gt;"Konsultansi",M148&lt;=200000000),"SPK","Kont")))&amp;"-"&amp;AE148&amp;"/PPK/DPUPR"</f>
        <v>600/4927660/Kont-Konstruksi/PPK/DPUPR</v>
      </c>
      <c r="AX148" t="str" s="63" cm="1">
        <f t="array" ref="AX148">"600/"&amp;$B148&amp;"/SPMK/PPK/DPUPR"</f>
        <v>600/4927660/SPMK/PPK/DPUPR</v>
      </c>
      <c r="AY148" s="53"/>
      <c r="AZ148" s="53"/>
      <c r="BA148" s="53"/>
      <c r="BB148" s="53"/>
      <c r="BC148" s="53"/>
      <c r="BD148" s="53"/>
      <c r="BE148" s="53"/>
      <c r="BF148" s="53"/>
      <c r="BG148" s="64">
        <v>234</v>
      </c>
      <c r="BH148" t="s" s="58">
        <v>1411</v>
      </c>
      <c r="BI148" t="s" s="58">
        <v>21</v>
      </c>
      <c r="BJ148" t="s" s="58">
        <v>22</v>
      </c>
      <c r="BK148" t="s" s="58">
        <v>23</v>
      </c>
      <c r="BL148" t="s" s="58">
        <v>24</v>
      </c>
      <c r="BM148" s="53"/>
      <c r="BN148" s="53"/>
      <c r="BO148" s="53"/>
      <c r="BP148" s="53"/>
      <c r="BQ148" s="53"/>
      <c r="BR148" t="b" s="61">
        <v>0</v>
      </c>
      <c r="BS148" s="55" cm="1">
        <f t="array" ref="BS148">IF(M148&lt;=0.8*K148,5%*K148,M148*5%)</f>
        <v>47167050</v>
      </c>
      <c r="BT148" t="s" s="58">
        <v>173</v>
      </c>
      <c r="BU148" s="53"/>
      <c r="BV148" s="55" cm="1">
        <f t="array" ref="BV148">J148-M148</f>
        <v>52059000</v>
      </c>
    </row>
    <row r="149" ht="44.25" customHeight="1">
      <c r="A149" s="49"/>
      <c r="B149" s="50">
        <v>4916660</v>
      </c>
      <c r="C149" t="s" s="51">
        <v>1426</v>
      </c>
      <c r="D149" t="s" s="65">
        <v>588</v>
      </c>
      <c r="E149" t="str" s="66" cm="1">
        <f t="array" ref="E149">$C149</f>
        <v>Pengembangan Jaringan Distribusi dan Sambungan Rumah Desa Benggaulu Kec.Dapurang (DAK) </v>
      </c>
      <c r="F149" s="67"/>
      <c r="G149" s="66"/>
      <c r="H149" s="66"/>
      <c r="I149" s="66"/>
      <c r="J149" s="68">
        <v>1572525000</v>
      </c>
      <c r="K149" s="68">
        <v>1570547232</v>
      </c>
      <c r="L149" s="57">
        <v>1528022706.1</v>
      </c>
      <c r="M149" s="68">
        <v>1528022000</v>
      </c>
      <c r="N149" t="s" s="70">
        <v>1427</v>
      </c>
      <c r="O149" t="s" s="71">
        <v>1428</v>
      </c>
      <c r="P149" t="s" s="70">
        <v>4</v>
      </c>
      <c r="Q149" t="s" s="70">
        <v>1429</v>
      </c>
      <c r="R149" t="s" s="70">
        <v>1430</v>
      </c>
      <c r="S149" s="73">
        <v>15</v>
      </c>
      <c r="T149" s="82">
        <v>43978</v>
      </c>
      <c r="U149" t="s" s="70">
        <v>1431</v>
      </c>
      <c r="V149" t="s" s="70">
        <v>1432</v>
      </c>
      <c r="W149" t="s" s="70">
        <v>1433</v>
      </c>
      <c r="X149" s="73">
        <v>168</v>
      </c>
      <c r="Y149" t="s" s="70">
        <v>107</v>
      </c>
      <c r="Z149" s="68" cm="1">
        <f t="array" ref="Z149">M149</f>
        <v>1528022000</v>
      </c>
      <c r="AA149" t="s" s="70">
        <v>1434</v>
      </c>
      <c r="AB149" s="72">
        <v>45474</v>
      </c>
      <c r="AC149" s="73">
        <v>360</v>
      </c>
      <c r="AD149" t="s" s="70">
        <v>109</v>
      </c>
      <c r="AE149" t="s" s="70">
        <v>110</v>
      </c>
      <c r="AF149" t="s" s="70">
        <v>589</v>
      </c>
      <c r="AG149" s="72"/>
      <c r="AH149" s="72"/>
      <c r="AI149" s="72"/>
      <c r="AJ149" s="72"/>
      <c r="AK149" s="72">
        <v>45490</v>
      </c>
      <c r="AL149" s="72">
        <v>45490</v>
      </c>
      <c r="AM149" s="72">
        <v>45490</v>
      </c>
      <c r="AN149" t="s" s="70">
        <v>1435</v>
      </c>
      <c r="AO149" s="72">
        <v>45485</v>
      </c>
      <c r="AP149" t="s" s="70">
        <v>1436</v>
      </c>
      <c r="AQ149" s="66" cm="1">
        <f t="array" ref="AQ149">AJ149</f>
      </c>
      <c r="AR149" t="s" s="70">
        <v>1437</v>
      </c>
      <c r="AS149" s="66" cm="1">
        <f t="array" ref="AS149">AJ149</f>
      </c>
      <c r="AT149" t="s" s="78">
        <v>1438</v>
      </c>
      <c r="AU149" s="66" cm="1">
        <f t="array" ref="AU149">AJ149</f>
      </c>
      <c r="AV149" s="66"/>
      <c r="AW149" t="str" s="74" cm="1">
        <f t="array" ref="AW149">"600/"&amp;$B149&amp;"/"&amp;IF(AND($AE149="Konsultansi",M149&lt;=100000000),"SPK",IF(AND($AE149="Konsultansi",M149&gt;100000000),"Kont",IF(AND($AE149&lt;&gt;"Konsultansi",M149&lt;=200000000),"SPK","Kont")))&amp;"-"&amp;AE149&amp;"/PPK/DPUPR"</f>
        <v>600/4916660/Kont-Konstruksi/PPK/DPUPR</v>
      </c>
      <c r="AX149" t="str" s="74" cm="1">
        <f t="array" ref="AX149">"600/"&amp;$B149&amp;"/SPMK/PPK/DPUPR"</f>
        <v>600/4916660/SPMK/PPK/DPUPR</v>
      </c>
      <c r="AY149" s="66"/>
      <c r="AZ149" s="66"/>
      <c r="BA149" s="66"/>
      <c r="BB149" s="66"/>
      <c r="BC149" s="66"/>
      <c r="BD149" s="66"/>
      <c r="BE149" s="66"/>
      <c r="BF149" s="66"/>
      <c r="BG149" s="75">
        <v>235</v>
      </c>
      <c r="BH149" t="s" s="70">
        <v>1427</v>
      </c>
      <c r="BI149" t="s" s="70">
        <v>21</v>
      </c>
      <c r="BJ149" t="s" s="70">
        <v>22</v>
      </c>
      <c r="BK149" t="s" s="70">
        <v>23</v>
      </c>
      <c r="BL149" t="s" s="70">
        <v>24</v>
      </c>
      <c r="BM149" s="66"/>
      <c r="BN149" s="66"/>
      <c r="BO149" s="66"/>
      <c r="BP149" s="66"/>
      <c r="BQ149" s="66"/>
      <c r="BR149" t="b" s="73">
        <v>0</v>
      </c>
      <c r="BS149" s="68" cm="1">
        <f t="array" ref="BS149">IF(M149&lt;=0.8*K149,5%*K149,M149*5%)</f>
        <v>76401100</v>
      </c>
      <c r="BT149" t="s" s="70">
        <v>173</v>
      </c>
      <c r="BU149" s="66"/>
      <c r="BV149" s="68" cm="1">
        <f t="array" ref="BV149">J149-M149</f>
        <v>44503000</v>
      </c>
    </row>
    <row r="150" ht="48.25" customHeight="1">
      <c r="A150" s="49"/>
      <c r="B150" s="50">
        <v>4920660</v>
      </c>
      <c r="C150" t="s" s="51">
        <v>1441</v>
      </c>
      <c r="D150" t="s" s="52">
        <v>588</v>
      </c>
      <c r="E150" t="str" s="53" cm="1">
        <f t="array" ref="E150">$C150</f>
        <v>Pengembangan Jaringan Distribusi dan Sambungan Rumah Desa Karya Bersama Kec.Pasangkayu (DAK) </v>
      </c>
      <c r="F150" s="54"/>
      <c r="G150" s="53"/>
      <c r="H150" s="53"/>
      <c r="I150" s="53"/>
      <c r="J150" s="55">
        <v>1661250000</v>
      </c>
      <c r="K150" s="55">
        <v>1661228921000</v>
      </c>
      <c r="L150" s="57">
        <v>1616063997</v>
      </c>
      <c r="M150" s="55">
        <v>1616063000</v>
      </c>
      <c r="N150" t="s" s="58">
        <v>1063</v>
      </c>
      <c r="O150" t="s" s="59">
        <v>1064</v>
      </c>
      <c r="P150" t="s" s="58">
        <v>4</v>
      </c>
      <c r="Q150" t="s" s="58">
        <v>1065</v>
      </c>
      <c r="R150" t="s" s="58">
        <v>1066</v>
      </c>
      <c r="S150" t="s" s="58">
        <v>1067</v>
      </c>
      <c r="T150" s="60">
        <v>43472</v>
      </c>
      <c r="U150" t="s" s="58">
        <v>1068</v>
      </c>
      <c r="V150" t="s" s="58">
        <v>1069</v>
      </c>
      <c r="W150" t="s" s="58">
        <v>1070</v>
      </c>
      <c r="X150" s="61">
        <v>168</v>
      </c>
      <c r="Y150" t="s" s="58">
        <v>107</v>
      </c>
      <c r="Z150" s="55" cm="1">
        <f t="array" ref="Z150">M150</f>
        <v>1616063000</v>
      </c>
      <c r="AA150" t="s" s="58">
        <v>1442</v>
      </c>
      <c r="AB150" s="60">
        <v>45474</v>
      </c>
      <c r="AC150" s="61">
        <v>360</v>
      </c>
      <c r="AD150" t="s" s="58">
        <v>109</v>
      </c>
      <c r="AE150" t="s" s="58">
        <v>110</v>
      </c>
      <c r="AF150" t="s" s="58">
        <v>589</v>
      </c>
      <c r="AG150" s="60"/>
      <c r="AH150" s="60"/>
      <c r="AI150" s="60"/>
      <c r="AJ150" s="60"/>
      <c r="AK150" s="60">
        <v>45490</v>
      </c>
      <c r="AL150" s="60">
        <v>45490</v>
      </c>
      <c r="AM150" s="60">
        <v>45490</v>
      </c>
      <c r="AN150" t="s" s="58">
        <v>1443</v>
      </c>
      <c r="AO150" s="60">
        <v>45485</v>
      </c>
      <c r="AP150" t="s" s="58">
        <v>1444</v>
      </c>
      <c r="AQ150" s="53" cm="1">
        <f t="array" ref="AQ150">AJ150</f>
      </c>
      <c r="AR150" t="s" s="58">
        <v>1445</v>
      </c>
      <c r="AS150" s="53" cm="1">
        <f t="array" ref="AS150">AJ150</f>
      </c>
      <c r="AT150" t="s" s="78">
        <v>1446</v>
      </c>
      <c r="AU150" s="60">
        <v>45483</v>
      </c>
      <c r="AV150" s="53"/>
      <c r="AW150" t="str" s="63" cm="1">
        <f t="array" ref="AW150">"600/"&amp;$B150&amp;"/"&amp;IF(AND($AE150="Konsultansi",M150&lt;=100000000),"SPK",IF(AND($AE150="Konsultansi",M150&gt;100000000),"Kont",IF(AND($AE150&lt;&gt;"Konsultansi",M150&lt;=200000000),"SPK","Kont")))&amp;"-"&amp;AE150&amp;"/PPK/DPUPR"</f>
        <v>600/4920660/Kont-Konstruksi/PPK/DPUPR</v>
      </c>
      <c r="AX150" t="str" s="63" cm="1">
        <f t="array" ref="AX150">"600/"&amp;$B150&amp;"/SPMK/PPK/DPUPR"</f>
        <v>600/4920660/SPMK/PPK/DPUPR</v>
      </c>
      <c r="AY150" s="53"/>
      <c r="AZ150" s="53"/>
      <c r="BA150" s="53"/>
      <c r="BB150" s="53"/>
      <c r="BC150" s="53"/>
      <c r="BD150" s="53"/>
      <c r="BE150" s="53"/>
      <c r="BF150" s="53"/>
      <c r="BG150" s="64">
        <v>230</v>
      </c>
      <c r="BH150" t="s" s="58">
        <v>1063</v>
      </c>
      <c r="BI150" t="s" s="58">
        <v>21</v>
      </c>
      <c r="BJ150" t="s" s="58">
        <v>22</v>
      </c>
      <c r="BK150" t="s" s="58">
        <v>23</v>
      </c>
      <c r="BL150" t="s" s="58">
        <v>24</v>
      </c>
      <c r="BM150" s="53"/>
      <c r="BN150" s="53"/>
      <c r="BO150" s="53"/>
      <c r="BP150" s="53"/>
      <c r="BQ150" s="53"/>
      <c r="BR150" t="b" s="61">
        <v>0</v>
      </c>
      <c r="BS150" s="55" cm="1">
        <f t="array" ref="BS150">IF(M150&lt;=0.8*K150,5%*K150,M150*5%)</f>
        <v>83061446050</v>
      </c>
      <c r="BT150" t="s" s="58">
        <v>173</v>
      </c>
      <c r="BU150" s="53"/>
      <c r="BV150" s="55" cm="1">
        <f t="array" ref="BV150">J150-M150</f>
        <v>45187000</v>
      </c>
    </row>
    <row r="151" ht="44.25" customHeight="1">
      <c r="A151" s="49"/>
      <c r="B151" s="50">
        <v>4926660</v>
      </c>
      <c r="C151" t="s" s="51">
        <v>1449</v>
      </c>
      <c r="D151" t="s" s="65">
        <v>588</v>
      </c>
      <c r="E151" t="str" s="66" cm="1">
        <f t="array" ref="E151">$C151</f>
        <v>Pengembangan Jaringan Distribusi dan Sambungan Rumah Desa Sarudu Kec. Sarudu (DAK)</v>
      </c>
      <c r="F151" s="67"/>
      <c r="G151" s="66"/>
      <c r="H151" s="66"/>
      <c r="I151" s="66"/>
      <c r="J151" s="68">
        <v>922225000</v>
      </c>
      <c r="K151" s="68">
        <v>921276842</v>
      </c>
      <c r="L151" s="57">
        <v>902282442.25</v>
      </c>
      <c r="M151" s="68">
        <v>902282000</v>
      </c>
      <c r="N151" t="s" s="70">
        <v>1450</v>
      </c>
      <c r="O151" t="s" s="71">
        <v>1451</v>
      </c>
      <c r="P151" t="s" s="70">
        <v>1452</v>
      </c>
      <c r="Q151" t="s" s="70">
        <v>1453</v>
      </c>
      <c r="R151" t="s" s="70">
        <v>1454</v>
      </c>
      <c r="S151" s="73">
        <v>40</v>
      </c>
      <c r="T151" s="72">
        <v>45493</v>
      </c>
      <c r="U151" t="s" s="70">
        <v>1455</v>
      </c>
      <c r="V151" t="s" s="70">
        <v>1456</v>
      </c>
      <c r="W151" t="s" s="70">
        <v>1457</v>
      </c>
      <c r="X151" s="73">
        <v>163</v>
      </c>
      <c r="Y151" t="s" s="70">
        <v>107</v>
      </c>
      <c r="Z151" s="68" cm="1">
        <f t="array" ref="Z151">M151</f>
        <v>902282000</v>
      </c>
      <c r="AA151" t="s" s="70">
        <v>1458</v>
      </c>
      <c r="AB151" s="72">
        <v>45474</v>
      </c>
      <c r="AC151" s="73">
        <v>360</v>
      </c>
      <c r="AD151" t="s" s="70">
        <v>109</v>
      </c>
      <c r="AE151" t="s" s="70">
        <v>110</v>
      </c>
      <c r="AF151" t="s" s="70">
        <v>589</v>
      </c>
      <c r="AG151" s="72"/>
      <c r="AH151" s="72"/>
      <c r="AI151" s="72"/>
      <c r="AJ151" s="72"/>
      <c r="AK151" s="72">
        <v>45490</v>
      </c>
      <c r="AL151" s="72">
        <v>45495</v>
      </c>
      <c r="AM151" s="72">
        <v>45495</v>
      </c>
      <c r="AN151" t="s" s="70">
        <v>1459</v>
      </c>
      <c r="AO151" t="s" s="70">
        <v>1460</v>
      </c>
      <c r="AP151" t="s" s="70">
        <v>1461</v>
      </c>
      <c r="AQ151" s="66" cm="1">
        <f t="array" ref="AQ151">AJ151</f>
      </c>
      <c r="AR151" t="s" s="70">
        <v>1462</v>
      </c>
      <c r="AS151" s="66" cm="1">
        <f t="array" ref="AS151">AJ151</f>
      </c>
      <c r="AT151" t="s" s="78">
        <v>1463</v>
      </c>
      <c r="AU151" s="110">
        <v>45484</v>
      </c>
      <c r="AV151" s="66"/>
      <c r="AW151" t="str" s="74" cm="1">
        <f t="array" ref="AW151">"600/"&amp;$B151&amp;"/"&amp;IF(AND($AE151="Konsultansi",M151&lt;=100000000),"SPK",IF(AND($AE151="Konsultansi",M151&gt;100000000),"Kont",IF(AND($AE151&lt;&gt;"Konsultansi",M151&lt;=200000000),"SPK","Kont")))&amp;"-"&amp;AE151&amp;"/PPK/DPUPR"</f>
        <v>600/4926660/Kont-Konstruksi/PPK/DPUPR</v>
      </c>
      <c r="AX151" t="str" s="74" cm="1">
        <f t="array" ref="AX151">"600/"&amp;$B151&amp;"/SPMK/PPK/DPUPR"</f>
        <v>600/4926660/SPMK/PPK/DPUPR</v>
      </c>
      <c r="AY151" s="66"/>
      <c r="AZ151" s="66"/>
      <c r="BA151" s="66"/>
      <c r="BB151" s="66"/>
      <c r="BC151" s="66"/>
      <c r="BD151" s="66"/>
      <c r="BE151" s="66"/>
      <c r="BF151" s="66"/>
      <c r="BG151" s="75">
        <v>236</v>
      </c>
      <c r="BH151" t="s" s="70">
        <v>1450</v>
      </c>
      <c r="BI151" t="s" s="70">
        <v>21</v>
      </c>
      <c r="BJ151" t="s" s="70">
        <v>22</v>
      </c>
      <c r="BK151" t="s" s="70">
        <v>23</v>
      </c>
      <c r="BL151" t="s" s="70">
        <v>24</v>
      </c>
      <c r="BM151" s="66"/>
      <c r="BN151" s="66"/>
      <c r="BO151" s="66"/>
      <c r="BP151" s="66"/>
      <c r="BQ151" s="66"/>
      <c r="BR151" t="b" s="73">
        <v>0</v>
      </c>
      <c r="BS151" s="68" cm="1">
        <f t="array" ref="BS151">IF(M151&lt;=0.8*K151,5%*K151,M151*5%)</f>
        <v>45114100</v>
      </c>
      <c r="BT151" t="s" s="70">
        <v>173</v>
      </c>
      <c r="BU151" s="66"/>
      <c r="BV151" s="68" cm="1">
        <f t="array" ref="BV151">J151-M151</f>
        <v>19943000</v>
      </c>
    </row>
    <row r="152" ht="44.25" customHeight="1">
      <c r="A152" s="49"/>
      <c r="B152" s="50">
        <v>4918660</v>
      </c>
      <c r="C152" t="s" s="51">
        <v>1466</v>
      </c>
      <c r="D152" t="s" s="52">
        <v>588</v>
      </c>
      <c r="E152" t="str" s="53" cm="1">
        <f t="array" ref="E152">$C152</f>
        <v>Pengembangan Jaringan Distribusi dan Sambungan Rumah Desa Kalukunangka Kec.Bambaira (DAK)</v>
      </c>
      <c r="F152" s="54"/>
      <c r="G152" s="53"/>
      <c r="H152" s="53"/>
      <c r="I152" s="53"/>
      <c r="J152" s="55">
        <v>1079100000</v>
      </c>
      <c r="K152" s="55">
        <v>1078945346</v>
      </c>
      <c r="L152" s="57">
        <v>1049842513.3</v>
      </c>
      <c r="M152" s="55">
        <v>1049842000</v>
      </c>
      <c r="N152" t="s" s="58">
        <v>1427</v>
      </c>
      <c r="O152" t="s" s="59">
        <v>1428</v>
      </c>
      <c r="P152" t="s" s="58">
        <v>4</v>
      </c>
      <c r="Q152" t="s" s="58">
        <v>1429</v>
      </c>
      <c r="R152" t="s" s="58">
        <v>1430</v>
      </c>
      <c r="S152" s="61">
        <v>15</v>
      </c>
      <c r="T152" s="83">
        <v>43978</v>
      </c>
      <c r="U152" t="s" s="58">
        <v>1431</v>
      </c>
      <c r="V152" t="s" s="58">
        <v>1432</v>
      </c>
      <c r="W152" t="s" s="58">
        <v>1433</v>
      </c>
      <c r="X152" s="61">
        <v>168</v>
      </c>
      <c r="Y152" t="s" s="58">
        <v>107</v>
      </c>
      <c r="Z152" s="55" cm="1">
        <f t="array" ref="Z152">M152</f>
        <v>1049842000</v>
      </c>
      <c r="AA152" t="s" s="58">
        <v>1467</v>
      </c>
      <c r="AB152" s="60">
        <v>45474</v>
      </c>
      <c r="AC152" s="61">
        <v>360</v>
      </c>
      <c r="AD152" t="s" s="58">
        <v>109</v>
      </c>
      <c r="AE152" t="s" s="58">
        <v>110</v>
      </c>
      <c r="AF152" t="s" s="58">
        <v>589</v>
      </c>
      <c r="AG152" s="60"/>
      <c r="AH152" s="60"/>
      <c r="AI152" s="60"/>
      <c r="AJ152" s="60"/>
      <c r="AK152" s="60">
        <v>45490</v>
      </c>
      <c r="AL152" s="60">
        <v>45490</v>
      </c>
      <c r="AM152" s="60">
        <v>45490</v>
      </c>
      <c r="AN152" t="s" s="58">
        <v>1468</v>
      </c>
      <c r="AO152" s="60">
        <v>45484</v>
      </c>
      <c r="AP152" t="s" s="58">
        <v>1469</v>
      </c>
      <c r="AQ152" s="53" cm="1">
        <f t="array" ref="AQ152">AJ152</f>
      </c>
      <c r="AR152" t="s" s="58">
        <v>1470</v>
      </c>
      <c r="AS152" s="53" cm="1">
        <f t="array" ref="AS152">AJ152</f>
      </c>
      <c r="AT152" t="s" s="78">
        <v>1471</v>
      </c>
      <c r="AU152" s="53" cm="1">
        <f t="array" ref="AU152">AJ152</f>
      </c>
      <c r="AV152" s="53"/>
      <c r="AW152" t="str" s="63" cm="1">
        <f t="array" ref="AW152">"600/"&amp;$B152&amp;"/"&amp;IF(AND($AE152="Konsultansi",M152&lt;=100000000),"SPK",IF(AND($AE152="Konsultansi",M152&gt;100000000),"Kont",IF(AND($AE152&lt;&gt;"Konsultansi",M152&lt;=200000000),"SPK","Kont")))&amp;"-"&amp;AE152&amp;"/PPK/DPUPR"</f>
        <v>600/4918660/Kont-Konstruksi/PPK/DPUPR</v>
      </c>
      <c r="AX152" t="str" s="63" cm="1">
        <f t="array" ref="AX152">"600/"&amp;$B152&amp;"/SPMK/PPK/DPUPR"</f>
        <v>600/4918660/SPMK/PPK/DPUPR</v>
      </c>
      <c r="AY152" s="53"/>
      <c r="AZ152" s="53"/>
      <c r="BA152" s="53"/>
      <c r="BB152" s="53"/>
      <c r="BC152" s="53"/>
      <c r="BD152" s="53"/>
      <c r="BE152" s="53"/>
      <c r="BF152" s="53"/>
      <c r="BG152" s="64">
        <v>235</v>
      </c>
      <c r="BH152" t="s" s="58">
        <v>1427</v>
      </c>
      <c r="BI152" t="s" s="58">
        <v>21</v>
      </c>
      <c r="BJ152" t="s" s="58">
        <v>22</v>
      </c>
      <c r="BK152" t="s" s="58">
        <v>23</v>
      </c>
      <c r="BL152" t="s" s="58">
        <v>24</v>
      </c>
      <c r="BM152" s="53"/>
      <c r="BN152" s="53"/>
      <c r="BO152" s="53"/>
      <c r="BP152" s="53"/>
      <c r="BQ152" s="53"/>
      <c r="BR152" t="b" s="61">
        <v>0</v>
      </c>
      <c r="BS152" s="55" cm="1">
        <f t="array" ref="BS152">IF(M152&lt;=0.8*K152,5%*K152,M152*5%)</f>
        <v>52492100</v>
      </c>
      <c r="BT152" t="s" s="58">
        <v>173</v>
      </c>
      <c r="BU152" s="53"/>
      <c r="BV152" s="55" cm="1">
        <f t="array" ref="BV152">J152-M152</f>
        <v>29258000</v>
      </c>
    </row>
    <row r="153" ht="56.25" customHeight="1">
      <c r="A153" s="49"/>
      <c r="B153" s="50">
        <v>4907660</v>
      </c>
      <c r="C153" t="s" s="51">
        <v>1474</v>
      </c>
      <c r="D153" t="s" s="65">
        <v>149</v>
      </c>
      <c r="E153" t="str" s="66" cm="1">
        <f t="array" ref="E153">$C153</f>
        <v>Pembangunan dan pemeliharaan infrastruktur jalan (Pembangunan Jembatan Jalan Poros Bulumario - Patika (DBH)</v>
      </c>
      <c r="F153" s="67"/>
      <c r="G153" s="66"/>
      <c r="H153" s="66"/>
      <c r="I153" s="66"/>
      <c r="J153" s="68">
        <v>800000000</v>
      </c>
      <c r="K153" s="68">
        <v>800000000</v>
      </c>
      <c r="L153" s="57">
        <v>760462049.14</v>
      </c>
      <c r="M153" s="68">
        <v>760462000</v>
      </c>
      <c r="N153" t="s" s="70">
        <v>641</v>
      </c>
      <c r="O153" t="s" s="71">
        <v>642</v>
      </c>
      <c r="P153" t="s" s="70">
        <v>4</v>
      </c>
      <c r="Q153" t="s" s="70">
        <v>643</v>
      </c>
      <c r="R153" t="s" s="70">
        <v>644</v>
      </c>
      <c r="S153" s="99">
        <v>0.0213082259663033</v>
      </c>
      <c r="T153" s="72">
        <v>43242</v>
      </c>
      <c r="U153" t="s" s="70">
        <v>616</v>
      </c>
      <c r="V153" t="s" s="70">
        <v>645</v>
      </c>
      <c r="W153" t="s" s="70">
        <v>646</v>
      </c>
      <c r="X153" s="73">
        <v>180</v>
      </c>
      <c r="Y153" t="s" s="70">
        <v>1257</v>
      </c>
      <c r="Z153" s="68" cm="1">
        <f t="array" ref="Z153">M153</f>
        <v>760462000</v>
      </c>
      <c r="AA153" t="s" s="70">
        <v>1475</v>
      </c>
      <c r="AB153" s="72">
        <v>45460</v>
      </c>
      <c r="AC153" s="73">
        <v>360</v>
      </c>
      <c r="AD153" t="s" s="70">
        <v>109</v>
      </c>
      <c r="AE153" t="s" s="70">
        <v>110</v>
      </c>
      <c r="AF153" t="s" s="70">
        <v>150</v>
      </c>
      <c r="AG153" s="72"/>
      <c r="AH153" s="72"/>
      <c r="AI153" s="72"/>
      <c r="AJ153" s="72"/>
      <c r="AK153" s="72">
        <v>45477</v>
      </c>
      <c r="AL153" s="72">
        <v>45478</v>
      </c>
      <c r="AM153" s="72">
        <v>45478</v>
      </c>
      <c r="AN153" t="s" s="70">
        <v>1476</v>
      </c>
      <c r="AO153" s="72">
        <v>45468</v>
      </c>
      <c r="AP153" t="s" s="70">
        <v>1477</v>
      </c>
      <c r="AQ153" s="66" cm="1">
        <f t="array" ref="AQ153">AJ153</f>
      </c>
      <c r="AR153" t="s" s="70">
        <v>1478</v>
      </c>
      <c r="AS153" s="66" cm="1">
        <f t="array" ref="AS153">AJ153</f>
      </c>
      <c r="AT153" t="s" s="78">
        <v>1479</v>
      </c>
      <c r="AU153" s="72">
        <v>45467</v>
      </c>
      <c r="AV153" s="66"/>
      <c r="AW153" t="str" s="74" cm="1">
        <f t="array" ref="AW153">"600/"&amp;$B153&amp;"/"&amp;IF(AND($AE153="Konsultansi",M153&lt;=100000000),"SPK",IF(AND($AE153="Konsultansi",M153&gt;100000000),"Kont",IF(AND($AE153&lt;&gt;"Konsultansi",M153&lt;=200000000),"SPK","Kont")))&amp;"-"&amp;AE153&amp;"/PPK/DPUPR"</f>
        <v>600/4907660/Kont-Konstruksi/PPK/DPUPR</v>
      </c>
      <c r="AX153" t="str" s="74" cm="1">
        <f t="array" ref="AX153">"600/"&amp;$B153&amp;"/SPMK/PPK/DPUPR"</f>
        <v>600/4907660/SPMK/PPK/DPUPR</v>
      </c>
      <c r="AY153" s="66"/>
      <c r="AZ153" s="66"/>
      <c r="BA153" s="66"/>
      <c r="BB153" s="66"/>
      <c r="BC153" s="66"/>
      <c r="BD153" s="66"/>
      <c r="BE153" s="66"/>
      <c r="BF153" s="66"/>
      <c r="BG153" s="75">
        <v>171</v>
      </c>
      <c r="BH153" t="s" s="70">
        <v>641</v>
      </c>
      <c r="BI153" t="s" s="70">
        <v>21</v>
      </c>
      <c r="BJ153" t="s" s="70">
        <v>22</v>
      </c>
      <c r="BK153" t="s" s="70">
        <v>23</v>
      </c>
      <c r="BL153" t="s" s="70">
        <v>24</v>
      </c>
      <c r="BM153" s="66"/>
      <c r="BN153" s="66"/>
      <c r="BO153" s="66"/>
      <c r="BP153" s="66"/>
      <c r="BQ153" s="66"/>
      <c r="BR153" t="b" s="73">
        <v>0</v>
      </c>
      <c r="BS153" s="68" cm="1">
        <f t="array" ref="BS153">IF(M153&lt;=0.8*K153,5%*K153,M153*5%)</f>
        <v>38023100</v>
      </c>
      <c r="BT153" t="s" s="70">
        <v>156</v>
      </c>
      <c r="BU153" s="66"/>
      <c r="BV153" s="68" cm="1">
        <f t="array" ref="BV153">J153-M153</f>
        <v>39538000</v>
      </c>
    </row>
    <row r="154" ht="44.25" customHeight="1">
      <c r="A154" s="49"/>
      <c r="B154" s="50">
        <v>5592660</v>
      </c>
      <c r="C154" t="s" s="51">
        <v>1482</v>
      </c>
      <c r="D154" t="s" s="52">
        <v>149</v>
      </c>
      <c r="E154" t="str" s="53" cm="1">
        <f t="array" ref="E154">$C154</f>
        <v>Jasa Konsultan pengawas Pembangunan Jembatan Jalan Poros Bulumario - Patika (DBH) </v>
      </c>
      <c r="F154" s="54"/>
      <c r="G154" s="53"/>
      <c r="H154" s="53"/>
      <c r="I154" s="53"/>
      <c r="J154" s="55">
        <v>100000000</v>
      </c>
      <c r="K154" s="55">
        <v>99933500</v>
      </c>
      <c r="L154" s="57">
        <v>97143000</v>
      </c>
      <c r="M154" s="55">
        <v>97143000</v>
      </c>
      <c r="N154" t="s" s="58">
        <v>1483</v>
      </c>
      <c r="O154" t="s" s="59">
        <v>1484</v>
      </c>
      <c r="P154" t="s" s="58">
        <v>4</v>
      </c>
      <c r="Q154" t="s" s="58">
        <v>1485</v>
      </c>
      <c r="R154" t="s" s="58">
        <v>1486</v>
      </c>
      <c r="S154" s="61">
        <v>24</v>
      </c>
      <c r="T154" s="60">
        <v>44516</v>
      </c>
      <c r="U154" t="s" s="58">
        <v>691</v>
      </c>
      <c r="V154" t="s" s="58">
        <v>1487</v>
      </c>
      <c r="W154" t="s" s="58">
        <v>1488</v>
      </c>
      <c r="X154" s="61">
        <v>127</v>
      </c>
      <c r="Y154" t="s" s="58">
        <v>1257</v>
      </c>
      <c r="Z154" s="55" cm="1">
        <f t="array" ref="Z154">M154</f>
        <v>97143000</v>
      </c>
      <c r="AA154" t="s" s="58">
        <v>11</v>
      </c>
      <c r="AB154" s="60" cm="1">
        <f t="array" ref="AB154">AH154</f>
        <v>45531.417361111111</v>
      </c>
      <c r="AC154" s="53"/>
      <c r="AD154" t="s" s="58">
        <v>12</v>
      </c>
      <c r="AE154" t="s" s="58">
        <v>13</v>
      </c>
      <c r="AF154" t="s" s="58">
        <v>150</v>
      </c>
      <c r="AG154" s="111">
        <v>45530.493055555555</v>
      </c>
      <c r="AH154" s="60">
        <v>45531.417361111111</v>
      </c>
      <c r="AI154" s="60">
        <v>45531.427777777775</v>
      </c>
      <c r="AJ154" s="60">
        <v>45531.500694444447</v>
      </c>
      <c r="AK154" s="60">
        <v>45531.584027777775</v>
      </c>
      <c r="AL154" s="60">
        <v>45531.584027777775</v>
      </c>
      <c r="AM154" s="60">
        <v>45531.584027777775</v>
      </c>
      <c r="AN154" t="s" s="58">
        <v>1489</v>
      </c>
      <c r="AO154" s="60" cm="1">
        <f t="array" ref="AO154">AJ154</f>
        <v>45531.500694444447</v>
      </c>
      <c r="AP154" t="s" s="58">
        <v>1490</v>
      </c>
      <c r="AQ154" s="60" cm="1">
        <f t="array" ref="AQ154">AJ154</f>
        <v>45531.500694444447</v>
      </c>
      <c r="AR154" t="s" s="58">
        <v>1491</v>
      </c>
      <c r="AS154" s="60" cm="1">
        <f t="array" ref="AS154">AJ154</f>
        <v>45531.500694444447</v>
      </c>
      <c r="AT154" t="s" s="78">
        <v>1492</v>
      </c>
      <c r="AU154" s="60" cm="1">
        <f t="array" ref="AU154">AJ154</f>
        <v>45531.500694444447</v>
      </c>
      <c r="AV154" s="53"/>
      <c r="AW154" t="str" s="63" cm="1">
        <f t="array" ref="AW154">"600/"&amp;$B154&amp;"/"&amp;IF(AND($AE154="Konsultansi",M154&lt;=100000000),"SPK",IF(AND($AE154="Konsultansi",M154&gt;100000000),"Kont",IF(AND($AE154&lt;&gt;"Konsultansi",M154&lt;=200000000),"SPK","Kont")))&amp;"-"&amp;AE154&amp;"/PPK/DPUPR"</f>
        <v>600/5592660/SPK-Konsultansi/PPK/DPUPR</v>
      </c>
      <c r="AX154" t="str" s="63" cm="1">
        <f t="array" ref="AX154">"600/"&amp;$B154&amp;"/SPMK/PPK/DPUPR"</f>
        <v>600/5592660/SPMK/PPK/DPUPR</v>
      </c>
      <c r="AY154" s="53"/>
      <c r="AZ154" s="53"/>
      <c r="BA154" s="53"/>
      <c r="BB154" s="53"/>
      <c r="BC154" s="53"/>
      <c r="BD154" s="53"/>
      <c r="BE154" s="53"/>
      <c r="BF154" s="53"/>
      <c r="BG154" s="64">
        <v>6</v>
      </c>
      <c r="BH154" t="s" s="58">
        <v>1483</v>
      </c>
      <c r="BI154" t="s" s="58">
        <v>21</v>
      </c>
      <c r="BJ154" t="s" s="58">
        <v>22</v>
      </c>
      <c r="BK154" t="s" s="58">
        <v>23</v>
      </c>
      <c r="BL154" t="s" s="58">
        <v>24</v>
      </c>
      <c r="BM154" s="53"/>
      <c r="BN154" s="53"/>
      <c r="BO154" s="53"/>
      <c r="BP154" s="53"/>
      <c r="BQ154" s="53"/>
      <c r="BR154" t="b" s="61">
        <v>0</v>
      </c>
      <c r="BS154" s="55" cm="1">
        <f t="array" ref="BS154">IF(M154&lt;=0.8*K154,5%*K154,M154*5%)</f>
        <v>4857150</v>
      </c>
      <c r="BT154" t="s" s="58">
        <v>156</v>
      </c>
      <c r="BU154" s="53"/>
      <c r="BV154" s="55" cm="1">
        <f t="array" ref="BV154">J154-M154</f>
        <v>2857000</v>
      </c>
    </row>
    <row r="155" ht="44.25" customHeight="1">
      <c r="A155" s="49"/>
      <c r="B155" t="s" s="112">
        <v>1495</v>
      </c>
      <c r="C155" t="s" s="51">
        <v>1482</v>
      </c>
      <c r="D155" t="s" s="65">
        <v>149</v>
      </c>
      <c r="E155" t="str" s="66" cm="1">
        <f t="array" ref="E155">$C155</f>
        <v>Jasa Konsultan pengawas Pembangunan Jembatan Jalan Poros Bulumario - Patika (DBH) </v>
      </c>
      <c r="F155" s="67"/>
      <c r="G155" s="66"/>
      <c r="H155" s="66"/>
      <c r="I155" s="66"/>
      <c r="J155" s="68">
        <v>80000000</v>
      </c>
      <c r="K155" s="68">
        <v>79998000</v>
      </c>
      <c r="L155" s="57">
        <v>79970436</v>
      </c>
      <c r="M155" s="68">
        <v>79970000</v>
      </c>
      <c r="N155" t="s" s="70">
        <v>1483</v>
      </c>
      <c r="O155" t="s" s="71">
        <v>1484</v>
      </c>
      <c r="P155" t="s" s="70">
        <v>4</v>
      </c>
      <c r="Q155" t="s" s="70">
        <v>1485</v>
      </c>
      <c r="R155" t="s" s="70">
        <v>1486</v>
      </c>
      <c r="S155" s="73">
        <v>24</v>
      </c>
      <c r="T155" s="72">
        <v>44516</v>
      </c>
      <c r="U155" t="s" s="70">
        <v>691</v>
      </c>
      <c r="V155" t="s" s="70">
        <v>1487</v>
      </c>
      <c r="W155" t="s" s="70">
        <v>1488</v>
      </c>
      <c r="X155" s="73" cm="1">
        <f t="array" ref="X155">4*30</f>
        <v>120</v>
      </c>
      <c r="Y155" t="s" s="70">
        <v>1257</v>
      </c>
      <c r="Z155" s="68" cm="1">
        <f t="array" ref="Z155">M155</f>
        <v>79970000</v>
      </c>
      <c r="AA155" t="s" s="70">
        <v>11</v>
      </c>
      <c r="AB155" s="72" cm="1">
        <f t="array" ref="AB155">AH155</f>
        <v>45566.417361111111</v>
      </c>
      <c r="AC155" s="66"/>
      <c r="AD155" t="s" s="70">
        <v>12</v>
      </c>
      <c r="AE155" t="s" s="70">
        <v>13</v>
      </c>
      <c r="AF155" t="s" s="70">
        <v>150</v>
      </c>
      <c r="AG155" s="113">
        <v>45566.493055555555</v>
      </c>
      <c r="AH155" s="72">
        <v>45566.417361111111</v>
      </c>
      <c r="AI155" s="72">
        <v>45566.427777777775</v>
      </c>
      <c r="AJ155" s="72">
        <v>45566.500694444447</v>
      </c>
      <c r="AK155" s="72">
        <v>45566.584027777775</v>
      </c>
      <c r="AL155" s="72">
        <v>45566.584027777775</v>
      </c>
      <c r="AM155" s="72">
        <v>45566.584027777775</v>
      </c>
      <c r="AN155" t="s" s="70">
        <v>1496</v>
      </c>
      <c r="AO155" s="72" cm="1">
        <f t="array" ref="AO155">AJ155</f>
        <v>45566.500694444447</v>
      </c>
      <c r="AP155" t="s" s="70">
        <v>1497</v>
      </c>
      <c r="AQ155" s="72" cm="1">
        <f t="array" ref="AQ155">AJ155</f>
        <v>45566.500694444447</v>
      </c>
      <c r="AR155" t="s" s="70">
        <v>1498</v>
      </c>
      <c r="AS155" s="72" cm="1">
        <f t="array" ref="AS155">AJ155</f>
        <v>45566.500694444447</v>
      </c>
      <c r="AT155" t="s" s="78">
        <v>1499</v>
      </c>
      <c r="AU155" s="72" cm="1">
        <f t="array" ref="AU155">AJ155</f>
        <v>45566.500694444447</v>
      </c>
      <c r="AV155" s="66"/>
      <c r="AW155" t="str" s="74" cm="1">
        <f t="array" ref="AW155">"600/"&amp;$B155&amp;"/"&amp;IF(AND($AE155="Konsultansi",M155&lt;=100000000),"SPK",IF(AND($AE155="Konsultansi",M155&gt;100000000),"Kont",IF(AND($AE155&lt;&gt;"Konsultansi",M155&lt;=200000000),"SPK","Kont")))&amp;"-"&amp;AE155&amp;"/PPK/DPUPR"</f>
        <v>600/5592660/addendum/SPK-Konsultansi/PPK/DPUPR</v>
      </c>
      <c r="AX155" t="str" s="74" cm="1">
        <f t="array" ref="AX155">"600/"&amp;$B155&amp;"/SPMK/PPK/DPUPR"</f>
        <v>600/5592660/addendum/SPMK/PPK/DPUPR</v>
      </c>
      <c r="AY155" s="66"/>
      <c r="AZ155" s="66"/>
      <c r="BA155" s="66"/>
      <c r="BB155" s="66"/>
      <c r="BC155" s="66"/>
      <c r="BD155" s="66"/>
      <c r="BE155" s="66"/>
      <c r="BF155" s="66"/>
      <c r="BG155" s="75">
        <v>6</v>
      </c>
      <c r="BH155" t="s" s="70">
        <v>1483</v>
      </c>
      <c r="BI155" t="s" s="70">
        <v>21</v>
      </c>
      <c r="BJ155" t="s" s="70">
        <v>22</v>
      </c>
      <c r="BK155" t="s" s="70">
        <v>23</v>
      </c>
      <c r="BL155" t="s" s="70">
        <v>24</v>
      </c>
      <c r="BM155" s="66"/>
      <c r="BN155" s="66"/>
      <c r="BO155" s="66"/>
      <c r="BP155" s="66"/>
      <c r="BQ155" s="66"/>
      <c r="BR155" t="b" s="73">
        <v>0</v>
      </c>
      <c r="BS155" s="68" cm="1">
        <f t="array" ref="BS155">IF(M155&lt;=0.8*K155,5%*K155,M155*5%)</f>
        <v>3998500</v>
      </c>
      <c r="BT155" t="s" s="70">
        <v>156</v>
      </c>
      <c r="BU155" s="66"/>
      <c r="BV155" s="68" cm="1">
        <f t="array" ref="BV155">J155-M155</f>
        <v>30000</v>
      </c>
    </row>
    <row r="156" ht="44.25" customHeight="1">
      <c r="A156" s="49"/>
      <c r="B156" s="50">
        <v>6694660</v>
      </c>
      <c r="C156" t="s" s="51">
        <v>1502</v>
      </c>
      <c r="D156" t="s" s="52">
        <v>588</v>
      </c>
      <c r="E156" t="str" s="53" cm="1">
        <f t="array" ref="E156">$C156</f>
        <v>Pengawasan Jaringan Perpipaan Air Bersih Randomayang-Wulai-Kalukunangka-Tampaure (DAK)</v>
      </c>
      <c r="F156" s="54"/>
      <c r="G156" s="53"/>
      <c r="H156" s="53"/>
      <c r="I156" s="53"/>
      <c r="J156" s="55">
        <v>100000000</v>
      </c>
      <c r="K156" s="55">
        <v>99999900</v>
      </c>
      <c r="L156" s="57">
        <v>99955500</v>
      </c>
      <c r="M156" s="55">
        <v>99955000</v>
      </c>
      <c r="N156" t="s" s="58">
        <v>210</v>
      </c>
      <c r="O156" t="s" s="59">
        <v>211</v>
      </c>
      <c r="P156" t="s" s="58">
        <v>4</v>
      </c>
      <c r="Q156" t="s" s="58">
        <v>212</v>
      </c>
      <c r="R156" t="s" s="58">
        <v>213</v>
      </c>
      <c r="S156" t="s" s="58">
        <v>214</v>
      </c>
      <c r="T156" t="s" s="58">
        <v>215</v>
      </c>
      <c r="U156" t="s" s="58">
        <v>216</v>
      </c>
      <c r="V156" t="s" s="58">
        <v>217</v>
      </c>
      <c r="W156" t="s" s="58">
        <v>117</v>
      </c>
      <c r="X156" s="61">
        <v>163</v>
      </c>
      <c r="Y156" t="s" s="58">
        <v>107</v>
      </c>
      <c r="Z156" s="55" cm="1">
        <f t="array" ref="Z156">M156</f>
        <v>99955000</v>
      </c>
      <c r="AA156" t="s" s="58">
        <v>11</v>
      </c>
      <c r="AB156" s="60" cm="1">
        <f t="array" ref="AB156">AH156</f>
        <v>45494.417361111111</v>
      </c>
      <c r="AC156" s="53"/>
      <c r="AD156" t="s" s="58">
        <v>12</v>
      </c>
      <c r="AE156" t="s" s="58">
        <v>13</v>
      </c>
      <c r="AF156" t="s" s="58">
        <v>589</v>
      </c>
      <c r="AG156" s="60">
        <v>45493.833333333336</v>
      </c>
      <c r="AH156" s="60">
        <v>45494.417361111111</v>
      </c>
      <c r="AI156" s="60">
        <v>45494.427777777775</v>
      </c>
      <c r="AJ156" s="60">
        <v>45494.5</v>
      </c>
      <c r="AK156" s="60">
        <v>45495.5</v>
      </c>
      <c r="AL156" s="60">
        <v>45495.5</v>
      </c>
      <c r="AM156" s="60">
        <v>45495.5</v>
      </c>
      <c r="AN156" t="s" s="58">
        <v>1503</v>
      </c>
      <c r="AO156" s="60" cm="1">
        <f t="array" ref="AO156">AJ156</f>
        <v>45494.5</v>
      </c>
      <c r="AP156" t="s" s="58">
        <v>1504</v>
      </c>
      <c r="AQ156" s="60" cm="1">
        <f t="array" ref="AQ156">AJ156</f>
        <v>45494.5</v>
      </c>
      <c r="AR156" t="s" s="58">
        <v>1505</v>
      </c>
      <c r="AS156" s="60" cm="1">
        <f t="array" ref="AS156">AJ156</f>
        <v>45494.5</v>
      </c>
      <c r="AT156" t="s" s="78">
        <v>1506</v>
      </c>
      <c r="AU156" s="60" cm="1">
        <f t="array" ref="AU156">AJ156</f>
        <v>45494.5</v>
      </c>
      <c r="AV156" s="53"/>
      <c r="AW156" t="str" s="63" cm="1">
        <f t="array" ref="AW156">"600/"&amp;$B156&amp;"/"&amp;IF(AND($AE156="Konsultansi",M156&lt;=100000000),"SPK",IF(AND($AE156="Konsultansi",M156&gt;100000000),"Kont",IF(AND($AE156&lt;&gt;"Konsultansi",M156&lt;=200000000),"SPK","Kont")))&amp;"-"&amp;AE156&amp;"/PPK/DPUPR"</f>
        <v>600/6694660/SPK-Konsultansi/PPK/DPUPR</v>
      </c>
      <c r="AX156" t="str" s="63" cm="1">
        <f t="array" ref="AX156">"600/"&amp;$B156&amp;"/SPMK/PPK/DPUPR"</f>
        <v>600/6694660/SPMK/PPK/DPUPR</v>
      </c>
      <c r="AY156" s="53"/>
      <c r="AZ156" s="53"/>
      <c r="BA156" s="53"/>
      <c r="BB156" s="53"/>
      <c r="BC156" s="53"/>
      <c r="BD156" s="53"/>
      <c r="BE156" s="53"/>
      <c r="BF156" s="53"/>
      <c r="BG156" s="64">
        <v>162</v>
      </c>
      <c r="BH156" t="s" s="58">
        <v>210</v>
      </c>
      <c r="BI156" t="s" s="58">
        <v>21</v>
      </c>
      <c r="BJ156" t="s" s="58">
        <v>22</v>
      </c>
      <c r="BK156" t="s" s="58">
        <v>23</v>
      </c>
      <c r="BL156" t="s" s="58">
        <v>24</v>
      </c>
      <c r="BM156" s="53"/>
      <c r="BN156" s="53"/>
      <c r="BO156" s="53"/>
      <c r="BP156" s="53"/>
      <c r="BQ156" s="53"/>
      <c r="BR156" t="b" s="61">
        <v>0</v>
      </c>
      <c r="BS156" s="55" cm="1">
        <f t="array" ref="BS156">IF(M156&lt;=0.8*K156,5%*K156,M156*5%)</f>
        <v>4997750</v>
      </c>
      <c r="BT156" t="s" s="58">
        <v>173</v>
      </c>
      <c r="BU156" s="53"/>
      <c r="BV156" s="55" cm="1">
        <f t="array" ref="BV156">J156-M156</f>
        <v>45000</v>
      </c>
    </row>
    <row r="157" ht="44.25" customHeight="1">
      <c r="A157" s="49"/>
      <c r="B157" s="50">
        <v>6693660</v>
      </c>
      <c r="C157" t="s" s="51">
        <v>1509</v>
      </c>
      <c r="D157" t="s" s="65">
        <v>588</v>
      </c>
      <c r="E157" t="str" s="66" cm="1">
        <f t="array" ref="E157">$C157</f>
        <v>Pengawasan Jaringan Perpipaan Air Bersih Karya Bersama-Polewali-Bambalamotu-Sarude (DAK)</v>
      </c>
      <c r="F157" s="67"/>
      <c r="G157" s="66"/>
      <c r="H157" s="66"/>
      <c r="I157" s="66"/>
      <c r="J157" s="68">
        <v>100000000</v>
      </c>
      <c r="K157" s="68">
        <v>99999900</v>
      </c>
      <c r="L157" s="57">
        <v>99933300</v>
      </c>
      <c r="M157" s="68">
        <v>99933000</v>
      </c>
      <c r="N157" t="s" s="70">
        <v>261</v>
      </c>
      <c r="O157" t="s" s="71">
        <v>262</v>
      </c>
      <c r="P157" t="s" s="70">
        <v>4</v>
      </c>
      <c r="Q157" t="s" s="70">
        <v>263</v>
      </c>
      <c r="R157" t="s" s="70">
        <v>264</v>
      </c>
      <c r="S157" s="73">
        <v>53</v>
      </c>
      <c r="T157" s="72">
        <v>41288</v>
      </c>
      <c r="U157" t="s" s="70">
        <v>265</v>
      </c>
      <c r="V157" t="s" s="70">
        <v>266</v>
      </c>
      <c r="W157" t="s" s="70">
        <v>267</v>
      </c>
      <c r="X157" s="73">
        <v>163</v>
      </c>
      <c r="Y157" t="s" s="70">
        <v>107</v>
      </c>
      <c r="Z157" s="68" cm="1">
        <f t="array" ref="Z157">M157</f>
        <v>99933000</v>
      </c>
      <c r="AA157" t="s" s="70">
        <v>11</v>
      </c>
      <c r="AB157" s="72" cm="1">
        <f t="array" ref="AB157">AH157</f>
        <v>45494.417361111111</v>
      </c>
      <c r="AC157" s="66"/>
      <c r="AD157" t="s" s="70">
        <v>12</v>
      </c>
      <c r="AE157" t="s" s="70">
        <v>13</v>
      </c>
      <c r="AF157" t="s" s="70">
        <v>589</v>
      </c>
      <c r="AG157" s="72">
        <v>45493.833333333336</v>
      </c>
      <c r="AH157" s="72">
        <v>45494.417361111111</v>
      </c>
      <c r="AI157" s="72">
        <v>45494.427777777775</v>
      </c>
      <c r="AJ157" s="72">
        <v>45494.5</v>
      </c>
      <c r="AK157" s="72">
        <v>45495.5</v>
      </c>
      <c r="AL157" s="72">
        <v>45495.5</v>
      </c>
      <c r="AM157" s="72">
        <v>45495.5</v>
      </c>
      <c r="AN157" t="s" s="70">
        <v>1510</v>
      </c>
      <c r="AO157" s="72" cm="1">
        <f t="array" ref="AO157">AJ157</f>
        <v>45494.5</v>
      </c>
      <c r="AP157" t="s" s="70">
        <v>1511</v>
      </c>
      <c r="AQ157" s="72" cm="1">
        <f t="array" ref="AQ157">AJ157</f>
        <v>45494.5</v>
      </c>
      <c r="AR157" t="s" s="70">
        <v>1512</v>
      </c>
      <c r="AS157" s="72" cm="1">
        <f t="array" ref="AS157">AJ157</f>
        <v>45494.5</v>
      </c>
      <c r="AT157" t="s" s="78">
        <v>1513</v>
      </c>
      <c r="AU157" s="72" cm="1">
        <f t="array" ref="AU157">AJ157</f>
        <v>45494.5</v>
      </c>
      <c r="AV157" s="66"/>
      <c r="AW157" t="str" s="74" cm="1">
        <f t="array" ref="AW157">"600/"&amp;$B157&amp;"/"&amp;IF(AND($AE157="Konsultansi",M157&lt;=100000000),"SPK",IF(AND($AE157="Konsultansi",M157&gt;100000000),"Kont",IF(AND($AE157&lt;&gt;"Konsultansi",M157&lt;=200000000),"SPK","Kont")))&amp;"-"&amp;AE157&amp;"/PPK/DPUPR"</f>
        <v>600/6693660/SPK-Konsultansi/PPK/DPUPR</v>
      </c>
      <c r="AX157" t="str" s="74" cm="1">
        <f t="array" ref="AX157">"600/"&amp;$B157&amp;"/SPMK/PPK/DPUPR"</f>
        <v>600/6693660/SPMK/PPK/DPUPR</v>
      </c>
      <c r="AY157" s="66"/>
      <c r="AZ157" s="66"/>
      <c r="BA157" s="66"/>
      <c r="BB157" s="66"/>
      <c r="BC157" s="66"/>
      <c r="BD157" s="66"/>
      <c r="BE157" s="66"/>
      <c r="BF157" s="66"/>
      <c r="BG157" s="75">
        <v>1</v>
      </c>
      <c r="BH157" t="s" s="70">
        <v>261</v>
      </c>
      <c r="BI157" t="s" s="70">
        <v>21</v>
      </c>
      <c r="BJ157" t="s" s="70">
        <v>22</v>
      </c>
      <c r="BK157" t="s" s="70">
        <v>23</v>
      </c>
      <c r="BL157" t="s" s="70">
        <v>24</v>
      </c>
      <c r="BM157" s="66"/>
      <c r="BN157" s="66"/>
      <c r="BO157" s="66"/>
      <c r="BP157" s="66"/>
      <c r="BQ157" s="66"/>
      <c r="BR157" t="b" s="73">
        <v>0</v>
      </c>
      <c r="BS157" s="68" cm="1">
        <f t="array" ref="BS157">IF(M157&lt;=0.8*K157,5%*K157,M157*5%)</f>
        <v>4996650</v>
      </c>
      <c r="BT157" t="s" s="70">
        <v>173</v>
      </c>
      <c r="BU157" s="66"/>
      <c r="BV157" s="68" cm="1">
        <f t="array" ref="BV157">J157-M157</f>
        <v>67000</v>
      </c>
    </row>
    <row r="158" ht="36.25" customHeight="1">
      <c r="A158" s="49"/>
      <c r="B158" s="50">
        <v>6695660</v>
      </c>
      <c r="C158" t="s" s="51">
        <v>1516</v>
      </c>
      <c r="D158" t="s" s="52">
        <v>588</v>
      </c>
      <c r="E158" t="str" s="53" cm="1">
        <f t="array" ref="E158">$C158</f>
        <v>Pengawasan Jaringan Perpipaan Air Sarudu-Doda Benggaulu (DAK)</v>
      </c>
      <c r="F158" s="54"/>
      <c r="G158" s="53"/>
      <c r="H158" s="53"/>
      <c r="I158" s="53"/>
      <c r="J158" s="55">
        <v>100000000</v>
      </c>
      <c r="K158" s="55">
        <v>99999900</v>
      </c>
      <c r="L158" s="57">
        <v>99944400</v>
      </c>
      <c r="M158" s="55">
        <v>99944000</v>
      </c>
      <c r="N158" t="s" s="58">
        <v>1517</v>
      </c>
      <c r="O158" t="s" s="59">
        <v>1518</v>
      </c>
      <c r="P158" t="s" s="58">
        <v>4</v>
      </c>
      <c r="Q158" t="s" s="58">
        <v>1519</v>
      </c>
      <c r="R158" t="s" s="58">
        <v>1520</v>
      </c>
      <c r="S158" s="61">
        <v>35</v>
      </c>
      <c r="T158" s="60">
        <v>45322</v>
      </c>
      <c r="U158" t="s" s="58">
        <v>1521</v>
      </c>
      <c r="V158" t="s" s="58">
        <v>1522</v>
      </c>
      <c r="W158" t="s" s="58">
        <v>1523</v>
      </c>
      <c r="X158" s="61">
        <v>163</v>
      </c>
      <c r="Y158" t="s" s="58">
        <v>107</v>
      </c>
      <c r="Z158" s="55" cm="1">
        <f t="array" ref="Z158">M158</f>
        <v>99944000</v>
      </c>
      <c r="AA158" t="s" s="58">
        <v>11</v>
      </c>
      <c r="AB158" s="60" cm="1">
        <f t="array" ref="AB158">AH158</f>
        <v>45495.417361111111</v>
      </c>
      <c r="AC158" s="53"/>
      <c r="AD158" t="s" s="58">
        <v>12</v>
      </c>
      <c r="AE158" t="s" s="58">
        <v>13</v>
      </c>
      <c r="AF158" t="s" s="58">
        <v>589</v>
      </c>
      <c r="AG158" s="60">
        <v>45494.666666666664</v>
      </c>
      <c r="AH158" s="60">
        <v>45495.417361111111</v>
      </c>
      <c r="AI158" s="60">
        <v>45495.427777777775</v>
      </c>
      <c r="AJ158" s="60">
        <v>45495.500694444447</v>
      </c>
      <c r="AK158" s="60">
        <v>45495.5</v>
      </c>
      <c r="AL158" s="60">
        <v>45495.5</v>
      </c>
      <c r="AM158" s="60">
        <v>45495.5</v>
      </c>
      <c r="AN158" t="s" s="58">
        <v>1524</v>
      </c>
      <c r="AO158" s="60" cm="1">
        <f t="array" ref="AO158">AJ158</f>
        <v>45495.500694444447</v>
      </c>
      <c r="AP158" t="s" s="58">
        <v>1525</v>
      </c>
      <c r="AQ158" s="60" cm="1">
        <f t="array" ref="AQ158">AJ158</f>
        <v>45495.500694444447</v>
      </c>
      <c r="AR158" t="s" s="58">
        <v>1526</v>
      </c>
      <c r="AS158" s="60" cm="1">
        <f t="array" ref="AS158">AJ158</f>
        <v>45495.500694444447</v>
      </c>
      <c r="AT158" t="s" s="78">
        <v>1527</v>
      </c>
      <c r="AU158" s="60" cm="1">
        <f t="array" ref="AU158">AJ158</f>
        <v>45495.500694444447</v>
      </c>
      <c r="AV158" s="53"/>
      <c r="AW158" t="str" s="63" cm="1">
        <f t="array" ref="AW158">"600/"&amp;$B158&amp;"/"&amp;IF(AND($AE158="Konsultansi",M158&lt;=100000000),"SPK",IF(AND($AE158="Konsultansi",M158&gt;100000000),"Kont",IF(AND($AE158&lt;&gt;"Konsultansi",M158&lt;=200000000),"SPK","Kont")))&amp;"-"&amp;AE158&amp;"/PPK/DPUPR"</f>
        <v>600/6695660/SPK-Konsultansi/PPK/DPUPR</v>
      </c>
      <c r="AX158" t="str" s="63" cm="1">
        <f t="array" ref="AX158">"600/"&amp;$B158&amp;"/SPMK/PPK/DPUPR"</f>
        <v>600/6695660/SPMK/PPK/DPUPR</v>
      </c>
      <c r="AY158" s="53"/>
      <c r="AZ158" s="53"/>
      <c r="BA158" s="53"/>
      <c r="BB158" s="53"/>
      <c r="BC158" s="53"/>
      <c r="BD158" s="53"/>
      <c r="BE158" s="53"/>
      <c r="BF158" s="53"/>
      <c r="BG158" s="64">
        <v>237</v>
      </c>
      <c r="BH158" t="s" s="58">
        <v>1517</v>
      </c>
      <c r="BI158" t="s" s="58">
        <v>21</v>
      </c>
      <c r="BJ158" t="s" s="58">
        <v>22</v>
      </c>
      <c r="BK158" t="s" s="58">
        <v>23</v>
      </c>
      <c r="BL158" t="s" s="58">
        <v>24</v>
      </c>
      <c r="BM158" s="53"/>
      <c r="BN158" s="53"/>
      <c r="BO158" s="53"/>
      <c r="BP158" s="53"/>
      <c r="BQ158" s="53"/>
      <c r="BR158" t="b" s="61">
        <v>0</v>
      </c>
      <c r="BS158" s="55" cm="1">
        <f t="array" ref="BS158">IF(M158&lt;=0.8*K158,5%*K158,M158*5%)</f>
        <v>4997200</v>
      </c>
      <c r="BT158" t="s" s="58">
        <v>173</v>
      </c>
      <c r="BU158" s="53"/>
      <c r="BV158" s="55" cm="1">
        <f t="array" ref="BV158">J158-M158</f>
        <v>56000</v>
      </c>
    </row>
    <row r="159" ht="48.25" customHeight="1">
      <c r="A159" s="49"/>
      <c r="B159" s="50">
        <v>4917660</v>
      </c>
      <c r="C159" t="s" s="51">
        <v>1530</v>
      </c>
      <c r="D159" t="s" s="65">
        <v>588</v>
      </c>
      <c r="E159" t="str" s="66" cm="1">
        <f t="array" ref="E159">$C159</f>
        <v>Pengembangan Jaringan Distribusi dan Sambungan Rumah Desa Doda Kec. Sarudu.(DAK) </v>
      </c>
      <c r="F159" s="67"/>
      <c r="G159" s="66"/>
      <c r="H159" s="66"/>
      <c r="I159" s="66"/>
      <c r="J159" s="68">
        <v>1730000000</v>
      </c>
      <c r="K159" s="68">
        <v>1728519484</v>
      </c>
      <c r="L159" s="57">
        <v>1681532036.5</v>
      </c>
      <c r="M159" s="68">
        <v>1681532000</v>
      </c>
      <c r="N159" t="s" s="70">
        <v>1063</v>
      </c>
      <c r="O159" t="s" s="71">
        <v>1064</v>
      </c>
      <c r="P159" t="s" s="70">
        <v>4</v>
      </c>
      <c r="Q159" t="s" s="70">
        <v>1065</v>
      </c>
      <c r="R159" t="s" s="70">
        <v>1066</v>
      </c>
      <c r="S159" t="s" s="70">
        <v>1067</v>
      </c>
      <c r="T159" s="72">
        <v>43472</v>
      </c>
      <c r="U159" t="s" s="70">
        <v>1068</v>
      </c>
      <c r="V159" t="s" s="70">
        <v>1069</v>
      </c>
      <c r="W159" t="s" s="70">
        <v>1070</v>
      </c>
      <c r="X159" s="73">
        <v>163</v>
      </c>
      <c r="Y159" t="s" s="70">
        <v>107</v>
      </c>
      <c r="Z159" s="68" cm="1">
        <f t="array" ref="Z159">M159</f>
        <v>1681532000</v>
      </c>
      <c r="AA159" t="s" s="70">
        <v>1531</v>
      </c>
      <c r="AB159" s="72">
        <v>45474</v>
      </c>
      <c r="AC159" s="73">
        <v>360</v>
      </c>
      <c r="AD159" t="s" s="70">
        <v>109</v>
      </c>
      <c r="AE159" t="s" s="70">
        <v>110</v>
      </c>
      <c r="AF159" t="s" s="70">
        <v>589</v>
      </c>
      <c r="AG159" s="72"/>
      <c r="AH159" s="72"/>
      <c r="AI159" s="72"/>
      <c r="AJ159" s="72">
        <v>45495.500694444447</v>
      </c>
      <c r="AK159" s="72">
        <v>45495.5</v>
      </c>
      <c r="AL159" s="72">
        <v>45495.5</v>
      </c>
      <c r="AM159" s="72">
        <v>45495.5</v>
      </c>
      <c r="AN159" t="s" s="70">
        <v>1532</v>
      </c>
      <c r="AO159" s="72">
        <v>45485</v>
      </c>
      <c r="AP159" t="s" s="70">
        <v>1533</v>
      </c>
      <c r="AQ159" s="72" cm="1">
        <f t="array" ref="AQ159">AJ159</f>
        <v>45495.500694444447</v>
      </c>
      <c r="AR159" t="s" s="70">
        <v>1534</v>
      </c>
      <c r="AS159" s="72" cm="1">
        <f t="array" ref="AS159">AJ159</f>
        <v>45495.500694444447</v>
      </c>
      <c r="AT159" t="s" s="78">
        <v>1535</v>
      </c>
      <c r="AU159" s="72" cm="1">
        <f t="array" ref="AU159">AJ159</f>
        <v>45495.500694444447</v>
      </c>
      <c r="AV159" s="66"/>
      <c r="AW159" t="str" s="74" cm="1">
        <f t="array" ref="AW159">"600/"&amp;$B159&amp;"/"&amp;IF(AND($AE159="Konsultansi",M159&lt;=100000000),"SPK",IF(AND($AE159="Konsultansi",M159&gt;100000000),"Kont",IF(AND($AE159&lt;&gt;"Konsultansi",M159&lt;=200000000),"SPK","Kont")))&amp;"-"&amp;AE159&amp;"/PPK/DPUPR"</f>
        <v>600/4917660/Kont-Konstruksi/PPK/DPUPR</v>
      </c>
      <c r="AX159" t="str" s="74" cm="1">
        <f t="array" ref="AX159">"600/"&amp;$B159&amp;"/SPMK/PPK/DPUPR"</f>
        <v>600/4917660/SPMK/PPK/DPUPR</v>
      </c>
      <c r="AY159" s="66"/>
      <c r="AZ159" s="66"/>
      <c r="BA159" s="66"/>
      <c r="BB159" s="66"/>
      <c r="BC159" s="66"/>
      <c r="BD159" s="66"/>
      <c r="BE159" s="66"/>
      <c r="BF159" s="66"/>
      <c r="BG159" s="75">
        <v>230</v>
      </c>
      <c r="BH159" t="s" s="70">
        <v>1063</v>
      </c>
      <c r="BI159" t="s" s="70">
        <v>21</v>
      </c>
      <c r="BJ159" t="s" s="70">
        <v>22</v>
      </c>
      <c r="BK159" t="s" s="70">
        <v>23</v>
      </c>
      <c r="BL159" t="s" s="70">
        <v>24</v>
      </c>
      <c r="BM159" s="66"/>
      <c r="BN159" s="66"/>
      <c r="BO159" s="66"/>
      <c r="BP159" s="66"/>
      <c r="BQ159" s="66"/>
      <c r="BR159" t="b" s="73">
        <v>0</v>
      </c>
      <c r="BS159" s="68" cm="1">
        <f t="array" ref="BS159">IF(M159&lt;=0.8*K159,5%*K159,M159*5%)</f>
        <v>84076600</v>
      </c>
      <c r="BT159" t="s" s="70">
        <v>173</v>
      </c>
      <c r="BU159" s="66"/>
      <c r="BV159" s="68" cm="1">
        <f t="array" ref="BV159">J159-M159</f>
        <v>48468000</v>
      </c>
    </row>
    <row r="160" ht="60.25" customHeight="1">
      <c r="A160" s="49"/>
      <c r="B160" s="50">
        <v>6696660</v>
      </c>
      <c r="C160" t="s" s="51">
        <v>1538</v>
      </c>
      <c r="D160" t="s" s="52">
        <v>1</v>
      </c>
      <c r="E160" t="str" s="53" cm="1">
        <f t="array" ref="E160">$C160</f>
        <v>Peningkatan Jalan Pasangkayu</v>
      </c>
      <c r="F160" s="54"/>
      <c r="G160" s="53"/>
      <c r="H160" s="53"/>
      <c r="I160" s="53"/>
      <c r="J160" s="55">
        <v>190000000</v>
      </c>
      <c r="K160" s="77">
        <v>189816464.49</v>
      </c>
      <c r="L160" s="57">
        <v>189768039.45</v>
      </c>
      <c r="M160" s="55">
        <v>189768000</v>
      </c>
      <c r="N160" t="s" s="58">
        <v>1539</v>
      </c>
      <c r="O160" t="s" s="59">
        <v>1540</v>
      </c>
      <c r="P160" t="s" s="58">
        <v>4</v>
      </c>
      <c r="Q160" t="s" s="58">
        <v>1541</v>
      </c>
      <c r="R160" t="s" s="58">
        <v>1542</v>
      </c>
      <c r="S160" s="61">
        <v>46</v>
      </c>
      <c r="T160" s="60">
        <v>45310</v>
      </c>
      <c r="U160" t="s" s="58">
        <v>1543</v>
      </c>
      <c r="V160" t="s" s="58">
        <v>1544</v>
      </c>
      <c r="W160" t="s" s="58">
        <v>1545</v>
      </c>
      <c r="X160" s="61">
        <v>120</v>
      </c>
      <c r="Y160" t="s" s="58">
        <v>10</v>
      </c>
      <c r="Z160" s="55" cm="1">
        <f t="array" ref="Z160">M160</f>
        <v>189768000</v>
      </c>
      <c r="AA160" t="s" s="58">
        <v>11</v>
      </c>
      <c r="AB160" s="60" cm="1">
        <f t="array" ref="AB160">AH160</f>
        <v>45498.416666666664</v>
      </c>
      <c r="AC160" s="61">
        <v>180</v>
      </c>
      <c r="AD160" t="s" s="58">
        <v>109</v>
      </c>
      <c r="AE160" t="s" s="58">
        <v>110</v>
      </c>
      <c r="AF160" t="s" s="58">
        <v>111</v>
      </c>
      <c r="AG160" s="111">
        <v>45497.927083333336</v>
      </c>
      <c r="AH160" s="60">
        <v>45498.416666666664</v>
      </c>
      <c r="AI160" s="60">
        <v>45498.427777777775</v>
      </c>
      <c r="AJ160" s="60">
        <v>45498.500694444447</v>
      </c>
      <c r="AK160" s="60">
        <v>45498.625694444447</v>
      </c>
      <c r="AL160" s="60">
        <v>45498.625694444447</v>
      </c>
      <c r="AM160" s="60">
        <v>45498.625694444447</v>
      </c>
      <c r="AN160" t="s" s="58">
        <v>1546</v>
      </c>
      <c r="AO160" s="60" cm="1">
        <f t="array" ref="AO160">AJ160</f>
        <v>45498.500694444447</v>
      </c>
      <c r="AP160" t="s" s="58">
        <v>1547</v>
      </c>
      <c r="AQ160" s="60" cm="1">
        <f t="array" ref="AQ160">AJ160</f>
        <v>45498.500694444447</v>
      </c>
      <c r="AR160" t="s" s="58">
        <v>1548</v>
      </c>
      <c r="AS160" s="60" cm="1">
        <f t="array" ref="AS160">AJ160</f>
        <v>45498.500694444447</v>
      </c>
      <c r="AT160" t="s" s="78">
        <v>1549</v>
      </c>
      <c r="AU160" s="60" cm="1">
        <f t="array" ref="AU160">AJ160</f>
        <v>45498.500694444447</v>
      </c>
      <c r="AV160" s="53"/>
      <c r="AW160" t="str" s="63" cm="1">
        <f t="array" ref="AW160">"600/"&amp;$B160&amp;"/"&amp;IF(AND($AE160="Konsultansi",M160&lt;=100000000),"SPK",IF(AND($AE160="Konsultansi",M160&gt;100000000),"Kont",IF(AND($AE160&lt;&gt;"Konsultansi",M160&lt;=200000000),"SPK","Kont")))&amp;"-"&amp;AE160&amp;"/PPK/DPUPR"</f>
        <v>600/6696660/SPK-Konstruksi/PPK/DPUPR</v>
      </c>
      <c r="AX160" t="str" s="63" cm="1">
        <f t="array" ref="AX160">"600/"&amp;$B160&amp;"/SPMK/PPK/DPUPR"</f>
        <v>600/6696660/SPMK/PPK/DPUPR</v>
      </c>
      <c r="AY160" s="53"/>
      <c r="AZ160" s="53"/>
      <c r="BA160" s="53"/>
      <c r="BB160" s="53"/>
      <c r="BC160" s="53"/>
      <c r="BD160" s="53"/>
      <c r="BE160" s="53"/>
      <c r="BF160" s="53"/>
      <c r="BG160" s="64">
        <v>238</v>
      </c>
      <c r="BH160" t="s" s="58">
        <v>1539</v>
      </c>
      <c r="BI160" t="s" s="58">
        <v>21</v>
      </c>
      <c r="BJ160" t="s" s="58">
        <v>22</v>
      </c>
      <c r="BK160" t="s" s="58">
        <v>23</v>
      </c>
      <c r="BL160" t="s" s="58">
        <v>24</v>
      </c>
      <c r="BM160" s="53"/>
      <c r="BN160" s="53"/>
      <c r="BO160" s="53"/>
      <c r="BP160" s="53"/>
      <c r="BQ160" s="53"/>
      <c r="BR160" t="b" s="61">
        <v>0</v>
      </c>
      <c r="BS160" s="55" cm="1">
        <f t="array" ref="BS160">IF(M160&lt;=0.8*K160,5%*K160,M160*5%)</f>
        <v>9488400</v>
      </c>
      <c r="BT160" t="s" s="58">
        <v>25</v>
      </c>
      <c r="BU160" s="53"/>
      <c r="BV160" s="55" cm="1">
        <f t="array" ref="BV160">J160-M160</f>
        <v>232000</v>
      </c>
    </row>
    <row r="161" ht="44.25" customHeight="1">
      <c r="A161" s="49"/>
      <c r="B161" s="50">
        <v>4958660</v>
      </c>
      <c r="C161" t="s" s="51">
        <v>1552</v>
      </c>
      <c r="D161" t="s" s="65">
        <v>588</v>
      </c>
      <c r="E161" t="str" s="66" cm="1">
        <f t="array" ref="E161">$C161</f>
        <v>Pengembangan Jaringan Distribusi dan Sambungan Rumah Desa Randomayang Kec.Bambalamotu (DAK)</v>
      </c>
      <c r="F161" s="67"/>
      <c r="G161" s="66"/>
      <c r="H161" s="66"/>
      <c r="I161" s="66"/>
      <c r="J161" s="68">
        <v>837590000</v>
      </c>
      <c r="K161" s="68">
        <v>837400977</v>
      </c>
      <c r="L161" s="57">
        <v>820463906.74</v>
      </c>
      <c r="M161" s="68">
        <v>820463000</v>
      </c>
      <c r="N161" t="s" s="70">
        <v>1553</v>
      </c>
      <c r="O161" t="s" s="71">
        <v>1554</v>
      </c>
      <c r="P161" t="s" s="70">
        <v>4</v>
      </c>
      <c r="Q161" t="s" s="70">
        <v>1555</v>
      </c>
      <c r="R161" t="s" s="70">
        <v>1556</v>
      </c>
      <c r="S161" s="73">
        <v>17</v>
      </c>
      <c r="T161" s="72">
        <v>44426</v>
      </c>
      <c r="U161" t="s" s="70">
        <v>1557</v>
      </c>
      <c r="V161" t="s" s="70">
        <v>1558</v>
      </c>
      <c r="W161" t="s" s="70">
        <v>1559</v>
      </c>
      <c r="X161" s="73">
        <v>155</v>
      </c>
      <c r="Y161" t="s" s="70">
        <v>107</v>
      </c>
      <c r="Z161" s="68" cm="1">
        <f t="array" ref="Z161">M161</f>
        <v>820463000</v>
      </c>
      <c r="AA161" t="s" s="70">
        <v>1560</v>
      </c>
      <c r="AB161" s="72">
        <v>374208</v>
      </c>
      <c r="AC161" s="73">
        <v>360</v>
      </c>
      <c r="AD161" t="s" s="70">
        <v>109</v>
      </c>
      <c r="AE161" t="s" s="70">
        <v>110</v>
      </c>
      <c r="AF161" t="s" s="70">
        <v>589</v>
      </c>
      <c r="AG161" s="72"/>
      <c r="AH161" s="72"/>
      <c r="AI161" s="72"/>
      <c r="AJ161" s="72"/>
      <c r="AK161" s="72">
        <v>45502</v>
      </c>
      <c r="AL161" s="72">
        <v>45503</v>
      </c>
      <c r="AM161" s="72">
        <v>45503</v>
      </c>
      <c r="AN161" t="s" s="70">
        <v>1561</v>
      </c>
      <c r="AO161" s="72">
        <v>45496</v>
      </c>
      <c r="AP161" t="s" s="70">
        <v>1562</v>
      </c>
      <c r="AQ161" s="66" cm="1">
        <f t="array" ref="AQ161">AJ161</f>
      </c>
      <c r="AR161" t="s" s="70">
        <v>1563</v>
      </c>
      <c r="AS161" s="66" cm="1">
        <f t="array" ref="AS161">AJ161</f>
      </c>
      <c r="AT161" t="s" s="78">
        <v>1564</v>
      </c>
      <c r="AU161" s="66" cm="1">
        <f t="array" ref="AU161">AJ161</f>
      </c>
      <c r="AV161" s="66"/>
      <c r="AW161" t="str" s="74" cm="1">
        <f t="array" ref="AW161">"600/"&amp;$B161&amp;"/"&amp;IF(AND($AE161="Konsultansi",M161&lt;=100000000),"SPK",IF(AND($AE161="Konsultansi",M161&gt;100000000),"Kont",IF(AND($AE161&lt;&gt;"Konsultansi",M161&lt;=200000000),"SPK","Kont")))&amp;"-"&amp;AE161&amp;"/PPK/DPUPR"</f>
        <v>600/4958660/Kont-Konstruksi/PPK/DPUPR</v>
      </c>
      <c r="AX161" t="str" s="74" cm="1">
        <f t="array" ref="AX161">"600/"&amp;$B161&amp;"/SPMK/PPK/DPUPR"</f>
        <v>600/4958660/SPMK/PPK/DPUPR</v>
      </c>
      <c r="AY161" s="66"/>
      <c r="AZ161" s="66"/>
      <c r="BA161" s="66"/>
      <c r="BB161" s="66"/>
      <c r="BC161" s="66"/>
      <c r="BD161" s="66"/>
      <c r="BE161" s="66"/>
      <c r="BF161" s="66"/>
      <c r="BG161" s="75">
        <v>239</v>
      </c>
      <c r="BH161" t="s" s="70">
        <v>1553</v>
      </c>
      <c r="BI161" t="s" s="70">
        <v>21</v>
      </c>
      <c r="BJ161" t="s" s="70">
        <v>22</v>
      </c>
      <c r="BK161" t="s" s="70">
        <v>23</v>
      </c>
      <c r="BL161" t="s" s="70">
        <v>24</v>
      </c>
      <c r="BM161" s="66"/>
      <c r="BN161" s="66"/>
      <c r="BO161" s="66"/>
      <c r="BP161" s="66"/>
      <c r="BQ161" s="66"/>
      <c r="BR161" t="b" s="73">
        <v>0</v>
      </c>
      <c r="BS161" s="68" cm="1">
        <f t="array" ref="BS161">IF(M161&lt;=0.8*K161,5%*K161,M161*5%)</f>
        <v>41023150</v>
      </c>
      <c r="BT161" t="s" s="70">
        <v>173</v>
      </c>
      <c r="BU161" s="66"/>
      <c r="BV161" s="68" cm="1">
        <f t="array" ref="BV161">J161-M161</f>
        <v>17127000</v>
      </c>
    </row>
    <row r="162" ht="36.25" customHeight="1">
      <c r="A162" s="49"/>
      <c r="B162" s="50">
        <v>6699660</v>
      </c>
      <c r="C162" t="s" s="51">
        <v>1567</v>
      </c>
      <c r="D162" t="s" s="52">
        <v>1</v>
      </c>
      <c r="E162" t="str" s="53" cm="1">
        <f t="array" ref="E162">$C162</f>
        <v>Peningkatan Jalan Dusun Dodingi</v>
      </c>
      <c r="F162" s="54"/>
      <c r="G162" s="53"/>
      <c r="H162" s="53"/>
      <c r="I162" s="53"/>
      <c r="J162" s="55">
        <v>80000000</v>
      </c>
      <c r="K162" s="56">
        <v>79943173.5</v>
      </c>
      <c r="L162" s="57">
        <v>79658262.54000001</v>
      </c>
      <c r="M162" s="55">
        <v>79658000</v>
      </c>
      <c r="N162" t="s" s="58">
        <v>973</v>
      </c>
      <c r="O162" t="s" s="59">
        <v>974</v>
      </c>
      <c r="P162" t="s" s="58">
        <v>4</v>
      </c>
      <c r="Q162" t="s" s="58">
        <v>975</v>
      </c>
      <c r="R162" t="s" s="58">
        <v>976</v>
      </c>
      <c r="S162" s="114">
        <v>43101</v>
      </c>
      <c r="T162" s="60">
        <v>43411</v>
      </c>
      <c r="U162" t="s" s="58">
        <v>977</v>
      </c>
      <c r="V162" t="s" s="58">
        <v>978</v>
      </c>
      <c r="W162" t="s" s="58">
        <v>979</v>
      </c>
      <c r="X162" s="61">
        <v>90</v>
      </c>
      <c r="Y162" t="s" s="58">
        <v>10</v>
      </c>
      <c r="Z162" s="55" cm="1">
        <f t="array" ref="Z162">M162</f>
        <v>79658000</v>
      </c>
      <c r="AA162" t="s" s="58">
        <v>11</v>
      </c>
      <c r="AB162" s="60" cm="1">
        <f t="array" ref="AB162">AH162</f>
        <v>45526.542361111111</v>
      </c>
      <c r="AC162" s="61">
        <v>180</v>
      </c>
      <c r="AD162" t="s" s="58">
        <v>109</v>
      </c>
      <c r="AE162" t="s" s="58">
        <v>110</v>
      </c>
      <c r="AF162" t="s" s="58">
        <v>111</v>
      </c>
      <c r="AG162" s="60">
        <v>45525.416666666664</v>
      </c>
      <c r="AH162" s="60">
        <v>45526.542361111111</v>
      </c>
      <c r="AI162" s="60">
        <v>45526.552777777775</v>
      </c>
      <c r="AJ162" s="60">
        <v>45526.584027777775</v>
      </c>
      <c r="AK162" s="60">
        <v>45526.667361111111</v>
      </c>
      <c r="AL162" s="60">
        <v>45526.667361111111</v>
      </c>
      <c r="AM162" s="60">
        <v>45526.667361111111</v>
      </c>
      <c r="AN162" t="s" s="58">
        <v>1568</v>
      </c>
      <c r="AO162" s="60" cm="1">
        <f t="array" ref="AO162">AJ162</f>
        <v>45526.584027777775</v>
      </c>
      <c r="AP162" t="s" s="58">
        <v>1569</v>
      </c>
      <c r="AQ162" s="60" cm="1">
        <f t="array" ref="AQ162">AJ162</f>
        <v>45526.584027777775</v>
      </c>
      <c r="AR162" t="s" s="58">
        <v>1570</v>
      </c>
      <c r="AS162" s="60" cm="1">
        <f t="array" ref="AS162">AJ162</f>
        <v>45526.584027777775</v>
      </c>
      <c r="AT162" t="s" s="78">
        <v>1571</v>
      </c>
      <c r="AU162" s="60" cm="1">
        <f t="array" ref="AU162">AJ162</f>
        <v>45526.584027777775</v>
      </c>
      <c r="AV162" s="53"/>
      <c r="AW162" t="str" s="63" cm="1">
        <f t="array" ref="AW162">"600/"&amp;$B162&amp;"/"&amp;IF(AND($AE162="Konsultansi",M162&lt;=100000000),"SPK",IF(AND($AE162="Konsultansi",M162&gt;100000000),"Kont",IF(AND($AE162&lt;&gt;"Konsultansi",M162&lt;=200000000),"SPK","Kont")))&amp;"-"&amp;AE162&amp;"/PPK/DPUPR"</f>
        <v>600/6699660/SPK-Konstruksi/PPK/DPUPR</v>
      </c>
      <c r="AX162" t="str" s="63" cm="1">
        <f t="array" ref="AX162">"600/"&amp;$B162&amp;"/SPMK/PPK/DPUPR"</f>
        <v>600/6699660/SPMK/PPK/DPUPR</v>
      </c>
      <c r="AY162" s="53"/>
      <c r="AZ162" s="53"/>
      <c r="BA162" s="53"/>
      <c r="BB162" s="53"/>
      <c r="BC162" s="53"/>
      <c r="BD162" s="53"/>
      <c r="BE162" s="53"/>
      <c r="BF162" s="53"/>
      <c r="BG162" s="64">
        <v>172</v>
      </c>
      <c r="BH162" t="s" s="58">
        <v>973</v>
      </c>
      <c r="BI162" t="s" s="58">
        <v>21</v>
      </c>
      <c r="BJ162" t="s" s="58">
        <v>22</v>
      </c>
      <c r="BK162" t="s" s="58">
        <v>23</v>
      </c>
      <c r="BL162" t="s" s="58">
        <v>24</v>
      </c>
      <c r="BM162" s="53"/>
      <c r="BN162" s="53"/>
      <c r="BO162" s="53"/>
      <c r="BP162" s="53"/>
      <c r="BQ162" s="53"/>
      <c r="BR162" t="b" s="61">
        <v>0</v>
      </c>
      <c r="BS162" s="55" cm="1">
        <f t="array" ref="BS162">IF(M162&lt;=0.8*K162,5%*K162,M162*5%)</f>
        <v>3982900</v>
      </c>
      <c r="BT162" t="s" s="58">
        <v>25</v>
      </c>
      <c r="BU162" s="53"/>
      <c r="BV162" s="55" cm="1">
        <f t="array" ref="BV162">J162-M162</f>
        <v>342000</v>
      </c>
    </row>
    <row r="163" ht="24.25" customHeight="1">
      <c r="A163" s="49"/>
      <c r="B163" s="49"/>
      <c r="C163" s="101"/>
      <c r="D163" s="106"/>
      <c r="E163" s="73" cm="1">
        <f t="array" ref="E163">$C163</f>
        <v>0</v>
      </c>
      <c r="F163" s="67"/>
      <c r="G163" s="66"/>
      <c r="H163" s="66"/>
      <c r="I163" s="66"/>
      <c r="J163" s="68"/>
      <c r="K163" s="68"/>
      <c r="L163" s="57"/>
      <c r="M163" s="68"/>
      <c r="N163" t="s" s="70">
        <v>676</v>
      </c>
      <c r="O163" t="s" s="71">
        <v>676</v>
      </c>
      <c r="P163" t="s" s="70">
        <v>676</v>
      </c>
      <c r="Q163" t="s" s="70">
        <v>676</v>
      </c>
      <c r="R163" t="s" s="70">
        <v>676</v>
      </c>
      <c r="S163" t="s" s="70">
        <v>676</v>
      </c>
      <c r="T163" t="s" s="70">
        <v>676</v>
      </c>
      <c r="U163" t="s" s="70">
        <v>676</v>
      </c>
      <c r="V163" t="s" s="70">
        <v>676</v>
      </c>
      <c r="W163" t="s" s="70">
        <v>676</v>
      </c>
      <c r="X163" s="66"/>
      <c r="Y163" s="66"/>
      <c r="Z163" s="68" cm="1">
        <f t="array" ref="Z163">M163</f>
        <v>0</v>
      </c>
      <c r="AA163" s="66"/>
      <c r="AB163" s="72" cm="1">
        <f t="array" ref="AB163">AH163</f>
      </c>
      <c r="AC163" s="66"/>
      <c r="AD163" s="66"/>
      <c r="AE163" t="s" s="70">
        <v>701</v>
      </c>
      <c r="AF163" s="66"/>
      <c r="AG163" s="72"/>
      <c r="AH163" s="72"/>
      <c r="AI163" s="72"/>
      <c r="AJ163" s="72"/>
      <c r="AK163" s="72"/>
      <c r="AL163" s="72"/>
      <c r="AM163" s="72"/>
      <c r="AN163" t="s" s="70">
        <v>677</v>
      </c>
      <c r="AO163" s="66" cm="1">
        <f t="array" ref="AO163">AJ163</f>
      </c>
      <c r="AP163" t="s" s="70">
        <v>678</v>
      </c>
      <c r="AQ163" s="66" cm="1">
        <f t="array" ref="AQ163">AJ163</f>
      </c>
      <c r="AR163" t="s" s="70">
        <v>702</v>
      </c>
      <c r="AS163" s="66" cm="1">
        <f t="array" ref="AS163">AJ163</f>
      </c>
      <c r="AT163" t="s" s="78">
        <v>703</v>
      </c>
      <c r="AU163" s="66" cm="1">
        <f t="array" ref="AU163">AJ163</f>
      </c>
      <c r="AV163" s="66"/>
      <c r="AW163" t="str" s="74" cm="1">
        <f t="array" ref="AW163">"600/"&amp;$B163&amp;"/"&amp;IF(AND($AE163="Konsultansi",M163&lt;=100000000),"SPK",IF(AND($AE163="Konsultansi",M163&gt;100000000),"Kont",IF(AND($AE163&lt;&gt;"Konsultansi",M163&lt;=200000000),"SPK","Kont")))&amp;"-"&amp;AE163&amp;"/PPK/DPUPR"</f>
        <v>600//SPK-Barang/PPK/DPUPR</v>
      </c>
      <c r="AX163" t="str" s="74" cm="1">
        <f t="array" ref="AX163">"600/"&amp;$B163&amp;"/SPMK/PPK/DPUPR"</f>
        <v>600//SPMK/PPK/DPUPR</v>
      </c>
      <c r="AY163" s="66"/>
      <c r="AZ163" s="66"/>
      <c r="BA163" s="66"/>
      <c r="BB163" s="66"/>
      <c r="BC163" s="66"/>
      <c r="BD163" s="66"/>
      <c r="BE163" s="66"/>
      <c r="BF163" s="66"/>
      <c r="BG163" s="102"/>
      <c r="BH163" t="s" s="70">
        <v>683</v>
      </c>
      <c r="BI163" t="s" s="70">
        <v>21</v>
      </c>
      <c r="BJ163" t="s" s="70">
        <v>22</v>
      </c>
      <c r="BK163" t="s" s="70">
        <v>23</v>
      </c>
      <c r="BL163" t="s" s="70">
        <v>24</v>
      </c>
      <c r="BM163" s="66"/>
      <c r="BN163" s="66"/>
      <c r="BO163" s="66"/>
      <c r="BP163" s="66"/>
      <c r="BQ163" s="66"/>
      <c r="BR163" t="b" s="73">
        <v>0</v>
      </c>
      <c r="BS163" s="68" cm="1">
        <f t="array" ref="BS163">IF(M163&lt;=0.8*K163,5%*K163,M163*5%)</f>
        <v>0</v>
      </c>
      <c r="BT163" t="s" s="70">
        <v>705</v>
      </c>
      <c r="BU163" s="66"/>
      <c r="BV163" s="68" cm="1">
        <f t="array" ref="BV163">J163-M163</f>
        <v>0</v>
      </c>
    </row>
    <row r="164" ht="20.25" customHeight="1">
      <c r="A164" s="49"/>
      <c r="B164" s="49"/>
      <c r="C164" s="101"/>
      <c r="D164" s="104"/>
      <c r="E164" s="53"/>
      <c r="F164" s="54"/>
      <c r="G164" s="53"/>
      <c r="H164" s="53"/>
      <c r="I164" s="53"/>
      <c r="J164" s="55"/>
      <c r="K164" s="55"/>
      <c r="L164" s="57"/>
      <c r="M164" s="55"/>
      <c r="N164" s="53"/>
      <c r="O164" s="115"/>
      <c r="P164" s="53"/>
      <c r="Q164" s="53"/>
      <c r="R164" s="53"/>
      <c r="S164" s="53"/>
      <c r="T164" s="53"/>
      <c r="U164" s="53"/>
      <c r="V164" s="53"/>
      <c r="W164" s="53"/>
      <c r="X164" s="53"/>
      <c r="Y164" s="53"/>
      <c r="Z164" s="55"/>
      <c r="AA164" s="53"/>
      <c r="AB164" s="60"/>
      <c r="AC164" s="53"/>
      <c r="AD164" s="53"/>
      <c r="AE164" s="58"/>
      <c r="AF164" s="53"/>
      <c r="AG164" s="60"/>
      <c r="AH164" s="60"/>
      <c r="AI164" s="60"/>
      <c r="AJ164" s="60"/>
      <c r="AK164" s="60"/>
      <c r="AL164" s="60"/>
      <c r="AM164" s="60"/>
      <c r="AN164" s="53"/>
      <c r="AO164" s="53"/>
      <c r="AP164" s="53"/>
      <c r="AQ164" s="53"/>
      <c r="AR164" s="53"/>
      <c r="AS164" s="53"/>
      <c r="AT164" s="62"/>
      <c r="AU164" s="53"/>
      <c r="AV164" s="53"/>
      <c r="AW164" s="63"/>
      <c r="AX164" s="63"/>
      <c r="AY164" s="53"/>
      <c r="AZ164" s="53"/>
      <c r="BA164" s="53"/>
      <c r="BB164" s="53"/>
      <c r="BC164" s="53"/>
      <c r="BD164" s="53"/>
      <c r="BE164" s="53"/>
      <c r="BF164" s="53"/>
      <c r="BG164" s="103"/>
      <c r="BH164" s="53"/>
      <c r="BI164" s="58"/>
      <c r="BJ164" s="58"/>
      <c r="BK164" s="58"/>
      <c r="BL164" s="58"/>
      <c r="BM164" s="53"/>
      <c r="BN164" s="53"/>
      <c r="BO164" s="53"/>
      <c r="BP164" s="53"/>
      <c r="BQ164" s="53"/>
      <c r="BR164" s="53"/>
      <c r="BS164" s="53"/>
      <c r="BT164" s="53"/>
      <c r="BU164" s="53"/>
      <c r="BV164" s="55"/>
    </row>
    <row r="165" ht="36.25" customHeight="1">
      <c r="A165" s="49"/>
      <c r="B165" s="50">
        <v>6775660</v>
      </c>
      <c r="C165" t="s" s="51">
        <v>1574</v>
      </c>
      <c r="D165" t="s" s="65">
        <v>1</v>
      </c>
      <c r="E165" t="str" s="66" cm="1">
        <f t="array" ref="E165">$C165</f>
        <v>Peningkatan Jalan Pantai Maleo</v>
      </c>
      <c r="F165" s="67"/>
      <c r="G165" s="66"/>
      <c r="H165" s="66"/>
      <c r="I165" s="66"/>
      <c r="J165" s="68">
        <v>180000000</v>
      </c>
      <c r="K165" s="76">
        <v>179659192.35</v>
      </c>
      <c r="L165" s="57">
        <v>179584383.18</v>
      </c>
      <c r="M165" s="68">
        <v>179584000</v>
      </c>
      <c r="N165" t="s" s="70">
        <v>973</v>
      </c>
      <c r="O165" t="s" s="71">
        <v>974</v>
      </c>
      <c r="P165" t="s" s="70">
        <v>4</v>
      </c>
      <c r="Q165" t="s" s="70">
        <v>975</v>
      </c>
      <c r="R165" t="s" s="70">
        <v>976</v>
      </c>
      <c r="S165" s="107">
        <v>43101</v>
      </c>
      <c r="T165" s="72">
        <v>43411</v>
      </c>
      <c r="U165" t="s" s="70">
        <v>977</v>
      </c>
      <c r="V165" t="s" s="70">
        <v>978</v>
      </c>
      <c r="W165" t="s" s="70">
        <v>979</v>
      </c>
      <c r="X165" s="73">
        <v>120</v>
      </c>
      <c r="Y165" t="s" s="70">
        <v>10</v>
      </c>
      <c r="Z165" s="68" cm="1">
        <f t="array" ref="Z165">M165</f>
        <v>179584000</v>
      </c>
      <c r="AA165" t="s" s="70">
        <v>11</v>
      </c>
      <c r="AB165" s="72" cm="1">
        <f t="array" ref="AB165">AH165</f>
        <v>45534.625</v>
      </c>
      <c r="AC165" s="73">
        <v>180</v>
      </c>
      <c r="AD165" t="s" s="70">
        <v>109</v>
      </c>
      <c r="AE165" t="s" s="70">
        <v>110</v>
      </c>
      <c r="AF165" t="s" s="70">
        <v>111</v>
      </c>
      <c r="AG165" s="72">
        <v>45534.576388888891</v>
      </c>
      <c r="AH165" s="72">
        <v>45534.625</v>
      </c>
      <c r="AI165" s="72">
        <v>45534.632638888892</v>
      </c>
      <c r="AJ165" s="72">
        <v>45534.646527777775</v>
      </c>
      <c r="AK165" s="72">
        <v>45534.688194444447</v>
      </c>
      <c r="AL165" s="72">
        <v>45534.688194444447</v>
      </c>
      <c r="AM165" s="72">
        <v>45534.688194444447</v>
      </c>
      <c r="AN165" t="s" s="70">
        <v>1575</v>
      </c>
      <c r="AO165" s="72" cm="1">
        <f t="array" ref="AO165">AJ165</f>
        <v>45534.646527777775</v>
      </c>
      <c r="AP165" t="s" s="70">
        <v>1576</v>
      </c>
      <c r="AQ165" s="72" cm="1">
        <f t="array" ref="AQ165">AJ165</f>
        <v>45534.646527777775</v>
      </c>
      <c r="AR165" t="s" s="70">
        <v>1577</v>
      </c>
      <c r="AS165" s="72" cm="1">
        <f t="array" ref="AS165">AJ165</f>
        <v>45534.646527777775</v>
      </c>
      <c r="AT165" t="s" s="78">
        <v>1578</v>
      </c>
      <c r="AU165" s="72" cm="1">
        <f t="array" ref="AU165">AJ165</f>
        <v>45534.646527777775</v>
      </c>
      <c r="AV165" s="66"/>
      <c r="AW165" t="str" s="74" cm="1">
        <f t="array" ref="AW165">"600/"&amp;$B165&amp;"/"&amp;IF(AND($AE165="Konsultansi",M165&lt;=100000000),"SPK",IF(AND($AE165="Konsultansi",M165&gt;100000000),"Kont",IF(AND($AE165&lt;&gt;"Konsultansi",M165&lt;=200000000),"SPK","Kont")))&amp;"-"&amp;AE165&amp;"/PPK/DPUPR"</f>
        <v>600/6775660/SPK-Konstruksi/PPK/DPUPR</v>
      </c>
      <c r="AX165" t="str" s="74" cm="1">
        <f t="array" ref="AX165">"600/"&amp;$B165&amp;"/SPMK/PPK/DPUPR"</f>
        <v>600/6775660/SPMK/PPK/DPUPR</v>
      </c>
      <c r="AY165" s="66"/>
      <c r="AZ165" s="66"/>
      <c r="BA165" s="66"/>
      <c r="BB165" s="66"/>
      <c r="BC165" s="66"/>
      <c r="BD165" s="66"/>
      <c r="BE165" s="66"/>
      <c r="BF165" s="66"/>
      <c r="BG165" s="75">
        <v>172</v>
      </c>
      <c r="BH165" t="s" s="70">
        <v>973</v>
      </c>
      <c r="BI165" t="s" s="70">
        <v>21</v>
      </c>
      <c r="BJ165" t="s" s="70">
        <v>22</v>
      </c>
      <c r="BK165" t="s" s="70">
        <v>23</v>
      </c>
      <c r="BL165" t="s" s="70">
        <v>24</v>
      </c>
      <c r="BM165" s="66"/>
      <c r="BN165" s="66"/>
      <c r="BO165" s="66"/>
      <c r="BP165" s="66"/>
      <c r="BQ165" s="66"/>
      <c r="BR165" t="b" s="73">
        <v>0</v>
      </c>
      <c r="BS165" s="68" cm="1">
        <f t="array" ref="BS165">IF(M165&lt;=0.8*K165,5%*K165,M165*5%)</f>
        <v>8979200</v>
      </c>
      <c r="BT165" t="s" s="70">
        <v>25</v>
      </c>
      <c r="BU165" s="66"/>
      <c r="BV165" s="68" cm="1">
        <f t="array" ref="BV165">J165-M165</f>
        <v>416000</v>
      </c>
    </row>
    <row r="166" ht="36.25" customHeight="1">
      <c r="A166" s="49"/>
      <c r="B166" s="50">
        <v>6749660</v>
      </c>
      <c r="C166" t="s" s="51">
        <v>1581</v>
      </c>
      <c r="D166" t="s" s="52">
        <v>1582</v>
      </c>
      <c r="E166" t="str" s="53" cm="1">
        <f t="array" ref="E166">$C166</f>
        <v>Pemeliharaan Berkala/Rutin Jalan Kabupaten Pasangkayu</v>
      </c>
      <c r="F166" s="54"/>
      <c r="G166" s="53"/>
      <c r="H166" s="53"/>
      <c r="I166" s="53"/>
      <c r="J166" s="55">
        <v>100000000</v>
      </c>
      <c r="K166" s="55">
        <v>99991000</v>
      </c>
      <c r="L166" s="57">
        <v>99892764.7</v>
      </c>
      <c r="M166" s="55">
        <v>99848000</v>
      </c>
      <c r="N166" t="s" s="58">
        <v>973</v>
      </c>
      <c r="O166" t="s" s="59">
        <v>974</v>
      </c>
      <c r="P166" t="s" s="58">
        <v>4</v>
      </c>
      <c r="Q166" t="s" s="58">
        <v>975</v>
      </c>
      <c r="R166" t="s" s="58">
        <v>976</v>
      </c>
      <c r="S166" s="114">
        <v>43101</v>
      </c>
      <c r="T166" s="60">
        <v>43411</v>
      </c>
      <c r="U166" t="s" s="58">
        <v>977</v>
      </c>
      <c r="V166" t="s" s="58">
        <v>978</v>
      </c>
      <c r="W166" t="s" s="58">
        <v>979</v>
      </c>
      <c r="X166" s="61">
        <v>65</v>
      </c>
      <c r="Y166" t="s" s="58">
        <v>10</v>
      </c>
      <c r="Z166" s="55" cm="1">
        <f t="array" ref="Z166">M166</f>
        <v>99848000</v>
      </c>
      <c r="AA166" t="s" s="58">
        <v>11</v>
      </c>
      <c r="AB166" s="60" cm="1">
        <f t="array" ref="AB166">AH166</f>
        <v>45546.459027777775</v>
      </c>
      <c r="AC166" s="61">
        <v>180</v>
      </c>
      <c r="AD166" t="s" s="58">
        <v>109</v>
      </c>
      <c r="AE166" t="s" s="58">
        <v>110</v>
      </c>
      <c r="AF166" t="s" s="58">
        <v>1583</v>
      </c>
      <c r="AG166" s="60">
        <v>45545.979166666664</v>
      </c>
      <c r="AH166" s="60">
        <v>45546.459027777775</v>
      </c>
      <c r="AI166" s="60">
        <v>45546.469444444447</v>
      </c>
      <c r="AJ166" s="60">
        <v>45546.542361111111</v>
      </c>
      <c r="AK166" s="60">
        <v>45546.625694444447</v>
      </c>
      <c r="AL166" s="60">
        <v>45546.625694444447</v>
      </c>
      <c r="AM166" s="60">
        <v>45546.625694444447</v>
      </c>
      <c r="AN166" t="s" s="58">
        <v>1584</v>
      </c>
      <c r="AO166" s="60" cm="1">
        <f t="array" ref="AO166">AJ166</f>
        <v>45546.542361111111</v>
      </c>
      <c r="AP166" t="s" s="58">
        <v>1585</v>
      </c>
      <c r="AQ166" s="60" cm="1">
        <f t="array" ref="AQ166">AJ166</f>
        <v>45546.542361111111</v>
      </c>
      <c r="AR166" t="s" s="58">
        <v>1586</v>
      </c>
      <c r="AS166" s="60" cm="1">
        <f t="array" ref="AS166">AJ166</f>
        <v>45546.542361111111</v>
      </c>
      <c r="AT166" t="s" s="78">
        <v>1587</v>
      </c>
      <c r="AU166" s="60" cm="1">
        <f t="array" ref="AU166">AJ166</f>
        <v>45546.542361111111</v>
      </c>
      <c r="AV166" s="53"/>
      <c r="AW166" t="str" s="63" cm="1">
        <f t="array" ref="AW166">"600/"&amp;$B166&amp;"/"&amp;IF(AND($AE166="Konsultansi",M166&lt;=100000000),"SPK",IF(AND($AE166="Konsultansi",M166&gt;100000000),"Kont",IF(AND($AE166&lt;&gt;"Konsultansi",M166&lt;=200000000),"SPK","Kont")))&amp;"-"&amp;AE166&amp;"/PPK/DPUPR"</f>
        <v>600/6749660/SPK-Konstruksi/PPK/DPUPR</v>
      </c>
      <c r="AX166" t="str" s="63" cm="1">
        <f t="array" ref="AX166">"600/"&amp;$B166&amp;"/SPMK/PPK/DPUPR"</f>
        <v>600/6749660/SPMK/PPK/DPUPR</v>
      </c>
      <c r="AY166" s="53"/>
      <c r="AZ166" s="53"/>
      <c r="BA166" s="53"/>
      <c r="BB166" s="53"/>
      <c r="BC166" s="53"/>
      <c r="BD166" s="53"/>
      <c r="BE166" s="53"/>
      <c r="BF166" s="53"/>
      <c r="BG166" s="64">
        <v>172</v>
      </c>
      <c r="BH166" t="s" s="58">
        <v>973</v>
      </c>
      <c r="BI166" t="s" s="58">
        <v>21</v>
      </c>
      <c r="BJ166" t="s" s="58">
        <v>22</v>
      </c>
      <c r="BK166" t="s" s="58">
        <v>23</v>
      </c>
      <c r="BL166" t="s" s="58">
        <v>24</v>
      </c>
      <c r="BM166" s="53"/>
      <c r="BN166" s="53"/>
      <c r="BO166" s="53"/>
      <c r="BP166" s="53"/>
      <c r="BQ166" s="53"/>
      <c r="BR166" t="b" s="61">
        <v>0</v>
      </c>
      <c r="BS166" s="55" cm="1">
        <f t="array" ref="BS166">IF(M166&lt;=0.8*K166,5%*K166,M166*5%)</f>
        <v>4992400</v>
      </c>
      <c r="BT166" t="s" s="58">
        <v>25</v>
      </c>
      <c r="BU166" s="53"/>
      <c r="BV166" s="55" cm="1">
        <f t="array" ref="BV166">J166-M166</f>
        <v>152000</v>
      </c>
    </row>
    <row r="167" ht="48.25" customHeight="1">
      <c r="A167" s="49"/>
      <c r="B167" s="50">
        <v>6698660</v>
      </c>
      <c r="C167" t="s" s="51">
        <v>1590</v>
      </c>
      <c r="D167" t="s" s="65">
        <v>1</v>
      </c>
      <c r="E167" t="str" s="66" cm="1">
        <f t="array" ref="E167">$C167</f>
        <v>Peningkatan Jalan Dusun Tobajo</v>
      </c>
      <c r="F167" s="67"/>
      <c r="G167" s="66"/>
      <c r="H167" s="66"/>
      <c r="I167" s="66"/>
      <c r="J167" s="68">
        <v>180000000</v>
      </c>
      <c r="K167" s="76">
        <v>179639603.72</v>
      </c>
      <c r="L167" s="57">
        <v>179583132.16</v>
      </c>
      <c r="M167" s="68">
        <v>179583000</v>
      </c>
      <c r="N167" t="s" s="70">
        <v>1078</v>
      </c>
      <c r="O167" t="s" s="71">
        <v>1079</v>
      </c>
      <c r="P167" t="s" s="70">
        <v>4</v>
      </c>
      <c r="Q167" t="s" s="70">
        <v>1080</v>
      </c>
      <c r="R167" t="s" s="70">
        <v>1081</v>
      </c>
      <c r="S167" s="73">
        <v>171</v>
      </c>
      <c r="T167" s="72">
        <v>45320</v>
      </c>
      <c r="U167" t="s" s="70">
        <v>1082</v>
      </c>
      <c r="V167" t="s" s="70">
        <v>1083</v>
      </c>
      <c r="W167" t="s" s="70">
        <v>1084</v>
      </c>
      <c r="X167" s="73">
        <v>100</v>
      </c>
      <c r="Y167" t="s" s="70">
        <v>10</v>
      </c>
      <c r="Z167" s="68" cm="1">
        <f t="array" ref="Z167">M167</f>
        <v>179583000</v>
      </c>
      <c r="AA167" t="s" s="70">
        <v>11</v>
      </c>
      <c r="AB167" s="72" cm="1">
        <f t="array" ref="AB167">AH167</f>
        <v>45546.459027777775</v>
      </c>
      <c r="AC167" s="73">
        <v>180</v>
      </c>
      <c r="AD167" t="s" s="70">
        <v>109</v>
      </c>
      <c r="AE167" t="s" s="70">
        <v>110</v>
      </c>
      <c r="AF167" t="s" s="70">
        <v>111</v>
      </c>
      <c r="AG167" s="72">
        <v>45545.979166666664</v>
      </c>
      <c r="AH167" s="72">
        <v>45546.459027777775</v>
      </c>
      <c r="AI167" s="72">
        <v>45546.469444444447</v>
      </c>
      <c r="AJ167" s="72">
        <v>45546.542361111111</v>
      </c>
      <c r="AK167" s="72">
        <v>45546.625694444447</v>
      </c>
      <c r="AL167" s="72">
        <v>45546.625694444447</v>
      </c>
      <c r="AM167" s="72">
        <v>45546.625694444447</v>
      </c>
      <c r="AN167" t="s" s="70">
        <v>1591</v>
      </c>
      <c r="AO167" s="72" cm="1">
        <f t="array" ref="AO167">AJ167</f>
        <v>45546.542361111111</v>
      </c>
      <c r="AP167" t="s" s="70">
        <v>1592</v>
      </c>
      <c r="AQ167" s="72" cm="1">
        <f t="array" ref="AQ167">AJ167</f>
        <v>45546.542361111111</v>
      </c>
      <c r="AR167" t="s" s="70">
        <v>1593</v>
      </c>
      <c r="AS167" s="72" cm="1">
        <f t="array" ref="AS167">AJ167</f>
        <v>45546.542361111111</v>
      </c>
      <c r="AT167" t="s" s="78">
        <v>1594</v>
      </c>
      <c r="AU167" s="72" cm="1">
        <f t="array" ref="AU167">AJ167</f>
        <v>45546.542361111111</v>
      </c>
      <c r="AV167" s="66"/>
      <c r="AW167" t="str" s="74" cm="1">
        <f t="array" ref="AW167">"600/"&amp;$B167&amp;"/"&amp;IF(AND($AE167="Konsultansi",M167&lt;=100000000),"SPK",IF(AND($AE167="Konsultansi",M167&gt;100000000),"Kont",IF(AND($AE167&lt;&gt;"Konsultansi",M167&lt;=200000000),"SPK","Kont")))&amp;"-"&amp;AE167&amp;"/PPK/DPUPR"</f>
        <v>600/6698660/SPK-Konstruksi/PPK/DPUPR</v>
      </c>
      <c r="AX167" t="str" s="74" cm="1">
        <f t="array" ref="AX167">"600/"&amp;$B167&amp;"/SPMK/PPK/DPUPR"</f>
        <v>600/6698660/SPMK/PPK/DPUPR</v>
      </c>
      <c r="AY167" s="66"/>
      <c r="AZ167" s="66"/>
      <c r="BA167" s="66"/>
      <c r="BB167" s="66"/>
      <c r="BC167" s="66"/>
      <c r="BD167" s="66"/>
      <c r="BE167" s="66"/>
      <c r="BF167" s="66"/>
      <c r="BG167" s="75">
        <v>231</v>
      </c>
      <c r="BH167" t="s" s="70">
        <v>1078</v>
      </c>
      <c r="BI167" t="s" s="70">
        <v>21</v>
      </c>
      <c r="BJ167" t="s" s="70">
        <v>22</v>
      </c>
      <c r="BK167" t="s" s="70">
        <v>23</v>
      </c>
      <c r="BL167" t="s" s="70">
        <v>24</v>
      </c>
      <c r="BM167" s="66"/>
      <c r="BN167" s="66"/>
      <c r="BO167" s="66"/>
      <c r="BP167" s="66"/>
      <c r="BQ167" s="66"/>
      <c r="BR167" t="b" s="73">
        <v>0</v>
      </c>
      <c r="BS167" s="68" cm="1">
        <f t="array" ref="BS167">IF(M167&lt;=0.8*K167,5%*K167,M167*5%)</f>
        <v>8979150</v>
      </c>
      <c r="BT167" t="s" s="70">
        <v>25</v>
      </c>
      <c r="BU167" s="66"/>
      <c r="BV167" s="68" cm="1">
        <f t="array" ref="BV167">J167-M167</f>
        <v>417000</v>
      </c>
    </row>
    <row r="168" ht="36.25" customHeight="1">
      <c r="A168" s="49"/>
      <c r="B168" s="50">
        <v>6855660</v>
      </c>
      <c r="C168" t="s" s="51">
        <v>1597</v>
      </c>
      <c r="D168" t="s" s="52">
        <v>149</v>
      </c>
      <c r="E168" t="str" s="53" cm="1">
        <f t="array" ref="E168">$C168</f>
        <v>Pemb. Jembatan Gantung Teranggi (lanjutan) </v>
      </c>
      <c r="F168" s="54"/>
      <c r="G168" s="53"/>
      <c r="H168" s="53"/>
      <c r="I168" s="53"/>
      <c r="J168" s="55">
        <v>200000000</v>
      </c>
      <c r="K168" s="77">
        <v>199918993.04</v>
      </c>
      <c r="L168" s="57">
        <v>199149852.25</v>
      </c>
      <c r="M168" s="55">
        <v>199149000</v>
      </c>
      <c r="N168" t="s" s="58">
        <v>641</v>
      </c>
      <c r="O168" t="s" s="59">
        <v>642</v>
      </c>
      <c r="P168" t="s" s="58">
        <v>4</v>
      </c>
      <c r="Q168" t="s" s="58">
        <v>643</v>
      </c>
      <c r="R168" t="s" s="58">
        <v>644</v>
      </c>
      <c r="S168" s="100">
        <v>0.0213082259663033</v>
      </c>
      <c r="T168" s="60">
        <v>43242</v>
      </c>
      <c r="U168" t="s" s="58">
        <v>616</v>
      </c>
      <c r="V168" t="s" s="58">
        <v>645</v>
      </c>
      <c r="W168" t="s" s="58">
        <v>646</v>
      </c>
      <c r="X168" s="61">
        <v>104</v>
      </c>
      <c r="Y168" t="s" s="58">
        <v>10</v>
      </c>
      <c r="Z168" s="55" cm="1">
        <f t="array" ref="Z168">M168</f>
        <v>199149000</v>
      </c>
      <c r="AA168" t="s" s="58">
        <v>11</v>
      </c>
      <c r="AB168" s="60" cm="1">
        <f t="array" ref="AB168">AH168</f>
        <v>45553.417361111111</v>
      </c>
      <c r="AC168" s="61">
        <v>180</v>
      </c>
      <c r="AD168" t="s" s="58">
        <v>109</v>
      </c>
      <c r="AE168" t="s" s="58">
        <v>110</v>
      </c>
      <c r="AF168" t="s" s="58">
        <v>150</v>
      </c>
      <c r="AG168" s="60">
        <v>45552.625</v>
      </c>
      <c r="AH168" s="60">
        <v>45553.417361111111</v>
      </c>
      <c r="AI168" s="60">
        <v>45553.427777777775</v>
      </c>
      <c r="AJ168" s="60">
        <v>45553.500694444447</v>
      </c>
      <c r="AK168" s="60">
        <v>45553.584027777775</v>
      </c>
      <c r="AL168" s="60">
        <v>45553.584027777775</v>
      </c>
      <c r="AM168" s="60">
        <v>45553.584027777775</v>
      </c>
      <c r="AN168" t="s" s="58">
        <v>1598</v>
      </c>
      <c r="AO168" s="60" cm="1">
        <f t="array" ref="AO168">AJ168</f>
        <v>45553.500694444447</v>
      </c>
      <c r="AP168" t="s" s="58">
        <v>1599</v>
      </c>
      <c r="AQ168" s="60" cm="1">
        <f t="array" ref="AQ168">AJ168</f>
        <v>45553.500694444447</v>
      </c>
      <c r="AR168" t="s" s="58">
        <v>1600</v>
      </c>
      <c r="AS168" s="60" cm="1">
        <f t="array" ref="AS168">AJ168</f>
        <v>45553.500694444447</v>
      </c>
      <c r="AT168" t="s" s="78">
        <v>1601</v>
      </c>
      <c r="AU168" s="60" cm="1">
        <f t="array" ref="AU168">AJ168</f>
        <v>45553.500694444447</v>
      </c>
      <c r="AV168" s="53"/>
      <c r="AW168" t="str" s="63" cm="1">
        <f t="array" ref="AW168">"600/"&amp;$B168&amp;"/"&amp;IF(AND($AE168="Konsultansi",M168&lt;=100000000),"SPK",IF(AND($AE168="Konsultansi",M168&gt;100000000),"Kont",IF(AND($AE168&lt;&gt;"Konsultansi",M168&lt;=200000000),"SPK","Kont")))&amp;"-"&amp;AE168&amp;"/PPK/DPUPR"</f>
        <v>600/6855660/SPK-Konstruksi/PPK/DPUPR</v>
      </c>
      <c r="AX168" t="str" s="63" cm="1">
        <f t="array" ref="AX168">"600/"&amp;$B168&amp;"/SPMK/PPK/DPUPR"</f>
        <v>600/6855660/SPMK/PPK/DPUPR</v>
      </c>
      <c r="AY168" s="53"/>
      <c r="AZ168" s="53"/>
      <c r="BA168" s="53"/>
      <c r="BB168" s="53"/>
      <c r="BC168" s="53"/>
      <c r="BD168" s="53"/>
      <c r="BE168" s="53"/>
      <c r="BF168" s="53"/>
      <c r="BG168" s="64">
        <v>171</v>
      </c>
      <c r="BH168" t="s" s="58">
        <v>641</v>
      </c>
      <c r="BI168" t="s" s="58">
        <v>21</v>
      </c>
      <c r="BJ168" t="s" s="58">
        <v>22</v>
      </c>
      <c r="BK168" t="s" s="58">
        <v>23</v>
      </c>
      <c r="BL168" t="s" s="58">
        <v>24</v>
      </c>
      <c r="BM168" s="53"/>
      <c r="BN168" s="53"/>
      <c r="BO168" s="53"/>
      <c r="BP168" s="53"/>
      <c r="BQ168" s="53"/>
      <c r="BR168" t="b" s="61">
        <v>0</v>
      </c>
      <c r="BS168" s="55" cm="1">
        <f t="array" ref="BS168">IF(M168&lt;=0.8*K168,5%*K168,M168*5%)</f>
        <v>9957450</v>
      </c>
      <c r="BT168" t="s" s="58">
        <v>156</v>
      </c>
      <c r="BU168" s="53"/>
      <c r="BV168" s="55" cm="1">
        <f t="array" ref="BV168">J168-M168</f>
        <v>851000</v>
      </c>
    </row>
    <row r="169" ht="72.25" customHeight="1">
      <c r="A169" s="49"/>
      <c r="B169" s="50">
        <v>5963660</v>
      </c>
      <c r="C169" t="s" s="51">
        <v>1604</v>
      </c>
      <c r="D169" t="s" s="65">
        <v>165</v>
      </c>
      <c r="E169" t="str" s="66" cm="1">
        <f t="array" ref="E169">$C169</f>
        <v>Pembangunan Rumah Tahfidz Kalola</v>
      </c>
      <c r="F169" s="67"/>
      <c r="G169" s="66"/>
      <c r="H169" s="66"/>
      <c r="I169" s="66"/>
      <c r="J169" s="68">
        <v>452500000</v>
      </c>
      <c r="K169" s="68">
        <v>452420252</v>
      </c>
      <c r="L169" s="57">
        <v>434211689.85</v>
      </c>
      <c r="M169" s="68">
        <v>434211000</v>
      </c>
      <c r="N169" t="s" s="70">
        <v>1605</v>
      </c>
      <c r="O169" t="s" s="71">
        <v>1606</v>
      </c>
      <c r="P169" t="s" s="70">
        <v>4</v>
      </c>
      <c r="Q169" t="s" s="70">
        <v>1607</v>
      </c>
      <c r="R169" t="s" s="70">
        <v>1608</v>
      </c>
      <c r="S169" t="s" s="70">
        <v>1102</v>
      </c>
      <c r="T169" s="72">
        <v>44106</v>
      </c>
      <c r="U169" t="s" s="70">
        <v>1609</v>
      </c>
      <c r="V169" t="s" s="70">
        <v>1610</v>
      </c>
      <c r="W169" t="s" s="70">
        <v>1611</v>
      </c>
      <c r="X169" s="73">
        <v>100</v>
      </c>
      <c r="Y169" t="s" s="70">
        <v>10</v>
      </c>
      <c r="Z169" s="68" cm="1">
        <f t="array" ref="Z169">M169</f>
        <v>434211000</v>
      </c>
      <c r="AA169" t="s" s="70">
        <v>1612</v>
      </c>
      <c r="AB169" s="72">
        <v>45544</v>
      </c>
      <c r="AC169" s="73">
        <v>360</v>
      </c>
      <c r="AD169" t="s" s="70">
        <v>109</v>
      </c>
      <c r="AE169" t="s" s="70">
        <v>110</v>
      </c>
      <c r="AF169" t="s" s="70">
        <v>167</v>
      </c>
      <c r="AG169" s="72">
        <v>45539.333333333336</v>
      </c>
      <c r="AH169" s="72">
        <v>45544.543055555558</v>
      </c>
      <c r="AI169" s="72">
        <v>45545.573611111111</v>
      </c>
      <c r="AJ169" s="72">
        <v>45547.333333333336</v>
      </c>
      <c r="AK169" s="72">
        <v>45552.666666666664</v>
      </c>
      <c r="AL169" s="72">
        <v>45558</v>
      </c>
      <c r="AM169" s="72">
        <v>45558</v>
      </c>
      <c r="AN169" t="s" s="70">
        <v>1613</v>
      </c>
      <c r="AO169" s="72">
        <v>45548</v>
      </c>
      <c r="AP169" t="s" s="70">
        <v>1613</v>
      </c>
      <c r="AQ169" s="72">
        <v>45548</v>
      </c>
      <c r="AR169" t="s" s="70">
        <v>1613</v>
      </c>
      <c r="AS169" s="72">
        <v>45548</v>
      </c>
      <c r="AT169" t="s" s="78">
        <v>1614</v>
      </c>
      <c r="AU169" s="72">
        <v>45548</v>
      </c>
      <c r="AV169" s="66"/>
      <c r="AW169" t="str" s="74" cm="1">
        <f t="array" ref="AW169">"600/"&amp;$B169&amp;"/"&amp;IF(AND($AE169="Konsultansi",M169&lt;=100000000),"SPK",IF(AND($AE169="Konsultansi",M169&gt;100000000),"Kont",IF(AND($AE169&lt;&gt;"Konsultansi",M169&lt;=200000000),"SPK","Kont")))&amp;"-"&amp;AE169&amp;"/PPK/DPUPR"</f>
        <v>600/5963660/Kont-Konstruksi/PPK/DPUPR</v>
      </c>
      <c r="AX169" t="str" s="74" cm="1">
        <f t="array" ref="AX169">"600/"&amp;$B169&amp;"/SPMK/PPK/DPUPR"</f>
        <v>600/5963660/SPMK/PPK/DPUPR</v>
      </c>
      <c r="AY169" s="66"/>
      <c r="AZ169" s="66"/>
      <c r="BA169" s="66"/>
      <c r="BB169" s="66"/>
      <c r="BC169" s="66"/>
      <c r="BD169" s="66"/>
      <c r="BE169" s="66"/>
      <c r="BF169" s="66"/>
      <c r="BG169" s="75">
        <v>240</v>
      </c>
      <c r="BH169" t="s" s="70">
        <v>1605</v>
      </c>
      <c r="BI169" t="s" s="70">
        <v>21</v>
      </c>
      <c r="BJ169" t="s" s="70">
        <v>22</v>
      </c>
      <c r="BK169" t="s" s="70">
        <v>23</v>
      </c>
      <c r="BL169" t="s" s="70">
        <v>24</v>
      </c>
      <c r="BM169" s="66"/>
      <c r="BN169" s="66"/>
      <c r="BO169" s="66"/>
      <c r="BP169" s="66"/>
      <c r="BQ169" s="66"/>
      <c r="BR169" t="b" s="73">
        <v>0</v>
      </c>
      <c r="BS169" s="68" cm="1">
        <f t="array" ref="BS169">IF(M169&lt;=0.8*K169,5%*K169,M169*5%)</f>
        <v>21710550</v>
      </c>
      <c r="BT169" t="s" s="70">
        <v>173</v>
      </c>
      <c r="BU169" s="66"/>
      <c r="BV169" s="68" cm="1">
        <f t="array" ref="BV169">J169-M169</f>
        <v>18289000</v>
      </c>
    </row>
    <row r="170" ht="72.25" customHeight="1">
      <c r="A170" s="49"/>
      <c r="B170" s="50">
        <v>5961660</v>
      </c>
      <c r="C170" t="s" s="51">
        <v>1617</v>
      </c>
      <c r="D170" t="s" s="52">
        <v>165</v>
      </c>
      <c r="E170" t="str" s="53" cm="1">
        <f t="array" ref="E170">$C170</f>
        <v>Pembangunan Rumah Tahfidz Sarjo</v>
      </c>
      <c r="F170" s="54"/>
      <c r="G170" s="53"/>
      <c r="H170" s="53"/>
      <c r="I170" s="53"/>
      <c r="J170" s="55">
        <v>452500000</v>
      </c>
      <c r="K170" s="55">
        <v>452420252</v>
      </c>
      <c r="L170" s="57">
        <v>431871145.64</v>
      </c>
      <c r="M170" s="55">
        <v>431871000</v>
      </c>
      <c r="N170" t="s" s="58">
        <v>1618</v>
      </c>
      <c r="O170" t="s" s="59">
        <v>1619</v>
      </c>
      <c r="P170" t="s" s="58">
        <v>1452</v>
      </c>
      <c r="Q170" t="s" s="58">
        <v>1620</v>
      </c>
      <c r="R170" t="s" s="58">
        <v>1621</v>
      </c>
      <c r="S170" t="s" s="58">
        <v>1067</v>
      </c>
      <c r="T170" s="60">
        <v>45567</v>
      </c>
      <c r="U170" t="s" s="58">
        <v>1622</v>
      </c>
      <c r="V170" t="s" s="58">
        <v>1623</v>
      </c>
      <c r="W170" t="s" s="58">
        <v>1624</v>
      </c>
      <c r="X170" s="61">
        <v>90</v>
      </c>
      <c r="Y170" t="s" s="58">
        <v>10</v>
      </c>
      <c r="Z170" s="55" cm="1">
        <f t="array" ref="Z170">M170</f>
        <v>431871000</v>
      </c>
      <c r="AA170" t="s" s="58">
        <v>1625</v>
      </c>
      <c r="AB170" s="60">
        <v>45544</v>
      </c>
      <c r="AC170" s="61">
        <v>360</v>
      </c>
      <c r="AD170" t="s" s="58">
        <v>109</v>
      </c>
      <c r="AE170" t="s" s="58">
        <v>110</v>
      </c>
      <c r="AF170" t="s" s="58">
        <v>167</v>
      </c>
      <c r="AG170" s="60">
        <v>45539.381944444445</v>
      </c>
      <c r="AH170" s="60">
        <v>45544.663888888892</v>
      </c>
      <c r="AI170" s="60">
        <v>45544.663888888892</v>
      </c>
      <c r="AJ170" s="60"/>
      <c r="AK170" s="60">
        <v>45554</v>
      </c>
      <c r="AL170" s="60">
        <v>45567</v>
      </c>
      <c r="AM170" s="60">
        <v>45567</v>
      </c>
      <c r="AN170" t="s" s="58">
        <v>1626</v>
      </c>
      <c r="AO170" s="60">
        <v>45548</v>
      </c>
      <c r="AP170" t="s" s="58">
        <v>1626</v>
      </c>
      <c r="AQ170" s="60">
        <v>45548</v>
      </c>
      <c r="AR170" t="s" s="58">
        <v>1626</v>
      </c>
      <c r="AS170" s="60">
        <v>45548</v>
      </c>
      <c r="AT170" t="s" s="78">
        <v>1627</v>
      </c>
      <c r="AU170" s="53" cm="1">
        <f t="array" ref="AU170">AJ170</f>
      </c>
      <c r="AV170" s="53"/>
      <c r="AW170" t="str" s="63" cm="1">
        <f t="array" ref="AW170">"600/"&amp;$B170&amp;"/"&amp;IF(AND($AE170="Konsultansi",M170&lt;=100000000),"SPK",IF(AND($AE170="Konsultansi",M170&gt;100000000),"Kont",IF(AND($AE170&lt;&gt;"Konsultansi",M170&lt;=200000000),"SPK","Kont")))&amp;"-"&amp;AE170&amp;"/PPK/DPUPR"</f>
        <v>600/5961660/Kont-Konstruksi/PPK/DPUPR</v>
      </c>
      <c r="AX170" t="str" s="63" cm="1">
        <f t="array" ref="AX170">"600/"&amp;$B170&amp;"/SPMK/PPK/DPUPR"</f>
        <v>600/5961660/SPMK/PPK/DPUPR</v>
      </c>
      <c r="AY170" s="53"/>
      <c r="AZ170" s="53"/>
      <c r="BA170" s="53"/>
      <c r="BB170" s="53"/>
      <c r="BC170" s="53"/>
      <c r="BD170" s="53"/>
      <c r="BE170" s="53"/>
      <c r="BF170" s="53"/>
      <c r="BG170" s="64">
        <v>241</v>
      </c>
      <c r="BH170" t="s" s="58">
        <v>1618</v>
      </c>
      <c r="BI170" t="s" s="58">
        <v>21</v>
      </c>
      <c r="BJ170" t="s" s="58">
        <v>22</v>
      </c>
      <c r="BK170" t="s" s="58">
        <v>23</v>
      </c>
      <c r="BL170" t="s" s="58">
        <v>24</v>
      </c>
      <c r="BM170" s="53"/>
      <c r="BN170" s="53"/>
      <c r="BO170" s="53"/>
      <c r="BP170" s="53"/>
      <c r="BQ170" s="53"/>
      <c r="BR170" t="b" s="61">
        <v>0</v>
      </c>
      <c r="BS170" s="55" cm="1">
        <f t="array" ref="BS170">IF(M170&lt;=0.8*K170,5%*K170,M170*5%)</f>
        <v>21593550</v>
      </c>
      <c r="BT170" t="s" s="58">
        <v>173</v>
      </c>
      <c r="BU170" s="53"/>
      <c r="BV170" s="55" cm="1">
        <f t="array" ref="BV170">J170-M170</f>
        <v>20629000</v>
      </c>
    </row>
    <row r="171" ht="24.25" customHeight="1">
      <c r="A171" s="49"/>
      <c r="B171" s="49"/>
      <c r="C171" s="101"/>
      <c r="D171" s="106"/>
      <c r="E171" s="73" cm="1">
        <f t="array" ref="E171">$C171</f>
        <v>0</v>
      </c>
      <c r="F171" s="67"/>
      <c r="G171" s="66"/>
      <c r="H171" s="66"/>
      <c r="I171" s="66"/>
      <c r="J171" s="68"/>
      <c r="K171" s="68"/>
      <c r="L171" s="116"/>
      <c r="M171" s="68"/>
      <c r="N171" t="s" s="70">
        <v>676</v>
      </c>
      <c r="O171" t="s" s="71">
        <v>676</v>
      </c>
      <c r="P171" t="s" s="70">
        <v>676</v>
      </c>
      <c r="Q171" t="s" s="70">
        <v>676</v>
      </c>
      <c r="R171" t="s" s="70">
        <v>676</v>
      </c>
      <c r="S171" t="s" s="70">
        <v>676</v>
      </c>
      <c r="T171" t="s" s="70">
        <v>676</v>
      </c>
      <c r="U171" t="s" s="70">
        <v>676</v>
      </c>
      <c r="V171" t="s" s="70">
        <v>676</v>
      </c>
      <c r="W171" t="s" s="70">
        <v>676</v>
      </c>
      <c r="X171" s="66"/>
      <c r="Y171" s="66"/>
      <c r="Z171" s="68" cm="1">
        <f t="array" ref="Z171">M171</f>
        <v>0</v>
      </c>
      <c r="AA171" s="66"/>
      <c r="AB171" s="72"/>
      <c r="AC171" s="66"/>
      <c r="AD171" s="66"/>
      <c r="AE171" t="s" s="70">
        <v>701</v>
      </c>
      <c r="AF171" s="66"/>
      <c r="AG171" s="72"/>
      <c r="AH171" s="72"/>
      <c r="AI171" s="72"/>
      <c r="AJ171" s="72"/>
      <c r="AK171" s="72"/>
      <c r="AL171" s="72"/>
      <c r="AM171" s="72"/>
      <c r="AN171" s="66"/>
      <c r="AO171" s="66"/>
      <c r="AP171" s="66"/>
      <c r="AQ171" s="66"/>
      <c r="AR171" s="66"/>
      <c r="AS171" s="66"/>
      <c r="AT171" s="62"/>
      <c r="AU171" s="66" cm="1">
        <f t="array" ref="AU171">AJ171</f>
      </c>
      <c r="AV171" s="66"/>
      <c r="AW171" t="str" s="74" cm="1">
        <f t="array" ref="AW171">"600/"&amp;$B171&amp;"/"&amp;IF(AND($AE171="Konsultansi",M171&lt;=100000000),"SPK",IF(AND($AE171="Konsultansi",M171&gt;100000000),"Kont",IF(AND($AE171&lt;&gt;"Konsultansi",M171&lt;=200000000),"SPK","Kont")))&amp;"-"&amp;AE171&amp;"/PPK/DPUPR"</f>
        <v>600//SPK-Barang/PPK/DPUPR</v>
      </c>
      <c r="AX171" t="str" s="74" cm="1">
        <f t="array" ref="AX171">"600/"&amp;$B171&amp;"/SPMK/PPK/DPUPR"</f>
        <v>600//SPMK/PPK/DPUPR</v>
      </c>
      <c r="AY171" s="66"/>
      <c r="AZ171" s="66"/>
      <c r="BA171" s="66"/>
      <c r="BB171" s="66"/>
      <c r="BC171" s="66"/>
      <c r="BD171" s="66"/>
      <c r="BE171" s="66"/>
      <c r="BF171" s="66"/>
      <c r="BG171" s="102"/>
      <c r="BH171" t="s" s="70">
        <v>683</v>
      </c>
      <c r="BI171" t="s" s="70">
        <v>21</v>
      </c>
      <c r="BJ171" t="s" s="70">
        <v>22</v>
      </c>
      <c r="BK171" t="s" s="70">
        <v>23</v>
      </c>
      <c r="BL171" t="s" s="70">
        <v>24</v>
      </c>
      <c r="BM171" s="66"/>
      <c r="BN171" s="66"/>
      <c r="BO171" s="66"/>
      <c r="BP171" s="66"/>
      <c r="BQ171" s="66"/>
      <c r="BR171" t="b" s="73">
        <v>0</v>
      </c>
      <c r="BS171" s="68" cm="1">
        <f t="array" ref="BS171">IF(M171&lt;=0.8*K171,5%*K171,M171*5%)</f>
        <v>0</v>
      </c>
      <c r="BT171" t="s" s="70">
        <v>705</v>
      </c>
      <c r="BU171" s="66"/>
      <c r="BV171" s="68" cm="1">
        <f t="array" ref="BV171">J171-M171</f>
        <v>0</v>
      </c>
    </row>
    <row r="172" ht="36.25" customHeight="1">
      <c r="A172" t="s" s="112">
        <v>1630</v>
      </c>
      <c r="B172" s="50">
        <v>51245390</v>
      </c>
      <c r="C172" t="s" s="51">
        <v>1631</v>
      </c>
      <c r="D172" t="s" s="52">
        <v>1</v>
      </c>
      <c r="E172" t="str" s="53" cm="1">
        <f t="array" ref="E172">$C172</f>
        <v>Peningkatan Jalan Sarudu</v>
      </c>
      <c r="F172" s="54"/>
      <c r="G172" s="53"/>
      <c r="H172" s="53"/>
      <c r="I172" s="53"/>
      <c r="J172" s="55">
        <v>200000000</v>
      </c>
      <c r="K172" s="55">
        <v>199862000</v>
      </c>
      <c r="L172" s="116">
        <v>199750862.22</v>
      </c>
      <c r="M172" s="55">
        <v>199750000</v>
      </c>
      <c r="N172" t="s" s="58">
        <v>276</v>
      </c>
      <c r="O172" t="s" s="59">
        <v>277</v>
      </c>
      <c r="P172" t="s" s="58">
        <v>4</v>
      </c>
      <c r="Q172" t="s" s="58">
        <v>278</v>
      </c>
      <c r="R172" t="s" s="58">
        <v>279</v>
      </c>
      <c r="S172" t="s" s="58">
        <v>280</v>
      </c>
      <c r="T172" s="60">
        <v>40634</v>
      </c>
      <c r="U172" t="s" s="58">
        <v>281</v>
      </c>
      <c r="V172" t="s" s="58">
        <v>282</v>
      </c>
      <c r="W172" t="s" s="58">
        <v>283</v>
      </c>
      <c r="X172" s="61">
        <v>60</v>
      </c>
      <c r="Y172" t="s" s="58">
        <v>10</v>
      </c>
      <c r="Z172" s="55" cm="1">
        <f t="array" ref="Z172">M172</f>
        <v>199750000</v>
      </c>
      <c r="AA172" t="s" s="58">
        <v>11</v>
      </c>
      <c r="AB172" s="60" cm="1">
        <f t="array" ref="AB172">AH172</f>
        <v>45560</v>
      </c>
      <c r="AC172" s="53"/>
      <c r="AD172" t="s" s="58">
        <v>109</v>
      </c>
      <c r="AE172" t="s" s="58">
        <v>110</v>
      </c>
      <c r="AF172" t="s" s="58">
        <v>111</v>
      </c>
      <c r="AG172" s="60">
        <v>45559</v>
      </c>
      <c r="AH172" s="60">
        <v>45560</v>
      </c>
      <c r="AI172" s="60">
        <v>45560</v>
      </c>
      <c r="AJ172" s="60">
        <v>45560</v>
      </c>
      <c r="AK172" s="60">
        <v>45561</v>
      </c>
      <c r="AL172" s="60">
        <v>45561</v>
      </c>
      <c r="AM172" s="60">
        <v>45561</v>
      </c>
      <c r="AN172" t="s" s="58">
        <v>1632</v>
      </c>
      <c r="AO172" s="60" cm="1">
        <f t="array" ref="AO172">AJ172</f>
        <v>45560</v>
      </c>
      <c r="AP172" t="s" s="58">
        <v>1633</v>
      </c>
      <c r="AQ172" s="60" cm="1">
        <f t="array" ref="AQ172">AJ172</f>
        <v>45560</v>
      </c>
      <c r="AR172" t="s" s="58">
        <v>1634</v>
      </c>
      <c r="AS172" s="60" cm="1">
        <f t="array" ref="AS172">AJ172</f>
        <v>45560</v>
      </c>
      <c r="AT172" t="s" s="78">
        <v>1635</v>
      </c>
      <c r="AU172" s="60" cm="1">
        <f t="array" ref="AU172">AJ172</f>
        <v>45560</v>
      </c>
      <c r="AV172" s="53"/>
      <c r="AW172" t="str" s="63" cm="1">
        <f t="array" ref="AW172">"600/"&amp;$B172&amp;"/"&amp;IF(AND($AE172="Konsultansi",M172&lt;=100000000),"SPK",IF(AND($AE172="Konsultansi",M172&gt;100000000),"Kont",IF(AND($AE172&lt;&gt;"Konsultansi",M172&lt;=200000000),"SPK","Kont")))&amp;"-"&amp;AE172&amp;"/PPK/DPUPR"</f>
        <v>600/51245390/SPK-Konstruksi/PPK/DPUPR</v>
      </c>
      <c r="AX172" t="str" s="63" cm="1">
        <f t="array" ref="AX172">"600/"&amp;$B172&amp;"/SPMK/PPK/DPUPR"</f>
        <v>600/51245390/SPMK/PPK/DPUPR</v>
      </c>
      <c r="AY172" s="53"/>
      <c r="AZ172" s="53"/>
      <c r="BA172" s="53"/>
      <c r="BB172" s="53"/>
      <c r="BC172" s="53"/>
      <c r="BD172" s="53"/>
      <c r="BE172" s="53"/>
      <c r="BF172" s="53"/>
      <c r="BG172" s="64">
        <v>19</v>
      </c>
      <c r="BH172" t="s" s="58">
        <v>276</v>
      </c>
      <c r="BI172" t="s" s="58">
        <v>21</v>
      </c>
      <c r="BJ172" t="s" s="58">
        <v>22</v>
      </c>
      <c r="BK172" t="s" s="58">
        <v>23</v>
      </c>
      <c r="BL172" t="s" s="58">
        <v>24</v>
      </c>
      <c r="BM172" s="53"/>
      <c r="BN172" s="53"/>
      <c r="BO172" s="53"/>
      <c r="BP172" s="53"/>
      <c r="BQ172" s="53"/>
      <c r="BR172" t="b" s="61">
        <v>0</v>
      </c>
      <c r="BS172" s="55" cm="1">
        <f t="array" ref="BS172">IF(M172&lt;=0.8*K172,5%*K172,M172*5%)</f>
        <v>9987500</v>
      </c>
      <c r="BT172" t="s" s="58">
        <v>25</v>
      </c>
      <c r="BU172" s="53"/>
      <c r="BV172" s="55" cm="1">
        <f t="array" ref="BV172">J172-M172</f>
        <v>250000</v>
      </c>
    </row>
    <row r="173" ht="36.25" customHeight="1">
      <c r="A173" s="49"/>
      <c r="B173" s="50">
        <v>53440390</v>
      </c>
      <c r="C173" t="s" s="51">
        <v>1638</v>
      </c>
      <c r="D173" t="s" s="65">
        <v>1</v>
      </c>
      <c r="E173" t="str" s="66" cm="1">
        <f t="array" ref="E173">$C173</f>
        <v>Perencanaan Proteksi Jalan Kota Pasangkayu Paket I</v>
      </c>
      <c r="F173" s="67"/>
      <c r="G173" s="66"/>
      <c r="H173" s="66"/>
      <c r="I173" s="66"/>
      <c r="J173" s="68">
        <v>100000000</v>
      </c>
      <c r="K173" s="68">
        <v>99999000</v>
      </c>
      <c r="L173" s="116">
        <v>99960264</v>
      </c>
      <c r="M173" s="68">
        <v>99960000</v>
      </c>
      <c r="N173" t="s" s="70">
        <v>1639</v>
      </c>
      <c r="O173" t="s" s="71">
        <v>1640</v>
      </c>
      <c r="P173" t="s" s="70">
        <v>4</v>
      </c>
      <c r="Q173" t="s" s="70">
        <v>121</v>
      </c>
      <c r="R173" t="s" s="70">
        <v>122</v>
      </c>
      <c r="S173" t="s" s="70">
        <v>1641</v>
      </c>
      <c r="T173" s="72">
        <v>45446</v>
      </c>
      <c r="U173" t="s" s="70">
        <v>616</v>
      </c>
      <c r="V173" t="s" s="70">
        <v>125</v>
      </c>
      <c r="W173" t="s" s="70">
        <v>126</v>
      </c>
      <c r="X173" s="73">
        <v>30</v>
      </c>
      <c r="Y173" t="s" s="70">
        <v>10</v>
      </c>
      <c r="Z173" s="68" cm="1">
        <f t="array" ref="Z173">M173</f>
        <v>99960000</v>
      </c>
      <c r="AA173" t="s" s="70">
        <v>11</v>
      </c>
      <c r="AB173" s="72" cm="1">
        <f t="array" ref="AB173">AH173</f>
        <v>45560</v>
      </c>
      <c r="AC173" s="66"/>
      <c r="AD173" t="s" s="70">
        <v>128</v>
      </c>
      <c r="AE173" t="s" s="70">
        <v>13</v>
      </c>
      <c r="AF173" t="s" s="70">
        <v>111</v>
      </c>
      <c r="AG173" s="72">
        <v>45559</v>
      </c>
      <c r="AH173" s="72">
        <v>45560</v>
      </c>
      <c r="AI173" s="72">
        <v>45560</v>
      </c>
      <c r="AJ173" s="72">
        <v>45560</v>
      </c>
      <c r="AK173" s="72">
        <v>45561</v>
      </c>
      <c r="AL173" s="72">
        <v>45561</v>
      </c>
      <c r="AM173" s="72">
        <v>45561</v>
      </c>
      <c r="AN173" t="s" s="70">
        <v>1642</v>
      </c>
      <c r="AO173" s="72" cm="1">
        <f t="array" ref="AO173">AJ173</f>
        <v>45560</v>
      </c>
      <c r="AP173" t="s" s="70">
        <v>1643</v>
      </c>
      <c r="AQ173" s="72" cm="1">
        <f t="array" ref="AQ173">AJ173</f>
        <v>45560</v>
      </c>
      <c r="AR173" t="s" s="70">
        <v>1644</v>
      </c>
      <c r="AS173" s="72" cm="1">
        <f t="array" ref="AS173">AJ173</f>
        <v>45560</v>
      </c>
      <c r="AT173" t="s" s="78">
        <v>1645</v>
      </c>
      <c r="AU173" s="72" cm="1">
        <f t="array" ref="AU173">AJ173</f>
        <v>45560</v>
      </c>
      <c r="AV173" s="66"/>
      <c r="AW173" t="str" s="74" cm="1">
        <f t="array" ref="AW173">"600/"&amp;$B173&amp;"/"&amp;IF(AND($AE173="Konsultansi",M173&lt;=100000000),"SPK",IF(AND($AE173="Konsultansi",M173&gt;100000000),"Kont",IF(AND($AE173&lt;&gt;"Konsultansi",M173&lt;=200000000),"SPK","Kont")))&amp;"-"&amp;AE173&amp;"/PPK/DPUPR"</f>
        <v>600/53440390/SPK-Konsultansi/PPK/DPUPR</v>
      </c>
      <c r="AX173" t="str" s="74" cm="1">
        <f t="array" ref="AX173">"600/"&amp;$B173&amp;"/SPMK/PPK/DPUPR"</f>
        <v>600/53440390/SPMK/PPK/DPUPR</v>
      </c>
      <c r="AY173" s="66"/>
      <c r="AZ173" s="66"/>
      <c r="BA173" s="66"/>
      <c r="BB173" s="66"/>
      <c r="BC173" s="66"/>
      <c r="BD173" s="66"/>
      <c r="BE173" s="66"/>
      <c r="BF173" s="66"/>
      <c r="BG173" s="75">
        <v>245</v>
      </c>
      <c r="BH173" t="s" s="70">
        <v>1639</v>
      </c>
      <c r="BI173" t="s" s="70">
        <v>21</v>
      </c>
      <c r="BJ173" t="s" s="70">
        <v>22</v>
      </c>
      <c r="BK173" t="s" s="70">
        <v>23</v>
      </c>
      <c r="BL173" t="s" s="70">
        <v>24</v>
      </c>
      <c r="BM173" s="66"/>
      <c r="BN173" s="66"/>
      <c r="BO173" s="66"/>
      <c r="BP173" s="66"/>
      <c r="BQ173" s="66"/>
      <c r="BR173" t="b" s="73">
        <v>0</v>
      </c>
      <c r="BS173" s="68" cm="1">
        <f t="array" ref="BS173">IF(M173&lt;=0.8*K173,5%*K173,M173*5%)</f>
        <v>4998000</v>
      </c>
      <c r="BT173" t="s" s="70">
        <v>25</v>
      </c>
      <c r="BU173" s="66"/>
      <c r="BV173" s="68" cm="1">
        <f t="array" ref="BV173">J173-M173</f>
        <v>40000</v>
      </c>
    </row>
    <row r="174" ht="36.25" customHeight="1">
      <c r="A174" s="49"/>
      <c r="B174" s="50">
        <v>53440479</v>
      </c>
      <c r="C174" t="s" s="51">
        <v>1648</v>
      </c>
      <c r="D174" t="s" s="52">
        <v>1</v>
      </c>
      <c r="E174" t="str" s="53" cm="1">
        <f t="array" ref="E174">$C174</f>
        <v>Perencanaan Proteksi Jalan Ruas Singgani-Kenangan-Parabu</v>
      </c>
      <c r="F174" s="54"/>
      <c r="G174" s="53"/>
      <c r="H174" s="53"/>
      <c r="I174" s="53"/>
      <c r="J174" s="55">
        <v>100000000</v>
      </c>
      <c r="K174" s="55">
        <v>99999000</v>
      </c>
      <c r="L174" s="116">
        <v>99965826</v>
      </c>
      <c r="M174" s="55">
        <v>99965000</v>
      </c>
      <c r="N174" t="s" s="58">
        <v>1639</v>
      </c>
      <c r="O174" t="s" s="59">
        <v>1640</v>
      </c>
      <c r="P174" t="s" s="58">
        <v>4</v>
      </c>
      <c r="Q174" t="s" s="58">
        <v>121</v>
      </c>
      <c r="R174" t="s" s="58">
        <v>122</v>
      </c>
      <c r="S174" t="s" s="58">
        <v>1641</v>
      </c>
      <c r="T174" s="60">
        <v>45446</v>
      </c>
      <c r="U174" t="s" s="58">
        <v>616</v>
      </c>
      <c r="V174" t="s" s="58">
        <v>125</v>
      </c>
      <c r="W174" t="s" s="58">
        <v>126</v>
      </c>
      <c r="X174" s="61">
        <v>30</v>
      </c>
      <c r="Y174" t="s" s="58">
        <v>10</v>
      </c>
      <c r="Z174" s="55" cm="1">
        <f t="array" ref="Z174">M174</f>
        <v>99965000</v>
      </c>
      <c r="AA174" t="s" s="58">
        <v>11</v>
      </c>
      <c r="AB174" s="60" cm="1">
        <f t="array" ref="AB174">AH174</f>
        <v>45560</v>
      </c>
      <c r="AC174" s="53"/>
      <c r="AD174" t="s" s="58">
        <v>128</v>
      </c>
      <c r="AE174" t="s" s="58">
        <v>13</v>
      </c>
      <c r="AF174" t="s" s="58">
        <v>111</v>
      </c>
      <c r="AG174" s="60">
        <v>45559</v>
      </c>
      <c r="AH174" s="60">
        <v>45560</v>
      </c>
      <c r="AI174" s="60">
        <v>45560</v>
      </c>
      <c r="AJ174" s="60">
        <v>45560</v>
      </c>
      <c r="AK174" s="60">
        <v>45561</v>
      </c>
      <c r="AL174" s="60">
        <v>45561</v>
      </c>
      <c r="AM174" s="60">
        <v>45561</v>
      </c>
      <c r="AN174" t="s" s="58">
        <v>1649</v>
      </c>
      <c r="AO174" s="60" cm="1">
        <f t="array" ref="AO174">AJ174</f>
        <v>45560</v>
      </c>
      <c r="AP174" t="s" s="58">
        <v>1650</v>
      </c>
      <c r="AQ174" s="60" cm="1">
        <f t="array" ref="AQ174">AJ174</f>
        <v>45560</v>
      </c>
      <c r="AR174" t="s" s="58">
        <v>1651</v>
      </c>
      <c r="AS174" s="60" cm="1">
        <f t="array" ref="AS174">AJ174</f>
        <v>45560</v>
      </c>
      <c r="AT174" t="s" s="78">
        <v>1652</v>
      </c>
      <c r="AU174" s="60" cm="1">
        <f t="array" ref="AU174">AJ174</f>
        <v>45560</v>
      </c>
      <c r="AV174" s="53"/>
      <c r="AW174" t="str" s="63" cm="1">
        <f t="array" ref="AW174">"600/"&amp;$B174&amp;"/"&amp;IF(AND($AE174="Konsultansi",M174&lt;=100000000),"SPK",IF(AND($AE174="Konsultansi",M174&gt;100000000),"Kont",IF(AND($AE174&lt;&gt;"Konsultansi",M174&lt;=200000000),"SPK","Kont")))&amp;"-"&amp;AE174&amp;"/PPK/DPUPR"</f>
        <v>600/53440479/SPK-Konsultansi/PPK/DPUPR</v>
      </c>
      <c r="AX174" t="str" s="63" cm="1">
        <f t="array" ref="AX174">"600/"&amp;$B174&amp;"/SPMK/PPK/DPUPR"</f>
        <v>600/53440479/SPMK/PPK/DPUPR</v>
      </c>
      <c r="AY174" s="53"/>
      <c r="AZ174" s="53"/>
      <c r="BA174" s="53"/>
      <c r="BB174" s="53"/>
      <c r="BC174" s="53"/>
      <c r="BD174" s="53"/>
      <c r="BE174" s="53"/>
      <c r="BF174" s="53"/>
      <c r="BG174" s="64">
        <v>245</v>
      </c>
      <c r="BH174" t="s" s="58">
        <v>1639</v>
      </c>
      <c r="BI174" t="s" s="58">
        <v>21</v>
      </c>
      <c r="BJ174" t="s" s="58">
        <v>22</v>
      </c>
      <c r="BK174" t="s" s="58">
        <v>23</v>
      </c>
      <c r="BL174" t="s" s="58">
        <v>24</v>
      </c>
      <c r="BM174" s="53"/>
      <c r="BN174" s="53"/>
      <c r="BO174" s="53"/>
      <c r="BP174" s="53"/>
      <c r="BQ174" s="53"/>
      <c r="BR174" t="b" s="61">
        <v>0</v>
      </c>
      <c r="BS174" s="55" cm="1">
        <f t="array" ref="BS174">IF(M174&lt;=0.8*K174,5%*K174,M174*5%)</f>
        <v>4998250</v>
      </c>
      <c r="BT174" t="s" s="58">
        <v>25</v>
      </c>
      <c r="BU174" s="53"/>
      <c r="BV174" s="55" cm="1">
        <f t="array" ref="BV174">J174-M174</f>
        <v>35000</v>
      </c>
    </row>
    <row r="175" ht="36.25" customHeight="1">
      <c r="A175" s="49"/>
      <c r="B175" s="50">
        <v>53444080</v>
      </c>
      <c r="C175" t="s" s="51">
        <v>1655</v>
      </c>
      <c r="D175" t="s" s="65">
        <v>1</v>
      </c>
      <c r="E175" t="str" s="66" cm="1">
        <f t="array" ref="E175">$C175</f>
        <v>Perencanaan Peningkatan jalan Karya bersama cs.</v>
      </c>
      <c r="F175" s="67"/>
      <c r="G175" s="66"/>
      <c r="H175" s="66"/>
      <c r="I175" s="66"/>
      <c r="J175" s="68">
        <v>100000000</v>
      </c>
      <c r="K175" s="68">
        <v>99999000</v>
      </c>
      <c r="L175" s="116">
        <v>99938016</v>
      </c>
      <c r="M175" s="68">
        <v>99938000</v>
      </c>
      <c r="N175" t="s" s="70">
        <v>261</v>
      </c>
      <c r="O175" t="s" s="71">
        <v>262</v>
      </c>
      <c r="P175" t="s" s="70">
        <v>4</v>
      </c>
      <c r="Q175" t="s" s="70">
        <v>263</v>
      </c>
      <c r="R175" t="s" s="70">
        <v>264</v>
      </c>
      <c r="S175" s="73">
        <v>53</v>
      </c>
      <c r="T175" s="72">
        <v>41288</v>
      </c>
      <c r="U175" t="s" s="70">
        <v>265</v>
      </c>
      <c r="V175" t="s" s="70">
        <v>266</v>
      </c>
      <c r="W175" t="s" s="70">
        <v>267</v>
      </c>
      <c r="X175" s="73">
        <v>30</v>
      </c>
      <c r="Y175" t="s" s="70">
        <v>10</v>
      </c>
      <c r="Z175" s="68" cm="1">
        <f t="array" ref="Z175">M175</f>
        <v>99938000</v>
      </c>
      <c r="AA175" t="s" s="70">
        <v>11</v>
      </c>
      <c r="AB175" s="72" cm="1">
        <f t="array" ref="AB175">AH175</f>
        <v>45560</v>
      </c>
      <c r="AC175" s="66"/>
      <c r="AD175" t="s" s="70">
        <v>128</v>
      </c>
      <c r="AE175" t="s" s="70">
        <v>13</v>
      </c>
      <c r="AF175" t="s" s="70">
        <v>111</v>
      </c>
      <c r="AG175" s="72">
        <v>45559</v>
      </c>
      <c r="AH175" s="72">
        <v>45560</v>
      </c>
      <c r="AI175" s="72">
        <v>45560</v>
      </c>
      <c r="AJ175" s="72">
        <v>45560</v>
      </c>
      <c r="AK175" s="72">
        <v>45561</v>
      </c>
      <c r="AL175" s="72">
        <v>45561</v>
      </c>
      <c r="AM175" s="72">
        <v>45561</v>
      </c>
      <c r="AN175" t="s" s="70">
        <v>1656</v>
      </c>
      <c r="AO175" s="72" cm="1">
        <f t="array" ref="AO175">AJ175</f>
        <v>45560</v>
      </c>
      <c r="AP175" t="s" s="70">
        <v>1657</v>
      </c>
      <c r="AQ175" s="72" cm="1">
        <f t="array" ref="AQ175">AJ175</f>
        <v>45560</v>
      </c>
      <c r="AR175" t="s" s="70">
        <v>1658</v>
      </c>
      <c r="AS175" s="72" cm="1">
        <f t="array" ref="AS175">AJ175</f>
        <v>45560</v>
      </c>
      <c r="AT175" t="s" s="78">
        <v>1659</v>
      </c>
      <c r="AU175" s="72" cm="1">
        <f t="array" ref="AU175">AJ175</f>
        <v>45560</v>
      </c>
      <c r="AV175" s="66"/>
      <c r="AW175" t="str" s="74" cm="1">
        <f t="array" ref="AW175">"600/"&amp;$B175&amp;"/"&amp;IF(AND($AE175="Konsultansi",M175&lt;=100000000),"SPK",IF(AND($AE175="Konsultansi",M175&gt;100000000),"Kont",IF(AND($AE175&lt;&gt;"Konsultansi",M175&lt;=200000000),"SPK","Kont")))&amp;"-"&amp;AE175&amp;"/PPK/DPUPR"</f>
        <v>600/53444080/SPK-Konsultansi/PPK/DPUPR</v>
      </c>
      <c r="AX175" t="str" s="74" cm="1">
        <f t="array" ref="AX175">"600/"&amp;$B175&amp;"/SPMK/PPK/DPUPR"</f>
        <v>600/53444080/SPMK/PPK/DPUPR</v>
      </c>
      <c r="AY175" s="66"/>
      <c r="AZ175" s="66"/>
      <c r="BA175" s="66"/>
      <c r="BB175" s="66"/>
      <c r="BC175" s="66"/>
      <c r="BD175" s="66"/>
      <c r="BE175" s="66"/>
      <c r="BF175" s="66"/>
      <c r="BG175" s="75">
        <v>1</v>
      </c>
      <c r="BH175" t="s" s="70">
        <v>261</v>
      </c>
      <c r="BI175" t="s" s="70">
        <v>21</v>
      </c>
      <c r="BJ175" t="s" s="70">
        <v>22</v>
      </c>
      <c r="BK175" t="s" s="70">
        <v>23</v>
      </c>
      <c r="BL175" t="s" s="70">
        <v>24</v>
      </c>
      <c r="BM175" s="66"/>
      <c r="BN175" s="66"/>
      <c r="BO175" s="66"/>
      <c r="BP175" s="66"/>
      <c r="BQ175" s="66"/>
      <c r="BR175" t="b" s="73">
        <v>0</v>
      </c>
      <c r="BS175" s="68" cm="1">
        <f t="array" ref="BS175">IF(M175&lt;=0.8*K175,5%*K175,M175*5%)</f>
        <v>4996900</v>
      </c>
      <c r="BT175" t="s" s="70">
        <v>25</v>
      </c>
      <c r="BU175" s="66"/>
      <c r="BV175" s="68" cm="1">
        <f t="array" ref="BV175">J175-M175</f>
        <v>62000</v>
      </c>
    </row>
    <row r="176" ht="36.25" customHeight="1">
      <c r="A176" s="49"/>
      <c r="B176" s="50">
        <v>53444102</v>
      </c>
      <c r="C176" t="s" s="51">
        <v>1662</v>
      </c>
      <c r="D176" t="s" s="52">
        <v>1</v>
      </c>
      <c r="E176" t="str" s="53" cm="1">
        <f t="array" ref="E176">$C176</f>
        <v>Perencanaan Peningkatan jalan mandar dua cs.</v>
      </c>
      <c r="F176" s="54"/>
      <c r="G176" s="53"/>
      <c r="H176" s="53"/>
      <c r="I176" s="53"/>
      <c r="J176" s="55">
        <v>100000000</v>
      </c>
      <c r="K176" s="55">
        <v>99999000</v>
      </c>
      <c r="L176" s="116">
        <v>99965826</v>
      </c>
      <c r="M176" s="55">
        <v>99965000</v>
      </c>
      <c r="N176" t="s" s="58">
        <v>1639</v>
      </c>
      <c r="O176" t="s" s="59">
        <v>1640</v>
      </c>
      <c r="P176" t="s" s="58">
        <v>4</v>
      </c>
      <c r="Q176" t="s" s="58">
        <v>121</v>
      </c>
      <c r="R176" t="s" s="58">
        <v>122</v>
      </c>
      <c r="S176" t="s" s="58">
        <v>1641</v>
      </c>
      <c r="T176" s="60">
        <v>45446</v>
      </c>
      <c r="U176" t="s" s="58">
        <v>616</v>
      </c>
      <c r="V176" t="s" s="58">
        <v>125</v>
      </c>
      <c r="W176" t="s" s="58">
        <v>126</v>
      </c>
      <c r="X176" s="61">
        <v>30</v>
      </c>
      <c r="Y176" t="s" s="58">
        <v>10</v>
      </c>
      <c r="Z176" s="55" cm="1">
        <f t="array" ref="Z176">M176</f>
        <v>99965000</v>
      </c>
      <c r="AA176" t="s" s="58">
        <v>11</v>
      </c>
      <c r="AB176" s="60" cm="1">
        <f t="array" ref="AB176">AH176</f>
        <v>45560</v>
      </c>
      <c r="AC176" s="53"/>
      <c r="AD176" t="s" s="58">
        <v>128</v>
      </c>
      <c r="AE176" t="s" s="58">
        <v>13</v>
      </c>
      <c r="AF176" t="s" s="58">
        <v>111</v>
      </c>
      <c r="AG176" s="60">
        <v>45559</v>
      </c>
      <c r="AH176" s="60">
        <v>45560</v>
      </c>
      <c r="AI176" s="60">
        <v>45560</v>
      </c>
      <c r="AJ176" s="60">
        <v>45560</v>
      </c>
      <c r="AK176" s="60">
        <v>45561</v>
      </c>
      <c r="AL176" s="60">
        <v>45561</v>
      </c>
      <c r="AM176" s="60">
        <v>45561</v>
      </c>
      <c r="AN176" t="s" s="58">
        <v>1663</v>
      </c>
      <c r="AO176" s="60" cm="1">
        <f t="array" ref="AO176">AJ176</f>
        <v>45560</v>
      </c>
      <c r="AP176" t="s" s="58">
        <v>1664</v>
      </c>
      <c r="AQ176" s="60" cm="1">
        <f t="array" ref="AQ176">AJ176</f>
        <v>45560</v>
      </c>
      <c r="AR176" t="s" s="58">
        <v>1665</v>
      </c>
      <c r="AS176" s="60" cm="1">
        <f t="array" ref="AS176">AJ176</f>
        <v>45560</v>
      </c>
      <c r="AT176" t="s" s="78">
        <v>1666</v>
      </c>
      <c r="AU176" s="60" cm="1">
        <f t="array" ref="AU176">AJ176</f>
        <v>45560</v>
      </c>
      <c r="AV176" s="53"/>
      <c r="AW176" t="str" s="63" cm="1">
        <f t="array" ref="AW176">"600/"&amp;$B176&amp;"/"&amp;IF(AND($AE176="Konsultansi",M176&lt;=100000000),"SPK",IF(AND($AE176="Konsultansi",M176&gt;100000000),"Kont",IF(AND($AE176&lt;&gt;"Konsultansi",M176&lt;=200000000),"SPK","Kont")))&amp;"-"&amp;AE176&amp;"/PPK/DPUPR"</f>
        <v>600/53444102/SPK-Konsultansi/PPK/DPUPR</v>
      </c>
      <c r="AX176" t="str" s="63" cm="1">
        <f t="array" ref="AX176">"600/"&amp;$B176&amp;"/SPMK/PPK/DPUPR"</f>
        <v>600/53444102/SPMK/PPK/DPUPR</v>
      </c>
      <c r="AY176" s="53"/>
      <c r="AZ176" s="53"/>
      <c r="BA176" s="53"/>
      <c r="BB176" s="53"/>
      <c r="BC176" s="53"/>
      <c r="BD176" s="53"/>
      <c r="BE176" s="53"/>
      <c r="BF176" s="53"/>
      <c r="BG176" s="64">
        <v>245</v>
      </c>
      <c r="BH176" t="s" s="58">
        <v>1639</v>
      </c>
      <c r="BI176" t="s" s="58">
        <v>21</v>
      </c>
      <c r="BJ176" t="s" s="58">
        <v>22</v>
      </c>
      <c r="BK176" t="s" s="58">
        <v>23</v>
      </c>
      <c r="BL176" t="s" s="58">
        <v>24</v>
      </c>
      <c r="BM176" s="53"/>
      <c r="BN176" s="53"/>
      <c r="BO176" s="53"/>
      <c r="BP176" s="53"/>
      <c r="BQ176" s="53"/>
      <c r="BR176" t="b" s="61">
        <v>0</v>
      </c>
      <c r="BS176" s="55" cm="1">
        <f t="array" ref="BS176">IF(M176&lt;=0.8*K176,5%*K176,M176*5%)</f>
        <v>4998250</v>
      </c>
      <c r="BT176" t="s" s="58">
        <v>25</v>
      </c>
      <c r="BU176" s="53"/>
      <c r="BV176" s="55" cm="1">
        <f t="array" ref="BV176">J176-M176</f>
        <v>35000</v>
      </c>
    </row>
    <row r="177" ht="36.25" customHeight="1">
      <c r="A177" s="49"/>
      <c r="B177" s="50">
        <v>53444125</v>
      </c>
      <c r="C177" t="s" s="51">
        <v>1669</v>
      </c>
      <c r="D177" t="s" s="65">
        <v>1</v>
      </c>
      <c r="E177" t="str" s="66" cm="1">
        <f t="array" ref="E177">$C177</f>
        <v>Perencanaan Pembangunan Jalan + Jembatan Desa Kastabuana</v>
      </c>
      <c r="F177" s="67"/>
      <c r="G177" s="66"/>
      <c r="H177" s="66"/>
      <c r="I177" s="66"/>
      <c r="J177" s="68">
        <v>100000000</v>
      </c>
      <c r="K177" s="68">
        <v>99999000</v>
      </c>
      <c r="L177" s="116">
        <v>99960264</v>
      </c>
      <c r="M177" s="68">
        <v>99960000</v>
      </c>
      <c r="N177" t="s" s="70">
        <v>1639</v>
      </c>
      <c r="O177" t="s" s="71">
        <v>1640</v>
      </c>
      <c r="P177" t="s" s="70">
        <v>4</v>
      </c>
      <c r="Q177" t="s" s="70">
        <v>121</v>
      </c>
      <c r="R177" t="s" s="70">
        <v>122</v>
      </c>
      <c r="S177" t="s" s="70">
        <v>1641</v>
      </c>
      <c r="T177" s="72">
        <v>45446</v>
      </c>
      <c r="U177" t="s" s="70">
        <v>616</v>
      </c>
      <c r="V177" t="s" s="70">
        <v>125</v>
      </c>
      <c r="W177" t="s" s="70">
        <v>126</v>
      </c>
      <c r="X177" s="73">
        <v>30</v>
      </c>
      <c r="Y177" t="s" s="70">
        <v>10</v>
      </c>
      <c r="Z177" s="68" cm="1">
        <f t="array" ref="Z177">M177</f>
        <v>99960000</v>
      </c>
      <c r="AA177" t="s" s="70">
        <v>11</v>
      </c>
      <c r="AB177" s="72" cm="1">
        <f t="array" ref="AB177">AH177</f>
        <v>45560</v>
      </c>
      <c r="AC177" s="66"/>
      <c r="AD177" t="s" s="70">
        <v>128</v>
      </c>
      <c r="AE177" t="s" s="70">
        <v>13</v>
      </c>
      <c r="AF177" t="s" s="70">
        <v>111</v>
      </c>
      <c r="AG177" s="72">
        <v>45559</v>
      </c>
      <c r="AH177" s="72">
        <v>45560</v>
      </c>
      <c r="AI177" s="72">
        <v>45560</v>
      </c>
      <c r="AJ177" s="72">
        <v>45560</v>
      </c>
      <c r="AK177" s="72">
        <v>45561</v>
      </c>
      <c r="AL177" s="72">
        <v>45561</v>
      </c>
      <c r="AM177" s="72">
        <v>45561</v>
      </c>
      <c r="AN177" t="s" s="70">
        <v>1670</v>
      </c>
      <c r="AO177" s="72" cm="1">
        <f t="array" ref="AO177">AJ177</f>
        <v>45560</v>
      </c>
      <c r="AP177" t="s" s="70">
        <v>1671</v>
      </c>
      <c r="AQ177" s="72" cm="1">
        <f t="array" ref="AQ177">AJ177</f>
        <v>45560</v>
      </c>
      <c r="AR177" t="s" s="70">
        <v>1672</v>
      </c>
      <c r="AS177" s="72" cm="1">
        <f t="array" ref="AS177">AJ177</f>
        <v>45560</v>
      </c>
      <c r="AT177" t="s" s="78">
        <v>1673</v>
      </c>
      <c r="AU177" s="72" cm="1">
        <f t="array" ref="AU177">AJ177</f>
        <v>45560</v>
      </c>
      <c r="AV177" s="66"/>
      <c r="AW177" t="str" s="74" cm="1">
        <f t="array" ref="AW177">"600/"&amp;$B177&amp;"/"&amp;IF(AND($AE177="Konsultansi",M177&lt;=100000000),"SPK",IF(AND($AE177="Konsultansi",M177&gt;100000000),"Kont",IF(AND($AE177&lt;&gt;"Konsultansi",M177&lt;=200000000),"SPK","Kont")))&amp;"-"&amp;AE177&amp;"/PPK/DPUPR"</f>
        <v>600/53444125/SPK-Konsultansi/PPK/DPUPR</v>
      </c>
      <c r="AX177" t="str" s="74" cm="1">
        <f t="array" ref="AX177">"600/"&amp;$B177&amp;"/SPMK/PPK/DPUPR"</f>
        <v>600/53444125/SPMK/PPK/DPUPR</v>
      </c>
      <c r="AY177" s="66"/>
      <c r="AZ177" s="66"/>
      <c r="BA177" s="66"/>
      <c r="BB177" s="66"/>
      <c r="BC177" s="66"/>
      <c r="BD177" s="66"/>
      <c r="BE177" s="66"/>
      <c r="BF177" s="66"/>
      <c r="BG177" s="75">
        <v>245</v>
      </c>
      <c r="BH177" t="s" s="70">
        <v>1639</v>
      </c>
      <c r="BI177" t="s" s="70">
        <v>21</v>
      </c>
      <c r="BJ177" t="s" s="70">
        <v>22</v>
      </c>
      <c r="BK177" t="s" s="70">
        <v>23</v>
      </c>
      <c r="BL177" t="s" s="70">
        <v>24</v>
      </c>
      <c r="BM177" s="66"/>
      <c r="BN177" s="66"/>
      <c r="BO177" s="66"/>
      <c r="BP177" s="66"/>
      <c r="BQ177" s="66"/>
      <c r="BR177" t="b" s="73">
        <v>0</v>
      </c>
      <c r="BS177" s="68" cm="1">
        <f t="array" ref="BS177">IF(M177&lt;=0.8*K177,5%*K177,M177*5%)</f>
        <v>4998000</v>
      </c>
      <c r="BT177" t="s" s="70">
        <v>25</v>
      </c>
      <c r="BU177" s="66"/>
      <c r="BV177" s="68" cm="1">
        <f t="array" ref="BV177">J177-M177</f>
        <v>40000</v>
      </c>
    </row>
    <row r="178" ht="36.25" customHeight="1">
      <c r="A178" s="49"/>
      <c r="B178" s="50">
        <v>53444147</v>
      </c>
      <c r="C178" t="s" s="51">
        <v>1676</v>
      </c>
      <c r="D178" t="s" s="52">
        <v>1</v>
      </c>
      <c r="E178" t="str" s="53" cm="1">
        <f t="array" ref="E178">$C178</f>
        <v>Perencanaan Pembangunan Jalan + Jembatan Desa Parabu</v>
      </c>
      <c r="F178" s="54"/>
      <c r="G178" s="53"/>
      <c r="H178" s="53"/>
      <c r="I178" s="53"/>
      <c r="J178" s="55">
        <v>100000000</v>
      </c>
      <c r="K178" s="55">
        <v>99999000</v>
      </c>
      <c r="L178" s="116">
        <v>99960264</v>
      </c>
      <c r="M178" s="55">
        <v>99960000</v>
      </c>
      <c r="N178" t="s" s="58">
        <v>1639</v>
      </c>
      <c r="O178" t="s" s="59">
        <v>1640</v>
      </c>
      <c r="P178" t="s" s="58">
        <v>4</v>
      </c>
      <c r="Q178" t="s" s="58">
        <v>121</v>
      </c>
      <c r="R178" t="s" s="58">
        <v>122</v>
      </c>
      <c r="S178" t="s" s="58">
        <v>1641</v>
      </c>
      <c r="T178" s="60">
        <v>45446</v>
      </c>
      <c r="U178" t="s" s="58">
        <v>616</v>
      </c>
      <c r="V178" t="s" s="58">
        <v>125</v>
      </c>
      <c r="W178" t="s" s="58">
        <v>126</v>
      </c>
      <c r="X178" s="61">
        <v>30</v>
      </c>
      <c r="Y178" t="s" s="58">
        <v>10</v>
      </c>
      <c r="Z178" s="55" cm="1">
        <f t="array" ref="Z178">M178</f>
        <v>99960000</v>
      </c>
      <c r="AA178" t="s" s="58">
        <v>11</v>
      </c>
      <c r="AB178" s="60" cm="1">
        <f t="array" ref="AB178">AH178</f>
        <v>45560</v>
      </c>
      <c r="AC178" s="53"/>
      <c r="AD178" t="s" s="58">
        <v>128</v>
      </c>
      <c r="AE178" t="s" s="58">
        <v>13</v>
      </c>
      <c r="AF178" t="s" s="58">
        <v>111</v>
      </c>
      <c r="AG178" s="60">
        <v>45559</v>
      </c>
      <c r="AH178" s="60">
        <v>45560</v>
      </c>
      <c r="AI178" s="60">
        <v>45560</v>
      </c>
      <c r="AJ178" s="60">
        <v>45560</v>
      </c>
      <c r="AK178" s="60">
        <v>45561</v>
      </c>
      <c r="AL178" s="60">
        <v>45561</v>
      </c>
      <c r="AM178" s="60">
        <v>45561</v>
      </c>
      <c r="AN178" t="s" s="58">
        <v>1677</v>
      </c>
      <c r="AO178" s="60" cm="1">
        <f t="array" ref="AO178">AJ178</f>
        <v>45560</v>
      </c>
      <c r="AP178" t="s" s="58">
        <v>1678</v>
      </c>
      <c r="AQ178" s="60" cm="1">
        <f t="array" ref="AQ178">AJ178</f>
        <v>45560</v>
      </c>
      <c r="AR178" t="s" s="58">
        <v>1679</v>
      </c>
      <c r="AS178" s="60" cm="1">
        <f t="array" ref="AS178">AJ178</f>
        <v>45560</v>
      </c>
      <c r="AT178" t="s" s="78">
        <v>1680</v>
      </c>
      <c r="AU178" s="60" cm="1">
        <f t="array" ref="AU178">AJ178</f>
        <v>45560</v>
      </c>
      <c r="AV178" s="53"/>
      <c r="AW178" t="str" s="63" cm="1">
        <f t="array" ref="AW178">"600/"&amp;$B178&amp;"/"&amp;IF(AND($AE178="Konsultansi",M178&lt;=100000000),"SPK",IF(AND($AE178="Konsultansi",M178&gt;100000000),"Kont",IF(AND($AE178&lt;&gt;"Konsultansi",M178&lt;=200000000),"SPK","Kont")))&amp;"-"&amp;AE178&amp;"/PPK/DPUPR"</f>
        <v>600/53444147/SPK-Konsultansi/PPK/DPUPR</v>
      </c>
      <c r="AX178" t="str" s="63" cm="1">
        <f t="array" ref="AX178">"600/"&amp;$B178&amp;"/SPMK/PPK/DPUPR"</f>
        <v>600/53444147/SPMK/PPK/DPUPR</v>
      </c>
      <c r="AY178" s="53"/>
      <c r="AZ178" s="53"/>
      <c r="BA178" s="53"/>
      <c r="BB178" s="53"/>
      <c r="BC178" s="53"/>
      <c r="BD178" s="53"/>
      <c r="BE178" s="53"/>
      <c r="BF178" s="53"/>
      <c r="BG178" s="64">
        <v>245</v>
      </c>
      <c r="BH178" t="s" s="58">
        <v>1639</v>
      </c>
      <c r="BI178" t="s" s="58">
        <v>21</v>
      </c>
      <c r="BJ178" t="s" s="58">
        <v>22</v>
      </c>
      <c r="BK178" t="s" s="58">
        <v>23</v>
      </c>
      <c r="BL178" t="s" s="58">
        <v>24</v>
      </c>
      <c r="BM178" s="53"/>
      <c r="BN178" s="53"/>
      <c r="BO178" s="53"/>
      <c r="BP178" s="53"/>
      <c r="BQ178" s="53"/>
      <c r="BR178" t="b" s="61">
        <v>0</v>
      </c>
      <c r="BS178" s="55" cm="1">
        <f t="array" ref="BS178">IF(M178&lt;=0.8*K178,5%*K178,M178*5%)</f>
        <v>4998000</v>
      </c>
      <c r="BT178" t="s" s="58">
        <v>25</v>
      </c>
      <c r="BU178" s="53"/>
      <c r="BV178" s="55" cm="1">
        <f t="array" ref="BV178">J178-M178</f>
        <v>40000</v>
      </c>
    </row>
    <row r="179" ht="36.25" customHeight="1">
      <c r="A179" s="49"/>
      <c r="B179" s="50">
        <v>53444174</v>
      </c>
      <c r="C179" t="s" s="51">
        <v>1683</v>
      </c>
      <c r="D179" t="s" s="65">
        <v>1</v>
      </c>
      <c r="E179" t="str" s="66" cm="1">
        <f t="array" ref="E179">$C179</f>
        <v>Perencanaan Pembangunan Jalan + Jembatan ako cs</v>
      </c>
      <c r="F179" s="67"/>
      <c r="G179" s="66"/>
      <c r="H179" s="66"/>
      <c r="I179" s="66"/>
      <c r="J179" s="68">
        <v>100000000</v>
      </c>
      <c r="K179" s="68">
        <v>99999000</v>
      </c>
      <c r="L179" s="116">
        <v>99933566.40000001</v>
      </c>
      <c r="M179" s="68">
        <v>99933000</v>
      </c>
      <c r="N179" t="s" s="70">
        <v>1639</v>
      </c>
      <c r="O179" t="s" s="71">
        <v>1640</v>
      </c>
      <c r="P179" t="s" s="70">
        <v>4</v>
      </c>
      <c r="Q179" t="s" s="70">
        <v>121</v>
      </c>
      <c r="R179" t="s" s="70">
        <v>122</v>
      </c>
      <c r="S179" t="s" s="70">
        <v>1641</v>
      </c>
      <c r="T179" s="72">
        <v>45446</v>
      </c>
      <c r="U179" t="s" s="70">
        <v>616</v>
      </c>
      <c r="V179" t="s" s="70">
        <v>125</v>
      </c>
      <c r="W179" t="s" s="70">
        <v>126</v>
      </c>
      <c r="X179" s="73">
        <v>30</v>
      </c>
      <c r="Y179" t="s" s="70">
        <v>10</v>
      </c>
      <c r="Z179" s="68" cm="1">
        <f t="array" ref="Z179">M179</f>
        <v>99933000</v>
      </c>
      <c r="AA179" t="s" s="70">
        <v>11</v>
      </c>
      <c r="AB179" s="72" cm="1">
        <f t="array" ref="AB179">AH179</f>
        <v>45560</v>
      </c>
      <c r="AC179" s="66"/>
      <c r="AD179" t="s" s="70">
        <v>128</v>
      </c>
      <c r="AE179" t="s" s="70">
        <v>13</v>
      </c>
      <c r="AF179" t="s" s="70">
        <v>111</v>
      </c>
      <c r="AG179" s="72">
        <v>45559</v>
      </c>
      <c r="AH179" s="72">
        <v>45560</v>
      </c>
      <c r="AI179" s="72">
        <v>45560</v>
      </c>
      <c r="AJ179" s="72">
        <v>45560</v>
      </c>
      <c r="AK179" s="72">
        <v>45561</v>
      </c>
      <c r="AL179" s="72">
        <v>45561</v>
      </c>
      <c r="AM179" s="72">
        <v>45561</v>
      </c>
      <c r="AN179" t="s" s="70">
        <v>1684</v>
      </c>
      <c r="AO179" s="72" cm="1">
        <f t="array" ref="AO179">AJ179</f>
        <v>45560</v>
      </c>
      <c r="AP179" t="s" s="70">
        <v>1685</v>
      </c>
      <c r="AQ179" s="72" cm="1">
        <f t="array" ref="AQ179">AJ179</f>
        <v>45560</v>
      </c>
      <c r="AR179" t="s" s="70">
        <v>1686</v>
      </c>
      <c r="AS179" s="72" cm="1">
        <f t="array" ref="AS179">AJ179</f>
        <v>45560</v>
      </c>
      <c r="AT179" t="s" s="78">
        <v>1687</v>
      </c>
      <c r="AU179" s="72" cm="1">
        <f t="array" ref="AU179">AJ179</f>
        <v>45560</v>
      </c>
      <c r="AV179" s="66"/>
      <c r="AW179" t="str" s="74" cm="1">
        <f t="array" ref="AW179">"600/"&amp;$B179&amp;"/"&amp;IF(AND($AE179="Konsultansi",M179&lt;=100000000),"SPK",IF(AND($AE179="Konsultansi",M179&gt;100000000),"Kont",IF(AND($AE179&lt;&gt;"Konsultansi",M179&lt;=200000000),"SPK","Kont")))&amp;"-"&amp;AE179&amp;"/PPK/DPUPR"</f>
        <v>600/53444174/SPK-Konsultansi/PPK/DPUPR</v>
      </c>
      <c r="AX179" t="str" s="74" cm="1">
        <f t="array" ref="AX179">"600/"&amp;$B179&amp;"/SPMK/PPK/DPUPR"</f>
        <v>600/53444174/SPMK/PPK/DPUPR</v>
      </c>
      <c r="AY179" s="66"/>
      <c r="AZ179" s="66"/>
      <c r="BA179" s="66"/>
      <c r="BB179" s="66"/>
      <c r="BC179" s="66"/>
      <c r="BD179" s="66"/>
      <c r="BE179" s="66"/>
      <c r="BF179" s="66"/>
      <c r="BG179" s="75">
        <v>245</v>
      </c>
      <c r="BH179" t="s" s="70">
        <v>1639</v>
      </c>
      <c r="BI179" t="s" s="70">
        <v>21</v>
      </c>
      <c r="BJ179" t="s" s="70">
        <v>22</v>
      </c>
      <c r="BK179" t="s" s="70">
        <v>23</v>
      </c>
      <c r="BL179" t="s" s="70">
        <v>24</v>
      </c>
      <c r="BM179" s="66"/>
      <c r="BN179" s="66"/>
      <c r="BO179" s="66"/>
      <c r="BP179" s="66"/>
      <c r="BQ179" s="66"/>
      <c r="BR179" t="b" s="73">
        <v>0</v>
      </c>
      <c r="BS179" s="68" cm="1">
        <f t="array" ref="BS179">IF(M179&lt;=0.8*K179,5%*K179,M179*5%)</f>
        <v>4996650</v>
      </c>
      <c r="BT179" t="s" s="70">
        <v>25</v>
      </c>
      <c r="BU179" s="66"/>
      <c r="BV179" s="68" cm="1">
        <f t="array" ref="BV179">J179-M179</f>
        <v>67000</v>
      </c>
    </row>
    <row r="180" ht="36.25" customHeight="1">
      <c r="A180" s="49"/>
      <c r="B180" s="50">
        <v>53444184</v>
      </c>
      <c r="C180" t="s" s="51">
        <v>1690</v>
      </c>
      <c r="D180" t="s" s="52">
        <v>1</v>
      </c>
      <c r="E180" t="str" s="53" cm="1">
        <f t="array" ref="E180">$C180</f>
        <v>Perencanaan Jalan Beton Paket I</v>
      </c>
      <c r="F180" s="54"/>
      <c r="G180" s="53"/>
      <c r="H180" s="53"/>
      <c r="I180" s="53"/>
      <c r="J180" s="55">
        <v>100000000</v>
      </c>
      <c r="K180" s="55">
        <v>99999000</v>
      </c>
      <c r="L180" s="116">
        <v>99965826</v>
      </c>
      <c r="M180" s="55">
        <v>99965000</v>
      </c>
      <c r="N180" t="s" s="58">
        <v>1639</v>
      </c>
      <c r="O180" t="s" s="59">
        <v>1640</v>
      </c>
      <c r="P180" t="s" s="58">
        <v>4</v>
      </c>
      <c r="Q180" t="s" s="58">
        <v>121</v>
      </c>
      <c r="R180" t="s" s="58">
        <v>122</v>
      </c>
      <c r="S180" t="s" s="58">
        <v>1641</v>
      </c>
      <c r="T180" s="60">
        <v>45446</v>
      </c>
      <c r="U180" t="s" s="58">
        <v>616</v>
      </c>
      <c r="V180" t="s" s="58">
        <v>125</v>
      </c>
      <c r="W180" t="s" s="58">
        <v>126</v>
      </c>
      <c r="X180" s="61">
        <v>30</v>
      </c>
      <c r="Y180" t="s" s="58">
        <v>10</v>
      </c>
      <c r="Z180" s="55" cm="1">
        <f t="array" ref="Z180">M180</f>
        <v>99965000</v>
      </c>
      <c r="AA180" t="s" s="58">
        <v>11</v>
      </c>
      <c r="AB180" s="60" cm="1">
        <f t="array" ref="AB180">AH180</f>
        <v>45560</v>
      </c>
      <c r="AC180" s="53"/>
      <c r="AD180" t="s" s="58">
        <v>128</v>
      </c>
      <c r="AE180" t="s" s="58">
        <v>13</v>
      </c>
      <c r="AF180" t="s" s="58">
        <v>111</v>
      </c>
      <c r="AG180" s="60">
        <v>45559</v>
      </c>
      <c r="AH180" s="60">
        <v>45560</v>
      </c>
      <c r="AI180" s="60">
        <v>45560</v>
      </c>
      <c r="AJ180" s="60">
        <v>45560</v>
      </c>
      <c r="AK180" s="60">
        <v>45561</v>
      </c>
      <c r="AL180" s="60">
        <v>45561</v>
      </c>
      <c r="AM180" s="60">
        <v>45561</v>
      </c>
      <c r="AN180" t="s" s="58">
        <v>1691</v>
      </c>
      <c r="AO180" s="60" cm="1">
        <f t="array" ref="AO180">AJ180</f>
        <v>45560</v>
      </c>
      <c r="AP180" t="s" s="58">
        <v>1692</v>
      </c>
      <c r="AQ180" s="60" cm="1">
        <f t="array" ref="AQ180">AJ180</f>
        <v>45560</v>
      </c>
      <c r="AR180" t="s" s="58">
        <v>1693</v>
      </c>
      <c r="AS180" s="60" cm="1">
        <f t="array" ref="AS180">AJ180</f>
        <v>45560</v>
      </c>
      <c r="AT180" t="s" s="78">
        <v>1694</v>
      </c>
      <c r="AU180" s="60" cm="1">
        <f t="array" ref="AU180">AJ180</f>
        <v>45560</v>
      </c>
      <c r="AV180" s="53"/>
      <c r="AW180" t="str" s="63" cm="1">
        <f t="array" ref="AW180">"600/"&amp;$B180&amp;"/"&amp;IF(AND($AE180="Konsultansi",M180&lt;=100000000),"SPK",IF(AND($AE180="Konsultansi",M180&gt;100000000),"Kont",IF(AND($AE180&lt;&gt;"Konsultansi",M180&lt;=200000000),"SPK","Kont")))&amp;"-"&amp;AE180&amp;"/PPK/DPUPR"</f>
        <v>600/53444184/SPK-Konsultansi/PPK/DPUPR</v>
      </c>
      <c r="AX180" t="str" s="63" cm="1">
        <f t="array" ref="AX180">"600/"&amp;$B180&amp;"/SPMK/PPK/DPUPR"</f>
        <v>600/53444184/SPMK/PPK/DPUPR</v>
      </c>
      <c r="AY180" s="53"/>
      <c r="AZ180" s="53"/>
      <c r="BA180" s="53"/>
      <c r="BB180" s="53"/>
      <c r="BC180" s="53"/>
      <c r="BD180" s="53"/>
      <c r="BE180" s="53"/>
      <c r="BF180" s="53"/>
      <c r="BG180" s="64">
        <v>245</v>
      </c>
      <c r="BH180" t="s" s="58">
        <v>1639</v>
      </c>
      <c r="BI180" t="s" s="58">
        <v>21</v>
      </c>
      <c r="BJ180" t="s" s="58">
        <v>22</v>
      </c>
      <c r="BK180" t="s" s="58">
        <v>23</v>
      </c>
      <c r="BL180" t="s" s="58">
        <v>24</v>
      </c>
      <c r="BM180" s="53"/>
      <c r="BN180" s="53"/>
      <c r="BO180" s="53"/>
      <c r="BP180" s="53"/>
      <c r="BQ180" s="53"/>
      <c r="BR180" t="b" s="61">
        <v>0</v>
      </c>
      <c r="BS180" s="55" cm="1">
        <f t="array" ref="BS180">IF(M180&lt;=0.8*K180,5%*K180,M180*5%)</f>
        <v>4998250</v>
      </c>
      <c r="BT180" t="s" s="58">
        <v>25</v>
      </c>
      <c r="BU180" s="53"/>
      <c r="BV180" s="55" cm="1">
        <f t="array" ref="BV180">J180-M180</f>
        <v>35000</v>
      </c>
    </row>
    <row r="181" ht="36.25" customHeight="1">
      <c r="A181" s="49"/>
      <c r="B181" s="50">
        <v>53444198</v>
      </c>
      <c r="C181" t="s" s="51">
        <v>1697</v>
      </c>
      <c r="D181" t="s" s="65">
        <v>1</v>
      </c>
      <c r="E181" t="str" s="66" cm="1">
        <f t="array" ref="E181">$C181</f>
        <v>Perencanaan Jalan Beton Paket II</v>
      </c>
      <c r="F181" s="67"/>
      <c r="G181" s="66"/>
      <c r="H181" s="66"/>
      <c r="I181" s="66"/>
      <c r="J181" s="68">
        <v>100000000</v>
      </c>
      <c r="K181" s="68">
        <v>99999000</v>
      </c>
      <c r="L181" s="116">
        <v>99933566.40000001</v>
      </c>
      <c r="M181" s="68">
        <v>99933000</v>
      </c>
      <c r="N181" t="s" s="70">
        <v>1639</v>
      </c>
      <c r="O181" t="s" s="71">
        <v>1640</v>
      </c>
      <c r="P181" t="s" s="70">
        <v>4</v>
      </c>
      <c r="Q181" t="s" s="70">
        <v>121</v>
      </c>
      <c r="R181" t="s" s="70">
        <v>122</v>
      </c>
      <c r="S181" t="s" s="70">
        <v>1641</v>
      </c>
      <c r="T181" s="72">
        <v>45446</v>
      </c>
      <c r="U181" t="s" s="70">
        <v>616</v>
      </c>
      <c r="V181" t="s" s="70">
        <v>125</v>
      </c>
      <c r="W181" t="s" s="70">
        <v>126</v>
      </c>
      <c r="X181" s="73">
        <v>30</v>
      </c>
      <c r="Y181" t="s" s="70">
        <v>10</v>
      </c>
      <c r="Z181" s="68" cm="1">
        <f t="array" ref="Z181">M181</f>
        <v>99933000</v>
      </c>
      <c r="AA181" t="s" s="70">
        <v>11</v>
      </c>
      <c r="AB181" s="72" cm="1">
        <f t="array" ref="AB181">AH181</f>
        <v>45560</v>
      </c>
      <c r="AC181" s="66"/>
      <c r="AD181" t="s" s="70">
        <v>128</v>
      </c>
      <c r="AE181" t="s" s="70">
        <v>13</v>
      </c>
      <c r="AF181" t="s" s="70">
        <v>111</v>
      </c>
      <c r="AG181" s="72">
        <v>45559</v>
      </c>
      <c r="AH181" s="72">
        <v>45560</v>
      </c>
      <c r="AI181" s="72">
        <v>45560</v>
      </c>
      <c r="AJ181" s="72">
        <v>45560</v>
      </c>
      <c r="AK181" s="72">
        <v>45561</v>
      </c>
      <c r="AL181" s="72">
        <v>45561</v>
      </c>
      <c r="AM181" s="72">
        <v>45561</v>
      </c>
      <c r="AN181" t="s" s="70">
        <v>1698</v>
      </c>
      <c r="AO181" s="72" cm="1">
        <f t="array" ref="AO181">AJ181</f>
        <v>45560</v>
      </c>
      <c r="AP181" t="s" s="70">
        <v>1699</v>
      </c>
      <c r="AQ181" s="72" cm="1">
        <f t="array" ref="AQ181">AJ181</f>
        <v>45560</v>
      </c>
      <c r="AR181" t="s" s="70">
        <v>1700</v>
      </c>
      <c r="AS181" s="72" cm="1">
        <f t="array" ref="AS181">AJ181</f>
        <v>45560</v>
      </c>
      <c r="AT181" t="s" s="78">
        <v>1701</v>
      </c>
      <c r="AU181" s="72" cm="1">
        <f t="array" ref="AU181">AJ181</f>
        <v>45560</v>
      </c>
      <c r="AV181" s="66"/>
      <c r="AW181" t="str" s="74" cm="1">
        <f t="array" ref="AW181">"600/"&amp;$B181&amp;"/"&amp;IF(AND($AE181="Konsultansi",M181&lt;=100000000),"SPK",IF(AND($AE181="Konsultansi",M181&gt;100000000),"Kont",IF(AND($AE181&lt;&gt;"Konsultansi",M181&lt;=200000000),"SPK","Kont")))&amp;"-"&amp;AE181&amp;"/PPK/DPUPR"</f>
        <v>600/53444198/SPK-Konsultansi/PPK/DPUPR</v>
      </c>
      <c r="AX181" t="str" s="74" cm="1">
        <f t="array" ref="AX181">"600/"&amp;$B181&amp;"/SPMK/PPK/DPUPR"</f>
        <v>600/53444198/SPMK/PPK/DPUPR</v>
      </c>
      <c r="AY181" s="66"/>
      <c r="AZ181" s="66"/>
      <c r="BA181" s="66"/>
      <c r="BB181" s="66"/>
      <c r="BC181" s="66"/>
      <c r="BD181" s="66"/>
      <c r="BE181" s="66"/>
      <c r="BF181" s="66"/>
      <c r="BG181" s="75">
        <v>245</v>
      </c>
      <c r="BH181" t="s" s="70">
        <v>1639</v>
      </c>
      <c r="BI181" t="s" s="70">
        <v>21</v>
      </c>
      <c r="BJ181" t="s" s="70">
        <v>22</v>
      </c>
      <c r="BK181" t="s" s="70">
        <v>23</v>
      </c>
      <c r="BL181" t="s" s="70">
        <v>24</v>
      </c>
      <c r="BM181" s="66"/>
      <c r="BN181" s="66"/>
      <c r="BO181" s="66"/>
      <c r="BP181" s="66"/>
      <c r="BQ181" s="66"/>
      <c r="BR181" t="b" s="73">
        <v>0</v>
      </c>
      <c r="BS181" s="68" cm="1">
        <f t="array" ref="BS181">IF(M181&lt;=0.8*K181,5%*K181,M181*5%)</f>
        <v>4996650</v>
      </c>
      <c r="BT181" t="s" s="70">
        <v>25</v>
      </c>
      <c r="BU181" s="66"/>
      <c r="BV181" s="68" cm="1">
        <f t="array" ref="BV181">J181-M181</f>
        <v>67000</v>
      </c>
    </row>
    <row r="182" ht="36.25" customHeight="1">
      <c r="A182" s="49"/>
      <c r="B182" s="50">
        <v>53444215</v>
      </c>
      <c r="C182" t="s" s="51">
        <v>1704</v>
      </c>
      <c r="D182" t="s" s="52">
        <v>1</v>
      </c>
      <c r="E182" t="str" s="53" cm="1">
        <f t="array" ref="E182">$C182</f>
        <v>Perencanaan Jalan Beton Paket III</v>
      </c>
      <c r="F182" s="54"/>
      <c r="G182" s="53"/>
      <c r="H182" s="53"/>
      <c r="I182" s="53"/>
      <c r="J182" s="55">
        <v>100000000</v>
      </c>
      <c r="K182" s="55">
        <v>99999000</v>
      </c>
      <c r="L182" s="116">
        <v>99965826</v>
      </c>
      <c r="M182" s="55">
        <v>99965000</v>
      </c>
      <c r="N182" t="s" s="58">
        <v>1639</v>
      </c>
      <c r="O182" t="s" s="59">
        <v>1640</v>
      </c>
      <c r="P182" t="s" s="58">
        <v>4</v>
      </c>
      <c r="Q182" t="s" s="58">
        <v>121</v>
      </c>
      <c r="R182" t="s" s="58">
        <v>122</v>
      </c>
      <c r="S182" t="s" s="58">
        <v>1641</v>
      </c>
      <c r="T182" s="60">
        <v>45446</v>
      </c>
      <c r="U182" t="s" s="58">
        <v>616</v>
      </c>
      <c r="V182" t="s" s="58">
        <v>125</v>
      </c>
      <c r="W182" t="s" s="58">
        <v>126</v>
      </c>
      <c r="X182" s="61">
        <v>30</v>
      </c>
      <c r="Y182" t="s" s="58">
        <v>10</v>
      </c>
      <c r="Z182" s="55" cm="1">
        <f t="array" ref="Z182">M182</f>
        <v>99965000</v>
      </c>
      <c r="AA182" t="s" s="58">
        <v>11</v>
      </c>
      <c r="AB182" s="60" cm="1">
        <f t="array" ref="AB182">AH182</f>
        <v>45560</v>
      </c>
      <c r="AC182" s="53"/>
      <c r="AD182" t="s" s="58">
        <v>128</v>
      </c>
      <c r="AE182" t="s" s="58">
        <v>13</v>
      </c>
      <c r="AF182" t="s" s="58">
        <v>111</v>
      </c>
      <c r="AG182" s="60">
        <v>45559</v>
      </c>
      <c r="AH182" s="60">
        <v>45560</v>
      </c>
      <c r="AI182" s="60">
        <v>45560</v>
      </c>
      <c r="AJ182" s="60">
        <v>45560</v>
      </c>
      <c r="AK182" s="60">
        <v>45561</v>
      </c>
      <c r="AL182" s="60">
        <v>45561</v>
      </c>
      <c r="AM182" s="60">
        <v>45561</v>
      </c>
      <c r="AN182" t="s" s="58">
        <v>1705</v>
      </c>
      <c r="AO182" s="60" cm="1">
        <f t="array" ref="AO182">AJ182</f>
        <v>45560</v>
      </c>
      <c r="AP182" t="s" s="58">
        <v>1706</v>
      </c>
      <c r="AQ182" s="60" cm="1">
        <f t="array" ref="AQ182">AJ182</f>
        <v>45560</v>
      </c>
      <c r="AR182" t="s" s="58">
        <v>1707</v>
      </c>
      <c r="AS182" s="60" cm="1">
        <f t="array" ref="AS182">AJ182</f>
        <v>45560</v>
      </c>
      <c r="AT182" t="s" s="78">
        <v>1708</v>
      </c>
      <c r="AU182" s="60" cm="1">
        <f t="array" ref="AU182">AJ182</f>
        <v>45560</v>
      </c>
      <c r="AV182" s="53"/>
      <c r="AW182" t="str" s="63" cm="1">
        <f t="array" ref="AW182">"600/"&amp;$B182&amp;"/"&amp;IF(AND($AE182="Konsultansi",M182&lt;=100000000),"SPK",IF(AND($AE182="Konsultansi",M182&gt;100000000),"Kont",IF(AND($AE182&lt;&gt;"Konsultansi",M182&lt;=200000000),"SPK","Kont")))&amp;"-"&amp;AE182&amp;"/PPK/DPUPR"</f>
        <v>600/53444215/SPK-Konsultansi/PPK/DPUPR</v>
      </c>
      <c r="AX182" t="str" s="63" cm="1">
        <f t="array" ref="AX182">"600/"&amp;$B182&amp;"/SPMK/PPK/DPUPR"</f>
        <v>600/53444215/SPMK/PPK/DPUPR</v>
      </c>
      <c r="AY182" s="53"/>
      <c r="AZ182" s="53"/>
      <c r="BA182" s="53"/>
      <c r="BB182" s="53"/>
      <c r="BC182" s="53"/>
      <c r="BD182" s="53"/>
      <c r="BE182" s="53"/>
      <c r="BF182" s="53"/>
      <c r="BG182" s="64">
        <v>245</v>
      </c>
      <c r="BH182" t="s" s="58">
        <v>1639</v>
      </c>
      <c r="BI182" t="s" s="58">
        <v>21</v>
      </c>
      <c r="BJ182" t="s" s="58">
        <v>22</v>
      </c>
      <c r="BK182" t="s" s="58">
        <v>23</v>
      </c>
      <c r="BL182" t="s" s="58">
        <v>24</v>
      </c>
      <c r="BM182" s="53"/>
      <c r="BN182" s="53"/>
      <c r="BO182" s="53"/>
      <c r="BP182" s="53"/>
      <c r="BQ182" s="53"/>
      <c r="BR182" t="b" s="61">
        <v>0</v>
      </c>
      <c r="BS182" s="55" cm="1">
        <f t="array" ref="BS182">IF(M182&lt;=0.8*K182,5%*K182,M182*5%)</f>
        <v>4998250</v>
      </c>
      <c r="BT182" t="s" s="58">
        <v>25</v>
      </c>
      <c r="BU182" s="53"/>
      <c r="BV182" s="55" cm="1">
        <f t="array" ref="BV182">J182-M182</f>
        <v>35000</v>
      </c>
    </row>
    <row r="183" ht="36.25" customHeight="1">
      <c r="A183" s="49"/>
      <c r="B183" s="50">
        <v>53444281</v>
      </c>
      <c r="C183" t="s" s="51">
        <v>1711</v>
      </c>
      <c r="D183" t="s" s="65">
        <v>1</v>
      </c>
      <c r="E183" t="str" s="66" cm="1">
        <f t="array" ref="E183">$C183</f>
        <v>Pembangunan jalan rabat alun-alun Pasangkayu</v>
      </c>
      <c r="F183" s="67"/>
      <c r="G183" s="66"/>
      <c r="H183" s="66"/>
      <c r="I183" s="66"/>
      <c r="J183" s="68">
        <v>178500000</v>
      </c>
      <c r="K183" s="68">
        <v>178424000</v>
      </c>
      <c r="L183" s="116">
        <v>178242382.12</v>
      </c>
      <c r="M183" s="68">
        <v>178242000</v>
      </c>
      <c r="N183" t="s" s="70">
        <v>321</v>
      </c>
      <c r="O183" t="s" s="71">
        <v>322</v>
      </c>
      <c r="P183" t="s" s="70">
        <v>4</v>
      </c>
      <c r="Q183" t="s" s="70">
        <v>323</v>
      </c>
      <c r="R183" t="s" s="70">
        <v>279</v>
      </c>
      <c r="S183" t="s" s="70">
        <v>324</v>
      </c>
      <c r="T183" s="82">
        <v>43979</v>
      </c>
      <c r="U183" t="s" s="70">
        <v>124</v>
      </c>
      <c r="V183" t="s" s="70">
        <v>325</v>
      </c>
      <c r="W183" t="s" s="70">
        <v>326</v>
      </c>
      <c r="X183" s="73">
        <v>60</v>
      </c>
      <c r="Y183" t="s" s="70">
        <v>10</v>
      </c>
      <c r="Z183" s="68" cm="1">
        <f t="array" ref="Z183">M183</f>
        <v>178242000</v>
      </c>
      <c r="AA183" t="s" s="70">
        <v>11</v>
      </c>
      <c r="AB183" s="72" cm="1">
        <f t="array" ref="AB183">AH183</f>
        <v>45560</v>
      </c>
      <c r="AC183" s="66"/>
      <c r="AD183" t="s" s="70">
        <v>109</v>
      </c>
      <c r="AE183" t="s" s="70">
        <v>110</v>
      </c>
      <c r="AF183" t="s" s="70">
        <v>111</v>
      </c>
      <c r="AG183" s="72">
        <v>45559</v>
      </c>
      <c r="AH183" s="72">
        <v>45560</v>
      </c>
      <c r="AI183" s="72">
        <v>45560</v>
      </c>
      <c r="AJ183" s="72">
        <v>45560</v>
      </c>
      <c r="AK183" s="72">
        <v>45561</v>
      </c>
      <c r="AL183" s="72">
        <v>45561</v>
      </c>
      <c r="AM183" s="72">
        <v>45561</v>
      </c>
      <c r="AN183" t="s" s="70">
        <v>1712</v>
      </c>
      <c r="AO183" s="72" cm="1">
        <f t="array" ref="AO183">AJ183</f>
        <v>45560</v>
      </c>
      <c r="AP183" t="s" s="70">
        <v>1713</v>
      </c>
      <c r="AQ183" s="72" cm="1">
        <f t="array" ref="AQ183">AJ183</f>
        <v>45560</v>
      </c>
      <c r="AR183" t="s" s="70">
        <v>1714</v>
      </c>
      <c r="AS183" s="72" cm="1">
        <f t="array" ref="AS183">AJ183</f>
        <v>45560</v>
      </c>
      <c r="AT183" t="s" s="78">
        <v>1715</v>
      </c>
      <c r="AU183" s="72" cm="1">
        <f t="array" ref="AU183">AJ183</f>
        <v>45560</v>
      </c>
      <c r="AV183" s="66"/>
      <c r="AW183" t="str" s="74" cm="1">
        <f t="array" ref="AW183">"600/"&amp;$B183&amp;"/"&amp;IF(AND($AE183="Konsultansi",M183&lt;=100000000),"SPK",IF(AND($AE183="Konsultansi",M183&gt;100000000),"Kont",IF(AND($AE183&lt;&gt;"Konsultansi",M183&lt;=200000000),"SPK","Kont")))&amp;"-"&amp;AE183&amp;"/PPK/DPUPR"</f>
        <v>600/53444281/SPK-Konstruksi/PPK/DPUPR</v>
      </c>
      <c r="AX183" t="str" s="74" cm="1">
        <f t="array" ref="AX183">"600/"&amp;$B183&amp;"/SPMK/PPK/DPUPR"</f>
        <v>600/53444281/SPMK/PPK/DPUPR</v>
      </c>
      <c r="AY183" s="66"/>
      <c r="AZ183" s="66"/>
      <c r="BA183" s="66"/>
      <c r="BB183" s="66"/>
      <c r="BC183" s="66"/>
      <c r="BD183" s="66"/>
      <c r="BE183" s="66"/>
      <c r="BF183" s="66"/>
      <c r="BG183" s="75">
        <v>15</v>
      </c>
      <c r="BH183" t="s" s="70">
        <v>321</v>
      </c>
      <c r="BI183" t="s" s="70">
        <v>21</v>
      </c>
      <c r="BJ183" t="s" s="70">
        <v>22</v>
      </c>
      <c r="BK183" t="s" s="70">
        <v>23</v>
      </c>
      <c r="BL183" t="s" s="70">
        <v>24</v>
      </c>
      <c r="BM183" s="66"/>
      <c r="BN183" s="66"/>
      <c r="BO183" s="66"/>
      <c r="BP183" s="66"/>
      <c r="BQ183" s="66"/>
      <c r="BR183" t="b" s="73">
        <v>0</v>
      </c>
      <c r="BS183" s="68" cm="1">
        <f t="array" ref="BS183">IF(M183&lt;=0.8*K183,5%*K183,M183*5%)</f>
        <v>8912100</v>
      </c>
      <c r="BT183" t="s" s="70">
        <v>25</v>
      </c>
      <c r="BU183" s="66"/>
      <c r="BV183" s="68" cm="1">
        <f t="array" ref="BV183">J183-M183</f>
        <v>258000</v>
      </c>
    </row>
    <row r="184" ht="36.25" customHeight="1">
      <c r="A184" s="49"/>
      <c r="B184" s="50">
        <v>53444288</v>
      </c>
      <c r="C184" t="s" s="51">
        <v>1718</v>
      </c>
      <c r="D184" t="s" s="52">
        <v>1</v>
      </c>
      <c r="E184" t="str" s="53" cm="1">
        <f t="array" ref="E184">$C184</f>
        <v>Pemb. Jalan Towoni-Agri Baras</v>
      </c>
      <c r="F184" s="54"/>
      <c r="G184" s="53"/>
      <c r="H184" s="53"/>
      <c r="I184" s="53"/>
      <c r="J184" s="55">
        <v>200000000</v>
      </c>
      <c r="K184" s="55">
        <v>199951000</v>
      </c>
      <c r="L184" s="116">
        <v>199862379.47</v>
      </c>
      <c r="M184" s="55">
        <v>199862000</v>
      </c>
      <c r="N184" t="s" s="58">
        <v>292</v>
      </c>
      <c r="O184" t="s" s="59">
        <v>293</v>
      </c>
      <c r="P184" t="s" s="58">
        <v>4</v>
      </c>
      <c r="Q184" t="s" s="58">
        <v>294</v>
      </c>
      <c r="R184" t="s" s="58">
        <v>295</v>
      </c>
      <c r="S184" s="61">
        <v>11</v>
      </c>
      <c r="T184" s="83">
        <v>42508</v>
      </c>
      <c r="U184" t="s" s="58">
        <v>296</v>
      </c>
      <c r="V184" t="s" s="58">
        <v>297</v>
      </c>
      <c r="W184" t="s" s="58">
        <v>298</v>
      </c>
      <c r="X184" s="61">
        <v>60</v>
      </c>
      <c r="Y184" t="s" s="58">
        <v>10</v>
      </c>
      <c r="Z184" s="55" cm="1">
        <f t="array" ref="Z184">M184</f>
        <v>199862000</v>
      </c>
      <c r="AA184" t="s" s="58">
        <v>11</v>
      </c>
      <c r="AB184" s="60" cm="1">
        <f t="array" ref="AB184">AH184</f>
        <v>45560</v>
      </c>
      <c r="AC184" s="53"/>
      <c r="AD184" t="s" s="58">
        <v>109</v>
      </c>
      <c r="AE184" t="s" s="58">
        <v>110</v>
      </c>
      <c r="AF184" t="s" s="58">
        <v>111</v>
      </c>
      <c r="AG184" s="60">
        <v>45559</v>
      </c>
      <c r="AH184" s="60">
        <v>45560</v>
      </c>
      <c r="AI184" s="60">
        <v>45560</v>
      </c>
      <c r="AJ184" s="60">
        <v>45560</v>
      </c>
      <c r="AK184" s="60">
        <v>45561</v>
      </c>
      <c r="AL184" s="60">
        <v>45561</v>
      </c>
      <c r="AM184" s="60">
        <v>45561</v>
      </c>
      <c r="AN184" t="s" s="58">
        <v>1719</v>
      </c>
      <c r="AO184" s="60" cm="1">
        <f t="array" ref="AO184">AJ184</f>
        <v>45560</v>
      </c>
      <c r="AP184" t="s" s="58">
        <v>1720</v>
      </c>
      <c r="AQ184" s="60" cm="1">
        <f t="array" ref="AQ184">AJ184</f>
        <v>45560</v>
      </c>
      <c r="AR184" t="s" s="58">
        <v>1721</v>
      </c>
      <c r="AS184" s="60" cm="1">
        <f t="array" ref="AS184">AJ184</f>
        <v>45560</v>
      </c>
      <c r="AT184" t="s" s="78">
        <v>1722</v>
      </c>
      <c r="AU184" s="60" cm="1">
        <f t="array" ref="AU184">AJ184</f>
        <v>45560</v>
      </c>
      <c r="AV184" s="53"/>
      <c r="AW184" t="str" s="63" cm="1">
        <f t="array" ref="AW184">"600/"&amp;$B184&amp;"/"&amp;IF(AND($AE184="Konsultansi",M184&lt;=100000000),"SPK",IF(AND($AE184="Konsultansi",M184&gt;100000000),"Kont",IF(AND($AE184&lt;&gt;"Konsultansi",M184&lt;=200000000),"SPK","Kont")))&amp;"-"&amp;AE184&amp;"/PPK/DPUPR"</f>
        <v>600/53444288/SPK-Konstruksi/PPK/DPUPR</v>
      </c>
      <c r="AX184" t="str" s="63" cm="1">
        <f t="array" ref="AX184">"600/"&amp;$B184&amp;"/SPMK/PPK/DPUPR"</f>
        <v>600/53444288/SPMK/PPK/DPUPR</v>
      </c>
      <c r="AY184" s="53"/>
      <c r="AZ184" s="53"/>
      <c r="BA184" s="53"/>
      <c r="BB184" s="53"/>
      <c r="BC184" s="53"/>
      <c r="BD184" s="53"/>
      <c r="BE184" s="53"/>
      <c r="BF184" s="53"/>
      <c r="BG184" s="64">
        <v>72</v>
      </c>
      <c r="BH184" t="s" s="58">
        <v>292</v>
      </c>
      <c r="BI184" t="s" s="58">
        <v>21</v>
      </c>
      <c r="BJ184" t="s" s="58">
        <v>22</v>
      </c>
      <c r="BK184" t="s" s="58">
        <v>23</v>
      </c>
      <c r="BL184" t="s" s="58">
        <v>24</v>
      </c>
      <c r="BM184" s="53"/>
      <c r="BN184" s="53"/>
      <c r="BO184" s="53"/>
      <c r="BP184" s="53"/>
      <c r="BQ184" s="53"/>
      <c r="BR184" t="b" s="61">
        <v>0</v>
      </c>
      <c r="BS184" s="55" cm="1">
        <f t="array" ref="BS184">IF(M184&lt;=0.8*K184,5%*K184,M184*5%)</f>
        <v>9993100</v>
      </c>
      <c r="BT184" t="s" s="58">
        <v>25</v>
      </c>
      <c r="BU184" s="53"/>
      <c r="BV184" s="55" cm="1">
        <f t="array" ref="BV184">J184-M184</f>
        <v>138000</v>
      </c>
    </row>
    <row r="185" ht="36.25" customHeight="1">
      <c r="A185" s="49"/>
      <c r="B185" s="50">
        <v>53444298</v>
      </c>
      <c r="C185" t="s" s="51">
        <v>1725</v>
      </c>
      <c r="D185" t="s" s="65">
        <v>1</v>
      </c>
      <c r="E185" t="str" s="66" cm="1">
        <f t="array" ref="E185">$C185</f>
        <v>Pemb. Jalan Towoni</v>
      </c>
      <c r="F185" s="67"/>
      <c r="G185" s="66"/>
      <c r="H185" s="66"/>
      <c r="I185" s="66"/>
      <c r="J185" s="68">
        <v>200000000</v>
      </c>
      <c r="K185" s="68">
        <v>199951000</v>
      </c>
      <c r="L185" s="116">
        <v>199862379.47</v>
      </c>
      <c r="M185" s="68">
        <v>199862000</v>
      </c>
      <c r="N185" t="s" s="70">
        <v>292</v>
      </c>
      <c r="O185" t="s" s="71">
        <v>293</v>
      </c>
      <c r="P185" t="s" s="70">
        <v>4</v>
      </c>
      <c r="Q185" t="s" s="70">
        <v>294</v>
      </c>
      <c r="R185" t="s" s="70">
        <v>295</v>
      </c>
      <c r="S185" s="73">
        <v>11</v>
      </c>
      <c r="T185" s="82">
        <v>42508</v>
      </c>
      <c r="U185" t="s" s="70">
        <v>296</v>
      </c>
      <c r="V185" t="s" s="70">
        <v>297</v>
      </c>
      <c r="W185" t="s" s="70">
        <v>298</v>
      </c>
      <c r="X185" s="73">
        <v>60</v>
      </c>
      <c r="Y185" t="s" s="70">
        <v>10</v>
      </c>
      <c r="Z185" s="68" cm="1">
        <f t="array" ref="Z185">M185</f>
        <v>199862000</v>
      </c>
      <c r="AA185" t="s" s="70">
        <v>11</v>
      </c>
      <c r="AB185" s="72" cm="1">
        <f t="array" ref="AB185">AH185</f>
        <v>45560</v>
      </c>
      <c r="AC185" s="66"/>
      <c r="AD185" t="s" s="70">
        <v>109</v>
      </c>
      <c r="AE185" t="s" s="70">
        <v>110</v>
      </c>
      <c r="AF185" t="s" s="70">
        <v>111</v>
      </c>
      <c r="AG185" s="72">
        <v>45559</v>
      </c>
      <c r="AH185" s="72">
        <v>45560</v>
      </c>
      <c r="AI185" s="72">
        <v>45560</v>
      </c>
      <c r="AJ185" s="72">
        <v>45560</v>
      </c>
      <c r="AK185" s="72">
        <v>45561</v>
      </c>
      <c r="AL185" s="72">
        <v>45561</v>
      </c>
      <c r="AM185" s="72">
        <v>45561</v>
      </c>
      <c r="AN185" t="s" s="70">
        <v>1726</v>
      </c>
      <c r="AO185" s="72" cm="1">
        <f t="array" ref="AO185">AJ185</f>
        <v>45560</v>
      </c>
      <c r="AP185" t="s" s="70">
        <v>1727</v>
      </c>
      <c r="AQ185" s="72" cm="1">
        <f t="array" ref="AQ185">AJ185</f>
        <v>45560</v>
      </c>
      <c r="AR185" t="s" s="70">
        <v>1728</v>
      </c>
      <c r="AS185" s="72" cm="1">
        <f t="array" ref="AS185">AJ185</f>
        <v>45560</v>
      </c>
      <c r="AT185" t="s" s="78">
        <v>1729</v>
      </c>
      <c r="AU185" s="72" cm="1">
        <f t="array" ref="AU185">AJ185</f>
        <v>45560</v>
      </c>
      <c r="AV185" s="66"/>
      <c r="AW185" t="str" s="74" cm="1">
        <f t="array" ref="AW185">"600/"&amp;$B185&amp;"/"&amp;IF(AND($AE185="Konsultansi",M185&lt;=100000000),"SPK",IF(AND($AE185="Konsultansi",M185&gt;100000000),"Kont",IF(AND($AE185&lt;&gt;"Konsultansi",M185&lt;=200000000),"SPK","Kont")))&amp;"-"&amp;AE185&amp;"/PPK/DPUPR"</f>
        <v>600/53444298/SPK-Konstruksi/PPK/DPUPR</v>
      </c>
      <c r="AX185" t="str" s="74" cm="1">
        <f t="array" ref="AX185">"600/"&amp;$B185&amp;"/SPMK/PPK/DPUPR"</f>
        <v>600/53444298/SPMK/PPK/DPUPR</v>
      </c>
      <c r="AY185" s="66"/>
      <c r="AZ185" s="66"/>
      <c r="BA185" s="66"/>
      <c r="BB185" s="66"/>
      <c r="BC185" s="66"/>
      <c r="BD185" s="66"/>
      <c r="BE185" s="66"/>
      <c r="BF185" s="66"/>
      <c r="BG185" s="75">
        <v>72</v>
      </c>
      <c r="BH185" t="s" s="70">
        <v>292</v>
      </c>
      <c r="BI185" t="s" s="70">
        <v>21</v>
      </c>
      <c r="BJ185" t="s" s="70">
        <v>22</v>
      </c>
      <c r="BK185" t="s" s="70">
        <v>23</v>
      </c>
      <c r="BL185" t="s" s="70">
        <v>24</v>
      </c>
      <c r="BM185" s="66"/>
      <c r="BN185" s="66"/>
      <c r="BO185" s="66"/>
      <c r="BP185" s="66"/>
      <c r="BQ185" s="66"/>
      <c r="BR185" t="b" s="73">
        <v>0</v>
      </c>
      <c r="BS185" s="68" cm="1">
        <f t="array" ref="BS185">IF(M185&lt;=0.8*K185,5%*K185,M185*5%)</f>
        <v>9993100</v>
      </c>
      <c r="BT185" t="s" s="70">
        <v>25</v>
      </c>
      <c r="BU185" s="66"/>
      <c r="BV185" s="68" cm="1">
        <f t="array" ref="BV185">J185-M185</f>
        <v>138000</v>
      </c>
    </row>
    <row r="186" ht="36.25" customHeight="1">
      <c r="A186" s="49"/>
      <c r="B186" s="50">
        <v>53444319</v>
      </c>
      <c r="C186" t="s" s="51">
        <v>1732</v>
      </c>
      <c r="D186" t="s" s="52">
        <v>1</v>
      </c>
      <c r="E186" t="str" s="53" cm="1">
        <f t="array" ref="E186">$C186</f>
        <v>Pemb. Jalan Desa sipakaingan</v>
      </c>
      <c r="F186" s="54"/>
      <c r="G186" s="53"/>
      <c r="H186" s="53"/>
      <c r="I186" s="53"/>
      <c r="J186" s="55">
        <v>200000000</v>
      </c>
      <c r="K186" s="55">
        <v>199951000</v>
      </c>
      <c r="L186" s="116">
        <v>199840141.47</v>
      </c>
      <c r="M186" s="55">
        <v>199840000</v>
      </c>
      <c r="N186" t="s" s="58">
        <v>276</v>
      </c>
      <c r="O186" t="s" s="59">
        <v>277</v>
      </c>
      <c r="P186" t="s" s="58">
        <v>4</v>
      </c>
      <c r="Q186" t="s" s="58">
        <v>278</v>
      </c>
      <c r="R186" t="s" s="58">
        <v>279</v>
      </c>
      <c r="S186" t="s" s="58">
        <v>280</v>
      </c>
      <c r="T186" s="60">
        <v>40634</v>
      </c>
      <c r="U186" t="s" s="58">
        <v>281</v>
      </c>
      <c r="V186" t="s" s="58">
        <v>282</v>
      </c>
      <c r="W186" t="s" s="58">
        <v>283</v>
      </c>
      <c r="X186" s="61">
        <v>60</v>
      </c>
      <c r="Y186" t="s" s="58">
        <v>10</v>
      </c>
      <c r="Z186" s="55" cm="1">
        <f t="array" ref="Z186">M186</f>
        <v>199840000</v>
      </c>
      <c r="AA186" t="s" s="58">
        <v>11</v>
      </c>
      <c r="AB186" s="60" cm="1">
        <f t="array" ref="AB186">AH186</f>
        <v>45560</v>
      </c>
      <c r="AC186" s="53"/>
      <c r="AD186" t="s" s="58">
        <v>109</v>
      </c>
      <c r="AE186" t="s" s="58">
        <v>110</v>
      </c>
      <c r="AF186" t="s" s="58">
        <v>111</v>
      </c>
      <c r="AG186" s="60">
        <v>45559</v>
      </c>
      <c r="AH186" s="60">
        <v>45560</v>
      </c>
      <c r="AI186" s="60">
        <v>45560</v>
      </c>
      <c r="AJ186" s="60">
        <v>45560</v>
      </c>
      <c r="AK186" s="60">
        <v>45561</v>
      </c>
      <c r="AL186" s="60">
        <v>45561</v>
      </c>
      <c r="AM186" s="60">
        <v>45561</v>
      </c>
      <c r="AN186" t="s" s="58">
        <v>1733</v>
      </c>
      <c r="AO186" s="60" cm="1">
        <f t="array" ref="AO186">AJ186</f>
        <v>45560</v>
      </c>
      <c r="AP186" t="s" s="58">
        <v>1734</v>
      </c>
      <c r="AQ186" s="60" cm="1">
        <f t="array" ref="AQ186">AJ186</f>
        <v>45560</v>
      </c>
      <c r="AR186" t="s" s="58">
        <v>1735</v>
      </c>
      <c r="AS186" s="60" cm="1">
        <f t="array" ref="AS186">AJ186</f>
        <v>45560</v>
      </c>
      <c r="AT186" t="s" s="78">
        <v>1736</v>
      </c>
      <c r="AU186" s="60" cm="1">
        <f t="array" ref="AU186">AJ186</f>
        <v>45560</v>
      </c>
      <c r="AV186" s="53"/>
      <c r="AW186" t="str" s="63" cm="1">
        <f t="array" ref="AW186">"600/"&amp;$B186&amp;"/"&amp;IF(AND($AE186="Konsultansi",M186&lt;=100000000),"SPK",IF(AND($AE186="Konsultansi",M186&gt;100000000),"Kont",IF(AND($AE186&lt;&gt;"Konsultansi",M186&lt;=200000000),"SPK","Kont")))&amp;"-"&amp;AE186&amp;"/PPK/DPUPR"</f>
        <v>600/53444319/SPK-Konstruksi/PPK/DPUPR</v>
      </c>
      <c r="AX186" t="str" s="63" cm="1">
        <f t="array" ref="AX186">"600/"&amp;$B186&amp;"/SPMK/PPK/DPUPR"</f>
        <v>600/53444319/SPMK/PPK/DPUPR</v>
      </c>
      <c r="AY186" s="53"/>
      <c r="AZ186" s="53"/>
      <c r="BA186" s="53"/>
      <c r="BB186" s="53"/>
      <c r="BC186" s="53"/>
      <c r="BD186" s="53"/>
      <c r="BE186" s="53"/>
      <c r="BF186" s="53"/>
      <c r="BG186" s="64">
        <v>19</v>
      </c>
      <c r="BH186" t="s" s="58">
        <v>276</v>
      </c>
      <c r="BI186" t="s" s="58">
        <v>21</v>
      </c>
      <c r="BJ186" t="s" s="58">
        <v>22</v>
      </c>
      <c r="BK186" t="s" s="58">
        <v>23</v>
      </c>
      <c r="BL186" t="s" s="58">
        <v>24</v>
      </c>
      <c r="BM186" s="53"/>
      <c r="BN186" s="53"/>
      <c r="BO186" s="53"/>
      <c r="BP186" s="53"/>
      <c r="BQ186" s="53"/>
      <c r="BR186" t="b" s="61">
        <v>0</v>
      </c>
      <c r="BS186" s="55" cm="1">
        <f t="array" ref="BS186">IF(M186&lt;=0.8*K186,5%*K186,M186*5%)</f>
        <v>9992000</v>
      </c>
      <c r="BT186" t="s" s="58">
        <v>25</v>
      </c>
      <c r="BU186" s="53"/>
      <c r="BV186" s="55" cm="1">
        <f t="array" ref="BV186">J186-M186</f>
        <v>160000</v>
      </c>
    </row>
    <row r="187" ht="36.25" customHeight="1">
      <c r="A187" s="49"/>
      <c r="B187" s="50">
        <v>53444344</v>
      </c>
      <c r="C187" t="s" s="51">
        <v>1739</v>
      </c>
      <c r="D187" t="s" s="65">
        <v>1</v>
      </c>
      <c r="E187" t="str" s="66" cm="1">
        <f t="array" ref="E187">$C187</f>
        <v>Pengawasan Jalan rabat alun-alun Pasangkayu cs.</v>
      </c>
      <c r="F187" s="67"/>
      <c r="G187" s="66"/>
      <c r="H187" s="66"/>
      <c r="I187" s="66"/>
      <c r="J187" s="68">
        <v>60000000</v>
      </c>
      <c r="K187" s="68">
        <v>59962000</v>
      </c>
      <c r="L187" s="116">
        <v>59907189.6</v>
      </c>
      <c r="M187" s="68">
        <v>59851000</v>
      </c>
      <c r="N187" t="s" s="70">
        <v>261</v>
      </c>
      <c r="O187" t="s" s="71">
        <v>262</v>
      </c>
      <c r="P187" t="s" s="70">
        <v>4</v>
      </c>
      <c r="Q187" t="s" s="70">
        <v>263</v>
      </c>
      <c r="R187" t="s" s="70">
        <v>264</v>
      </c>
      <c r="S187" s="73">
        <v>53</v>
      </c>
      <c r="T187" s="72">
        <v>41288</v>
      </c>
      <c r="U187" t="s" s="70">
        <v>265</v>
      </c>
      <c r="V187" t="s" s="70">
        <v>266</v>
      </c>
      <c r="W187" t="s" s="70">
        <v>267</v>
      </c>
      <c r="X187" s="73">
        <v>60</v>
      </c>
      <c r="Y187" t="s" s="70">
        <v>10</v>
      </c>
      <c r="Z187" s="68" cm="1">
        <f t="array" ref="Z187">M187</f>
        <v>59851000</v>
      </c>
      <c r="AA187" t="s" s="70">
        <v>11</v>
      </c>
      <c r="AB187" s="72" cm="1">
        <f t="array" ref="AB187">AH187</f>
        <v>45560</v>
      </c>
      <c r="AC187" s="66"/>
      <c r="AD187" t="s" s="70">
        <v>12</v>
      </c>
      <c r="AE187" t="s" s="70">
        <v>13</v>
      </c>
      <c r="AF187" t="s" s="70">
        <v>111</v>
      </c>
      <c r="AG187" s="72">
        <v>45559</v>
      </c>
      <c r="AH187" s="72">
        <v>45560</v>
      </c>
      <c r="AI187" s="72">
        <v>45560</v>
      </c>
      <c r="AJ187" s="72">
        <v>45560</v>
      </c>
      <c r="AK187" s="72">
        <v>45561</v>
      </c>
      <c r="AL187" s="72">
        <v>45561</v>
      </c>
      <c r="AM187" s="72">
        <v>45561</v>
      </c>
      <c r="AN187" t="s" s="70">
        <v>1740</v>
      </c>
      <c r="AO187" s="72" cm="1">
        <f t="array" ref="AO187">AJ187</f>
        <v>45560</v>
      </c>
      <c r="AP187" t="s" s="70">
        <v>1741</v>
      </c>
      <c r="AQ187" s="72" cm="1">
        <f t="array" ref="AQ187">AJ187</f>
        <v>45560</v>
      </c>
      <c r="AR187" t="s" s="70">
        <v>1742</v>
      </c>
      <c r="AS187" s="72" cm="1">
        <f t="array" ref="AS187">AJ187</f>
        <v>45560</v>
      </c>
      <c r="AT187" t="s" s="78">
        <v>1743</v>
      </c>
      <c r="AU187" s="72" cm="1">
        <f t="array" ref="AU187">AJ187</f>
        <v>45560</v>
      </c>
      <c r="AV187" s="66"/>
      <c r="AW187" t="str" s="74" cm="1">
        <f t="array" ref="AW187">"600/"&amp;$B187&amp;"/"&amp;IF(AND($AE187="Konsultansi",M187&lt;=100000000),"SPK",IF(AND($AE187="Konsultansi",M187&gt;100000000),"Kont",IF(AND($AE187&lt;&gt;"Konsultansi",M187&lt;=200000000),"SPK","Kont")))&amp;"-"&amp;AE187&amp;"/PPK/DPUPR"</f>
        <v>600/53444344/SPK-Konsultansi/PPK/DPUPR</v>
      </c>
      <c r="AX187" t="str" s="74" cm="1">
        <f t="array" ref="AX187">"600/"&amp;$B187&amp;"/SPMK/PPK/DPUPR"</f>
        <v>600/53444344/SPMK/PPK/DPUPR</v>
      </c>
      <c r="AY187" s="66"/>
      <c r="AZ187" s="66"/>
      <c r="BA187" s="66"/>
      <c r="BB187" s="66"/>
      <c r="BC187" s="66"/>
      <c r="BD187" s="66"/>
      <c r="BE187" s="66"/>
      <c r="BF187" s="66"/>
      <c r="BG187" s="75">
        <v>1</v>
      </c>
      <c r="BH187" t="s" s="70">
        <v>261</v>
      </c>
      <c r="BI187" t="s" s="70">
        <v>21</v>
      </c>
      <c r="BJ187" t="s" s="70">
        <v>22</v>
      </c>
      <c r="BK187" t="s" s="70">
        <v>23</v>
      </c>
      <c r="BL187" t="s" s="70">
        <v>24</v>
      </c>
      <c r="BM187" s="66"/>
      <c r="BN187" s="66"/>
      <c r="BO187" s="66"/>
      <c r="BP187" s="66"/>
      <c r="BQ187" s="66"/>
      <c r="BR187" t="b" s="73">
        <v>0</v>
      </c>
      <c r="BS187" s="68" cm="1">
        <f t="array" ref="BS187">IF(M187&lt;=0.8*K187,5%*K187,M187*5%)</f>
        <v>2992550</v>
      </c>
      <c r="BT187" t="s" s="70">
        <v>25</v>
      </c>
      <c r="BU187" s="66"/>
      <c r="BV187" s="68" cm="1">
        <f t="array" ref="BV187">J187-M187</f>
        <v>149000</v>
      </c>
    </row>
    <row r="188" ht="24.25" customHeight="1">
      <c r="A188" s="49"/>
      <c r="B188" s="49"/>
      <c r="C188" s="101"/>
      <c r="D188" s="104"/>
      <c r="E188" s="61" cm="1">
        <f t="array" ref="E188">$C188</f>
        <v>0</v>
      </c>
      <c r="F188" s="54"/>
      <c r="G188" s="53"/>
      <c r="H188" s="53"/>
      <c r="I188" s="53"/>
      <c r="J188" s="55"/>
      <c r="K188" s="55"/>
      <c r="L188" s="116"/>
      <c r="M188" s="55"/>
      <c r="N188" t="s" s="58">
        <v>676</v>
      </c>
      <c r="O188" t="s" s="59">
        <v>676</v>
      </c>
      <c r="P188" t="s" s="58">
        <v>676</v>
      </c>
      <c r="Q188" t="s" s="58">
        <v>676</v>
      </c>
      <c r="R188" t="s" s="58">
        <v>676</v>
      </c>
      <c r="S188" t="s" s="58">
        <v>676</v>
      </c>
      <c r="T188" t="s" s="58">
        <v>676</v>
      </c>
      <c r="U188" t="s" s="58">
        <v>676</v>
      </c>
      <c r="V188" t="s" s="58">
        <v>676</v>
      </c>
      <c r="W188" t="s" s="58">
        <v>676</v>
      </c>
      <c r="X188" s="53"/>
      <c r="Y188" s="53"/>
      <c r="Z188" s="55" cm="1">
        <f t="array" ref="Z188">M188</f>
        <v>0</v>
      </c>
      <c r="AA188" s="53"/>
      <c r="AB188" s="60"/>
      <c r="AC188" s="53"/>
      <c r="AD188" s="53"/>
      <c r="AE188" t="s" s="58">
        <v>701</v>
      </c>
      <c r="AF188" s="53"/>
      <c r="AG188" s="60">
        <v>45559</v>
      </c>
      <c r="AH188" s="60">
        <v>45560</v>
      </c>
      <c r="AI188" s="60">
        <v>45560</v>
      </c>
      <c r="AJ188" s="60">
        <v>45560</v>
      </c>
      <c r="AK188" s="60">
        <v>45561</v>
      </c>
      <c r="AL188" s="60">
        <v>45561</v>
      </c>
      <c r="AM188" s="60">
        <v>45561</v>
      </c>
      <c r="AN188" t="s" s="58">
        <v>677</v>
      </c>
      <c r="AO188" s="60" cm="1">
        <f t="array" ref="AO188">AJ188</f>
        <v>45560</v>
      </c>
      <c r="AP188" t="s" s="58">
        <v>678</v>
      </c>
      <c r="AQ188" s="60" cm="1">
        <f t="array" ref="AQ188">AJ188</f>
        <v>45560</v>
      </c>
      <c r="AR188" t="s" s="58">
        <v>1746</v>
      </c>
      <c r="AS188" s="60" cm="1">
        <f t="array" ref="AS188">AJ188</f>
        <v>45560</v>
      </c>
      <c r="AT188" t="s" s="78">
        <v>1747</v>
      </c>
      <c r="AU188" s="60" cm="1">
        <f t="array" ref="AU188">AJ188</f>
        <v>45560</v>
      </c>
      <c r="AV188" s="53"/>
      <c r="AW188" t="str" s="63" cm="1">
        <f t="array" ref="AW188">"600/"&amp;$B188&amp;"/"&amp;IF(AND($AE188="Konsultansi",M188&lt;=100000000),"SPK",IF(AND($AE188="Konsultansi",M188&gt;100000000),"Kont",IF(AND($AE188&lt;&gt;"Konsultansi",M188&lt;=200000000),"SPK","Kont")))&amp;"-"&amp;AE188&amp;"/PPK/DPUPR"</f>
        <v>600//SPK-Barang/PPK/DPUPR</v>
      </c>
      <c r="AX188" t="str" s="63" cm="1">
        <f t="array" ref="AX188">"600/"&amp;$B188&amp;"/SPMK/PPK/DPUPR"</f>
        <v>600//SPMK/PPK/DPUPR</v>
      </c>
      <c r="AY188" s="53"/>
      <c r="AZ188" s="53"/>
      <c r="BA188" s="53"/>
      <c r="BB188" s="53"/>
      <c r="BC188" s="53"/>
      <c r="BD188" s="53"/>
      <c r="BE188" s="53"/>
      <c r="BF188" s="53"/>
      <c r="BG188" s="103"/>
      <c r="BH188" t="s" s="58">
        <v>683</v>
      </c>
      <c r="BI188" t="s" s="58">
        <v>21</v>
      </c>
      <c r="BJ188" t="s" s="58">
        <v>22</v>
      </c>
      <c r="BK188" t="s" s="58">
        <v>23</v>
      </c>
      <c r="BL188" t="s" s="58">
        <v>24</v>
      </c>
      <c r="BM188" s="53"/>
      <c r="BN188" s="53"/>
      <c r="BO188" s="53"/>
      <c r="BP188" s="53"/>
      <c r="BQ188" s="53"/>
      <c r="BR188" t="b" s="61">
        <v>0</v>
      </c>
      <c r="BS188" s="55" cm="1">
        <f t="array" ref="BS188">IF(M188&lt;=0.8*K188,5%*K188,M188*5%)</f>
        <v>0</v>
      </c>
      <c r="BT188" t="s" s="58">
        <v>705</v>
      </c>
      <c r="BU188" s="53"/>
      <c r="BV188" s="55" cm="1">
        <f t="array" ref="BV188">J188-M188</f>
        <v>0</v>
      </c>
    </row>
    <row r="189" ht="36.25" customHeight="1">
      <c r="A189" s="49"/>
      <c r="B189" s="50">
        <v>53432709</v>
      </c>
      <c r="C189" t="s" s="51">
        <v>1748</v>
      </c>
      <c r="D189" t="s" s="65">
        <v>752</v>
      </c>
      <c r="E189" t="str" s="66" cm="1">
        <f t="array" ref="E189">$C189</f>
        <v>Perencanaan saluran/Drainase Pembuang paket I</v>
      </c>
      <c r="F189" s="67"/>
      <c r="G189" s="66"/>
      <c r="H189" s="66"/>
      <c r="I189" s="66"/>
      <c r="J189" s="68">
        <v>100000000</v>
      </c>
      <c r="K189" s="68">
        <v>99985000</v>
      </c>
      <c r="L189" s="116">
        <v>99926892</v>
      </c>
      <c r="M189" s="68">
        <v>99926000</v>
      </c>
      <c r="N189" t="s" s="70">
        <v>261</v>
      </c>
      <c r="O189" t="s" s="71">
        <v>262</v>
      </c>
      <c r="P189" t="s" s="70">
        <v>4</v>
      </c>
      <c r="Q189" t="s" s="70">
        <v>263</v>
      </c>
      <c r="R189" t="s" s="70">
        <v>264</v>
      </c>
      <c r="S189" s="73">
        <v>53</v>
      </c>
      <c r="T189" s="72">
        <v>41288</v>
      </c>
      <c r="U189" t="s" s="70">
        <v>265</v>
      </c>
      <c r="V189" t="s" s="70">
        <v>266</v>
      </c>
      <c r="W189" t="s" s="70">
        <v>267</v>
      </c>
      <c r="X189" s="73">
        <v>30</v>
      </c>
      <c r="Y189" t="s" s="70">
        <v>10</v>
      </c>
      <c r="Z189" s="68" cm="1">
        <f t="array" ref="Z189">M189</f>
        <v>99926000</v>
      </c>
      <c r="AA189" t="s" s="70">
        <v>11</v>
      </c>
      <c r="AB189" s="72" cm="1">
        <f t="array" ref="AB189">AH189</f>
        <v>45560</v>
      </c>
      <c r="AC189" s="66"/>
      <c r="AD189" t="s" s="70">
        <v>128</v>
      </c>
      <c r="AE189" t="s" s="70">
        <v>13</v>
      </c>
      <c r="AF189" t="s" s="70">
        <v>753</v>
      </c>
      <c r="AG189" s="72">
        <v>45559</v>
      </c>
      <c r="AH189" s="72">
        <v>45560</v>
      </c>
      <c r="AI189" s="72">
        <v>45560</v>
      </c>
      <c r="AJ189" s="72">
        <v>45560</v>
      </c>
      <c r="AK189" s="72">
        <v>45561</v>
      </c>
      <c r="AL189" s="72">
        <v>45561</v>
      </c>
      <c r="AM189" s="72">
        <v>45561</v>
      </c>
      <c r="AN189" t="s" s="70">
        <v>1749</v>
      </c>
      <c r="AO189" s="72" cm="1">
        <f t="array" ref="AO189">AJ189</f>
        <v>45560</v>
      </c>
      <c r="AP189" t="s" s="70">
        <v>1750</v>
      </c>
      <c r="AQ189" s="72" cm="1">
        <f t="array" ref="AQ189">AJ189</f>
        <v>45560</v>
      </c>
      <c r="AR189" t="s" s="70">
        <v>1751</v>
      </c>
      <c r="AS189" s="72" cm="1">
        <f t="array" ref="AS189">AJ189</f>
        <v>45560</v>
      </c>
      <c r="AT189" t="s" s="78">
        <v>1752</v>
      </c>
      <c r="AU189" s="72" cm="1">
        <f t="array" ref="AU189">AJ189</f>
        <v>45560</v>
      </c>
      <c r="AV189" s="66"/>
      <c r="AW189" t="str" s="74" cm="1">
        <f t="array" ref="AW189">"600/"&amp;$B189&amp;"/"&amp;IF(AND($AE189="Konsultansi",M189&lt;=100000000),"SPK",IF(AND($AE189="Konsultansi",M189&gt;100000000),"Kont",IF(AND($AE189&lt;&gt;"Konsultansi",M189&lt;=200000000),"SPK","Kont")))&amp;"-"&amp;AE189&amp;"/PPK/DPUPR"</f>
        <v>600/53432709/SPK-Konsultansi/PPK/DPUPR</v>
      </c>
      <c r="AX189" t="str" s="74" cm="1">
        <f t="array" ref="AX189">"600/"&amp;$B189&amp;"/SPMK/PPK/DPUPR"</f>
        <v>600/53432709/SPMK/PPK/DPUPR</v>
      </c>
      <c r="AY189" s="66"/>
      <c r="AZ189" s="66"/>
      <c r="BA189" s="66"/>
      <c r="BB189" s="66"/>
      <c r="BC189" s="66"/>
      <c r="BD189" s="66"/>
      <c r="BE189" s="66"/>
      <c r="BF189" s="66"/>
      <c r="BG189" s="75">
        <v>1</v>
      </c>
      <c r="BH189" t="s" s="70">
        <v>261</v>
      </c>
      <c r="BI189" t="s" s="70">
        <v>21</v>
      </c>
      <c r="BJ189" t="s" s="70">
        <v>22</v>
      </c>
      <c r="BK189" t="s" s="70">
        <v>23</v>
      </c>
      <c r="BL189" t="s" s="70">
        <v>24</v>
      </c>
      <c r="BM189" s="66"/>
      <c r="BN189" s="66"/>
      <c r="BO189" s="66"/>
      <c r="BP189" s="66"/>
      <c r="BQ189" s="66"/>
      <c r="BR189" t="b" s="73">
        <v>0</v>
      </c>
      <c r="BS189" s="68" cm="1">
        <f t="array" ref="BS189">IF(M189&lt;=0.8*K189,5%*K189,M189*5%)</f>
        <v>4996300</v>
      </c>
      <c r="BT189" t="s" s="70">
        <v>156</v>
      </c>
      <c r="BU189" s="66"/>
      <c r="BV189" s="68" cm="1">
        <f t="array" ref="BV189">J189-M189</f>
        <v>74000</v>
      </c>
    </row>
    <row r="190" ht="36.25" customHeight="1">
      <c r="A190" s="49"/>
      <c r="B190" s="50">
        <v>53432803</v>
      </c>
      <c r="C190" t="s" s="51">
        <v>1755</v>
      </c>
      <c r="D190" t="s" s="52">
        <v>752</v>
      </c>
      <c r="E190" t="str" s="53" cm="1">
        <f t="array" ref="E190">$C190</f>
        <v>Perencanaan saluran/Drainase Pembuang paket II</v>
      </c>
      <c r="F190" s="54"/>
      <c r="G190" s="53"/>
      <c r="H190" s="53"/>
      <c r="I190" s="53"/>
      <c r="J190" s="55">
        <v>100000000</v>
      </c>
      <c r="K190" s="55">
        <v>99985000</v>
      </c>
      <c r="L190" s="116">
        <v>99926892</v>
      </c>
      <c r="M190" s="55">
        <v>99926000</v>
      </c>
      <c r="N190" t="s" s="58">
        <v>261</v>
      </c>
      <c r="O190" t="s" s="59">
        <v>262</v>
      </c>
      <c r="P190" t="s" s="58">
        <v>4</v>
      </c>
      <c r="Q190" t="s" s="58">
        <v>263</v>
      </c>
      <c r="R190" t="s" s="58">
        <v>264</v>
      </c>
      <c r="S190" s="61">
        <v>53</v>
      </c>
      <c r="T190" s="60">
        <v>41288</v>
      </c>
      <c r="U190" t="s" s="58">
        <v>265</v>
      </c>
      <c r="V190" t="s" s="58">
        <v>266</v>
      </c>
      <c r="W190" t="s" s="58">
        <v>267</v>
      </c>
      <c r="X190" s="61">
        <v>30</v>
      </c>
      <c r="Y190" t="s" s="58">
        <v>10</v>
      </c>
      <c r="Z190" s="55" cm="1">
        <f t="array" ref="Z190">M190</f>
        <v>99926000</v>
      </c>
      <c r="AA190" t="s" s="58">
        <v>11</v>
      </c>
      <c r="AB190" s="60" cm="1">
        <f t="array" ref="AB190">AH190</f>
        <v>45560</v>
      </c>
      <c r="AC190" s="53"/>
      <c r="AD190" t="s" s="58">
        <v>128</v>
      </c>
      <c r="AE190" t="s" s="58">
        <v>13</v>
      </c>
      <c r="AF190" t="s" s="58">
        <v>753</v>
      </c>
      <c r="AG190" s="60">
        <v>45559</v>
      </c>
      <c r="AH190" s="60">
        <v>45560</v>
      </c>
      <c r="AI190" s="60">
        <v>45560</v>
      </c>
      <c r="AJ190" s="60">
        <v>45560</v>
      </c>
      <c r="AK190" s="60">
        <v>45561</v>
      </c>
      <c r="AL190" s="60">
        <v>45561</v>
      </c>
      <c r="AM190" s="60">
        <v>45561</v>
      </c>
      <c r="AN190" t="s" s="58">
        <v>1756</v>
      </c>
      <c r="AO190" s="60" cm="1">
        <f t="array" ref="AO190">AJ190</f>
        <v>45560</v>
      </c>
      <c r="AP190" t="s" s="58">
        <v>1757</v>
      </c>
      <c r="AQ190" s="60" cm="1">
        <f t="array" ref="AQ190">AJ190</f>
        <v>45560</v>
      </c>
      <c r="AR190" t="s" s="58">
        <v>1758</v>
      </c>
      <c r="AS190" s="60" cm="1">
        <f t="array" ref="AS190">AJ190</f>
        <v>45560</v>
      </c>
      <c r="AT190" t="s" s="78">
        <v>1759</v>
      </c>
      <c r="AU190" s="60" cm="1">
        <f t="array" ref="AU190">AJ190</f>
        <v>45560</v>
      </c>
      <c r="AV190" s="53"/>
      <c r="AW190" t="str" s="63" cm="1">
        <f t="array" ref="AW190">"600/"&amp;$B190&amp;"/"&amp;IF(AND($AE190="Konsultansi",M190&lt;=100000000),"SPK",IF(AND($AE190="Konsultansi",M190&gt;100000000),"Kont",IF(AND($AE190&lt;&gt;"Konsultansi",M190&lt;=200000000),"SPK","Kont")))&amp;"-"&amp;AE190&amp;"/PPK/DPUPR"</f>
        <v>600/53432803/SPK-Konsultansi/PPK/DPUPR</v>
      </c>
      <c r="AX190" t="str" s="63" cm="1">
        <f t="array" ref="AX190">"600/"&amp;$B190&amp;"/SPMK/PPK/DPUPR"</f>
        <v>600/53432803/SPMK/PPK/DPUPR</v>
      </c>
      <c r="AY190" s="53"/>
      <c r="AZ190" s="53"/>
      <c r="BA190" s="53"/>
      <c r="BB190" s="53"/>
      <c r="BC190" s="53"/>
      <c r="BD190" s="53"/>
      <c r="BE190" s="53"/>
      <c r="BF190" s="53"/>
      <c r="BG190" s="64">
        <v>1</v>
      </c>
      <c r="BH190" t="s" s="58">
        <v>261</v>
      </c>
      <c r="BI190" t="s" s="58">
        <v>21</v>
      </c>
      <c r="BJ190" t="s" s="58">
        <v>22</v>
      </c>
      <c r="BK190" t="s" s="58">
        <v>23</v>
      </c>
      <c r="BL190" t="s" s="58">
        <v>24</v>
      </c>
      <c r="BM190" s="53"/>
      <c r="BN190" s="53"/>
      <c r="BO190" s="53"/>
      <c r="BP190" s="53"/>
      <c r="BQ190" s="53"/>
      <c r="BR190" t="b" s="61">
        <v>0</v>
      </c>
      <c r="BS190" s="55" cm="1">
        <f t="array" ref="BS190">IF(M190&lt;=0.8*K190,5%*K190,M190*5%)</f>
        <v>4996300</v>
      </c>
      <c r="BT190" t="s" s="58">
        <v>156</v>
      </c>
      <c r="BU190" s="53"/>
      <c r="BV190" s="55" cm="1">
        <f t="array" ref="BV190">J190-M190</f>
        <v>74000</v>
      </c>
    </row>
    <row r="191" ht="36.25" customHeight="1">
      <c r="A191" s="49"/>
      <c r="B191" s="50">
        <v>53432850</v>
      </c>
      <c r="C191" t="s" s="51">
        <v>1762</v>
      </c>
      <c r="D191" t="s" s="65">
        <v>752</v>
      </c>
      <c r="E191" t="str" s="66" cm="1">
        <f t="array" ref="E191">$C191</f>
        <v>Perencanaan Normalisasi sungai (Proteksi Sungai jembatan Wulai)</v>
      </c>
      <c r="F191" s="67"/>
      <c r="G191" s="66"/>
      <c r="H191" s="66"/>
      <c r="I191" s="66"/>
      <c r="J191" s="68">
        <v>100000000</v>
      </c>
      <c r="K191" s="68">
        <v>99985000</v>
      </c>
      <c r="L191" s="116">
        <v>99949140</v>
      </c>
      <c r="M191" s="68">
        <v>99949000</v>
      </c>
      <c r="N191" t="s" s="70">
        <v>1639</v>
      </c>
      <c r="O191" t="s" s="71">
        <v>1640</v>
      </c>
      <c r="P191" t="s" s="70">
        <v>4</v>
      </c>
      <c r="Q191" t="s" s="70">
        <v>121</v>
      </c>
      <c r="R191" t="s" s="70">
        <v>122</v>
      </c>
      <c r="S191" t="s" s="70">
        <v>1641</v>
      </c>
      <c r="T191" s="72">
        <v>45446</v>
      </c>
      <c r="U191" t="s" s="70">
        <v>616</v>
      </c>
      <c r="V191" t="s" s="70">
        <v>125</v>
      </c>
      <c r="W191" t="s" s="70">
        <v>126</v>
      </c>
      <c r="X191" s="73">
        <v>30</v>
      </c>
      <c r="Y191" t="s" s="70">
        <v>10</v>
      </c>
      <c r="Z191" s="68" cm="1">
        <f t="array" ref="Z191">M191</f>
        <v>99949000</v>
      </c>
      <c r="AA191" t="s" s="70">
        <v>11</v>
      </c>
      <c r="AB191" s="72" cm="1">
        <f t="array" ref="AB191">AH191</f>
        <v>45560</v>
      </c>
      <c r="AC191" s="66"/>
      <c r="AD191" t="s" s="70">
        <v>128</v>
      </c>
      <c r="AE191" t="s" s="70">
        <v>13</v>
      </c>
      <c r="AF191" t="s" s="70">
        <v>753</v>
      </c>
      <c r="AG191" s="72">
        <v>45559</v>
      </c>
      <c r="AH191" s="72">
        <v>45560</v>
      </c>
      <c r="AI191" s="72">
        <v>45560</v>
      </c>
      <c r="AJ191" s="72">
        <v>45560</v>
      </c>
      <c r="AK191" s="72">
        <v>45561</v>
      </c>
      <c r="AL191" s="72">
        <v>45561</v>
      </c>
      <c r="AM191" s="72">
        <v>45561</v>
      </c>
      <c r="AN191" t="s" s="70">
        <v>1763</v>
      </c>
      <c r="AO191" s="72" cm="1">
        <f t="array" ref="AO191">AJ191</f>
        <v>45560</v>
      </c>
      <c r="AP191" t="s" s="70">
        <v>1764</v>
      </c>
      <c r="AQ191" s="72" cm="1">
        <f t="array" ref="AQ191">AJ191</f>
        <v>45560</v>
      </c>
      <c r="AR191" t="s" s="70">
        <v>1765</v>
      </c>
      <c r="AS191" s="72" cm="1">
        <f t="array" ref="AS191">AJ191</f>
        <v>45560</v>
      </c>
      <c r="AT191" t="s" s="78">
        <v>1766</v>
      </c>
      <c r="AU191" s="72" cm="1">
        <f t="array" ref="AU191">AJ191</f>
        <v>45560</v>
      </c>
      <c r="AV191" s="66"/>
      <c r="AW191" t="str" s="74" cm="1">
        <f t="array" ref="AW191">"600/"&amp;$B191&amp;"/"&amp;IF(AND($AE191="Konsultansi",M191&lt;=100000000),"SPK",IF(AND($AE191="Konsultansi",M191&gt;100000000),"Kont",IF(AND($AE191&lt;&gt;"Konsultansi",M191&lt;=200000000),"SPK","Kont")))&amp;"-"&amp;AE191&amp;"/PPK/DPUPR"</f>
        <v>600/53432850/SPK-Konsultansi/PPK/DPUPR</v>
      </c>
      <c r="AX191" t="str" s="74" cm="1">
        <f t="array" ref="AX191">"600/"&amp;$B191&amp;"/SPMK/PPK/DPUPR"</f>
        <v>600/53432850/SPMK/PPK/DPUPR</v>
      </c>
      <c r="AY191" s="66"/>
      <c r="AZ191" s="66"/>
      <c r="BA191" s="66"/>
      <c r="BB191" s="66"/>
      <c r="BC191" s="66"/>
      <c r="BD191" s="66"/>
      <c r="BE191" s="66"/>
      <c r="BF191" s="66"/>
      <c r="BG191" s="75">
        <v>245</v>
      </c>
      <c r="BH191" t="s" s="70">
        <v>1639</v>
      </c>
      <c r="BI191" t="s" s="70">
        <v>21</v>
      </c>
      <c r="BJ191" t="s" s="70">
        <v>22</v>
      </c>
      <c r="BK191" t="s" s="70">
        <v>23</v>
      </c>
      <c r="BL191" t="s" s="70">
        <v>24</v>
      </c>
      <c r="BM191" s="66"/>
      <c r="BN191" s="66"/>
      <c r="BO191" s="66"/>
      <c r="BP191" s="66"/>
      <c r="BQ191" s="66"/>
      <c r="BR191" t="b" s="73">
        <v>0</v>
      </c>
      <c r="BS191" s="68" cm="1">
        <f t="array" ref="BS191">IF(M191&lt;=0.8*K191,5%*K191,M191*5%)</f>
        <v>4997450</v>
      </c>
      <c r="BT191" t="s" s="70">
        <v>156</v>
      </c>
      <c r="BU191" s="66"/>
      <c r="BV191" s="68" cm="1">
        <f t="array" ref="BV191">J191-M191</f>
        <v>51000</v>
      </c>
    </row>
    <row r="192" ht="36.25" customHeight="1">
      <c r="A192" s="49"/>
      <c r="B192" s="50">
        <v>53432905</v>
      </c>
      <c r="C192" t="s" s="51">
        <v>1769</v>
      </c>
      <c r="D192" t="s" s="52">
        <v>752</v>
      </c>
      <c r="E192" t="str" s="53" cm="1">
        <f t="array" ref="E192">$C192</f>
        <v>Perencanaan Normalisasi sungai (Proteksi Sungai jembatan Mandar 2)</v>
      </c>
      <c r="F192" s="54"/>
      <c r="G192" s="53"/>
      <c r="H192" s="53"/>
      <c r="I192" s="53"/>
      <c r="J192" s="55">
        <v>100000000</v>
      </c>
      <c r="K192" s="55">
        <v>99985000</v>
      </c>
      <c r="L192" s="116">
        <v>99949140</v>
      </c>
      <c r="M192" s="55">
        <v>99949000</v>
      </c>
      <c r="N192" t="s" s="58">
        <v>1639</v>
      </c>
      <c r="O192" t="s" s="59">
        <v>1640</v>
      </c>
      <c r="P192" t="s" s="58">
        <v>4</v>
      </c>
      <c r="Q192" t="s" s="58">
        <v>121</v>
      </c>
      <c r="R192" t="s" s="58">
        <v>122</v>
      </c>
      <c r="S192" t="s" s="58">
        <v>1641</v>
      </c>
      <c r="T192" s="60">
        <v>45446</v>
      </c>
      <c r="U192" t="s" s="58">
        <v>616</v>
      </c>
      <c r="V192" t="s" s="58">
        <v>125</v>
      </c>
      <c r="W192" t="s" s="58">
        <v>126</v>
      </c>
      <c r="X192" s="61">
        <v>30</v>
      </c>
      <c r="Y192" t="s" s="58">
        <v>10</v>
      </c>
      <c r="Z192" s="55" cm="1">
        <f t="array" ref="Z192">M192</f>
        <v>99949000</v>
      </c>
      <c r="AA192" t="s" s="58">
        <v>11</v>
      </c>
      <c r="AB192" s="60" cm="1">
        <f t="array" ref="AB192">AH192</f>
        <v>45560</v>
      </c>
      <c r="AC192" s="53"/>
      <c r="AD192" t="s" s="58">
        <v>128</v>
      </c>
      <c r="AE192" t="s" s="58">
        <v>13</v>
      </c>
      <c r="AF192" t="s" s="58">
        <v>753</v>
      </c>
      <c r="AG192" s="60">
        <v>45559</v>
      </c>
      <c r="AH192" s="60">
        <v>45560</v>
      </c>
      <c r="AI192" s="60">
        <v>45560</v>
      </c>
      <c r="AJ192" s="60">
        <v>45560</v>
      </c>
      <c r="AK192" s="60">
        <v>45561</v>
      </c>
      <c r="AL192" s="60">
        <v>45561</v>
      </c>
      <c r="AM192" s="60">
        <v>45561</v>
      </c>
      <c r="AN192" t="s" s="58">
        <v>1770</v>
      </c>
      <c r="AO192" s="60" cm="1">
        <f t="array" ref="AO192">AJ192</f>
        <v>45560</v>
      </c>
      <c r="AP192" t="s" s="58">
        <v>1771</v>
      </c>
      <c r="AQ192" s="60" cm="1">
        <f t="array" ref="AQ192">AJ192</f>
        <v>45560</v>
      </c>
      <c r="AR192" t="s" s="58">
        <v>1772</v>
      </c>
      <c r="AS192" s="60" cm="1">
        <f t="array" ref="AS192">AJ192</f>
        <v>45560</v>
      </c>
      <c r="AT192" t="s" s="78">
        <v>1773</v>
      </c>
      <c r="AU192" s="60" cm="1">
        <f t="array" ref="AU192">AJ192</f>
        <v>45560</v>
      </c>
      <c r="AV192" s="53"/>
      <c r="AW192" t="str" s="63" cm="1">
        <f t="array" ref="AW192">"600/"&amp;$B192&amp;"/"&amp;IF(AND($AE192="Konsultansi",M192&lt;=100000000),"SPK",IF(AND($AE192="Konsultansi",M192&gt;100000000),"Kont",IF(AND($AE192&lt;&gt;"Konsultansi",M192&lt;=200000000),"SPK","Kont")))&amp;"-"&amp;AE192&amp;"/PPK/DPUPR"</f>
        <v>600/53432905/SPK-Konsultansi/PPK/DPUPR</v>
      </c>
      <c r="AX192" t="str" s="63" cm="1">
        <f t="array" ref="AX192">"600/"&amp;$B192&amp;"/SPMK/PPK/DPUPR"</f>
        <v>600/53432905/SPMK/PPK/DPUPR</v>
      </c>
      <c r="AY192" s="53"/>
      <c r="AZ192" s="53"/>
      <c r="BA192" s="53"/>
      <c r="BB192" s="53"/>
      <c r="BC192" s="53"/>
      <c r="BD192" s="53"/>
      <c r="BE192" s="53"/>
      <c r="BF192" s="53"/>
      <c r="BG192" s="64">
        <v>245</v>
      </c>
      <c r="BH192" t="s" s="58">
        <v>1639</v>
      </c>
      <c r="BI192" t="s" s="58">
        <v>21</v>
      </c>
      <c r="BJ192" t="s" s="58">
        <v>22</v>
      </c>
      <c r="BK192" t="s" s="58">
        <v>23</v>
      </c>
      <c r="BL192" t="s" s="58">
        <v>24</v>
      </c>
      <c r="BM192" s="53"/>
      <c r="BN192" s="53"/>
      <c r="BO192" s="53"/>
      <c r="BP192" s="53"/>
      <c r="BQ192" s="53"/>
      <c r="BR192" t="b" s="61">
        <v>0</v>
      </c>
      <c r="BS192" s="55" cm="1">
        <f t="array" ref="BS192">IF(M192&lt;=0.8*K192,5%*K192,M192*5%)</f>
        <v>4997450</v>
      </c>
      <c r="BT192" t="s" s="58">
        <v>156</v>
      </c>
      <c r="BU192" s="53"/>
      <c r="BV192" s="55" cm="1">
        <f t="array" ref="BV192">J192-M192</f>
        <v>51000</v>
      </c>
    </row>
    <row r="193" ht="36.25" customHeight="1">
      <c r="A193" s="49"/>
      <c r="B193" s="50">
        <v>53432965</v>
      </c>
      <c r="C193" t="s" s="51">
        <v>1776</v>
      </c>
      <c r="D193" t="s" s="65">
        <v>752</v>
      </c>
      <c r="E193" t="str" s="66" cm="1">
        <f t="array" ref="E193">$C193</f>
        <v>Analisis Hidrologi normalisasi sungai untuk Bendung DI Martajaya</v>
      </c>
      <c r="F193" s="67"/>
      <c r="G193" s="66"/>
      <c r="H193" s="66"/>
      <c r="I193" s="66"/>
      <c r="J193" s="68">
        <v>100000000</v>
      </c>
      <c r="K193" s="68">
        <v>99985000</v>
      </c>
      <c r="L193" s="116">
        <v>99943578</v>
      </c>
      <c r="M193" s="68">
        <v>99943000</v>
      </c>
      <c r="N193" t="s" s="70">
        <v>1639</v>
      </c>
      <c r="O193" t="s" s="71">
        <v>1640</v>
      </c>
      <c r="P193" t="s" s="70">
        <v>4</v>
      </c>
      <c r="Q193" t="s" s="70">
        <v>121</v>
      </c>
      <c r="R193" t="s" s="70">
        <v>122</v>
      </c>
      <c r="S193" t="s" s="70">
        <v>1641</v>
      </c>
      <c r="T193" s="72">
        <v>45446</v>
      </c>
      <c r="U193" t="s" s="70">
        <v>616</v>
      </c>
      <c r="V193" t="s" s="70">
        <v>125</v>
      </c>
      <c r="W193" t="s" s="70">
        <v>126</v>
      </c>
      <c r="X193" s="73">
        <v>30</v>
      </c>
      <c r="Y193" t="s" s="70">
        <v>10</v>
      </c>
      <c r="Z193" s="68" cm="1">
        <f t="array" ref="Z193">M193</f>
        <v>99943000</v>
      </c>
      <c r="AA193" t="s" s="70">
        <v>11</v>
      </c>
      <c r="AB193" s="72" cm="1">
        <f t="array" ref="AB193">AH193</f>
        <v>45566</v>
      </c>
      <c r="AC193" s="66"/>
      <c r="AD193" t="s" s="70">
        <v>128</v>
      </c>
      <c r="AE193" t="s" s="70">
        <v>13</v>
      </c>
      <c r="AF193" t="s" s="70">
        <v>753</v>
      </c>
      <c r="AG193" s="72">
        <v>45565</v>
      </c>
      <c r="AH193" s="72">
        <v>45566</v>
      </c>
      <c r="AI193" s="72">
        <v>45566</v>
      </c>
      <c r="AJ193" s="72">
        <v>45566</v>
      </c>
      <c r="AK193" s="72">
        <v>45566</v>
      </c>
      <c r="AL193" s="72">
        <v>45566</v>
      </c>
      <c r="AM193" s="72">
        <v>45566</v>
      </c>
      <c r="AN193" t="s" s="70">
        <v>1777</v>
      </c>
      <c r="AO193" s="72" cm="1">
        <f t="array" ref="AO193">AJ193</f>
        <v>45566</v>
      </c>
      <c r="AP193" t="s" s="70">
        <v>1778</v>
      </c>
      <c r="AQ193" s="72" cm="1">
        <f t="array" ref="AQ193">AJ193</f>
        <v>45566</v>
      </c>
      <c r="AR193" t="s" s="70">
        <v>1779</v>
      </c>
      <c r="AS193" s="72" cm="1">
        <f t="array" ref="AS193">AJ193</f>
        <v>45566</v>
      </c>
      <c r="AT193" t="s" s="78">
        <v>1780</v>
      </c>
      <c r="AU193" s="72" cm="1">
        <f t="array" ref="AU193">AJ193</f>
        <v>45566</v>
      </c>
      <c r="AV193" s="66"/>
      <c r="AW193" t="str" s="74" cm="1">
        <f t="array" ref="AW193">"600/"&amp;$B193&amp;"/"&amp;IF(AND($AE193="Konsultansi",M193&lt;=100000000),"SPK",IF(AND($AE193="Konsultansi",M193&gt;100000000),"Kont",IF(AND($AE193&lt;&gt;"Konsultansi",M193&lt;=200000000),"SPK","Kont")))&amp;"-"&amp;AE193&amp;"/PPK/DPUPR"</f>
        <v>600/53432965/SPK-Konsultansi/PPK/DPUPR</v>
      </c>
      <c r="AX193" t="str" s="74" cm="1">
        <f t="array" ref="AX193">"600/"&amp;$B193&amp;"/SPMK/PPK/DPUPR"</f>
        <v>600/53432965/SPMK/PPK/DPUPR</v>
      </c>
      <c r="AY193" s="66"/>
      <c r="AZ193" s="66"/>
      <c r="BA193" s="66"/>
      <c r="BB193" s="66"/>
      <c r="BC193" s="66"/>
      <c r="BD193" s="66"/>
      <c r="BE193" s="66"/>
      <c r="BF193" s="66"/>
      <c r="BG193" s="75">
        <v>245</v>
      </c>
      <c r="BH193" t="s" s="70">
        <v>1639</v>
      </c>
      <c r="BI193" t="s" s="70">
        <v>21</v>
      </c>
      <c r="BJ193" t="s" s="70">
        <v>22</v>
      </c>
      <c r="BK193" t="s" s="70">
        <v>23</v>
      </c>
      <c r="BL193" t="s" s="70">
        <v>24</v>
      </c>
      <c r="BM193" s="66"/>
      <c r="BN193" s="66"/>
      <c r="BO193" s="66"/>
      <c r="BP193" s="66"/>
      <c r="BQ193" s="66"/>
      <c r="BR193" t="b" s="73">
        <v>0</v>
      </c>
      <c r="BS193" s="68" cm="1">
        <f t="array" ref="BS193">IF(M193&lt;=0.8*K193,5%*K193,M193*5%)</f>
        <v>4997150</v>
      </c>
      <c r="BT193" t="s" s="70">
        <v>156</v>
      </c>
      <c r="BU193" s="66"/>
      <c r="BV193" s="68" cm="1">
        <f t="array" ref="BV193">J193-M193</f>
        <v>57000</v>
      </c>
    </row>
    <row r="194" ht="36.25" customHeight="1">
      <c r="A194" s="49"/>
      <c r="B194" s="50">
        <v>53433014</v>
      </c>
      <c r="C194" t="s" s="117">
        <v>1783</v>
      </c>
      <c r="D194" t="s" s="52">
        <v>752</v>
      </c>
      <c r="E194" t="str" s="53" cm="1">
        <f t="array" ref="E194">$C194</f>
        <v>Analisis Hidrologi  normalisasi sungai untuk Bendung DI Bambalamotu</v>
      </c>
      <c r="F194" s="54"/>
      <c r="G194" s="53"/>
      <c r="H194" s="53"/>
      <c r="I194" s="53"/>
      <c r="J194" s="55">
        <v>100000000</v>
      </c>
      <c r="K194" s="55">
        <v>99985000</v>
      </c>
      <c r="L194" s="116">
        <v>99943578</v>
      </c>
      <c r="M194" s="55">
        <v>99943000</v>
      </c>
      <c r="N194" t="s" s="58">
        <v>1639</v>
      </c>
      <c r="O194" t="s" s="59">
        <v>1640</v>
      </c>
      <c r="P194" t="s" s="58">
        <v>4</v>
      </c>
      <c r="Q194" t="s" s="58">
        <v>121</v>
      </c>
      <c r="R194" t="s" s="58">
        <v>122</v>
      </c>
      <c r="S194" t="s" s="58">
        <v>1641</v>
      </c>
      <c r="T194" s="60">
        <v>45446</v>
      </c>
      <c r="U194" t="s" s="58">
        <v>616</v>
      </c>
      <c r="V194" t="s" s="58">
        <v>125</v>
      </c>
      <c r="W194" t="s" s="58">
        <v>126</v>
      </c>
      <c r="X194" s="61">
        <v>30</v>
      </c>
      <c r="Y194" t="s" s="58">
        <v>10</v>
      </c>
      <c r="Z194" s="55" cm="1">
        <f t="array" ref="Z194">M194</f>
        <v>99943000</v>
      </c>
      <c r="AA194" t="s" s="58">
        <v>11</v>
      </c>
      <c r="AB194" s="60" cm="1">
        <f t="array" ref="AB194">AH194</f>
        <v>45566</v>
      </c>
      <c r="AC194" s="53"/>
      <c r="AD194" t="s" s="58">
        <v>128</v>
      </c>
      <c r="AE194" t="s" s="58">
        <v>13</v>
      </c>
      <c r="AF194" t="s" s="58">
        <v>753</v>
      </c>
      <c r="AG194" s="60">
        <v>45565</v>
      </c>
      <c r="AH194" s="60">
        <v>45566</v>
      </c>
      <c r="AI194" s="60">
        <v>45566</v>
      </c>
      <c r="AJ194" s="60">
        <v>45566</v>
      </c>
      <c r="AK194" s="60">
        <v>45566</v>
      </c>
      <c r="AL194" s="60">
        <v>45566</v>
      </c>
      <c r="AM194" s="60">
        <v>45566</v>
      </c>
      <c r="AN194" t="s" s="58">
        <v>1785</v>
      </c>
      <c r="AO194" s="60" cm="1">
        <f t="array" ref="AO194">AJ194</f>
        <v>45566</v>
      </c>
      <c r="AP194" t="s" s="58">
        <v>1786</v>
      </c>
      <c r="AQ194" s="60" cm="1">
        <f t="array" ref="AQ194">AJ194</f>
        <v>45566</v>
      </c>
      <c r="AR194" t="s" s="58">
        <v>1787</v>
      </c>
      <c r="AS194" s="60" cm="1">
        <f t="array" ref="AS194">AJ194</f>
        <v>45566</v>
      </c>
      <c r="AT194" t="s" s="78">
        <v>1788</v>
      </c>
      <c r="AU194" s="60" cm="1">
        <f t="array" ref="AU194">AJ194</f>
        <v>45566</v>
      </c>
      <c r="AV194" s="53"/>
      <c r="AW194" t="str" s="63" cm="1">
        <f t="array" ref="AW194">"600/"&amp;$B194&amp;"/"&amp;IF(AND($AE194="Konsultansi",M194&lt;=100000000),"SPK",IF(AND($AE194="Konsultansi",M194&gt;100000000),"Kont",IF(AND($AE194&lt;&gt;"Konsultansi",M194&lt;=200000000),"SPK","Kont")))&amp;"-"&amp;AE194&amp;"/PPK/DPUPR"</f>
        <v>600/53433014/SPK-Konsultansi/PPK/DPUPR</v>
      </c>
      <c r="AX194" t="str" s="63" cm="1">
        <f t="array" ref="AX194">"600/"&amp;$B194&amp;"/SPMK/PPK/DPUPR"</f>
        <v>600/53433014/SPMK/PPK/DPUPR</v>
      </c>
      <c r="AY194" s="53"/>
      <c r="AZ194" s="53"/>
      <c r="BA194" s="53"/>
      <c r="BB194" s="53"/>
      <c r="BC194" s="53"/>
      <c r="BD194" s="53"/>
      <c r="BE194" s="53"/>
      <c r="BF194" s="53"/>
      <c r="BG194" s="64">
        <v>245</v>
      </c>
      <c r="BH194" t="s" s="58">
        <v>1639</v>
      </c>
      <c r="BI194" t="s" s="58">
        <v>21</v>
      </c>
      <c r="BJ194" t="s" s="58">
        <v>22</v>
      </c>
      <c r="BK194" t="s" s="58">
        <v>23</v>
      </c>
      <c r="BL194" t="s" s="58">
        <v>24</v>
      </c>
      <c r="BM194" s="53"/>
      <c r="BN194" s="53"/>
      <c r="BO194" s="53"/>
      <c r="BP194" s="53"/>
      <c r="BQ194" s="53"/>
      <c r="BR194" t="b" s="61">
        <v>0</v>
      </c>
      <c r="BS194" s="55" cm="1">
        <f t="array" ref="BS194">IF(M194&lt;=0.8*K194,5%*K194,M194*5%)</f>
        <v>4997150</v>
      </c>
      <c r="BT194" t="s" s="58">
        <v>156</v>
      </c>
      <c r="BU194" s="53"/>
      <c r="BV194" s="55" cm="1">
        <f t="array" ref="BV194">J194-M194</f>
        <v>57000</v>
      </c>
    </row>
    <row r="195" ht="36.25" customHeight="1">
      <c r="A195" s="49"/>
      <c r="B195" s="50">
        <v>53433062</v>
      </c>
      <c r="C195" t="s" s="51">
        <v>1791</v>
      </c>
      <c r="D195" t="s" s="65">
        <v>752</v>
      </c>
      <c r="E195" t="str" s="66" cm="1">
        <f t="array" ref="E195">$C195</f>
        <v>Analisis Hidrologi  normalisasi sungai untuk Bendung DI Pangiang</v>
      </c>
      <c r="F195" s="67"/>
      <c r="G195" s="66"/>
      <c r="H195" s="66"/>
      <c r="I195" s="66"/>
      <c r="J195" s="68">
        <v>100000000</v>
      </c>
      <c r="K195" s="68">
        <v>99985000</v>
      </c>
      <c r="L195" s="116">
        <v>99943578</v>
      </c>
      <c r="M195" s="68">
        <v>99943000</v>
      </c>
      <c r="N195" t="s" s="70">
        <v>1639</v>
      </c>
      <c r="O195" t="s" s="71">
        <v>1640</v>
      </c>
      <c r="P195" t="s" s="70">
        <v>4</v>
      </c>
      <c r="Q195" t="s" s="70">
        <v>121</v>
      </c>
      <c r="R195" t="s" s="70">
        <v>122</v>
      </c>
      <c r="S195" t="s" s="70">
        <v>1641</v>
      </c>
      <c r="T195" s="72">
        <v>45446</v>
      </c>
      <c r="U195" t="s" s="70">
        <v>616</v>
      </c>
      <c r="V195" t="s" s="70">
        <v>125</v>
      </c>
      <c r="W195" t="s" s="70">
        <v>126</v>
      </c>
      <c r="X195" s="73">
        <v>30</v>
      </c>
      <c r="Y195" t="s" s="70">
        <v>10</v>
      </c>
      <c r="Z195" s="68" cm="1">
        <f t="array" ref="Z195">M195</f>
        <v>99943000</v>
      </c>
      <c r="AA195" t="s" s="70">
        <v>11</v>
      </c>
      <c r="AB195" s="72" cm="1">
        <f t="array" ref="AB195">AH195</f>
        <v>45566</v>
      </c>
      <c r="AC195" s="66"/>
      <c r="AD195" t="s" s="70">
        <v>128</v>
      </c>
      <c r="AE195" t="s" s="70">
        <v>13</v>
      </c>
      <c r="AF195" t="s" s="70">
        <v>753</v>
      </c>
      <c r="AG195" s="72">
        <v>45565</v>
      </c>
      <c r="AH195" s="72">
        <v>45566</v>
      </c>
      <c r="AI195" s="72">
        <v>45566</v>
      </c>
      <c r="AJ195" s="72">
        <v>45566</v>
      </c>
      <c r="AK195" s="72">
        <v>45566</v>
      </c>
      <c r="AL195" s="72">
        <v>45566</v>
      </c>
      <c r="AM195" s="72">
        <v>45566</v>
      </c>
      <c r="AN195" t="s" s="70">
        <v>1792</v>
      </c>
      <c r="AO195" s="72" cm="1">
        <f t="array" ref="AO195">AJ195</f>
        <v>45566</v>
      </c>
      <c r="AP195" t="s" s="70">
        <v>1793</v>
      </c>
      <c r="AQ195" s="72" cm="1">
        <f t="array" ref="AQ195">AJ195</f>
        <v>45566</v>
      </c>
      <c r="AR195" t="s" s="70">
        <v>1794</v>
      </c>
      <c r="AS195" s="72" cm="1">
        <f t="array" ref="AS195">AJ195</f>
        <v>45566</v>
      </c>
      <c r="AT195" t="s" s="78">
        <v>1795</v>
      </c>
      <c r="AU195" s="72" cm="1">
        <f t="array" ref="AU195">AJ195</f>
        <v>45566</v>
      </c>
      <c r="AV195" s="66"/>
      <c r="AW195" t="str" s="74" cm="1">
        <f t="array" ref="AW195">"600/"&amp;$B195&amp;"/"&amp;IF(AND($AE195="Konsultansi",M195&lt;=100000000),"SPK",IF(AND($AE195="Konsultansi",M195&gt;100000000),"Kont",IF(AND($AE195&lt;&gt;"Konsultansi",M195&lt;=200000000),"SPK","Kont")))&amp;"-"&amp;AE195&amp;"/PPK/DPUPR"</f>
        <v>600/53433062/SPK-Konsultansi/PPK/DPUPR</v>
      </c>
      <c r="AX195" t="str" s="74" cm="1">
        <f t="array" ref="AX195">"600/"&amp;$B195&amp;"/SPMK/PPK/DPUPR"</f>
        <v>600/53433062/SPMK/PPK/DPUPR</v>
      </c>
      <c r="AY195" s="66"/>
      <c r="AZ195" s="66"/>
      <c r="BA195" s="66"/>
      <c r="BB195" s="66"/>
      <c r="BC195" s="66"/>
      <c r="BD195" s="66"/>
      <c r="BE195" s="66"/>
      <c r="BF195" s="66"/>
      <c r="BG195" s="75">
        <v>245</v>
      </c>
      <c r="BH195" t="s" s="70">
        <v>1639</v>
      </c>
      <c r="BI195" t="s" s="70">
        <v>21</v>
      </c>
      <c r="BJ195" t="s" s="70">
        <v>22</v>
      </c>
      <c r="BK195" t="s" s="70">
        <v>23</v>
      </c>
      <c r="BL195" t="s" s="70">
        <v>24</v>
      </c>
      <c r="BM195" s="66"/>
      <c r="BN195" s="66"/>
      <c r="BO195" s="66"/>
      <c r="BP195" s="66"/>
      <c r="BQ195" s="66"/>
      <c r="BR195" t="b" s="73">
        <v>0</v>
      </c>
      <c r="BS195" s="68" cm="1">
        <f t="array" ref="BS195">IF(M195&lt;=0.8*K195,5%*K195,M195*5%)</f>
        <v>4997150</v>
      </c>
      <c r="BT195" t="s" s="70">
        <v>156</v>
      </c>
      <c r="BU195" s="66"/>
      <c r="BV195" s="68" cm="1">
        <f t="array" ref="BV195">J195-M195</f>
        <v>57000</v>
      </c>
    </row>
    <row r="196" ht="36.25" customHeight="1">
      <c r="A196" s="49"/>
      <c r="B196" s="50">
        <v>53433117</v>
      </c>
      <c r="C196" t="s" s="51">
        <v>1798</v>
      </c>
      <c r="D196" t="s" s="52">
        <v>752</v>
      </c>
      <c r="E196" t="str" s="53" cm="1">
        <f t="array" ref="E196">$C196</f>
        <v>Analisis Hidrologi  normalisasi sungai untuk Bendung DI Bambaira</v>
      </c>
      <c r="F196" s="54"/>
      <c r="G196" s="53"/>
      <c r="H196" s="53"/>
      <c r="I196" s="53"/>
      <c r="J196" s="55">
        <v>100000000</v>
      </c>
      <c r="K196" s="55">
        <v>99985000</v>
      </c>
      <c r="L196" s="116">
        <v>99943578</v>
      </c>
      <c r="M196" s="55">
        <v>99943000</v>
      </c>
      <c r="N196" t="s" s="58">
        <v>1639</v>
      </c>
      <c r="O196" t="s" s="59">
        <v>1640</v>
      </c>
      <c r="P196" t="s" s="58">
        <v>4</v>
      </c>
      <c r="Q196" t="s" s="58">
        <v>121</v>
      </c>
      <c r="R196" t="s" s="58">
        <v>122</v>
      </c>
      <c r="S196" t="s" s="58">
        <v>1641</v>
      </c>
      <c r="T196" s="60">
        <v>45446</v>
      </c>
      <c r="U196" t="s" s="58">
        <v>616</v>
      </c>
      <c r="V196" t="s" s="58">
        <v>125</v>
      </c>
      <c r="W196" t="s" s="58">
        <v>126</v>
      </c>
      <c r="X196" s="61">
        <v>30</v>
      </c>
      <c r="Y196" t="s" s="58">
        <v>10</v>
      </c>
      <c r="Z196" s="55" cm="1">
        <f t="array" ref="Z196">M196</f>
        <v>99943000</v>
      </c>
      <c r="AA196" t="s" s="58">
        <v>11</v>
      </c>
      <c r="AB196" s="60" cm="1">
        <f t="array" ref="AB196">AH196</f>
        <v>45566</v>
      </c>
      <c r="AC196" s="53"/>
      <c r="AD196" t="s" s="58">
        <v>128</v>
      </c>
      <c r="AE196" t="s" s="58">
        <v>13</v>
      </c>
      <c r="AF196" t="s" s="58">
        <v>753</v>
      </c>
      <c r="AG196" s="60">
        <v>45565</v>
      </c>
      <c r="AH196" s="60">
        <v>45566</v>
      </c>
      <c r="AI196" s="60">
        <v>45566</v>
      </c>
      <c r="AJ196" s="60">
        <v>45566</v>
      </c>
      <c r="AK196" s="60">
        <v>45566</v>
      </c>
      <c r="AL196" s="60">
        <v>45566</v>
      </c>
      <c r="AM196" s="60">
        <v>45566</v>
      </c>
      <c r="AN196" t="s" s="58">
        <v>1799</v>
      </c>
      <c r="AO196" s="60" cm="1">
        <f t="array" ref="AO196">AJ196</f>
        <v>45566</v>
      </c>
      <c r="AP196" t="s" s="58">
        <v>1800</v>
      </c>
      <c r="AQ196" s="60" cm="1">
        <f t="array" ref="AQ196">AJ196</f>
        <v>45566</v>
      </c>
      <c r="AR196" t="s" s="58">
        <v>1801</v>
      </c>
      <c r="AS196" s="60" cm="1">
        <f t="array" ref="AS196">AJ196</f>
        <v>45566</v>
      </c>
      <c r="AT196" t="s" s="78">
        <v>1802</v>
      </c>
      <c r="AU196" s="60" cm="1">
        <f t="array" ref="AU196">AJ196</f>
        <v>45566</v>
      </c>
      <c r="AV196" s="53"/>
      <c r="AW196" t="str" s="63" cm="1">
        <f t="array" ref="AW196">"600/"&amp;$B196&amp;"/"&amp;IF(AND($AE196="Konsultansi",M196&lt;=100000000),"SPK",IF(AND($AE196="Konsultansi",M196&gt;100000000),"Kont",IF(AND($AE196&lt;&gt;"Konsultansi",M196&lt;=200000000),"SPK","Kont")))&amp;"-"&amp;AE196&amp;"/PPK/DPUPR"</f>
        <v>600/53433117/SPK-Konsultansi/PPK/DPUPR</v>
      </c>
      <c r="AX196" t="str" s="63" cm="1">
        <f t="array" ref="AX196">"600/"&amp;$B196&amp;"/SPMK/PPK/DPUPR"</f>
        <v>600/53433117/SPMK/PPK/DPUPR</v>
      </c>
      <c r="AY196" s="53"/>
      <c r="AZ196" s="53"/>
      <c r="BA196" s="53"/>
      <c r="BB196" s="53"/>
      <c r="BC196" s="53"/>
      <c r="BD196" s="53"/>
      <c r="BE196" s="53"/>
      <c r="BF196" s="53"/>
      <c r="BG196" s="64">
        <v>245</v>
      </c>
      <c r="BH196" t="s" s="58">
        <v>1639</v>
      </c>
      <c r="BI196" t="s" s="58">
        <v>21</v>
      </c>
      <c r="BJ196" t="s" s="58">
        <v>22</v>
      </c>
      <c r="BK196" t="s" s="58">
        <v>23</v>
      </c>
      <c r="BL196" t="s" s="58">
        <v>24</v>
      </c>
      <c r="BM196" s="53"/>
      <c r="BN196" s="53"/>
      <c r="BO196" s="53"/>
      <c r="BP196" s="53"/>
      <c r="BQ196" s="53"/>
      <c r="BR196" t="b" s="61">
        <v>0</v>
      </c>
      <c r="BS196" s="55" cm="1">
        <f t="array" ref="BS196">IF(M196&lt;=0.8*K196,5%*K196,M196*5%)</f>
        <v>4997150</v>
      </c>
      <c r="BT196" t="s" s="58">
        <v>156</v>
      </c>
      <c r="BU196" s="53"/>
      <c r="BV196" s="55" cm="1">
        <f t="array" ref="BV196">J196-M196</f>
        <v>57000</v>
      </c>
    </row>
    <row r="197" ht="44.25" customHeight="1">
      <c r="A197" s="49"/>
      <c r="B197" s="50">
        <v>53433274</v>
      </c>
      <c r="C197" t="s" s="51">
        <v>1805</v>
      </c>
      <c r="D197" t="s" s="65">
        <v>752</v>
      </c>
      <c r="E197" t="str" s="66" cm="1">
        <f t="array" ref="E197">$C197</f>
        <v>Perencanaan Normalisasi/Rehabilitasi saluran  Bendungan Pangiang Martajaya &amp; Bambaluk</v>
      </c>
      <c r="F197" s="67"/>
      <c r="G197" s="66"/>
      <c r="H197" s="66"/>
      <c r="I197" s="66"/>
      <c r="J197" s="68">
        <v>100000000</v>
      </c>
      <c r="K197" s="68">
        <v>99985000</v>
      </c>
      <c r="L197" s="116">
        <v>99943578</v>
      </c>
      <c r="M197" s="68">
        <v>99943000</v>
      </c>
      <c r="N197" t="s" s="70">
        <v>1639</v>
      </c>
      <c r="O197" t="s" s="71">
        <v>1640</v>
      </c>
      <c r="P197" t="s" s="70">
        <v>4</v>
      </c>
      <c r="Q197" t="s" s="70">
        <v>121</v>
      </c>
      <c r="R197" t="s" s="70">
        <v>122</v>
      </c>
      <c r="S197" t="s" s="70">
        <v>1641</v>
      </c>
      <c r="T197" s="72">
        <v>45446</v>
      </c>
      <c r="U197" t="s" s="70">
        <v>616</v>
      </c>
      <c r="V197" t="s" s="70">
        <v>125</v>
      </c>
      <c r="W197" t="s" s="70">
        <v>126</v>
      </c>
      <c r="X197" s="73">
        <v>30</v>
      </c>
      <c r="Y197" t="s" s="70">
        <v>10</v>
      </c>
      <c r="Z197" s="68" cm="1">
        <f t="array" ref="Z197">M197</f>
        <v>99943000</v>
      </c>
      <c r="AA197" t="s" s="70">
        <v>11</v>
      </c>
      <c r="AB197" s="72" cm="1">
        <f t="array" ref="AB197">AH197</f>
        <v>45566</v>
      </c>
      <c r="AC197" s="66"/>
      <c r="AD197" t="s" s="70">
        <v>128</v>
      </c>
      <c r="AE197" t="s" s="70">
        <v>13</v>
      </c>
      <c r="AF197" t="s" s="70">
        <v>753</v>
      </c>
      <c r="AG197" s="72">
        <v>45565</v>
      </c>
      <c r="AH197" s="72">
        <v>45566</v>
      </c>
      <c r="AI197" s="72">
        <v>45566</v>
      </c>
      <c r="AJ197" s="72">
        <v>45566</v>
      </c>
      <c r="AK197" s="72">
        <v>45566</v>
      </c>
      <c r="AL197" s="72">
        <v>45566</v>
      </c>
      <c r="AM197" s="72">
        <v>45566</v>
      </c>
      <c r="AN197" t="s" s="70">
        <v>1806</v>
      </c>
      <c r="AO197" s="72" cm="1">
        <f t="array" ref="AO197">AJ197</f>
        <v>45566</v>
      </c>
      <c r="AP197" t="s" s="70">
        <v>1807</v>
      </c>
      <c r="AQ197" s="72" cm="1">
        <f t="array" ref="AQ197">AJ197</f>
        <v>45566</v>
      </c>
      <c r="AR197" t="s" s="70">
        <v>1808</v>
      </c>
      <c r="AS197" s="72" cm="1">
        <f t="array" ref="AS197">AJ197</f>
        <v>45566</v>
      </c>
      <c r="AT197" t="s" s="78">
        <v>1809</v>
      </c>
      <c r="AU197" s="72" cm="1">
        <f t="array" ref="AU197">AJ197</f>
        <v>45566</v>
      </c>
      <c r="AV197" s="66"/>
      <c r="AW197" t="str" s="74" cm="1">
        <f t="array" ref="AW197">"600/"&amp;$B197&amp;"/"&amp;IF(AND($AE197="Konsultansi",M197&lt;=100000000),"SPK",IF(AND($AE197="Konsultansi",M197&gt;100000000),"Kont",IF(AND($AE197&lt;&gt;"Konsultansi",M197&lt;=200000000),"SPK","Kont")))&amp;"-"&amp;AE197&amp;"/PPK/DPUPR"</f>
        <v>600/53433274/SPK-Konsultansi/PPK/DPUPR</v>
      </c>
      <c r="AX197" t="str" s="74" cm="1">
        <f t="array" ref="AX197">"600/"&amp;$B197&amp;"/SPMK/PPK/DPUPR"</f>
        <v>600/53433274/SPMK/PPK/DPUPR</v>
      </c>
      <c r="AY197" s="66"/>
      <c r="AZ197" s="66"/>
      <c r="BA197" s="66"/>
      <c r="BB197" s="66"/>
      <c r="BC197" s="66"/>
      <c r="BD197" s="66"/>
      <c r="BE197" s="66"/>
      <c r="BF197" s="66"/>
      <c r="BG197" s="75">
        <v>245</v>
      </c>
      <c r="BH197" t="s" s="70">
        <v>1639</v>
      </c>
      <c r="BI197" t="s" s="70">
        <v>21</v>
      </c>
      <c r="BJ197" t="s" s="70">
        <v>22</v>
      </c>
      <c r="BK197" t="s" s="70">
        <v>23</v>
      </c>
      <c r="BL197" t="s" s="70">
        <v>24</v>
      </c>
      <c r="BM197" s="66"/>
      <c r="BN197" s="66"/>
      <c r="BO197" s="66"/>
      <c r="BP197" s="66"/>
      <c r="BQ197" s="66"/>
      <c r="BR197" t="b" s="73">
        <v>0</v>
      </c>
      <c r="BS197" s="68" cm="1">
        <f t="array" ref="BS197">IF(M197&lt;=0.8*K197,5%*K197,M197*5%)</f>
        <v>4997150</v>
      </c>
      <c r="BT197" t="s" s="70">
        <v>156</v>
      </c>
      <c r="BU197" s="66"/>
      <c r="BV197" s="68" cm="1">
        <f t="array" ref="BV197">J197-M197</f>
        <v>57000</v>
      </c>
    </row>
    <row r="198" ht="36.25" customHeight="1">
      <c r="A198" s="49"/>
      <c r="B198" s="50">
        <v>53433307</v>
      </c>
      <c r="C198" t="s" s="51">
        <v>1812</v>
      </c>
      <c r="D198" t="s" s="52">
        <v>752</v>
      </c>
      <c r="E198" t="str" s="53" cm="1">
        <f t="array" ref="E198">$C198</f>
        <v>Perencanaan Normalisasi/Optimalisasi saluran DI Bambalamotu</v>
      </c>
      <c r="F198" s="54"/>
      <c r="G198" s="53"/>
      <c r="H198" s="53"/>
      <c r="I198" s="53"/>
      <c r="J198" s="55">
        <v>100000000</v>
      </c>
      <c r="K198" s="55">
        <v>99985000</v>
      </c>
      <c r="L198" s="116">
        <v>99943578</v>
      </c>
      <c r="M198" s="55">
        <v>99943000</v>
      </c>
      <c r="N198" t="s" s="58">
        <v>1639</v>
      </c>
      <c r="O198" t="s" s="59">
        <v>1640</v>
      </c>
      <c r="P198" t="s" s="58">
        <v>4</v>
      </c>
      <c r="Q198" t="s" s="58">
        <v>121</v>
      </c>
      <c r="R198" t="s" s="58">
        <v>122</v>
      </c>
      <c r="S198" t="s" s="58">
        <v>1641</v>
      </c>
      <c r="T198" s="60">
        <v>45446</v>
      </c>
      <c r="U198" t="s" s="58">
        <v>616</v>
      </c>
      <c r="V198" t="s" s="58">
        <v>125</v>
      </c>
      <c r="W198" t="s" s="58">
        <v>126</v>
      </c>
      <c r="X198" s="61">
        <v>30</v>
      </c>
      <c r="Y198" t="s" s="58">
        <v>10</v>
      </c>
      <c r="Z198" s="55" cm="1">
        <f t="array" ref="Z198">M198</f>
        <v>99943000</v>
      </c>
      <c r="AA198" t="s" s="58">
        <v>11</v>
      </c>
      <c r="AB198" s="60" cm="1">
        <f t="array" ref="AB198">AH198</f>
        <v>45566</v>
      </c>
      <c r="AC198" s="53"/>
      <c r="AD198" t="s" s="58">
        <v>128</v>
      </c>
      <c r="AE198" t="s" s="58">
        <v>13</v>
      </c>
      <c r="AF198" t="s" s="58">
        <v>753</v>
      </c>
      <c r="AG198" s="60">
        <v>45565</v>
      </c>
      <c r="AH198" s="60">
        <v>45566</v>
      </c>
      <c r="AI198" s="60">
        <v>45566</v>
      </c>
      <c r="AJ198" s="60">
        <v>45566</v>
      </c>
      <c r="AK198" s="60">
        <v>45566</v>
      </c>
      <c r="AL198" s="60">
        <v>45566</v>
      </c>
      <c r="AM198" s="60">
        <v>45566</v>
      </c>
      <c r="AN198" t="s" s="58">
        <v>1813</v>
      </c>
      <c r="AO198" s="60" cm="1">
        <f t="array" ref="AO198">AJ198</f>
        <v>45566</v>
      </c>
      <c r="AP198" t="s" s="58">
        <v>1814</v>
      </c>
      <c r="AQ198" s="60" cm="1">
        <f t="array" ref="AQ198">AJ198</f>
        <v>45566</v>
      </c>
      <c r="AR198" t="s" s="58">
        <v>1815</v>
      </c>
      <c r="AS198" s="60" cm="1">
        <f t="array" ref="AS198">AJ198</f>
        <v>45566</v>
      </c>
      <c r="AT198" t="s" s="78">
        <v>1816</v>
      </c>
      <c r="AU198" s="60" cm="1">
        <f t="array" ref="AU198">AJ198</f>
        <v>45566</v>
      </c>
      <c r="AV198" s="53"/>
      <c r="AW198" t="str" s="63" cm="1">
        <f t="array" ref="AW198">"600/"&amp;$B198&amp;"/"&amp;IF(AND($AE198="Konsultansi",M198&lt;=100000000),"SPK",IF(AND($AE198="Konsultansi",M198&gt;100000000),"Kont",IF(AND($AE198&lt;&gt;"Konsultansi",M198&lt;=200000000),"SPK","Kont")))&amp;"-"&amp;AE198&amp;"/PPK/DPUPR"</f>
        <v>600/53433307/SPK-Konsultansi/PPK/DPUPR</v>
      </c>
      <c r="AX198" t="str" s="63" cm="1">
        <f t="array" ref="AX198">"600/"&amp;$B198&amp;"/SPMK/PPK/DPUPR"</f>
        <v>600/53433307/SPMK/PPK/DPUPR</v>
      </c>
      <c r="AY198" s="53"/>
      <c r="AZ198" s="53"/>
      <c r="BA198" s="53"/>
      <c r="BB198" s="53"/>
      <c r="BC198" s="53"/>
      <c r="BD198" s="53"/>
      <c r="BE198" s="53"/>
      <c r="BF198" s="53"/>
      <c r="BG198" s="64">
        <v>245</v>
      </c>
      <c r="BH198" t="s" s="58">
        <v>1639</v>
      </c>
      <c r="BI198" t="s" s="58">
        <v>21</v>
      </c>
      <c r="BJ198" t="s" s="58">
        <v>22</v>
      </c>
      <c r="BK198" t="s" s="58">
        <v>23</v>
      </c>
      <c r="BL198" t="s" s="58">
        <v>24</v>
      </c>
      <c r="BM198" s="53"/>
      <c r="BN198" s="53"/>
      <c r="BO198" s="53"/>
      <c r="BP198" s="53"/>
      <c r="BQ198" s="53"/>
      <c r="BR198" t="b" s="61">
        <v>0</v>
      </c>
      <c r="BS198" s="55" cm="1">
        <f t="array" ref="BS198">IF(M198&lt;=0.8*K198,5%*K198,M198*5%)</f>
        <v>4997150</v>
      </c>
      <c r="BT198" t="s" s="58">
        <v>156</v>
      </c>
      <c r="BU198" s="53"/>
      <c r="BV198" s="55" cm="1">
        <f t="array" ref="BV198">J198-M198</f>
        <v>57000</v>
      </c>
    </row>
    <row r="199" ht="24.25" customHeight="1">
      <c r="A199" s="49"/>
      <c r="B199" s="49"/>
      <c r="C199" s="101"/>
      <c r="D199" s="106"/>
      <c r="E199" s="73" cm="1">
        <f t="array" ref="E199">$C199</f>
        <v>0</v>
      </c>
      <c r="F199" s="67"/>
      <c r="G199" s="66"/>
      <c r="H199" s="66"/>
      <c r="I199" s="66"/>
      <c r="J199" s="68"/>
      <c r="K199" s="68"/>
      <c r="L199" s="116"/>
      <c r="M199" s="68"/>
      <c r="N199" t="s" s="70">
        <v>676</v>
      </c>
      <c r="O199" t="s" s="71">
        <v>676</v>
      </c>
      <c r="P199" t="s" s="70">
        <v>676</v>
      </c>
      <c r="Q199" t="s" s="70">
        <v>676</v>
      </c>
      <c r="R199" t="s" s="70">
        <v>676</v>
      </c>
      <c r="S199" t="s" s="70">
        <v>676</v>
      </c>
      <c r="T199" t="s" s="70">
        <v>676</v>
      </c>
      <c r="U199" t="s" s="70">
        <v>676</v>
      </c>
      <c r="V199" t="s" s="70">
        <v>676</v>
      </c>
      <c r="W199" t="s" s="70">
        <v>676</v>
      </c>
      <c r="X199" s="66"/>
      <c r="Y199" s="66"/>
      <c r="Z199" s="68" cm="1">
        <f t="array" ref="Z199">M199</f>
        <v>0</v>
      </c>
      <c r="AA199" s="66"/>
      <c r="AB199" s="72"/>
      <c r="AC199" s="66"/>
      <c r="AD199" s="66"/>
      <c r="AE199" t="s" s="70">
        <v>701</v>
      </c>
      <c r="AF199" s="66"/>
      <c r="AG199" s="72"/>
      <c r="AH199" s="72"/>
      <c r="AI199" s="72"/>
      <c r="AJ199" s="72"/>
      <c r="AK199" s="72"/>
      <c r="AL199" s="72"/>
      <c r="AM199" s="72"/>
      <c r="AN199" s="66"/>
      <c r="AO199" s="66" cm="1">
        <f t="array" ref="AO199">AJ199</f>
      </c>
      <c r="AP199" s="66"/>
      <c r="AQ199" s="66" cm="1">
        <f t="array" ref="AQ199">AJ199</f>
      </c>
      <c r="AR199" t="s" s="70">
        <v>702</v>
      </c>
      <c r="AS199" s="66" cm="1">
        <f t="array" ref="AS199">AJ199</f>
      </c>
      <c r="AT199" t="s" s="78">
        <v>703</v>
      </c>
      <c r="AU199" s="66" cm="1">
        <f t="array" ref="AU199">AJ199</f>
      </c>
      <c r="AV199" s="66"/>
      <c r="AW199" t="str" s="74" cm="1">
        <f t="array" ref="AW199">"600/"&amp;$B199&amp;"/"&amp;IF(AND($AE199="Konsultansi",M199&lt;=100000000),"SPK",IF(AND($AE199="Konsultansi",M199&gt;100000000),"Kont",IF(AND($AE199&lt;&gt;"Konsultansi",M199&lt;=200000000),"SPK","Kont")))&amp;"-"&amp;AE199&amp;"/PPK/DPUPR"</f>
        <v>600//SPK-Barang/PPK/DPUPR</v>
      </c>
      <c r="AX199" t="str" s="74" cm="1">
        <f t="array" ref="AX199">"600/"&amp;$B199&amp;"/SPMK/PPK/DPUPR"</f>
        <v>600//SPMK/PPK/DPUPR</v>
      </c>
      <c r="AY199" s="66"/>
      <c r="AZ199" s="66"/>
      <c r="BA199" s="66"/>
      <c r="BB199" s="66"/>
      <c r="BC199" s="66"/>
      <c r="BD199" s="66"/>
      <c r="BE199" s="66"/>
      <c r="BF199" s="66"/>
      <c r="BG199" s="102"/>
      <c r="BH199" t="s" s="70">
        <v>683</v>
      </c>
      <c r="BI199" t="s" s="70">
        <v>21</v>
      </c>
      <c r="BJ199" t="s" s="70">
        <v>22</v>
      </c>
      <c r="BK199" t="s" s="70">
        <v>23</v>
      </c>
      <c r="BL199" t="s" s="70">
        <v>24</v>
      </c>
      <c r="BM199" s="66"/>
      <c r="BN199" s="66"/>
      <c r="BO199" s="66"/>
      <c r="BP199" s="66"/>
      <c r="BQ199" s="66"/>
      <c r="BR199" t="b" s="73">
        <v>0</v>
      </c>
      <c r="BS199" s="68" cm="1">
        <f t="array" ref="BS199">IF(M199&lt;=0.8*K199,5%*K199,M199*5%)</f>
        <v>0</v>
      </c>
      <c r="BT199" t="s" s="70">
        <v>705</v>
      </c>
      <c r="BU199" s="66"/>
      <c r="BV199" s="68" cm="1">
        <f t="array" ref="BV199">J199-M199</f>
        <v>0</v>
      </c>
    </row>
    <row r="200" ht="72.25" customHeight="1">
      <c r="A200" s="49"/>
      <c r="B200" s="50">
        <v>53433509</v>
      </c>
      <c r="C200" t="s" s="51">
        <v>1819</v>
      </c>
      <c r="D200" t="s" s="52">
        <v>165</v>
      </c>
      <c r="E200" t="str" s="53" cm="1">
        <f t="array" ref="E200">$C200</f>
        <v>Partisi Ruangan Kantor Polsek Tikke</v>
      </c>
      <c r="F200" s="54"/>
      <c r="G200" s="53"/>
      <c r="H200" s="53"/>
      <c r="I200" s="53"/>
      <c r="J200" s="55">
        <v>167000000</v>
      </c>
      <c r="K200" s="55">
        <v>167000000</v>
      </c>
      <c r="L200" s="116">
        <v>166803463.39</v>
      </c>
      <c r="M200" s="55">
        <v>166803000</v>
      </c>
      <c r="N200" t="s" s="58">
        <v>321</v>
      </c>
      <c r="O200" t="s" s="59">
        <v>322</v>
      </c>
      <c r="P200" t="s" s="58">
        <v>4</v>
      </c>
      <c r="Q200" t="s" s="58">
        <v>323</v>
      </c>
      <c r="R200" t="s" s="58">
        <v>279</v>
      </c>
      <c r="S200" t="s" s="58">
        <v>324</v>
      </c>
      <c r="T200" s="83">
        <v>43979</v>
      </c>
      <c r="U200" t="s" s="58">
        <v>124</v>
      </c>
      <c r="V200" t="s" s="58">
        <v>325</v>
      </c>
      <c r="W200" t="s" s="58">
        <v>326</v>
      </c>
      <c r="X200" s="61">
        <v>60</v>
      </c>
      <c r="Y200" t="s" s="58">
        <v>10</v>
      </c>
      <c r="Z200" s="55" cm="1">
        <f t="array" ref="Z200">M200</f>
        <v>166803000</v>
      </c>
      <c r="AA200" t="s" s="58">
        <v>11</v>
      </c>
      <c r="AB200" s="60" cm="1">
        <f t="array" ref="AB200">AH200</f>
        <v>45566</v>
      </c>
      <c r="AC200" s="53"/>
      <c r="AD200" t="s" s="58">
        <v>109</v>
      </c>
      <c r="AE200" t="s" s="58">
        <v>110</v>
      </c>
      <c r="AF200" t="s" s="58">
        <v>167</v>
      </c>
      <c r="AG200" s="60">
        <v>45565</v>
      </c>
      <c r="AH200" s="60">
        <v>45566</v>
      </c>
      <c r="AI200" s="60">
        <v>45566</v>
      </c>
      <c r="AJ200" s="60">
        <v>45566</v>
      </c>
      <c r="AK200" s="60">
        <v>45566</v>
      </c>
      <c r="AL200" s="60">
        <v>45566</v>
      </c>
      <c r="AM200" s="60">
        <v>45566</v>
      </c>
      <c r="AN200" t="s" s="58">
        <v>1820</v>
      </c>
      <c r="AO200" s="60" cm="1">
        <f t="array" ref="AO200">AJ200</f>
        <v>45566</v>
      </c>
      <c r="AP200" t="s" s="58">
        <v>1821</v>
      </c>
      <c r="AQ200" s="60" cm="1">
        <f t="array" ref="AQ200">AJ200</f>
        <v>45566</v>
      </c>
      <c r="AR200" t="s" s="58">
        <v>1822</v>
      </c>
      <c r="AS200" s="60" cm="1">
        <f t="array" ref="AS200">AJ200</f>
        <v>45566</v>
      </c>
      <c r="AT200" t="s" s="78">
        <v>1823</v>
      </c>
      <c r="AU200" s="60" cm="1">
        <f t="array" ref="AU200">AJ200</f>
        <v>45566</v>
      </c>
      <c r="AV200" s="53"/>
      <c r="AW200" t="str" s="63" cm="1">
        <f t="array" ref="AW200">"600/"&amp;$B200&amp;"/"&amp;IF(AND($AE200="Konsultansi",M200&lt;=100000000),"SPK",IF(AND($AE200="Konsultansi",M200&gt;100000000),"Kont",IF(AND($AE200&lt;&gt;"Konsultansi",M200&lt;=200000000),"SPK","Kont")))&amp;"-"&amp;AE200&amp;"/PPK/DPUPR"</f>
        <v>600/53433509/SPK-Konstruksi/PPK/DPUPR</v>
      </c>
      <c r="AX200" t="str" s="63" cm="1">
        <f t="array" ref="AX200">"600/"&amp;$B200&amp;"/SPMK/PPK/DPUPR"</f>
        <v>600/53433509/SPMK/PPK/DPUPR</v>
      </c>
      <c r="AY200" s="53"/>
      <c r="AZ200" s="53"/>
      <c r="BA200" s="53"/>
      <c r="BB200" s="53"/>
      <c r="BC200" s="53"/>
      <c r="BD200" s="53"/>
      <c r="BE200" s="53"/>
      <c r="BF200" s="53"/>
      <c r="BG200" s="64">
        <v>15</v>
      </c>
      <c r="BH200" t="s" s="58">
        <v>321</v>
      </c>
      <c r="BI200" t="s" s="58">
        <v>21</v>
      </c>
      <c r="BJ200" t="s" s="58">
        <v>22</v>
      </c>
      <c r="BK200" t="s" s="58">
        <v>23</v>
      </c>
      <c r="BL200" t="s" s="58">
        <v>24</v>
      </c>
      <c r="BM200" s="53"/>
      <c r="BN200" s="53"/>
      <c r="BO200" s="53"/>
      <c r="BP200" s="53"/>
      <c r="BQ200" s="53"/>
      <c r="BR200" t="b" s="61">
        <v>0</v>
      </c>
      <c r="BS200" s="55" cm="1">
        <f t="array" ref="BS200">IF(M200&lt;=0.8*K200,5%*K200,M200*5%)</f>
        <v>8340150</v>
      </c>
      <c r="BT200" t="s" s="58">
        <v>173</v>
      </c>
      <c r="BU200" s="53"/>
      <c r="BV200" s="55" cm="1">
        <f t="array" ref="BV200">J200-M200</f>
        <v>197000</v>
      </c>
    </row>
    <row r="201" ht="72.25" customHeight="1">
      <c r="A201" s="49"/>
      <c r="B201" s="50">
        <v>53433696</v>
      </c>
      <c r="C201" t="s" s="51">
        <v>1826</v>
      </c>
      <c r="D201" t="s" s="65">
        <v>165</v>
      </c>
      <c r="E201" t="str" s="66" cm="1">
        <f t="array" ref="E201">$C201</f>
        <v>Perencanan Polsek + Rumah Dinas Polsek Sarjo</v>
      </c>
      <c r="F201" s="67"/>
      <c r="G201" s="66"/>
      <c r="H201" s="66"/>
      <c r="I201" s="66"/>
      <c r="J201" s="68">
        <v>50000000</v>
      </c>
      <c r="K201" s="68">
        <v>49997000</v>
      </c>
      <c r="L201" s="116">
        <v>49924512</v>
      </c>
      <c r="M201" s="68">
        <v>49924000</v>
      </c>
      <c r="N201" t="s" s="70">
        <v>261</v>
      </c>
      <c r="O201" t="s" s="71">
        <v>262</v>
      </c>
      <c r="P201" t="s" s="70">
        <v>4</v>
      </c>
      <c r="Q201" t="s" s="70">
        <v>263</v>
      </c>
      <c r="R201" t="s" s="70">
        <v>264</v>
      </c>
      <c r="S201" s="73">
        <v>53</v>
      </c>
      <c r="T201" s="72">
        <v>41288</v>
      </c>
      <c r="U201" t="s" s="70">
        <v>265</v>
      </c>
      <c r="V201" t="s" s="70">
        <v>266</v>
      </c>
      <c r="W201" t="s" s="70">
        <v>267</v>
      </c>
      <c r="X201" s="73">
        <v>30</v>
      </c>
      <c r="Y201" t="s" s="70">
        <v>10</v>
      </c>
      <c r="Z201" s="68" cm="1">
        <f t="array" ref="Z201">M201</f>
        <v>49924000</v>
      </c>
      <c r="AA201" t="s" s="70">
        <v>11</v>
      </c>
      <c r="AB201" s="72" cm="1">
        <f t="array" ref="AB201">AH201</f>
        <v>45566</v>
      </c>
      <c r="AC201" s="66"/>
      <c r="AD201" t="s" s="70">
        <v>128</v>
      </c>
      <c r="AE201" t="s" s="70">
        <v>13</v>
      </c>
      <c r="AF201" t="s" s="70">
        <v>167</v>
      </c>
      <c r="AG201" s="72">
        <v>45565</v>
      </c>
      <c r="AH201" s="72">
        <v>45566</v>
      </c>
      <c r="AI201" s="72">
        <v>45566</v>
      </c>
      <c r="AJ201" s="72">
        <v>45566</v>
      </c>
      <c r="AK201" s="72">
        <v>45566</v>
      </c>
      <c r="AL201" s="72">
        <v>45566</v>
      </c>
      <c r="AM201" s="72">
        <v>45566</v>
      </c>
      <c r="AN201" t="s" s="70">
        <v>1827</v>
      </c>
      <c r="AO201" s="72" cm="1">
        <f t="array" ref="AO201">AJ201</f>
        <v>45566</v>
      </c>
      <c r="AP201" t="s" s="70">
        <v>1828</v>
      </c>
      <c r="AQ201" s="72" cm="1">
        <f t="array" ref="AQ201">AJ201</f>
        <v>45566</v>
      </c>
      <c r="AR201" t="s" s="70">
        <v>1829</v>
      </c>
      <c r="AS201" s="72" cm="1">
        <f t="array" ref="AS201">AJ201</f>
        <v>45566</v>
      </c>
      <c r="AT201" t="s" s="78">
        <v>1830</v>
      </c>
      <c r="AU201" s="72" cm="1">
        <f t="array" ref="AU201">AJ201</f>
        <v>45566</v>
      </c>
      <c r="AV201" s="66"/>
      <c r="AW201" t="str" s="74" cm="1">
        <f t="array" ref="AW201">"600/"&amp;$B201&amp;"/"&amp;IF(AND($AE201="Konsultansi",M201&lt;=100000000),"SPK",IF(AND($AE201="Konsultansi",M201&gt;100000000),"Kont",IF(AND($AE201&lt;&gt;"Konsultansi",M201&lt;=200000000),"SPK","Kont")))&amp;"-"&amp;AE201&amp;"/PPK/DPUPR"</f>
        <v>600/53433696/SPK-Konsultansi/PPK/DPUPR</v>
      </c>
      <c r="AX201" t="str" s="74" cm="1">
        <f t="array" ref="AX201">"600/"&amp;$B201&amp;"/SPMK/PPK/DPUPR"</f>
        <v>600/53433696/SPMK/PPK/DPUPR</v>
      </c>
      <c r="AY201" s="66"/>
      <c r="AZ201" s="66"/>
      <c r="BA201" s="66"/>
      <c r="BB201" s="66"/>
      <c r="BC201" s="66"/>
      <c r="BD201" s="66"/>
      <c r="BE201" s="66"/>
      <c r="BF201" s="66"/>
      <c r="BG201" s="75">
        <v>1</v>
      </c>
      <c r="BH201" t="s" s="70">
        <v>261</v>
      </c>
      <c r="BI201" t="s" s="70">
        <v>21</v>
      </c>
      <c r="BJ201" t="s" s="70">
        <v>22</v>
      </c>
      <c r="BK201" t="s" s="70">
        <v>23</v>
      </c>
      <c r="BL201" t="s" s="70">
        <v>24</v>
      </c>
      <c r="BM201" s="66"/>
      <c r="BN201" s="66"/>
      <c r="BO201" s="66"/>
      <c r="BP201" s="66"/>
      <c r="BQ201" s="66"/>
      <c r="BR201" t="b" s="73">
        <v>0</v>
      </c>
      <c r="BS201" s="68" cm="1">
        <f t="array" ref="BS201">IF(M201&lt;=0.8*K201,5%*K201,M201*5%)</f>
        <v>2496200</v>
      </c>
      <c r="BT201" t="s" s="70">
        <v>173</v>
      </c>
      <c r="BU201" s="66"/>
      <c r="BV201" s="68" cm="1">
        <f t="array" ref="BV201">J201-M201</f>
        <v>76000</v>
      </c>
    </row>
    <row r="202" ht="72.25" customHeight="1">
      <c r="A202" s="49"/>
      <c r="B202" s="50">
        <v>53433778</v>
      </c>
      <c r="C202" t="s" s="51">
        <v>1833</v>
      </c>
      <c r="D202" t="s" s="52">
        <v>165</v>
      </c>
      <c r="E202" t="str" s="53" cm="1">
        <f t="array" ref="E202">$C202</f>
        <v>Perencanaan Penyediaan Sistim Air Bersih RSUD Pasangkayu</v>
      </c>
      <c r="F202" s="54"/>
      <c r="G202" s="53"/>
      <c r="H202" s="53"/>
      <c r="I202" s="53"/>
      <c r="J202" s="55">
        <v>50000000</v>
      </c>
      <c r="K202" s="55">
        <v>49997000</v>
      </c>
      <c r="L202" s="116">
        <v>49924512</v>
      </c>
      <c r="M202" s="55">
        <v>49924000</v>
      </c>
      <c r="N202" t="s" s="58">
        <v>261</v>
      </c>
      <c r="O202" t="s" s="59">
        <v>262</v>
      </c>
      <c r="P202" t="s" s="58">
        <v>4</v>
      </c>
      <c r="Q202" t="s" s="58">
        <v>263</v>
      </c>
      <c r="R202" t="s" s="58">
        <v>264</v>
      </c>
      <c r="S202" s="61">
        <v>53</v>
      </c>
      <c r="T202" s="60">
        <v>41288</v>
      </c>
      <c r="U202" t="s" s="58">
        <v>265</v>
      </c>
      <c r="V202" t="s" s="58">
        <v>266</v>
      </c>
      <c r="W202" t="s" s="58">
        <v>267</v>
      </c>
      <c r="X202" s="61">
        <v>30</v>
      </c>
      <c r="Y202" t="s" s="58">
        <v>10</v>
      </c>
      <c r="Z202" s="55" cm="1">
        <f t="array" ref="Z202">M202</f>
        <v>49924000</v>
      </c>
      <c r="AA202" t="s" s="58">
        <v>11</v>
      </c>
      <c r="AB202" s="60" cm="1">
        <f t="array" ref="AB202">AH202</f>
        <v>45566</v>
      </c>
      <c r="AC202" s="53"/>
      <c r="AD202" t="s" s="58">
        <v>128</v>
      </c>
      <c r="AE202" t="s" s="58">
        <v>13</v>
      </c>
      <c r="AF202" t="s" s="58">
        <v>167</v>
      </c>
      <c r="AG202" s="60">
        <v>45565</v>
      </c>
      <c r="AH202" s="60">
        <v>45566</v>
      </c>
      <c r="AI202" s="60">
        <v>45566</v>
      </c>
      <c r="AJ202" s="60">
        <v>45566</v>
      </c>
      <c r="AK202" s="60">
        <v>45566</v>
      </c>
      <c r="AL202" s="60">
        <v>45566</v>
      </c>
      <c r="AM202" s="60">
        <v>45566</v>
      </c>
      <c r="AN202" t="s" s="58">
        <v>1834</v>
      </c>
      <c r="AO202" s="60" cm="1">
        <f t="array" ref="AO202">AJ202</f>
        <v>45566</v>
      </c>
      <c r="AP202" t="s" s="58">
        <v>1835</v>
      </c>
      <c r="AQ202" s="60" cm="1">
        <f t="array" ref="AQ202">AJ202</f>
        <v>45566</v>
      </c>
      <c r="AR202" t="s" s="58">
        <v>1836</v>
      </c>
      <c r="AS202" s="60" cm="1">
        <f t="array" ref="AS202">AJ202</f>
        <v>45566</v>
      </c>
      <c r="AT202" t="s" s="78">
        <v>1837</v>
      </c>
      <c r="AU202" s="60" cm="1">
        <f t="array" ref="AU202">AJ202</f>
        <v>45566</v>
      </c>
      <c r="AV202" s="53"/>
      <c r="AW202" t="str" s="63" cm="1">
        <f t="array" ref="AW202">"600/"&amp;$B202&amp;"/"&amp;IF(AND($AE202="Konsultansi",M202&lt;=100000000),"SPK",IF(AND($AE202="Konsultansi",M202&gt;100000000),"Kont",IF(AND($AE202&lt;&gt;"Konsultansi",M202&lt;=200000000),"SPK","Kont")))&amp;"-"&amp;AE202&amp;"/PPK/DPUPR"</f>
        <v>600/53433778/SPK-Konsultansi/PPK/DPUPR</v>
      </c>
      <c r="AX202" t="str" s="63" cm="1">
        <f t="array" ref="AX202">"600/"&amp;$B202&amp;"/SPMK/PPK/DPUPR"</f>
        <v>600/53433778/SPMK/PPK/DPUPR</v>
      </c>
      <c r="AY202" s="53"/>
      <c r="AZ202" s="53"/>
      <c r="BA202" s="53"/>
      <c r="BB202" s="53"/>
      <c r="BC202" s="53"/>
      <c r="BD202" s="53"/>
      <c r="BE202" s="53"/>
      <c r="BF202" s="53"/>
      <c r="BG202" s="64">
        <v>1</v>
      </c>
      <c r="BH202" t="s" s="58">
        <v>261</v>
      </c>
      <c r="BI202" t="s" s="58">
        <v>21</v>
      </c>
      <c r="BJ202" t="s" s="58">
        <v>22</v>
      </c>
      <c r="BK202" t="s" s="58">
        <v>23</v>
      </c>
      <c r="BL202" t="s" s="58">
        <v>24</v>
      </c>
      <c r="BM202" s="53"/>
      <c r="BN202" s="53"/>
      <c r="BO202" s="53"/>
      <c r="BP202" s="53"/>
      <c r="BQ202" s="53"/>
      <c r="BR202" t="b" s="61">
        <v>0</v>
      </c>
      <c r="BS202" s="55" cm="1">
        <f t="array" ref="BS202">IF(M202&lt;=0.8*K202,5%*K202,M202*5%)</f>
        <v>2496200</v>
      </c>
      <c r="BT202" t="s" s="58">
        <v>173</v>
      </c>
      <c r="BU202" s="53"/>
      <c r="BV202" s="55" cm="1">
        <f t="array" ref="BV202">J202-M202</f>
        <v>76000</v>
      </c>
    </row>
    <row r="203" ht="72.25" customHeight="1">
      <c r="A203" s="49"/>
      <c r="B203" s="50">
        <v>53443779</v>
      </c>
      <c r="C203" t="s" s="51">
        <v>1840</v>
      </c>
      <c r="D203" t="s" s="65">
        <v>165</v>
      </c>
      <c r="E203" t="str" s="66" cm="1">
        <f t="array" ref="E203">$C203</f>
        <v>Perencanaan Bangunan Negara</v>
      </c>
      <c r="F203" s="67"/>
      <c r="G203" s="66"/>
      <c r="H203" s="66"/>
      <c r="I203" s="66"/>
      <c r="J203" s="68">
        <v>40000000</v>
      </c>
      <c r="K203" s="68">
        <v>40000000</v>
      </c>
      <c r="L203" s="116">
        <v>39968532</v>
      </c>
      <c r="M203" s="68">
        <v>39968000</v>
      </c>
      <c r="N203" t="s" s="70">
        <v>1483</v>
      </c>
      <c r="O203" t="s" s="71">
        <v>1484</v>
      </c>
      <c r="P203" t="s" s="70">
        <v>4</v>
      </c>
      <c r="Q203" t="s" s="70">
        <v>1485</v>
      </c>
      <c r="R203" t="s" s="70">
        <v>1486</v>
      </c>
      <c r="S203" s="73">
        <v>24</v>
      </c>
      <c r="T203" s="72">
        <v>44516</v>
      </c>
      <c r="U203" t="s" s="70">
        <v>691</v>
      </c>
      <c r="V203" t="s" s="70">
        <v>1487</v>
      </c>
      <c r="W203" t="s" s="70">
        <v>1488</v>
      </c>
      <c r="X203" s="73">
        <v>30</v>
      </c>
      <c r="Y203" t="s" s="70">
        <v>10</v>
      </c>
      <c r="Z203" s="68" cm="1">
        <f t="array" ref="Z203">M203</f>
        <v>39968000</v>
      </c>
      <c r="AA203" t="s" s="70">
        <v>11</v>
      </c>
      <c r="AB203" s="72" cm="1">
        <f t="array" ref="AB203">AH203</f>
        <v>45587</v>
      </c>
      <c r="AC203" s="66"/>
      <c r="AD203" t="s" s="70">
        <v>128</v>
      </c>
      <c r="AE203" t="s" s="70">
        <v>13</v>
      </c>
      <c r="AF203" t="s" s="70">
        <v>167</v>
      </c>
      <c r="AG203" s="72">
        <v>45586</v>
      </c>
      <c r="AH203" s="72">
        <v>45587</v>
      </c>
      <c r="AI203" s="72">
        <v>45587</v>
      </c>
      <c r="AJ203" s="72">
        <v>45587</v>
      </c>
      <c r="AK203" s="72">
        <v>45587</v>
      </c>
      <c r="AL203" s="72">
        <v>45587</v>
      </c>
      <c r="AM203" s="72">
        <v>45587</v>
      </c>
      <c r="AN203" t="s" s="70">
        <v>1841</v>
      </c>
      <c r="AO203" s="72" cm="1">
        <f t="array" ref="AO203">AJ203</f>
        <v>45587</v>
      </c>
      <c r="AP203" t="s" s="70">
        <v>1842</v>
      </c>
      <c r="AQ203" s="72" cm="1">
        <f t="array" ref="AQ203">AJ203</f>
        <v>45587</v>
      </c>
      <c r="AR203" t="s" s="70">
        <v>1843</v>
      </c>
      <c r="AS203" s="72" cm="1">
        <f t="array" ref="AS203">AJ203</f>
        <v>45587</v>
      </c>
      <c r="AT203" t="s" s="78">
        <v>1844</v>
      </c>
      <c r="AU203" s="72" cm="1">
        <f t="array" ref="AU203">AJ203</f>
        <v>45587</v>
      </c>
      <c r="AV203" s="66"/>
      <c r="AW203" t="str" s="74" cm="1">
        <f t="array" ref="AW203">"600/"&amp;$B203&amp;"/"&amp;IF(AND($AE203="Konsultansi",M203&lt;=100000000),"SPK",IF(AND($AE203="Konsultansi",M203&gt;100000000),"Kont",IF(AND($AE203&lt;&gt;"Konsultansi",M203&lt;=200000000),"SPK","Kont")))&amp;"-"&amp;AE203&amp;"/PPK/DPUPR"</f>
        <v>600/53443779/SPK-Konsultansi/PPK/DPUPR</v>
      </c>
      <c r="AX203" t="str" s="74" cm="1">
        <f t="array" ref="AX203">"600/"&amp;$B203&amp;"/SPMK/PPK/DPUPR"</f>
        <v>600/53443779/SPMK/PPK/DPUPR</v>
      </c>
      <c r="AY203" s="66"/>
      <c r="AZ203" s="66"/>
      <c r="BA203" s="66"/>
      <c r="BB203" s="66"/>
      <c r="BC203" s="66"/>
      <c r="BD203" s="66"/>
      <c r="BE203" s="66"/>
      <c r="BF203" s="66"/>
      <c r="BG203" s="75">
        <v>6</v>
      </c>
      <c r="BH203" t="s" s="70">
        <v>1483</v>
      </c>
      <c r="BI203" t="s" s="70">
        <v>21</v>
      </c>
      <c r="BJ203" t="s" s="70">
        <v>22</v>
      </c>
      <c r="BK203" t="s" s="70">
        <v>23</v>
      </c>
      <c r="BL203" t="s" s="70">
        <v>24</v>
      </c>
      <c r="BM203" s="66"/>
      <c r="BN203" s="66"/>
      <c r="BO203" s="66"/>
      <c r="BP203" s="66"/>
      <c r="BQ203" s="66"/>
      <c r="BR203" t="b" s="73">
        <v>0</v>
      </c>
      <c r="BS203" s="68" cm="1">
        <f t="array" ref="BS203">IF(M203&lt;=0.8*K203,5%*K203,M203*5%)</f>
        <v>1998400</v>
      </c>
      <c r="BT203" t="s" s="70">
        <v>173</v>
      </c>
      <c r="BU203" s="66"/>
      <c r="BV203" s="68" cm="1">
        <f t="array" ref="BV203">J203-M203</f>
        <v>32000</v>
      </c>
    </row>
    <row r="204" ht="24.25" customHeight="1">
      <c r="A204" s="49"/>
      <c r="B204" s="50">
        <v>53552636</v>
      </c>
      <c r="C204" t="s" s="51">
        <v>1847</v>
      </c>
      <c r="D204" t="s" s="52">
        <v>902</v>
      </c>
      <c r="E204" t="str" s="53" cm="1">
        <f t="array" ref="E204">$C204</f>
        <v>Drone </v>
      </c>
      <c r="F204" s="54"/>
      <c r="G204" s="53"/>
      <c r="H204" s="53"/>
      <c r="I204" s="53"/>
      <c r="J204" s="55">
        <v>45275800</v>
      </c>
      <c r="K204" s="55">
        <v>45275000</v>
      </c>
      <c r="L204" s="116">
        <v>45232500</v>
      </c>
      <c r="M204" s="55">
        <v>45232000</v>
      </c>
      <c r="N204" t="s" s="58">
        <v>321</v>
      </c>
      <c r="O204" t="s" s="59">
        <v>322</v>
      </c>
      <c r="P204" t="s" s="58">
        <v>4</v>
      </c>
      <c r="Q204" t="s" s="58">
        <v>323</v>
      </c>
      <c r="R204" t="s" s="58">
        <v>279</v>
      </c>
      <c r="S204" t="s" s="58">
        <v>324</v>
      </c>
      <c r="T204" s="83">
        <v>43979</v>
      </c>
      <c r="U204" t="s" s="58">
        <v>124</v>
      </c>
      <c r="V204" t="s" s="58">
        <v>325</v>
      </c>
      <c r="W204" t="s" s="58">
        <v>326</v>
      </c>
      <c r="X204" s="61">
        <v>30</v>
      </c>
      <c r="Y204" t="s" s="58">
        <v>10</v>
      </c>
      <c r="Z204" s="55" cm="1">
        <f t="array" ref="Z204">M204</f>
        <v>45232000</v>
      </c>
      <c r="AA204" t="s" s="58">
        <v>11</v>
      </c>
      <c r="AB204" s="60" cm="1">
        <f t="array" ref="AB204">AH204</f>
        <v>45587</v>
      </c>
      <c r="AC204" s="53"/>
      <c r="AD204" t="s" s="58">
        <v>128</v>
      </c>
      <c r="AE204" t="s" s="58">
        <v>701</v>
      </c>
      <c r="AF204" t="s" s="58">
        <v>903</v>
      </c>
      <c r="AG204" s="60">
        <v>45586</v>
      </c>
      <c r="AH204" s="60">
        <v>45587</v>
      </c>
      <c r="AI204" s="60">
        <v>45587</v>
      </c>
      <c r="AJ204" s="60">
        <v>45587</v>
      </c>
      <c r="AK204" s="60">
        <v>45587</v>
      </c>
      <c r="AL204" s="60">
        <v>45587</v>
      </c>
      <c r="AM204" s="60">
        <v>45587</v>
      </c>
      <c r="AN204" s="53"/>
      <c r="AO204" s="53"/>
      <c r="AP204" s="53"/>
      <c r="AQ204" s="53"/>
      <c r="AR204" s="53"/>
      <c r="AS204" s="53"/>
      <c r="AT204" s="62"/>
      <c r="AU204" s="60" cm="1">
        <f t="array" ref="AU204">AJ204</f>
        <v>45587</v>
      </c>
      <c r="AV204" s="53"/>
      <c r="AW204" t="str" s="63" cm="1">
        <f t="array" ref="AW204">"600/"&amp;$B204&amp;"/"&amp;IF(AND($AE204="Konsultansi",M204&lt;=100000000),"SPK",IF(AND($AE204="Konsultansi",M204&gt;100000000),"Kont",IF(AND($AE204&lt;&gt;"Konsultansi",M204&lt;=200000000),"SPK","Kont")))&amp;"-"&amp;AE204&amp;"/PPK/DPUPR"</f>
        <v>600/53552636/SPK-Barang/PPK/DPUPR</v>
      </c>
      <c r="AX204" t="str" s="63" cm="1">
        <f t="array" ref="AX204">"600/"&amp;$B204&amp;"/SPMK/PPK/DPUPR"</f>
        <v>600/53552636/SPMK/PPK/DPUPR</v>
      </c>
      <c r="AY204" s="53"/>
      <c r="AZ204" s="53"/>
      <c r="BA204" s="53"/>
      <c r="BB204" s="53"/>
      <c r="BC204" s="53"/>
      <c r="BD204" s="53"/>
      <c r="BE204" s="53"/>
      <c r="BF204" s="53"/>
      <c r="BG204" s="64">
        <v>15</v>
      </c>
      <c r="BH204" t="s" s="58">
        <v>321</v>
      </c>
      <c r="BI204" t="s" s="58">
        <v>21</v>
      </c>
      <c r="BJ204" t="s" s="58">
        <v>22</v>
      </c>
      <c r="BK204" t="s" s="58">
        <v>23</v>
      </c>
      <c r="BL204" t="s" s="58">
        <v>24</v>
      </c>
      <c r="BM204" s="53"/>
      <c r="BN204" s="53"/>
      <c r="BO204" s="53"/>
      <c r="BP204" s="53"/>
      <c r="BQ204" s="53"/>
      <c r="BR204" t="b" s="61">
        <v>0</v>
      </c>
      <c r="BS204" s="55" cm="1">
        <f t="array" ref="BS204">IF(M204&lt;=0.8*K204,5%*K204,M204*5%)</f>
        <v>2261600</v>
      </c>
      <c r="BT204" t="s" s="58">
        <v>910</v>
      </c>
      <c r="BU204" s="53"/>
      <c r="BV204" s="55" cm="1">
        <f t="array" ref="BV204">J204-M204</f>
        <v>43800</v>
      </c>
    </row>
    <row r="205" ht="24.25" customHeight="1">
      <c r="A205" s="49"/>
      <c r="B205" s="49"/>
      <c r="C205" s="101"/>
      <c r="D205" s="106"/>
      <c r="E205" s="73" cm="1">
        <f t="array" ref="E205">$C205</f>
        <v>0</v>
      </c>
      <c r="F205" s="67"/>
      <c r="G205" s="66"/>
      <c r="H205" s="66"/>
      <c r="I205" s="66"/>
      <c r="J205" s="68"/>
      <c r="K205" s="68"/>
      <c r="L205" s="116"/>
      <c r="M205" s="68"/>
      <c r="N205" t="s" s="70">
        <v>676</v>
      </c>
      <c r="O205" t="s" s="71">
        <v>676</v>
      </c>
      <c r="P205" t="s" s="70">
        <v>676</v>
      </c>
      <c r="Q205" t="s" s="70">
        <v>676</v>
      </c>
      <c r="R205" t="s" s="70">
        <v>676</v>
      </c>
      <c r="S205" t="s" s="70">
        <v>676</v>
      </c>
      <c r="T205" t="s" s="70">
        <v>676</v>
      </c>
      <c r="U205" t="s" s="70">
        <v>676</v>
      </c>
      <c r="V205" t="s" s="70">
        <v>676</v>
      </c>
      <c r="W205" t="s" s="70">
        <v>676</v>
      </c>
      <c r="X205" s="66"/>
      <c r="Y205" s="66"/>
      <c r="Z205" s="68" cm="1">
        <f t="array" ref="Z205">M205</f>
        <v>0</v>
      </c>
      <c r="AA205" s="66"/>
      <c r="AB205" s="72"/>
      <c r="AC205" s="66"/>
      <c r="AD205" s="66"/>
      <c r="AE205" t="s" s="70">
        <v>701</v>
      </c>
      <c r="AF205" s="66"/>
      <c r="AG205" s="72"/>
      <c r="AH205" s="72"/>
      <c r="AI205" s="72"/>
      <c r="AJ205" s="72"/>
      <c r="AK205" s="72"/>
      <c r="AL205" s="72"/>
      <c r="AM205" s="72"/>
      <c r="AN205" s="66"/>
      <c r="AO205" s="66"/>
      <c r="AP205" s="66"/>
      <c r="AQ205" s="66"/>
      <c r="AR205" s="66"/>
      <c r="AS205" s="66"/>
      <c r="AT205" s="62"/>
      <c r="AU205" s="66" cm="1">
        <f t="array" ref="AU205">AJ205</f>
      </c>
      <c r="AV205" s="66"/>
      <c r="AW205" t="str" s="74" cm="1">
        <f t="array" ref="AW205">"600/"&amp;$B205&amp;"/"&amp;IF(AND($AE205="Konsultansi",M205&lt;=100000000),"SPK",IF(AND($AE205="Konsultansi",M205&gt;100000000),"Kont",IF(AND($AE205&lt;&gt;"Konsultansi",M205&lt;=200000000),"SPK","Kont")))&amp;"-"&amp;AE205&amp;"/PPK/DPUPR"</f>
        <v>600//SPK-Barang/PPK/DPUPR</v>
      </c>
      <c r="AX205" t="str" s="74" cm="1">
        <f t="array" ref="AX205">"600/"&amp;$B205&amp;"/SPMK/PPK/DPUPR"</f>
        <v>600//SPMK/PPK/DPUPR</v>
      </c>
      <c r="AY205" s="66"/>
      <c r="AZ205" s="66"/>
      <c r="BA205" s="66"/>
      <c r="BB205" s="66"/>
      <c r="BC205" s="66"/>
      <c r="BD205" s="66"/>
      <c r="BE205" s="66"/>
      <c r="BF205" s="66"/>
      <c r="BG205" s="102"/>
      <c r="BH205" t="s" s="70">
        <v>683</v>
      </c>
      <c r="BI205" t="s" s="70">
        <v>21</v>
      </c>
      <c r="BJ205" t="s" s="70">
        <v>22</v>
      </c>
      <c r="BK205" t="s" s="70">
        <v>23</v>
      </c>
      <c r="BL205" t="s" s="70">
        <v>24</v>
      </c>
      <c r="BM205" s="66"/>
      <c r="BN205" s="66"/>
      <c r="BO205" s="66"/>
      <c r="BP205" s="66"/>
      <c r="BQ205" s="66"/>
      <c r="BR205" t="b" s="73">
        <v>0</v>
      </c>
      <c r="BS205" s="68" cm="1">
        <f t="array" ref="BS205">IF(M205&lt;=0.8*K205,5%*K205,M205*5%)</f>
        <v>0</v>
      </c>
      <c r="BT205" t="s" s="70">
        <v>705</v>
      </c>
      <c r="BU205" s="66"/>
      <c r="BV205" s="68" cm="1">
        <f t="array" ref="BV205">J205-M205</f>
        <v>0</v>
      </c>
    </row>
    <row r="206" ht="24.25" customHeight="1">
      <c r="A206" s="49"/>
      <c r="B206" s="49"/>
      <c r="C206" s="101"/>
      <c r="D206" s="104"/>
      <c r="E206" s="61" cm="1">
        <f t="array" ref="E206">$C206</f>
        <v>0</v>
      </c>
      <c r="F206" s="54"/>
      <c r="G206" s="53"/>
      <c r="H206" s="53"/>
      <c r="I206" s="53"/>
      <c r="J206" s="55"/>
      <c r="K206" s="55"/>
      <c r="L206" s="116"/>
      <c r="M206" s="55"/>
      <c r="N206" t="s" s="58">
        <v>676</v>
      </c>
      <c r="O206" t="s" s="59">
        <v>676</v>
      </c>
      <c r="P206" t="s" s="58">
        <v>676</v>
      </c>
      <c r="Q206" t="s" s="58">
        <v>676</v>
      </c>
      <c r="R206" t="s" s="58">
        <v>676</v>
      </c>
      <c r="S206" t="s" s="58">
        <v>676</v>
      </c>
      <c r="T206" t="s" s="58">
        <v>676</v>
      </c>
      <c r="U206" t="s" s="58">
        <v>676</v>
      </c>
      <c r="V206" t="s" s="58">
        <v>676</v>
      </c>
      <c r="W206" t="s" s="58">
        <v>676</v>
      </c>
      <c r="X206" s="53"/>
      <c r="Y206" s="53"/>
      <c r="Z206" s="55" cm="1">
        <f t="array" ref="Z206">M206</f>
        <v>0</v>
      </c>
      <c r="AA206" s="53"/>
      <c r="AB206" s="60"/>
      <c r="AC206" s="53"/>
      <c r="AD206" s="53"/>
      <c r="AE206" t="s" s="58">
        <v>701</v>
      </c>
      <c r="AF206" s="53"/>
      <c r="AG206" s="60"/>
      <c r="AH206" s="60"/>
      <c r="AI206" s="60"/>
      <c r="AJ206" s="60"/>
      <c r="AK206" s="60"/>
      <c r="AL206" s="60"/>
      <c r="AM206" s="60"/>
      <c r="AN206" s="53"/>
      <c r="AO206" s="53"/>
      <c r="AP206" s="53"/>
      <c r="AQ206" s="53"/>
      <c r="AR206" s="53"/>
      <c r="AS206" s="53"/>
      <c r="AT206" s="62"/>
      <c r="AU206" s="53" cm="1">
        <f t="array" ref="AU206">AJ206</f>
      </c>
      <c r="AV206" s="53"/>
      <c r="AW206" t="str" s="63" cm="1">
        <f t="array" ref="AW206">"600/"&amp;$B206&amp;"/"&amp;IF(AND($AE206="Konsultansi",M206&lt;=100000000),"SPK",IF(AND($AE206="Konsultansi",M206&gt;100000000),"Kont",IF(AND($AE206&lt;&gt;"Konsultansi",M206&lt;=200000000),"SPK","Kont")))&amp;"-"&amp;AE206&amp;"/PPK/DPUPR"</f>
        <v>600//SPK-Barang/PPK/DPUPR</v>
      </c>
      <c r="AX206" t="str" s="63" cm="1">
        <f t="array" ref="AX206">"600/"&amp;$B206&amp;"/SPMK/PPK/DPUPR"</f>
        <v>600//SPMK/PPK/DPUPR</v>
      </c>
      <c r="AY206" s="53"/>
      <c r="AZ206" s="53"/>
      <c r="BA206" s="53"/>
      <c r="BB206" s="53"/>
      <c r="BC206" s="53"/>
      <c r="BD206" s="53"/>
      <c r="BE206" s="53"/>
      <c r="BF206" s="53"/>
      <c r="BG206" s="103"/>
      <c r="BH206" t="s" s="58">
        <v>683</v>
      </c>
      <c r="BI206" t="s" s="58">
        <v>21</v>
      </c>
      <c r="BJ206" t="s" s="58">
        <v>22</v>
      </c>
      <c r="BK206" t="s" s="58">
        <v>23</v>
      </c>
      <c r="BL206" t="s" s="58">
        <v>24</v>
      </c>
      <c r="BM206" s="53"/>
      <c r="BN206" s="53"/>
      <c r="BO206" s="53"/>
      <c r="BP206" s="53"/>
      <c r="BQ206" s="53"/>
      <c r="BR206" t="b" s="61">
        <v>0</v>
      </c>
      <c r="BS206" s="55" cm="1">
        <f t="array" ref="BS206">IF(M206&lt;=0.8*K206,5%*K206,M206*5%)</f>
        <v>0</v>
      </c>
      <c r="BT206" t="s" s="58">
        <v>705</v>
      </c>
      <c r="BU206" s="53"/>
      <c r="BV206" s="55" cm="1">
        <f t="array" ref="BV206">J206-M206</f>
        <v>0</v>
      </c>
    </row>
    <row r="207" ht="24.25" customHeight="1">
      <c r="A207" s="49"/>
      <c r="B207" s="49"/>
      <c r="C207" s="101"/>
      <c r="D207" s="106"/>
      <c r="E207" s="73" cm="1">
        <f t="array" ref="E207">$C207</f>
        <v>0</v>
      </c>
      <c r="F207" s="67"/>
      <c r="G207" s="66"/>
      <c r="H207" s="66"/>
      <c r="I207" s="66"/>
      <c r="J207" s="68"/>
      <c r="K207" s="68"/>
      <c r="L207" s="116"/>
      <c r="M207" s="68"/>
      <c r="N207" t="s" s="70">
        <v>676</v>
      </c>
      <c r="O207" t="s" s="71">
        <v>676</v>
      </c>
      <c r="P207" t="s" s="70">
        <v>676</v>
      </c>
      <c r="Q207" t="s" s="70">
        <v>676</v>
      </c>
      <c r="R207" t="s" s="70">
        <v>676</v>
      </c>
      <c r="S207" t="s" s="70">
        <v>676</v>
      </c>
      <c r="T207" t="s" s="70">
        <v>676</v>
      </c>
      <c r="U207" t="s" s="70">
        <v>676</v>
      </c>
      <c r="V207" t="s" s="70">
        <v>676</v>
      </c>
      <c r="W207" t="s" s="70">
        <v>676</v>
      </c>
      <c r="X207" s="66"/>
      <c r="Y207" s="66"/>
      <c r="Z207" s="68" cm="1">
        <f t="array" ref="Z207">M207</f>
        <v>0</v>
      </c>
      <c r="AA207" s="66"/>
      <c r="AB207" s="72"/>
      <c r="AC207" s="66"/>
      <c r="AD207" s="66"/>
      <c r="AE207" t="s" s="70">
        <v>701</v>
      </c>
      <c r="AF207" s="66"/>
      <c r="AG207" s="72"/>
      <c r="AH207" s="72"/>
      <c r="AI207" s="72"/>
      <c r="AJ207" s="72"/>
      <c r="AK207" s="72"/>
      <c r="AL207" s="72"/>
      <c r="AM207" s="72"/>
      <c r="AN207" s="66"/>
      <c r="AO207" s="66"/>
      <c r="AP207" s="66"/>
      <c r="AQ207" s="66"/>
      <c r="AR207" s="66"/>
      <c r="AS207" s="66"/>
      <c r="AT207" s="62"/>
      <c r="AU207" s="66" cm="1">
        <f t="array" ref="AU207">AJ207</f>
      </c>
      <c r="AV207" s="66"/>
      <c r="AW207" t="str" s="74" cm="1">
        <f t="array" ref="AW207">"600/"&amp;$B207&amp;"/"&amp;IF(AND($AE207="Konsultansi",M207&lt;=100000000),"SPK",IF(AND($AE207="Konsultansi",M207&gt;100000000),"Kont",IF(AND($AE207&lt;&gt;"Konsultansi",M207&lt;=200000000),"SPK","Kont")))&amp;"-"&amp;AE207&amp;"/PPK/DPUPR"</f>
        <v>600//SPK-Barang/PPK/DPUPR</v>
      </c>
      <c r="AX207" t="str" s="74" cm="1">
        <f t="array" ref="AX207">"600/"&amp;$B207&amp;"/SPMK/PPK/DPUPR"</f>
        <v>600//SPMK/PPK/DPUPR</v>
      </c>
      <c r="AY207" s="66"/>
      <c r="AZ207" s="66"/>
      <c r="BA207" s="66"/>
      <c r="BB207" s="66"/>
      <c r="BC207" s="66"/>
      <c r="BD207" s="66"/>
      <c r="BE207" s="66"/>
      <c r="BF207" s="66"/>
      <c r="BG207" s="102"/>
      <c r="BH207" t="s" s="70">
        <v>683</v>
      </c>
      <c r="BI207" t="s" s="70">
        <v>21</v>
      </c>
      <c r="BJ207" t="s" s="70">
        <v>22</v>
      </c>
      <c r="BK207" t="s" s="70">
        <v>23</v>
      </c>
      <c r="BL207" t="s" s="70">
        <v>24</v>
      </c>
      <c r="BM207" s="66"/>
      <c r="BN207" s="66"/>
      <c r="BO207" s="66"/>
      <c r="BP207" s="66"/>
      <c r="BQ207" s="66"/>
      <c r="BR207" t="b" s="73">
        <v>0</v>
      </c>
      <c r="BS207" s="68" cm="1">
        <f t="array" ref="BS207">IF(M207&lt;=0.8*K207,5%*K207,M207*5%)</f>
        <v>0</v>
      </c>
      <c r="BT207" t="s" s="70">
        <v>705</v>
      </c>
      <c r="BU207" s="66"/>
      <c r="BV207" s="68" cm="1">
        <f t="array" ref="BV207">J207-M207</f>
        <v>0</v>
      </c>
    </row>
    <row r="208" ht="24.25" customHeight="1">
      <c r="A208" s="49"/>
      <c r="B208" s="49"/>
      <c r="C208" s="101"/>
      <c r="D208" s="104"/>
      <c r="E208" s="61" cm="1">
        <f t="array" ref="E208">$C208</f>
        <v>0</v>
      </c>
      <c r="F208" s="54"/>
      <c r="G208" s="53"/>
      <c r="H208" s="53"/>
      <c r="I208" s="53"/>
      <c r="J208" s="55"/>
      <c r="K208" s="55"/>
      <c r="L208" s="116"/>
      <c r="M208" s="55"/>
      <c r="N208" t="s" s="58">
        <v>676</v>
      </c>
      <c r="O208" t="s" s="59">
        <v>676</v>
      </c>
      <c r="P208" t="s" s="58">
        <v>676</v>
      </c>
      <c r="Q208" t="s" s="58">
        <v>676</v>
      </c>
      <c r="R208" t="s" s="58">
        <v>676</v>
      </c>
      <c r="S208" t="s" s="58">
        <v>676</v>
      </c>
      <c r="T208" t="s" s="58">
        <v>676</v>
      </c>
      <c r="U208" t="s" s="58">
        <v>676</v>
      </c>
      <c r="V208" t="s" s="58">
        <v>676</v>
      </c>
      <c r="W208" t="s" s="58">
        <v>676</v>
      </c>
      <c r="X208" s="53"/>
      <c r="Y208" s="53"/>
      <c r="Z208" s="55" cm="1">
        <f t="array" ref="Z208">M208</f>
        <v>0</v>
      </c>
      <c r="AA208" s="53"/>
      <c r="AB208" s="60"/>
      <c r="AC208" s="53"/>
      <c r="AD208" s="53"/>
      <c r="AE208" t="s" s="58">
        <v>701</v>
      </c>
      <c r="AF208" s="53"/>
      <c r="AG208" s="60"/>
      <c r="AH208" s="60"/>
      <c r="AI208" s="60"/>
      <c r="AJ208" s="60"/>
      <c r="AK208" s="60"/>
      <c r="AL208" s="60"/>
      <c r="AM208" s="60"/>
      <c r="AN208" s="53"/>
      <c r="AO208" s="53"/>
      <c r="AP208" s="53"/>
      <c r="AQ208" s="53"/>
      <c r="AR208" s="53"/>
      <c r="AS208" s="53"/>
      <c r="AT208" s="62"/>
      <c r="AU208" s="53" cm="1">
        <f t="array" ref="AU208">AJ208</f>
      </c>
      <c r="AV208" s="53"/>
      <c r="AW208" t="str" s="63" cm="1">
        <f t="array" ref="AW208">"600/"&amp;$B208&amp;"/"&amp;IF(AND($AE208="Konsultansi",M208&lt;=100000000),"SPK",IF(AND($AE208="Konsultansi",M208&gt;100000000),"Kont",IF(AND($AE208&lt;&gt;"Konsultansi",M208&lt;=200000000),"SPK","Kont")))&amp;"-"&amp;AE208&amp;"/PPK/DPUPR"</f>
        <v>600//SPK-Barang/PPK/DPUPR</v>
      </c>
      <c r="AX208" t="str" s="63" cm="1">
        <f t="array" ref="AX208">"600/"&amp;$B208&amp;"/SPMK/PPK/DPUPR"</f>
        <v>600//SPMK/PPK/DPUPR</v>
      </c>
      <c r="AY208" s="53"/>
      <c r="AZ208" s="53"/>
      <c r="BA208" s="53"/>
      <c r="BB208" s="53"/>
      <c r="BC208" s="53"/>
      <c r="BD208" s="53"/>
      <c r="BE208" s="53"/>
      <c r="BF208" s="53"/>
      <c r="BG208" s="103"/>
      <c r="BH208" t="s" s="58">
        <v>683</v>
      </c>
      <c r="BI208" t="s" s="58">
        <v>21</v>
      </c>
      <c r="BJ208" t="s" s="58">
        <v>22</v>
      </c>
      <c r="BK208" t="s" s="58">
        <v>23</v>
      </c>
      <c r="BL208" t="s" s="58">
        <v>24</v>
      </c>
      <c r="BM208" s="53"/>
      <c r="BN208" s="53"/>
      <c r="BO208" s="53"/>
      <c r="BP208" s="53"/>
      <c r="BQ208" s="53"/>
      <c r="BR208" t="b" s="61">
        <v>0</v>
      </c>
      <c r="BS208" s="55" cm="1">
        <f t="array" ref="BS208">IF(M208&lt;=0.8*K208,5%*K208,M208*5%)</f>
        <v>0</v>
      </c>
      <c r="BT208" t="s" s="58">
        <v>705</v>
      </c>
      <c r="BU208" s="53"/>
      <c r="BV208" s="55" cm="1">
        <f t="array" ref="BV208">J208-M208</f>
        <v>0</v>
      </c>
    </row>
    <row r="209" ht="24.25" customHeight="1">
      <c r="A209" s="49"/>
      <c r="B209" s="49"/>
      <c r="C209" s="101"/>
      <c r="D209" s="106"/>
      <c r="E209" s="73" cm="1">
        <f t="array" ref="E209">$C209</f>
        <v>0</v>
      </c>
      <c r="F209" s="67"/>
      <c r="G209" s="66"/>
      <c r="H209" s="66"/>
      <c r="I209" s="66"/>
      <c r="J209" s="68"/>
      <c r="K209" s="68"/>
      <c r="L209" s="116"/>
      <c r="M209" s="68"/>
      <c r="N209" t="s" s="70">
        <v>676</v>
      </c>
      <c r="O209" t="s" s="71">
        <v>676</v>
      </c>
      <c r="P209" t="s" s="70">
        <v>676</v>
      </c>
      <c r="Q209" t="s" s="70">
        <v>676</v>
      </c>
      <c r="R209" t="s" s="70">
        <v>676</v>
      </c>
      <c r="S209" t="s" s="70">
        <v>676</v>
      </c>
      <c r="T209" t="s" s="70">
        <v>676</v>
      </c>
      <c r="U209" t="s" s="70">
        <v>676</v>
      </c>
      <c r="V209" t="s" s="70">
        <v>676</v>
      </c>
      <c r="W209" t="s" s="70">
        <v>676</v>
      </c>
      <c r="X209" s="66"/>
      <c r="Y209" s="66"/>
      <c r="Z209" s="68" cm="1">
        <f t="array" ref="Z209">M209</f>
        <v>0</v>
      </c>
      <c r="AA209" s="66"/>
      <c r="AB209" s="72"/>
      <c r="AC209" s="66"/>
      <c r="AD209" s="66"/>
      <c r="AE209" t="s" s="70">
        <v>701</v>
      </c>
      <c r="AF209" s="66"/>
      <c r="AG209" s="72"/>
      <c r="AH209" s="72"/>
      <c r="AI209" s="72"/>
      <c r="AJ209" s="72"/>
      <c r="AK209" s="72"/>
      <c r="AL209" s="72"/>
      <c r="AM209" s="72"/>
      <c r="AN209" s="66"/>
      <c r="AO209" s="66"/>
      <c r="AP209" s="66"/>
      <c r="AQ209" s="66"/>
      <c r="AR209" s="66"/>
      <c r="AS209" s="66"/>
      <c r="AT209" s="62"/>
      <c r="AU209" s="66" cm="1">
        <f t="array" ref="AU209">AJ209</f>
      </c>
      <c r="AV209" s="66"/>
      <c r="AW209" t="str" s="74" cm="1">
        <f t="array" ref="AW209">"600/"&amp;$B209&amp;"/"&amp;IF(AND($AE209="Konsultansi",M209&lt;=100000000),"SPK",IF(AND($AE209="Konsultansi",M209&gt;100000000),"Kont",IF(AND($AE209&lt;&gt;"Konsultansi",M209&lt;=200000000),"SPK","Kont")))&amp;"-"&amp;AE209&amp;"/PPK/DPUPR"</f>
        <v>600//SPK-Barang/PPK/DPUPR</v>
      </c>
      <c r="AX209" t="str" s="74" cm="1">
        <f t="array" ref="AX209">"600/"&amp;$B209&amp;"/SPMK/PPK/DPUPR"</f>
        <v>600//SPMK/PPK/DPUPR</v>
      </c>
      <c r="AY209" s="66"/>
      <c r="AZ209" s="66"/>
      <c r="BA209" s="66"/>
      <c r="BB209" s="66"/>
      <c r="BC209" s="66"/>
      <c r="BD209" s="66"/>
      <c r="BE209" s="66"/>
      <c r="BF209" s="66"/>
      <c r="BG209" s="102"/>
      <c r="BH209" t="s" s="70">
        <v>683</v>
      </c>
      <c r="BI209" t="s" s="70">
        <v>21</v>
      </c>
      <c r="BJ209" t="s" s="70">
        <v>22</v>
      </c>
      <c r="BK209" t="s" s="70">
        <v>23</v>
      </c>
      <c r="BL209" t="s" s="70">
        <v>24</v>
      </c>
      <c r="BM209" s="66"/>
      <c r="BN209" s="66"/>
      <c r="BO209" s="66"/>
      <c r="BP209" s="66"/>
      <c r="BQ209" s="66"/>
      <c r="BR209" t="b" s="73">
        <v>0</v>
      </c>
      <c r="BS209" s="68" cm="1">
        <f t="array" ref="BS209">IF(M209&lt;=0.8*K209,5%*K209,M209*5%)</f>
        <v>0</v>
      </c>
      <c r="BT209" t="s" s="70">
        <v>705</v>
      </c>
      <c r="BU209" s="66"/>
      <c r="BV209" s="68" cm="1">
        <f t="array" ref="BV209">J209-M209</f>
        <v>0</v>
      </c>
    </row>
    <row r="210" ht="24.25" customHeight="1">
      <c r="A210" s="49"/>
      <c r="B210" s="49"/>
      <c r="C210" s="101"/>
      <c r="D210" s="104"/>
      <c r="E210" s="61" cm="1">
        <f t="array" ref="E210">$C210</f>
        <v>0</v>
      </c>
      <c r="F210" s="54"/>
      <c r="G210" s="53"/>
      <c r="H210" s="53"/>
      <c r="I210" s="53"/>
      <c r="J210" s="55"/>
      <c r="K210" s="55"/>
      <c r="L210" s="116"/>
      <c r="M210" s="55"/>
      <c r="N210" t="s" s="58">
        <v>676</v>
      </c>
      <c r="O210" t="s" s="59">
        <v>676</v>
      </c>
      <c r="P210" t="s" s="58">
        <v>676</v>
      </c>
      <c r="Q210" t="s" s="58">
        <v>676</v>
      </c>
      <c r="R210" t="s" s="58">
        <v>676</v>
      </c>
      <c r="S210" t="s" s="58">
        <v>676</v>
      </c>
      <c r="T210" t="s" s="58">
        <v>676</v>
      </c>
      <c r="U210" t="s" s="58">
        <v>676</v>
      </c>
      <c r="V210" t="s" s="58">
        <v>676</v>
      </c>
      <c r="W210" t="s" s="58">
        <v>676</v>
      </c>
      <c r="X210" s="53"/>
      <c r="Y210" s="53"/>
      <c r="Z210" s="55" cm="1">
        <f t="array" ref="Z210">M210</f>
        <v>0</v>
      </c>
      <c r="AA210" s="53"/>
      <c r="AB210" s="60"/>
      <c r="AC210" s="53"/>
      <c r="AD210" s="53"/>
      <c r="AE210" t="s" s="58">
        <v>701</v>
      </c>
      <c r="AF210" s="53"/>
      <c r="AG210" s="60"/>
      <c r="AH210" s="60"/>
      <c r="AI210" s="60"/>
      <c r="AJ210" s="60"/>
      <c r="AK210" s="60"/>
      <c r="AL210" s="60"/>
      <c r="AM210" s="60"/>
      <c r="AN210" s="53"/>
      <c r="AO210" s="53"/>
      <c r="AP210" s="53"/>
      <c r="AQ210" s="53"/>
      <c r="AR210" s="53"/>
      <c r="AS210" s="53"/>
      <c r="AT210" s="62"/>
      <c r="AU210" s="53" cm="1">
        <f t="array" ref="AU210">AJ210</f>
      </c>
      <c r="AV210" s="53"/>
      <c r="AW210" t="str" s="63" cm="1">
        <f t="array" ref="AW210">"600/"&amp;$B210&amp;"/"&amp;IF(AND($AE210="Konsultansi",M210&lt;=100000000),"SPK",IF(AND($AE210="Konsultansi",M210&gt;100000000),"Kont",IF(AND($AE210&lt;&gt;"Konsultansi",M210&lt;=200000000),"SPK","Kont")))&amp;"-"&amp;AE210&amp;"/PPK/DPUPR"</f>
        <v>600//SPK-Barang/PPK/DPUPR</v>
      </c>
      <c r="AX210" t="str" s="63" cm="1">
        <f t="array" ref="AX210">"600/"&amp;$B210&amp;"/SPMK/PPK/DPUPR"</f>
        <v>600//SPMK/PPK/DPUPR</v>
      </c>
      <c r="AY210" s="53"/>
      <c r="AZ210" s="53"/>
      <c r="BA210" s="53"/>
      <c r="BB210" s="53"/>
      <c r="BC210" s="53"/>
      <c r="BD210" s="53"/>
      <c r="BE210" s="53"/>
      <c r="BF210" s="53"/>
      <c r="BG210" s="103"/>
      <c r="BH210" t="s" s="58">
        <v>683</v>
      </c>
      <c r="BI210" t="s" s="58">
        <v>21</v>
      </c>
      <c r="BJ210" t="s" s="58">
        <v>22</v>
      </c>
      <c r="BK210" t="s" s="58">
        <v>23</v>
      </c>
      <c r="BL210" t="s" s="58">
        <v>24</v>
      </c>
      <c r="BM210" s="53"/>
      <c r="BN210" s="53"/>
      <c r="BO210" s="53"/>
      <c r="BP210" s="53"/>
      <c r="BQ210" s="53"/>
      <c r="BR210" t="b" s="61">
        <v>0</v>
      </c>
      <c r="BS210" s="55" cm="1">
        <f t="array" ref="BS210">IF(M210&lt;=0.8*K210,5%*K210,M210*5%)</f>
        <v>0</v>
      </c>
      <c r="BT210" t="s" s="58">
        <v>705</v>
      </c>
      <c r="BU210" s="53"/>
      <c r="BV210" s="55" cm="1">
        <f t="array" ref="BV210">J210-M210</f>
        <v>0</v>
      </c>
    </row>
    <row r="211" ht="24.25" customHeight="1">
      <c r="A211" s="49"/>
      <c r="B211" s="49"/>
      <c r="C211" s="101"/>
      <c r="D211" s="106"/>
      <c r="E211" s="73" cm="1">
        <f t="array" ref="E211">$C211</f>
        <v>0</v>
      </c>
      <c r="F211" s="67"/>
      <c r="G211" s="66"/>
      <c r="H211" s="66"/>
      <c r="I211" s="66"/>
      <c r="J211" s="68"/>
      <c r="K211" s="68"/>
      <c r="L211" s="116"/>
      <c r="M211" s="68"/>
      <c r="N211" t="s" s="70">
        <v>676</v>
      </c>
      <c r="O211" t="s" s="71">
        <v>676</v>
      </c>
      <c r="P211" t="s" s="70">
        <v>676</v>
      </c>
      <c r="Q211" t="s" s="70">
        <v>676</v>
      </c>
      <c r="R211" t="s" s="70">
        <v>676</v>
      </c>
      <c r="S211" t="s" s="70">
        <v>676</v>
      </c>
      <c r="T211" t="s" s="70">
        <v>676</v>
      </c>
      <c r="U211" t="s" s="70">
        <v>676</v>
      </c>
      <c r="V211" t="s" s="70">
        <v>676</v>
      </c>
      <c r="W211" t="s" s="70">
        <v>676</v>
      </c>
      <c r="X211" s="66"/>
      <c r="Y211" s="66"/>
      <c r="Z211" s="68" cm="1">
        <f t="array" ref="Z211">M211</f>
        <v>0</v>
      </c>
      <c r="AA211" s="66"/>
      <c r="AB211" s="72"/>
      <c r="AC211" s="66"/>
      <c r="AD211" s="66"/>
      <c r="AE211" t="s" s="70">
        <v>701</v>
      </c>
      <c r="AF211" s="66"/>
      <c r="AG211" s="72"/>
      <c r="AH211" s="72"/>
      <c r="AI211" s="72"/>
      <c r="AJ211" s="72"/>
      <c r="AK211" s="72"/>
      <c r="AL211" s="72"/>
      <c r="AM211" s="72"/>
      <c r="AN211" s="66"/>
      <c r="AO211" s="66"/>
      <c r="AP211" s="66"/>
      <c r="AQ211" s="66"/>
      <c r="AR211" s="66"/>
      <c r="AS211" s="66"/>
      <c r="AT211" s="62"/>
      <c r="AU211" s="66" cm="1">
        <f t="array" ref="AU211">AJ211</f>
      </c>
      <c r="AV211" s="66"/>
      <c r="AW211" t="str" s="74" cm="1">
        <f t="array" ref="AW211">"600/"&amp;$B211&amp;"/"&amp;IF(AND($AE211="Konsultansi",M211&lt;=100000000),"SPK",IF(AND($AE211="Konsultansi",M211&gt;100000000),"Kont",IF(AND($AE211&lt;&gt;"Konsultansi",M211&lt;=200000000),"SPK","Kont")))&amp;"-"&amp;AE211&amp;"/PPK/DPUPR"</f>
        <v>600//SPK-Barang/PPK/DPUPR</v>
      </c>
      <c r="AX211" t="str" s="74" cm="1">
        <f t="array" ref="AX211">"600/"&amp;$B211&amp;"/SPMK/PPK/DPUPR"</f>
        <v>600//SPMK/PPK/DPUPR</v>
      </c>
      <c r="AY211" s="66"/>
      <c r="AZ211" s="66"/>
      <c r="BA211" s="66"/>
      <c r="BB211" s="66"/>
      <c r="BC211" s="66"/>
      <c r="BD211" s="66"/>
      <c r="BE211" s="66"/>
      <c r="BF211" s="66"/>
      <c r="BG211" s="102"/>
      <c r="BH211" t="s" s="70">
        <v>683</v>
      </c>
      <c r="BI211" t="s" s="70">
        <v>21</v>
      </c>
      <c r="BJ211" t="s" s="70">
        <v>22</v>
      </c>
      <c r="BK211" t="s" s="70">
        <v>23</v>
      </c>
      <c r="BL211" t="s" s="70">
        <v>24</v>
      </c>
      <c r="BM211" s="66"/>
      <c r="BN211" s="66"/>
      <c r="BO211" s="66"/>
      <c r="BP211" s="66"/>
      <c r="BQ211" s="66"/>
      <c r="BR211" t="b" s="73">
        <v>0</v>
      </c>
      <c r="BS211" s="68" cm="1">
        <f t="array" ref="BS211">IF(M211&lt;=0.8*K211,5%*K211,M211*5%)</f>
        <v>0</v>
      </c>
      <c r="BT211" t="s" s="70">
        <v>705</v>
      </c>
      <c r="BU211" s="66"/>
      <c r="BV211" s="68" cm="1">
        <f t="array" ref="BV211">J211-M211</f>
        <v>0</v>
      </c>
    </row>
    <row r="212" ht="24.25" customHeight="1">
      <c r="A212" s="49"/>
      <c r="B212" s="49"/>
      <c r="C212" s="101"/>
      <c r="D212" s="104"/>
      <c r="E212" s="61" cm="1">
        <f t="array" ref="E212">$C212</f>
        <v>0</v>
      </c>
      <c r="F212" s="54"/>
      <c r="G212" s="53"/>
      <c r="H212" s="53"/>
      <c r="I212" s="53"/>
      <c r="J212" s="55"/>
      <c r="K212" s="55"/>
      <c r="L212" s="116"/>
      <c r="M212" s="55"/>
      <c r="N212" t="s" s="58">
        <v>676</v>
      </c>
      <c r="O212" t="s" s="59">
        <v>676</v>
      </c>
      <c r="P212" t="s" s="58">
        <v>676</v>
      </c>
      <c r="Q212" t="s" s="58">
        <v>676</v>
      </c>
      <c r="R212" t="s" s="58">
        <v>676</v>
      </c>
      <c r="S212" t="s" s="58">
        <v>676</v>
      </c>
      <c r="T212" t="s" s="58">
        <v>676</v>
      </c>
      <c r="U212" t="s" s="58">
        <v>676</v>
      </c>
      <c r="V212" t="s" s="58">
        <v>676</v>
      </c>
      <c r="W212" t="s" s="58">
        <v>676</v>
      </c>
      <c r="X212" s="53"/>
      <c r="Y212" s="53"/>
      <c r="Z212" s="55" cm="1">
        <f t="array" ref="Z212">M212</f>
        <v>0</v>
      </c>
      <c r="AA212" s="53"/>
      <c r="AB212" s="60"/>
      <c r="AC212" s="53"/>
      <c r="AD212" s="53"/>
      <c r="AE212" t="s" s="58">
        <v>701</v>
      </c>
      <c r="AF212" s="53"/>
      <c r="AG212" s="60"/>
      <c r="AH212" s="60"/>
      <c r="AI212" s="60"/>
      <c r="AJ212" s="60"/>
      <c r="AK212" s="60"/>
      <c r="AL212" s="60"/>
      <c r="AM212" s="60"/>
      <c r="AN212" s="53"/>
      <c r="AO212" s="53"/>
      <c r="AP212" s="53"/>
      <c r="AQ212" s="53"/>
      <c r="AR212" s="53"/>
      <c r="AS212" s="53"/>
      <c r="AT212" s="62"/>
      <c r="AU212" s="53" cm="1">
        <f t="array" ref="AU212">AJ212</f>
      </c>
      <c r="AV212" s="53"/>
      <c r="AW212" t="str" s="63" cm="1">
        <f t="array" ref="AW212">"600/"&amp;$B212&amp;"/"&amp;IF(AND($AE212="Konsultansi",M212&lt;=100000000),"SPK",IF(AND($AE212="Konsultansi",M212&gt;100000000),"Kont",IF(AND($AE212&lt;&gt;"Konsultansi",M212&lt;=200000000),"SPK","Kont")))&amp;"-"&amp;AE212&amp;"/PPK/DPUPR"</f>
        <v>600//SPK-Barang/PPK/DPUPR</v>
      </c>
      <c r="AX212" t="str" s="63" cm="1">
        <f t="array" ref="AX212">"600/"&amp;$B212&amp;"/SPMK/PPK/DPUPR"</f>
        <v>600//SPMK/PPK/DPUPR</v>
      </c>
      <c r="AY212" s="53"/>
      <c r="AZ212" s="53"/>
      <c r="BA212" s="53"/>
      <c r="BB212" s="53"/>
      <c r="BC212" s="53"/>
      <c r="BD212" s="53"/>
      <c r="BE212" s="53"/>
      <c r="BF212" s="53"/>
      <c r="BG212" s="103"/>
      <c r="BH212" t="s" s="58">
        <v>683</v>
      </c>
      <c r="BI212" t="s" s="58">
        <v>21</v>
      </c>
      <c r="BJ212" t="s" s="58">
        <v>22</v>
      </c>
      <c r="BK212" t="s" s="58">
        <v>23</v>
      </c>
      <c r="BL212" t="s" s="58">
        <v>24</v>
      </c>
      <c r="BM212" s="53"/>
      <c r="BN212" s="53"/>
      <c r="BO212" s="53"/>
      <c r="BP212" s="53"/>
      <c r="BQ212" s="53"/>
      <c r="BR212" t="b" s="61">
        <v>0</v>
      </c>
      <c r="BS212" s="55" cm="1">
        <f t="array" ref="BS212">IF(M212&lt;=0.8*K212,5%*K212,M212*5%)</f>
        <v>0</v>
      </c>
      <c r="BT212" t="s" s="58">
        <v>705</v>
      </c>
      <c r="BU212" s="53"/>
      <c r="BV212" s="55" cm="1">
        <f t="array" ref="BV212">J212-M212</f>
        <v>0</v>
      </c>
    </row>
    <row r="213" ht="72.25" customHeight="1">
      <c r="A213" s="49"/>
      <c r="B213" s="50">
        <v>5964660</v>
      </c>
      <c r="C213" t="s" s="51">
        <v>1850</v>
      </c>
      <c r="D213" t="s" s="65">
        <v>165</v>
      </c>
      <c r="E213" t="str" s="66" cm="1">
        <f t="array" ref="E213">$C213</f>
        <v>Pemeliharaan/Rehabilitasi Bangunan Masjid Madaniah</v>
      </c>
      <c r="F213" s="67"/>
      <c r="G213" s="66"/>
      <c r="H213" s="66"/>
      <c r="I213" s="66"/>
      <c r="J213" s="68">
        <v>910000000</v>
      </c>
      <c r="K213" s="68">
        <v>847994170</v>
      </c>
      <c r="L213" s="116">
        <v>839570461.5599999</v>
      </c>
      <c r="M213" s="68">
        <v>839570000</v>
      </c>
      <c r="N213" t="s" s="70">
        <v>1851</v>
      </c>
      <c r="O213" t="s" s="71">
        <v>1852</v>
      </c>
      <c r="P213" t="s" s="70">
        <v>4</v>
      </c>
      <c r="Q213" t="s" s="70">
        <v>1853</v>
      </c>
      <c r="R213" t="s" s="70">
        <v>1854</v>
      </c>
      <c r="S213" t="s" s="70">
        <v>214</v>
      </c>
      <c r="T213" s="72">
        <v>45225</v>
      </c>
      <c r="U213" t="s" s="70">
        <v>1855</v>
      </c>
      <c r="V213" t="s" s="70">
        <v>1856</v>
      </c>
      <c r="W213" t="s" s="70">
        <v>1857</v>
      </c>
      <c r="X213" s="73">
        <v>90</v>
      </c>
      <c r="Y213" t="s" s="70">
        <v>10</v>
      </c>
      <c r="Z213" s="68" cm="1">
        <f t="array" ref="Z213">M213</f>
        <v>839570000</v>
      </c>
      <c r="AA213" t="s" s="70">
        <v>1858</v>
      </c>
      <c r="AB213" s="72" cm="1">
        <f t="array" ref="AB213">AH213</f>
        <v>45545.656944444447</v>
      </c>
      <c r="AC213" s="73">
        <v>360</v>
      </c>
      <c r="AD213" t="s" s="70">
        <v>109</v>
      </c>
      <c r="AE213" t="s" s="70">
        <v>110</v>
      </c>
      <c r="AF213" t="s" s="70">
        <v>167</v>
      </c>
      <c r="AG213" s="72">
        <v>45539.333333333336</v>
      </c>
      <c r="AH213" s="72">
        <v>45545.656944444447</v>
      </c>
      <c r="AI213" s="72">
        <v>45546.333333333336</v>
      </c>
      <c r="AJ213" s="72">
        <v>45554.5</v>
      </c>
      <c r="AK213" s="72">
        <v>45561.666666666664</v>
      </c>
      <c r="AL213" s="72">
        <v>45566</v>
      </c>
      <c r="AM213" s="72">
        <v>45566</v>
      </c>
      <c r="AN213" t="s" s="70">
        <v>1859</v>
      </c>
      <c r="AO213" s="72">
        <v>45554</v>
      </c>
      <c r="AP213" t="s" s="70">
        <v>1859</v>
      </c>
      <c r="AQ213" s="72" cm="1">
        <f t="array" ref="AQ213">AJ213</f>
        <v>45554.5</v>
      </c>
      <c r="AR213" t="s" s="70">
        <v>1859</v>
      </c>
      <c r="AS213" s="72" cm="1">
        <f t="array" ref="AS213">AJ213</f>
        <v>45554.5</v>
      </c>
      <c r="AT213" t="s" s="78">
        <v>1860</v>
      </c>
      <c r="AU213" s="72" cm="1">
        <f t="array" ref="AU213">AJ213</f>
        <v>45554.5</v>
      </c>
      <c r="AV213" s="66"/>
      <c r="AW213" t="str" s="74" cm="1">
        <f t="array" ref="AW213">"600/"&amp;$B213&amp;"/"&amp;IF(AND($AE213="Konsultansi",M213&lt;=100000000),"SPK",IF(AND($AE213="Konsultansi",M213&gt;100000000),"Kont",IF(AND($AE213&lt;&gt;"Konsultansi",M213&lt;=200000000),"SPK","Kont")))&amp;"-"&amp;AE213&amp;"/PPK/DPUPR"</f>
        <v>600/5964660/Kont-Konstruksi/PPK/DPUPR</v>
      </c>
      <c r="AX213" t="str" s="74" cm="1">
        <f t="array" ref="AX213">"600/"&amp;$B213&amp;"/SPMK/PPK/DPUPR"</f>
        <v>600/5964660/SPMK/PPK/DPUPR</v>
      </c>
      <c r="AY213" s="66"/>
      <c r="AZ213" s="66"/>
      <c r="BA213" s="66"/>
      <c r="BB213" s="66"/>
      <c r="BC213" s="66"/>
      <c r="BD213" s="66"/>
      <c r="BE213" s="66"/>
      <c r="BF213" s="66"/>
      <c r="BG213" s="75">
        <v>242</v>
      </c>
      <c r="BH213" t="s" s="70">
        <v>1851</v>
      </c>
      <c r="BI213" t="s" s="70">
        <v>21</v>
      </c>
      <c r="BJ213" t="s" s="70">
        <v>22</v>
      </c>
      <c r="BK213" t="s" s="70">
        <v>23</v>
      </c>
      <c r="BL213" t="s" s="70">
        <v>24</v>
      </c>
      <c r="BM213" s="66"/>
      <c r="BN213" s="66"/>
      <c r="BO213" s="66"/>
      <c r="BP213" s="66"/>
      <c r="BQ213" s="66"/>
      <c r="BR213" t="b" s="73">
        <v>0</v>
      </c>
      <c r="BS213" s="68" cm="1">
        <f t="array" ref="BS213">IF(M213&lt;=0.8*K213,5%*K213,M213*5%)</f>
        <v>41978500</v>
      </c>
      <c r="BT213" t="s" s="70">
        <v>173</v>
      </c>
      <c r="BU213" s="66"/>
      <c r="BV213" s="68" cm="1">
        <f t="array" ref="BV213">J213-M213</f>
        <v>70430000</v>
      </c>
    </row>
    <row r="214" ht="72.25" customHeight="1">
      <c r="A214" s="49"/>
      <c r="B214" s="50">
        <v>49978079</v>
      </c>
      <c r="C214" t="s" s="51">
        <v>1863</v>
      </c>
      <c r="D214" t="s" s="52">
        <v>165</v>
      </c>
      <c r="E214" t="str" s="53" cm="1">
        <f t="array" ref="E214">$C214</f>
        <v>Pengawasan Pemeliharaan/Rehabilitasi Bangunan Masjid Madaniah </v>
      </c>
      <c r="F214" s="54"/>
      <c r="G214" s="53"/>
      <c r="H214" s="53"/>
      <c r="I214" s="53"/>
      <c r="J214" s="55">
        <v>25000000</v>
      </c>
      <c r="K214" s="55">
        <v>24984000</v>
      </c>
      <c r="L214" s="116">
        <v>24901074</v>
      </c>
      <c r="M214" s="57">
        <v>24901000</v>
      </c>
      <c r="N214" t="s" s="58">
        <v>1864</v>
      </c>
      <c r="O214" t="s" s="59">
        <v>1865</v>
      </c>
      <c r="P214" t="s" s="58">
        <v>4</v>
      </c>
      <c r="Q214" t="s" s="58">
        <v>1866</v>
      </c>
      <c r="R214" t="s" s="58">
        <v>1867</v>
      </c>
      <c r="S214" t="s" s="58">
        <v>1868</v>
      </c>
      <c r="T214" s="60">
        <v>44946</v>
      </c>
      <c r="U214" t="s" s="58">
        <v>1869</v>
      </c>
      <c r="V214" t="s" s="58">
        <v>1870</v>
      </c>
      <c r="W214" t="s" s="58">
        <v>1871</v>
      </c>
      <c r="X214" s="61">
        <v>90</v>
      </c>
      <c r="Y214" t="s" s="58">
        <v>10</v>
      </c>
      <c r="Z214" s="55" cm="1">
        <f t="array" ref="Z214">M214</f>
        <v>24901000</v>
      </c>
      <c r="AA214" t="s" s="58">
        <v>11</v>
      </c>
      <c r="AB214" s="60" cm="1">
        <f t="array" ref="AB214">AH214</f>
        <v>45565</v>
      </c>
      <c r="AC214" s="53"/>
      <c r="AD214" t="s" s="58">
        <v>12</v>
      </c>
      <c r="AE214" t="s" s="58">
        <v>13</v>
      </c>
      <c r="AF214" t="s" s="58">
        <v>167</v>
      </c>
      <c r="AG214" s="60">
        <v>45565</v>
      </c>
      <c r="AH214" s="60">
        <v>45565</v>
      </c>
      <c r="AI214" s="60">
        <v>45565</v>
      </c>
      <c r="AJ214" s="60">
        <v>45566</v>
      </c>
      <c r="AK214" s="60">
        <v>45566</v>
      </c>
      <c r="AL214" s="60">
        <v>45566</v>
      </c>
      <c r="AM214" s="60">
        <v>45566</v>
      </c>
      <c r="AN214" t="s" s="58">
        <v>1872</v>
      </c>
      <c r="AO214" s="60" cm="1">
        <f t="array" ref="AO214">AJ214</f>
        <v>45566</v>
      </c>
      <c r="AP214" t="s" s="58">
        <v>1873</v>
      </c>
      <c r="AQ214" s="60" cm="1">
        <f t="array" ref="AQ214">AJ214</f>
        <v>45566</v>
      </c>
      <c r="AR214" t="s" s="58">
        <v>1874</v>
      </c>
      <c r="AS214" s="60" cm="1">
        <f t="array" ref="AS214">AJ214</f>
        <v>45566</v>
      </c>
      <c r="AT214" t="s" s="78">
        <v>1875</v>
      </c>
      <c r="AU214" s="60" cm="1">
        <f t="array" ref="AU214">AJ214</f>
        <v>45566</v>
      </c>
      <c r="AV214" s="53"/>
      <c r="AW214" t="str" s="63" cm="1">
        <f t="array" ref="AW214">"600/"&amp;$B214&amp;"/"&amp;IF(AND($AE214="Konsultansi",M214&lt;=100000000),"SPK",IF(AND($AE214="Konsultansi",M214&gt;100000000),"Kont",IF(AND($AE214&lt;&gt;"Konsultansi",M214&lt;=200000000),"SPK","Kont")))&amp;"-"&amp;AE214&amp;"/PPK/DPUPR"</f>
        <v>600/49978079/SPK-Konsultansi/PPK/DPUPR</v>
      </c>
      <c r="AX214" t="str" s="63" cm="1">
        <f t="array" ref="AX214">"600/"&amp;$B214&amp;"/SPMK/PPK/DPUPR"</f>
        <v>600/49978079/SPMK/PPK/DPUPR</v>
      </c>
      <c r="AY214" s="53"/>
      <c r="AZ214" s="53"/>
      <c r="BA214" s="53"/>
      <c r="BB214" s="53"/>
      <c r="BC214" s="53"/>
      <c r="BD214" s="53"/>
      <c r="BE214" s="53"/>
      <c r="BF214" s="53"/>
      <c r="BG214" s="64">
        <v>161</v>
      </c>
      <c r="BH214" t="s" s="58">
        <v>1864</v>
      </c>
      <c r="BI214" t="s" s="58">
        <v>21</v>
      </c>
      <c r="BJ214" t="s" s="58">
        <v>22</v>
      </c>
      <c r="BK214" t="s" s="58">
        <v>23</v>
      </c>
      <c r="BL214" t="s" s="58">
        <v>24</v>
      </c>
      <c r="BM214" s="53"/>
      <c r="BN214" s="53"/>
      <c r="BO214" s="53"/>
      <c r="BP214" s="53"/>
      <c r="BQ214" s="53"/>
      <c r="BR214" t="b" s="61">
        <v>0</v>
      </c>
      <c r="BS214" s="54" cm="1">
        <f t="array" ref="BS214">IF(M214&lt;=0.8*K214,5%*K214,M214*5%)</f>
        <v>1245050</v>
      </c>
      <c r="BT214" t="s" s="58">
        <v>173</v>
      </c>
      <c r="BU214" s="53"/>
      <c r="BV214" s="55" cm="1">
        <f t="array" ref="BV214">J214-M214</f>
        <v>99000</v>
      </c>
    </row>
    <row r="215" ht="72.25" customHeight="1">
      <c r="A215" s="49"/>
      <c r="B215" s="50">
        <v>5967660</v>
      </c>
      <c r="C215" t="s" s="51">
        <v>1878</v>
      </c>
      <c r="D215" t="s" s="65">
        <v>165</v>
      </c>
      <c r="E215" t="str" s="66" cm="1">
        <f t="array" ref="E215">$C215</f>
        <v>Pembangunan Rumah Tahfidz Dapurang</v>
      </c>
      <c r="F215" s="67"/>
      <c r="G215" s="66"/>
      <c r="H215" s="66"/>
      <c r="I215" s="66"/>
      <c r="J215" s="68">
        <v>452500000</v>
      </c>
      <c r="K215" s="68">
        <v>452420252</v>
      </c>
      <c r="L215" s="116">
        <v>448000000</v>
      </c>
      <c r="M215" s="57">
        <v>448000000</v>
      </c>
      <c r="N215" t="s" s="70">
        <v>1879</v>
      </c>
      <c r="O215" t="s" s="71">
        <v>1880</v>
      </c>
      <c r="P215" t="s" s="70">
        <v>1163</v>
      </c>
      <c r="Q215" t="s" s="70">
        <v>1881</v>
      </c>
      <c r="R215" t="s" s="70">
        <v>1882</v>
      </c>
      <c r="S215" s="73">
        <v>133</v>
      </c>
      <c r="T215" s="72">
        <v>45341</v>
      </c>
      <c r="U215" t="s" s="70">
        <v>1883</v>
      </c>
      <c r="V215" t="s" s="70">
        <v>1884</v>
      </c>
      <c r="W215" t="s" s="70">
        <v>1885</v>
      </c>
      <c r="X215" s="73">
        <v>82</v>
      </c>
      <c r="Y215" t="s" s="70">
        <v>10</v>
      </c>
      <c r="Z215" s="68" cm="1">
        <f t="array" ref="Z215">M215</f>
        <v>448000000</v>
      </c>
      <c r="AA215" t="s" s="70">
        <v>1886</v>
      </c>
      <c r="AB215" s="72">
        <v>45556</v>
      </c>
      <c r="AC215" s="73">
        <v>360</v>
      </c>
      <c r="AD215" t="s" s="70">
        <v>109</v>
      </c>
      <c r="AE215" t="s" s="70">
        <v>110</v>
      </c>
      <c r="AF215" t="s" s="70">
        <v>167</v>
      </c>
      <c r="AG215" s="72"/>
      <c r="AH215" s="72"/>
      <c r="AI215" s="72"/>
      <c r="AJ215" s="72"/>
      <c r="AK215" s="72">
        <v>45574</v>
      </c>
      <c r="AL215" s="72">
        <v>45575</v>
      </c>
      <c r="AM215" s="72">
        <v>45575</v>
      </c>
      <c r="AN215" t="s" s="70">
        <v>1887</v>
      </c>
      <c r="AO215" s="72">
        <v>45568</v>
      </c>
      <c r="AP215" t="s" s="70">
        <v>1887</v>
      </c>
      <c r="AQ215" s="72">
        <v>45568</v>
      </c>
      <c r="AR215" t="s" s="70">
        <v>1887</v>
      </c>
      <c r="AS215" s="72">
        <v>45568</v>
      </c>
      <c r="AT215" t="s" s="78">
        <v>1888</v>
      </c>
      <c r="AU215" s="66" cm="1">
        <f t="array" ref="AU215">AJ215</f>
      </c>
      <c r="AV215" s="66"/>
      <c r="AW215" t="str" s="74" cm="1">
        <f t="array" ref="AW215">"600/"&amp;$B215&amp;"/"&amp;IF(AND($AE215="Konsultansi",M215&lt;=100000000),"SPK",IF(AND($AE215="Konsultansi",M215&gt;100000000),"Kont",IF(AND($AE215&lt;&gt;"Konsultansi",M215&lt;=200000000),"SPK","Kont")))&amp;"-"&amp;AE215&amp;"/PPK/DPUPR"</f>
        <v>600/5967660/Kont-Konstruksi/PPK/DPUPR</v>
      </c>
      <c r="AX215" t="str" s="74" cm="1">
        <f t="array" ref="AX215">"600/"&amp;$B215&amp;"/SPMK/PPK/DPUPR"</f>
        <v>600/5967660/SPMK/PPK/DPUPR</v>
      </c>
      <c r="AY215" s="66"/>
      <c r="AZ215" s="66"/>
      <c r="BA215" s="66"/>
      <c r="BB215" s="66"/>
      <c r="BC215" s="66"/>
      <c r="BD215" s="66"/>
      <c r="BE215" s="66"/>
      <c r="BF215" s="66"/>
      <c r="BG215" s="75">
        <v>243</v>
      </c>
      <c r="BH215" t="s" s="70">
        <v>1879</v>
      </c>
      <c r="BI215" t="s" s="70">
        <v>21</v>
      </c>
      <c r="BJ215" t="s" s="70">
        <v>22</v>
      </c>
      <c r="BK215" t="s" s="70">
        <v>23</v>
      </c>
      <c r="BL215" t="s" s="70">
        <v>24</v>
      </c>
      <c r="BM215" s="66"/>
      <c r="BN215" s="66"/>
      <c r="BO215" s="66"/>
      <c r="BP215" s="66"/>
      <c r="BQ215" s="66"/>
      <c r="BR215" t="b" s="73">
        <v>0</v>
      </c>
      <c r="BS215" s="67" cm="1">
        <f t="array" ref="BS215">IF(M215&lt;=0.8*K215,5%*K215,M215*5%)</f>
        <v>22400000</v>
      </c>
      <c r="BT215" t="s" s="70">
        <v>173</v>
      </c>
      <c r="BU215" s="66"/>
      <c r="BV215" s="68" cm="1">
        <f t="array" ref="BV215">J215-M215</f>
        <v>4500000</v>
      </c>
    </row>
    <row r="216" ht="72.25" customHeight="1">
      <c r="A216" s="49"/>
      <c r="B216" s="50">
        <v>49975743</v>
      </c>
      <c r="C216" t="s" s="51">
        <v>1891</v>
      </c>
      <c r="D216" t="s" s="52">
        <v>165</v>
      </c>
      <c r="E216" t="str" s="53" cm="1">
        <f t="array" ref="E216">$C216</f>
        <v>Pengawasan Rumah Tahfidz Kecamatan/Desa cs</v>
      </c>
      <c r="F216" s="54"/>
      <c r="G216" s="53"/>
      <c r="H216" s="53"/>
      <c r="I216" s="53"/>
      <c r="J216" s="55">
        <v>37500000</v>
      </c>
      <c r="K216" s="55">
        <v>37476000</v>
      </c>
      <c r="L216" s="116">
        <v>37293210</v>
      </c>
      <c r="M216" s="55">
        <v>37293000</v>
      </c>
      <c r="N216" t="s" s="58">
        <v>558</v>
      </c>
      <c r="O216" t="s" s="59">
        <v>559</v>
      </c>
      <c r="P216" t="s" s="58">
        <v>4</v>
      </c>
      <c r="Q216" t="s" s="58">
        <v>560</v>
      </c>
      <c r="R216" t="s" s="58">
        <v>561</v>
      </c>
      <c r="S216" s="61">
        <v>3</v>
      </c>
      <c r="T216" s="60">
        <v>42618</v>
      </c>
      <c r="U216" t="s" s="58">
        <v>562</v>
      </c>
      <c r="V216" t="s" s="58">
        <v>563</v>
      </c>
      <c r="W216" t="s" s="58">
        <v>564</v>
      </c>
      <c r="X216" s="61">
        <v>82</v>
      </c>
      <c r="Y216" t="s" s="58">
        <v>10</v>
      </c>
      <c r="Z216" s="55" cm="1">
        <f t="array" ref="Z216">M216</f>
        <v>37293000</v>
      </c>
      <c r="AA216" t="s" s="58">
        <v>11</v>
      </c>
      <c r="AB216" s="60" cm="1">
        <f t="array" ref="AB216">AH216</f>
        <v>45573.416666666664</v>
      </c>
      <c r="AC216" s="53"/>
      <c r="AD216" t="s" s="58">
        <v>12</v>
      </c>
      <c r="AE216" t="s" s="58">
        <v>13</v>
      </c>
      <c r="AF216" t="s" s="58">
        <v>167</v>
      </c>
      <c r="AG216" s="81">
        <v>45572.416666666664</v>
      </c>
      <c r="AH216" s="81">
        <v>45573.416666666664</v>
      </c>
      <c r="AI216" s="81">
        <v>45573.416666666664</v>
      </c>
      <c r="AJ216" s="60">
        <v>45574</v>
      </c>
      <c r="AK216" s="60">
        <v>45574</v>
      </c>
      <c r="AL216" s="60">
        <v>45575</v>
      </c>
      <c r="AM216" s="60">
        <v>45575</v>
      </c>
      <c r="AN216" t="s" s="58">
        <v>1892</v>
      </c>
      <c r="AO216" s="60" cm="1">
        <f t="array" ref="AO216">AJ216</f>
        <v>45574</v>
      </c>
      <c r="AP216" t="s" s="58">
        <v>1893</v>
      </c>
      <c r="AQ216" s="60" cm="1">
        <f t="array" ref="AQ216">AJ216</f>
        <v>45574</v>
      </c>
      <c r="AR216" t="s" s="58">
        <v>1894</v>
      </c>
      <c r="AS216" s="60" cm="1">
        <f t="array" ref="AS216">AJ216</f>
        <v>45574</v>
      </c>
      <c r="AT216" t="s" s="78">
        <v>1895</v>
      </c>
      <c r="AU216" s="60" cm="1">
        <f t="array" ref="AU216">AJ216</f>
        <v>45574</v>
      </c>
      <c r="AV216" s="53"/>
      <c r="AW216" t="str" s="63" cm="1">
        <f t="array" ref="AW216">"600/"&amp;$B216&amp;"/"&amp;IF(AND($AE216="Konsultansi",M216&lt;=100000000),"SPK",IF(AND($AE216="Konsultansi",M216&gt;100000000),"Kont",IF(AND($AE216&lt;&gt;"Konsultansi",M216&lt;=200000000),"SPK","Kont")))&amp;"-"&amp;AE216&amp;"/PPK/DPUPR"</f>
        <v>600/49975743/SPK-Konsultansi/PPK/DPUPR</v>
      </c>
      <c r="AX216" t="str" s="63" cm="1">
        <f t="array" ref="AX216">"600/"&amp;$B216&amp;"/SPMK/PPK/DPUPR"</f>
        <v>600/49975743/SPMK/PPK/DPUPR</v>
      </c>
      <c r="AY216" s="53"/>
      <c r="AZ216" s="53"/>
      <c r="BA216" s="53"/>
      <c r="BB216" s="53"/>
      <c r="BC216" s="53"/>
      <c r="BD216" s="53"/>
      <c r="BE216" s="53"/>
      <c r="BF216" s="53"/>
      <c r="BG216" s="64">
        <v>217</v>
      </c>
      <c r="BH216" t="s" s="58">
        <v>558</v>
      </c>
      <c r="BI216" t="s" s="58">
        <v>21</v>
      </c>
      <c r="BJ216" t="s" s="58">
        <v>22</v>
      </c>
      <c r="BK216" t="s" s="58">
        <v>23</v>
      </c>
      <c r="BL216" t="s" s="58">
        <v>24</v>
      </c>
      <c r="BM216" s="53"/>
      <c r="BN216" s="53"/>
      <c r="BO216" s="53"/>
      <c r="BP216" s="53"/>
      <c r="BQ216" s="53"/>
      <c r="BR216" t="b" s="61">
        <v>0</v>
      </c>
      <c r="BS216" s="55" cm="1">
        <f t="array" ref="BS216">IF(M216&lt;=0.8*K216,5%*K216,M216*5%)</f>
        <v>1864650</v>
      </c>
      <c r="BT216" t="s" s="58">
        <v>173</v>
      </c>
      <c r="BU216" s="53"/>
      <c r="BV216" s="55" cm="1">
        <f t="array" ref="BV216">J216-M216</f>
        <v>207000</v>
      </c>
    </row>
    <row r="217" ht="72.25" customHeight="1">
      <c r="A217" s="49"/>
      <c r="B217" s="50">
        <v>5969660</v>
      </c>
      <c r="C217" t="s" s="51">
        <v>1898</v>
      </c>
      <c r="D217" t="s" s="65">
        <v>165</v>
      </c>
      <c r="E217" t="str" s="66" cm="1">
        <f t="array" ref="E217">$C217</f>
        <v>Pembangunan Rumah Adat Joglo</v>
      </c>
      <c r="F217" s="67"/>
      <c r="G217" s="66"/>
      <c r="H217" s="66"/>
      <c r="I217" s="66"/>
      <c r="J217" s="68">
        <v>250000000</v>
      </c>
      <c r="K217" s="68">
        <v>249931201</v>
      </c>
      <c r="L217" s="116">
        <v>247488795.44</v>
      </c>
      <c r="M217" s="68">
        <v>247488000</v>
      </c>
      <c r="N217" t="s" s="70">
        <v>1899</v>
      </c>
      <c r="O217" t="s" s="71">
        <v>1900</v>
      </c>
      <c r="P217" t="s" s="70">
        <v>1163</v>
      </c>
      <c r="Q217" t="s" s="70">
        <v>1901</v>
      </c>
      <c r="R217" t="s" s="70">
        <v>1902</v>
      </c>
      <c r="S217" t="s" s="70">
        <v>280</v>
      </c>
      <c r="T217" s="72">
        <v>44197</v>
      </c>
      <c r="U217" t="s" s="70">
        <v>1903</v>
      </c>
      <c r="V217" t="s" s="70">
        <v>1904</v>
      </c>
      <c r="W217" t="s" s="70">
        <v>1905</v>
      </c>
      <c r="X217" s="73">
        <v>78</v>
      </c>
      <c r="Y217" t="s" s="70">
        <v>10</v>
      </c>
      <c r="Z217" s="68" cm="1">
        <f t="array" ref="Z217">M217</f>
        <v>247488000</v>
      </c>
      <c r="AA217" t="s" s="70">
        <v>1906</v>
      </c>
      <c r="AB217" s="72">
        <v>45559</v>
      </c>
      <c r="AC217" s="73">
        <v>360</v>
      </c>
      <c r="AD217" t="s" s="70">
        <v>109</v>
      </c>
      <c r="AE217" t="s" s="70">
        <v>110</v>
      </c>
      <c r="AF217" t="s" s="70">
        <v>167</v>
      </c>
      <c r="AG217" s="72"/>
      <c r="AH217" s="72"/>
      <c r="AI217" s="72"/>
      <c r="AJ217" s="72"/>
      <c r="AK217" s="72">
        <v>45576</v>
      </c>
      <c r="AL217" s="72">
        <v>45579</v>
      </c>
      <c r="AM217" s="72">
        <v>45579</v>
      </c>
      <c r="AN217" t="s" s="70">
        <v>1907</v>
      </c>
      <c r="AO217" t="s" s="70">
        <v>1908</v>
      </c>
      <c r="AP217" t="s" s="70">
        <v>1907</v>
      </c>
      <c r="AQ217" t="s" s="70">
        <v>1908</v>
      </c>
      <c r="AR217" t="s" s="70">
        <v>1909</v>
      </c>
      <c r="AS217" s="66" cm="1">
        <f t="array" ref="AS217">AJ217</f>
      </c>
      <c r="AT217" t="s" s="78">
        <v>1910</v>
      </c>
      <c r="AU217" s="72">
        <v>45568</v>
      </c>
      <c r="AV217" s="66"/>
      <c r="AW217" t="str" s="74" cm="1">
        <f t="array" ref="AW217">"600/"&amp;$B217&amp;"/"&amp;IF(AND($AE217="Konsultansi",M217&lt;=100000000),"SPK",IF(AND($AE217="Konsultansi",M217&gt;100000000),"Kont",IF(AND($AE217&lt;&gt;"Konsultansi",M217&lt;=200000000),"SPK","Kont")))&amp;"-"&amp;AE217&amp;"/PPK/DPUPR"</f>
        <v>600/5969660/Kont-Konstruksi/PPK/DPUPR</v>
      </c>
      <c r="AX217" t="str" s="74" cm="1">
        <f t="array" ref="AX217">"600/"&amp;$B217&amp;"/SPMK/PPK/DPUPR"</f>
        <v>600/5969660/SPMK/PPK/DPUPR</v>
      </c>
      <c r="AY217" s="66"/>
      <c r="AZ217" s="66"/>
      <c r="BA217" s="66"/>
      <c r="BB217" s="66"/>
      <c r="BC217" s="66"/>
      <c r="BD217" s="66"/>
      <c r="BE217" s="66"/>
      <c r="BF217" s="66"/>
      <c r="BG217" s="75">
        <v>244</v>
      </c>
      <c r="BH217" t="s" s="70">
        <v>1899</v>
      </c>
      <c r="BI217" t="s" s="70">
        <v>21</v>
      </c>
      <c r="BJ217" t="s" s="70">
        <v>22</v>
      </c>
      <c r="BK217" t="s" s="70">
        <v>23</v>
      </c>
      <c r="BL217" t="s" s="70">
        <v>24</v>
      </c>
      <c r="BM217" s="66"/>
      <c r="BN217" s="66"/>
      <c r="BO217" s="66"/>
      <c r="BP217" s="66"/>
      <c r="BQ217" s="66"/>
      <c r="BR217" t="b" s="73">
        <v>0</v>
      </c>
      <c r="BS217" s="68" cm="1">
        <f t="array" ref="BS217">IF(M217&lt;=0.8*K217,5%*K217,M217*5%)</f>
        <v>12374400</v>
      </c>
      <c r="BT217" t="s" s="70">
        <v>173</v>
      </c>
      <c r="BU217" s="66"/>
      <c r="BV217" s="68" cm="1">
        <f t="array" ref="BV217">J217-M217</f>
        <v>2512000</v>
      </c>
    </row>
    <row r="218" ht="72.25" customHeight="1">
      <c r="A218" s="49"/>
      <c r="B218" s="50">
        <v>49976805</v>
      </c>
      <c r="C218" t="s" s="51">
        <v>1913</v>
      </c>
      <c r="D218" t="s" s="52">
        <v>165</v>
      </c>
      <c r="E218" t="str" s="53" cm="1">
        <f t="array" ref="E218">$C218</f>
        <v>Pengawasan Pembangunan Rumah Adat Joglo</v>
      </c>
      <c r="F218" s="54"/>
      <c r="G218" s="53"/>
      <c r="H218" s="53"/>
      <c r="I218" s="53"/>
      <c r="J218" s="55">
        <v>20000000</v>
      </c>
      <c r="K218" s="55">
        <v>19967000</v>
      </c>
      <c r="L218" s="116">
        <v>19917522</v>
      </c>
      <c r="M218" s="55">
        <v>19917000</v>
      </c>
      <c r="N218" t="s" s="58">
        <v>1483</v>
      </c>
      <c r="O218" t="s" s="59">
        <v>1484</v>
      </c>
      <c r="P218" t="s" s="58">
        <v>4</v>
      </c>
      <c r="Q218" t="s" s="58">
        <v>1485</v>
      </c>
      <c r="R218" t="s" s="58">
        <v>1486</v>
      </c>
      <c r="S218" s="61">
        <v>24</v>
      </c>
      <c r="T218" s="60">
        <v>44516</v>
      </c>
      <c r="U218" t="s" s="58">
        <v>691</v>
      </c>
      <c r="V218" t="s" s="58">
        <v>1487</v>
      </c>
      <c r="W218" t="s" s="58">
        <v>1488</v>
      </c>
      <c r="X218" s="61">
        <v>78</v>
      </c>
      <c r="Y218" t="s" s="58">
        <v>10</v>
      </c>
      <c r="Z218" s="55" cm="1">
        <f t="array" ref="Z218">M218</f>
        <v>19917000</v>
      </c>
      <c r="AA218" t="s" s="58">
        <v>11</v>
      </c>
      <c r="AB218" s="60" cm="1">
        <f t="array" ref="AB218">AH218</f>
        <v>45579.416666666664</v>
      </c>
      <c r="AC218" s="53"/>
      <c r="AD218" t="s" s="58">
        <v>12</v>
      </c>
      <c r="AE218" t="s" s="58">
        <v>13</v>
      </c>
      <c r="AF218" t="s" s="58">
        <v>167</v>
      </c>
      <c r="AG218" s="81">
        <v>45575.416666666664</v>
      </c>
      <c r="AH218" s="81">
        <v>45579.416666666664</v>
      </c>
      <c r="AI218" s="81">
        <v>45579.416666666664</v>
      </c>
      <c r="AJ218" s="81">
        <v>45579.416666666664</v>
      </c>
      <c r="AK218" s="81">
        <v>45579.416666666664</v>
      </c>
      <c r="AL218" s="60">
        <v>45579</v>
      </c>
      <c r="AM218" s="60">
        <v>45579</v>
      </c>
      <c r="AN218" t="s" s="58">
        <v>1914</v>
      </c>
      <c r="AO218" s="81" cm="1">
        <f t="array" ref="AO218">AJ218</f>
        <v>45579.416666666664</v>
      </c>
      <c r="AP218" t="s" s="58">
        <v>1915</v>
      </c>
      <c r="AQ218" s="81" cm="1">
        <f t="array" ref="AQ218">AJ218</f>
        <v>45579.416666666664</v>
      </c>
      <c r="AR218" t="s" s="58">
        <v>1916</v>
      </c>
      <c r="AS218" s="81" cm="1">
        <f t="array" ref="AS218">AJ218</f>
        <v>45579.416666666664</v>
      </c>
      <c r="AT218" t="s" s="78">
        <v>1917</v>
      </c>
      <c r="AU218" s="81" cm="1">
        <f t="array" ref="AU218">AJ218</f>
        <v>45579.416666666664</v>
      </c>
      <c r="AV218" s="53"/>
      <c r="AW218" t="str" s="63" cm="1">
        <f t="array" ref="AW218">"600/"&amp;$B218&amp;"/"&amp;IF(AND($AE218="Konsultansi",M218&lt;=100000000),"SPK",IF(AND($AE218="Konsultansi",M218&gt;100000000),"Kont",IF(AND($AE218&lt;&gt;"Konsultansi",M218&lt;=200000000),"SPK","Kont")))&amp;"-"&amp;AE218&amp;"/PPK/DPUPR"</f>
        <v>600/49976805/SPK-Konsultansi/PPK/DPUPR</v>
      </c>
      <c r="AX218" t="str" s="63" cm="1">
        <f t="array" ref="AX218">"600/"&amp;$B218&amp;"/SPMK/PPK/DPUPR"</f>
        <v>600/49976805/SPMK/PPK/DPUPR</v>
      </c>
      <c r="AY218" s="53"/>
      <c r="AZ218" s="53"/>
      <c r="BA218" s="53"/>
      <c r="BB218" s="53"/>
      <c r="BC218" s="53"/>
      <c r="BD218" s="53"/>
      <c r="BE218" s="53"/>
      <c r="BF218" s="53"/>
      <c r="BG218" s="64">
        <v>6</v>
      </c>
      <c r="BH218" t="s" s="58">
        <v>1483</v>
      </c>
      <c r="BI218" t="s" s="58">
        <v>21</v>
      </c>
      <c r="BJ218" t="s" s="58">
        <v>22</v>
      </c>
      <c r="BK218" t="s" s="58">
        <v>23</v>
      </c>
      <c r="BL218" t="s" s="58">
        <v>24</v>
      </c>
      <c r="BM218" s="53"/>
      <c r="BN218" s="53"/>
      <c r="BO218" s="53"/>
      <c r="BP218" s="53"/>
      <c r="BQ218" s="53"/>
      <c r="BR218" t="b" s="61">
        <v>0</v>
      </c>
      <c r="BS218" s="55" cm="1">
        <f t="array" ref="BS218">IF(M218&lt;=0.8*K218,5%*K218,M218*5%)</f>
        <v>995850</v>
      </c>
      <c r="BT218" t="s" s="58">
        <v>173</v>
      </c>
      <c r="BU218" s="53"/>
      <c r="BV218" s="55" cm="1">
        <f t="array" ref="BV218">J218-M218</f>
        <v>83000</v>
      </c>
    </row>
    <row r="219" ht="36.25" customHeight="1">
      <c r="A219" s="49"/>
      <c r="B219" s="50">
        <v>5965660</v>
      </c>
      <c r="C219" t="s" s="51">
        <v>1920</v>
      </c>
      <c r="D219" t="s" s="65">
        <v>1</v>
      </c>
      <c r="E219" t="str" s="66" cm="1">
        <f t="array" ref="E219">$C219</f>
        <v>Pembangunan Jalan Benggaulu</v>
      </c>
      <c r="F219" s="67"/>
      <c r="G219" s="66"/>
      <c r="H219" s="66"/>
      <c r="I219" s="66"/>
      <c r="J219" s="68">
        <v>700000000</v>
      </c>
      <c r="K219" s="68">
        <v>699954000</v>
      </c>
      <c r="L219" s="116">
        <v>664972602</v>
      </c>
      <c r="M219" s="68">
        <v>664900000</v>
      </c>
      <c r="N219" t="s" s="70">
        <v>1921</v>
      </c>
      <c r="O219" t="s" s="71">
        <v>1922</v>
      </c>
      <c r="P219" t="s" s="70">
        <v>4</v>
      </c>
      <c r="Q219" t="s" s="70">
        <v>1923</v>
      </c>
      <c r="R219" t="s" s="70">
        <v>1924</v>
      </c>
      <c r="S219" t="s" s="70">
        <v>280</v>
      </c>
      <c r="T219" s="72">
        <v>45145</v>
      </c>
      <c r="U219" t="s" s="70">
        <v>1925</v>
      </c>
      <c r="V219" t="s" s="70">
        <v>1926</v>
      </c>
      <c r="W219" t="s" s="70">
        <v>1927</v>
      </c>
      <c r="X219" s="73">
        <v>77</v>
      </c>
      <c r="Y219" t="s" s="70">
        <v>10</v>
      </c>
      <c r="Z219" s="68" cm="1">
        <f t="array" ref="Z219">M219</f>
        <v>664900000</v>
      </c>
      <c r="AA219" t="s" s="70">
        <v>1928</v>
      </c>
      <c r="AB219" s="72">
        <v>45555</v>
      </c>
      <c r="AC219" s="73">
        <v>180</v>
      </c>
      <c r="AD219" t="s" s="70">
        <v>109</v>
      </c>
      <c r="AE219" t="s" s="70">
        <v>110</v>
      </c>
      <c r="AF219" t="s" s="70">
        <v>167</v>
      </c>
      <c r="AG219" s="72">
        <v>45553.333333333336</v>
      </c>
      <c r="AH219" s="72">
        <v>45558.500694444447</v>
      </c>
      <c r="AI219" s="72">
        <v>45558.503472222219</v>
      </c>
      <c r="AJ219" s="72"/>
      <c r="AK219" s="72">
        <v>45576.333333333336</v>
      </c>
      <c r="AL219" s="72">
        <v>45580</v>
      </c>
      <c r="AM219" s="72">
        <v>45580</v>
      </c>
      <c r="AN219" t="s" s="70">
        <v>1929</v>
      </c>
      <c r="AO219" s="72">
        <v>45569</v>
      </c>
      <c r="AP219" t="s" s="70">
        <v>1929</v>
      </c>
      <c r="AQ219" s="72">
        <v>45569</v>
      </c>
      <c r="AR219" t="s" s="70">
        <v>1929</v>
      </c>
      <c r="AS219" s="72">
        <v>45569</v>
      </c>
      <c r="AT219" t="s" s="78">
        <v>1930</v>
      </c>
      <c r="AU219" s="72">
        <v>45568</v>
      </c>
      <c r="AV219" s="66"/>
      <c r="AW219" t="str" s="74" cm="1">
        <f t="array" ref="AW219">"600/"&amp;$B219&amp;"/"&amp;IF(AND($AE219="Konsultansi",M219&lt;=100000000),"SPK",IF(AND($AE219="Konsultansi",M219&gt;100000000),"Kont",IF(AND($AE219&lt;&gt;"Konsultansi",M219&lt;=200000000),"SPK","Kont")))&amp;"-"&amp;AE219&amp;"/PPK/DPUPR"</f>
        <v>600/5965660/Kont-Konstruksi/PPK/DPUPR</v>
      </c>
      <c r="AX219" t="str" s="74" cm="1">
        <f t="array" ref="AX219">"600/"&amp;$B219&amp;"/SPMK/PPK/DPUPR"</f>
        <v>600/5965660/SPMK/PPK/DPUPR</v>
      </c>
      <c r="AY219" s="66"/>
      <c r="AZ219" s="66"/>
      <c r="BA219" s="66"/>
      <c r="BB219" s="66"/>
      <c r="BC219" s="66"/>
      <c r="BD219" s="66"/>
      <c r="BE219" s="66"/>
      <c r="BF219" s="66"/>
      <c r="BG219" s="75">
        <v>209</v>
      </c>
      <c r="BH219" t="s" s="70">
        <v>1921</v>
      </c>
      <c r="BI219" t="s" s="70">
        <v>21</v>
      </c>
      <c r="BJ219" t="s" s="70">
        <v>22</v>
      </c>
      <c r="BK219" t="s" s="70">
        <v>23</v>
      </c>
      <c r="BL219" t="s" s="70">
        <v>24</v>
      </c>
      <c r="BM219" s="66"/>
      <c r="BN219" s="66"/>
      <c r="BO219" s="66"/>
      <c r="BP219" s="66"/>
      <c r="BQ219" s="66"/>
      <c r="BR219" t="b" s="73">
        <v>0</v>
      </c>
      <c r="BS219" s="68" cm="1">
        <f t="array" ref="BS219">IF(M219&lt;=0.8*K219,5%*K219,M219*5%)</f>
        <v>33245000</v>
      </c>
      <c r="BT219" t="s" s="70">
        <v>25</v>
      </c>
      <c r="BU219" s="66"/>
      <c r="BV219" s="68" cm="1">
        <f t="array" ref="BV219">J219-M219</f>
        <v>35100000</v>
      </c>
    </row>
    <row r="220" ht="36.25" customHeight="1">
      <c r="A220" s="118"/>
      <c r="B220" s="50">
        <v>53445187</v>
      </c>
      <c r="C220" t="s" s="51">
        <v>0</v>
      </c>
      <c r="D220" t="s" s="52">
        <v>1</v>
      </c>
      <c r="E220" t="str" s="53" cm="1">
        <f t="array" ref="E220">$C220</f>
        <v>Pengawasan Pembangunan Jalan Benggaulu</v>
      </c>
      <c r="F220" s="54"/>
      <c r="G220" s="53"/>
      <c r="H220" s="53"/>
      <c r="I220" s="53"/>
      <c r="J220" s="55">
        <v>13298000</v>
      </c>
      <c r="K220" s="55">
        <v>13249080</v>
      </c>
      <c r="L220" s="57">
        <v>13170350</v>
      </c>
      <c r="M220" s="55">
        <v>13170000</v>
      </c>
      <c r="N220" t="s" s="58">
        <v>2</v>
      </c>
      <c r="O220" t="s" s="59">
        <v>1055</v>
      </c>
      <c r="P220" t="s" s="58">
        <v>4</v>
      </c>
      <c r="Q220" t="s" s="58">
        <v>5</v>
      </c>
      <c r="R220" t="s" s="58">
        <v>6</v>
      </c>
      <c r="S220" s="61">
        <v>23</v>
      </c>
      <c r="T220" s="60">
        <v>41667</v>
      </c>
      <c r="U220" t="s" s="58">
        <v>7</v>
      </c>
      <c r="V220" t="s" s="58">
        <v>8</v>
      </c>
      <c r="W220" t="s" s="58">
        <v>9</v>
      </c>
      <c r="X220" s="61">
        <v>77</v>
      </c>
      <c r="Y220" t="s" s="58">
        <v>10</v>
      </c>
      <c r="Z220" s="55" cm="1">
        <f t="array" ref="Z220">M220</f>
        <v>13170000</v>
      </c>
      <c r="AA220" t="s" s="58">
        <v>11</v>
      </c>
      <c r="AB220" s="60" cm="1">
        <f t="array" ref="AB220">AH220</f>
        <v>45576.333333333336</v>
      </c>
      <c r="AC220" s="61" cm="1">
        <f t="array" ref="AC220">6*30</f>
        <v>180</v>
      </c>
      <c r="AD220" t="s" s="58">
        <v>12</v>
      </c>
      <c r="AE220" t="s" s="58">
        <v>13</v>
      </c>
      <c r="AF220" t="s" s="58">
        <v>14</v>
      </c>
      <c r="AG220" s="60">
        <v>45575</v>
      </c>
      <c r="AH220" s="60">
        <v>45576.333333333336</v>
      </c>
      <c r="AI220" s="60">
        <v>45576.333333333336</v>
      </c>
      <c r="AJ220" s="60">
        <v>45576.333333333336</v>
      </c>
      <c r="AK220" s="60">
        <v>45576.333333333336</v>
      </c>
      <c r="AL220" s="60">
        <v>45580</v>
      </c>
      <c r="AM220" s="60">
        <v>45580</v>
      </c>
      <c r="AN220" t="s" s="58">
        <v>15</v>
      </c>
      <c r="AO220" s="60" cm="1">
        <f t="array" ref="AO220">AJ220</f>
        <v>45576.333333333336</v>
      </c>
      <c r="AP220" t="s" s="58">
        <v>16</v>
      </c>
      <c r="AQ220" s="60" cm="1">
        <f t="array" ref="AQ220">AJ220</f>
        <v>45576.333333333336</v>
      </c>
      <c r="AR220" t="s" s="58">
        <v>17</v>
      </c>
      <c r="AS220" s="60" cm="1">
        <f t="array" ref="AS220">AJ220</f>
        <v>45576.333333333336</v>
      </c>
      <c r="AT220" t="s" s="78">
        <v>18</v>
      </c>
      <c r="AU220" s="60" cm="1">
        <f t="array" ref="AU220">AJ220</f>
        <v>45576.333333333336</v>
      </c>
      <c r="AV220" s="53"/>
      <c r="AW220" t="str" s="63" cm="1">
        <f t="array" ref="AW220">"600/"&amp;$B220&amp;"/"&amp;IF(AND($AE220="Konsultansi",M220&lt;=100000000),"SPK",IF(AND($AE220="Konsultansi",M220&gt;100000000),"Kont",IF(AND($AE220&lt;&gt;"Konsultansi",M220&lt;=200000000),"SPK","Kont")))&amp;"-"&amp;AE220&amp;"/PPK/DPUPR"</f>
        <v>600/53445187/SPK-Konsultansi/PPK/DPUPR</v>
      </c>
      <c r="AX220" t="str" s="63" cm="1">
        <f t="array" ref="AX220">"600/"&amp;$B220&amp;"/SPMK/PPK/DPUPR"</f>
        <v>600/53445187/SPMK/PPK/DPUPR</v>
      </c>
      <c r="AY220" s="53"/>
      <c r="AZ220" s="53"/>
      <c r="BA220" s="53"/>
      <c r="BB220" s="53"/>
      <c r="BC220" s="53"/>
      <c r="BD220" s="53"/>
      <c r="BE220" s="53"/>
      <c r="BF220" s="53"/>
      <c r="BG220" s="64">
        <v>164</v>
      </c>
      <c r="BH220" t="s" s="58">
        <v>2</v>
      </c>
      <c r="BI220" t="s" s="58">
        <v>21</v>
      </c>
      <c r="BJ220" t="s" s="58">
        <v>22</v>
      </c>
      <c r="BK220" t="s" s="58">
        <v>23</v>
      </c>
      <c r="BL220" t="s" s="58">
        <v>24</v>
      </c>
      <c r="BM220" s="53"/>
      <c r="BN220" s="53"/>
      <c r="BO220" s="53"/>
      <c r="BP220" s="53"/>
      <c r="BQ220" s="53"/>
      <c r="BR220" t="b" s="61">
        <v>0</v>
      </c>
      <c r="BS220" s="55" cm="1">
        <f t="array" ref="BS220">IF(M220&lt;=0.8*K220,5%*K220,M220*5%)</f>
        <v>658500</v>
      </c>
      <c r="BT220" t="s" s="58">
        <v>25</v>
      </c>
      <c r="BU220" s="53"/>
      <c r="BV220" s="55" cm="1">
        <f t="array" ref="BV220">J220-M220</f>
        <v>128000</v>
      </c>
    </row>
    <row r="221" ht="48.25" customHeight="1">
      <c r="A221" s="49"/>
      <c r="B221" s="50">
        <v>53557837</v>
      </c>
      <c r="C221" t="s" s="51">
        <v>1933</v>
      </c>
      <c r="D221" t="s" s="65">
        <v>1934</v>
      </c>
      <c r="E221" t="str" s="66" cm="1">
        <f t="array" ref="E221">$C221</f>
        <v>Pemeliharaan/Rekonstruksi/Pemb. Jaringan Air Bersih Kabupaten </v>
      </c>
      <c r="F221" s="67"/>
      <c r="G221" s="66"/>
      <c r="H221" s="66"/>
      <c r="I221" s="66"/>
      <c r="J221" s="68">
        <v>150000000</v>
      </c>
      <c r="K221" s="68">
        <v>149999000</v>
      </c>
      <c r="L221" s="116">
        <v>149440410</v>
      </c>
      <c r="M221" s="68">
        <v>149440000</v>
      </c>
      <c r="N221" t="s" s="70">
        <v>1078</v>
      </c>
      <c r="O221" t="s" s="71">
        <v>1079</v>
      </c>
      <c r="P221" t="s" s="70">
        <v>4</v>
      </c>
      <c r="Q221" t="s" s="70">
        <v>1080</v>
      </c>
      <c r="R221" t="s" s="70">
        <v>1081</v>
      </c>
      <c r="S221" s="73">
        <v>171</v>
      </c>
      <c r="T221" s="72">
        <v>45320</v>
      </c>
      <c r="U221" t="s" s="70">
        <v>1082</v>
      </c>
      <c r="V221" t="s" s="70">
        <v>1083</v>
      </c>
      <c r="W221" t="s" s="70">
        <v>1084</v>
      </c>
      <c r="X221" s="73">
        <v>35</v>
      </c>
      <c r="Y221" t="s" s="70">
        <v>10</v>
      </c>
      <c r="Z221" s="68" cm="1">
        <f t="array" ref="Z221">M221</f>
        <v>149440000</v>
      </c>
      <c r="AA221" t="s" s="70">
        <v>11</v>
      </c>
      <c r="AB221" s="72" cm="1">
        <f t="array" ref="AB221">AH221</f>
        <v>45622</v>
      </c>
      <c r="AC221" s="73">
        <v>180</v>
      </c>
      <c r="AD221" t="s" s="70">
        <v>109</v>
      </c>
      <c r="AE221" t="s" s="70">
        <v>110</v>
      </c>
      <c r="AF221" t="s" s="70">
        <v>1935</v>
      </c>
      <c r="AG221" s="72">
        <v>45621</v>
      </c>
      <c r="AH221" s="72">
        <v>45622</v>
      </c>
      <c r="AI221" s="72">
        <v>45622</v>
      </c>
      <c r="AJ221" s="72">
        <v>45622</v>
      </c>
      <c r="AK221" s="72">
        <v>45622</v>
      </c>
      <c r="AL221" s="72">
        <v>45622</v>
      </c>
      <c r="AM221" s="72">
        <v>45622</v>
      </c>
      <c r="AN221" t="s" s="70">
        <v>1936</v>
      </c>
      <c r="AO221" s="72" cm="1">
        <f t="array" ref="AO221">AJ221</f>
        <v>45622</v>
      </c>
      <c r="AP221" t="s" s="70">
        <v>1937</v>
      </c>
      <c r="AQ221" s="72" cm="1">
        <f t="array" ref="AQ221">AJ221</f>
        <v>45622</v>
      </c>
      <c r="AR221" t="s" s="70">
        <v>1938</v>
      </c>
      <c r="AS221" s="72" cm="1">
        <f t="array" ref="AS221">AJ221</f>
        <v>45622</v>
      </c>
      <c r="AT221" t="s" s="78">
        <v>1939</v>
      </c>
      <c r="AU221" s="72" cm="1">
        <f t="array" ref="AU221">AJ221</f>
        <v>45622</v>
      </c>
      <c r="AV221" s="66"/>
      <c r="AW221" t="str" s="74" cm="1">
        <f t="array" ref="AW221">"600/"&amp;$B221&amp;"/"&amp;IF(AND($AE221="Konsultansi",M221&lt;=100000000),"SPK",IF(AND($AE221="Konsultansi",M221&gt;100000000),"Kont",IF(AND($AE221&lt;&gt;"Konsultansi",M221&lt;=200000000),"SPK","Kont")))&amp;"-"&amp;AE221&amp;"/PPK/DPUPR"</f>
        <v>600/53557837/SPK-Konstruksi/PPK/DPUPR</v>
      </c>
      <c r="AX221" t="str" s="74" cm="1">
        <f t="array" ref="AX221">"600/"&amp;$B221&amp;"/SPMK/PPK/DPUPR"</f>
        <v>600/53557837/SPMK/PPK/DPUPR</v>
      </c>
      <c r="AY221" s="66"/>
      <c r="AZ221" s="66"/>
      <c r="BA221" s="66"/>
      <c r="BB221" s="66"/>
      <c r="BC221" s="66"/>
      <c r="BD221" s="66"/>
      <c r="BE221" s="66"/>
      <c r="BF221" s="66"/>
      <c r="BG221" s="75">
        <v>231</v>
      </c>
      <c r="BH221" t="s" s="70">
        <v>1078</v>
      </c>
      <c r="BI221" t="s" s="70">
        <v>21</v>
      </c>
      <c r="BJ221" t="s" s="70">
        <v>22</v>
      </c>
      <c r="BK221" t="s" s="70">
        <v>23</v>
      </c>
      <c r="BL221" t="s" s="70">
        <v>24</v>
      </c>
      <c r="BM221" s="66"/>
      <c r="BN221" s="66"/>
      <c r="BO221" s="66"/>
      <c r="BP221" s="66"/>
      <c r="BQ221" s="66"/>
      <c r="BR221" t="b" s="73">
        <v>0</v>
      </c>
      <c r="BS221" s="68" cm="1">
        <f t="array" ref="BS221">IF(M221&lt;=0.8*K221,5%*K221,M221*5%)</f>
        <v>7472000</v>
      </c>
      <c r="BT221" t="s" s="70">
        <v>910</v>
      </c>
      <c r="BU221" s="66"/>
      <c r="BV221" s="68" cm="1">
        <f t="array" ref="BV221">J221-M221</f>
        <v>560000</v>
      </c>
    </row>
    <row r="222" ht="24.25" customHeight="1">
      <c r="A222" s="49"/>
      <c r="B222" s="49"/>
      <c r="C222" s="101"/>
      <c r="D222" s="104"/>
      <c r="E222" s="61" cm="1">
        <f t="array" ref="E222">$C222</f>
        <v>0</v>
      </c>
      <c r="F222" s="54"/>
      <c r="G222" s="53"/>
      <c r="H222" s="53"/>
      <c r="I222" s="53"/>
      <c r="J222" s="55"/>
      <c r="K222" s="55"/>
      <c r="L222" s="116"/>
      <c r="M222" s="55"/>
      <c r="N222" t="s" s="58">
        <v>676</v>
      </c>
      <c r="O222" t="s" s="59">
        <v>676</v>
      </c>
      <c r="P222" t="s" s="58">
        <v>676</v>
      </c>
      <c r="Q222" t="s" s="58">
        <v>676</v>
      </c>
      <c r="R222" t="s" s="58">
        <v>676</v>
      </c>
      <c r="S222" t="s" s="58">
        <v>676</v>
      </c>
      <c r="T222" t="s" s="58">
        <v>676</v>
      </c>
      <c r="U222" t="s" s="58">
        <v>676</v>
      </c>
      <c r="V222" t="s" s="58">
        <v>676</v>
      </c>
      <c r="W222" t="s" s="58">
        <v>676</v>
      </c>
      <c r="X222" s="53"/>
      <c r="Y222" s="53"/>
      <c r="Z222" s="55" cm="1">
        <f t="array" ref="Z222">M222</f>
        <v>0</v>
      </c>
      <c r="AA222" s="53"/>
      <c r="AB222" s="60" cm="1">
        <f t="array" ref="AB222">AH222</f>
      </c>
      <c r="AC222" s="53"/>
      <c r="AD222" s="53"/>
      <c r="AE222" t="s" s="58">
        <v>701</v>
      </c>
      <c r="AF222" s="53"/>
      <c r="AG222" s="60"/>
      <c r="AH222" s="60"/>
      <c r="AI222" s="60"/>
      <c r="AJ222" s="60"/>
      <c r="AK222" s="60"/>
      <c r="AL222" s="60"/>
      <c r="AM222" s="60"/>
      <c r="AN222" t="s" s="58">
        <v>677</v>
      </c>
      <c r="AO222" s="53" cm="1">
        <f t="array" ref="AO222">AJ222</f>
      </c>
      <c r="AP222" t="s" s="58">
        <v>678</v>
      </c>
      <c r="AQ222" s="53" cm="1">
        <f t="array" ref="AQ222">AJ222</f>
      </c>
      <c r="AR222" t="s" s="58">
        <v>702</v>
      </c>
      <c r="AS222" s="53" cm="1">
        <f t="array" ref="AS222">AJ222</f>
      </c>
      <c r="AT222" t="s" s="78">
        <v>703</v>
      </c>
      <c r="AU222" s="53" cm="1">
        <f t="array" ref="AU222">AJ222</f>
      </c>
      <c r="AV222" s="53"/>
      <c r="AW222" t="str" s="63" cm="1">
        <f t="array" ref="AW222">"600/"&amp;$B222&amp;"/"&amp;IF(AND($AE222="Konsultansi",M222&lt;=100000000),"SPK",IF(AND($AE222="Konsultansi",M222&gt;100000000),"Kont",IF(AND($AE222&lt;&gt;"Konsultansi",M222&lt;=200000000),"SPK","Kont")))&amp;"-"&amp;AE222&amp;"/PPK/DPUPR"</f>
        <v>600//SPK-Barang/PPK/DPUPR</v>
      </c>
      <c r="AX222" t="str" s="63" cm="1">
        <f t="array" ref="AX222">"600/"&amp;$B222&amp;"/SPMK/PPK/DPUPR"</f>
        <v>600//SPMK/PPK/DPUPR</v>
      </c>
      <c r="AY222" s="53"/>
      <c r="AZ222" s="53"/>
      <c r="BA222" s="53"/>
      <c r="BB222" s="53"/>
      <c r="BC222" s="53"/>
      <c r="BD222" s="53"/>
      <c r="BE222" s="53"/>
      <c r="BF222" s="53"/>
      <c r="BG222" s="103"/>
      <c r="BH222" t="s" s="58">
        <v>683</v>
      </c>
      <c r="BI222" t="s" s="58">
        <v>21</v>
      </c>
      <c r="BJ222" t="s" s="58">
        <v>22</v>
      </c>
      <c r="BK222" t="s" s="58">
        <v>23</v>
      </c>
      <c r="BL222" t="s" s="58">
        <v>24</v>
      </c>
      <c r="BM222" s="53"/>
      <c r="BN222" s="53"/>
      <c r="BO222" s="53"/>
      <c r="BP222" s="53"/>
      <c r="BQ222" s="53"/>
      <c r="BR222" t="b" s="61">
        <v>0</v>
      </c>
      <c r="BS222" s="55" cm="1">
        <f t="array" ref="BS222">IF(M222&lt;=0.8*K222,5%*K222,M222*5%)</f>
        <v>0</v>
      </c>
      <c r="BT222" t="s" s="58">
        <v>705</v>
      </c>
      <c r="BU222" s="53"/>
      <c r="BV222" s="55" cm="1">
        <f t="array" ref="BV222">J222-M222</f>
        <v>0</v>
      </c>
    </row>
    <row r="223" ht="24.25" customHeight="1">
      <c r="A223" s="49"/>
      <c r="B223" s="49"/>
      <c r="C223" s="101"/>
      <c r="D223" s="106"/>
      <c r="E223" s="73" cm="1">
        <f t="array" ref="E223">$C223</f>
        <v>0</v>
      </c>
      <c r="F223" s="67"/>
      <c r="G223" s="66"/>
      <c r="H223" s="66"/>
      <c r="I223" s="66"/>
      <c r="J223" s="68"/>
      <c r="K223" s="68"/>
      <c r="L223" s="116"/>
      <c r="M223" s="68"/>
      <c r="N223" t="s" s="70">
        <v>676</v>
      </c>
      <c r="O223" t="s" s="71">
        <v>676</v>
      </c>
      <c r="P223" t="s" s="70">
        <v>676</v>
      </c>
      <c r="Q223" t="s" s="70">
        <v>676</v>
      </c>
      <c r="R223" t="s" s="70">
        <v>676</v>
      </c>
      <c r="S223" t="s" s="70">
        <v>676</v>
      </c>
      <c r="T223" t="s" s="70">
        <v>676</v>
      </c>
      <c r="U223" t="s" s="70">
        <v>676</v>
      </c>
      <c r="V223" t="s" s="70">
        <v>676</v>
      </c>
      <c r="W223" t="s" s="70">
        <v>676</v>
      </c>
      <c r="X223" s="66"/>
      <c r="Y223" s="66"/>
      <c r="Z223" s="68" cm="1">
        <f t="array" ref="Z223">M223</f>
        <v>0</v>
      </c>
      <c r="AA223" s="66"/>
      <c r="AB223" s="72" cm="1">
        <f t="array" ref="AB223">AH223</f>
      </c>
      <c r="AC223" s="66"/>
      <c r="AD223" s="66"/>
      <c r="AE223" t="s" s="70">
        <v>701</v>
      </c>
      <c r="AF223" s="66"/>
      <c r="AG223" s="72"/>
      <c r="AH223" s="72"/>
      <c r="AI223" s="72"/>
      <c r="AJ223" s="72"/>
      <c r="AK223" s="72"/>
      <c r="AL223" s="72"/>
      <c r="AM223" s="72"/>
      <c r="AN223" t="s" s="70">
        <v>677</v>
      </c>
      <c r="AO223" s="66" cm="1">
        <f t="array" ref="AO223">AJ223</f>
      </c>
      <c r="AP223" t="s" s="70">
        <v>678</v>
      </c>
      <c r="AQ223" s="66" cm="1">
        <f t="array" ref="AQ223">AJ223</f>
      </c>
      <c r="AR223" t="s" s="70">
        <v>702</v>
      </c>
      <c r="AS223" s="66" cm="1">
        <f t="array" ref="AS223">AJ223</f>
      </c>
      <c r="AT223" t="s" s="78">
        <v>703</v>
      </c>
      <c r="AU223" s="66" cm="1">
        <f t="array" ref="AU223">AJ223</f>
      </c>
      <c r="AV223" s="66"/>
      <c r="AW223" t="str" s="74" cm="1">
        <f t="array" ref="AW223">"600/"&amp;$B223&amp;"/"&amp;IF(AND($AE223="Konsultansi",M223&lt;=100000000),"SPK",IF(AND($AE223="Konsultansi",M223&gt;100000000),"Kont",IF(AND($AE223&lt;&gt;"Konsultansi",M223&lt;=200000000),"SPK","Kont")))&amp;"-"&amp;AE223&amp;"/PPK/DPUPR"</f>
        <v>600//SPK-Barang/PPK/DPUPR</v>
      </c>
      <c r="AX223" t="str" s="74" cm="1">
        <f t="array" ref="AX223">"600/"&amp;$B223&amp;"/SPMK/PPK/DPUPR"</f>
        <v>600//SPMK/PPK/DPUPR</v>
      </c>
      <c r="AY223" s="66"/>
      <c r="AZ223" s="66"/>
      <c r="BA223" s="66"/>
      <c r="BB223" s="66"/>
      <c r="BC223" s="66"/>
      <c r="BD223" s="66"/>
      <c r="BE223" s="66"/>
      <c r="BF223" s="66"/>
      <c r="BG223" s="102"/>
      <c r="BH223" t="s" s="70">
        <v>683</v>
      </c>
      <c r="BI223" t="s" s="70">
        <v>21</v>
      </c>
      <c r="BJ223" t="s" s="70">
        <v>22</v>
      </c>
      <c r="BK223" t="s" s="70">
        <v>23</v>
      </c>
      <c r="BL223" t="s" s="70">
        <v>24</v>
      </c>
      <c r="BM223" s="66"/>
      <c r="BN223" s="66"/>
      <c r="BO223" s="66"/>
      <c r="BP223" s="66"/>
      <c r="BQ223" s="66"/>
      <c r="BR223" t="b" s="73">
        <v>0</v>
      </c>
      <c r="BS223" s="68" cm="1">
        <f t="array" ref="BS223">IF(M223&lt;=0.8*K223,5%*K223,M223*5%)</f>
        <v>0</v>
      </c>
      <c r="BT223" t="s" s="70">
        <v>705</v>
      </c>
      <c r="BU223" s="66"/>
      <c r="BV223" s="68" cm="1">
        <f t="array" ref="BV223">J223-M223</f>
        <v>0</v>
      </c>
    </row>
    <row r="224" ht="24.25" customHeight="1">
      <c r="A224" s="49"/>
      <c r="B224" s="49"/>
      <c r="C224" s="101"/>
      <c r="D224" s="104"/>
      <c r="E224" s="61" cm="1">
        <f t="array" ref="E224">$C224</f>
        <v>0</v>
      </c>
      <c r="F224" s="54"/>
      <c r="G224" s="53"/>
      <c r="H224" s="53"/>
      <c r="I224" s="53"/>
      <c r="J224" s="55"/>
      <c r="K224" s="55"/>
      <c r="L224" s="116"/>
      <c r="M224" s="55"/>
      <c r="N224" t="s" s="58">
        <v>676</v>
      </c>
      <c r="O224" t="s" s="59">
        <v>676</v>
      </c>
      <c r="P224" t="s" s="58">
        <v>676</v>
      </c>
      <c r="Q224" t="s" s="58">
        <v>676</v>
      </c>
      <c r="R224" t="s" s="58">
        <v>676</v>
      </c>
      <c r="S224" t="s" s="58">
        <v>676</v>
      </c>
      <c r="T224" t="s" s="58">
        <v>676</v>
      </c>
      <c r="U224" t="s" s="58">
        <v>676</v>
      </c>
      <c r="V224" t="s" s="58">
        <v>676</v>
      </c>
      <c r="W224" t="s" s="58">
        <v>676</v>
      </c>
      <c r="X224" s="53"/>
      <c r="Y224" s="53"/>
      <c r="Z224" s="55" cm="1">
        <f t="array" ref="Z224">M224</f>
        <v>0</v>
      </c>
      <c r="AA224" s="53"/>
      <c r="AB224" s="60" cm="1">
        <f t="array" ref="AB224">AH224</f>
      </c>
      <c r="AC224" s="53"/>
      <c r="AD224" s="53"/>
      <c r="AE224" t="s" s="58">
        <v>701</v>
      </c>
      <c r="AF224" s="53"/>
      <c r="AG224" s="60"/>
      <c r="AH224" s="60"/>
      <c r="AI224" s="60"/>
      <c r="AJ224" s="60"/>
      <c r="AK224" s="60"/>
      <c r="AL224" s="60"/>
      <c r="AM224" s="60"/>
      <c r="AN224" t="s" s="58">
        <v>677</v>
      </c>
      <c r="AO224" s="53" cm="1">
        <f t="array" ref="AO224">AJ224</f>
      </c>
      <c r="AP224" t="s" s="58">
        <v>678</v>
      </c>
      <c r="AQ224" s="53" cm="1">
        <f t="array" ref="AQ224">AJ224</f>
      </c>
      <c r="AR224" t="s" s="58">
        <v>702</v>
      </c>
      <c r="AS224" s="53" cm="1">
        <f t="array" ref="AS224">AJ224</f>
      </c>
      <c r="AT224" t="s" s="78">
        <v>703</v>
      </c>
      <c r="AU224" s="53" cm="1">
        <f t="array" ref="AU224">AJ224</f>
      </c>
      <c r="AV224" s="53"/>
      <c r="AW224" t="str" s="63" cm="1">
        <f t="array" ref="AW224">"600/"&amp;$B224&amp;"/"&amp;IF(AND($AE224="Konsultansi",M224&lt;=100000000),"SPK",IF(AND($AE224="Konsultansi",M224&gt;100000000),"Kont",IF(AND($AE224&lt;&gt;"Konsultansi",M224&lt;=200000000),"SPK","Kont")))&amp;"-"&amp;AE224&amp;"/PPK/DPUPR"</f>
        <v>600//SPK-Barang/PPK/DPUPR</v>
      </c>
      <c r="AX224" t="str" s="63" cm="1">
        <f t="array" ref="AX224">"600/"&amp;$B224&amp;"/SPMK/PPK/DPUPR"</f>
        <v>600//SPMK/PPK/DPUPR</v>
      </c>
      <c r="AY224" s="53"/>
      <c r="AZ224" s="53"/>
      <c r="BA224" s="53"/>
      <c r="BB224" s="53"/>
      <c r="BC224" s="53"/>
      <c r="BD224" s="53"/>
      <c r="BE224" s="53"/>
      <c r="BF224" s="53"/>
      <c r="BG224" s="103"/>
      <c r="BH224" t="s" s="58">
        <v>683</v>
      </c>
      <c r="BI224" t="s" s="58">
        <v>21</v>
      </c>
      <c r="BJ224" t="s" s="58">
        <v>22</v>
      </c>
      <c r="BK224" t="s" s="58">
        <v>23</v>
      </c>
      <c r="BL224" t="s" s="58">
        <v>24</v>
      </c>
      <c r="BM224" s="53"/>
      <c r="BN224" s="53"/>
      <c r="BO224" s="53"/>
      <c r="BP224" s="53"/>
      <c r="BQ224" s="53"/>
      <c r="BR224" t="b" s="61">
        <v>0</v>
      </c>
      <c r="BS224" s="55" cm="1">
        <f t="array" ref="BS224">IF(M224&lt;=0.8*K224,5%*K224,M224*5%)</f>
        <v>0</v>
      </c>
      <c r="BT224" t="s" s="58">
        <v>705</v>
      </c>
      <c r="BU224" s="53"/>
      <c r="BV224" s="55" cm="1">
        <f t="array" ref="BV224">J224-M224</f>
        <v>0</v>
      </c>
    </row>
    <row r="225" ht="24.25" customHeight="1">
      <c r="A225" s="49"/>
      <c r="B225" s="49"/>
      <c r="C225" s="101"/>
      <c r="D225" s="106"/>
      <c r="E225" s="73" cm="1">
        <f t="array" ref="E225">$C225</f>
        <v>0</v>
      </c>
      <c r="F225" s="67"/>
      <c r="G225" s="66"/>
      <c r="H225" s="66"/>
      <c r="I225" s="66"/>
      <c r="J225" s="68"/>
      <c r="K225" s="68"/>
      <c r="L225" s="116"/>
      <c r="M225" s="68"/>
      <c r="N225" t="s" s="70">
        <v>676</v>
      </c>
      <c r="O225" t="s" s="71">
        <v>676</v>
      </c>
      <c r="P225" t="s" s="70">
        <v>676</v>
      </c>
      <c r="Q225" t="s" s="70">
        <v>676</v>
      </c>
      <c r="R225" t="s" s="70">
        <v>676</v>
      </c>
      <c r="S225" t="s" s="70">
        <v>676</v>
      </c>
      <c r="T225" t="s" s="70">
        <v>676</v>
      </c>
      <c r="U225" t="s" s="70">
        <v>676</v>
      </c>
      <c r="V225" t="s" s="70">
        <v>676</v>
      </c>
      <c r="W225" t="s" s="70">
        <v>676</v>
      </c>
      <c r="X225" s="66"/>
      <c r="Y225" s="66"/>
      <c r="Z225" s="68" cm="1">
        <f t="array" ref="Z225">M225</f>
        <v>0</v>
      </c>
      <c r="AA225" s="66"/>
      <c r="AB225" s="72" cm="1">
        <f t="array" ref="AB225">AH225</f>
      </c>
      <c r="AC225" s="66"/>
      <c r="AD225" s="66"/>
      <c r="AE225" t="s" s="70">
        <v>701</v>
      </c>
      <c r="AF225" s="66"/>
      <c r="AG225" s="72"/>
      <c r="AH225" s="72"/>
      <c r="AI225" s="72"/>
      <c r="AJ225" s="72"/>
      <c r="AK225" s="72"/>
      <c r="AL225" s="72"/>
      <c r="AM225" s="72"/>
      <c r="AN225" t="s" s="70">
        <v>677</v>
      </c>
      <c r="AO225" s="66" cm="1">
        <f t="array" ref="AO225">AJ225</f>
      </c>
      <c r="AP225" t="s" s="70">
        <v>678</v>
      </c>
      <c r="AQ225" s="66" cm="1">
        <f t="array" ref="AQ225">AJ225</f>
      </c>
      <c r="AR225" t="s" s="70">
        <v>702</v>
      </c>
      <c r="AS225" s="66" cm="1">
        <f t="array" ref="AS225">AJ225</f>
      </c>
      <c r="AT225" t="s" s="78">
        <v>703</v>
      </c>
      <c r="AU225" s="66" cm="1">
        <f t="array" ref="AU225">AJ225</f>
      </c>
      <c r="AV225" s="66"/>
      <c r="AW225" t="str" s="74" cm="1">
        <f t="array" ref="AW225">"600/"&amp;$B225&amp;"/"&amp;IF(AND($AE225="Konsultansi",M225&lt;=100000000),"SPK",IF(AND($AE225="Konsultansi",M225&gt;100000000),"Kont",IF(AND($AE225&lt;&gt;"Konsultansi",M225&lt;=200000000),"SPK","Kont")))&amp;"-"&amp;AE225&amp;"/PPK/DPUPR"</f>
        <v>600//SPK-Barang/PPK/DPUPR</v>
      </c>
      <c r="AX225" t="str" s="74" cm="1">
        <f t="array" ref="AX225">"600/"&amp;$B225&amp;"/SPMK/PPK/DPUPR"</f>
        <v>600//SPMK/PPK/DPUPR</v>
      </c>
      <c r="AY225" s="66"/>
      <c r="AZ225" s="66"/>
      <c r="BA225" s="66"/>
      <c r="BB225" s="66"/>
      <c r="BC225" s="66"/>
      <c r="BD225" s="66"/>
      <c r="BE225" s="66"/>
      <c r="BF225" s="66"/>
      <c r="BG225" s="102"/>
      <c r="BH225" t="s" s="70">
        <v>683</v>
      </c>
      <c r="BI225" t="s" s="70">
        <v>21</v>
      </c>
      <c r="BJ225" t="s" s="70">
        <v>22</v>
      </c>
      <c r="BK225" t="s" s="70">
        <v>23</v>
      </c>
      <c r="BL225" t="s" s="70">
        <v>24</v>
      </c>
      <c r="BM225" s="66"/>
      <c r="BN225" s="66"/>
      <c r="BO225" s="66"/>
      <c r="BP225" s="66"/>
      <c r="BQ225" s="66"/>
      <c r="BR225" t="b" s="73">
        <v>0</v>
      </c>
      <c r="BS225" s="68" cm="1">
        <f t="array" ref="BS225">IF(M225&lt;=0.8*K225,5%*K225,M225*5%)</f>
        <v>0</v>
      </c>
      <c r="BT225" t="s" s="70">
        <v>705</v>
      </c>
      <c r="BU225" s="66"/>
      <c r="BV225" s="68" cm="1">
        <f t="array" ref="BV225">J225-M225</f>
        <v>0</v>
      </c>
    </row>
    <row r="226" ht="24.25" customHeight="1">
      <c r="A226" s="49"/>
      <c r="B226" s="49"/>
      <c r="C226" s="101"/>
      <c r="D226" s="104"/>
      <c r="E226" s="61" cm="1">
        <f t="array" ref="E226">$C226</f>
        <v>0</v>
      </c>
      <c r="F226" s="54"/>
      <c r="G226" s="53"/>
      <c r="H226" s="53"/>
      <c r="I226" s="53"/>
      <c r="J226" s="55"/>
      <c r="K226" s="55"/>
      <c r="L226" s="116"/>
      <c r="M226" s="55"/>
      <c r="N226" t="s" s="58">
        <v>676</v>
      </c>
      <c r="O226" t="s" s="59">
        <v>676</v>
      </c>
      <c r="P226" t="s" s="58">
        <v>676</v>
      </c>
      <c r="Q226" t="s" s="58">
        <v>676</v>
      </c>
      <c r="R226" t="s" s="58">
        <v>676</v>
      </c>
      <c r="S226" t="s" s="58">
        <v>676</v>
      </c>
      <c r="T226" t="s" s="58">
        <v>676</v>
      </c>
      <c r="U226" t="s" s="58">
        <v>676</v>
      </c>
      <c r="V226" t="s" s="58">
        <v>676</v>
      </c>
      <c r="W226" t="s" s="58">
        <v>676</v>
      </c>
      <c r="X226" s="53"/>
      <c r="Y226" s="53"/>
      <c r="Z226" s="55" cm="1">
        <f t="array" ref="Z226">M226</f>
        <v>0</v>
      </c>
      <c r="AA226" s="53"/>
      <c r="AB226" s="60" cm="1">
        <f t="array" ref="AB226">AH226</f>
      </c>
      <c r="AC226" s="53"/>
      <c r="AD226" s="53"/>
      <c r="AE226" t="s" s="58">
        <v>701</v>
      </c>
      <c r="AF226" s="53"/>
      <c r="AG226" s="60"/>
      <c r="AH226" s="60"/>
      <c r="AI226" s="60"/>
      <c r="AJ226" s="60"/>
      <c r="AK226" s="60"/>
      <c r="AL226" s="60"/>
      <c r="AM226" s="60"/>
      <c r="AN226" t="s" s="58">
        <v>677</v>
      </c>
      <c r="AO226" s="53" cm="1">
        <f t="array" ref="AO226">AJ226</f>
      </c>
      <c r="AP226" t="s" s="58">
        <v>678</v>
      </c>
      <c r="AQ226" s="53" cm="1">
        <f t="array" ref="AQ226">AJ226</f>
      </c>
      <c r="AR226" t="s" s="58">
        <v>702</v>
      </c>
      <c r="AS226" s="53" cm="1">
        <f t="array" ref="AS226">AJ226</f>
      </c>
      <c r="AT226" t="s" s="78">
        <v>703</v>
      </c>
      <c r="AU226" s="53" cm="1">
        <f t="array" ref="AU226">AJ226</f>
      </c>
      <c r="AV226" s="53"/>
      <c r="AW226" t="str" s="63" cm="1">
        <f t="array" ref="AW226">"600/"&amp;$B226&amp;"/"&amp;IF(AND($AE226="Konsultansi",M226&lt;=100000000),"SPK",IF(AND($AE226="Konsultansi",M226&gt;100000000),"Kont",IF(AND($AE226&lt;&gt;"Konsultansi",M226&lt;=200000000),"SPK","Kont")))&amp;"-"&amp;AE226&amp;"/PPK/DPUPR"</f>
        <v>600//SPK-Barang/PPK/DPUPR</v>
      </c>
      <c r="AX226" t="str" s="63" cm="1">
        <f t="array" ref="AX226">"600/"&amp;$B226&amp;"/SPMK/PPK/DPUPR"</f>
        <v>600//SPMK/PPK/DPUPR</v>
      </c>
      <c r="AY226" s="53"/>
      <c r="AZ226" s="53"/>
      <c r="BA226" s="53"/>
      <c r="BB226" s="53"/>
      <c r="BC226" s="53"/>
      <c r="BD226" s="53"/>
      <c r="BE226" s="53"/>
      <c r="BF226" s="53"/>
      <c r="BG226" s="103"/>
      <c r="BH226" t="s" s="58">
        <v>683</v>
      </c>
      <c r="BI226" t="s" s="58">
        <v>21</v>
      </c>
      <c r="BJ226" t="s" s="58">
        <v>22</v>
      </c>
      <c r="BK226" t="s" s="58">
        <v>23</v>
      </c>
      <c r="BL226" t="s" s="58">
        <v>24</v>
      </c>
      <c r="BM226" s="53"/>
      <c r="BN226" s="53"/>
      <c r="BO226" s="53"/>
      <c r="BP226" s="53"/>
      <c r="BQ226" s="53"/>
      <c r="BR226" t="b" s="61">
        <v>0</v>
      </c>
      <c r="BS226" s="55" cm="1">
        <f t="array" ref="BS226">IF(M226&lt;=0.8*K226,5%*K226,M226*5%)</f>
        <v>0</v>
      </c>
      <c r="BT226" t="s" s="58">
        <v>705</v>
      </c>
      <c r="BU226" s="53"/>
      <c r="BV226" s="55" cm="1">
        <f t="array" ref="BV226">J226-M226</f>
        <v>0</v>
      </c>
    </row>
    <row r="227" ht="24.25" customHeight="1">
      <c r="A227" s="49"/>
      <c r="B227" s="49"/>
      <c r="C227" s="101"/>
      <c r="D227" s="106"/>
      <c r="E227" s="73" cm="1">
        <f t="array" ref="E227">$C227</f>
        <v>0</v>
      </c>
      <c r="F227" s="67"/>
      <c r="G227" s="66"/>
      <c r="H227" s="66"/>
      <c r="I227" s="66"/>
      <c r="J227" s="68"/>
      <c r="K227" s="68"/>
      <c r="L227" s="116"/>
      <c r="M227" s="68"/>
      <c r="N227" t="s" s="70">
        <v>676</v>
      </c>
      <c r="O227" t="s" s="71">
        <v>676</v>
      </c>
      <c r="P227" t="s" s="70">
        <v>676</v>
      </c>
      <c r="Q227" t="s" s="70">
        <v>676</v>
      </c>
      <c r="R227" t="s" s="70">
        <v>676</v>
      </c>
      <c r="S227" t="s" s="70">
        <v>676</v>
      </c>
      <c r="T227" t="s" s="70">
        <v>676</v>
      </c>
      <c r="U227" t="s" s="70">
        <v>676</v>
      </c>
      <c r="V227" t="s" s="70">
        <v>676</v>
      </c>
      <c r="W227" t="s" s="70">
        <v>676</v>
      </c>
      <c r="X227" s="66"/>
      <c r="Y227" s="66"/>
      <c r="Z227" s="68" cm="1">
        <f t="array" ref="Z227">M227</f>
        <v>0</v>
      </c>
      <c r="AA227" s="66"/>
      <c r="AB227" s="72" cm="1">
        <f t="array" ref="AB227">AH227</f>
      </c>
      <c r="AC227" s="66"/>
      <c r="AD227" s="66"/>
      <c r="AE227" t="s" s="70">
        <v>701</v>
      </c>
      <c r="AF227" s="66"/>
      <c r="AG227" s="72"/>
      <c r="AH227" s="72"/>
      <c r="AI227" s="72"/>
      <c r="AJ227" s="72"/>
      <c r="AK227" s="72"/>
      <c r="AL227" s="72"/>
      <c r="AM227" s="72"/>
      <c r="AN227" t="s" s="70">
        <v>677</v>
      </c>
      <c r="AO227" s="66" cm="1">
        <f t="array" ref="AO227">AJ227</f>
      </c>
      <c r="AP227" t="s" s="70">
        <v>678</v>
      </c>
      <c r="AQ227" s="66" cm="1">
        <f t="array" ref="AQ227">AJ227</f>
      </c>
      <c r="AR227" t="s" s="70">
        <v>702</v>
      </c>
      <c r="AS227" s="66" cm="1">
        <f t="array" ref="AS227">AJ227</f>
      </c>
      <c r="AT227" t="s" s="78">
        <v>703</v>
      </c>
      <c r="AU227" s="66" cm="1">
        <f t="array" ref="AU227">AJ227</f>
      </c>
      <c r="AV227" s="66"/>
      <c r="AW227" t="str" s="74" cm="1">
        <f t="array" ref="AW227">"600/"&amp;$B227&amp;"/"&amp;IF(AND($AE227="Konsultansi",M227&lt;=100000000),"SPK",IF(AND($AE227="Konsultansi",M227&gt;100000000),"Kont",IF(AND($AE227&lt;&gt;"Konsultansi",M227&lt;=200000000),"SPK","Kont")))&amp;"-"&amp;AE227&amp;"/PPK/DPUPR"</f>
        <v>600//SPK-Barang/PPK/DPUPR</v>
      </c>
      <c r="AX227" t="str" s="74" cm="1">
        <f t="array" ref="AX227">"600/"&amp;$B227&amp;"/SPMK/PPK/DPUPR"</f>
        <v>600//SPMK/PPK/DPUPR</v>
      </c>
      <c r="AY227" s="66"/>
      <c r="AZ227" s="66"/>
      <c r="BA227" s="66"/>
      <c r="BB227" s="66"/>
      <c r="BC227" s="66"/>
      <c r="BD227" s="66"/>
      <c r="BE227" s="66"/>
      <c r="BF227" s="66"/>
      <c r="BG227" s="102"/>
      <c r="BH227" t="s" s="70">
        <v>683</v>
      </c>
      <c r="BI227" t="s" s="70">
        <v>21</v>
      </c>
      <c r="BJ227" t="s" s="70">
        <v>22</v>
      </c>
      <c r="BK227" t="s" s="70">
        <v>23</v>
      </c>
      <c r="BL227" t="s" s="70">
        <v>24</v>
      </c>
      <c r="BM227" s="66"/>
      <c r="BN227" s="66"/>
      <c r="BO227" s="66"/>
      <c r="BP227" s="66"/>
      <c r="BQ227" s="66"/>
      <c r="BR227" t="b" s="73">
        <v>0</v>
      </c>
      <c r="BS227" s="68" cm="1">
        <f t="array" ref="BS227">IF(M227&lt;=0.8*K227,5%*K227,M227*5%)</f>
        <v>0</v>
      </c>
      <c r="BT227" t="s" s="70">
        <v>705</v>
      </c>
      <c r="BU227" s="66"/>
      <c r="BV227" s="68" cm="1">
        <f t="array" ref="BV227">J227-M227</f>
        <v>0</v>
      </c>
    </row>
    <row r="228" ht="24.25" customHeight="1">
      <c r="A228" s="49"/>
      <c r="B228" s="49"/>
      <c r="C228" s="101"/>
      <c r="D228" s="104"/>
      <c r="E228" s="61" cm="1">
        <f t="array" ref="E228">$C228</f>
        <v>0</v>
      </c>
      <c r="F228" s="54"/>
      <c r="G228" s="53"/>
      <c r="H228" s="53"/>
      <c r="I228" s="53"/>
      <c r="J228" s="55"/>
      <c r="K228" s="55"/>
      <c r="L228" s="116"/>
      <c r="M228" s="55"/>
      <c r="N228" t="s" s="58">
        <v>676</v>
      </c>
      <c r="O228" t="s" s="59">
        <v>676</v>
      </c>
      <c r="P228" t="s" s="58">
        <v>676</v>
      </c>
      <c r="Q228" t="s" s="58">
        <v>676</v>
      </c>
      <c r="R228" t="s" s="58">
        <v>676</v>
      </c>
      <c r="S228" t="s" s="58">
        <v>676</v>
      </c>
      <c r="T228" t="s" s="58">
        <v>676</v>
      </c>
      <c r="U228" t="s" s="58">
        <v>676</v>
      </c>
      <c r="V228" t="s" s="58">
        <v>676</v>
      </c>
      <c r="W228" t="s" s="58">
        <v>676</v>
      </c>
      <c r="X228" s="53"/>
      <c r="Y228" s="53"/>
      <c r="Z228" s="55" cm="1">
        <f t="array" ref="Z228">M228</f>
        <v>0</v>
      </c>
      <c r="AA228" s="53"/>
      <c r="AB228" s="60" cm="1">
        <f t="array" ref="AB228">AH228</f>
      </c>
      <c r="AC228" s="53"/>
      <c r="AD228" s="53"/>
      <c r="AE228" t="s" s="58">
        <v>701</v>
      </c>
      <c r="AF228" s="53"/>
      <c r="AG228" s="60"/>
      <c r="AH228" s="60"/>
      <c r="AI228" s="60"/>
      <c r="AJ228" s="60"/>
      <c r="AK228" s="60"/>
      <c r="AL228" s="60"/>
      <c r="AM228" s="60"/>
      <c r="AN228" t="s" s="58">
        <v>677</v>
      </c>
      <c r="AO228" s="53" cm="1">
        <f t="array" ref="AO228">AJ228</f>
      </c>
      <c r="AP228" t="s" s="58">
        <v>678</v>
      </c>
      <c r="AQ228" s="53" cm="1">
        <f t="array" ref="AQ228">AJ228</f>
      </c>
      <c r="AR228" t="s" s="58">
        <v>702</v>
      </c>
      <c r="AS228" s="53" cm="1">
        <f t="array" ref="AS228">AJ228</f>
      </c>
      <c r="AT228" t="s" s="78">
        <v>703</v>
      </c>
      <c r="AU228" s="53" cm="1">
        <f t="array" ref="AU228">AJ228</f>
      </c>
      <c r="AV228" s="53"/>
      <c r="AW228" t="str" s="63" cm="1">
        <f t="array" ref="AW228">"600/"&amp;$B228&amp;"/"&amp;IF(AND($AE228="Konsultansi",M228&lt;=100000000),"SPK",IF(AND($AE228="Konsultansi",M228&gt;100000000),"Kont",IF(AND($AE228&lt;&gt;"Konsultansi",M228&lt;=200000000),"SPK","Kont")))&amp;"-"&amp;AE228&amp;"/PPK/DPUPR"</f>
        <v>600//SPK-Barang/PPK/DPUPR</v>
      </c>
      <c r="AX228" t="str" s="63" cm="1">
        <f t="array" ref="AX228">"600/"&amp;$B228&amp;"/SPMK/PPK/DPUPR"</f>
        <v>600//SPMK/PPK/DPUPR</v>
      </c>
      <c r="AY228" s="53"/>
      <c r="AZ228" s="53"/>
      <c r="BA228" s="53"/>
      <c r="BB228" s="53"/>
      <c r="BC228" s="53"/>
      <c r="BD228" s="53"/>
      <c r="BE228" s="53"/>
      <c r="BF228" s="53"/>
      <c r="BG228" s="103"/>
      <c r="BH228" t="s" s="58">
        <v>683</v>
      </c>
      <c r="BI228" t="s" s="58">
        <v>21</v>
      </c>
      <c r="BJ228" t="s" s="58">
        <v>22</v>
      </c>
      <c r="BK228" t="s" s="58">
        <v>23</v>
      </c>
      <c r="BL228" t="s" s="58">
        <v>24</v>
      </c>
      <c r="BM228" s="53"/>
      <c r="BN228" s="53"/>
      <c r="BO228" s="53"/>
      <c r="BP228" s="53"/>
      <c r="BQ228" s="53"/>
      <c r="BR228" t="b" s="61">
        <v>0</v>
      </c>
      <c r="BS228" s="55" cm="1">
        <f t="array" ref="BS228">IF(M228&lt;=0.8*K228,5%*K228,M228*5%)</f>
        <v>0</v>
      </c>
      <c r="BT228" t="s" s="58">
        <v>705</v>
      </c>
      <c r="BU228" s="53"/>
      <c r="BV228" s="55" cm="1">
        <f t="array" ref="BV228">J228-M228</f>
        <v>0</v>
      </c>
    </row>
    <row r="229" ht="24.25" customHeight="1">
      <c r="A229" s="49"/>
      <c r="B229" s="49"/>
      <c r="C229" s="101"/>
      <c r="D229" s="106"/>
      <c r="E229" s="73" cm="1">
        <f t="array" ref="E229">$C229</f>
        <v>0</v>
      </c>
      <c r="F229" s="67"/>
      <c r="G229" s="66"/>
      <c r="H229" s="66"/>
      <c r="I229" s="66"/>
      <c r="J229" s="68"/>
      <c r="K229" s="68"/>
      <c r="L229" s="116"/>
      <c r="M229" s="68"/>
      <c r="N229" t="s" s="70">
        <v>676</v>
      </c>
      <c r="O229" t="s" s="71">
        <v>676</v>
      </c>
      <c r="P229" t="s" s="70">
        <v>676</v>
      </c>
      <c r="Q229" t="s" s="70">
        <v>676</v>
      </c>
      <c r="R229" t="s" s="70">
        <v>676</v>
      </c>
      <c r="S229" t="s" s="70">
        <v>676</v>
      </c>
      <c r="T229" t="s" s="70">
        <v>676</v>
      </c>
      <c r="U229" t="s" s="70">
        <v>676</v>
      </c>
      <c r="V229" t="s" s="70">
        <v>676</v>
      </c>
      <c r="W229" t="s" s="70">
        <v>676</v>
      </c>
      <c r="X229" s="66"/>
      <c r="Y229" s="66"/>
      <c r="Z229" s="68" cm="1">
        <f t="array" ref="Z229">M229</f>
        <v>0</v>
      </c>
      <c r="AA229" s="66"/>
      <c r="AB229" s="72" cm="1">
        <f t="array" ref="AB229">AH229</f>
      </c>
      <c r="AC229" s="66"/>
      <c r="AD229" s="66"/>
      <c r="AE229" t="s" s="70">
        <v>701</v>
      </c>
      <c r="AF229" s="66"/>
      <c r="AG229" s="72"/>
      <c r="AH229" s="72"/>
      <c r="AI229" s="72"/>
      <c r="AJ229" s="72"/>
      <c r="AK229" s="72"/>
      <c r="AL229" s="72"/>
      <c r="AM229" s="72"/>
      <c r="AN229" t="s" s="70">
        <v>677</v>
      </c>
      <c r="AO229" s="66" cm="1">
        <f t="array" ref="AO229">AJ229</f>
      </c>
      <c r="AP229" t="s" s="70">
        <v>678</v>
      </c>
      <c r="AQ229" s="66" cm="1">
        <f t="array" ref="AQ229">AJ229</f>
      </c>
      <c r="AR229" t="s" s="70">
        <v>702</v>
      </c>
      <c r="AS229" s="66" cm="1">
        <f t="array" ref="AS229">AJ229</f>
      </c>
      <c r="AT229" t="s" s="78">
        <v>703</v>
      </c>
      <c r="AU229" s="66" cm="1">
        <f t="array" ref="AU229">AJ229</f>
      </c>
      <c r="AV229" s="66"/>
      <c r="AW229" t="str" s="74" cm="1">
        <f t="array" ref="AW229">"600/"&amp;$B229&amp;"/"&amp;IF(AND($AE229="Konsultansi",M229&lt;=100000000),"SPK",IF(AND($AE229="Konsultansi",M229&gt;100000000),"Kont",IF(AND($AE229&lt;&gt;"Konsultansi",M229&lt;=200000000),"SPK","Kont")))&amp;"-"&amp;AE229&amp;"/PPK/DPUPR"</f>
        <v>600//SPK-Barang/PPK/DPUPR</v>
      </c>
      <c r="AX229" t="str" s="74" cm="1">
        <f t="array" ref="AX229">"600/"&amp;$B229&amp;"/SPMK/PPK/DPUPR"</f>
        <v>600//SPMK/PPK/DPUPR</v>
      </c>
      <c r="AY229" s="66"/>
      <c r="AZ229" s="66"/>
      <c r="BA229" s="66"/>
      <c r="BB229" s="66"/>
      <c r="BC229" s="66"/>
      <c r="BD229" s="66"/>
      <c r="BE229" s="66"/>
      <c r="BF229" s="66"/>
      <c r="BG229" s="102"/>
      <c r="BH229" t="s" s="70">
        <v>683</v>
      </c>
      <c r="BI229" t="s" s="70">
        <v>21</v>
      </c>
      <c r="BJ229" t="s" s="70">
        <v>22</v>
      </c>
      <c r="BK229" t="s" s="70">
        <v>23</v>
      </c>
      <c r="BL229" t="s" s="70">
        <v>24</v>
      </c>
      <c r="BM229" s="66"/>
      <c r="BN229" s="66"/>
      <c r="BO229" s="66"/>
      <c r="BP229" s="66"/>
      <c r="BQ229" s="66"/>
      <c r="BR229" t="b" s="73">
        <v>0</v>
      </c>
      <c r="BS229" s="68" cm="1">
        <f t="array" ref="BS229">IF(M229&lt;=0.8*K229,5%*K229,M229*5%)</f>
        <v>0</v>
      </c>
      <c r="BT229" t="s" s="70">
        <v>705</v>
      </c>
      <c r="BU229" s="66"/>
      <c r="BV229" s="68" cm="1">
        <f t="array" ref="BV229">J229-M229</f>
        <v>0</v>
      </c>
    </row>
    <row r="230" ht="24.25" customHeight="1">
      <c r="A230" s="49"/>
      <c r="B230" s="49"/>
      <c r="C230" s="101"/>
      <c r="D230" s="104"/>
      <c r="E230" s="61" cm="1">
        <f t="array" ref="E230">$C230</f>
        <v>0</v>
      </c>
      <c r="F230" s="54"/>
      <c r="G230" s="53"/>
      <c r="H230" s="53"/>
      <c r="I230" s="53"/>
      <c r="J230" s="55"/>
      <c r="K230" s="55"/>
      <c r="L230" s="116"/>
      <c r="M230" s="55"/>
      <c r="N230" t="s" s="58">
        <v>676</v>
      </c>
      <c r="O230" t="s" s="59">
        <v>676</v>
      </c>
      <c r="P230" t="s" s="58">
        <v>676</v>
      </c>
      <c r="Q230" t="s" s="58">
        <v>676</v>
      </c>
      <c r="R230" t="s" s="58">
        <v>676</v>
      </c>
      <c r="S230" t="s" s="58">
        <v>676</v>
      </c>
      <c r="T230" t="s" s="58">
        <v>676</v>
      </c>
      <c r="U230" t="s" s="58">
        <v>676</v>
      </c>
      <c r="V230" t="s" s="58">
        <v>676</v>
      </c>
      <c r="W230" t="s" s="58">
        <v>676</v>
      </c>
      <c r="X230" s="53"/>
      <c r="Y230" s="53"/>
      <c r="Z230" s="55" cm="1">
        <f t="array" ref="Z230">M230</f>
        <v>0</v>
      </c>
      <c r="AA230" s="53"/>
      <c r="AB230" s="60" cm="1">
        <f t="array" ref="AB230">AH230</f>
      </c>
      <c r="AC230" s="53"/>
      <c r="AD230" s="53"/>
      <c r="AE230" t="s" s="58">
        <v>701</v>
      </c>
      <c r="AF230" s="53"/>
      <c r="AG230" s="60"/>
      <c r="AH230" s="60"/>
      <c r="AI230" s="60"/>
      <c r="AJ230" s="60"/>
      <c r="AK230" s="60"/>
      <c r="AL230" s="60"/>
      <c r="AM230" s="60"/>
      <c r="AN230" t="s" s="58">
        <v>677</v>
      </c>
      <c r="AO230" s="53" cm="1">
        <f t="array" ref="AO230">AJ230</f>
      </c>
      <c r="AP230" t="s" s="58">
        <v>678</v>
      </c>
      <c r="AQ230" s="53" cm="1">
        <f t="array" ref="AQ230">AJ230</f>
      </c>
      <c r="AR230" t="s" s="58">
        <v>702</v>
      </c>
      <c r="AS230" s="53" cm="1">
        <f t="array" ref="AS230">AJ230</f>
      </c>
      <c r="AT230" t="s" s="78">
        <v>703</v>
      </c>
      <c r="AU230" s="53" cm="1">
        <f t="array" ref="AU230">AJ230</f>
      </c>
      <c r="AV230" s="53"/>
      <c r="AW230" t="str" s="63" cm="1">
        <f t="array" ref="AW230">"600/"&amp;$B230&amp;"/"&amp;IF(AND($AE230="Konsultansi",M230&lt;=100000000),"SPK",IF(AND($AE230="Konsultansi",M230&gt;100000000),"Kont",IF(AND($AE230&lt;&gt;"Konsultansi",M230&lt;=200000000),"SPK","Kont")))&amp;"-"&amp;AE230&amp;"/PPK/DPUPR"</f>
        <v>600//SPK-Barang/PPK/DPUPR</v>
      </c>
      <c r="AX230" t="str" s="63" cm="1">
        <f t="array" ref="AX230">"600/"&amp;$B230&amp;"/SPMK/PPK/DPUPR"</f>
        <v>600//SPMK/PPK/DPUPR</v>
      </c>
      <c r="AY230" s="53"/>
      <c r="AZ230" s="53"/>
      <c r="BA230" s="53"/>
      <c r="BB230" s="53"/>
      <c r="BC230" s="53"/>
      <c r="BD230" s="53"/>
      <c r="BE230" s="53"/>
      <c r="BF230" s="53"/>
      <c r="BG230" s="103"/>
      <c r="BH230" t="s" s="58">
        <v>683</v>
      </c>
      <c r="BI230" t="s" s="58">
        <v>21</v>
      </c>
      <c r="BJ230" t="s" s="58">
        <v>22</v>
      </c>
      <c r="BK230" t="s" s="58">
        <v>23</v>
      </c>
      <c r="BL230" t="s" s="58">
        <v>24</v>
      </c>
      <c r="BM230" s="53"/>
      <c r="BN230" s="53"/>
      <c r="BO230" s="53"/>
      <c r="BP230" s="53"/>
      <c r="BQ230" s="53"/>
      <c r="BR230" t="b" s="61">
        <v>0</v>
      </c>
      <c r="BS230" s="55" cm="1">
        <f t="array" ref="BS230">IF(M230&lt;=0.8*K230,5%*K230,M230*5%)</f>
        <v>0</v>
      </c>
      <c r="BT230" t="s" s="58">
        <v>705</v>
      </c>
      <c r="BU230" s="53"/>
      <c r="BV230" s="55" cm="1">
        <f t="array" ref="BV230">J230-M230</f>
        <v>0</v>
      </c>
    </row>
    <row r="231" ht="24.25" customHeight="1">
      <c r="A231" s="49"/>
      <c r="B231" s="49"/>
      <c r="C231" s="101"/>
      <c r="D231" s="106"/>
      <c r="E231" s="73" cm="1">
        <f t="array" ref="E231">$C231</f>
        <v>0</v>
      </c>
      <c r="F231" s="67"/>
      <c r="G231" s="66"/>
      <c r="H231" s="66"/>
      <c r="I231" s="66"/>
      <c r="J231" s="68"/>
      <c r="K231" s="68"/>
      <c r="L231" s="116"/>
      <c r="M231" s="68"/>
      <c r="N231" t="s" s="70">
        <v>676</v>
      </c>
      <c r="O231" t="s" s="71">
        <v>676</v>
      </c>
      <c r="P231" t="s" s="70">
        <v>676</v>
      </c>
      <c r="Q231" t="s" s="70">
        <v>676</v>
      </c>
      <c r="R231" t="s" s="70">
        <v>676</v>
      </c>
      <c r="S231" t="s" s="70">
        <v>676</v>
      </c>
      <c r="T231" t="s" s="70">
        <v>676</v>
      </c>
      <c r="U231" t="s" s="70">
        <v>676</v>
      </c>
      <c r="V231" t="s" s="70">
        <v>676</v>
      </c>
      <c r="W231" t="s" s="70">
        <v>676</v>
      </c>
      <c r="X231" s="66"/>
      <c r="Y231" s="66"/>
      <c r="Z231" s="68" cm="1">
        <f t="array" ref="Z231">M231</f>
        <v>0</v>
      </c>
      <c r="AA231" s="66"/>
      <c r="AB231" s="72" cm="1">
        <f t="array" ref="AB231">AH231</f>
      </c>
      <c r="AC231" s="66"/>
      <c r="AD231" s="66"/>
      <c r="AE231" t="s" s="70">
        <v>701</v>
      </c>
      <c r="AF231" s="66"/>
      <c r="AG231" s="72"/>
      <c r="AH231" s="72"/>
      <c r="AI231" s="72"/>
      <c r="AJ231" s="72"/>
      <c r="AK231" s="72"/>
      <c r="AL231" s="72"/>
      <c r="AM231" s="72"/>
      <c r="AN231" t="s" s="70">
        <v>677</v>
      </c>
      <c r="AO231" s="66" cm="1">
        <f t="array" ref="AO231">AJ231</f>
      </c>
      <c r="AP231" t="s" s="70">
        <v>678</v>
      </c>
      <c r="AQ231" s="66" cm="1">
        <f t="array" ref="AQ231">AJ231</f>
      </c>
      <c r="AR231" t="s" s="70">
        <v>702</v>
      </c>
      <c r="AS231" s="66" cm="1">
        <f t="array" ref="AS231">AJ231</f>
      </c>
      <c r="AT231" t="s" s="78">
        <v>703</v>
      </c>
      <c r="AU231" s="66" cm="1">
        <f t="array" ref="AU231">AJ231</f>
      </c>
      <c r="AV231" s="66"/>
      <c r="AW231" t="str" s="74" cm="1">
        <f t="array" ref="AW231">"600/"&amp;$B231&amp;"/"&amp;IF(AND($AE231="Konsultansi",M231&lt;=100000000),"SPK",IF(AND($AE231="Konsultansi",M231&gt;100000000),"Kont",IF(AND($AE231&lt;&gt;"Konsultansi",M231&lt;=200000000),"SPK","Kont")))&amp;"-"&amp;AE231&amp;"/PPK/DPUPR"</f>
        <v>600//SPK-Barang/PPK/DPUPR</v>
      </c>
      <c r="AX231" t="str" s="74" cm="1">
        <f t="array" ref="AX231">"600/"&amp;$B231&amp;"/SPMK/PPK/DPUPR"</f>
        <v>600//SPMK/PPK/DPUPR</v>
      </c>
      <c r="AY231" s="66"/>
      <c r="AZ231" s="66"/>
      <c r="BA231" s="66"/>
      <c r="BB231" s="66"/>
      <c r="BC231" s="66"/>
      <c r="BD231" s="66"/>
      <c r="BE231" s="66"/>
      <c r="BF231" s="66"/>
      <c r="BG231" s="102"/>
      <c r="BH231" t="s" s="70">
        <v>683</v>
      </c>
      <c r="BI231" t="s" s="70">
        <v>21</v>
      </c>
      <c r="BJ231" t="s" s="70">
        <v>22</v>
      </c>
      <c r="BK231" t="s" s="70">
        <v>23</v>
      </c>
      <c r="BL231" t="s" s="70">
        <v>24</v>
      </c>
      <c r="BM231" s="66"/>
      <c r="BN231" s="66"/>
      <c r="BO231" s="66"/>
      <c r="BP231" s="66"/>
      <c r="BQ231" s="66"/>
      <c r="BR231" t="b" s="73">
        <v>0</v>
      </c>
      <c r="BS231" s="68" cm="1">
        <f t="array" ref="BS231">IF(M231&lt;=0.8*K231,5%*K231,M231*5%)</f>
        <v>0</v>
      </c>
      <c r="BT231" t="s" s="70">
        <v>705</v>
      </c>
      <c r="BU231" s="66"/>
      <c r="BV231" s="68" cm="1">
        <f t="array" ref="BV231">J231-M231</f>
        <v>0</v>
      </c>
    </row>
    <row r="232" ht="24.25" customHeight="1">
      <c r="A232" s="49"/>
      <c r="B232" s="49"/>
      <c r="C232" s="101"/>
      <c r="D232" s="104"/>
      <c r="E232" s="61" cm="1">
        <f t="array" ref="E232">$C232</f>
        <v>0</v>
      </c>
      <c r="F232" s="54"/>
      <c r="G232" s="53"/>
      <c r="H232" s="53"/>
      <c r="I232" s="53"/>
      <c r="J232" s="55"/>
      <c r="K232" s="55"/>
      <c r="L232" s="116"/>
      <c r="M232" s="55"/>
      <c r="N232" t="s" s="58">
        <v>676</v>
      </c>
      <c r="O232" t="s" s="59">
        <v>676</v>
      </c>
      <c r="P232" t="s" s="58">
        <v>676</v>
      </c>
      <c r="Q232" t="s" s="58">
        <v>676</v>
      </c>
      <c r="R232" t="s" s="58">
        <v>676</v>
      </c>
      <c r="S232" t="s" s="58">
        <v>676</v>
      </c>
      <c r="T232" t="s" s="58">
        <v>676</v>
      </c>
      <c r="U232" t="s" s="58">
        <v>676</v>
      </c>
      <c r="V232" t="s" s="58">
        <v>676</v>
      </c>
      <c r="W232" t="s" s="58">
        <v>676</v>
      </c>
      <c r="X232" s="53"/>
      <c r="Y232" s="53"/>
      <c r="Z232" s="55" cm="1">
        <f t="array" ref="Z232">M232</f>
        <v>0</v>
      </c>
      <c r="AA232" s="53"/>
      <c r="AB232" s="60" cm="1">
        <f t="array" ref="AB232">AH232</f>
      </c>
      <c r="AC232" s="53"/>
      <c r="AD232" s="53"/>
      <c r="AE232" t="s" s="58">
        <v>701</v>
      </c>
      <c r="AF232" s="53"/>
      <c r="AG232" s="60"/>
      <c r="AH232" s="60"/>
      <c r="AI232" s="60"/>
      <c r="AJ232" s="60"/>
      <c r="AK232" s="60"/>
      <c r="AL232" s="60"/>
      <c r="AM232" s="60"/>
      <c r="AN232" t="s" s="58">
        <v>677</v>
      </c>
      <c r="AO232" s="53" cm="1">
        <f t="array" ref="AO232">AJ232</f>
      </c>
      <c r="AP232" t="s" s="58">
        <v>678</v>
      </c>
      <c r="AQ232" s="53" cm="1">
        <f t="array" ref="AQ232">AJ232</f>
      </c>
      <c r="AR232" t="s" s="58">
        <v>702</v>
      </c>
      <c r="AS232" s="53" cm="1">
        <f t="array" ref="AS232">AJ232</f>
      </c>
      <c r="AT232" t="s" s="78">
        <v>703</v>
      </c>
      <c r="AU232" s="53" cm="1">
        <f t="array" ref="AU232">AJ232</f>
      </c>
      <c r="AV232" s="53"/>
      <c r="AW232" t="str" s="63" cm="1">
        <f t="array" ref="AW232">"600/"&amp;$B232&amp;"/"&amp;IF(AND($AE232="Konsultansi",M232&lt;=100000000),"SPK",IF(AND($AE232="Konsultansi",M232&gt;100000000),"Kont",IF(AND($AE232&lt;&gt;"Konsultansi",M232&lt;=200000000),"SPK","Kont")))&amp;"-"&amp;AE232&amp;"/PPK/DPUPR"</f>
        <v>600//SPK-Barang/PPK/DPUPR</v>
      </c>
      <c r="AX232" t="str" s="63" cm="1">
        <f t="array" ref="AX232">"600/"&amp;$B232&amp;"/SPMK/PPK/DPUPR"</f>
        <v>600//SPMK/PPK/DPUPR</v>
      </c>
      <c r="AY232" s="53"/>
      <c r="AZ232" s="53"/>
      <c r="BA232" s="53"/>
      <c r="BB232" s="53"/>
      <c r="BC232" s="53"/>
      <c r="BD232" s="53"/>
      <c r="BE232" s="53"/>
      <c r="BF232" s="53"/>
      <c r="BG232" s="103"/>
      <c r="BH232" t="s" s="58">
        <v>683</v>
      </c>
      <c r="BI232" t="s" s="58">
        <v>21</v>
      </c>
      <c r="BJ232" t="s" s="58">
        <v>22</v>
      </c>
      <c r="BK232" t="s" s="58">
        <v>23</v>
      </c>
      <c r="BL232" t="s" s="58">
        <v>24</v>
      </c>
      <c r="BM232" s="53"/>
      <c r="BN232" s="53"/>
      <c r="BO232" s="53"/>
      <c r="BP232" s="53"/>
      <c r="BQ232" s="53"/>
      <c r="BR232" t="b" s="61">
        <v>0</v>
      </c>
      <c r="BS232" s="55" cm="1">
        <f t="array" ref="BS232">IF(M232&lt;=0.8*K232,5%*K232,M232*5%)</f>
        <v>0</v>
      </c>
      <c r="BT232" t="s" s="58">
        <v>705</v>
      </c>
      <c r="BU232" s="53"/>
      <c r="BV232" s="55" cm="1">
        <f t="array" ref="BV232">J232-M232</f>
        <v>0</v>
      </c>
    </row>
    <row r="233" ht="24.5" customHeight="1">
      <c r="A233" s="119"/>
      <c r="B233" s="119"/>
      <c r="C233" s="120"/>
      <c r="D233" s="121"/>
      <c r="E233" s="122" cm="1">
        <f t="array" ref="E233">$C233</f>
        <v>0</v>
      </c>
      <c r="F233" s="123"/>
      <c r="G233" s="124"/>
      <c r="H233" s="124"/>
      <c r="I233" s="124"/>
      <c r="J233" s="125"/>
      <c r="K233" s="125"/>
      <c r="L233" s="126"/>
      <c r="M233" s="125"/>
      <c r="N233" t="s" s="127">
        <v>676</v>
      </c>
      <c r="O233" t="s" s="128">
        <v>676</v>
      </c>
      <c r="P233" t="s" s="127">
        <v>676</v>
      </c>
      <c r="Q233" t="s" s="127">
        <v>676</v>
      </c>
      <c r="R233" t="s" s="127">
        <v>676</v>
      </c>
      <c r="S233" t="s" s="127">
        <v>676</v>
      </c>
      <c r="T233" t="s" s="127">
        <v>676</v>
      </c>
      <c r="U233" t="s" s="127">
        <v>676</v>
      </c>
      <c r="V233" t="s" s="127">
        <v>676</v>
      </c>
      <c r="W233" t="s" s="127">
        <v>676</v>
      </c>
      <c r="X233" s="124"/>
      <c r="Y233" s="124"/>
      <c r="Z233" s="125" cm="1">
        <f t="array" ref="Z233">M233</f>
        <v>0</v>
      </c>
      <c r="AA233" s="124"/>
      <c r="AB233" s="129" cm="1">
        <f t="array" ref="AB233">AH233</f>
      </c>
      <c r="AC233" s="124"/>
      <c r="AD233" s="124"/>
      <c r="AE233" t="s" s="127">
        <v>701</v>
      </c>
      <c r="AF233" s="124"/>
      <c r="AG233" s="129"/>
      <c r="AH233" s="129"/>
      <c r="AI233" s="129"/>
      <c r="AJ233" s="129"/>
      <c r="AK233" s="129"/>
      <c r="AL233" s="129"/>
      <c r="AM233" s="129"/>
      <c r="AN233" t="s" s="127">
        <v>677</v>
      </c>
      <c r="AO233" s="124" cm="1">
        <f t="array" ref="AO233">AJ233</f>
      </c>
      <c r="AP233" t="s" s="127">
        <v>678</v>
      </c>
      <c r="AQ233" s="124" cm="1">
        <f t="array" ref="AQ233">AJ233</f>
      </c>
      <c r="AR233" t="s" s="127">
        <v>702</v>
      </c>
      <c r="AS233" s="124" cm="1">
        <f t="array" ref="AS233">AJ233</f>
      </c>
      <c r="AT233" t="s" s="130">
        <v>703</v>
      </c>
      <c r="AU233" s="124" cm="1">
        <f t="array" ref="AU233">AJ233</f>
      </c>
      <c r="AV233" s="124"/>
      <c r="AW233" t="str" s="131" cm="1">
        <f t="array" ref="AW233">"600/"&amp;$B233&amp;"/"&amp;IF(AND($AE233="Konsultansi",M233&lt;=100000000),"SPK",IF(AND($AE233="Konsultansi",M233&gt;100000000),"Kont",IF(AND($AE233&lt;&gt;"Konsultansi",M233&lt;=200000000),"SPK","Kont")))&amp;"-"&amp;AE233&amp;"/PPK/DPUPR"</f>
        <v>600//SPK-Barang/PPK/DPUPR</v>
      </c>
      <c r="AX233" t="str" s="131" cm="1">
        <f t="array" ref="AX233">"600/"&amp;$B233&amp;"/SPMK/PPK/DPUPR"</f>
        <v>600//SPMK/PPK/DPUPR</v>
      </c>
      <c r="AY233" s="124"/>
      <c r="AZ233" s="124"/>
      <c r="BA233" s="124"/>
      <c r="BB233" s="124"/>
      <c r="BC233" s="124"/>
      <c r="BD233" s="124"/>
      <c r="BE233" s="124"/>
      <c r="BF233" s="124"/>
      <c r="BG233" s="132"/>
      <c r="BH233" t="s" s="127">
        <v>683</v>
      </c>
      <c r="BI233" t="s" s="127">
        <v>21</v>
      </c>
      <c r="BJ233" t="s" s="127">
        <v>22</v>
      </c>
      <c r="BK233" t="s" s="127">
        <v>23</v>
      </c>
      <c r="BL233" t="s" s="127">
        <v>24</v>
      </c>
      <c r="BM233" s="124"/>
      <c r="BN233" s="124"/>
      <c r="BO233" s="124"/>
      <c r="BP233" s="124"/>
      <c r="BQ233" s="124"/>
      <c r="BR233" t="b" s="122">
        <v>0</v>
      </c>
      <c r="BS233" s="125" cm="1">
        <f t="array" ref="BS233">IF(M233&lt;=0.8*K233,5%*K233,M233*5%)</f>
        <v>0</v>
      </c>
      <c r="BT233" t="s" s="127">
        <v>705</v>
      </c>
      <c r="BU233" s="124"/>
      <c r="BV233" s="125" cm="1">
        <f t="array" ref="BV233">J233-M233</f>
        <v>0</v>
      </c>
    </row>
    <row r="234" ht="24.5" customHeight="1">
      <c r="A234" s="34"/>
      <c r="B234" s="35">
        <v>5000</v>
      </c>
      <c r="C234" s="34"/>
      <c r="D234" s="133"/>
      <c r="E234" s="134" cm="1">
        <f t="array" ref="E234">C234</f>
        <v>0</v>
      </c>
      <c r="F234" s="133"/>
      <c r="G234" s="133"/>
      <c r="H234" s="133"/>
      <c r="I234" s="133"/>
      <c r="J234" s="135"/>
      <c r="K234" s="135"/>
      <c r="L234" s="136"/>
      <c r="M234" s="40"/>
      <c r="N234" t="s" s="137">
        <v>676</v>
      </c>
      <c r="O234" t="s" s="43">
        <v>676</v>
      </c>
      <c r="P234" t="s" s="137">
        <v>676</v>
      </c>
      <c r="Q234" t="s" s="137">
        <v>676</v>
      </c>
      <c r="R234" t="s" s="137">
        <v>676</v>
      </c>
      <c r="S234" t="s" s="137">
        <v>676</v>
      </c>
      <c r="T234" t="s" s="137">
        <v>676</v>
      </c>
      <c r="U234" t="s" s="137">
        <v>676</v>
      </c>
      <c r="V234" t="s" s="137">
        <v>676</v>
      </c>
      <c r="W234" t="s" s="137">
        <v>676</v>
      </c>
      <c r="X234" s="133"/>
      <c r="Y234" s="138"/>
      <c r="Z234" s="135" cm="1">
        <f t="array" ref="Z234">M234</f>
        <v>0</v>
      </c>
      <c r="AA234" s="133"/>
      <c r="AB234" s="139" cm="1">
        <f t="array" ref="AB234">AH234</f>
      </c>
      <c r="AC234" s="133"/>
      <c r="AD234" s="138"/>
      <c r="AE234" t="s" s="137">
        <v>110</v>
      </c>
      <c r="AF234" s="133"/>
      <c r="AG234" s="44"/>
      <c r="AH234" s="44"/>
      <c r="AI234" s="44"/>
      <c r="AJ234" s="44"/>
      <c r="AK234" s="44"/>
      <c r="AL234" s="44"/>
      <c r="AM234" s="44" cm="1">
        <f t="array" ref="AM234">AL234</f>
      </c>
      <c r="AN234" t="s" s="137">
        <v>1942</v>
      </c>
      <c r="AO234" s="138" cm="1">
        <f t="array" ref="AO234">AJ234</f>
      </c>
      <c r="AP234" t="s" s="137">
        <v>1943</v>
      </c>
      <c r="AQ234" s="138" cm="1">
        <f t="array" ref="AQ234">AJ234</f>
      </c>
      <c r="AR234" t="s" s="137">
        <v>1944</v>
      </c>
      <c r="AS234" s="138" cm="1">
        <f t="array" ref="AS234">AJ234</f>
      </c>
      <c r="AT234" t="s" s="140">
        <v>1945</v>
      </c>
      <c r="AU234" s="138" cm="1">
        <f t="array" ref="AU234">AJ234</f>
      </c>
      <c r="AV234" s="138"/>
      <c r="AW234" t="str" s="141" cm="1">
        <f t="array" ref="AW234">"600/"&amp;$B234&amp;"/"&amp;IF(AND($AE234="Konsultansi",M234&lt;=100000000),"SPK",IF(AND($AE234="Konsultansi",M234&gt;100000000),"Kont",IF(AND($AE234&lt;&gt;"Konsultansi",M234&lt;=200000000),"SPK","Kont")))&amp;"-"&amp;AE234&amp;"/PPK/DPUPR"</f>
        <v>600/5000/SPK-Konstruksi/PPK/DPUPR</v>
      </c>
      <c r="AX234" t="str" s="141" cm="1">
        <f t="array" ref="AX234">"600/"&amp;$B234&amp;"/SPMK/PPK/DPUPR"</f>
        <v>600/5000/SPMK/PPK/DPUPR</v>
      </c>
      <c r="AY234" s="133"/>
      <c r="AZ234" s="133"/>
      <c r="BA234" s="133"/>
      <c r="BB234" s="133"/>
      <c r="BC234" s="133"/>
      <c r="BD234" s="133"/>
      <c r="BE234" s="133"/>
      <c r="BF234" s="133"/>
      <c r="BG234" s="142"/>
      <c r="BH234" t="s" s="137">
        <v>683</v>
      </c>
      <c r="BI234" t="s" s="137">
        <v>1948</v>
      </c>
      <c r="BJ234" t="s" s="137">
        <v>22</v>
      </c>
      <c r="BK234" t="s" s="137">
        <v>23</v>
      </c>
      <c r="BL234" t="s" s="137">
        <v>24</v>
      </c>
      <c r="BM234" s="133"/>
      <c r="BN234" s="133"/>
      <c r="BO234" s="133"/>
      <c r="BP234" s="133"/>
      <c r="BQ234" s="133"/>
      <c r="BR234" t="b" s="134">
        <v>0</v>
      </c>
      <c r="BS234" s="135" cm="1">
        <f t="array" ref="BS234">IF(M234&lt;=0.8*K234,5%*K234,M234*5%)</f>
        <v>0</v>
      </c>
      <c r="BT234" t="s" s="137">
        <v>705</v>
      </c>
      <c r="BU234" s="133"/>
      <c r="BV234" s="143" cm="1">
        <f t="array" ref="BV234">SUBTOTAL(9,BV5:BV233)</f>
        <v>1090172092.17</v>
      </c>
    </row>
    <row r="235" ht="24.25" customHeight="1">
      <c r="A235" s="49"/>
      <c r="B235" s="49"/>
      <c r="C235" s="49"/>
      <c r="D235" s="108"/>
      <c r="E235" s="108"/>
      <c r="F235" s="108"/>
      <c r="G235" s="144">
        <v>293085679</v>
      </c>
      <c r="H235" s="145" cm="1">
        <f t="array" ref="H235">J$235-M$235</f>
        <v>1090172092.17</v>
      </c>
      <c r="I235" s="108"/>
      <c r="J235" s="146" cm="1">
        <f t="array" ref="J235">SUBTOTAL(9,J5:J233)</f>
        <v>105492891971</v>
      </c>
      <c r="K235" s="147" cm="1">
        <f t="array" ref="K235">SUBTOTAL(9,K5:K233)</f>
        <v>1764955099858.66</v>
      </c>
      <c r="L235" s="147" cm="1">
        <f t="array" ref="L235">SUBTOTAL(9,L5:L233)</f>
        <v>104404209382.56</v>
      </c>
      <c r="M235" s="147" cm="1">
        <f t="array" ref="M235">SUBTOTAL(9,M5:M233)</f>
        <v>104402719878.83</v>
      </c>
      <c r="N235" s="148"/>
      <c r="O235" s="149"/>
      <c r="P235" s="148"/>
      <c r="Q235" s="148"/>
      <c r="R235" s="148"/>
      <c r="S235" s="148"/>
      <c r="T235" s="148"/>
      <c r="U235" s="148"/>
      <c r="V235" s="148"/>
      <c r="W235" s="148"/>
      <c r="X235" s="108"/>
      <c r="Y235" s="148"/>
      <c r="Z235" s="146"/>
      <c r="AA235" s="108"/>
      <c r="AB235" s="150"/>
      <c r="AC235" s="108"/>
      <c r="AD235" s="148"/>
      <c r="AE235" t="s" s="151">
        <v>701</v>
      </c>
      <c r="AF235" s="108"/>
      <c r="AG235" s="72"/>
      <c r="AH235" s="72"/>
      <c r="AI235" s="72"/>
      <c r="AJ235" s="72"/>
      <c r="AK235" s="72"/>
      <c r="AL235" s="72"/>
      <c r="AM235" s="72"/>
      <c r="AN235" s="148"/>
      <c r="AO235" s="148"/>
      <c r="AP235" s="148"/>
      <c r="AQ235" s="148"/>
      <c r="AR235" s="148"/>
      <c r="AS235" s="148"/>
      <c r="AT235" s="108"/>
      <c r="AU235" s="148"/>
      <c r="AV235" s="148"/>
      <c r="AW235" s="152"/>
      <c r="AX235" s="152"/>
      <c r="AY235" s="108"/>
      <c r="AZ235" s="108"/>
      <c r="BA235" s="108"/>
      <c r="BB235" s="108"/>
      <c r="BC235" s="108"/>
      <c r="BD235" s="108"/>
      <c r="BE235" s="108"/>
      <c r="BF235" s="108"/>
      <c r="BG235" s="102"/>
      <c r="BH235" s="148"/>
      <c r="BI235" t="s" s="151">
        <v>21</v>
      </c>
      <c r="BJ235" t="s" s="151">
        <v>22</v>
      </c>
      <c r="BK235" t="s" s="151">
        <v>23</v>
      </c>
      <c r="BL235" t="s" s="151">
        <v>24</v>
      </c>
      <c r="BM235" s="108"/>
      <c r="BN235" s="108"/>
      <c r="BO235" s="108"/>
      <c r="BP235" s="108"/>
      <c r="BQ235" s="108"/>
      <c r="BR235" t="b" s="153">
        <v>0</v>
      </c>
      <c r="BS235" s="148"/>
      <c r="BT235" s="148"/>
      <c r="BU235" s="108"/>
      <c r="BV235" s="144"/>
    </row>
    <row r="236" ht="24.25" customHeight="1">
      <c r="A236" s="49"/>
      <c r="B236" s="49"/>
      <c r="C236" s="49"/>
      <c r="D236" s="108"/>
      <c r="E236" s="108"/>
      <c r="F236" s="108"/>
      <c r="G236" s="108"/>
      <c r="H236" s="108"/>
      <c r="I236" s="108"/>
      <c r="J236" s="146"/>
      <c r="K236" s="146"/>
      <c r="L236" s="146"/>
      <c r="M236" s="147" cm="1">
        <f t="array" ref="M236">J$235-M$235</f>
        <v>1090172092.17</v>
      </c>
      <c r="N236" s="148"/>
      <c r="O236" s="149"/>
      <c r="P236" s="148"/>
      <c r="Q236" s="148"/>
      <c r="R236" s="148"/>
      <c r="S236" s="148"/>
      <c r="T236" s="148"/>
      <c r="U236" s="148"/>
      <c r="V236" s="148"/>
      <c r="W236" s="148"/>
      <c r="X236" s="108"/>
      <c r="Y236" s="148"/>
      <c r="Z236" s="146"/>
      <c r="AA236" s="108"/>
      <c r="AB236" s="150"/>
      <c r="AC236" s="108"/>
      <c r="AD236" s="148"/>
      <c r="AE236" t="s" s="151">
        <v>701</v>
      </c>
      <c r="AF236" s="108"/>
      <c r="AG236" s="72"/>
      <c r="AH236" s="72"/>
      <c r="AI236" s="72"/>
      <c r="AJ236" s="72"/>
      <c r="AK236" s="72"/>
      <c r="AL236" s="72"/>
      <c r="AM236" s="72"/>
      <c r="AN236" s="148"/>
      <c r="AO236" s="148"/>
      <c r="AP236" s="148"/>
      <c r="AQ236" s="148"/>
      <c r="AR236" s="148"/>
      <c r="AS236" s="148"/>
      <c r="AT236" s="108"/>
      <c r="AU236" s="148"/>
      <c r="AV236" s="148"/>
      <c r="AW236" s="152"/>
      <c r="AX236" s="152"/>
      <c r="AY236" s="108"/>
      <c r="AZ236" s="108"/>
      <c r="BA236" s="108"/>
      <c r="BB236" s="108"/>
      <c r="BC236" s="108"/>
      <c r="BD236" s="108"/>
      <c r="BE236" s="108"/>
      <c r="BF236" s="108"/>
      <c r="BG236" s="102"/>
      <c r="BH236" s="148"/>
      <c r="BI236" t="s" s="151">
        <v>21</v>
      </c>
      <c r="BJ236" t="s" s="151">
        <v>22</v>
      </c>
      <c r="BK236" t="s" s="151">
        <v>23</v>
      </c>
      <c r="BL236" t="s" s="151">
        <v>24</v>
      </c>
      <c r="BM236" s="108"/>
      <c r="BN236" s="108"/>
      <c r="BO236" s="108"/>
      <c r="BP236" s="108"/>
      <c r="BQ236" s="108"/>
      <c r="BR236" t="b" s="153">
        <v>0</v>
      </c>
      <c r="BS236" s="148"/>
      <c r="BT236" s="148"/>
      <c r="BU236" s="108"/>
      <c r="BV236" s="144"/>
    </row>
    <row r="237" ht="24.25" customHeight="1">
      <c r="A237" s="49"/>
      <c r="B237" s="49"/>
      <c r="C237" s="49"/>
      <c r="D237" s="108"/>
      <c r="E237" s="108"/>
      <c r="F237" s="108"/>
      <c r="G237" s="108"/>
      <c r="H237" s="108"/>
      <c r="I237" s="108"/>
      <c r="J237" s="146"/>
      <c r="K237" s="146"/>
      <c r="L237" s="146"/>
      <c r="M237" s="146"/>
      <c r="N237" s="148"/>
      <c r="O237" s="149"/>
      <c r="P237" s="148"/>
      <c r="Q237" s="148"/>
      <c r="R237" s="148"/>
      <c r="S237" s="148"/>
      <c r="T237" s="148"/>
      <c r="U237" s="148"/>
      <c r="V237" s="148"/>
      <c r="W237" s="148"/>
      <c r="X237" s="108"/>
      <c r="Y237" s="148"/>
      <c r="Z237" s="146"/>
      <c r="AA237" s="108"/>
      <c r="AB237" s="150"/>
      <c r="AC237" s="108"/>
      <c r="AD237" s="148"/>
      <c r="AE237" t="s" s="151">
        <v>701</v>
      </c>
      <c r="AF237" s="108"/>
      <c r="AG237" s="72"/>
      <c r="AH237" s="72"/>
      <c r="AI237" s="72"/>
      <c r="AJ237" s="72"/>
      <c r="AK237" s="72"/>
      <c r="AL237" s="72"/>
      <c r="AM237" s="72"/>
      <c r="AN237" s="148"/>
      <c r="AO237" s="148"/>
      <c r="AP237" s="148"/>
      <c r="AQ237" s="148"/>
      <c r="AR237" s="148"/>
      <c r="AS237" s="148"/>
      <c r="AT237" s="108"/>
      <c r="AU237" s="148"/>
      <c r="AV237" s="148"/>
      <c r="AW237" s="152"/>
      <c r="AX237" s="152"/>
      <c r="AY237" s="108"/>
      <c r="AZ237" s="108"/>
      <c r="BA237" s="108"/>
      <c r="BB237" s="108"/>
      <c r="BC237" s="108"/>
      <c r="BD237" s="108"/>
      <c r="BE237" s="108"/>
      <c r="BF237" s="108"/>
      <c r="BG237" s="102"/>
      <c r="BH237" s="148"/>
      <c r="BI237" t="s" s="151">
        <v>21</v>
      </c>
      <c r="BJ237" t="s" s="151">
        <v>22</v>
      </c>
      <c r="BK237" t="s" s="151">
        <v>23</v>
      </c>
      <c r="BL237" t="s" s="151">
        <v>24</v>
      </c>
      <c r="BM237" s="108"/>
      <c r="BN237" s="108"/>
      <c r="BO237" s="108"/>
      <c r="BP237" s="108"/>
      <c r="BQ237" s="108"/>
      <c r="BR237" t="b" s="153">
        <v>0</v>
      </c>
      <c r="BS237" s="148"/>
      <c r="BT237" s="148"/>
      <c r="BU237" s="108"/>
      <c r="BV237" s="144"/>
    </row>
    <row r="238" ht="24.25" customHeight="1">
      <c r="A238" s="49"/>
      <c r="B238" s="49"/>
      <c r="C238" s="49"/>
      <c r="D238" s="108"/>
      <c r="E238" s="108"/>
      <c r="F238" s="108"/>
      <c r="G238" s="108"/>
      <c r="H238" s="108"/>
      <c r="I238" s="108"/>
      <c r="J238" s="146"/>
      <c r="K238" s="146"/>
      <c r="L238" s="146"/>
      <c r="M238" s="146"/>
      <c r="N238" s="148"/>
      <c r="O238" s="149"/>
      <c r="P238" s="148"/>
      <c r="Q238" s="148"/>
      <c r="R238" s="148"/>
      <c r="S238" s="148"/>
      <c r="T238" s="148"/>
      <c r="U238" s="148"/>
      <c r="V238" s="148"/>
      <c r="W238" s="148"/>
      <c r="X238" s="108"/>
      <c r="Y238" s="148"/>
      <c r="Z238" s="146"/>
      <c r="AA238" s="108"/>
      <c r="AB238" s="150"/>
      <c r="AC238" s="108"/>
      <c r="AD238" s="148"/>
      <c r="AE238" t="s" s="151">
        <v>701</v>
      </c>
      <c r="AF238" s="108"/>
      <c r="AG238" s="72"/>
      <c r="AH238" s="72"/>
      <c r="AI238" s="72"/>
      <c r="AJ238" s="72"/>
      <c r="AK238" s="72"/>
      <c r="AL238" s="72"/>
      <c r="AM238" s="72"/>
      <c r="AN238" s="148"/>
      <c r="AO238" s="148"/>
      <c r="AP238" s="148"/>
      <c r="AQ238" s="148"/>
      <c r="AR238" s="148"/>
      <c r="AS238" s="148"/>
      <c r="AT238" s="108"/>
      <c r="AU238" s="148"/>
      <c r="AV238" s="148"/>
      <c r="AW238" s="152"/>
      <c r="AX238" s="152"/>
      <c r="AY238" s="108"/>
      <c r="AZ238" s="108"/>
      <c r="BA238" s="108"/>
      <c r="BB238" s="108"/>
      <c r="BC238" s="108"/>
      <c r="BD238" s="108"/>
      <c r="BE238" s="108"/>
      <c r="BF238" s="108"/>
      <c r="BG238" s="102"/>
      <c r="BH238" s="148"/>
      <c r="BI238" t="s" s="151">
        <v>21</v>
      </c>
      <c r="BJ238" t="s" s="151">
        <v>22</v>
      </c>
      <c r="BK238" t="s" s="151">
        <v>23</v>
      </c>
      <c r="BL238" t="s" s="151">
        <v>24</v>
      </c>
      <c r="BM238" s="108"/>
      <c r="BN238" s="108"/>
      <c r="BO238" s="108"/>
      <c r="BP238" s="108"/>
      <c r="BQ238" s="108"/>
      <c r="BR238" t="b" s="153">
        <v>0</v>
      </c>
      <c r="BS238" s="148"/>
      <c r="BT238" s="148"/>
      <c r="BU238" s="108"/>
      <c r="BV238" s="144"/>
    </row>
  </sheetData>
  <mergeCells count="1">
    <mergeCell ref="A3:A4"/>
  </mergeCells>
  <conditionalFormatting sqref="J1:M1">
    <cfRule type="cellIs" dxfId="0" priority="1" operator="notEqual" stopIfTrue="1">
      <formula>#REF!</formula>
    </cfRule>
  </conditionalFormatting>
  <conditionalFormatting sqref="AG1:AM2 AG5:AM70 AH71:AM82 AK83:AM83 AH84:AM89 AK90:AM93 AH94:AM95 AH99:AM99 AK100:AM100 AH101:AM110 AK111:AM111 AH112:AM113 AH115:AM116 AG117:AM117 AH118:AM118 AG119:AM119 AH120:AM120 AG121:AM123 AH124:AM153 AI154:AM155 AH156:AM213 AJ214:AM214 AH215:AM215 AG216:AM216 AH217:AM217 AG218:AM218 AH219:AM233 AG234:AM238">
    <cfRule type="cellIs" dxfId="1" priority="1" operator="greaterThan" stopIfTrue="1">
      <formula>#REF!</formula>
    </cfRule>
    <cfRule type="cellIs" dxfId="2" priority="2" operator="lessThan" stopIfTrue="1">
      <formula>#REF!</formula>
    </cfRule>
  </conditionalFormatting>
  <conditionalFormatting sqref="D5:E88 D89:D113 E90:E113 D115:E233 C234:E238">
    <cfRule type="containsBlanks" dxfId="3" priority="1" stopIfTrue="1">
      <formula>ISBLANK(D5)</formula>
    </cfRule>
  </conditionalFormatting>
  <conditionalFormatting sqref="K5 K10:K46 L16:M16 K48:K51 K53:K72 K76:K97 K99 K101:K113 K116 K172:K234 J235:M235 K236:M238">
    <cfRule type="cellIs" dxfId="4" priority="1" operator="greaterThan" stopIfTrue="1">
      <formula>J$5</formula>
    </cfRule>
  </conditionalFormatting>
  <conditionalFormatting sqref="L5:L15 L17:L68 L234">
    <cfRule type="cellIs" dxfId="5" priority="1" operator="greaterThan" stopIfTrue="1">
      <formula>J$5</formula>
    </cfRule>
    <cfRule type="cellIs" dxfId="6" priority="2" operator="greaterThan" stopIfTrue="1">
      <formula>K$5</formula>
    </cfRule>
  </conditionalFormatting>
  <conditionalFormatting sqref="M5:M15 M17:M79 L80:M82 M83 L84:M88 M89:M90 L91:M99 M100 L101:M104 M105:M108 L109:M110 M111 L112:M112 M113 L115:M116 M117:M132 M134:M171 L172:M213 L214:L233 M216:M228 M234">
    <cfRule type="cellIs" dxfId="7" priority="1" operator="greaterThan" stopIfTrue="1">
      <formula>K$5</formula>
    </cfRule>
    <cfRule type="cellIs" dxfId="8" priority="2" operator="greaterThan" stopIfTrue="1">
      <formula>L$5</formula>
    </cfRule>
  </conditionalFormatting>
  <conditionalFormatting sqref="X5:X113 BG5:BG113 X115:X238 BG115:BG238">
    <cfRule type="cellIs" dxfId="9" priority="1" operator="lessThan" stopIfTrue="1">
      <formula>1</formula>
    </cfRule>
  </conditionalFormatting>
  <conditionalFormatting sqref="Y5:Y113 Y115:Y238">
    <cfRule type="containsBlanks" dxfId="10" priority="1" stopIfTrue="1">
      <formula>ISBLANK(Y5)</formula>
    </cfRule>
  </conditionalFormatting>
  <conditionalFormatting sqref="AA5:AB113 AA115:AB238">
    <cfRule type="containsBlanks" dxfId="11" priority="1" stopIfTrue="1">
      <formula>ISBLANK(AA5)</formula>
    </cfRule>
  </conditionalFormatting>
  <conditionalFormatting sqref="K6:K9">
    <cfRule type="cellIs" dxfId="12" priority="1" operator="greaterThan" stopIfTrue="1">
      <formula>J$7</formula>
    </cfRule>
  </conditionalFormatting>
  <conditionalFormatting sqref="K47 K146">
    <cfRule type="cellIs" dxfId="13" priority="1" operator="greaterThan" stopIfTrue="1">
      <formula>J$54</formula>
    </cfRule>
  </conditionalFormatting>
  <conditionalFormatting sqref="K52 K134:K135 K141:K143">
    <cfRule type="cellIs" dxfId="14" priority="1" operator="greaterThan" stopIfTrue="1">
      <formula>J$47</formula>
    </cfRule>
  </conditionalFormatting>
  <conditionalFormatting sqref="L69:L70">
    <cfRule type="cellIs" dxfId="15" priority="1" operator="greaterThan" stopIfTrue="1">
      <formula>J$76</formula>
    </cfRule>
    <cfRule type="cellIs" dxfId="16" priority="2" operator="greaterThan" stopIfTrue="1">
      <formula>K$69</formula>
    </cfRule>
  </conditionalFormatting>
  <conditionalFormatting sqref="L71 L73:L74 L135">
    <cfRule type="cellIs" dxfId="17" priority="1" operator="greaterThan" stopIfTrue="1">
      <formula>J$72</formula>
    </cfRule>
    <cfRule type="cellIs" dxfId="18" priority="2" operator="greaterThan" stopIfTrue="1">
      <formula>K$71</formula>
    </cfRule>
  </conditionalFormatting>
  <conditionalFormatting sqref="AG71:AG96 AH83:AJ83 AH90:AJ93 AH96:AM96 AG97:AM98 AG99:AG113 AH100:AJ100 AH111:AJ111 AG115:AG116 AG118 AG120 AG124:AG153 AH154:AH155 AG156:AG159 AG161:AG215 AH214:AI214 AG217 AG219:AG233">
    <cfRule type="cellIs" dxfId="19" priority="1" operator="greaterThan" stopIfTrue="1">
      <formula>#REF!</formula>
    </cfRule>
    <cfRule type="cellIs" dxfId="20" priority="2" operator="lessThan" stopIfTrue="1">
      <formula>#REF!</formula>
    </cfRule>
  </conditionalFormatting>
  <conditionalFormatting sqref="L72">
    <cfRule type="cellIs" dxfId="21" priority="1" operator="greaterThan" stopIfTrue="1">
      <formula>J$111</formula>
    </cfRule>
    <cfRule type="cellIs" dxfId="22" priority="2" operator="greaterThan" stopIfTrue="1">
      <formula>K$72</formula>
    </cfRule>
  </conditionalFormatting>
  <conditionalFormatting sqref="K73 K75">
    <cfRule type="cellIs" dxfId="23" priority="1" operator="greaterThan" stopIfTrue="1">
      <formula>J$72</formula>
    </cfRule>
  </conditionalFormatting>
  <conditionalFormatting sqref="K74">
    <cfRule type="cellIs" dxfId="24" priority="1" operator="greaterThan" stopIfTrue="1">
      <formula>J$72</formula>
    </cfRule>
  </conditionalFormatting>
  <conditionalFormatting sqref="L75">
    <cfRule type="cellIs" dxfId="25" priority="1" operator="greaterThan" stopIfTrue="1">
      <formula>J$111</formula>
    </cfRule>
    <cfRule type="cellIs" dxfId="26" priority="2" operator="greaterThan" stopIfTrue="1">
      <formula>K$75</formula>
    </cfRule>
  </conditionalFormatting>
  <conditionalFormatting sqref="L76 L79 L125:L130 L136:L137">
    <cfRule type="cellIs" dxfId="27" priority="1" operator="greaterThan" stopIfTrue="1">
      <formula>J$78</formula>
    </cfRule>
    <cfRule type="cellIs" dxfId="28" priority="2" operator="greaterThan" stopIfTrue="1">
      <formula>K$76</formula>
    </cfRule>
  </conditionalFormatting>
  <conditionalFormatting sqref="L77">
    <cfRule type="cellIs" dxfId="29" priority="1" operator="greaterThan" stopIfTrue="1">
      <formula>K$77</formula>
    </cfRule>
    <cfRule type="cellIs" dxfId="30" priority="2" operator="greaterThan" stopIfTrue="1">
      <formula>K$77</formula>
    </cfRule>
  </conditionalFormatting>
  <conditionalFormatting sqref="L78">
    <cfRule type="cellIs" dxfId="31" priority="1" operator="greaterThan" stopIfTrue="1">
      <formula>J$235</formula>
    </cfRule>
    <cfRule type="cellIs" dxfId="32" priority="2" operator="greaterThan" stopIfTrue="1">
      <formula>K$78</formula>
    </cfRule>
  </conditionalFormatting>
  <conditionalFormatting sqref="L83">
    <cfRule type="cellIs" dxfId="33" priority="1" operator="greaterThan" stopIfTrue="1">
      <formula>J$93</formula>
    </cfRule>
    <cfRule type="cellIs" dxfId="34" priority="2" operator="greaterThan" stopIfTrue="1">
      <formula>K$83</formula>
    </cfRule>
  </conditionalFormatting>
  <conditionalFormatting sqref="L89 L123:L124">
    <cfRule type="cellIs" dxfId="35" priority="1" operator="greaterThan" stopIfTrue="1">
      <formula>J$92</formula>
    </cfRule>
    <cfRule type="cellIs" dxfId="36" priority="2" operator="greaterThan" stopIfTrue="1">
      <formula>K$89</formula>
    </cfRule>
  </conditionalFormatting>
  <conditionalFormatting sqref="L90 L117 L122">
    <cfRule type="cellIs" dxfId="37" priority="1" operator="greaterThan" stopIfTrue="1">
      <formula>J$94</formula>
    </cfRule>
    <cfRule type="cellIs" dxfId="38" priority="2" operator="greaterThan" stopIfTrue="1">
      <formula>K$90</formula>
    </cfRule>
  </conditionalFormatting>
  <conditionalFormatting sqref="K100">
    <cfRule type="cellIs" dxfId="39" priority="1" operator="greaterThan" stopIfTrue="1">
      <formula>J$136</formula>
    </cfRule>
  </conditionalFormatting>
  <conditionalFormatting sqref="L100">
    <cfRule type="cellIs" dxfId="40" priority="1" operator="greaterThan" stopIfTrue="1">
      <formula>J$233</formula>
    </cfRule>
    <cfRule type="cellIs" dxfId="41" priority="2" operator="greaterThan" stopIfTrue="1">
      <formula>K$100</formula>
    </cfRule>
  </conditionalFormatting>
  <conditionalFormatting sqref="L105:L107">
    <cfRule type="cellIs" dxfId="42" priority="1" operator="greaterThan" stopIfTrue="1">
      <formula>J$106</formula>
    </cfRule>
    <cfRule type="cellIs" dxfId="43" priority="2" operator="greaterThan" stopIfTrue="1">
      <formula>K$105</formula>
    </cfRule>
  </conditionalFormatting>
  <conditionalFormatting sqref="L108">
    <cfRule type="cellIs" dxfId="44" priority="1" operator="greaterThan" stopIfTrue="1">
      <formula>J$112</formula>
    </cfRule>
    <cfRule type="cellIs" dxfId="45" priority="2" operator="greaterThan" stopIfTrue="1">
      <formula>K$108</formula>
    </cfRule>
  </conditionalFormatting>
  <conditionalFormatting sqref="L111">
    <cfRule type="cellIs" dxfId="46" priority="1" operator="greaterThan" stopIfTrue="1">
      <formula>J$76</formula>
    </cfRule>
    <cfRule type="cellIs" dxfId="47" priority="2" operator="greaterThan" stopIfTrue="1">
      <formula>K$111</formula>
    </cfRule>
  </conditionalFormatting>
  <conditionalFormatting sqref="L113">
    <cfRule type="cellIs" dxfId="48" priority="1" operator="greaterThan" stopIfTrue="1">
      <formula>J$235</formula>
    </cfRule>
    <cfRule type="cellIs" dxfId="49" priority="2" operator="greaterThan" stopIfTrue="1">
      <formula>K$113</formula>
    </cfRule>
  </conditionalFormatting>
  <conditionalFormatting sqref="K115">
    <cfRule type="cellIs" dxfId="50" priority="1" operator="greaterThan" stopIfTrue="1">
      <formula>J$97</formula>
    </cfRule>
  </conditionalFormatting>
  <conditionalFormatting sqref="K117 K120">
    <cfRule type="cellIs" dxfId="51" priority="1" operator="greaterThan" stopIfTrue="1">
      <formula>J$101</formula>
    </cfRule>
  </conditionalFormatting>
  <conditionalFormatting sqref="K118">
    <cfRule type="cellIs" dxfId="52" priority="1" operator="greaterThan" stopIfTrue="1">
      <formula>J$101</formula>
    </cfRule>
  </conditionalFormatting>
  <conditionalFormatting sqref="L118 L120 L138:L139">
    <cfRule type="cellIs" dxfId="53" priority="1" operator="greaterThan" stopIfTrue="1">
      <formula>J$124</formula>
    </cfRule>
    <cfRule type="cellIs" dxfId="54" priority="2" operator="greaterThan" stopIfTrue="1">
      <formula>K$118</formula>
    </cfRule>
  </conditionalFormatting>
  <conditionalFormatting sqref="K119">
    <cfRule type="cellIs" dxfId="55" priority="1" operator="greaterThan" stopIfTrue="1">
      <formula>J$104</formula>
    </cfRule>
  </conditionalFormatting>
  <conditionalFormatting sqref="L119 L121">
    <cfRule type="cellIs" dxfId="56" priority="1" operator="greaterThan" stopIfTrue="1">
      <formula>J$124</formula>
    </cfRule>
    <cfRule type="cellIs" dxfId="57" priority="2" operator="greaterThan" stopIfTrue="1">
      <formula>K$119</formula>
    </cfRule>
  </conditionalFormatting>
  <conditionalFormatting sqref="K121">
    <cfRule type="cellIs" dxfId="58" priority="1" operator="greaterThan" stopIfTrue="1">
      <formula>J$112</formula>
    </cfRule>
  </conditionalFormatting>
  <conditionalFormatting sqref="K122 K130 K156:K162">
    <cfRule type="cellIs" dxfId="59" priority="1" operator="greaterThan" stopIfTrue="1">
      <formula>J$112</formula>
    </cfRule>
  </conditionalFormatting>
  <conditionalFormatting sqref="K123 K129 K147:K150">
    <cfRule type="cellIs" dxfId="60" priority="1" operator="greaterThan" stopIfTrue="1">
      <formula>J$112</formula>
    </cfRule>
  </conditionalFormatting>
  <conditionalFormatting sqref="K124:K125 K127:K128">
    <cfRule type="cellIs" dxfId="61" priority="1" operator="greaterThan" stopIfTrue="1">
      <formula>J$112</formula>
    </cfRule>
  </conditionalFormatting>
  <conditionalFormatting sqref="K126">
    <cfRule type="cellIs" dxfId="62" priority="1" operator="greaterThan" stopIfTrue="1">
      <formula>J$113</formula>
    </cfRule>
  </conditionalFormatting>
  <conditionalFormatting sqref="K131 K151:K152 K163:K165 K169:K170">
    <cfRule type="cellIs" dxfId="63" priority="1" operator="greaterThan" stopIfTrue="1">
      <formula>J$124</formula>
    </cfRule>
  </conditionalFormatting>
  <conditionalFormatting sqref="L131:L132">
    <cfRule type="cellIs" dxfId="64" priority="1" operator="greaterThan" stopIfTrue="1">
      <formula>J$234</formula>
    </cfRule>
    <cfRule type="cellIs" dxfId="65" priority="2" operator="greaterThan" stopIfTrue="1">
      <formula>K$131</formula>
    </cfRule>
  </conditionalFormatting>
  <conditionalFormatting sqref="K132">
    <cfRule type="cellIs" dxfId="66" priority="1" operator="greaterThan" stopIfTrue="1">
      <formula>J$126</formula>
    </cfRule>
  </conditionalFormatting>
  <conditionalFormatting sqref="K133">
    <cfRule type="cellIs" dxfId="67" priority="1" operator="greaterThan" stopIfTrue="1">
      <formula>J$161</formula>
    </cfRule>
  </conditionalFormatting>
  <conditionalFormatting sqref="L133:M133">
    <cfRule type="cellIs" dxfId="68" priority="1" operator="greaterThan" stopIfTrue="1">
      <formula>J$169</formula>
    </cfRule>
    <cfRule type="cellIs" dxfId="69" priority="2" operator="greaterThan" stopIfTrue="1">
      <formula>K$241</formula>
    </cfRule>
  </conditionalFormatting>
  <conditionalFormatting sqref="L134">
    <cfRule type="cellIs" dxfId="70" priority="1" operator="greaterThan" stopIfTrue="1">
      <formula>J$153</formula>
    </cfRule>
    <cfRule type="cellIs" dxfId="71" priority="2" operator="greaterThan" stopIfTrue="1">
      <formula>K$134</formula>
    </cfRule>
  </conditionalFormatting>
  <conditionalFormatting sqref="K136 K140">
    <cfRule type="cellIs" dxfId="72" priority="1" operator="greaterThan" stopIfTrue="1">
      <formula>J$132</formula>
    </cfRule>
  </conditionalFormatting>
  <conditionalFormatting sqref="K137:K138">
    <cfRule type="cellIs" dxfId="73" priority="1" operator="greaterThan" stopIfTrue="1">
      <formula>J$134</formula>
    </cfRule>
  </conditionalFormatting>
  <conditionalFormatting sqref="K139">
    <cfRule type="cellIs" dxfId="74" priority="1" operator="greaterThan" stopIfTrue="1">
      <formula>J$153</formula>
    </cfRule>
  </conditionalFormatting>
  <conditionalFormatting sqref="L140">
    <cfRule type="cellIs" dxfId="75" priority="1" operator="greaterThan" stopIfTrue="1">
      <formula>J$233</formula>
    </cfRule>
    <cfRule type="cellIs" dxfId="76" priority="2" operator="greaterThan" stopIfTrue="1">
      <formula>K$140</formula>
    </cfRule>
  </conditionalFormatting>
  <conditionalFormatting sqref="L141:L145">
    <cfRule type="cellIs" dxfId="77" priority="1" operator="greaterThan" stopIfTrue="1">
      <formula>J$231</formula>
    </cfRule>
    <cfRule type="cellIs" dxfId="78" priority="2" operator="greaterThan" stopIfTrue="1">
      <formula>K$141</formula>
    </cfRule>
  </conditionalFormatting>
  <conditionalFormatting sqref="K144:K145 K154:K155 K166:K168">
    <cfRule type="cellIs" dxfId="79" priority="1" operator="greaterThan" stopIfTrue="1">
      <formula>J$136</formula>
    </cfRule>
  </conditionalFormatting>
  <conditionalFormatting sqref="L146:L147 L165">
    <cfRule type="cellIs" dxfId="80" priority="1" operator="greaterThan" stopIfTrue="1">
      <formula>J$148</formula>
    </cfRule>
    <cfRule type="cellIs" dxfId="81" priority="2" operator="greaterThan" stopIfTrue="1">
      <formula>K$151</formula>
    </cfRule>
  </conditionalFormatting>
  <conditionalFormatting sqref="L148:L150">
    <cfRule type="cellIs" dxfId="82" priority="1" operator="greaterThan" stopIfTrue="1">
      <formula>J$150</formula>
    </cfRule>
    <cfRule type="cellIs" dxfId="83" priority="2" operator="greaterThan" stopIfTrue="1">
      <formula>K$156</formula>
    </cfRule>
  </conditionalFormatting>
  <conditionalFormatting sqref="L151:L152">
    <cfRule type="cellIs" dxfId="84" priority="1" operator="greaterThan" stopIfTrue="1">
      <formula>J$156</formula>
    </cfRule>
    <cfRule type="cellIs" dxfId="85" priority="2" operator="greaterThan" stopIfTrue="1">
      <formula>K$234</formula>
    </cfRule>
  </conditionalFormatting>
  <conditionalFormatting sqref="K153">
    <cfRule type="cellIs" dxfId="86" priority="1" operator="greaterThan" stopIfTrue="1">
      <formula>J$131</formula>
    </cfRule>
  </conditionalFormatting>
  <conditionalFormatting sqref="L153">
    <cfRule type="cellIs" dxfId="87" priority="1" operator="greaterThan" stopIfTrue="1">
      <formula>J$137</formula>
    </cfRule>
    <cfRule type="cellIs" dxfId="88" priority="2" operator="greaterThan" stopIfTrue="1">
      <formula>K$153</formula>
    </cfRule>
  </conditionalFormatting>
  <conditionalFormatting sqref="L154:L155">
    <cfRule type="cellIs" dxfId="89" priority="1" operator="greaterThan" stopIfTrue="1">
      <formula>J$156</formula>
    </cfRule>
    <cfRule type="cellIs" dxfId="90" priority="2" operator="greaterThan" stopIfTrue="1">
      <formula>K$234</formula>
    </cfRule>
  </conditionalFormatting>
  <conditionalFormatting sqref="L156">
    <cfRule type="cellIs" dxfId="91" priority="1" operator="greaterThan" stopIfTrue="1">
      <formula>J$158</formula>
    </cfRule>
    <cfRule type="cellIs" dxfId="92" priority="2" operator="greaterThan" stopIfTrue="1">
      <formula>K$241</formula>
    </cfRule>
  </conditionalFormatting>
  <conditionalFormatting sqref="L157:L158">
    <cfRule type="cellIs" dxfId="93" priority="1" operator="greaterThan" stopIfTrue="1">
      <formula>J$234</formula>
    </cfRule>
    <cfRule type="cellIs" dxfId="94" priority="2" operator="greaterThan" stopIfTrue="1">
      <formula>K$240</formula>
    </cfRule>
  </conditionalFormatting>
  <conditionalFormatting sqref="L159:L160 L164">
    <cfRule type="cellIs" dxfId="95" priority="1" operator="greaterThan" stopIfTrue="1">
      <formula>J$160</formula>
    </cfRule>
    <cfRule type="cellIs" dxfId="96" priority="2" operator="greaterThan" stopIfTrue="1">
      <formula>K$164</formula>
    </cfRule>
  </conditionalFormatting>
  <conditionalFormatting sqref="L161:L162">
    <cfRule type="cellIs" dxfId="97" priority="1" operator="greaterThan" stopIfTrue="1">
      <formula>J$162</formula>
    </cfRule>
    <cfRule type="cellIs" dxfId="98" priority="2" operator="greaterThan" stopIfTrue="1">
      <formula>K$167</formula>
    </cfRule>
  </conditionalFormatting>
  <conditionalFormatting sqref="L163">
    <cfRule type="cellIs" dxfId="99" priority="1" operator="greaterThan" stopIfTrue="1">
      <formula>J$164</formula>
    </cfRule>
    <cfRule type="cellIs" dxfId="100" priority="2" operator="greaterThan" stopIfTrue="1">
      <formula>K$133</formula>
    </cfRule>
  </conditionalFormatting>
  <conditionalFormatting sqref="L166:L167">
    <cfRule type="cellIs" dxfId="101" priority="1" operator="greaterThan" stopIfTrue="1">
      <formula>J$167</formula>
    </cfRule>
    <cfRule type="cellIs" dxfId="102" priority="2" operator="greaterThan" stopIfTrue="1">
      <formula>K$233</formula>
    </cfRule>
  </conditionalFormatting>
  <conditionalFormatting sqref="L168">
    <cfRule type="cellIs" dxfId="103" priority="1" operator="greaterThan" stopIfTrue="1">
      <formula>J$133</formula>
    </cfRule>
    <cfRule type="cellIs" dxfId="104" priority="2" operator="greaterThan" stopIfTrue="1">
      <formula>K$235</formula>
    </cfRule>
  </conditionalFormatting>
  <conditionalFormatting sqref="L169">
    <cfRule type="cellIs" dxfId="105" priority="1" operator="greaterThan" stopIfTrue="1">
      <formula>J$170</formula>
    </cfRule>
    <cfRule type="cellIs" dxfId="106" priority="2" operator="greaterThan" stopIfTrue="1">
      <formula>K$241</formula>
    </cfRule>
  </conditionalFormatting>
  <conditionalFormatting sqref="L170">
    <cfRule type="cellIs" dxfId="107" priority="1" operator="greaterThan" stopIfTrue="1">
      <formula>J$234</formula>
    </cfRule>
    <cfRule type="cellIs" dxfId="108" priority="2" operator="greaterThan" stopIfTrue="1">
      <formula>K$241</formula>
    </cfRule>
  </conditionalFormatting>
  <conditionalFormatting sqref="K171">
    <cfRule type="cellIs" dxfId="109" priority="1" operator="greaterThan" stopIfTrue="1">
      <formula>J$174</formula>
    </cfRule>
  </conditionalFormatting>
  <conditionalFormatting sqref="L171">
    <cfRule type="cellIs" dxfId="110" priority="1" operator="greaterThan" stopIfTrue="1">
      <formula>J$179</formula>
    </cfRule>
    <cfRule type="cellIs" dxfId="111" priority="2" operator="greaterThan" stopIfTrue="1">
      <formula>K$176</formula>
    </cfRule>
  </conditionalFormatting>
  <conditionalFormatting sqref="M214:M215">
    <cfRule type="cellIs" dxfId="112" priority="1" operator="greaterThan" stopIfTrue="1">
      <formula>K$225</formula>
    </cfRule>
    <cfRule type="cellIs" dxfId="113" priority="2" operator="greaterThan" stopIfTrue="1">
      <formula>L$222</formula>
    </cfRule>
  </conditionalFormatting>
  <conditionalFormatting sqref="M229:M233">
    <cfRule type="cellIs" dxfId="114" priority="1" operator="greaterThan" stopIfTrue="1">
      <formula>K$229</formula>
    </cfRule>
    <cfRule type="cellIs" dxfId="115" priority="2" operator="greaterThan" stopIfTrue="1">
      <formula>L$228</formula>
    </cfRule>
  </conditionalFormatting>
  <conditionalFormatting sqref="J236:J238">
    <cfRule type="cellIs" dxfId="116" priority="1" operator="greaterThan" stopIfTrue="1">
      <formula>I$238</formula>
    </cfRule>
  </conditionalFormatting>
  <dataValidations count="6">
    <dataValidation type="list" allowBlank="1" showInputMessage="1" showErrorMessage="1" sqref="AD5:AD113 AD115:AD163 AD165:AD238">
      <formula1>",Gabungan Lumpsum dan Harga Satuan,Lump Sum,Harga Satuan,Persentase,Turn Key (Terima Jadi),Waktu Penugasan"</formula1>
    </dataValidation>
    <dataValidation type="list" allowBlank="1" showInputMessage="1" showErrorMessage="1" sqref="AE5:AE113 AE115:AE163 AE165:AE238">
      <formula1>"Barang,Konstruksi,Konsultansi,Jasa Lainnya,Konsultansi Perencanaan,Konsultansi Pengawasan,Lainnya"</formula1>
    </dataValidation>
    <dataValidation type="list" allowBlank="1" showInputMessage="1" showErrorMessage="1" sqref="BI5:BI113 BI115:BI163 BI165:BI238">
      <formula1>"Pelelangan Umum,Pelelangan Sederhana,Pelelangan Terbatas,Penunjukan Langsung,Pengadaan Langsung,Kontes,Sayembara,Pemilihan Langsung"</formula1>
    </dataValidation>
    <dataValidation type="list" allowBlank="1" showInputMessage="1" showErrorMessage="1" sqref="BJ5:BJ113 BJ115:BJ163 BJ165:BJ238">
      <formula1>"Metode Satu Sampul ,Metode Dua Sampul,Metode Dua Tahap"</formula1>
    </dataValidation>
    <dataValidation type="list" allowBlank="1" showInputMessage="1" showErrorMessage="1" sqref="BK5:BK113 BK115:BK163 BK165:BK238">
      <formula1>"Pascakualifikasi,Prakualifikasi,Non"</formula1>
    </dataValidation>
    <dataValidation type="list" allowBlank="1" showInputMessage="1" showErrorMessage="1" sqref="BL5:BL113 BL115:BL163 BL165:BL238">
      <formula1>"Sistem Gugur,Kualitas,Kualitas dan Biaya,Biaya Terendah/Pagu Anggaran"</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