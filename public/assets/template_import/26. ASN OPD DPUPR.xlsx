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alwi_mansyur/Documents/htdocs/sesendokneo/public/template/"/>
    </mc:Choice>
  </mc:AlternateContent>
  <xr:revisionPtr revIDLastSave="0" documentId="13_ncr:1_{4553F780-17D9-A343-8187-5C3279FD4E01}" xr6:coauthVersionLast="47" xr6:coauthVersionMax="47" xr10:uidLastSave="{00000000-0000-0000-0000-000000000000}"/>
  <bookViews>
    <workbookView xWindow="0" yWindow="500" windowWidth="32200" windowHeight="20960" xr2:uid="{00000000-000D-0000-FFFF-FFFF00000000}"/>
  </bookViews>
  <sheets>
    <sheet name="Data AS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" i="1" l="1"/>
  <c r="AZ1" i="1"/>
  <c r="AV1" i="1"/>
  <c r="AR1" i="1"/>
  <c r="AN1" i="1"/>
  <c r="AK1" i="1"/>
  <c r="AH1" i="1"/>
  <c r="AF1" i="1"/>
  <c r="AD1" i="1"/>
  <c r="AB1" i="1"/>
  <c r="U1" i="1"/>
  <c r="I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Alwi Mansyur</author>
  </authors>
  <commentList>
    <comment ref="V1" authorId="0" shapeId="0" xr:uid="{00000000-0006-0000-0000-000001000000}">
      <text>
        <r>
          <rPr>
            <sz val="11"/>
            <color indexed="8"/>
            <rFont val="Helvetica Neue"/>
            <family val="2"/>
          </rPr>
          <t>Alwi Mansyur:
21</t>
        </r>
      </text>
    </comment>
    <comment ref="R13" authorId="0" shapeId="0" xr:uid="{E1A82878-C304-FD41-B672-AB44A638BF60}">
      <text>
        <r>
          <rPr>
            <b/>
            <sz val="10"/>
            <color rgb="FF000000"/>
            <rFont val="Tahoma"/>
            <family val="2"/>
            <charset val="1"/>
          </rPr>
          <t>Alwi Mansyur:</t>
        </r>
        <r>
          <rPr>
            <sz val="10"/>
            <color rgb="FF000000"/>
            <rFont val="Tahoma"/>
            <family val="2"/>
            <charset val="1"/>
          </rPr>
          <t xml:space="preserve">
</t>
        </r>
        <r>
          <rPr>
            <sz val="10"/>
            <color rgb="FF000000"/>
            <rFont val="Tahoma"/>
            <family val="2"/>
            <charset val="1"/>
          </rPr>
          <t>pusmatra34@gmail.com/pusma@icloud.com</t>
        </r>
      </text>
    </comment>
  </commentList>
</comments>
</file>

<file path=xl/sharedStrings.xml><?xml version="1.0" encoding="utf-8"?>
<sst xmlns="http://schemas.openxmlformats.org/spreadsheetml/2006/main" count="3175" uniqueCount="1846">
  <si>
    <t>No.</t>
  </si>
  <si>
    <t>NAMA</t>
  </si>
  <si>
    <t>GELAR</t>
  </si>
  <si>
    <t>JABATAN</t>
  </si>
  <si>
    <t>NIP</t>
  </si>
  <si>
    <t>GOL.</t>
  </si>
  <si>
    <t>RUANG</t>
  </si>
  <si>
    <t>TEMPAT LAHIR</t>
  </si>
  <si>
    <t>AGAMA</t>
  </si>
  <si>
    <t>JENIS KELAMIN</t>
  </si>
  <si>
    <t>JENIS KEPEGAWAIAN</t>
  </si>
  <si>
    <t>STATUS KEPEGAWAIAN</t>
  </si>
  <si>
    <t>No. KTP</t>
  </si>
  <si>
    <t>NPWP</t>
  </si>
  <si>
    <t>ALAMAT</t>
  </si>
  <si>
    <t>NO. HP</t>
  </si>
  <si>
    <t>EMAIL</t>
  </si>
  <si>
    <t>STATUS</t>
  </si>
  <si>
    <t>NO. BUKU NIKAH</t>
  </si>
  <si>
    <t>NAMA ANAK</t>
  </si>
  <si>
    <t>NIK ANAK</t>
  </si>
  <si>
    <t>NAMA AYAH</t>
  </si>
  <si>
    <t>NAMA IBU</t>
  </si>
  <si>
    <t>NAMA PASANGAN</t>
  </si>
  <si>
    <t>NO. KARPEG</t>
  </si>
  <si>
    <t>NO. TASPEN</t>
  </si>
  <si>
    <t>NO.KARSI KARSU</t>
  </si>
  <si>
    <t>NO.SK TERKHIR</t>
  </si>
  <si>
    <t>Pj.TTD SK TERAKHIR</t>
  </si>
  <si>
    <t>NO.SK CPNS</t>
  </si>
  <si>
    <t>Pj.TTD SK CPNS</t>
  </si>
  <si>
    <t>NO.SK PNS</t>
  </si>
  <si>
    <t>Pj.TTD SK PNS</t>
  </si>
  <si>
    <t>NAMA SD</t>
  </si>
  <si>
    <t>IJASAH SD</t>
  </si>
  <si>
    <t>LOKASI SD</t>
  </si>
  <si>
    <t>NAMA SMP</t>
  </si>
  <si>
    <t>IJASAH SMP</t>
  </si>
  <si>
    <t>LOKASI SSMP</t>
  </si>
  <si>
    <t>NAMA SMU</t>
  </si>
  <si>
    <t>IJASAH SMU</t>
  </si>
  <si>
    <t>LOKASI SMU</t>
  </si>
  <si>
    <t>NAMA PEND. TERAKHIR</t>
  </si>
  <si>
    <t>IJASAH PEND. TERAKHIR</t>
  </si>
  <si>
    <t>LOKASI PEND. TERAKHIR</t>
  </si>
  <si>
    <t>SK PANGKAT TERAKHIR</t>
  </si>
  <si>
    <t>TGL.SK TERAKHIR</t>
  </si>
  <si>
    <t>KETERANGAN</t>
  </si>
  <si>
    <t>KELOMPOK</t>
  </si>
  <si>
    <t>sumarlin</t>
  </si>
  <si>
    <t>ST.M.AP</t>
  </si>
  <si>
    <t>Kepala Dinas</t>
  </si>
  <si>
    <t>198006152006041018</t>
  </si>
  <si>
    <t>4</t>
  </si>
  <si>
    <t>B</t>
  </si>
  <si>
    <t>patobong</t>
  </si>
  <si>
    <t>islam</t>
  </si>
  <si>
    <t>pria</t>
  </si>
  <si>
    <t>pnsd2</t>
  </si>
  <si>
    <t>peg_tetap</t>
  </si>
  <si>
    <t>674092978814000</t>
  </si>
  <si>
    <t>Jl.Imam bonjol</t>
  </si>
  <si>
    <t>081341310181</t>
  </si>
  <si>
    <t>anchupumatra@gmail.com</t>
  </si>
  <si>
    <t>menikah</t>
  </si>
  <si>
    <t>322/41/VIII/2009</t>
  </si>
  <si>
    <t>alula khiffa ayah;aluna tapanasyifa</t>
  </si>
  <si>
    <t>H. Dulu Pangngawa</t>
  </si>
  <si>
    <t>Hj.Saming</t>
  </si>
  <si>
    <t>Echi Abd. Samad</t>
  </si>
  <si>
    <t>331807</t>
  </si>
  <si>
    <t>P 3000241100</t>
  </si>
  <si>
    <t>AA 04023929</t>
  </si>
  <si>
    <t>823.3/277/BKDD</t>
  </si>
  <si>
    <t>813.3/254/BKD</t>
  </si>
  <si>
    <t>821.13/42/BkD</t>
  </si>
  <si>
    <t>Madrasah Ibtidaiyah Pinrang</t>
  </si>
  <si>
    <t>E.IV/t/MI-6/161/92</t>
  </si>
  <si>
    <t>Madrasah Tsanawiyah Negeri Pare-Pare</t>
  </si>
  <si>
    <t>E.IV/t/MTs-403/1033/1995</t>
  </si>
  <si>
    <t>Madrash Aliyah Swasta diakui DDI Patobong</t>
  </si>
  <si>
    <t>E.IV/t/MA 154/235/98</t>
  </si>
  <si>
    <t>UMI -Makassaar</t>
  </si>
  <si>
    <t>034/A.08/FTE/SL-UMI/2003</t>
  </si>
  <si>
    <t>Teknik Elektro</t>
  </si>
  <si>
    <t>1</t>
  </si>
  <si>
    <t>MAHMUD</t>
  </si>
  <si>
    <t>SP.,M.SI</t>
  </si>
  <si>
    <t>Sekretaris Dinas</t>
  </si>
  <si>
    <t>196901272003121004</t>
  </si>
  <si>
    <r>
      <rPr>
        <u/>
        <sz val="10"/>
        <color indexed="11"/>
        <rFont val="Arial"/>
        <family val="2"/>
      </rPr>
      <t>1@gmail.com</t>
    </r>
  </si>
  <si>
    <t>2</t>
  </si>
  <si>
    <t>SYAMSUNAR</t>
  </si>
  <si>
    <t>SP.,M.M</t>
  </si>
  <si>
    <t>Kepala bidang bina marga</t>
  </si>
  <si>
    <t>197503102009031001</t>
  </si>
  <si>
    <t>3</t>
  </si>
  <si>
    <t>D</t>
  </si>
  <si>
    <t>kamaruddin</t>
  </si>
  <si>
    <t>ST</t>
  </si>
  <si>
    <t>Kepala bidang pembinaan jasa konstruksi</t>
  </si>
  <si>
    <t>197308142005021003</t>
  </si>
  <si>
    <t>a</t>
  </si>
  <si>
    <t>panyampa</t>
  </si>
  <si>
    <t>7601021408730004</t>
  </si>
  <si>
    <t>674092895814000</t>
  </si>
  <si>
    <t>JL. Mangga Pasangkayu</t>
  </si>
  <si>
    <t>081280890175</t>
  </si>
  <si>
    <t>kama99697@gmail.com</t>
  </si>
  <si>
    <t>696/16/XI/2006</t>
  </si>
  <si>
    <t>afifa kirani;muhammad murli almubarak</t>
  </si>
  <si>
    <t>abdul rahim</t>
  </si>
  <si>
    <t>ST Maemuna</t>
  </si>
  <si>
    <t>Rachma.S</t>
  </si>
  <si>
    <t>M 139774</t>
  </si>
  <si>
    <t>580036396</t>
  </si>
  <si>
    <t>AA 04024229</t>
  </si>
  <si>
    <t>823.4-01</t>
  </si>
  <si>
    <t>Gubernur Sulawesi Barat</t>
  </si>
  <si>
    <t>813.2/393/BKD</t>
  </si>
  <si>
    <t>Bupati Mamuju Utara</t>
  </si>
  <si>
    <t>821.13/41/BKD</t>
  </si>
  <si>
    <t>SD Negeri 008 Panyampa</t>
  </si>
  <si>
    <t>No 06 OA oa 0049421</t>
  </si>
  <si>
    <t>Panyampa,Campalagiang</t>
  </si>
  <si>
    <t>Madrasah Tsanawiyah Negeri Tinambung Polmas</t>
  </si>
  <si>
    <t>No E.IV/t/MTs-405/7614/89</t>
  </si>
  <si>
    <t>Tinambung,Polmas</t>
  </si>
  <si>
    <t>STM Wonomulyo</t>
  </si>
  <si>
    <t>No.06 OB or 0020391</t>
  </si>
  <si>
    <t>Wonomulyo,Polewali Mamasa</t>
  </si>
  <si>
    <t>UNIVERSITAS 45</t>
  </si>
  <si>
    <t>Nomor 630-45/153-04/A/2002</t>
  </si>
  <si>
    <t>Tehnik Arsitektur</t>
  </si>
  <si>
    <t>nardin</t>
  </si>
  <si>
    <t>Kepala bidang cipta karya</t>
  </si>
  <si>
    <t>197910012011011004</t>
  </si>
  <si>
    <t>c</t>
  </si>
  <si>
    <t>kasoloang</t>
  </si>
  <si>
    <t>7601020110790004</t>
  </si>
  <si>
    <t>159834555814000</t>
  </si>
  <si>
    <t>Jl.Andi Bandaco</t>
  </si>
  <si>
    <t>085342567877</t>
  </si>
  <si>
    <t>binamarga11.55@gmail.com</t>
  </si>
  <si>
    <t>131/01/X/2009</t>
  </si>
  <si>
    <t>lingga prayata widyatna;apta widyatna anindya</t>
  </si>
  <si>
    <t>Ruddin</t>
  </si>
  <si>
    <t>Nurlina</t>
  </si>
  <si>
    <t>Anggra</t>
  </si>
  <si>
    <t>791001110110040</t>
  </si>
  <si>
    <t>AA 04023596</t>
  </si>
  <si>
    <t>823.3/624/BKDD</t>
  </si>
  <si>
    <t>813.3/475/BKDD</t>
  </si>
  <si>
    <t>821.13/533/BKDD</t>
  </si>
  <si>
    <t>UMI Makassar</t>
  </si>
  <si>
    <t>045/A.08/FTK-SI/S1-UMI/2004</t>
  </si>
  <si>
    <t>Teknik Sipil</t>
  </si>
  <si>
    <t>i nyoman sumerta</t>
  </si>
  <si>
    <t>Kepala sumber daya air</t>
  </si>
  <si>
    <t>198301012010011020</t>
  </si>
  <si>
    <t>gunung sari</t>
  </si>
  <si>
    <t>Hindu</t>
  </si>
  <si>
    <t>7601020101830012</t>
  </si>
  <si>
    <t>582268744814000</t>
  </si>
  <si>
    <t>Dusun Bambaraba</t>
  </si>
  <si>
    <t>082290193339</t>
  </si>
  <si>
    <t>putrasumerta@gmail.com</t>
  </si>
  <si>
    <t>454-006/PHDI-DG/XI/2013</t>
  </si>
  <si>
    <t>i wayan darma saputra;ni kadek gesilla dharmayanti</t>
  </si>
  <si>
    <t>I Wayan Malen</t>
  </si>
  <si>
    <t>Ni Wayan Kerau</t>
  </si>
  <si>
    <t>Ni Kadek Suparni,SKM</t>
  </si>
  <si>
    <t>P 461892</t>
  </si>
  <si>
    <t>870101100110200</t>
  </si>
  <si>
    <t>AA 04023892</t>
  </si>
  <si>
    <t>823.3/202/BKPPD</t>
  </si>
  <si>
    <t>bupati mamuju utara</t>
  </si>
  <si>
    <t>813.3/376/BKDD</t>
  </si>
  <si>
    <t>821.13/534/BKDD</t>
  </si>
  <si>
    <t>UNTAD Palu</t>
  </si>
  <si>
    <t>16030/41.06.S1/2006</t>
  </si>
  <si>
    <t>nurmadina</t>
  </si>
  <si>
    <t>S.Sos.M.Si</t>
  </si>
  <si>
    <t>Kepala bidang penataan dan pemanfaatan ruang</t>
  </si>
  <si>
    <t>198208022003122003</t>
  </si>
  <si>
    <t>d</t>
  </si>
  <si>
    <t>panggeleroang</t>
  </si>
  <si>
    <t>wanita</t>
  </si>
  <si>
    <t>7601024208820003</t>
  </si>
  <si>
    <t>496903535814000</t>
  </si>
  <si>
    <t>Jl.Urip Sumiharjo psky</t>
  </si>
  <si>
    <t>085397760008</t>
  </si>
  <si>
    <t>madian.butik@gmail.com</t>
  </si>
  <si>
    <t>39/39/I/2008</t>
  </si>
  <si>
    <t>jihan athira nasrillah;sherien ramadhani nasrillah;savira misha nasrillah</t>
  </si>
  <si>
    <t>Abd.Mandir</t>
  </si>
  <si>
    <t>Tani</t>
  </si>
  <si>
    <t>Khaerul Nasrilla</t>
  </si>
  <si>
    <t>M 005229</t>
  </si>
  <si>
    <t>580029116</t>
  </si>
  <si>
    <t>BA 04015069</t>
  </si>
  <si>
    <t>823.3/10079/BKPPD</t>
  </si>
  <si>
    <t>813.2-104</t>
  </si>
  <si>
    <t>821.12/105/III/2005/BKD</t>
  </si>
  <si>
    <t>SD INP NO 38 Pengaleroang</t>
  </si>
  <si>
    <t>06 OA oa 0034190</t>
  </si>
  <si>
    <t>SMP N 4 Sendana</t>
  </si>
  <si>
    <t>06 DI 0058482</t>
  </si>
  <si>
    <t>SMK N 2 Majene</t>
  </si>
  <si>
    <t>06. MK 0264746</t>
  </si>
  <si>
    <t>STIA PANCA MARGA PALU</t>
  </si>
  <si>
    <t>220/stia-pm/2008</t>
  </si>
  <si>
    <t>ilmu administrasi negara</t>
  </si>
  <si>
    <t>budiyansa</t>
  </si>
  <si>
    <t>197508022006041011</t>
  </si>
  <si>
    <t>b</t>
  </si>
  <si>
    <t>pangkep</t>
  </si>
  <si>
    <t>674092960814000</t>
  </si>
  <si>
    <t>Jl PDAM Pasangkayu</t>
  </si>
  <si>
    <t>081354877266</t>
  </si>
  <si>
    <t>budiyansa.matra@gmail.com</t>
  </si>
  <si>
    <t>168/IX/VII/2007</t>
  </si>
  <si>
    <t>muh.daffa dhiyaul haq;aesar aulayainqaila</t>
  </si>
  <si>
    <t>Burhan galilo</t>
  </si>
  <si>
    <t>Hj.Rudiah</t>
  </si>
  <si>
    <t>Andi Damayanti</t>
  </si>
  <si>
    <t>306777</t>
  </si>
  <si>
    <t>P 30002760</t>
  </si>
  <si>
    <t>aa 04023593</t>
  </si>
  <si>
    <t>813.3/615/BKD</t>
  </si>
  <si>
    <t>821.13/42/BKD</t>
  </si>
  <si>
    <t>SD Negeri 1 Kemaraya</t>
  </si>
  <si>
    <t>No 23 OA oa 0000368</t>
  </si>
  <si>
    <t>Swasta Frater diakui kendari</t>
  </si>
  <si>
    <t>No 23 OA ob 0185456</t>
  </si>
  <si>
    <t>SMA 1 Kendari</t>
  </si>
  <si>
    <t>No 23 OB oe 0362975</t>
  </si>
  <si>
    <t>UMI - Makassar</t>
  </si>
  <si>
    <t>177/FTS/SL-UMI/2002</t>
  </si>
  <si>
    <t>abd. rasyid</t>
  </si>
  <si>
    <t>S.pd,M.pd</t>
  </si>
  <si>
    <t>196704051991031015</t>
  </si>
  <si>
    <t>bone</t>
  </si>
  <si>
    <t>473005973813000</t>
  </si>
  <si>
    <t>085213782745</t>
  </si>
  <si>
    <t>rasyid050467@gmail.com</t>
  </si>
  <si>
    <t>399,11,XI,95</t>
  </si>
  <si>
    <t>nurlaylah qadria;muh.safaruddin;ajeng nur azisah rasyid</t>
  </si>
  <si>
    <t>Tarenre</t>
  </si>
  <si>
    <t>St.Abang</t>
  </si>
  <si>
    <t>Ardiany</t>
  </si>
  <si>
    <t>F 305019</t>
  </si>
  <si>
    <t>131953066</t>
  </si>
  <si>
    <t>AA 04024222</t>
  </si>
  <si>
    <t>PD.823.4-36</t>
  </si>
  <si>
    <t>01944/106.D1/C.41/1991</t>
  </si>
  <si>
    <t>00495/106.D1/C.41/1993</t>
  </si>
  <si>
    <t>SD No 116 Timurung</t>
  </si>
  <si>
    <t>No XXIII Aa 39730</t>
  </si>
  <si>
    <t>Smp Negeri Pompanua</t>
  </si>
  <si>
    <t>No 06 OB ob 0242072</t>
  </si>
  <si>
    <t>SMA Negeri 2 Watampone</t>
  </si>
  <si>
    <t>No 06 OC oh 0062382</t>
  </si>
  <si>
    <t>UKM-Malang</t>
  </si>
  <si>
    <t>1901-09210216</t>
  </si>
  <si>
    <t>Pendidikan Sosial</t>
  </si>
  <si>
    <t>herry hasanuddin. m</t>
  </si>
  <si>
    <t>197101152007011019</t>
  </si>
  <si>
    <t>kota baru</t>
  </si>
  <si>
    <t>7601021501710002</t>
  </si>
  <si>
    <t>674093018814000</t>
  </si>
  <si>
    <t>Jl.Andi depu</t>
  </si>
  <si>
    <t>08529931112508124117532</t>
  </si>
  <si>
    <t>herrymunier@gmail.com</t>
  </si>
  <si>
    <t>276/22/I/2000</t>
  </si>
  <si>
    <t>ananda fachrizal munier;reza fairuzzabadi munier;faiz faturrahman munier;rayhan kanza munier;rizky amalia munier</t>
  </si>
  <si>
    <t>Zainuddin Munier</t>
  </si>
  <si>
    <t>ST. Nurhayati</t>
  </si>
  <si>
    <t>Rosmawati, SE</t>
  </si>
  <si>
    <t>N 460752</t>
  </si>
  <si>
    <t>P 3000504200</t>
  </si>
  <si>
    <t>AA 04023592</t>
  </si>
  <si>
    <t>823.3/507/BKPP</t>
  </si>
  <si>
    <t>813.3/255/BKD</t>
  </si>
  <si>
    <t>821.13/354/BKDD</t>
  </si>
  <si>
    <t>SDN Centre Candrakila Ni.987</t>
  </si>
  <si>
    <t>15 OA oa 015913</t>
  </si>
  <si>
    <t>SMP N 1 Palaihara</t>
  </si>
  <si>
    <t>15 OB ob 0497909</t>
  </si>
  <si>
    <t>SMA N 8 Wung Pandang</t>
  </si>
  <si>
    <t>06 OC oh 0027045</t>
  </si>
  <si>
    <t>UMI-MAKASSAR</t>
  </si>
  <si>
    <t>0052/FTM/SL-UMI/1996</t>
  </si>
  <si>
    <t>Teknik Mesin</t>
  </si>
  <si>
    <t>muammar nur</t>
  </si>
  <si>
    <t>197501192007011013</t>
  </si>
  <si>
    <t>majene</t>
  </si>
  <si>
    <t>7601021901750001</t>
  </si>
  <si>
    <t>674093000814000</t>
  </si>
  <si>
    <t>Jl. Trans Sulawesi</t>
  </si>
  <si>
    <t>085241210978</t>
  </si>
  <si>
    <t>muammar_noer@yahoo.co.id</t>
  </si>
  <si>
    <t>187/27/VI/2013</t>
  </si>
  <si>
    <t>muhammad afham nur</t>
  </si>
  <si>
    <t>H. Muh. As'ad Nur</t>
  </si>
  <si>
    <t>Hj. Siti Safah</t>
  </si>
  <si>
    <t>Hj. Adibah Putri Nas, Sos</t>
  </si>
  <si>
    <t>N 460754</t>
  </si>
  <si>
    <t>P 3000494200</t>
  </si>
  <si>
    <t>AA 04023891</t>
  </si>
  <si>
    <t>823.3/631/BKPP</t>
  </si>
  <si>
    <t>SDN 01 Saleppa</t>
  </si>
  <si>
    <t>06 OA oa 0126505</t>
  </si>
  <si>
    <t>SMP N 2 Majene</t>
  </si>
  <si>
    <t>06 OA ob 0448497</t>
  </si>
  <si>
    <t>SMA N 1 Majene</t>
  </si>
  <si>
    <t>06 OB oe 0360014</t>
  </si>
  <si>
    <t>083/FTS/SL-UMI/2002</t>
  </si>
  <si>
    <t>pusmahasib</t>
  </si>
  <si>
    <t>S.Si</t>
  </si>
  <si>
    <t>197908252009031003</t>
  </si>
  <si>
    <t>panincong</t>
  </si>
  <si>
    <t>7601022608790003</t>
  </si>
  <si>
    <t>145104808814000</t>
  </si>
  <si>
    <t>Jl.Trans Sulawesi</t>
  </si>
  <si>
    <t>085256612009</t>
  </si>
  <si>
    <t>91/08/VII/2010</t>
  </si>
  <si>
    <t>miftah arrahmah</t>
  </si>
  <si>
    <t>H.Sukarta</t>
  </si>
  <si>
    <t>Hj Murniati</t>
  </si>
  <si>
    <t>Rahmatia,ST</t>
  </si>
  <si>
    <t>P 333298</t>
  </si>
  <si>
    <t>790825090310030</t>
  </si>
  <si>
    <t>AA 04023594</t>
  </si>
  <si>
    <t>813.3/75/BKDD</t>
  </si>
  <si>
    <t>821.13/518.A/BKDD</t>
  </si>
  <si>
    <t>SDN 60 Panincong</t>
  </si>
  <si>
    <t>06 OA oa 0071254</t>
  </si>
  <si>
    <t>SMPN Panincong</t>
  </si>
  <si>
    <t>06 OA ob 1623533</t>
  </si>
  <si>
    <t>SMA N 1 Dori-dori</t>
  </si>
  <si>
    <t>06 OB 0f 102 215539</t>
  </si>
  <si>
    <t>IPB</t>
  </si>
  <si>
    <t>1009030031</t>
  </si>
  <si>
    <t>Sains Agrometeorologi</t>
  </si>
  <si>
    <t>patahuddin</t>
  </si>
  <si>
    <t>197110122009031001</t>
  </si>
  <si>
    <t>pare-pare</t>
  </si>
  <si>
    <t>7601021210710002</t>
  </si>
  <si>
    <t>145104303814000</t>
  </si>
  <si>
    <t>082191484601</t>
  </si>
  <si>
    <t>patahuddin.husain@gmail.com</t>
  </si>
  <si>
    <t>120/08/VIII/2000</t>
  </si>
  <si>
    <t>reyka nurfathona;reyna nurafidah;riuana ananda putri</t>
  </si>
  <si>
    <t>H. Husain. SB</t>
  </si>
  <si>
    <t>Hj. Andi Ona</t>
  </si>
  <si>
    <t>Ramnawati. M Ramli, SE</t>
  </si>
  <si>
    <t>P 081722</t>
  </si>
  <si>
    <t>711012090310010</t>
  </si>
  <si>
    <t>AA 04023597</t>
  </si>
  <si>
    <t>823.3/435/BKPPD</t>
  </si>
  <si>
    <t>SDN Kayumate</t>
  </si>
  <si>
    <t>06 OA oa 009101</t>
  </si>
  <si>
    <t>SMP N Kalukku</t>
  </si>
  <si>
    <t>06 OB ob 0409776</t>
  </si>
  <si>
    <t>SMA N 1 Pare-Pare</t>
  </si>
  <si>
    <t>o6 OC oh 0188376</t>
  </si>
  <si>
    <t>UMI</t>
  </si>
  <si>
    <t>039/FTM/SLN-UMI/1996</t>
  </si>
  <si>
    <t>irmawati</t>
  </si>
  <si>
    <t>SE</t>
  </si>
  <si>
    <t>Kasubag umum dan kepegawaian</t>
  </si>
  <si>
    <t>197601032006042007</t>
  </si>
  <si>
    <t>bambaira</t>
  </si>
  <si>
    <t>7601024301760002</t>
  </si>
  <si>
    <t>700417587814000</t>
  </si>
  <si>
    <t>Jl.Kakatua</t>
  </si>
  <si>
    <t>082189737950</t>
  </si>
  <si>
    <r>
      <rPr>
        <u/>
        <sz val="10"/>
        <color indexed="11"/>
        <rFont val="Arial"/>
        <family val="2"/>
      </rPr>
      <t>irmawatiidris1976@gmail.com</t>
    </r>
  </si>
  <si>
    <t>792.79.VIII.2000</t>
  </si>
  <si>
    <t>reynaldy faizal;kavriansyah</t>
  </si>
  <si>
    <t>M.Idris H.Amin</t>
  </si>
  <si>
    <t>Hj Mar'ani M.Acap</t>
  </si>
  <si>
    <t>Sumaila</t>
  </si>
  <si>
    <t>n 306521</t>
  </si>
  <si>
    <t>P 30000745</t>
  </si>
  <si>
    <t>ba 04025319</t>
  </si>
  <si>
    <t>813.2/215/BKD</t>
  </si>
  <si>
    <t>821.12/41/BkD</t>
  </si>
  <si>
    <t>SDN Pasangkayu</t>
  </si>
  <si>
    <t>06 OA oa 0128569</t>
  </si>
  <si>
    <t>SMPN Pasangkayu</t>
  </si>
  <si>
    <t>06 OA ob 0453237</t>
  </si>
  <si>
    <t>Pasangkayu</t>
  </si>
  <si>
    <t>SMAN Donggala</t>
  </si>
  <si>
    <t>24 OB oe 0728990</t>
  </si>
  <si>
    <t>Donggala</t>
  </si>
  <si>
    <t>UNISMUH Palu</t>
  </si>
  <si>
    <t>B.6597.1.1.2011</t>
  </si>
  <si>
    <t>Ekonomi Manajemen</t>
  </si>
  <si>
    <t>syahruddin</t>
  </si>
  <si>
    <t>Tehnik pengairan</t>
  </si>
  <si>
    <t>198012062009031001</t>
  </si>
  <si>
    <t>sikkuale</t>
  </si>
  <si>
    <t>7601020612800001</t>
  </si>
  <si>
    <t>145104287814000</t>
  </si>
  <si>
    <t>085242788045</t>
  </si>
  <si>
    <t>syahruddin032umi@gmail.com</t>
  </si>
  <si>
    <t>154/5/V/2010</t>
  </si>
  <si>
    <t>naurah nur assyifa</t>
  </si>
  <si>
    <t>Tarre</t>
  </si>
  <si>
    <t>Baharia</t>
  </si>
  <si>
    <t>Almaidah Nur Z Paraga</t>
  </si>
  <si>
    <t>P 333311</t>
  </si>
  <si>
    <t>801206090310010</t>
  </si>
  <si>
    <t>AA 04023926</t>
  </si>
  <si>
    <t>SD N 265 Pinrang</t>
  </si>
  <si>
    <t>06 OA oa 0014832</t>
  </si>
  <si>
    <t>SMP N Cempa</t>
  </si>
  <si>
    <t>06 OA ob 1915796</t>
  </si>
  <si>
    <t>SMUN 2 Pare-Pare</t>
  </si>
  <si>
    <t>06 Mu 102 0236162</t>
  </si>
  <si>
    <t>UMI /MAKASSAR</t>
  </si>
  <si>
    <t>074/A.08/FTK.MS/S1-UMI-2004</t>
  </si>
  <si>
    <t>rahmania</t>
  </si>
  <si>
    <t>ST.MT</t>
  </si>
  <si>
    <t>Tehnik penyehatan lingkungan</t>
  </si>
  <si>
    <t>198406172009032002</t>
  </si>
  <si>
    <t>ujung pandang</t>
  </si>
  <si>
    <t>7601025706840005</t>
  </si>
  <si>
    <t>145104394814000</t>
  </si>
  <si>
    <t>Jl.Budi Utomo</t>
  </si>
  <si>
    <t>085241224724</t>
  </si>
  <si>
    <t>neeyh4@gmail.com</t>
  </si>
  <si>
    <t>0052/001/V/2017</t>
  </si>
  <si>
    <t>muhammad alvisnanda malik</t>
  </si>
  <si>
    <t>7601021804180001</t>
  </si>
  <si>
    <t>Abd Rahman Bangi</t>
  </si>
  <si>
    <t>Maragau Mustamin</t>
  </si>
  <si>
    <t>Abdul Malik,ST</t>
  </si>
  <si>
    <t>P 081661</t>
  </si>
  <si>
    <t>840617090320020</t>
  </si>
  <si>
    <t>823.3/506/BKPP</t>
  </si>
  <si>
    <t>821.13/518/A/BKDD</t>
  </si>
  <si>
    <t>Terbakar</t>
  </si>
  <si>
    <t>UNTAD PALU</t>
  </si>
  <si>
    <t>18903/41.06.S1/2008</t>
  </si>
  <si>
    <t>felix datuan</t>
  </si>
  <si>
    <t>Kasubag keuangan</t>
  </si>
  <si>
    <t>198407252009031001</t>
  </si>
  <si>
    <t>leatung</t>
  </si>
  <si>
    <t>Kristen</t>
  </si>
  <si>
    <t>760107250780001</t>
  </si>
  <si>
    <t>799343108814000</t>
  </si>
  <si>
    <t>082292228184</t>
  </si>
  <si>
    <t>datuanfelix@gmail.com</t>
  </si>
  <si>
    <t>AK.976.0012668</t>
  </si>
  <si>
    <t>louis genesaret giring datuan</t>
  </si>
  <si>
    <t>Fransiskus Giring Sampe</t>
  </si>
  <si>
    <t>Agustina Barung</t>
  </si>
  <si>
    <t>Stephanie</t>
  </si>
  <si>
    <t>P 081664</t>
  </si>
  <si>
    <t>840725090310010</t>
  </si>
  <si>
    <t>821.13/5818.A/BKDD</t>
  </si>
  <si>
    <t>SDN  235 Inpres Buntu Salombe</t>
  </si>
  <si>
    <t>06 OA oa 0059843</t>
  </si>
  <si>
    <t>SMP Swasta Katolik Sangalla</t>
  </si>
  <si>
    <t>06 DI 0055250</t>
  </si>
  <si>
    <t>SMU Swasta Katolik Makale</t>
  </si>
  <si>
    <t>06 Mu 0229179</t>
  </si>
  <si>
    <t>UNHAS /MAKASSAR</t>
  </si>
  <si>
    <t>109562-H4-D/12….-211-2007</t>
  </si>
  <si>
    <t>rajamang</t>
  </si>
  <si>
    <t>197507272010011004</t>
  </si>
  <si>
    <t>76010227070002</t>
  </si>
  <si>
    <t>582268751814000</t>
  </si>
  <si>
    <t>082291026999</t>
  </si>
  <si>
    <t>bisma.rajab@gmail.com</t>
  </si>
  <si>
    <t>164/12/X/2007</t>
  </si>
  <si>
    <t>muh. aqiz mushia;muh. abias akbar;muh. azam mahrut</t>
  </si>
  <si>
    <t>H. Abd. Rahman. L</t>
  </si>
  <si>
    <t>Hj. Yasreng</t>
  </si>
  <si>
    <t>Bismawati Mahmud, ST</t>
  </si>
  <si>
    <t>P 454811</t>
  </si>
  <si>
    <t>750727100110040</t>
  </si>
  <si>
    <t>AA 04023925</t>
  </si>
  <si>
    <t>351/A.08/FTS/SL-UMI/2003</t>
  </si>
  <si>
    <t>i ketut suriyana</t>
  </si>
  <si>
    <t>Tehnik pengaiTehnik penyehatan lingkungan</t>
  </si>
  <si>
    <t>198404262011011011</t>
  </si>
  <si>
    <t>7601022604840001</t>
  </si>
  <si>
    <t>159834993814000</t>
  </si>
  <si>
    <t>Dusun Baturiti</t>
  </si>
  <si>
    <t>082314576631</t>
  </si>
  <si>
    <t>suryanaketut975@yahoo.co.id</t>
  </si>
  <si>
    <t>7601-KW-13012014-0001</t>
  </si>
  <si>
    <t>febrian dede s</t>
  </si>
  <si>
    <t>I Wayan Kartu</t>
  </si>
  <si>
    <t>Ni Wayan Gadri</t>
  </si>
  <si>
    <t>Kadek Dewi Purnawati, ST</t>
  </si>
  <si>
    <t>Q 206725</t>
  </si>
  <si>
    <t>840426110110110</t>
  </si>
  <si>
    <t>SD Inpres Baras VI</t>
  </si>
  <si>
    <t>06 Dd 0113793</t>
  </si>
  <si>
    <t>SLTPN 2 Bambalomotu</t>
  </si>
  <si>
    <t>06 DI 1669187</t>
  </si>
  <si>
    <t>SMA N 4 Palu</t>
  </si>
  <si>
    <t>DN-18 Mu 0378639</t>
  </si>
  <si>
    <t>19816/41.06.S1/2009</t>
  </si>
  <si>
    <t>muh. hirman madjid</t>
  </si>
  <si>
    <t>Tehnik tata bangunan dan perumahan</t>
  </si>
  <si>
    <t>197511282011011002</t>
  </si>
  <si>
    <t>7601112811750001</t>
  </si>
  <si>
    <t>494904717814000</t>
  </si>
  <si>
    <t>08124284246</t>
  </si>
  <si>
    <t>hirman.majid75@gmail.com</t>
  </si>
  <si>
    <t>384/44/P/2008</t>
  </si>
  <si>
    <t>Abd. Madjid Saleh</t>
  </si>
  <si>
    <t>Hj. Sapatia Said</t>
  </si>
  <si>
    <t>Rosdiana Susie</t>
  </si>
  <si>
    <t>Q 206764</t>
  </si>
  <si>
    <t>751128110110020</t>
  </si>
  <si>
    <t>AA 04023922</t>
  </si>
  <si>
    <t>Unhas Makassar</t>
  </si>
  <si>
    <t>44484-J.04-D/E/014-511-2000</t>
  </si>
  <si>
    <t>Teknik Arsitekur</t>
  </si>
  <si>
    <t>hasmia</t>
  </si>
  <si>
    <t>S.Sos</t>
  </si>
  <si>
    <t>198712042011012008</t>
  </si>
  <si>
    <t>labean</t>
  </si>
  <si>
    <t>7601024912870004</t>
  </si>
  <si>
    <t>161690136814000</t>
  </si>
  <si>
    <t>Jl Manggis</t>
  </si>
  <si>
    <t>085341152805</t>
  </si>
  <si>
    <t>hasmiahalide@gmail.com</t>
  </si>
  <si>
    <t>441/04/IX/2012</t>
  </si>
  <si>
    <t>nirina rafifah risal</t>
  </si>
  <si>
    <t>Halide</t>
  </si>
  <si>
    <t>Masse</t>
  </si>
  <si>
    <t>Risal</t>
  </si>
  <si>
    <t>Q 206790</t>
  </si>
  <si>
    <t>871204110120080</t>
  </si>
  <si>
    <t>SDN Labean</t>
  </si>
  <si>
    <t>24 Dd 0011674</t>
  </si>
  <si>
    <t>SLTPN 1 Balaesang</t>
  </si>
  <si>
    <t>18 DI 2080121</t>
  </si>
  <si>
    <t>Madrash Aliyah 1 Palu</t>
  </si>
  <si>
    <t>MA 0125193</t>
  </si>
  <si>
    <t>23033/41.02.1/S1/2010</t>
  </si>
  <si>
    <t>ILMU SOSIAL</t>
  </si>
  <si>
    <t>suriyana</t>
  </si>
  <si>
    <t>198001282012122003</t>
  </si>
  <si>
    <t>sidrap</t>
  </si>
  <si>
    <t>731409680180001</t>
  </si>
  <si>
    <t>550792998814000</t>
  </si>
  <si>
    <t>081343973223085299275556</t>
  </si>
  <si>
    <t>suriyanadpu@gmail.com</t>
  </si>
  <si>
    <t>0061/008/IV/2016</t>
  </si>
  <si>
    <t>rafi</t>
  </si>
  <si>
    <t>Ansar Tappa</t>
  </si>
  <si>
    <t>Namri</t>
  </si>
  <si>
    <t>Mu'az,SE</t>
  </si>
  <si>
    <t>A 04001277</t>
  </si>
  <si>
    <t>800128121220030</t>
  </si>
  <si>
    <t>823.3/626/BKPP</t>
  </si>
  <si>
    <t>813.3/014/BKDD</t>
  </si>
  <si>
    <t>821.13/707/BKDD</t>
  </si>
  <si>
    <t>341/A.08/FTS/SL-UMI/2003</t>
  </si>
  <si>
    <t>hamka</t>
  </si>
  <si>
    <t>SH</t>
  </si>
  <si>
    <t>Pembina jasa konstruksi</t>
  </si>
  <si>
    <t>198410152010011003</t>
  </si>
  <si>
    <t>salubiro</t>
  </si>
  <si>
    <t>7601021510840004</t>
  </si>
  <si>
    <t>594708885814000</t>
  </si>
  <si>
    <t>Jl.Fatmawati</t>
  </si>
  <si>
    <t>081343525624</t>
  </si>
  <si>
    <t>caspersatu@gmail.com</t>
  </si>
  <si>
    <t>299/69/IV/2010</t>
  </si>
  <si>
    <t>Hammaruddin</t>
  </si>
  <si>
    <t>Sitti Farah</t>
  </si>
  <si>
    <t>Rina Ariani</t>
  </si>
  <si>
    <t>P 454867</t>
  </si>
  <si>
    <t>841015100110030</t>
  </si>
  <si>
    <t>AA 04023911</t>
  </si>
  <si>
    <t>823.3/72/BKPPD</t>
  </si>
  <si>
    <t>Bupati Pasangkayu</t>
  </si>
  <si>
    <t>813.2/516/BKDD</t>
  </si>
  <si>
    <t>821.12/533/BKDD</t>
  </si>
  <si>
    <t>SDN Salubiro</t>
  </si>
  <si>
    <t>06 OA oa 0110216</t>
  </si>
  <si>
    <t>MTSN Bunanga Mamuju</t>
  </si>
  <si>
    <t>E.IV/t/MTs.012/185/2001</t>
  </si>
  <si>
    <t>SMAN 1 Budongbudong</t>
  </si>
  <si>
    <t>DN-19 Mu 0239504</t>
  </si>
  <si>
    <t>UNISA Palu</t>
  </si>
  <si>
    <t>B.8803.4.1.2014</t>
  </si>
  <si>
    <t>HUKUM</t>
  </si>
  <si>
    <t>evi yanti</t>
  </si>
  <si>
    <t>Pengadministrasi Umum</t>
  </si>
  <si>
    <t>197701272008042001</t>
  </si>
  <si>
    <t>palu</t>
  </si>
  <si>
    <t>780215885814000</t>
  </si>
  <si>
    <t>085256956400</t>
  </si>
  <si>
    <t>evi_yanti77@yahoo.co.id</t>
  </si>
  <si>
    <t>801 000 1489</t>
  </si>
  <si>
    <t>davine gracio danun  ;gavriel alharon danun ;chantika keisha arung</t>
  </si>
  <si>
    <t>Julius Tandi</t>
  </si>
  <si>
    <t>Esther Rante</t>
  </si>
  <si>
    <t>Inri Danun, S.Pd</t>
  </si>
  <si>
    <t>N 458109</t>
  </si>
  <si>
    <t>P30007197</t>
  </si>
  <si>
    <t>BA 04014818</t>
  </si>
  <si>
    <t>823.3/1526/BKDD</t>
  </si>
  <si>
    <t>813.3/79/BKD</t>
  </si>
  <si>
    <t>821.13/83/BKDD</t>
  </si>
  <si>
    <t>SDN Inpres Bumi Sagu II</t>
  </si>
  <si>
    <t>24 OA oa 0001581</t>
  </si>
  <si>
    <t>SMPN 4 Palu</t>
  </si>
  <si>
    <t>24 OA ob 1565627</t>
  </si>
  <si>
    <t>SMAN 1 Palu</t>
  </si>
  <si>
    <t>24 OB oe 0011439</t>
  </si>
  <si>
    <t>20026 03384</t>
  </si>
  <si>
    <t>zakaria</t>
  </si>
  <si>
    <t>Analis Jalan dan Jembatan</t>
  </si>
  <si>
    <t>197410142009031000</t>
  </si>
  <si>
    <t>luwu</t>
  </si>
  <si>
    <t>151436078814000</t>
  </si>
  <si>
    <t>82189730016</t>
  </si>
  <si>
    <t>zakariast115@gmail.com</t>
  </si>
  <si>
    <t>CSK 1027903</t>
  </si>
  <si>
    <t>frichilya intan lawa padang ;erghy dwi putra lawa padang ;chirany austriesta lawa padang</t>
  </si>
  <si>
    <t>Daniel Pangala</t>
  </si>
  <si>
    <t>Marthina Rante Bungin</t>
  </si>
  <si>
    <t>Yayanti Malino</t>
  </si>
  <si>
    <t>P 333317</t>
  </si>
  <si>
    <t>197410142009031001</t>
  </si>
  <si>
    <t>SD N 223 Wawondula</t>
  </si>
  <si>
    <t>OA oa 0075978</t>
  </si>
  <si>
    <t>SMP N Wawondula</t>
  </si>
  <si>
    <t>06 OB ob 0451031</t>
  </si>
  <si>
    <t>SMA N Sanggalangi</t>
  </si>
  <si>
    <t>06 OB og 0128279</t>
  </si>
  <si>
    <t>UKIPM Makassar</t>
  </si>
  <si>
    <t>9776.01.01042000</t>
  </si>
  <si>
    <t>sulsia husen</t>
  </si>
  <si>
    <t>Analis Pengelolaan SDA</t>
  </si>
  <si>
    <t>198209172010012009</t>
  </si>
  <si>
    <t>bente</t>
  </si>
  <si>
    <t>7601045709820002</t>
  </si>
  <si>
    <t>582268769814000</t>
  </si>
  <si>
    <t>Jl.Rusa</t>
  </si>
  <si>
    <t>081359302095</t>
  </si>
  <si>
    <t>sulsia_husen82@yahoo.co.id</t>
  </si>
  <si>
    <t>15/15/1/2007</t>
  </si>
  <si>
    <t>charisa rezqi zabrina</t>
  </si>
  <si>
    <t>Husen Buse</t>
  </si>
  <si>
    <t>ST.Saleha</t>
  </si>
  <si>
    <t>Irham Tapala</t>
  </si>
  <si>
    <t>P 454784</t>
  </si>
  <si>
    <t>820917100120090</t>
  </si>
  <si>
    <t>SDN Bente</t>
  </si>
  <si>
    <t>24 OA oa 0026348</t>
  </si>
  <si>
    <t>SD N 1 Bungku Tengah</t>
  </si>
  <si>
    <t>24 DI 0004213</t>
  </si>
  <si>
    <t>SMU 3 Luwuk</t>
  </si>
  <si>
    <t>STIE PANCA BAKTI Palu</t>
  </si>
  <si>
    <t>347/Akr-B/XI/2005</t>
  </si>
  <si>
    <t>EKONOMI AKUNTANSI</t>
  </si>
  <si>
    <t>alwi mansyur</t>
  </si>
  <si>
    <t>A.Md</t>
  </si>
  <si>
    <t>198007112006041010</t>
  </si>
  <si>
    <t>C</t>
  </si>
  <si>
    <t>mamuju</t>
  </si>
  <si>
    <t>674093125814000</t>
  </si>
  <si>
    <t>081288866665</t>
  </si>
  <si>
    <t>mail.id.idn@mail.com</t>
  </si>
  <si>
    <t>1438/63/XI/2008</t>
  </si>
  <si>
    <t>najwa nabila ;inayah nadila</t>
  </si>
  <si>
    <t>Mansyur</t>
  </si>
  <si>
    <t>Kamaria</t>
  </si>
  <si>
    <t>Arlinda achmad</t>
  </si>
  <si>
    <t>p 454901</t>
  </si>
  <si>
    <t>aa 04023588</t>
  </si>
  <si>
    <t>823.3/778/BKDD</t>
  </si>
  <si>
    <t>813.2/190/BKD</t>
  </si>
  <si>
    <t>821.12/41/BKD</t>
  </si>
  <si>
    <t>SDN Inpres Tampotora</t>
  </si>
  <si>
    <t>06 OA oa 0108389</t>
  </si>
  <si>
    <t>SMP N 1 Mamuju</t>
  </si>
  <si>
    <t>06 OA ob 1942480</t>
  </si>
  <si>
    <t>SMKN 2 Ujungpandang</t>
  </si>
  <si>
    <t>06 Mk 210 0014450</t>
  </si>
  <si>
    <t>Samarinda</t>
  </si>
  <si>
    <t>P.3/N20.R/SP-D3/2004</t>
  </si>
  <si>
    <t>i made sulawa</t>
  </si>
  <si>
    <t>Teknik Penyehatan Lingkungan Ahli Muda</t>
  </si>
  <si>
    <t>197307132009031001</t>
  </si>
  <si>
    <t>bali</t>
  </si>
  <si>
    <t>7601021307730001</t>
  </si>
  <si>
    <t>889771416814000</t>
  </si>
  <si>
    <t>Dusun Bukit sari</t>
  </si>
  <si>
    <t>085231669912</t>
  </si>
  <si>
    <t>ni wayan sulasmini;imade adyirawan;artha wedha</t>
  </si>
  <si>
    <t>I Made Dimbut</t>
  </si>
  <si>
    <t>Ni nyoman Munkir</t>
  </si>
  <si>
    <t>Ninyoman Jamin</t>
  </si>
  <si>
    <t>P 081668</t>
  </si>
  <si>
    <t>AA 04023931</t>
  </si>
  <si>
    <t>823.3/1077/BKPPD</t>
  </si>
  <si>
    <t>813.2/76/BKDD</t>
  </si>
  <si>
    <t>821.12/519/BKDD</t>
  </si>
  <si>
    <t>SD N Inpres Salumoni</t>
  </si>
  <si>
    <t>06 OA oa 0123632</t>
  </si>
  <si>
    <t>SMPN Bambalomotu</t>
  </si>
  <si>
    <t>06 OB ob 0475088</t>
  </si>
  <si>
    <t>STMN Palu</t>
  </si>
  <si>
    <t>24  OB op 0001502</t>
  </si>
  <si>
    <t>B7345.1.1.2012</t>
  </si>
  <si>
    <t>Penyusun Rencana Tata Ruang</t>
  </si>
  <si>
    <t>197009302012121003</t>
  </si>
  <si>
    <t>gowa</t>
  </si>
  <si>
    <t>550863641814000</t>
  </si>
  <si>
    <t>081341295554</t>
  </si>
  <si>
    <t>komarammar1070@gmail.com</t>
  </si>
  <si>
    <t>396/33/VII/1998</t>
  </si>
  <si>
    <t>H. Abd. Korim DG Nuru</t>
  </si>
  <si>
    <t>H.Dahlia DG. Ngiji</t>
  </si>
  <si>
    <t>Roslina Andi Pangeran DG. Malindu</t>
  </si>
  <si>
    <t>A 04001242</t>
  </si>
  <si>
    <t>700930121210030</t>
  </si>
  <si>
    <t>AA 04023605</t>
  </si>
  <si>
    <t>823.3/311/BKPPD</t>
  </si>
  <si>
    <t>813.2/150/BKDD</t>
  </si>
  <si>
    <t>821.12/597/BKDD</t>
  </si>
  <si>
    <t>SDN Inpres Sungguminasa</t>
  </si>
  <si>
    <t>06 OA oa 099913</t>
  </si>
  <si>
    <t>SMPN 2 Sungguminasa</t>
  </si>
  <si>
    <t>06 OB ob 0392212</t>
  </si>
  <si>
    <t>SMA N 159 Sungguminasa</t>
  </si>
  <si>
    <t>06 OB og 0023187</t>
  </si>
  <si>
    <t>946-UA/A.7-FE/A/2012</t>
  </si>
  <si>
    <t>rasdiana</t>
  </si>
  <si>
    <t>197512312012122005</t>
  </si>
  <si>
    <t>pinrang</t>
  </si>
  <si>
    <t>760106711275006</t>
  </si>
  <si>
    <t>550793020814000</t>
  </si>
  <si>
    <t>Dusun Mekar sari</t>
  </si>
  <si>
    <t>085256443655</t>
  </si>
  <si>
    <t>anaidamindj@gmail.com</t>
  </si>
  <si>
    <t>H. Muh Amin</t>
  </si>
  <si>
    <t>Hj. Jawasa</t>
  </si>
  <si>
    <t>A 04001269</t>
  </si>
  <si>
    <t>751231121220050</t>
  </si>
  <si>
    <t>813.3/045/BKDD</t>
  </si>
  <si>
    <t>821.13/598/BKDD</t>
  </si>
  <si>
    <t>SDN No.127 Pinrang</t>
  </si>
  <si>
    <t>06 OA oa 0015643</t>
  </si>
  <si>
    <t>SMP Swasta PGRI Mattiro Deceng</t>
  </si>
  <si>
    <t>06 OA ob 0425964</t>
  </si>
  <si>
    <t>STMN Pare</t>
  </si>
  <si>
    <t>06 OB on 0021296</t>
  </si>
  <si>
    <t>45 MAKASSAR</t>
  </si>
  <si>
    <t>221-45/087-04/A/2000</t>
  </si>
  <si>
    <t>santi</t>
  </si>
  <si>
    <t>198509192010012002</t>
  </si>
  <si>
    <t>parepare</t>
  </si>
  <si>
    <t>7601025909850001</t>
  </si>
  <si>
    <t>151438082814000</t>
  </si>
  <si>
    <t>081355561176</t>
  </si>
  <si>
    <t>santi_pu@yahoo.com</t>
  </si>
  <si>
    <t>musdhalifa;muh. fachry ismail;mufidah salsabila ismail</t>
  </si>
  <si>
    <t>Abdul Latif</t>
  </si>
  <si>
    <t>Sumarni</t>
  </si>
  <si>
    <t>Muhammad Ismail Ilyas</t>
  </si>
  <si>
    <t>P 454757</t>
  </si>
  <si>
    <t>850919100120020</t>
  </si>
  <si>
    <t>BA 04023537</t>
  </si>
  <si>
    <t>110-A/A.    E/A/2014</t>
  </si>
  <si>
    <t>fuady kahar</t>
  </si>
  <si>
    <t>Kasubag Keuangan</t>
  </si>
  <si>
    <t>198308082012121002</t>
  </si>
  <si>
    <t>bulukumba</t>
  </si>
  <si>
    <t>7371130808830008</t>
  </si>
  <si>
    <t>550869945814000</t>
  </si>
  <si>
    <t>Jl.Muh.hatta</t>
  </si>
  <si>
    <t>085241234646</t>
  </si>
  <si>
    <t>adyka.fk@gmail.com</t>
  </si>
  <si>
    <t>19/06/II/2014</t>
  </si>
  <si>
    <t>mutiara rahadhani ;airha islamadina ;airyn putri zulaikha</t>
  </si>
  <si>
    <t>Kahar Zainuddin</t>
  </si>
  <si>
    <t>Syuriati Yasin</t>
  </si>
  <si>
    <t>Dewi Nolfianti</t>
  </si>
  <si>
    <t>A 04001220</t>
  </si>
  <si>
    <t>830808121210020</t>
  </si>
  <si>
    <t>AA 04023920</t>
  </si>
  <si>
    <t>813.2/118/BKDD</t>
  </si>
  <si>
    <t>SD Inpres Tidung 1</t>
  </si>
  <si>
    <t>06 OA oa 0132038</t>
  </si>
  <si>
    <t>SLTP Swasta Mitrasyah Diakui</t>
  </si>
  <si>
    <t>06 DI 0079472</t>
  </si>
  <si>
    <t>SMUN 1  Palangka Raya</t>
  </si>
  <si>
    <t>25 Mu 0559795</t>
  </si>
  <si>
    <t>B.4279.4.1.2008</t>
  </si>
  <si>
    <t>andi jamil zainal</t>
  </si>
  <si>
    <t>Pemeriksa Jalan dan Jembatan</t>
  </si>
  <si>
    <t>197504022014091001</t>
  </si>
  <si>
    <t>bantaeng</t>
  </si>
  <si>
    <t>7601020204750005</t>
  </si>
  <si>
    <t>726856305814000</t>
  </si>
  <si>
    <t>Jl.Sultan Hasanuddin</t>
  </si>
  <si>
    <t>081342268999</t>
  </si>
  <si>
    <t>andijamil35@gmail.com</t>
  </si>
  <si>
    <t>a. keisya aulia;a. naura kaila</t>
  </si>
  <si>
    <t>Zainal Abidin</t>
  </si>
  <si>
    <t>Asnani Lakki</t>
  </si>
  <si>
    <t>Suryanti Sabir</t>
  </si>
  <si>
    <t>7304022014091001</t>
  </si>
  <si>
    <t>AA 04023581</t>
  </si>
  <si>
    <t>823.3/668/BKPPD</t>
  </si>
  <si>
    <t>813.3/061/III-15/BKDD</t>
  </si>
  <si>
    <t>821.13/1261/BKDD</t>
  </si>
  <si>
    <t>368/FTS/SL-UMI/2001</t>
  </si>
  <si>
    <t>yulita veryanti siahaan</t>
  </si>
  <si>
    <t>197510032014102002</t>
  </si>
  <si>
    <t>medan</t>
  </si>
  <si>
    <t>7601024310750003</t>
  </si>
  <si>
    <t>726190614814000</t>
  </si>
  <si>
    <t>085241115603</t>
  </si>
  <si>
    <t>123yuliyulita321@gmail.com</t>
  </si>
  <si>
    <t>1008/UMUM/2005</t>
  </si>
  <si>
    <t>obed martin d.p. napitupulu;queen maria m.t. napitupulu;togi orlando l.r. napitupulu</t>
  </si>
  <si>
    <t>Drs. O. Ricardo Siahaan</t>
  </si>
  <si>
    <t>Surti Nurbaya Pardede</t>
  </si>
  <si>
    <t>Gulopong Napitupulu, ST</t>
  </si>
  <si>
    <t>197510032014102062</t>
  </si>
  <si>
    <t>BA 04025323</t>
  </si>
  <si>
    <t>813.3/043/III-15/BKDD</t>
  </si>
  <si>
    <t>821.13/1262/BKDD</t>
  </si>
  <si>
    <t>SDN 5 Palu</t>
  </si>
  <si>
    <t>24 OA oa 0028813</t>
  </si>
  <si>
    <t>SMPN 1 Palu</t>
  </si>
  <si>
    <t>24 OA ob 0173188</t>
  </si>
  <si>
    <t>SMA N 1 Palu</t>
  </si>
  <si>
    <t>24 OB oe 0122344</t>
  </si>
  <si>
    <t>UNTAD</t>
  </si>
  <si>
    <t>10223/41.03.S1/2000</t>
  </si>
  <si>
    <t>Ekonomi Pembangunan</t>
  </si>
  <si>
    <t>as'at</t>
  </si>
  <si>
    <t>197109072014091001</t>
  </si>
  <si>
    <t>donggala</t>
  </si>
  <si>
    <t>7601020709710002</t>
  </si>
  <si>
    <t>705156651814000</t>
  </si>
  <si>
    <t>085342882007</t>
  </si>
  <si>
    <t>asat44245@gmail.com</t>
  </si>
  <si>
    <t>140/16/X/2000</t>
  </si>
  <si>
    <t>sabrina arfanindya;mitha safira;riza fatmahira;fikri dan iswara</t>
  </si>
  <si>
    <t>Moh.Syam</t>
  </si>
  <si>
    <t>Salmiha</t>
  </si>
  <si>
    <t>Lasminiwati</t>
  </si>
  <si>
    <t>AA 04014536</t>
  </si>
  <si>
    <t>813.3/004/III-15/BKDD</t>
  </si>
  <si>
    <t>UGM</t>
  </si>
  <si>
    <t>30053/HYN-WBS</t>
  </si>
  <si>
    <t>Teknik Arsitek</t>
  </si>
  <si>
    <t>hertasming</t>
  </si>
  <si>
    <t>Pengadministrasi Perencanaan dan Program</t>
  </si>
  <si>
    <t>197106222014091001</t>
  </si>
  <si>
    <t>wajo</t>
  </si>
  <si>
    <t>7371122206710002</t>
  </si>
  <si>
    <t>784757619808000</t>
  </si>
  <si>
    <t>Jl.Ir Soekarno</t>
  </si>
  <si>
    <t>08114499688</t>
  </si>
  <si>
    <t>hery.ning22@g.mail.com</t>
  </si>
  <si>
    <t>311/22/XII/2012</t>
  </si>
  <si>
    <t>ariqah khaerunnisa;nisrina fatina;aidah dzakiyah alfatunnisa;nailah</t>
  </si>
  <si>
    <t>H. Pate</t>
  </si>
  <si>
    <t>Hj.Maddanreng</t>
  </si>
  <si>
    <t>Fatmawati</t>
  </si>
  <si>
    <t>AA 04014310</t>
  </si>
  <si>
    <t>813.3/006/III-15/BKDD</t>
  </si>
  <si>
    <t>SD No. 190 Kaluku</t>
  </si>
  <si>
    <t>06 OA oa 081455</t>
  </si>
  <si>
    <t>SMP N Siwa</t>
  </si>
  <si>
    <t>06 OB ob 0365829</t>
  </si>
  <si>
    <t>SMA N 9 Ujung Pandang</t>
  </si>
  <si>
    <t>06 OC oh 0485551</t>
  </si>
  <si>
    <t>UNHAS</t>
  </si>
  <si>
    <t>37351-039-01/047-151-98</t>
  </si>
  <si>
    <t>awan muliawan</t>
  </si>
  <si>
    <t>Analis Perencanaan</t>
  </si>
  <si>
    <t>199108152015031006</t>
  </si>
  <si>
    <t>731805867814000</t>
  </si>
  <si>
    <t>Jl.PDAM</t>
  </si>
  <si>
    <t>085298889599</t>
  </si>
  <si>
    <t>awanplanologi09@gmail.com</t>
  </si>
  <si>
    <t>Sapruddin</t>
  </si>
  <si>
    <t>Hj.nurjannah</t>
  </si>
  <si>
    <t>910815150310080</t>
  </si>
  <si>
    <t>813.3/016/V-15/BKDD</t>
  </si>
  <si>
    <t>SDN Inpres Binaga III Mamuju</t>
  </si>
  <si>
    <t>06 Dd 0150045</t>
  </si>
  <si>
    <t>SMP N 2 Mamuju</t>
  </si>
  <si>
    <t>DN.31 DI 2583988</t>
  </si>
  <si>
    <t>SMA N 1 Mamuju</t>
  </si>
  <si>
    <t>DN-32 Ma0000806</t>
  </si>
  <si>
    <t>UIN ALAUDDIN MAKASSAR</t>
  </si>
  <si>
    <t>UN.6/ST/PP.01.1/813-PWK/2013</t>
  </si>
  <si>
    <t>Teknik Perencanaan wilayah dan kota</t>
  </si>
  <si>
    <t>tahmil</t>
  </si>
  <si>
    <t>197804012006041024</t>
  </si>
  <si>
    <t>pasangkayu</t>
  </si>
  <si>
    <t>7601020104780002</t>
  </si>
  <si>
    <t>674093158814000</t>
  </si>
  <si>
    <t>082188537171</t>
  </si>
  <si>
    <t>tahmil78egos@gmail.com</t>
  </si>
  <si>
    <t>74/03/03/2007</t>
  </si>
  <si>
    <t>kaizar devan mirza;arzanq reza</t>
  </si>
  <si>
    <t>Abd. Haid</t>
  </si>
  <si>
    <t>H. Murni</t>
  </si>
  <si>
    <t>Kusbaena</t>
  </si>
  <si>
    <t>n 306458</t>
  </si>
  <si>
    <t>P 3000250900</t>
  </si>
  <si>
    <t>aa 04023945</t>
  </si>
  <si>
    <t>813.2/435/BKD</t>
  </si>
  <si>
    <t>06 OA 0141103</t>
  </si>
  <si>
    <t>SMP N Pasangkayu</t>
  </si>
  <si>
    <t>06 OA ob 1628078</t>
  </si>
  <si>
    <t>SMUN 1 Pasangkayu</t>
  </si>
  <si>
    <t>06 OB of 103 269722</t>
  </si>
  <si>
    <t>123/KEP/106/HK/96</t>
  </si>
  <si>
    <t>IPS</t>
  </si>
  <si>
    <t>muhammad dirgantara</t>
  </si>
  <si>
    <t>Penata Ruang Ahli Muda</t>
  </si>
  <si>
    <t>198502112015031004</t>
  </si>
  <si>
    <t>parigi moutong</t>
  </si>
  <si>
    <t>7605011102850001</t>
  </si>
  <si>
    <t>702685371813000</t>
  </si>
  <si>
    <t>082259974616</t>
  </si>
  <si>
    <t>muhammaddirgantara85@gmail.com</t>
  </si>
  <si>
    <t>0431/087/IX/2017</t>
  </si>
  <si>
    <t>izzan hanif alfarizqi</t>
  </si>
  <si>
    <t>Cecep gunawan nur</t>
  </si>
  <si>
    <t>kususiah</t>
  </si>
  <si>
    <t>ika pramesti.S.km</t>
  </si>
  <si>
    <t>850211150310040</t>
  </si>
  <si>
    <t>813.3/017/V-15/BKDD</t>
  </si>
  <si>
    <t>821.13/1669/BKDD</t>
  </si>
  <si>
    <t>SDN NEGERI 4 Pontianak Barat</t>
  </si>
  <si>
    <t>14 Oaoa 0001798</t>
  </si>
  <si>
    <t>Pontianak Barat kotamadya Pontianak</t>
  </si>
  <si>
    <t>SMP NEG 1 Watulimo Kab.Trenggalek</t>
  </si>
  <si>
    <t>04 DI 0262658</t>
  </si>
  <si>
    <t>Watulimo</t>
  </si>
  <si>
    <t>SMU Neg.1 Palu</t>
  </si>
  <si>
    <t>195/124.5.2/SMU.1/NN/2002</t>
  </si>
  <si>
    <t>Palu</t>
  </si>
  <si>
    <t>Universitas Tadulako</t>
  </si>
  <si>
    <t>0110/41.06.S1/2013</t>
  </si>
  <si>
    <t>Tehnik Sipil</t>
  </si>
  <si>
    <t>mawaddah</t>
  </si>
  <si>
    <t>198406072019032008</t>
  </si>
  <si>
    <t>081218218590</t>
  </si>
  <si>
    <t>821.13/71/BKPPD</t>
  </si>
  <si>
    <t>SD Inpres Bumi bahari kec.Palu barat</t>
  </si>
  <si>
    <t>24 OAoa0018274</t>
  </si>
  <si>
    <t>SMP Neg.1 Palu Timur</t>
  </si>
  <si>
    <t>24 DI 0012001</t>
  </si>
  <si>
    <t>SMU Neg.4 Palu</t>
  </si>
  <si>
    <t>225/R.01/02</t>
  </si>
  <si>
    <t>18051/41.06.S1/2007</t>
  </si>
  <si>
    <t>vilma erhid salla</t>
  </si>
  <si>
    <t>198504172019032010</t>
  </si>
  <si>
    <t>7371026704860001</t>
  </si>
  <si>
    <t>758952543804000</t>
  </si>
  <si>
    <t>Jl.Kakatua makassar</t>
  </si>
  <si>
    <t>lajang</t>
  </si>
  <si>
    <t>Drs.Luther Salla Boreang</t>
  </si>
  <si>
    <t>Maria Sumiati.S.Kep</t>
  </si>
  <si>
    <t>821.13/70/BKPPD</t>
  </si>
  <si>
    <t>SD Neg.Mangkura 1 Kec.U.pandang</t>
  </si>
  <si>
    <t>06 OA oa 0121402</t>
  </si>
  <si>
    <t>Ujung Pandang</t>
  </si>
  <si>
    <t>SLTP Swasta Frater Disamakam</t>
  </si>
  <si>
    <t>06 DI 1613332</t>
  </si>
  <si>
    <t>Makassar</t>
  </si>
  <si>
    <t>SMU Neg.2 Makassar</t>
  </si>
  <si>
    <t>DN.19 MU 0343913</t>
  </si>
  <si>
    <t>124055-H4-D/14541-511-2010</t>
  </si>
  <si>
    <t>Arsitektur</t>
  </si>
  <si>
    <t>abdul haris rustam</t>
  </si>
  <si>
    <t>Pengawas Jalan dan Jembatan</t>
  </si>
  <si>
    <t>199908212019031010</t>
  </si>
  <si>
    <t>7371012106880003</t>
  </si>
  <si>
    <t>816691372804000</t>
  </si>
  <si>
    <t>JL……</t>
  </si>
  <si>
    <t>085255088455</t>
  </si>
  <si>
    <t>0041/010/III/2015</t>
  </si>
  <si>
    <t>821.12/10/BKPPD</t>
  </si>
  <si>
    <t>SD</t>
  </si>
  <si>
    <t>Politeknik Negri Ujung Pandang</t>
  </si>
  <si>
    <t>9354/PL10/30012/2011</t>
  </si>
  <si>
    <t>Diploma Tiga Politehnik</t>
  </si>
  <si>
    <t>wawan prasetya karbayah</t>
  </si>
  <si>
    <t>199201272019031000</t>
  </si>
  <si>
    <t>tarakan</t>
  </si>
  <si>
    <t>7271012701920003</t>
  </si>
  <si>
    <t>752220026831000</t>
  </si>
  <si>
    <t>Jl Andi Bandaco</t>
  </si>
  <si>
    <t>085394308437</t>
  </si>
  <si>
    <t>Abdul kadir latief</t>
  </si>
  <si>
    <t>Arbayah</t>
  </si>
  <si>
    <t>821.13/93/BKPPD</t>
  </si>
  <si>
    <t>SD Neg.118 Patampanua</t>
  </si>
  <si>
    <t>06 Dd 0116314</t>
  </si>
  <si>
    <t>Patampanua,Pinrang</t>
  </si>
  <si>
    <t>SMP Neg.2 Pinrang</t>
  </si>
  <si>
    <t>DN.-19 DI 2164228</t>
  </si>
  <si>
    <t>Pinrang</t>
  </si>
  <si>
    <t>SMA Neg.1 Pasangkayu</t>
  </si>
  <si>
    <t>DN-32 Na 0001527</t>
  </si>
  <si>
    <t>Mamuju Utara</t>
  </si>
  <si>
    <t>0016/41.06.S1/2015</t>
  </si>
  <si>
    <t>syamsuddin sangkala</t>
  </si>
  <si>
    <t>197201221995041001</t>
  </si>
  <si>
    <t>7601040202720003</t>
  </si>
  <si>
    <t>151436748814000</t>
  </si>
  <si>
    <t>Jl.Bakti Husada</t>
  </si>
  <si>
    <t>081341611699</t>
  </si>
  <si>
    <t>udincaca3@gmail.com</t>
  </si>
  <si>
    <t>272/40/XII/1993</t>
  </si>
  <si>
    <t>hasmira syam;rahmawati sari;sahabuddin;putri salsabila sam  s</t>
  </si>
  <si>
    <t>Sangkala DG. Situju</t>
  </si>
  <si>
    <t>Hasati</t>
  </si>
  <si>
    <t>Nasuhatul Mu'minah</t>
  </si>
  <si>
    <t>G 258939</t>
  </si>
  <si>
    <t>132113712</t>
  </si>
  <si>
    <t>AA 04023595</t>
  </si>
  <si>
    <t>823.2/206/BKDD</t>
  </si>
  <si>
    <t>GR.813.1-28</t>
  </si>
  <si>
    <t>823.2/279/BKDD</t>
  </si>
  <si>
    <t>SDN No.109 Ujung Pandang</t>
  </si>
  <si>
    <t>OA oa 121384</t>
  </si>
  <si>
    <t>Paket C</t>
  </si>
  <si>
    <t>33PC0500106</t>
  </si>
  <si>
    <t>Sarudu</t>
  </si>
  <si>
    <t>SMA</t>
  </si>
  <si>
    <t>i made tamayasa</t>
  </si>
  <si>
    <t>Kepala UPTD Pengelolaan Limbah Domestik</t>
  </si>
  <si>
    <t>196804122007011074</t>
  </si>
  <si>
    <t>antapan</t>
  </si>
  <si>
    <t>7601021204680004</t>
  </si>
  <si>
    <t>145104378814000</t>
  </si>
  <si>
    <t>Jl.Pendididkan</t>
  </si>
  <si>
    <t>082292050166</t>
  </si>
  <si>
    <t>tamayasaimade@gmail.com</t>
  </si>
  <si>
    <t>42/PHDI/DB/2009</t>
  </si>
  <si>
    <t>i made andreas anggara;ni putu maylina;putu alif</t>
  </si>
  <si>
    <t>I Made merta</t>
  </si>
  <si>
    <t>Ni ketut kati</t>
  </si>
  <si>
    <t>Sunarsi</t>
  </si>
  <si>
    <t>N 460554</t>
  </si>
  <si>
    <t>823.2/70/BKPPD</t>
  </si>
  <si>
    <t>813.2/256/BKD</t>
  </si>
  <si>
    <t>821.12/355/BKDD</t>
  </si>
  <si>
    <t>SDN No.2 Antapan</t>
  </si>
  <si>
    <t>19 OA oa 14290</t>
  </si>
  <si>
    <t>SMP Swasta Yudistira</t>
  </si>
  <si>
    <t>19 OB ob 0506725</t>
  </si>
  <si>
    <t>STM Swasta Nasional</t>
  </si>
  <si>
    <t>19 OC ou 0007863</t>
  </si>
  <si>
    <t>Denpasar</t>
  </si>
  <si>
    <t>86/1.19/Kep/1.07</t>
  </si>
  <si>
    <t>Bangunan</t>
  </si>
  <si>
    <t>rasmi lumai</t>
  </si>
  <si>
    <t>198004112007011015</t>
  </si>
  <si>
    <t>tombong</t>
  </si>
  <si>
    <t>7601021104800004</t>
  </si>
  <si>
    <t>470535402814000</t>
  </si>
  <si>
    <t>Tikke,</t>
  </si>
  <si>
    <t>085241454868</t>
  </si>
  <si>
    <t>rasmi.lumai@yahoo.com</t>
  </si>
  <si>
    <t>521,12,III,2007</t>
  </si>
  <si>
    <t>aisyah lumai;sofiyah lumai;zubair lumai</t>
  </si>
  <si>
    <t>Rustam</t>
  </si>
  <si>
    <t>Ramlah</t>
  </si>
  <si>
    <t>Hanalia, S.Pd</t>
  </si>
  <si>
    <t>N 460555</t>
  </si>
  <si>
    <t>P 3000502500</t>
  </si>
  <si>
    <t>AA 04023909</t>
  </si>
  <si>
    <t>SDN No. 93 Tombang</t>
  </si>
  <si>
    <t>06 OA oa 0037483</t>
  </si>
  <si>
    <t>SMP Swasta Diakui Harapan Keraten</t>
  </si>
  <si>
    <t>06 OA ob 0154245</t>
  </si>
  <si>
    <t>SMK Dewantara Ulama Diakui Palopo</t>
  </si>
  <si>
    <t>06 Mk 226 041211</t>
  </si>
  <si>
    <t>palopo</t>
  </si>
  <si>
    <t>06 MK 226 041211</t>
  </si>
  <si>
    <t>Automotif</t>
  </si>
  <si>
    <t>anzar</t>
  </si>
  <si>
    <t>198204092006041012</t>
  </si>
  <si>
    <t>7601020904820003</t>
  </si>
  <si>
    <t>674093166814000</t>
  </si>
  <si>
    <t>Jl. Andi bandaco</t>
  </si>
  <si>
    <t>082293277470</t>
  </si>
  <si>
    <t>ansarsaputra82@gmail.com</t>
  </si>
  <si>
    <t>247,18,XII,2008</t>
  </si>
  <si>
    <t>nur afiza indi</t>
  </si>
  <si>
    <t>Am Saputra</t>
  </si>
  <si>
    <t>Asmawartin</t>
  </si>
  <si>
    <t>Delvianti</t>
  </si>
  <si>
    <t>N 331798</t>
  </si>
  <si>
    <t>823.2/1020/BKDD</t>
  </si>
  <si>
    <t>813.2/402/BKD</t>
  </si>
  <si>
    <t>821.12/40/BKD</t>
  </si>
  <si>
    <t>SDN Nunu</t>
  </si>
  <si>
    <t>06 OA oa 0105823</t>
  </si>
  <si>
    <t>SMP N 2 Pasangkayu</t>
  </si>
  <si>
    <t>06 OA ob 1943358</t>
  </si>
  <si>
    <t>SMKN 3 Palu</t>
  </si>
  <si>
    <t>24 Mk 226 0079550</t>
  </si>
  <si>
    <t>24 MK 226 0079550</t>
  </si>
  <si>
    <t>munawir z</t>
  </si>
  <si>
    <t>Analis Pengamanan Lingkungan</t>
  </si>
  <si>
    <t>198305022007011008</t>
  </si>
  <si>
    <t>7601020205830001</t>
  </si>
  <si>
    <t>145104345814000</t>
  </si>
  <si>
    <t>Perum btn griya matra</t>
  </si>
  <si>
    <t>081343714950</t>
  </si>
  <si>
    <t>thitabid@gmail.com</t>
  </si>
  <si>
    <t>63,13,IV,2008</t>
  </si>
  <si>
    <t>qanitah;m. abidzal;m. afif</t>
  </si>
  <si>
    <t>Zainuddin</t>
  </si>
  <si>
    <t>ST. Aminah</t>
  </si>
  <si>
    <t>Evi</t>
  </si>
  <si>
    <t>N 460552</t>
  </si>
  <si>
    <t>P 30005655</t>
  </si>
  <si>
    <t>AA 04023586</t>
  </si>
  <si>
    <t>813.2/63 A/BKD</t>
  </si>
  <si>
    <t>SMK</t>
  </si>
  <si>
    <t>06 Mk 0508496</t>
  </si>
  <si>
    <t>UMP</t>
  </si>
  <si>
    <t>B.9937.4.1.2015</t>
  </si>
  <si>
    <t>Hukum</t>
  </si>
  <si>
    <t>budi rahmadi basri</t>
  </si>
  <si>
    <t>197905062009021008</t>
  </si>
  <si>
    <t>makassar</t>
  </si>
  <si>
    <t>7601020605790001</t>
  </si>
  <si>
    <t>547068940814000</t>
  </si>
  <si>
    <t>081245231196</t>
  </si>
  <si>
    <t>budirahmadibasri@gmail.com</t>
  </si>
  <si>
    <t>71,07,VI,2009</t>
  </si>
  <si>
    <t>muh.syaril budi agung;khalisa zahra almaira</t>
  </si>
  <si>
    <t>Basri yunus-</t>
  </si>
  <si>
    <t>Hj.Rahmatiah</t>
  </si>
  <si>
    <t>Nurlinda</t>
  </si>
  <si>
    <t>P 636304</t>
  </si>
  <si>
    <t>19/905062009021008</t>
  </si>
  <si>
    <t>AA 04023908</t>
  </si>
  <si>
    <t>823.2/628/BKPP</t>
  </si>
  <si>
    <t>813.2/1102-CP/BKD/2009</t>
  </si>
  <si>
    <t>821.2/431/PNS/BKD/2011</t>
  </si>
  <si>
    <t>SD Sekolah Luar Biasa/ SLB-C</t>
  </si>
  <si>
    <t>24 OA oa 0026431</t>
  </si>
  <si>
    <t>SLTP N 1 Pamboang</t>
  </si>
  <si>
    <t>06 OA oe 0055983</t>
  </si>
  <si>
    <t>SMU Swasta Swadaya Palu</t>
  </si>
  <si>
    <t>24 Mu 0569798</t>
  </si>
  <si>
    <t>24 MU 0569798</t>
  </si>
  <si>
    <t>asham</t>
  </si>
  <si>
    <t>197807012010011002</t>
  </si>
  <si>
    <t>guntarano</t>
  </si>
  <si>
    <t>7601020107780249</t>
  </si>
  <si>
    <t>582268686814000</t>
  </si>
  <si>
    <t>Jl.R.A.Kartini</t>
  </si>
  <si>
    <t>085241225366</t>
  </si>
  <si>
    <t>ashamungkepalu@gmail.com</t>
  </si>
  <si>
    <t>165,20,XI,2010</t>
  </si>
  <si>
    <t>didik ikrawan;adibah kanza azzahrah;ariqa afsheen ramadani</t>
  </si>
  <si>
    <t>Lasami</t>
  </si>
  <si>
    <t>Indo adi</t>
  </si>
  <si>
    <t>Susi</t>
  </si>
  <si>
    <t>P 484657</t>
  </si>
  <si>
    <t>197807012010011000</t>
  </si>
  <si>
    <t>AA 04023907</t>
  </si>
  <si>
    <t>823.2/206/BKPPD</t>
  </si>
  <si>
    <t>SDN Gorontalo</t>
  </si>
  <si>
    <t>24 OA oa 0008519</t>
  </si>
  <si>
    <t>SMPN Mamboro</t>
  </si>
  <si>
    <t>24 OA ob 1583583</t>
  </si>
  <si>
    <t>STM Muhammadiyah Palu</t>
  </si>
  <si>
    <t>24 OB on 0022759</t>
  </si>
  <si>
    <t>24 OB 0022759</t>
  </si>
  <si>
    <t>erwin</t>
  </si>
  <si>
    <t>198405252010011003</t>
  </si>
  <si>
    <t>ujung pangang</t>
  </si>
  <si>
    <t>7601032606840001</t>
  </si>
  <si>
    <t>582268678814000</t>
  </si>
  <si>
    <t>Jl. Andi Depu</t>
  </si>
  <si>
    <t>082189301151</t>
  </si>
  <si>
    <t>0331,33,X,2003</t>
  </si>
  <si>
    <t>anggun aulia ramadani;alya dwi mella;dino aquah</t>
  </si>
  <si>
    <t>Edy-</t>
  </si>
  <si>
    <t>Rosmiati</t>
  </si>
  <si>
    <t>Amnati</t>
  </si>
  <si>
    <t>P 454848</t>
  </si>
  <si>
    <t>AA 04023910</t>
  </si>
  <si>
    <t>SD Inpres Binanga III</t>
  </si>
  <si>
    <t>06 OA oa 0139725</t>
  </si>
  <si>
    <t>SLTP N 1Mamuju</t>
  </si>
  <si>
    <t>06 DI 0065154</t>
  </si>
  <si>
    <t>Madrasah Aliyah Negeri Mamuju</t>
  </si>
  <si>
    <t>Dt.II.I/t/MA.18.01/041/2002</t>
  </si>
  <si>
    <t>Mamuju</t>
  </si>
  <si>
    <t>DT II/t/MA.18.01/041/2002</t>
  </si>
  <si>
    <t>ariyadi</t>
  </si>
  <si>
    <t>197603042011011003</t>
  </si>
  <si>
    <t>159834290814000</t>
  </si>
  <si>
    <t>Jl. Trans Sulawesi Pangiang</t>
  </si>
  <si>
    <t>082112569920</t>
  </si>
  <si>
    <t>ariyadimustafa@gmail.com</t>
  </si>
  <si>
    <t>110,24,IV,2010</t>
  </si>
  <si>
    <t>raissa amira ariyadi</t>
  </si>
  <si>
    <t>H. Mustafa-</t>
  </si>
  <si>
    <t>Hj. Hadri</t>
  </si>
  <si>
    <t>Ikeu Krisnawati</t>
  </si>
  <si>
    <t>Q 206586</t>
  </si>
  <si>
    <t>AA 04023587</t>
  </si>
  <si>
    <t>813.2/474/BKDD</t>
  </si>
  <si>
    <t>821.12/534/BKDD</t>
  </si>
  <si>
    <t>SD Inpres Tatura 1</t>
  </si>
  <si>
    <t>24 OA0014595 oa</t>
  </si>
  <si>
    <t>STM N Palu</t>
  </si>
  <si>
    <t>24 OB on 0002653</t>
  </si>
  <si>
    <t>24 OB 0002653</t>
  </si>
  <si>
    <t>safaruddin bakry</t>
  </si>
  <si>
    <t>198012142011011005</t>
  </si>
  <si>
    <t>7601022812760001</t>
  </si>
  <si>
    <t>159834480814000</t>
  </si>
  <si>
    <t>Jl. RA Kartini</t>
  </si>
  <si>
    <t>085331265680</t>
  </si>
  <si>
    <t>safaruddin094@gmail.com</t>
  </si>
  <si>
    <t>362,25,VII,2004</t>
  </si>
  <si>
    <t>muh.imran s.b;muh.rifqa s.b;muh.rafah;nur qaireen</t>
  </si>
  <si>
    <t>H.Muh.Bakry-</t>
  </si>
  <si>
    <t>Hj Masnia Saleh</t>
  </si>
  <si>
    <t>Masni</t>
  </si>
  <si>
    <t>Q 206585</t>
  </si>
  <si>
    <t>198012101101100542</t>
  </si>
  <si>
    <t>AA 04023893</t>
  </si>
  <si>
    <t>SDN No. 002 Bontang</t>
  </si>
  <si>
    <t>26 OA oa 0034373</t>
  </si>
  <si>
    <t>SLTPN 1 Bontang</t>
  </si>
  <si>
    <t>26 OA oe 0023974</t>
  </si>
  <si>
    <t>SMK N 2 Makassar</t>
  </si>
  <si>
    <t>06 Mk 0244393</t>
  </si>
  <si>
    <t>Gambar bangunan</t>
  </si>
  <si>
    <t>muh.rushan rusli</t>
  </si>
  <si>
    <t>197612282009031001</t>
  </si>
  <si>
    <t>780270906814000</t>
  </si>
  <si>
    <t>085255339932</t>
  </si>
  <si>
    <t>17,17,I,2007</t>
  </si>
  <si>
    <t>muh.mursidan baldan;sakira aftani rushan</t>
  </si>
  <si>
    <t>Muh.Rusli-</t>
  </si>
  <si>
    <t>Hasnah</t>
  </si>
  <si>
    <t>Jusniati,Ama</t>
  </si>
  <si>
    <t>P 333248</t>
  </si>
  <si>
    <t>AA 04014498</t>
  </si>
  <si>
    <t>823.2/1080/BKPPD</t>
  </si>
  <si>
    <t>Hilang</t>
  </si>
  <si>
    <t>daharia</t>
  </si>
  <si>
    <t>196712312012122006</t>
  </si>
  <si>
    <t>enrekang</t>
  </si>
  <si>
    <t>7601025507710002</t>
  </si>
  <si>
    <t>550988455814000</t>
  </si>
  <si>
    <t>085395083935</t>
  </si>
  <si>
    <t>220,07,III,1992</t>
  </si>
  <si>
    <t>rita andriani ;risky amalia ;ahmad makbul  abd muttaqina;nurhikmasari ;nurfadillah afif</t>
  </si>
  <si>
    <t>Damang -</t>
  </si>
  <si>
    <t>Ralli</t>
  </si>
  <si>
    <t>Kalman</t>
  </si>
  <si>
    <t>A 04001217</t>
  </si>
  <si>
    <t>196120121220067123</t>
  </si>
  <si>
    <t>BA 04025336</t>
  </si>
  <si>
    <t>813.2/077/BKD</t>
  </si>
  <si>
    <t>SMPN 1201 Tanrutedong</t>
  </si>
  <si>
    <t>SMA Swasta Ampera Ujung Pandang</t>
  </si>
  <si>
    <t>06 OC oh 0071191</t>
  </si>
  <si>
    <t>06 OC 0071191</t>
  </si>
  <si>
    <t>nur rachmadsyah</t>
  </si>
  <si>
    <t>196910042012121001</t>
  </si>
  <si>
    <t>7271020410000001</t>
  </si>
  <si>
    <t>550873129814000</t>
  </si>
  <si>
    <t>081341002252</t>
  </si>
  <si>
    <t>rachmadsyah1969@gmail.com</t>
  </si>
  <si>
    <t>108,12,III,1995</t>
  </si>
  <si>
    <t>nur firmansyah;abd.agam gani;nur fadhansyah;nanda syumayah;syawal mubarak</t>
  </si>
  <si>
    <t>Alm. H.M.Nur djusdinsyah -</t>
  </si>
  <si>
    <t>Hj Murni DG. Pawatta</t>
  </si>
  <si>
    <t>Daelira A.Pangeran</t>
  </si>
  <si>
    <t>A 04001256</t>
  </si>
  <si>
    <t>AA 04001256</t>
  </si>
  <si>
    <t>813.2/079/BKDD</t>
  </si>
  <si>
    <t>SDN 6 Palu</t>
  </si>
  <si>
    <t>24 OA oa 16951</t>
  </si>
  <si>
    <t>SMPN 3 Palu</t>
  </si>
  <si>
    <t>24 OB ob 0141594</t>
  </si>
  <si>
    <t>24 OC oh 0412030</t>
  </si>
  <si>
    <t>adil bakry</t>
  </si>
  <si>
    <t>Pengadministrasi Kepegawaian</t>
  </si>
  <si>
    <t>197408262012121002</t>
  </si>
  <si>
    <t>7601012608740002</t>
  </si>
  <si>
    <t>550811764814000</t>
  </si>
  <si>
    <t>082345097929</t>
  </si>
  <si>
    <t>adilbakriq@gmail.com</t>
  </si>
  <si>
    <t>356,16,VII,2004</t>
  </si>
  <si>
    <t>afifah nur adilah adil bakri;azkiyah nur aulia adil bakri;azraf nizar ahmad adil bakri</t>
  </si>
  <si>
    <t>Wahidah</t>
  </si>
  <si>
    <t>A 04001210</t>
  </si>
  <si>
    <t>AA 04023606</t>
  </si>
  <si>
    <t>813.2/067/BKDD</t>
  </si>
  <si>
    <t>SDN Pontiku 2</t>
  </si>
  <si>
    <t>06 OA oa 0140563</t>
  </si>
  <si>
    <t>SMPN 4 Ujung Pandang</t>
  </si>
  <si>
    <t>06 OA ob 0458075</t>
  </si>
  <si>
    <t>STM N Balikpapan</t>
  </si>
  <si>
    <t>26 OB on 0063906</t>
  </si>
  <si>
    <t>Balikpapan</t>
  </si>
  <si>
    <t>Listrik</t>
  </si>
  <si>
    <t>a. pajarungi</t>
  </si>
  <si>
    <t>197707242012121003</t>
  </si>
  <si>
    <t>lariang</t>
  </si>
  <si>
    <t>7601022407770002</t>
  </si>
  <si>
    <t>550865422814000</t>
  </si>
  <si>
    <t>Jl. Muh Hatta</t>
  </si>
  <si>
    <t>082290840790</t>
  </si>
  <si>
    <t>andipajarungi1977pu@gmail.com</t>
  </si>
  <si>
    <t>kk.31.05.01/pw.01/231/2011</t>
  </si>
  <si>
    <t>andi kipra;andi kasmin;andi nur handalani;andi alif ramadhan</t>
  </si>
  <si>
    <t>Andi Sabbi-</t>
  </si>
  <si>
    <t>Andi Ampa</t>
  </si>
  <si>
    <t>Sunarti</t>
  </si>
  <si>
    <t>A 04001202</t>
  </si>
  <si>
    <t>823.2/312/BKPPD</t>
  </si>
  <si>
    <t>813.2/031/BKDD</t>
  </si>
  <si>
    <t>SD Inpres Kalukombeo</t>
  </si>
  <si>
    <t>SMPN 1 Banawa</t>
  </si>
  <si>
    <t>SMA Paket C</t>
  </si>
  <si>
    <t>33PC0500017</t>
  </si>
  <si>
    <t>rachmiy. s</t>
  </si>
  <si>
    <t>197709302012122002</t>
  </si>
  <si>
    <t>760102700970004</t>
  </si>
  <si>
    <t>555073972814000</t>
  </si>
  <si>
    <t>Jl.Ponegoro</t>
  </si>
  <si>
    <t>081354318227</t>
  </si>
  <si>
    <t>rachmiy.s@g.mail.com</t>
  </si>
  <si>
    <t>99,13,III,2012</t>
  </si>
  <si>
    <t>qhairia arqanina</t>
  </si>
  <si>
    <t>Siradjuddin-</t>
  </si>
  <si>
    <t>Nur Huda</t>
  </si>
  <si>
    <t>Muh.Syafriel</t>
  </si>
  <si>
    <t>A 04001268</t>
  </si>
  <si>
    <t>BA 04025339</t>
  </si>
  <si>
    <t>813.2/307/BKDD</t>
  </si>
  <si>
    <t>SDN No.234 Temmalebba</t>
  </si>
  <si>
    <t>06 OA oa 0032499</t>
  </si>
  <si>
    <t>Madrasah Tsanawiyah Negeri Palopo</t>
  </si>
  <si>
    <t>E.IV/t/Mts-411/0002/93</t>
  </si>
  <si>
    <t>Madrasah Aliyah Palopo</t>
  </si>
  <si>
    <t>E.IV/t/MA 09/0224/1996</t>
  </si>
  <si>
    <t>Palopo</t>
  </si>
  <si>
    <t>E.IV/t/MA-09/0224/1996</t>
  </si>
  <si>
    <t>lelianti</t>
  </si>
  <si>
    <t>Pengadministrasi Keuangan</t>
  </si>
  <si>
    <t>197712242012122001</t>
  </si>
  <si>
    <t>760102641270003</t>
  </si>
  <si>
    <t>550860217814000</t>
  </si>
  <si>
    <t>082190466956</t>
  </si>
  <si>
    <t>lelianti@gmail.com</t>
  </si>
  <si>
    <t>237/20,X,2005</t>
  </si>
  <si>
    <t>fathur pratama tamsil;farahmi fuanrianagari tamsil</t>
  </si>
  <si>
    <t>Ahsan-</t>
  </si>
  <si>
    <t>Saripa</t>
  </si>
  <si>
    <t>Tamsil</t>
  </si>
  <si>
    <t>A 04001244</t>
  </si>
  <si>
    <t>BA 04025328</t>
  </si>
  <si>
    <t>813.2/211/BKDD</t>
  </si>
  <si>
    <t>SDN Pangiang</t>
  </si>
  <si>
    <t>06 OA oa 0085179</t>
  </si>
  <si>
    <t>SMPN 2 Donggala</t>
  </si>
  <si>
    <t>24 OA ob 1587602</t>
  </si>
  <si>
    <t>SMEA N Donggala</t>
  </si>
  <si>
    <t>24 OB om 0186677</t>
  </si>
  <si>
    <t>Perkantoran</t>
  </si>
  <si>
    <t>muhammad mustaqim nur</t>
  </si>
  <si>
    <t>198303262012121004</t>
  </si>
  <si>
    <t>gresik</t>
  </si>
  <si>
    <t>7601042603830001</t>
  </si>
  <si>
    <t>550913420814000</t>
  </si>
  <si>
    <t>Jl. Husni Thamrin</t>
  </si>
  <si>
    <t>081354937272</t>
  </si>
  <si>
    <t>mustaqimnur@gmail.com</t>
  </si>
  <si>
    <t>31,08,III,2006</t>
  </si>
  <si>
    <t>hesiah fhati muttaqim</t>
  </si>
  <si>
    <t>H.Muchtar nur-</t>
  </si>
  <si>
    <t>Hj.Ratna</t>
  </si>
  <si>
    <t>Nur asiah</t>
  </si>
  <si>
    <t>A 04001248</t>
  </si>
  <si>
    <t>AA 04023894</t>
  </si>
  <si>
    <t>813.2/294/BKDD</t>
  </si>
  <si>
    <t>SDN 1 Marauke</t>
  </si>
  <si>
    <t>18 OA oa 0020824</t>
  </si>
  <si>
    <t>SLTPN 2 Marauke</t>
  </si>
  <si>
    <t>18 DI 2207483</t>
  </si>
  <si>
    <t>SMK Karya Bakti</t>
  </si>
  <si>
    <t>DN-05 Mk 0360531</t>
  </si>
  <si>
    <t>GRESIK</t>
  </si>
  <si>
    <t>DN -05 Mk 0360531</t>
  </si>
  <si>
    <t>dina astuty</t>
  </si>
  <si>
    <t>198506172012122001</t>
  </si>
  <si>
    <t>jakarta</t>
  </si>
  <si>
    <t>7601025706850006</t>
  </si>
  <si>
    <t>550792568814000</t>
  </si>
  <si>
    <t>alifsakha2410@gmail.com</t>
  </si>
  <si>
    <t>0138,010,XII,2018</t>
  </si>
  <si>
    <t>maulidya kaysha</t>
  </si>
  <si>
    <t>Muslimin-</t>
  </si>
  <si>
    <t>Syahriyah</t>
  </si>
  <si>
    <t>Arman</t>
  </si>
  <si>
    <t>A 04001215</t>
  </si>
  <si>
    <t>813.2/151/BKDD</t>
  </si>
  <si>
    <t>SD Inpres Setingkat Donggala</t>
  </si>
  <si>
    <t>24 OA oa 0009939</t>
  </si>
  <si>
    <t>SLTP 2 Banawa Donggala</t>
  </si>
  <si>
    <t>24 DI 2397259</t>
  </si>
  <si>
    <t>SMU 1 Banawa</t>
  </si>
  <si>
    <t>DN-18 Mu 0328909</t>
  </si>
  <si>
    <t>DN -18 Mu 0328909</t>
  </si>
  <si>
    <t>Ipa</t>
  </si>
  <si>
    <t>abd. rifai</t>
  </si>
  <si>
    <t>198610102012121001</t>
  </si>
  <si>
    <t>lampa</t>
  </si>
  <si>
    <t>7601101010860003</t>
  </si>
  <si>
    <t>550887947814000</t>
  </si>
  <si>
    <t>Jl.Manggis</t>
  </si>
  <si>
    <t>081357350881</t>
  </si>
  <si>
    <t>abd.rifai86@gmail.com</t>
  </si>
  <si>
    <t>112,112,I,2014</t>
  </si>
  <si>
    <t>mayyadah putri rifai</t>
  </si>
  <si>
    <t>Aco Saleh-</t>
  </si>
  <si>
    <t>Syamsiah</t>
  </si>
  <si>
    <t>Suryani, SH</t>
  </si>
  <si>
    <t>A 04001203</t>
  </si>
  <si>
    <t>AA 04023919</t>
  </si>
  <si>
    <t>823.3/204/BKPPD</t>
  </si>
  <si>
    <t>813.2/300/BKDD</t>
  </si>
  <si>
    <t>SDN No.057 Inpres Siratuang</t>
  </si>
  <si>
    <t>06 OA oa 0104160</t>
  </si>
  <si>
    <t>Madrasah Tsanawiyah DDI Putra Mangkoso</t>
  </si>
  <si>
    <t>E.IV/t/MTs.05/49/2001</t>
  </si>
  <si>
    <t>SMA Alkhairaat Palu</t>
  </si>
  <si>
    <t>DN-18 Mu 0636231</t>
  </si>
  <si>
    <t>Palu Barat</t>
  </si>
  <si>
    <t>DN -18 Mu 0636231</t>
  </si>
  <si>
    <t>Ips</t>
  </si>
  <si>
    <t>rijal</t>
  </si>
  <si>
    <t>198602082012121004</t>
  </si>
  <si>
    <t>7601080802860001</t>
  </si>
  <si>
    <t>550792899814000</t>
  </si>
  <si>
    <t>085396211346</t>
  </si>
  <si>
    <t>rijalyuni08@gmail.com</t>
  </si>
  <si>
    <t>129,4,XII,2009</t>
  </si>
  <si>
    <t>husnul khotimah;muh.luthfi hamid</t>
  </si>
  <si>
    <t>Rusman-</t>
  </si>
  <si>
    <t>Hj.Hadra</t>
  </si>
  <si>
    <t>Wahyuni</t>
  </si>
  <si>
    <t>A 04001270</t>
  </si>
  <si>
    <t>198607082012121004</t>
  </si>
  <si>
    <t>AA 04023918</t>
  </si>
  <si>
    <t>813.2/223/BKDD</t>
  </si>
  <si>
    <t>SLTPN 1 Pasangkayu</t>
  </si>
  <si>
    <t>No 06 DI 1669093</t>
  </si>
  <si>
    <t>No DN-18 Mu 0592196</t>
  </si>
  <si>
    <t>DN -18 Mu 0592196</t>
  </si>
  <si>
    <t>asnawir</t>
  </si>
  <si>
    <t>197804022014051001</t>
  </si>
  <si>
    <t>7601020204780007</t>
  </si>
  <si>
    <t>704747559814000</t>
  </si>
  <si>
    <t>082301910899</t>
  </si>
  <si>
    <t>awieasnawir@gmail.com</t>
  </si>
  <si>
    <t>0008,008/1/2017</t>
  </si>
  <si>
    <t>moh.rahim fatahillah</t>
  </si>
  <si>
    <t>Daeng manggawing-</t>
  </si>
  <si>
    <t>Hasnani</t>
  </si>
  <si>
    <t>760402140510010</t>
  </si>
  <si>
    <t>823.2/669/BKPPD</t>
  </si>
  <si>
    <t>813.2/033/V-14/BKDD</t>
  </si>
  <si>
    <t>821.12/1054/BKDD</t>
  </si>
  <si>
    <t>SD N Bambaira</t>
  </si>
  <si>
    <t>No 06 OA oa 0085227</t>
  </si>
  <si>
    <t>SLTPN 3 PALU</t>
  </si>
  <si>
    <t>No    OA ob 1542828</t>
  </si>
  <si>
    <t>SMK Muhammadiya 1 PALU</t>
  </si>
  <si>
    <t>No 24 Mk 210 0024717</t>
  </si>
  <si>
    <t>24 Mk 210 0024717</t>
  </si>
  <si>
    <t>Bangunan gedung</t>
  </si>
  <si>
    <t>syamsuri rustam</t>
  </si>
  <si>
    <t>198410172014051001</t>
  </si>
  <si>
    <t>wotu</t>
  </si>
  <si>
    <t>7601021710840002</t>
  </si>
  <si>
    <t>465936383814000</t>
  </si>
  <si>
    <t>081241250130</t>
  </si>
  <si>
    <t>samsuriajadeh@gmail.com</t>
  </si>
  <si>
    <t>136,16,VI,2013</t>
  </si>
  <si>
    <t>alifka hafis rusam ;aisyah nur a'ilah rustam</t>
  </si>
  <si>
    <t>Rustam Baba-</t>
  </si>
  <si>
    <t>Muhalli</t>
  </si>
  <si>
    <t>841017140510010</t>
  </si>
  <si>
    <t>AA 04023895</t>
  </si>
  <si>
    <t>813.2/023/V-14/BKDD</t>
  </si>
  <si>
    <t>SDN No.199 Dauloloe</t>
  </si>
  <si>
    <t>06 OA oa 0076201</t>
  </si>
  <si>
    <t>SLTPN 1 Wotu</t>
  </si>
  <si>
    <t>06 DI 1588132</t>
  </si>
  <si>
    <t>SMKN 2 Palopo</t>
  </si>
  <si>
    <t>DN-19Mk 0668479</t>
  </si>
  <si>
    <t>DN-19 Mk 0668479</t>
  </si>
  <si>
    <t>Tehnik Bangunan</t>
  </si>
  <si>
    <t>asril</t>
  </si>
  <si>
    <t>197412312014051001</t>
  </si>
  <si>
    <t>polewali mandar</t>
  </si>
  <si>
    <t>705445427814000</t>
  </si>
  <si>
    <t>085299978957</t>
  </si>
  <si>
    <t>asril02021974@g.mail.com</t>
  </si>
  <si>
    <t>112,27,III,2001</t>
  </si>
  <si>
    <t>fhirsya udani;mahatir muhammad;faiz asril</t>
  </si>
  <si>
    <t>Abd. Asis-</t>
  </si>
  <si>
    <t>Helwi</t>
  </si>
  <si>
    <t>Sulfiani</t>
  </si>
  <si>
    <t>741231140510010</t>
  </si>
  <si>
    <t>AA 04023580</t>
  </si>
  <si>
    <t>813.2/001/VI-14/BKDD</t>
  </si>
  <si>
    <t>SDN No.004 Sabang Subbi</t>
  </si>
  <si>
    <t>06 OA oa 0019783</t>
  </si>
  <si>
    <t>SMPN Pambusuang</t>
  </si>
  <si>
    <t>06  OB ob 0472941</t>
  </si>
  <si>
    <t>SMUN Tinambing</t>
  </si>
  <si>
    <t>06 OB og 0370771</t>
  </si>
  <si>
    <t>Polewali Mamasa</t>
  </si>
  <si>
    <t>No,06 OB og 0370771</t>
  </si>
  <si>
    <t>muharram</t>
  </si>
  <si>
    <t>196807112014101001</t>
  </si>
  <si>
    <t>7308100107680009</t>
  </si>
  <si>
    <t>726673676814000</t>
  </si>
  <si>
    <t>081355054312</t>
  </si>
  <si>
    <t>muharrammatra@gmail.com</t>
  </si>
  <si>
    <t>23,23,IV,1999</t>
  </si>
  <si>
    <t>andi muh. fiqran;andi muh. fiqrin;andi muhammad fausan</t>
  </si>
  <si>
    <t>Bennu-</t>
  </si>
  <si>
    <t>A. kembang</t>
  </si>
  <si>
    <t>Hijrawati</t>
  </si>
  <si>
    <t>19687112014101001</t>
  </si>
  <si>
    <t>AA 04024249</t>
  </si>
  <si>
    <t>813.2/076/III-15/BKDD</t>
  </si>
  <si>
    <t>821.12/1259/BKDD</t>
  </si>
  <si>
    <t>SDN No. 198 Arasoe</t>
  </si>
  <si>
    <t>XXIII Aa 36046</t>
  </si>
  <si>
    <t>SMPN Cina</t>
  </si>
  <si>
    <t>06 OB ob 0243468</t>
  </si>
  <si>
    <t>SMUN 372 Mara</t>
  </si>
  <si>
    <t>06 OC oh 0398792</t>
  </si>
  <si>
    <t>Mara</t>
  </si>
  <si>
    <t>No,06 OC oh 0398792</t>
  </si>
  <si>
    <t>surya ros</t>
  </si>
  <si>
    <t>Pembina Jasa Konstruksi Ahli Muda</t>
  </si>
  <si>
    <t>197708022014102002</t>
  </si>
  <si>
    <t>tawau</t>
  </si>
  <si>
    <t>7601024208770002</t>
  </si>
  <si>
    <t>470532854814000</t>
  </si>
  <si>
    <t>Jl.Pattimura</t>
  </si>
  <si>
    <t>082189390167</t>
  </si>
  <si>
    <t>surya.ros77@gmail.com</t>
  </si>
  <si>
    <t>171,06,IX,2003</t>
  </si>
  <si>
    <t>muh syahrul adrian;mandhara dwi hapsari;muh. tegar sahril</t>
  </si>
  <si>
    <t>H. Moh. Issa-</t>
  </si>
  <si>
    <t>Hj. Deha</t>
  </si>
  <si>
    <t>Saharuruddin</t>
  </si>
  <si>
    <t>813.2/092/III-15/BKDD</t>
  </si>
  <si>
    <t>SDN Gunung Lingkas 012</t>
  </si>
  <si>
    <t>26 OA oa 0041145</t>
  </si>
  <si>
    <t>SMPN 5 Tarakan</t>
  </si>
  <si>
    <t>26 OA ob 1509981</t>
  </si>
  <si>
    <t>24 OB oe 0774360</t>
  </si>
  <si>
    <t>No,26 OB oc 0774360</t>
  </si>
  <si>
    <t>nur intan</t>
  </si>
  <si>
    <t>198211282014102001</t>
  </si>
  <si>
    <t>7203086811820005</t>
  </si>
  <si>
    <t>550892905814000</t>
  </si>
  <si>
    <t>085398485550</t>
  </si>
  <si>
    <t>nurintanabdun28@gmail.com</t>
  </si>
  <si>
    <t>Faizal Abdun-</t>
  </si>
  <si>
    <t>Hj Zainab Abdun</t>
  </si>
  <si>
    <t>198211252014102001</t>
  </si>
  <si>
    <t>813.2/208/III-15/BKDD</t>
  </si>
  <si>
    <t>SDN No.3 Donggala</t>
  </si>
  <si>
    <t>24 OA oa 0032849</t>
  </si>
  <si>
    <t>SLTPN 2 Donggala</t>
  </si>
  <si>
    <t>24 OA oe 0009084</t>
  </si>
  <si>
    <t>SMUN 1 Banawa Donggala</t>
  </si>
  <si>
    <t>24 Mu 0372974</t>
  </si>
  <si>
    <t>Banawa</t>
  </si>
  <si>
    <t>No,24 Mu 0372974</t>
  </si>
  <si>
    <t>muh. ari gunawan syahputra</t>
  </si>
  <si>
    <t>198608182014091003</t>
  </si>
  <si>
    <t>7371131808860011</t>
  </si>
  <si>
    <t>766191125814000</t>
  </si>
  <si>
    <t>085242498018</t>
  </si>
  <si>
    <t>arigunawan.gempa@yahoo.com</t>
  </si>
  <si>
    <t>74,08,IV,2013</t>
  </si>
  <si>
    <t>muh. faith dzaky</t>
  </si>
  <si>
    <t>Abd. Rajab Ibnu-</t>
  </si>
  <si>
    <t>Hj. Hasniah Abidin</t>
  </si>
  <si>
    <t>Andi Nur Indasari</t>
  </si>
  <si>
    <t>860818140910030</t>
  </si>
  <si>
    <t>AA 04023583</t>
  </si>
  <si>
    <t>813.2/190/III-15/BKDD</t>
  </si>
  <si>
    <t>821.12/1258/BKDD</t>
  </si>
  <si>
    <t>SD Inpres Bertingkat Mamajang 2</t>
  </si>
  <si>
    <t>06 Dd 0120166</t>
  </si>
  <si>
    <t>SLTPN 24 Makassar</t>
  </si>
  <si>
    <t>06 DI 1684112</t>
  </si>
  <si>
    <t>SMAN 3  Makassar</t>
  </si>
  <si>
    <t>DN-19 Mu 0242440</t>
  </si>
  <si>
    <t>DN -19 Mu 0242440</t>
  </si>
  <si>
    <t>IPA</t>
  </si>
  <si>
    <t>iswanto</t>
  </si>
  <si>
    <t>Kasubag Umum Dan Kepegawaian</t>
  </si>
  <si>
    <t>198509092014101003</t>
  </si>
  <si>
    <t>bandar lampung</t>
  </si>
  <si>
    <t>7601040909850001</t>
  </si>
  <si>
    <t>169869724814000</t>
  </si>
  <si>
    <t>08524142776908111017769</t>
  </si>
  <si>
    <t>is.archi04@gmail.com</t>
  </si>
  <si>
    <t>491,49,VI,2013</t>
  </si>
  <si>
    <t>Ngadil</t>
  </si>
  <si>
    <t>Ernawati</t>
  </si>
  <si>
    <t>850909141010030</t>
  </si>
  <si>
    <t>AA 04024221</t>
  </si>
  <si>
    <t>823.2/226/BKPPD</t>
  </si>
  <si>
    <t>813.2/267/III-15/BKDD</t>
  </si>
  <si>
    <t>SDN Inpres Sarudu 1</t>
  </si>
  <si>
    <t>06 Dd 0114143</t>
  </si>
  <si>
    <t>SLTPN 4 Palu</t>
  </si>
  <si>
    <t>24 DI 2517304</t>
  </si>
  <si>
    <t>SMAN 1 Palu Timur</t>
  </si>
  <si>
    <t>DN-18 Mu 0378202</t>
  </si>
  <si>
    <t>DN -18 Mu 0378202</t>
  </si>
  <si>
    <t>darmawi</t>
  </si>
  <si>
    <t>196705152006041014</t>
  </si>
  <si>
    <t>7601021605670001</t>
  </si>
  <si>
    <t>674110523814000</t>
  </si>
  <si>
    <t>Jl.Nangka</t>
  </si>
  <si>
    <t>082293556053</t>
  </si>
  <si>
    <t>49/13/V/1998</t>
  </si>
  <si>
    <t>risma yanti ;sugandi ;winda yanti ;irham</t>
  </si>
  <si>
    <t>Abu Bacoki</t>
  </si>
  <si>
    <t>Tiha</t>
  </si>
  <si>
    <t>Wildan</t>
  </si>
  <si>
    <t>AA 04024548</t>
  </si>
  <si>
    <t>813.2/458/BKD</t>
  </si>
  <si>
    <t>SDN Bambaira</t>
  </si>
  <si>
    <t>OA ou 109429</t>
  </si>
  <si>
    <t>SMP 2 Donggala</t>
  </si>
  <si>
    <t>24 OB ob 0102023</t>
  </si>
  <si>
    <t>SMA N 2 Palu</t>
  </si>
  <si>
    <t>24 OC ob 0152549</t>
  </si>
  <si>
    <t>No.24 Oc.ob 0152549</t>
  </si>
  <si>
    <t>boby s. pakaya</t>
  </si>
  <si>
    <t>197706132014091002</t>
  </si>
  <si>
    <t>7601031306770002</t>
  </si>
  <si>
    <t>467303616814000</t>
  </si>
  <si>
    <t>082344778891</t>
  </si>
  <si>
    <t>35,02,III,2009</t>
  </si>
  <si>
    <t>bain alfarezy;nizam alif al rizky</t>
  </si>
  <si>
    <t>Sudirman. S. Pakaya-</t>
  </si>
  <si>
    <t>Irmawati Ahmad</t>
  </si>
  <si>
    <t>Hasnawia</t>
  </si>
  <si>
    <t>AA 04023582</t>
  </si>
  <si>
    <t>813.1/004/III-15/BKDD</t>
  </si>
  <si>
    <t>821.11/1255/BKDD</t>
  </si>
  <si>
    <t>SDN Buhias</t>
  </si>
  <si>
    <t>16 OA oa 0000516</t>
  </si>
  <si>
    <t>SMPN 1 Donggala</t>
  </si>
  <si>
    <t>24 OA ob 1570637</t>
  </si>
  <si>
    <t>SMA  Paket C</t>
  </si>
  <si>
    <t>33PC0500216</t>
  </si>
  <si>
    <t>i ketut repet</t>
  </si>
  <si>
    <t>198510062014101001</t>
  </si>
  <si>
    <t>bangli</t>
  </si>
  <si>
    <t>7601030610850001</t>
  </si>
  <si>
    <t>551504541815000</t>
  </si>
  <si>
    <t>Baras</t>
  </si>
  <si>
    <t>085255971461</t>
  </si>
  <si>
    <t>ketutrepet@gmail.com</t>
  </si>
  <si>
    <t>7601-KW-15042016-0001</t>
  </si>
  <si>
    <t>i putu raka danendra</t>
  </si>
  <si>
    <t>I Ketut Murti-</t>
  </si>
  <si>
    <t>Ni wayan soko</t>
  </si>
  <si>
    <t>Ni luh Budiyasni</t>
  </si>
  <si>
    <t>AA 04024236</t>
  </si>
  <si>
    <t>823.1/671/BKPPD</t>
  </si>
  <si>
    <t>813.1/082/III-15/BKDD</t>
  </si>
  <si>
    <t>821.11/1256/BKDD</t>
  </si>
  <si>
    <t>SD Impres Baras VII</t>
  </si>
  <si>
    <t>06 Dd 0113551</t>
  </si>
  <si>
    <t>SLTP Neg. 4</t>
  </si>
  <si>
    <t>NO 06 DI 1515924</t>
  </si>
  <si>
    <t>agussalim t</t>
  </si>
  <si>
    <t>198510092014091002</t>
  </si>
  <si>
    <t>tikke</t>
  </si>
  <si>
    <t>7601120910850001</t>
  </si>
  <si>
    <t>555997105814000</t>
  </si>
  <si>
    <t>jl.Diponegoro</t>
  </si>
  <si>
    <t>085298192223</t>
  </si>
  <si>
    <t>agussalimt85@gmail.com</t>
  </si>
  <si>
    <t>0086,003,IX,2016</t>
  </si>
  <si>
    <t>askana ratifah</t>
  </si>
  <si>
    <t>Abd. Talib-</t>
  </si>
  <si>
    <t>Ruhnia</t>
  </si>
  <si>
    <t>Gustina</t>
  </si>
  <si>
    <t>851009140910020</t>
  </si>
  <si>
    <t>813.1/067/III-15/BKDD</t>
  </si>
  <si>
    <t>SDN No.003 Masimbu</t>
  </si>
  <si>
    <t>06 Dd 0102021</t>
  </si>
  <si>
    <t>SLTPN 3 Pasangkayu</t>
  </si>
  <si>
    <t>06 DI 1515869</t>
  </si>
  <si>
    <t>33PC0500219</t>
  </si>
  <si>
    <t>ahmad yani</t>
  </si>
  <si>
    <t>198205252014091001</t>
  </si>
  <si>
    <t>7601042606820003</t>
  </si>
  <si>
    <t>756595690814000</t>
  </si>
  <si>
    <t>Dusun Nunu</t>
  </si>
  <si>
    <t>082344633123</t>
  </si>
  <si>
    <t>09,09,I,2009</t>
  </si>
  <si>
    <t>alif syafar saputra;adnan akbar</t>
  </si>
  <si>
    <t>Ridwan Abd. Halim</t>
  </si>
  <si>
    <t>Harma Ambo djiwa</t>
  </si>
  <si>
    <t>Dini Resqiyah</t>
  </si>
  <si>
    <t>A 04018082</t>
  </si>
  <si>
    <t>198203232014091001</t>
  </si>
  <si>
    <t>AA 04018072</t>
  </si>
  <si>
    <t>813.1/017/III-15/BKDD</t>
  </si>
  <si>
    <t>SD Inpres Bertingkat Donggala</t>
  </si>
  <si>
    <t>24 OA oa 0008650</t>
  </si>
  <si>
    <t>MTSN Palu Barat</t>
  </si>
  <si>
    <t>E. W/5/MTS.8/002/98</t>
  </si>
  <si>
    <t>DN-32 PC 0001275</t>
  </si>
  <si>
    <t>E.W/5/MG.8/002/98</t>
  </si>
  <si>
    <t>Serius pahu'u</t>
  </si>
  <si>
    <t>198311112014101003</t>
  </si>
  <si>
    <t>Darwan</t>
  </si>
  <si>
    <t>198209182009031002</t>
  </si>
  <si>
    <t>Abd.Jabbar</t>
  </si>
  <si>
    <t>197809202014091003</t>
  </si>
  <si>
    <t>Nurafni Rusdin</t>
  </si>
  <si>
    <t>honorer</t>
  </si>
  <si>
    <t>Non</t>
  </si>
  <si>
    <t>082347290792</t>
  </si>
  <si>
    <t>Musdalipa</t>
  </si>
  <si>
    <t>lamu</t>
  </si>
  <si>
    <t>Sudirman</t>
  </si>
  <si>
    <t>watatu</t>
  </si>
  <si>
    <t>Asrafil</t>
  </si>
  <si>
    <t>labuang</t>
  </si>
  <si>
    <t>Ni Made Wiryanti</t>
  </si>
  <si>
    <t>S.Pd</t>
  </si>
  <si>
    <t>hindu</t>
  </si>
  <si>
    <t>Sri Suhartina</t>
  </si>
  <si>
    <t>S.AP</t>
  </si>
  <si>
    <t>tanrutedong</t>
  </si>
  <si>
    <t>Muh. Fikrih Anugrah</t>
  </si>
  <si>
    <t>Kasriadi</t>
  </si>
  <si>
    <t>0812</t>
  </si>
  <si>
    <t>St. Rahma Aris</t>
  </si>
  <si>
    <t>S,Pd</t>
  </si>
  <si>
    <t>Herlin</t>
  </si>
  <si>
    <t>rosmayani</t>
  </si>
  <si>
    <t>gusti ayu nastuti</t>
  </si>
  <si>
    <t>Budiman</t>
  </si>
  <si>
    <t>S,A.P</t>
  </si>
  <si>
    <t xml:space="preserve">Belawa </t>
  </si>
  <si>
    <t>polmas</t>
  </si>
  <si>
    <t>sukri</t>
  </si>
  <si>
    <t>panggalasiang</t>
  </si>
  <si>
    <t>Adiyansah</t>
  </si>
  <si>
    <t>Rahma</t>
  </si>
  <si>
    <t>pangiang</t>
  </si>
  <si>
    <t>Ahyar</t>
  </si>
  <si>
    <t>tomo</t>
  </si>
  <si>
    <t>Joni loe</t>
  </si>
  <si>
    <t>atambua</t>
  </si>
  <si>
    <t>khatolik</t>
  </si>
  <si>
    <t>Agustan</t>
  </si>
  <si>
    <t>watampone</t>
  </si>
  <si>
    <t>I ketut martayasa</t>
  </si>
  <si>
    <t>puntari makmur</t>
  </si>
  <si>
    <t>Fitra ramadan putra</t>
  </si>
  <si>
    <t>St.hajar</t>
  </si>
  <si>
    <t>tampaure</t>
  </si>
  <si>
    <t>pusmatra34@gmail.com</t>
  </si>
  <si>
    <t>Jl. Tuna</t>
  </si>
  <si>
    <t>abangsulawa@gmail.com</t>
  </si>
  <si>
    <t>ewhin.471@yahoo.com</t>
  </si>
  <si>
    <t>rushanrusli@gmail.com</t>
  </si>
  <si>
    <t>Tehnik Pengairan</t>
  </si>
  <si>
    <t>199708152022032010</t>
  </si>
  <si>
    <t>085163590519</t>
  </si>
  <si>
    <t>NURPATIMA</t>
  </si>
  <si>
    <t>Verifikator Keuangan</t>
  </si>
  <si>
    <t>nurpatima@gmail.com</t>
  </si>
  <si>
    <t>849554402730169000</t>
  </si>
  <si>
    <t>459672525374271000</t>
  </si>
  <si>
    <t>911566096258177000</t>
  </si>
  <si>
    <t>807006633669587000</t>
  </si>
  <si>
    <t>846803304754119000</t>
  </si>
  <si>
    <t>135742790342525000</t>
  </si>
  <si>
    <t>188085191659485000</t>
  </si>
  <si>
    <t>717031895479988000</t>
  </si>
  <si>
    <t>414212358906171000</t>
  </si>
  <si>
    <t>865453108557349000</t>
  </si>
  <si>
    <t>352782285393646000</t>
  </si>
  <si>
    <t>819950307868545000</t>
  </si>
  <si>
    <t>828466953145709000</t>
  </si>
  <si>
    <t>410139934548878000</t>
  </si>
  <si>
    <t>974997149712197000</t>
  </si>
  <si>
    <t>333040658412001000</t>
  </si>
  <si>
    <t>413285156152683000</t>
  </si>
  <si>
    <t>938047800766538000</t>
  </si>
  <si>
    <t>701471335940569000</t>
  </si>
  <si>
    <t>871635074514566000</t>
  </si>
  <si>
    <t>815947482934781000</t>
  </si>
  <si>
    <t>407723030603133000</t>
  </si>
  <si>
    <t>671000122295757000</t>
  </si>
  <si>
    <t>5</t>
  </si>
  <si>
    <t>HERMAN HADDANG</t>
  </si>
  <si>
    <t>198301022007011006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</si>
</sst>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8" x14ac:knownFonts="1">
    <font>
      <sz val="10"/>
      <color indexed="8"/>
      <name val="Arial"/>
    </font>
    <font>
      <b/>
      <sz val="10"/>
      <color indexed="8"/>
      <name val="Arial"/>
      <family val="2"/>
    </font>
    <font>
      <sz val="11"/>
      <color indexed="8"/>
      <name val="Helvetica Neue"/>
      <family val="2"/>
    </font>
    <font>
      <u/>
      <sz val="10"/>
      <color indexed="11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sz val="10"/>
      <color rgb="FF000000"/>
      <name val="Tahoma"/>
      <family val="2"/>
      <charset val="1"/>
    </font>
    <font>
      <b/>
      <sz val="10"/>
      <color rgb="FF000000"/>
      <name val="Tahoma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ill="0" applyBorder="0" applyProtection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left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164" fontId="0" fillId="3" borderId="1" xfId="0" applyNumberForma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NumberFormat="1" applyFill="1" applyBorder="1" applyAlignment="1">
      <alignment horizontal="left" vertical="center" wrapText="1"/>
    </xf>
    <xf numFmtId="0" fontId="0" fillId="0" borderId="1" xfId="0" applyBorder="1"/>
    <xf numFmtId="49" fontId="5" fillId="3" borderId="1" xfId="0" applyNumberFormat="1" applyFont="1" applyFill="1" applyBorder="1" applyAlignment="1">
      <alignment horizontal="center" vertical="center" wrapText="1"/>
    </xf>
    <xf numFmtId="49" fontId="4" fillId="3" borderId="1" xfId="1" applyNumberForma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</cellXfs>
  <cellStyles count="2">
    <cellStyle name="Hipertaut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CC"/>
      <rgbColor rgb="FFFFFFFF"/>
      <rgbColor rgb="FF0563C1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Tema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1@gmail.com" TargetMode="External"/><Relationship Id="rId18" Type="http://schemas.openxmlformats.org/officeDocument/2006/relationships/hyperlink" Target="mailto:1@gmail.com" TargetMode="External"/><Relationship Id="rId26" Type="http://schemas.openxmlformats.org/officeDocument/2006/relationships/hyperlink" Target="mailto:1@gmail.com" TargetMode="External"/><Relationship Id="rId39" Type="http://schemas.openxmlformats.org/officeDocument/2006/relationships/hyperlink" Target="mailto:sulsia_husen82@yahoo.co.id" TargetMode="External"/><Relationship Id="rId21" Type="http://schemas.openxmlformats.org/officeDocument/2006/relationships/hyperlink" Target="mailto:1@gmail.com" TargetMode="External"/><Relationship Id="rId34" Type="http://schemas.openxmlformats.org/officeDocument/2006/relationships/hyperlink" Target="mailto:1@gmail.com" TargetMode="External"/><Relationship Id="rId42" Type="http://schemas.openxmlformats.org/officeDocument/2006/relationships/hyperlink" Target="mailto:budirahmadibasri@gmail.com" TargetMode="External"/><Relationship Id="rId47" Type="http://schemas.openxmlformats.org/officeDocument/2006/relationships/hyperlink" Target="mailto:1@gmail.com" TargetMode="External"/><Relationship Id="rId7" Type="http://schemas.openxmlformats.org/officeDocument/2006/relationships/hyperlink" Target="mailto:1@gmail.com" TargetMode="External"/><Relationship Id="rId2" Type="http://schemas.openxmlformats.org/officeDocument/2006/relationships/hyperlink" Target="mailto:1@gmail.com" TargetMode="External"/><Relationship Id="rId16" Type="http://schemas.openxmlformats.org/officeDocument/2006/relationships/hyperlink" Target="mailto:1@gmail.com" TargetMode="External"/><Relationship Id="rId29" Type="http://schemas.openxmlformats.org/officeDocument/2006/relationships/hyperlink" Target="mailto:1@gmail.com" TargetMode="External"/><Relationship Id="rId11" Type="http://schemas.openxmlformats.org/officeDocument/2006/relationships/hyperlink" Target="mailto:1@gmail.com" TargetMode="External"/><Relationship Id="rId24" Type="http://schemas.openxmlformats.org/officeDocument/2006/relationships/hyperlink" Target="mailto:1@gmail.com" TargetMode="External"/><Relationship Id="rId32" Type="http://schemas.openxmlformats.org/officeDocument/2006/relationships/hyperlink" Target="mailto:1@gmail.com" TargetMode="External"/><Relationship Id="rId37" Type="http://schemas.openxmlformats.org/officeDocument/2006/relationships/hyperlink" Target="mailto:1@gmail.com" TargetMode="External"/><Relationship Id="rId40" Type="http://schemas.openxmlformats.org/officeDocument/2006/relationships/hyperlink" Target="mailto:abangsulawa@gmail.com" TargetMode="External"/><Relationship Id="rId45" Type="http://schemas.openxmlformats.org/officeDocument/2006/relationships/hyperlink" Target="mailto:rushanrusli@gmail.com" TargetMode="External"/><Relationship Id="rId5" Type="http://schemas.openxmlformats.org/officeDocument/2006/relationships/hyperlink" Target="mailto:1@gmail.com" TargetMode="External"/><Relationship Id="rId15" Type="http://schemas.openxmlformats.org/officeDocument/2006/relationships/hyperlink" Target="mailto:1@gmail.com" TargetMode="External"/><Relationship Id="rId23" Type="http://schemas.openxmlformats.org/officeDocument/2006/relationships/hyperlink" Target="mailto:1@gmail.com" TargetMode="External"/><Relationship Id="rId28" Type="http://schemas.openxmlformats.org/officeDocument/2006/relationships/hyperlink" Target="mailto:1@gmail.com" TargetMode="External"/><Relationship Id="rId36" Type="http://schemas.openxmlformats.org/officeDocument/2006/relationships/hyperlink" Target="mailto:1@gmail.com" TargetMode="External"/><Relationship Id="rId49" Type="http://schemas.openxmlformats.org/officeDocument/2006/relationships/comments" Target="../comments1.xml"/><Relationship Id="rId10" Type="http://schemas.openxmlformats.org/officeDocument/2006/relationships/hyperlink" Target="mailto:1@gmail.com" TargetMode="External"/><Relationship Id="rId19" Type="http://schemas.openxmlformats.org/officeDocument/2006/relationships/hyperlink" Target="mailto:1@gmail.com" TargetMode="External"/><Relationship Id="rId31" Type="http://schemas.openxmlformats.org/officeDocument/2006/relationships/hyperlink" Target="mailto:1@gmail.com" TargetMode="External"/><Relationship Id="rId44" Type="http://schemas.openxmlformats.org/officeDocument/2006/relationships/hyperlink" Target="mailto:safaruddin094@gmail.com" TargetMode="External"/><Relationship Id="rId4" Type="http://schemas.openxmlformats.org/officeDocument/2006/relationships/hyperlink" Target="mailto:1@gmail.com" TargetMode="External"/><Relationship Id="rId9" Type="http://schemas.openxmlformats.org/officeDocument/2006/relationships/hyperlink" Target="mailto:1@gmail.com" TargetMode="External"/><Relationship Id="rId14" Type="http://schemas.openxmlformats.org/officeDocument/2006/relationships/hyperlink" Target="mailto:1@gmail.com" TargetMode="External"/><Relationship Id="rId22" Type="http://schemas.openxmlformats.org/officeDocument/2006/relationships/hyperlink" Target="mailto:1@gmail.com" TargetMode="External"/><Relationship Id="rId27" Type="http://schemas.openxmlformats.org/officeDocument/2006/relationships/hyperlink" Target="mailto:1@gmail.com" TargetMode="External"/><Relationship Id="rId30" Type="http://schemas.openxmlformats.org/officeDocument/2006/relationships/hyperlink" Target="mailto:1@gmail.com" TargetMode="External"/><Relationship Id="rId35" Type="http://schemas.openxmlformats.org/officeDocument/2006/relationships/hyperlink" Target="mailto:1@gmail.com" TargetMode="External"/><Relationship Id="rId43" Type="http://schemas.openxmlformats.org/officeDocument/2006/relationships/hyperlink" Target="mailto:ewhin.471@yahoo.com" TargetMode="External"/><Relationship Id="rId48" Type="http://schemas.openxmlformats.org/officeDocument/2006/relationships/vmlDrawing" Target="../drawings/vmlDrawing1.vml"/><Relationship Id="rId8" Type="http://schemas.openxmlformats.org/officeDocument/2006/relationships/hyperlink" Target="mailto:1@gmail.com" TargetMode="External"/><Relationship Id="rId3" Type="http://schemas.openxmlformats.org/officeDocument/2006/relationships/hyperlink" Target="mailto:irmawatiidris1976@gmail.com" TargetMode="External"/><Relationship Id="rId12" Type="http://schemas.openxmlformats.org/officeDocument/2006/relationships/hyperlink" Target="mailto:1@gmail.com" TargetMode="External"/><Relationship Id="rId17" Type="http://schemas.openxmlformats.org/officeDocument/2006/relationships/hyperlink" Target="mailto:1@gmail.com" TargetMode="External"/><Relationship Id="rId25" Type="http://schemas.openxmlformats.org/officeDocument/2006/relationships/hyperlink" Target="mailto:1@gmail.com" TargetMode="External"/><Relationship Id="rId33" Type="http://schemas.openxmlformats.org/officeDocument/2006/relationships/hyperlink" Target="mailto:1@gmail.com" TargetMode="External"/><Relationship Id="rId38" Type="http://schemas.openxmlformats.org/officeDocument/2006/relationships/hyperlink" Target="mailto:pusmatra34@gmail.com" TargetMode="External"/><Relationship Id="rId46" Type="http://schemas.openxmlformats.org/officeDocument/2006/relationships/hyperlink" Target="mailto:nurpatima@gmail.com" TargetMode="External"/><Relationship Id="rId20" Type="http://schemas.openxmlformats.org/officeDocument/2006/relationships/hyperlink" Target="mailto:1@gmail.com" TargetMode="External"/><Relationship Id="rId41" Type="http://schemas.openxmlformats.org/officeDocument/2006/relationships/hyperlink" Target="mailto:ashamungkepalu@gmail.com" TargetMode="External"/><Relationship Id="rId1" Type="http://schemas.openxmlformats.org/officeDocument/2006/relationships/hyperlink" Target="mailto:1@gmail.com" TargetMode="External"/><Relationship Id="rId6" Type="http://schemas.openxmlformats.org/officeDocument/2006/relationships/hyperlink" Target="mailto: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6"/>
  <sheetViews>
    <sheetView showGridLines="0" tabSelected="1" zoomScale="132" zoomScaleNormal="132" workbookViewId="0">
      <pane ySplit="1" topLeftCell="A73" activePane="bottomLeft" state="frozen"/>
      <selection pane="bottomLeft" activeCell="E81" sqref="E81"/>
    </sheetView>
  </sheetViews>
  <sheetFormatPr baseColWidth="10" defaultColWidth="11.5" defaultRowHeight="13.5" customHeight="1" x14ac:dyDescent="0.15"/>
  <cols>
    <col min="1" max="1" width="10" style="1" customWidth="1"/>
    <col min="2" max="2" width="40" style="1" customWidth="1"/>
    <col min="3" max="3" width="11.6640625" style="1" customWidth="1"/>
    <col min="4" max="4" width="15.6640625" style="1" customWidth="1"/>
    <col min="5" max="5" width="23" style="1" customWidth="1"/>
    <col min="6" max="6" width="7.83203125" style="1" customWidth="1"/>
    <col min="7" max="7" width="8.33203125" style="1" customWidth="1"/>
    <col min="8" max="10" width="20" style="1" customWidth="1"/>
    <col min="11" max="11" width="18.5" style="1" customWidth="1"/>
    <col min="12" max="12" width="21.83203125" style="1" customWidth="1"/>
    <col min="13" max="13" width="27.1640625" style="1" customWidth="1"/>
    <col min="14" max="14" width="22.83203125" style="1" customWidth="1"/>
    <col min="15" max="15" width="25.6640625" style="1" customWidth="1"/>
    <col min="16" max="16" width="25.1640625" style="1" customWidth="1"/>
    <col min="17" max="17" width="27.33203125" style="1" customWidth="1"/>
    <col min="18" max="18" width="25.83203125" style="1" customWidth="1"/>
    <col min="19" max="19" width="15.5" style="1" customWidth="1"/>
    <col min="20" max="20" width="25.33203125" style="1" customWidth="1"/>
    <col min="21" max="21" width="19.6640625" style="1" customWidth="1"/>
    <col min="22" max="22" width="30" style="1" customWidth="1"/>
    <col min="23" max="23" width="19.33203125" style="1" customWidth="1"/>
    <col min="24" max="25" width="23.83203125" style="1" customWidth="1"/>
    <col min="26" max="26" width="21.83203125" style="1" customWidth="1"/>
    <col min="27" max="27" width="23.1640625" style="1" customWidth="1"/>
    <col min="28" max="28" width="22.5" style="1" customWidth="1"/>
    <col min="29" max="29" width="24.5" style="1" customWidth="1"/>
    <col min="30" max="30" width="17.83203125" style="1" customWidth="1"/>
    <col min="31" max="31" width="21.1640625" style="1" customWidth="1"/>
    <col min="32" max="32" width="20.83203125" style="1" customWidth="1"/>
    <col min="33" max="33" width="21.5" style="1" customWidth="1"/>
    <col min="34" max="34" width="19.83203125" style="1" customWidth="1"/>
    <col min="35" max="35" width="24.83203125" style="1" customWidth="1"/>
    <col min="36" max="36" width="23.6640625" style="1" customWidth="1"/>
    <col min="37" max="37" width="19.33203125" style="1" customWidth="1"/>
    <col min="38" max="38" width="17.5" style="1" customWidth="1"/>
    <col min="39" max="40" width="23.5" style="1" customWidth="1"/>
    <col min="41" max="41" width="20.6640625" style="1" customWidth="1"/>
    <col min="42" max="42" width="27.5" style="1" customWidth="1"/>
    <col min="43" max="43" width="25.6640625" style="1" customWidth="1"/>
    <col min="44" max="44" width="22.6640625" style="1" customWidth="1"/>
    <col min="45" max="45" width="21.5" style="1" customWidth="1"/>
    <col min="46" max="46" width="22.6640625" style="1" customWidth="1"/>
    <col min="47" max="47" width="24.6640625" style="1" customWidth="1"/>
    <col min="48" max="48" width="22.33203125" style="1" customWidth="1"/>
    <col min="49" max="49" width="22.5" style="1" customWidth="1"/>
    <col min="50" max="51" width="25.5" style="1" customWidth="1"/>
    <col min="52" max="52" width="24.1640625" style="1" customWidth="1"/>
    <col min="53" max="53" width="24" style="1" customWidth="1"/>
    <col min="54" max="54" width="24.1640625" style="1" customWidth="1"/>
    <col min="55" max="55" width="26.83203125" style="1" customWidth="1"/>
    <col min="56" max="56" width="26.5" style="1" customWidth="1"/>
    <col min="57" max="57" width="25.1640625" style="1" customWidth="1"/>
    <col min="58" max="60" width="22.83203125" style="1" customWidth="1"/>
    <col min="61" max="61" width="13.33203125" style="1" customWidth="1"/>
    <col min="62" max="62" width="11.5" style="1" customWidth="1"/>
    <col min="63" max="16384" width="11.5" style="1"/>
  </cols>
  <sheetData>
    <row r="1" spans="1:61" ht="40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tr">
        <f>"TANGGAL LAHIR"</f>
        <v>TANGGAL LAHIR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tr">
        <f>"TANGGAL NIKAH"</f>
        <v>TANGGAL NIKAH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tr">
        <f>"TGL. KARPEG"</f>
        <v>TGL. KARPEG</v>
      </c>
      <c r="AC1" s="2" t="s">
        <v>25</v>
      </c>
      <c r="AD1" s="2" t="str">
        <f>"TGL. TASPEN"</f>
        <v>TGL. TASPEN</v>
      </c>
      <c r="AE1" s="2" t="s">
        <v>26</v>
      </c>
      <c r="AF1" s="2" t="str">
        <f>"TGL KARSI KARSU"</f>
        <v>TGL KARSI KARSU</v>
      </c>
      <c r="AG1" s="2" t="s">
        <v>27</v>
      </c>
      <c r="AH1" s="2" t="str">
        <f>"TGL.SK TERKHIR"</f>
        <v>TGL.SK TERKHIR</v>
      </c>
      <c r="AI1" s="2" t="s">
        <v>28</v>
      </c>
      <c r="AJ1" s="2" t="s">
        <v>29</v>
      </c>
      <c r="AK1" s="2" t="str">
        <f>"TGL.SK CPNS"</f>
        <v>TGL.SK CPNS</v>
      </c>
      <c r="AL1" s="2" t="s">
        <v>30</v>
      </c>
      <c r="AM1" s="2" t="s">
        <v>31</v>
      </c>
      <c r="AN1" s="2" t="str">
        <f>"TGL.SK PNS"</f>
        <v>TGL.SK PNS</v>
      </c>
      <c r="AO1" s="2" t="s">
        <v>32</v>
      </c>
      <c r="AP1" s="2" t="s">
        <v>33</v>
      </c>
      <c r="AQ1" s="2" t="s">
        <v>34</v>
      </c>
      <c r="AR1" s="2" t="str">
        <f>"TGL IJASAH SD"</f>
        <v>TGL IJASAH SD</v>
      </c>
      <c r="AS1" s="2" t="s">
        <v>35</v>
      </c>
      <c r="AT1" s="2" t="s">
        <v>36</v>
      </c>
      <c r="AU1" s="2" t="s">
        <v>37</v>
      </c>
      <c r="AV1" s="2" t="str">
        <f>"TGL IJASAH SMP"</f>
        <v>TGL IJASAH SMP</v>
      </c>
      <c r="AW1" s="2" t="s">
        <v>38</v>
      </c>
      <c r="AX1" s="2" t="s">
        <v>39</v>
      </c>
      <c r="AY1" s="2" t="s">
        <v>40</v>
      </c>
      <c r="AZ1" s="2" t="str">
        <f>"TGL IJASAH SMU"</f>
        <v>TGL IJASAH SMU</v>
      </c>
      <c r="BA1" s="2" t="s">
        <v>41</v>
      </c>
      <c r="BB1" s="2" t="s">
        <v>42</v>
      </c>
      <c r="BC1" s="2" t="s">
        <v>43</v>
      </c>
      <c r="BD1" s="2" t="str">
        <f>"TGL IJASAH PEND. TERAKHIR"</f>
        <v>TGL IJASAH PEND. TERAKHIR</v>
      </c>
      <c r="BE1" s="2" t="s">
        <v>44</v>
      </c>
      <c r="BF1" s="2" t="s">
        <v>45</v>
      </c>
      <c r="BG1" s="2" t="s">
        <v>46</v>
      </c>
      <c r="BH1" s="2" t="s">
        <v>47</v>
      </c>
      <c r="BI1" s="2" t="s">
        <v>48</v>
      </c>
    </row>
    <row r="2" spans="1:61" ht="26.5" customHeight="1" x14ac:dyDescent="0.15">
      <c r="A2" s="3">
        <v>1</v>
      </c>
      <c r="B2" s="4" t="s">
        <v>49</v>
      </c>
      <c r="C2" s="4" t="s">
        <v>50</v>
      </c>
      <c r="D2" s="4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6">
        <v>29387</v>
      </c>
      <c r="J2" s="5" t="s">
        <v>56</v>
      </c>
      <c r="K2" s="5" t="s">
        <v>57</v>
      </c>
      <c r="L2" s="5" t="s">
        <v>58</v>
      </c>
      <c r="M2" s="5" t="s">
        <v>59</v>
      </c>
      <c r="N2" s="5"/>
      <c r="O2" s="5" t="s">
        <v>60</v>
      </c>
      <c r="P2" s="5" t="s">
        <v>61</v>
      </c>
      <c r="Q2" s="5" t="s">
        <v>62</v>
      </c>
      <c r="R2" s="5" t="s">
        <v>63</v>
      </c>
      <c r="S2" s="5" t="s">
        <v>64</v>
      </c>
      <c r="T2" s="5" t="s">
        <v>65</v>
      </c>
      <c r="U2" s="6">
        <v>40043</v>
      </c>
      <c r="V2" s="5" t="s">
        <v>66</v>
      </c>
      <c r="W2" s="5"/>
      <c r="X2" s="5" t="s">
        <v>67</v>
      </c>
      <c r="Y2" s="5" t="s">
        <v>68</v>
      </c>
      <c r="Z2" s="5" t="s">
        <v>69</v>
      </c>
      <c r="AA2" s="5" t="s">
        <v>70</v>
      </c>
      <c r="AB2" s="6">
        <v>39861</v>
      </c>
      <c r="AC2" s="5" t="s">
        <v>71</v>
      </c>
      <c r="AD2" s="6">
        <v>40569</v>
      </c>
      <c r="AE2" s="5" t="s">
        <v>72</v>
      </c>
      <c r="AF2" s="6">
        <v>42696</v>
      </c>
      <c r="AG2" s="5" t="s">
        <v>73</v>
      </c>
      <c r="AH2" s="6">
        <v>25569</v>
      </c>
      <c r="AI2" s="5"/>
      <c r="AJ2" s="5" t="s">
        <v>74</v>
      </c>
      <c r="AK2" s="6">
        <v>39080</v>
      </c>
      <c r="AL2" s="5"/>
      <c r="AM2" s="5" t="s">
        <v>75</v>
      </c>
      <c r="AN2" s="6">
        <v>39511</v>
      </c>
      <c r="AO2" s="5"/>
      <c r="AP2" s="5" t="s">
        <v>76</v>
      </c>
      <c r="AQ2" s="5" t="s">
        <v>77</v>
      </c>
      <c r="AR2" s="6">
        <v>33731</v>
      </c>
      <c r="AS2" s="5"/>
      <c r="AT2" s="5" t="s">
        <v>78</v>
      </c>
      <c r="AU2" s="5" t="s">
        <v>79</v>
      </c>
      <c r="AV2" s="6">
        <v>34851</v>
      </c>
      <c r="AW2" s="5"/>
      <c r="AX2" s="5" t="s">
        <v>80</v>
      </c>
      <c r="AY2" s="5" t="s">
        <v>81</v>
      </c>
      <c r="AZ2" s="6">
        <v>35937</v>
      </c>
      <c r="BA2" s="5"/>
      <c r="BB2" s="5" t="s">
        <v>82</v>
      </c>
      <c r="BC2" s="5" t="s">
        <v>83</v>
      </c>
      <c r="BD2" s="6">
        <v>37791</v>
      </c>
      <c r="BE2" s="5" t="s">
        <v>84</v>
      </c>
      <c r="BF2" s="5"/>
      <c r="BG2" s="7">
        <v>45292</v>
      </c>
      <c r="BH2" s="5"/>
      <c r="BI2" s="4" t="s">
        <v>85</v>
      </c>
    </row>
    <row r="3" spans="1:61" ht="26.5" customHeight="1" x14ac:dyDescent="0.15">
      <c r="A3" s="3">
        <v>2</v>
      </c>
      <c r="B3" s="4" t="s">
        <v>86</v>
      </c>
      <c r="C3" s="4" t="s">
        <v>87</v>
      </c>
      <c r="D3" s="4" t="s">
        <v>88</v>
      </c>
      <c r="E3" s="5" t="s">
        <v>89</v>
      </c>
      <c r="F3" s="5" t="s">
        <v>53</v>
      </c>
      <c r="G3" s="5" t="s">
        <v>54</v>
      </c>
      <c r="H3" s="5"/>
      <c r="I3" s="6">
        <v>25230</v>
      </c>
      <c r="J3" s="5" t="s">
        <v>56</v>
      </c>
      <c r="K3" s="5" t="s">
        <v>57</v>
      </c>
      <c r="L3" s="5" t="s">
        <v>58</v>
      </c>
      <c r="M3" s="5" t="s">
        <v>59</v>
      </c>
      <c r="N3" s="5"/>
      <c r="O3" s="5"/>
      <c r="P3" s="5"/>
      <c r="Q3" s="5"/>
      <c r="R3" s="5" t="s">
        <v>90</v>
      </c>
      <c r="S3" s="5"/>
      <c r="T3" s="5"/>
      <c r="U3" s="6"/>
      <c r="V3" s="5"/>
      <c r="W3" s="5"/>
      <c r="X3" s="5"/>
      <c r="Y3" s="5"/>
      <c r="Z3" s="5"/>
      <c r="AA3" s="5"/>
      <c r="AB3" s="6"/>
      <c r="AC3" s="5"/>
      <c r="AD3" s="6"/>
      <c r="AE3" s="5"/>
      <c r="AF3" s="6"/>
      <c r="AG3" s="5"/>
      <c r="AH3" s="6"/>
      <c r="AI3" s="5"/>
      <c r="AJ3" s="5"/>
      <c r="AK3" s="6"/>
      <c r="AL3" s="5"/>
      <c r="AM3" s="5"/>
      <c r="AN3" s="6"/>
      <c r="AO3" s="5"/>
      <c r="AP3" s="5"/>
      <c r="AQ3" s="5"/>
      <c r="AR3" s="6"/>
      <c r="AS3" s="5"/>
      <c r="AT3" s="5"/>
      <c r="AU3" s="5"/>
      <c r="AV3" s="6"/>
      <c r="AW3" s="5"/>
      <c r="AX3" s="5"/>
      <c r="AY3" s="5"/>
      <c r="AZ3" s="6"/>
      <c r="BA3" s="5"/>
      <c r="BB3" s="5"/>
      <c r="BC3" s="5"/>
      <c r="BD3" s="6"/>
      <c r="BE3" s="5"/>
      <c r="BF3" s="5"/>
      <c r="BG3" s="7">
        <v>45292</v>
      </c>
      <c r="BH3" s="5"/>
      <c r="BI3" s="4" t="s">
        <v>91</v>
      </c>
    </row>
    <row r="4" spans="1:61" ht="52.75" customHeight="1" x14ac:dyDescent="0.15">
      <c r="A4" s="3">
        <v>3</v>
      </c>
      <c r="B4" s="4" t="s">
        <v>92</v>
      </c>
      <c r="C4" s="4" t="s">
        <v>93</v>
      </c>
      <c r="D4" s="4" t="s">
        <v>94</v>
      </c>
      <c r="E4" s="5" t="s">
        <v>95</v>
      </c>
      <c r="F4" s="5" t="s">
        <v>96</v>
      </c>
      <c r="G4" s="5" t="s">
        <v>97</v>
      </c>
      <c r="H4" s="5"/>
      <c r="I4" s="6">
        <v>27463</v>
      </c>
      <c r="J4" s="5" t="s">
        <v>56</v>
      </c>
      <c r="K4" s="5" t="s">
        <v>57</v>
      </c>
      <c r="L4" s="5" t="s">
        <v>58</v>
      </c>
      <c r="M4" s="5" t="s">
        <v>59</v>
      </c>
      <c r="N4" s="5"/>
      <c r="O4" s="5"/>
      <c r="P4" s="5"/>
      <c r="Q4" s="5"/>
      <c r="R4" s="5" t="s">
        <v>90</v>
      </c>
      <c r="S4" s="5"/>
      <c r="T4" s="5"/>
      <c r="U4" s="6"/>
      <c r="V4" s="5"/>
      <c r="W4" s="5"/>
      <c r="X4" s="5"/>
      <c r="Y4" s="5"/>
      <c r="Z4" s="5"/>
      <c r="AA4" s="5"/>
      <c r="AB4" s="6"/>
      <c r="AC4" s="5"/>
      <c r="AD4" s="6"/>
      <c r="AE4" s="5"/>
      <c r="AF4" s="6"/>
      <c r="AG4" s="5"/>
      <c r="AH4" s="6"/>
      <c r="AI4" s="5"/>
      <c r="AJ4" s="5"/>
      <c r="AK4" s="6"/>
      <c r="AL4" s="5"/>
      <c r="AM4" s="5"/>
      <c r="AN4" s="6"/>
      <c r="AO4" s="5"/>
      <c r="AP4" s="5"/>
      <c r="AQ4" s="5"/>
      <c r="AR4" s="6"/>
      <c r="AS4" s="5"/>
      <c r="AT4" s="5"/>
      <c r="AU4" s="5"/>
      <c r="AV4" s="6"/>
      <c r="AW4" s="5"/>
      <c r="AX4" s="5"/>
      <c r="AY4" s="5"/>
      <c r="AZ4" s="6"/>
      <c r="BA4" s="5"/>
      <c r="BB4" s="5"/>
      <c r="BC4" s="5"/>
      <c r="BD4" s="6"/>
      <c r="BE4" s="5"/>
      <c r="BF4" s="5"/>
      <c r="BG4" s="7">
        <v>45292</v>
      </c>
      <c r="BH4" s="5"/>
      <c r="BI4" s="13" t="s">
        <v>96</v>
      </c>
    </row>
    <row r="5" spans="1:61" ht="39.5" customHeight="1" x14ac:dyDescent="0.15">
      <c r="A5" s="3">
        <v>4</v>
      </c>
      <c r="B5" s="4" t="s">
        <v>98</v>
      </c>
      <c r="C5" s="4" t="s">
        <v>99</v>
      </c>
      <c r="D5" s="4" t="s">
        <v>100</v>
      </c>
      <c r="E5" s="5" t="s">
        <v>101</v>
      </c>
      <c r="F5" s="5" t="s">
        <v>53</v>
      </c>
      <c r="G5" s="5" t="s">
        <v>102</v>
      </c>
      <c r="H5" s="5" t="s">
        <v>103</v>
      </c>
      <c r="I5" s="6">
        <v>25569</v>
      </c>
      <c r="J5" s="5" t="s">
        <v>56</v>
      </c>
      <c r="K5" s="5" t="s">
        <v>57</v>
      </c>
      <c r="L5" s="5" t="s">
        <v>58</v>
      </c>
      <c r="M5" s="5" t="s">
        <v>59</v>
      </c>
      <c r="N5" s="5" t="s">
        <v>104</v>
      </c>
      <c r="O5" s="5" t="s">
        <v>105</v>
      </c>
      <c r="P5" s="5" t="s">
        <v>106</v>
      </c>
      <c r="Q5" s="5" t="s">
        <v>107</v>
      </c>
      <c r="R5" s="5" t="s">
        <v>108</v>
      </c>
      <c r="S5" s="5" t="s">
        <v>64</v>
      </c>
      <c r="T5" s="5" t="s">
        <v>109</v>
      </c>
      <c r="U5" s="6">
        <v>38848</v>
      </c>
      <c r="V5" s="5" t="s">
        <v>110</v>
      </c>
      <c r="W5" s="5"/>
      <c r="X5" s="5" t="s">
        <v>111</v>
      </c>
      <c r="Y5" s="5" t="s">
        <v>112</v>
      </c>
      <c r="Z5" s="5" t="s">
        <v>113</v>
      </c>
      <c r="AA5" s="5" t="s">
        <v>114</v>
      </c>
      <c r="AB5" s="6">
        <v>25569</v>
      </c>
      <c r="AC5" s="5" t="s">
        <v>115</v>
      </c>
      <c r="AD5" s="6">
        <v>25569</v>
      </c>
      <c r="AE5" s="5" t="s">
        <v>116</v>
      </c>
      <c r="AF5" s="6">
        <v>25569</v>
      </c>
      <c r="AG5" s="5" t="s">
        <v>117</v>
      </c>
      <c r="AH5" s="6">
        <v>43223</v>
      </c>
      <c r="AI5" s="5" t="s">
        <v>118</v>
      </c>
      <c r="AJ5" s="5" t="s">
        <v>119</v>
      </c>
      <c r="AK5" s="6">
        <v>25569</v>
      </c>
      <c r="AL5" s="5" t="s">
        <v>120</v>
      </c>
      <c r="AM5" s="5" t="s">
        <v>121</v>
      </c>
      <c r="AN5" s="6">
        <v>25569</v>
      </c>
      <c r="AO5" s="5" t="s">
        <v>120</v>
      </c>
      <c r="AP5" s="5" t="s">
        <v>122</v>
      </c>
      <c r="AQ5" s="5" t="s">
        <v>123</v>
      </c>
      <c r="AR5" s="6">
        <v>25569</v>
      </c>
      <c r="AS5" s="5" t="s">
        <v>124</v>
      </c>
      <c r="AT5" s="5" t="s">
        <v>125</v>
      </c>
      <c r="AU5" s="5" t="s">
        <v>126</v>
      </c>
      <c r="AV5" s="6">
        <v>25569</v>
      </c>
      <c r="AW5" s="5" t="s">
        <v>127</v>
      </c>
      <c r="AX5" s="5" t="s">
        <v>128</v>
      </c>
      <c r="AY5" s="5" t="s">
        <v>129</v>
      </c>
      <c r="AZ5" s="6">
        <v>33944</v>
      </c>
      <c r="BA5" s="5" t="s">
        <v>130</v>
      </c>
      <c r="BB5" s="5" t="s">
        <v>131</v>
      </c>
      <c r="BC5" s="5" t="s">
        <v>132</v>
      </c>
      <c r="BD5" s="6">
        <v>25569</v>
      </c>
      <c r="BE5" s="5" t="s">
        <v>133</v>
      </c>
      <c r="BF5" s="5"/>
      <c r="BG5" s="7">
        <v>45292</v>
      </c>
      <c r="BH5" s="5"/>
      <c r="BI5" s="13" t="s">
        <v>96</v>
      </c>
    </row>
    <row r="6" spans="1:61" ht="26.5" customHeight="1" x14ac:dyDescent="0.15">
      <c r="A6" s="3">
        <v>5</v>
      </c>
      <c r="B6" s="4" t="s">
        <v>134</v>
      </c>
      <c r="C6" s="4" t="s">
        <v>99</v>
      </c>
      <c r="D6" s="4" t="s">
        <v>135</v>
      </c>
      <c r="E6" s="5" t="s">
        <v>136</v>
      </c>
      <c r="F6" s="5" t="s">
        <v>96</v>
      </c>
      <c r="G6" s="5" t="s">
        <v>137</v>
      </c>
      <c r="H6" s="5" t="s">
        <v>138</v>
      </c>
      <c r="I6" s="6">
        <v>28865</v>
      </c>
      <c r="J6" s="5" t="s">
        <v>56</v>
      </c>
      <c r="K6" s="5" t="s">
        <v>57</v>
      </c>
      <c r="L6" s="5" t="s">
        <v>58</v>
      </c>
      <c r="M6" s="5" t="s">
        <v>59</v>
      </c>
      <c r="N6" s="5" t="s">
        <v>139</v>
      </c>
      <c r="O6" s="5" t="s">
        <v>140</v>
      </c>
      <c r="P6" s="5" t="s">
        <v>141</v>
      </c>
      <c r="Q6" s="5" t="s">
        <v>142</v>
      </c>
      <c r="R6" s="5" t="s">
        <v>143</v>
      </c>
      <c r="S6" s="5" t="s">
        <v>64</v>
      </c>
      <c r="T6" s="5" t="s">
        <v>144</v>
      </c>
      <c r="U6" s="6">
        <v>40082</v>
      </c>
      <c r="V6" s="5" t="s">
        <v>145</v>
      </c>
      <c r="W6" s="5"/>
      <c r="X6" s="5" t="s">
        <v>146</v>
      </c>
      <c r="Y6" s="5" t="s">
        <v>147</v>
      </c>
      <c r="Z6" s="5" t="s">
        <v>148</v>
      </c>
      <c r="AA6" s="5"/>
      <c r="AB6" s="6">
        <v>1462</v>
      </c>
      <c r="AC6" s="5" t="s">
        <v>149</v>
      </c>
      <c r="AD6" s="6">
        <v>41018</v>
      </c>
      <c r="AE6" s="5" t="s">
        <v>150</v>
      </c>
      <c r="AF6" s="6">
        <v>42696</v>
      </c>
      <c r="AG6" s="5" t="s">
        <v>151</v>
      </c>
      <c r="AH6" s="6">
        <v>42107</v>
      </c>
      <c r="AI6" s="5"/>
      <c r="AJ6" s="5" t="s">
        <v>152</v>
      </c>
      <c r="AK6" s="6">
        <v>40623</v>
      </c>
      <c r="AL6" s="5"/>
      <c r="AM6" s="5" t="s">
        <v>153</v>
      </c>
      <c r="AN6" s="6">
        <v>40998</v>
      </c>
      <c r="AO6" s="5"/>
      <c r="AP6" s="5"/>
      <c r="AQ6" s="5"/>
      <c r="AR6" s="6">
        <v>1462</v>
      </c>
      <c r="AS6" s="5"/>
      <c r="AT6" s="5"/>
      <c r="AU6" s="5"/>
      <c r="AV6" s="6">
        <v>1462</v>
      </c>
      <c r="AW6" s="5"/>
      <c r="AX6" s="5"/>
      <c r="AY6" s="5"/>
      <c r="AZ6" s="6">
        <v>1462</v>
      </c>
      <c r="BA6" s="5"/>
      <c r="BB6" s="5" t="s">
        <v>154</v>
      </c>
      <c r="BC6" s="5" t="s">
        <v>155</v>
      </c>
      <c r="BD6" s="6">
        <v>38164</v>
      </c>
      <c r="BE6" s="5" t="s">
        <v>156</v>
      </c>
      <c r="BF6" s="5"/>
      <c r="BG6" s="7">
        <v>45292</v>
      </c>
      <c r="BH6" s="5"/>
      <c r="BI6" s="13" t="s">
        <v>96</v>
      </c>
    </row>
    <row r="7" spans="1:61" ht="26.5" customHeight="1" x14ac:dyDescent="0.15">
      <c r="A7" s="3">
        <v>6</v>
      </c>
      <c r="B7" s="4" t="s">
        <v>157</v>
      </c>
      <c r="C7" s="4" t="s">
        <v>99</v>
      </c>
      <c r="D7" s="4" t="s">
        <v>158</v>
      </c>
      <c r="E7" s="5" t="s">
        <v>159</v>
      </c>
      <c r="F7" s="5" t="s">
        <v>96</v>
      </c>
      <c r="G7" s="5" t="s">
        <v>137</v>
      </c>
      <c r="H7" s="5" t="s">
        <v>160</v>
      </c>
      <c r="I7" s="6">
        <v>30317</v>
      </c>
      <c r="J7" s="5" t="s">
        <v>161</v>
      </c>
      <c r="K7" s="5" t="s">
        <v>57</v>
      </c>
      <c r="L7" s="5" t="s">
        <v>58</v>
      </c>
      <c r="M7" s="5" t="s">
        <v>59</v>
      </c>
      <c r="N7" s="5" t="s">
        <v>162</v>
      </c>
      <c r="O7" s="5" t="s">
        <v>163</v>
      </c>
      <c r="P7" s="5" t="s">
        <v>164</v>
      </c>
      <c r="Q7" s="5" t="s">
        <v>165</v>
      </c>
      <c r="R7" s="5" t="s">
        <v>166</v>
      </c>
      <c r="S7" s="5" t="s">
        <v>64</v>
      </c>
      <c r="T7" s="5" t="s">
        <v>167</v>
      </c>
      <c r="U7" s="6">
        <v>41316</v>
      </c>
      <c r="V7" s="5" t="s">
        <v>168</v>
      </c>
      <c r="W7" s="5"/>
      <c r="X7" s="5" t="s">
        <v>169</v>
      </c>
      <c r="Y7" s="5" t="s">
        <v>170</v>
      </c>
      <c r="Z7" s="5" t="s">
        <v>171</v>
      </c>
      <c r="AA7" s="5" t="s">
        <v>172</v>
      </c>
      <c r="AB7" s="6">
        <v>40847</v>
      </c>
      <c r="AC7" s="5" t="s">
        <v>173</v>
      </c>
      <c r="AD7" s="6">
        <v>40693</v>
      </c>
      <c r="AE7" s="5" t="s">
        <v>174</v>
      </c>
      <c r="AF7" s="6">
        <v>42696</v>
      </c>
      <c r="AG7" s="5" t="s">
        <v>175</v>
      </c>
      <c r="AH7" s="6">
        <v>25569</v>
      </c>
      <c r="AI7" s="5" t="s">
        <v>176</v>
      </c>
      <c r="AJ7" s="5" t="s">
        <v>177</v>
      </c>
      <c r="AK7" s="6">
        <v>40231</v>
      </c>
      <c r="AL7" s="5"/>
      <c r="AM7" s="5" t="s">
        <v>178</v>
      </c>
      <c r="AN7" s="6">
        <v>40633</v>
      </c>
      <c r="AO7" s="5"/>
      <c r="AP7" s="5"/>
      <c r="AQ7" s="5"/>
      <c r="AR7" s="6">
        <v>1462</v>
      </c>
      <c r="AS7" s="5"/>
      <c r="AT7" s="5"/>
      <c r="AU7" s="5"/>
      <c r="AV7" s="6">
        <v>1462</v>
      </c>
      <c r="AW7" s="5"/>
      <c r="AX7" s="5"/>
      <c r="AY7" s="5"/>
      <c r="AZ7" s="6">
        <v>1462</v>
      </c>
      <c r="BA7" s="5"/>
      <c r="BB7" s="5" t="s">
        <v>179</v>
      </c>
      <c r="BC7" s="5" t="s">
        <v>180</v>
      </c>
      <c r="BD7" s="6">
        <v>38889</v>
      </c>
      <c r="BE7" s="5" t="s">
        <v>156</v>
      </c>
      <c r="BF7" s="5"/>
      <c r="BG7" s="7">
        <v>45292</v>
      </c>
      <c r="BH7" s="5"/>
      <c r="BI7" s="13" t="s">
        <v>96</v>
      </c>
    </row>
    <row r="8" spans="1:61" ht="39.5" customHeight="1" x14ac:dyDescent="0.15">
      <c r="A8" s="3">
        <v>7</v>
      </c>
      <c r="B8" s="4" t="s">
        <v>181</v>
      </c>
      <c r="C8" s="4" t="s">
        <v>182</v>
      </c>
      <c r="D8" s="4" t="s">
        <v>183</v>
      </c>
      <c r="E8" s="5" t="s">
        <v>184</v>
      </c>
      <c r="F8" s="5" t="s">
        <v>96</v>
      </c>
      <c r="G8" s="5" t="s">
        <v>185</v>
      </c>
      <c r="H8" s="5" t="s">
        <v>186</v>
      </c>
      <c r="I8" s="6">
        <v>29990</v>
      </c>
      <c r="J8" s="5" t="s">
        <v>56</v>
      </c>
      <c r="K8" s="5" t="s">
        <v>187</v>
      </c>
      <c r="L8" s="5" t="s">
        <v>58</v>
      </c>
      <c r="M8" s="5" t="s">
        <v>59</v>
      </c>
      <c r="N8" s="5" t="s">
        <v>188</v>
      </c>
      <c r="O8" s="5" t="s">
        <v>189</v>
      </c>
      <c r="P8" s="5" t="s">
        <v>190</v>
      </c>
      <c r="Q8" s="5" t="s">
        <v>191</v>
      </c>
      <c r="R8" s="5" t="s">
        <v>192</v>
      </c>
      <c r="S8" s="5" t="s">
        <v>64</v>
      </c>
      <c r="T8" s="5" t="s">
        <v>193</v>
      </c>
      <c r="U8" s="6">
        <v>39444</v>
      </c>
      <c r="V8" s="5" t="s">
        <v>194</v>
      </c>
      <c r="W8" s="5"/>
      <c r="X8" s="5" t="s">
        <v>195</v>
      </c>
      <c r="Y8" s="5" t="s">
        <v>196</v>
      </c>
      <c r="Z8" s="5" t="s">
        <v>197</v>
      </c>
      <c r="AA8" s="5" t="s">
        <v>198</v>
      </c>
      <c r="AB8" s="6">
        <v>38618</v>
      </c>
      <c r="AC8" s="5" t="s">
        <v>199</v>
      </c>
      <c r="AD8" s="6">
        <v>38419</v>
      </c>
      <c r="AE8" s="5" t="s">
        <v>200</v>
      </c>
      <c r="AF8" s="6">
        <v>25569</v>
      </c>
      <c r="AG8" s="5" t="s">
        <v>201</v>
      </c>
      <c r="AH8" s="6">
        <v>42925</v>
      </c>
      <c r="AI8" s="5" t="s">
        <v>176</v>
      </c>
      <c r="AJ8" s="5" t="s">
        <v>202</v>
      </c>
      <c r="AK8" s="6">
        <v>38018</v>
      </c>
      <c r="AL8" s="5"/>
      <c r="AM8" s="5" t="s">
        <v>203</v>
      </c>
      <c r="AN8" s="6">
        <v>38439</v>
      </c>
      <c r="AO8" s="5"/>
      <c r="AP8" s="5" t="s">
        <v>204</v>
      </c>
      <c r="AQ8" s="5" t="s">
        <v>205</v>
      </c>
      <c r="AR8" s="6">
        <v>34825</v>
      </c>
      <c r="AS8" s="5"/>
      <c r="AT8" s="5" t="s">
        <v>206</v>
      </c>
      <c r="AU8" s="5" t="s">
        <v>207</v>
      </c>
      <c r="AV8" s="6">
        <v>35948</v>
      </c>
      <c r="AW8" s="5"/>
      <c r="AX8" s="5" t="s">
        <v>208</v>
      </c>
      <c r="AY8" s="5" t="s">
        <v>209</v>
      </c>
      <c r="AZ8" s="6">
        <v>37057</v>
      </c>
      <c r="BA8" s="5"/>
      <c r="BB8" s="5" t="s">
        <v>210</v>
      </c>
      <c r="BC8" s="5" t="s">
        <v>211</v>
      </c>
      <c r="BD8" s="6">
        <v>39548</v>
      </c>
      <c r="BE8" s="5" t="s">
        <v>212</v>
      </c>
      <c r="BF8" s="5"/>
      <c r="BG8" s="7">
        <v>45292</v>
      </c>
      <c r="BH8" s="5"/>
      <c r="BI8" s="13" t="s">
        <v>96</v>
      </c>
    </row>
    <row r="9" spans="1:61" ht="26.5" customHeight="1" x14ac:dyDescent="0.15">
      <c r="A9" s="3">
        <v>8</v>
      </c>
      <c r="B9" s="4" t="s">
        <v>213</v>
      </c>
      <c r="C9" s="4" t="s">
        <v>99</v>
      </c>
      <c r="D9" s="8"/>
      <c r="E9" s="5" t="s">
        <v>214</v>
      </c>
      <c r="F9" s="5" t="s">
        <v>53</v>
      </c>
      <c r="G9" s="5" t="s">
        <v>215</v>
      </c>
      <c r="H9" s="5" t="s">
        <v>216</v>
      </c>
      <c r="I9" s="6">
        <v>27433</v>
      </c>
      <c r="J9" s="5" t="s">
        <v>56</v>
      </c>
      <c r="K9" s="5" t="s">
        <v>57</v>
      </c>
      <c r="L9" s="5" t="s">
        <v>58</v>
      </c>
      <c r="M9" s="5" t="s">
        <v>59</v>
      </c>
      <c r="N9" s="5"/>
      <c r="O9" s="5" t="s">
        <v>217</v>
      </c>
      <c r="P9" s="5" t="s">
        <v>218</v>
      </c>
      <c r="Q9" s="5" t="s">
        <v>219</v>
      </c>
      <c r="R9" s="5" t="s">
        <v>220</v>
      </c>
      <c r="S9" s="5" t="s">
        <v>64</v>
      </c>
      <c r="T9" s="5" t="s">
        <v>221</v>
      </c>
      <c r="U9" s="6">
        <v>39305</v>
      </c>
      <c r="V9" s="5" t="s">
        <v>222</v>
      </c>
      <c r="W9" s="5"/>
      <c r="X9" s="5" t="s">
        <v>223</v>
      </c>
      <c r="Y9" s="5" t="s">
        <v>224</v>
      </c>
      <c r="Z9" s="5" t="s">
        <v>225</v>
      </c>
      <c r="AA9" s="5" t="s">
        <v>226</v>
      </c>
      <c r="AB9" s="6">
        <v>39731</v>
      </c>
      <c r="AC9" s="5" t="s">
        <v>227</v>
      </c>
      <c r="AD9" s="6">
        <v>39905</v>
      </c>
      <c r="AE9" s="5" t="s">
        <v>228</v>
      </c>
      <c r="AF9" s="6">
        <v>42696</v>
      </c>
      <c r="AG9" s="5" t="s">
        <v>117</v>
      </c>
      <c r="AH9" s="6">
        <v>43593</v>
      </c>
      <c r="AI9" s="5" t="s">
        <v>118</v>
      </c>
      <c r="AJ9" s="5" t="s">
        <v>229</v>
      </c>
      <c r="AK9" s="6">
        <v>39081</v>
      </c>
      <c r="AL9" s="5"/>
      <c r="AM9" s="5" t="s">
        <v>230</v>
      </c>
      <c r="AN9" s="6">
        <v>39511</v>
      </c>
      <c r="AO9" s="5"/>
      <c r="AP9" s="5" t="s">
        <v>231</v>
      </c>
      <c r="AQ9" s="5" t="s">
        <v>232</v>
      </c>
      <c r="AR9" s="6">
        <v>32309</v>
      </c>
      <c r="AS9" s="5"/>
      <c r="AT9" s="5" t="s">
        <v>233</v>
      </c>
      <c r="AU9" s="5" t="s">
        <v>234</v>
      </c>
      <c r="AV9" s="6">
        <v>33396</v>
      </c>
      <c r="AW9" s="5"/>
      <c r="AX9" s="5" t="s">
        <v>235</v>
      </c>
      <c r="AY9" s="5" t="s">
        <v>236</v>
      </c>
      <c r="AZ9" s="6">
        <v>34482</v>
      </c>
      <c r="BA9" s="5"/>
      <c r="BB9" s="5" t="s">
        <v>237</v>
      </c>
      <c r="BC9" s="5" t="s">
        <v>238</v>
      </c>
      <c r="BD9" s="6">
        <v>37285</v>
      </c>
      <c r="BE9" s="5" t="s">
        <v>156</v>
      </c>
      <c r="BF9" s="5"/>
      <c r="BG9" s="7">
        <v>45292</v>
      </c>
      <c r="BH9" s="5"/>
      <c r="BI9" s="13" t="s">
        <v>53</v>
      </c>
    </row>
    <row r="10" spans="1:61" ht="39.5" customHeight="1" x14ac:dyDescent="0.15">
      <c r="A10" s="3">
        <v>9</v>
      </c>
      <c r="B10" s="4" t="s">
        <v>239</v>
      </c>
      <c r="C10" s="4" t="s">
        <v>240</v>
      </c>
      <c r="D10" s="8"/>
      <c r="E10" s="5" t="s">
        <v>241</v>
      </c>
      <c r="F10" s="5" t="s">
        <v>53</v>
      </c>
      <c r="G10" s="5" t="s">
        <v>102</v>
      </c>
      <c r="H10" s="5" t="s">
        <v>242</v>
      </c>
      <c r="I10" s="6">
        <v>24596</v>
      </c>
      <c r="J10" s="5" t="s">
        <v>56</v>
      </c>
      <c r="K10" s="5" t="s">
        <v>57</v>
      </c>
      <c r="L10" s="5" t="s">
        <v>58</v>
      </c>
      <c r="M10" s="5" t="s">
        <v>59</v>
      </c>
      <c r="N10" s="5"/>
      <c r="O10" s="5" t="s">
        <v>243</v>
      </c>
      <c r="P10" s="5"/>
      <c r="Q10" s="5" t="s">
        <v>244</v>
      </c>
      <c r="R10" s="5" t="s">
        <v>245</v>
      </c>
      <c r="S10" s="5" t="s">
        <v>64</v>
      </c>
      <c r="T10" s="5" t="s">
        <v>246</v>
      </c>
      <c r="U10" s="6">
        <v>34741</v>
      </c>
      <c r="V10" s="5" t="s">
        <v>247</v>
      </c>
      <c r="W10" s="5"/>
      <c r="X10" s="5" t="s">
        <v>248</v>
      </c>
      <c r="Y10" s="5" t="s">
        <v>249</v>
      </c>
      <c r="Z10" s="5" t="s">
        <v>250</v>
      </c>
      <c r="AA10" s="5" t="s">
        <v>251</v>
      </c>
      <c r="AB10" s="6">
        <v>34224</v>
      </c>
      <c r="AC10" s="5" t="s">
        <v>252</v>
      </c>
      <c r="AD10" s="6">
        <v>36566</v>
      </c>
      <c r="AE10" s="5" t="s">
        <v>253</v>
      </c>
      <c r="AF10" s="6">
        <v>42696</v>
      </c>
      <c r="AG10" s="5" t="s">
        <v>254</v>
      </c>
      <c r="AH10" s="6">
        <v>38306</v>
      </c>
      <c r="AI10" s="5"/>
      <c r="AJ10" s="5" t="s">
        <v>255</v>
      </c>
      <c r="AK10" s="6">
        <v>33458</v>
      </c>
      <c r="AL10" s="5"/>
      <c r="AM10" s="5" t="s">
        <v>256</v>
      </c>
      <c r="AN10" s="6">
        <v>33999</v>
      </c>
      <c r="AO10" s="5"/>
      <c r="AP10" s="5" t="s">
        <v>257</v>
      </c>
      <c r="AQ10" s="5" t="s">
        <v>258</v>
      </c>
      <c r="AR10" s="6">
        <v>29361</v>
      </c>
      <c r="AS10" s="5"/>
      <c r="AT10" s="5" t="s">
        <v>259</v>
      </c>
      <c r="AU10" s="5" t="s">
        <v>260</v>
      </c>
      <c r="AV10" s="6">
        <v>30460</v>
      </c>
      <c r="AW10" s="5"/>
      <c r="AX10" s="5" t="s">
        <v>261</v>
      </c>
      <c r="AY10" s="5" t="s">
        <v>262</v>
      </c>
      <c r="AZ10" s="6">
        <v>31533</v>
      </c>
      <c r="BA10" s="5"/>
      <c r="BB10" s="5" t="s">
        <v>263</v>
      </c>
      <c r="BC10" s="5" t="s">
        <v>264</v>
      </c>
      <c r="BD10" s="6">
        <v>39921</v>
      </c>
      <c r="BE10" s="5" t="s">
        <v>265</v>
      </c>
      <c r="BF10" s="5"/>
      <c r="BG10" s="7">
        <v>45292</v>
      </c>
      <c r="BH10" s="5"/>
      <c r="BI10" s="13" t="s">
        <v>53</v>
      </c>
    </row>
    <row r="11" spans="1:61" ht="52.75" customHeight="1" x14ac:dyDescent="0.15">
      <c r="A11" s="3">
        <v>10</v>
      </c>
      <c r="B11" s="4" t="s">
        <v>266</v>
      </c>
      <c r="C11" s="4" t="s">
        <v>99</v>
      </c>
      <c r="D11" s="8"/>
      <c r="E11" s="5" t="s">
        <v>267</v>
      </c>
      <c r="F11" s="5" t="s">
        <v>96</v>
      </c>
      <c r="G11" s="5" t="s">
        <v>185</v>
      </c>
      <c r="H11" s="5" t="s">
        <v>268</v>
      </c>
      <c r="I11" s="6">
        <v>25948</v>
      </c>
      <c r="J11" s="5" t="s">
        <v>56</v>
      </c>
      <c r="K11" s="5" t="s">
        <v>57</v>
      </c>
      <c r="L11" s="5" t="s">
        <v>58</v>
      </c>
      <c r="M11" s="5" t="s">
        <v>59</v>
      </c>
      <c r="N11" s="5" t="s">
        <v>269</v>
      </c>
      <c r="O11" s="5" t="s">
        <v>270</v>
      </c>
      <c r="P11" s="5" t="s">
        <v>271</v>
      </c>
      <c r="Q11" s="5" t="s">
        <v>272</v>
      </c>
      <c r="R11" s="5" t="s">
        <v>273</v>
      </c>
      <c r="S11" s="5" t="s">
        <v>64</v>
      </c>
      <c r="T11" s="5" t="s">
        <v>274</v>
      </c>
      <c r="U11" s="6">
        <v>36548</v>
      </c>
      <c r="V11" s="5" t="s">
        <v>275</v>
      </c>
      <c r="W11" s="5"/>
      <c r="X11" s="5" t="s">
        <v>276</v>
      </c>
      <c r="Y11" s="5" t="s">
        <v>277</v>
      </c>
      <c r="Z11" s="5" t="s">
        <v>278</v>
      </c>
      <c r="AA11" s="5" t="s">
        <v>279</v>
      </c>
      <c r="AB11" s="6">
        <v>40126</v>
      </c>
      <c r="AC11" s="5" t="s">
        <v>280</v>
      </c>
      <c r="AD11" s="6">
        <v>40239</v>
      </c>
      <c r="AE11" s="5" t="s">
        <v>281</v>
      </c>
      <c r="AF11" s="6">
        <v>42696</v>
      </c>
      <c r="AG11" s="5" t="s">
        <v>282</v>
      </c>
      <c r="AH11" s="6">
        <v>25569</v>
      </c>
      <c r="AI11" s="5" t="s">
        <v>176</v>
      </c>
      <c r="AJ11" s="5" t="s">
        <v>283</v>
      </c>
      <c r="AK11" s="6">
        <v>39428</v>
      </c>
      <c r="AL11" s="5"/>
      <c r="AM11" s="5" t="s">
        <v>284</v>
      </c>
      <c r="AN11" s="6">
        <v>39813</v>
      </c>
      <c r="AO11" s="5"/>
      <c r="AP11" s="5" t="s">
        <v>285</v>
      </c>
      <c r="AQ11" s="5" t="s">
        <v>286</v>
      </c>
      <c r="AR11" s="6">
        <v>30821</v>
      </c>
      <c r="AS11" s="5"/>
      <c r="AT11" s="5" t="s">
        <v>287</v>
      </c>
      <c r="AU11" s="5" t="s">
        <v>288</v>
      </c>
      <c r="AV11" s="6">
        <v>31934</v>
      </c>
      <c r="AW11" s="5"/>
      <c r="AX11" s="5" t="s">
        <v>289</v>
      </c>
      <c r="AY11" s="5" t="s">
        <v>290</v>
      </c>
      <c r="AZ11" s="6">
        <v>33019</v>
      </c>
      <c r="BA11" s="5"/>
      <c r="BB11" s="5" t="s">
        <v>291</v>
      </c>
      <c r="BC11" s="5" t="s">
        <v>292</v>
      </c>
      <c r="BD11" s="6">
        <v>35108</v>
      </c>
      <c r="BE11" s="5" t="s">
        <v>293</v>
      </c>
      <c r="BF11" s="5"/>
      <c r="BG11" s="7">
        <v>45292</v>
      </c>
      <c r="BH11" s="5"/>
      <c r="BI11" s="13" t="s">
        <v>53</v>
      </c>
    </row>
    <row r="12" spans="1:61" ht="13.75" customHeight="1" x14ac:dyDescent="0.15">
      <c r="A12" s="3">
        <v>11</v>
      </c>
      <c r="B12" s="4" t="s">
        <v>294</v>
      </c>
      <c r="C12" s="4" t="s">
        <v>99</v>
      </c>
      <c r="D12" s="8"/>
      <c r="E12" s="5" t="s">
        <v>295</v>
      </c>
      <c r="F12" s="5" t="s">
        <v>96</v>
      </c>
      <c r="G12" s="5" t="s">
        <v>185</v>
      </c>
      <c r="H12" s="5" t="s">
        <v>296</v>
      </c>
      <c r="I12" s="6">
        <v>27413</v>
      </c>
      <c r="J12" s="5" t="s">
        <v>56</v>
      </c>
      <c r="K12" s="5" t="s">
        <v>57</v>
      </c>
      <c r="L12" s="5" t="s">
        <v>58</v>
      </c>
      <c r="M12" s="5" t="s">
        <v>59</v>
      </c>
      <c r="N12" s="5" t="s">
        <v>297</v>
      </c>
      <c r="O12" s="5" t="s">
        <v>298</v>
      </c>
      <c r="P12" s="5" t="s">
        <v>299</v>
      </c>
      <c r="Q12" s="5" t="s">
        <v>300</v>
      </c>
      <c r="R12" s="5" t="s">
        <v>301</v>
      </c>
      <c r="S12" s="5" t="s">
        <v>64</v>
      </c>
      <c r="T12" s="5" t="s">
        <v>302</v>
      </c>
      <c r="U12" s="6">
        <v>41441</v>
      </c>
      <c r="V12" s="5" t="s">
        <v>303</v>
      </c>
      <c r="W12" s="5"/>
      <c r="X12" s="5" t="s">
        <v>304</v>
      </c>
      <c r="Y12" s="5" t="s">
        <v>305</v>
      </c>
      <c r="Z12" s="5" t="s">
        <v>306</v>
      </c>
      <c r="AA12" s="5" t="s">
        <v>307</v>
      </c>
      <c r="AB12" s="6">
        <v>40126</v>
      </c>
      <c r="AC12" s="5" t="s">
        <v>308</v>
      </c>
      <c r="AD12" s="6">
        <v>40208</v>
      </c>
      <c r="AE12" s="5" t="s">
        <v>309</v>
      </c>
      <c r="AF12" s="6">
        <v>42696</v>
      </c>
      <c r="AG12" s="5" t="s">
        <v>310</v>
      </c>
      <c r="AH12" s="6">
        <v>25569</v>
      </c>
      <c r="AI12" s="5" t="s">
        <v>176</v>
      </c>
      <c r="AJ12" s="5" t="s">
        <v>283</v>
      </c>
      <c r="AK12" s="6">
        <v>39428</v>
      </c>
      <c r="AL12" s="5"/>
      <c r="AM12" s="5" t="s">
        <v>284</v>
      </c>
      <c r="AN12" s="6">
        <v>39813</v>
      </c>
      <c r="AO12" s="5"/>
      <c r="AP12" s="5" t="s">
        <v>311</v>
      </c>
      <c r="AQ12" s="5" t="s">
        <v>312</v>
      </c>
      <c r="AR12" s="6">
        <v>32318</v>
      </c>
      <c r="AS12" s="5"/>
      <c r="AT12" s="5" t="s">
        <v>313</v>
      </c>
      <c r="AU12" s="5" t="s">
        <v>314</v>
      </c>
      <c r="AV12" s="6">
        <v>33397</v>
      </c>
      <c r="AW12" s="5"/>
      <c r="AX12" s="5" t="s">
        <v>315</v>
      </c>
      <c r="AY12" s="5" t="s">
        <v>316</v>
      </c>
      <c r="AZ12" s="6">
        <v>34477</v>
      </c>
      <c r="BA12" s="5"/>
      <c r="BB12" s="5" t="s">
        <v>291</v>
      </c>
      <c r="BC12" s="5" t="s">
        <v>317</v>
      </c>
      <c r="BD12" s="6">
        <v>37475</v>
      </c>
      <c r="BE12" s="5" t="s">
        <v>156</v>
      </c>
      <c r="BF12" s="5"/>
      <c r="BG12" s="7">
        <v>45292</v>
      </c>
      <c r="BH12" s="5"/>
      <c r="BI12" s="13" t="s">
        <v>53</v>
      </c>
    </row>
    <row r="13" spans="1:61" ht="26.5" customHeight="1" x14ac:dyDescent="0.15">
      <c r="A13" s="3">
        <v>12</v>
      </c>
      <c r="B13" s="4" t="s">
        <v>318</v>
      </c>
      <c r="C13" s="4" t="s">
        <v>319</v>
      </c>
      <c r="D13" s="8"/>
      <c r="E13" s="5" t="s">
        <v>320</v>
      </c>
      <c r="F13" s="5" t="s">
        <v>96</v>
      </c>
      <c r="G13" s="5" t="s">
        <v>185</v>
      </c>
      <c r="H13" s="5" t="s">
        <v>321</v>
      </c>
      <c r="I13" s="6">
        <v>29092</v>
      </c>
      <c r="J13" s="5" t="s">
        <v>56</v>
      </c>
      <c r="K13" s="5" t="s">
        <v>57</v>
      </c>
      <c r="L13" s="5" t="s">
        <v>58</v>
      </c>
      <c r="M13" s="5" t="s">
        <v>59</v>
      </c>
      <c r="N13" s="5" t="s">
        <v>322</v>
      </c>
      <c r="O13" s="5" t="s">
        <v>323</v>
      </c>
      <c r="P13" s="5" t="s">
        <v>324</v>
      </c>
      <c r="Q13" s="5" t="s">
        <v>325</v>
      </c>
      <c r="R13" s="12" t="s">
        <v>1809</v>
      </c>
      <c r="S13" s="5" t="s">
        <v>64</v>
      </c>
      <c r="T13" s="5" t="s">
        <v>326</v>
      </c>
      <c r="U13" s="6">
        <v>40373</v>
      </c>
      <c r="V13" s="5" t="s">
        <v>327</v>
      </c>
      <c r="W13" s="5"/>
      <c r="X13" s="5" t="s">
        <v>328</v>
      </c>
      <c r="Y13" s="5" t="s">
        <v>329</v>
      </c>
      <c r="Z13" s="5" t="s">
        <v>330</v>
      </c>
      <c r="AA13" s="5" t="s">
        <v>331</v>
      </c>
      <c r="AB13" s="6">
        <v>40562</v>
      </c>
      <c r="AC13" s="5" t="s">
        <v>332</v>
      </c>
      <c r="AD13" s="6">
        <v>40569</v>
      </c>
      <c r="AE13" s="5" t="s">
        <v>333</v>
      </c>
      <c r="AF13" s="6">
        <v>42696</v>
      </c>
      <c r="AG13" s="5" t="s">
        <v>282</v>
      </c>
      <c r="AH13" s="6">
        <v>25569</v>
      </c>
      <c r="AI13" s="5" t="s">
        <v>176</v>
      </c>
      <c r="AJ13" s="5" t="s">
        <v>334</v>
      </c>
      <c r="AK13" s="6">
        <v>39889</v>
      </c>
      <c r="AL13" s="5"/>
      <c r="AM13" s="5" t="s">
        <v>335</v>
      </c>
      <c r="AN13" s="6">
        <v>40181</v>
      </c>
      <c r="AO13" s="5"/>
      <c r="AP13" s="5" t="s">
        <v>336</v>
      </c>
      <c r="AQ13" s="5" t="s">
        <v>337</v>
      </c>
      <c r="AR13" s="6">
        <v>33399</v>
      </c>
      <c r="AS13" s="5"/>
      <c r="AT13" s="5" t="s">
        <v>338</v>
      </c>
      <c r="AU13" s="5" t="s">
        <v>339</v>
      </c>
      <c r="AV13" s="6">
        <v>34491</v>
      </c>
      <c r="AW13" s="5"/>
      <c r="AX13" s="5" t="s">
        <v>340</v>
      </c>
      <c r="AY13" s="5" t="s">
        <v>341</v>
      </c>
      <c r="AZ13" s="6">
        <v>35581</v>
      </c>
      <c r="BA13" s="5"/>
      <c r="BB13" s="5" t="s">
        <v>342</v>
      </c>
      <c r="BC13" s="5" t="s">
        <v>343</v>
      </c>
      <c r="BD13" s="6">
        <v>1462</v>
      </c>
      <c r="BE13" s="5" t="s">
        <v>344</v>
      </c>
      <c r="BF13" s="5"/>
      <c r="BG13" s="7">
        <v>45292</v>
      </c>
      <c r="BH13" s="5"/>
      <c r="BI13" s="13" t="s">
        <v>53</v>
      </c>
    </row>
    <row r="14" spans="1:61" ht="26.5" customHeight="1" x14ac:dyDescent="0.15">
      <c r="A14" s="3">
        <v>13</v>
      </c>
      <c r="B14" s="4" t="s">
        <v>345</v>
      </c>
      <c r="C14" s="4" t="s">
        <v>50</v>
      </c>
      <c r="D14" s="8"/>
      <c r="E14" s="5" t="s">
        <v>346</v>
      </c>
      <c r="F14" s="5" t="s">
        <v>96</v>
      </c>
      <c r="G14" s="5" t="s">
        <v>185</v>
      </c>
      <c r="H14" s="5" t="s">
        <v>347</v>
      </c>
      <c r="I14" s="6">
        <v>26277</v>
      </c>
      <c r="J14" s="5" t="s">
        <v>56</v>
      </c>
      <c r="K14" s="5" t="s">
        <v>57</v>
      </c>
      <c r="L14" s="5" t="s">
        <v>58</v>
      </c>
      <c r="M14" s="5" t="s">
        <v>59</v>
      </c>
      <c r="N14" s="5" t="s">
        <v>348</v>
      </c>
      <c r="O14" s="5" t="s">
        <v>349</v>
      </c>
      <c r="P14" s="5" t="s">
        <v>324</v>
      </c>
      <c r="Q14" s="5" t="s">
        <v>350</v>
      </c>
      <c r="R14" s="5" t="s">
        <v>351</v>
      </c>
      <c r="S14" s="5" t="s">
        <v>64</v>
      </c>
      <c r="T14" s="5" t="s">
        <v>352</v>
      </c>
      <c r="U14" s="6">
        <v>36715</v>
      </c>
      <c r="V14" s="5" t="s">
        <v>353</v>
      </c>
      <c r="W14" s="5"/>
      <c r="X14" s="5" t="s">
        <v>354</v>
      </c>
      <c r="Y14" s="5" t="s">
        <v>355</v>
      </c>
      <c r="Z14" s="5" t="s">
        <v>356</v>
      </c>
      <c r="AA14" s="5" t="s">
        <v>357</v>
      </c>
      <c r="AB14" s="6">
        <v>40242</v>
      </c>
      <c r="AC14" s="5" t="s">
        <v>358</v>
      </c>
      <c r="AD14" s="6">
        <v>40567</v>
      </c>
      <c r="AE14" s="5" t="s">
        <v>359</v>
      </c>
      <c r="AF14" s="6">
        <v>42696</v>
      </c>
      <c r="AG14" s="5" t="s">
        <v>360</v>
      </c>
      <c r="AH14" s="6">
        <v>25569</v>
      </c>
      <c r="AI14" s="5" t="s">
        <v>176</v>
      </c>
      <c r="AJ14" s="5" t="s">
        <v>334</v>
      </c>
      <c r="AK14" s="6">
        <v>39889</v>
      </c>
      <c r="AL14" s="5"/>
      <c r="AM14" s="5" t="s">
        <v>335</v>
      </c>
      <c r="AN14" s="6">
        <v>40181</v>
      </c>
      <c r="AO14" s="5"/>
      <c r="AP14" s="5" t="s">
        <v>361</v>
      </c>
      <c r="AQ14" s="5" t="s">
        <v>362</v>
      </c>
      <c r="AR14" s="6">
        <v>30823</v>
      </c>
      <c r="AS14" s="5"/>
      <c r="AT14" s="5" t="s">
        <v>363</v>
      </c>
      <c r="AU14" s="5" t="s">
        <v>364</v>
      </c>
      <c r="AV14" s="6">
        <v>31934</v>
      </c>
      <c r="AW14" s="5"/>
      <c r="AX14" s="5" t="s">
        <v>365</v>
      </c>
      <c r="AY14" s="5" t="s">
        <v>366</v>
      </c>
      <c r="AZ14" s="6">
        <v>33019</v>
      </c>
      <c r="BA14" s="5"/>
      <c r="BB14" s="5" t="s">
        <v>367</v>
      </c>
      <c r="BC14" s="5" t="s">
        <v>368</v>
      </c>
      <c r="BD14" s="6">
        <v>35404</v>
      </c>
      <c r="BE14" s="5" t="s">
        <v>293</v>
      </c>
      <c r="BF14" s="5"/>
      <c r="BG14" s="7">
        <v>45292</v>
      </c>
      <c r="BH14" s="5"/>
      <c r="BI14" s="13" t="s">
        <v>53</v>
      </c>
    </row>
    <row r="15" spans="1:61" ht="26.5" customHeight="1" x14ac:dyDescent="0.15">
      <c r="A15" s="3">
        <v>14</v>
      </c>
      <c r="B15" s="4" t="s">
        <v>369</v>
      </c>
      <c r="C15" s="4" t="s">
        <v>370</v>
      </c>
      <c r="D15" s="4" t="s">
        <v>371</v>
      </c>
      <c r="E15" s="5" t="s">
        <v>372</v>
      </c>
      <c r="F15" s="5" t="s">
        <v>96</v>
      </c>
      <c r="G15" s="5" t="s">
        <v>137</v>
      </c>
      <c r="H15" s="5" t="s">
        <v>373</v>
      </c>
      <c r="I15" s="6">
        <v>27820</v>
      </c>
      <c r="J15" s="5" t="s">
        <v>56</v>
      </c>
      <c r="K15" s="5" t="s">
        <v>187</v>
      </c>
      <c r="L15" s="5" t="s">
        <v>58</v>
      </c>
      <c r="M15" s="5" t="s">
        <v>59</v>
      </c>
      <c r="N15" s="5" t="s">
        <v>374</v>
      </c>
      <c r="O15" s="5" t="s">
        <v>375</v>
      </c>
      <c r="P15" s="5" t="s">
        <v>376</v>
      </c>
      <c r="Q15" s="5" t="s">
        <v>377</v>
      </c>
      <c r="R15" s="5" t="s">
        <v>378</v>
      </c>
      <c r="S15" s="5" t="s">
        <v>64</v>
      </c>
      <c r="T15" s="5" t="s">
        <v>379</v>
      </c>
      <c r="U15" s="6">
        <v>36751</v>
      </c>
      <c r="V15" s="5" t="s">
        <v>380</v>
      </c>
      <c r="W15" s="5"/>
      <c r="X15" s="5" t="s">
        <v>381</v>
      </c>
      <c r="Y15" s="5" t="s">
        <v>382</v>
      </c>
      <c r="Z15" s="5" t="s">
        <v>383</v>
      </c>
      <c r="AA15" s="5" t="s">
        <v>384</v>
      </c>
      <c r="AB15" s="6">
        <v>39000</v>
      </c>
      <c r="AC15" s="5" t="s">
        <v>385</v>
      </c>
      <c r="AD15" s="6">
        <v>39935</v>
      </c>
      <c r="AE15" s="5" t="s">
        <v>386</v>
      </c>
      <c r="AF15" s="6">
        <v>42661</v>
      </c>
      <c r="AG15" s="5" t="s">
        <v>175</v>
      </c>
      <c r="AH15" s="6">
        <v>25569</v>
      </c>
      <c r="AI15" s="5" t="s">
        <v>176</v>
      </c>
      <c r="AJ15" s="5" t="s">
        <v>387</v>
      </c>
      <c r="AK15" s="6">
        <v>38728</v>
      </c>
      <c r="AL15" s="5"/>
      <c r="AM15" s="5" t="s">
        <v>388</v>
      </c>
      <c r="AN15" s="6">
        <v>39541</v>
      </c>
      <c r="AO15" s="5"/>
      <c r="AP15" s="5" t="s">
        <v>389</v>
      </c>
      <c r="AQ15" s="5" t="s">
        <v>390</v>
      </c>
      <c r="AR15" s="6">
        <v>32318</v>
      </c>
      <c r="AS15" s="5"/>
      <c r="AT15" s="5" t="s">
        <v>391</v>
      </c>
      <c r="AU15" s="5" t="s">
        <v>392</v>
      </c>
      <c r="AV15" s="6">
        <v>33397</v>
      </c>
      <c r="AW15" s="5" t="s">
        <v>393</v>
      </c>
      <c r="AX15" s="5" t="s">
        <v>394</v>
      </c>
      <c r="AY15" s="5" t="s">
        <v>395</v>
      </c>
      <c r="AZ15" s="6">
        <v>34484</v>
      </c>
      <c r="BA15" s="5" t="s">
        <v>396</v>
      </c>
      <c r="BB15" s="5" t="s">
        <v>397</v>
      </c>
      <c r="BC15" s="5" t="s">
        <v>398</v>
      </c>
      <c r="BD15" s="6">
        <v>40765</v>
      </c>
      <c r="BE15" s="5" t="s">
        <v>399</v>
      </c>
      <c r="BF15" s="5"/>
      <c r="BG15" s="7">
        <v>45292</v>
      </c>
      <c r="BH15" s="5"/>
      <c r="BI15" s="13" t="s">
        <v>53</v>
      </c>
    </row>
    <row r="16" spans="1:61" ht="26.5" customHeight="1" x14ac:dyDescent="0.15">
      <c r="A16" s="3">
        <v>15</v>
      </c>
      <c r="B16" s="4" t="s">
        <v>400</v>
      </c>
      <c r="C16" s="4" t="s">
        <v>50</v>
      </c>
      <c r="D16" s="4" t="s">
        <v>401</v>
      </c>
      <c r="E16" s="5" t="s">
        <v>402</v>
      </c>
      <c r="F16" s="5" t="s">
        <v>96</v>
      </c>
      <c r="G16" s="5" t="s">
        <v>137</v>
      </c>
      <c r="H16" s="5" t="s">
        <v>403</v>
      </c>
      <c r="I16" s="6">
        <v>29384</v>
      </c>
      <c r="J16" s="5" t="s">
        <v>56</v>
      </c>
      <c r="K16" s="5" t="s">
        <v>57</v>
      </c>
      <c r="L16" s="5" t="s">
        <v>58</v>
      </c>
      <c r="M16" s="5" t="s">
        <v>59</v>
      </c>
      <c r="N16" s="5" t="s">
        <v>404</v>
      </c>
      <c r="O16" s="5" t="s">
        <v>405</v>
      </c>
      <c r="P16" s="5" t="s">
        <v>376</v>
      </c>
      <c r="Q16" s="5" t="s">
        <v>406</v>
      </c>
      <c r="R16" s="5" t="s">
        <v>407</v>
      </c>
      <c r="S16" s="5" t="s">
        <v>64</v>
      </c>
      <c r="T16" s="5" t="s">
        <v>408</v>
      </c>
      <c r="U16" s="6">
        <v>40303</v>
      </c>
      <c r="V16" s="5" t="s">
        <v>409</v>
      </c>
      <c r="W16" s="5"/>
      <c r="X16" s="5" t="s">
        <v>410</v>
      </c>
      <c r="Y16" s="5" t="s">
        <v>411</v>
      </c>
      <c r="Z16" s="5" t="s">
        <v>412</v>
      </c>
      <c r="AA16" s="5" t="s">
        <v>413</v>
      </c>
      <c r="AB16" s="6">
        <v>40562</v>
      </c>
      <c r="AC16" s="5" t="s">
        <v>414</v>
      </c>
      <c r="AD16" s="6">
        <v>40567</v>
      </c>
      <c r="AE16" s="5" t="s">
        <v>415</v>
      </c>
      <c r="AF16" s="6">
        <v>25569</v>
      </c>
      <c r="AG16" s="5" t="s">
        <v>175</v>
      </c>
      <c r="AH16" s="6">
        <v>25569</v>
      </c>
      <c r="AI16" s="5" t="s">
        <v>176</v>
      </c>
      <c r="AJ16" s="5" t="s">
        <v>334</v>
      </c>
      <c r="AK16" s="6">
        <v>39889</v>
      </c>
      <c r="AL16" s="5"/>
      <c r="AM16" s="5" t="s">
        <v>335</v>
      </c>
      <c r="AN16" s="6">
        <v>40181</v>
      </c>
      <c r="AO16" s="5"/>
      <c r="AP16" s="5" t="s">
        <v>416</v>
      </c>
      <c r="AQ16" s="5" t="s">
        <v>417</v>
      </c>
      <c r="AR16" s="6">
        <v>34127</v>
      </c>
      <c r="AS16" s="5"/>
      <c r="AT16" s="5" t="s">
        <v>418</v>
      </c>
      <c r="AU16" s="5" t="s">
        <v>419</v>
      </c>
      <c r="AV16" s="6">
        <v>35213</v>
      </c>
      <c r="AW16" s="5"/>
      <c r="AX16" s="5" t="s">
        <v>420</v>
      </c>
      <c r="AY16" s="5" t="s">
        <v>421</v>
      </c>
      <c r="AZ16" s="6">
        <v>36304</v>
      </c>
      <c r="BA16" s="5"/>
      <c r="BB16" s="5" t="s">
        <v>422</v>
      </c>
      <c r="BC16" s="5" t="s">
        <v>423</v>
      </c>
      <c r="BD16" s="6">
        <v>38211</v>
      </c>
      <c r="BE16" s="5" t="s">
        <v>293</v>
      </c>
      <c r="BF16" s="5"/>
      <c r="BG16" s="7">
        <v>45292</v>
      </c>
      <c r="BH16" s="5"/>
      <c r="BI16" s="13" t="s">
        <v>53</v>
      </c>
    </row>
    <row r="17" spans="1:61" ht="39.5" customHeight="1" x14ac:dyDescent="0.15">
      <c r="A17" s="3">
        <v>16</v>
      </c>
      <c r="B17" s="4" t="s">
        <v>424</v>
      </c>
      <c r="C17" s="4" t="s">
        <v>425</v>
      </c>
      <c r="D17" s="4" t="s">
        <v>426</v>
      </c>
      <c r="E17" s="5" t="s">
        <v>427</v>
      </c>
      <c r="F17" s="5" t="s">
        <v>96</v>
      </c>
      <c r="G17" s="5" t="s">
        <v>137</v>
      </c>
      <c r="H17" s="5" t="s">
        <v>428</v>
      </c>
      <c r="I17" s="6">
        <v>30850</v>
      </c>
      <c r="J17" s="5" t="s">
        <v>56</v>
      </c>
      <c r="K17" s="5" t="s">
        <v>187</v>
      </c>
      <c r="L17" s="5" t="s">
        <v>58</v>
      </c>
      <c r="M17" s="5" t="s">
        <v>59</v>
      </c>
      <c r="N17" s="5" t="s">
        <v>429</v>
      </c>
      <c r="O17" s="5" t="s">
        <v>430</v>
      </c>
      <c r="P17" s="5" t="s">
        <v>431</v>
      </c>
      <c r="Q17" s="5" t="s">
        <v>432</v>
      </c>
      <c r="R17" s="5" t="s">
        <v>433</v>
      </c>
      <c r="S17" s="5" t="s">
        <v>64</v>
      </c>
      <c r="T17" s="5" t="s">
        <v>434</v>
      </c>
      <c r="U17" s="6">
        <v>42799</v>
      </c>
      <c r="V17" s="5" t="s">
        <v>435</v>
      </c>
      <c r="W17" s="5" t="s">
        <v>436</v>
      </c>
      <c r="X17" s="5" t="s">
        <v>437</v>
      </c>
      <c r="Y17" s="5" t="s">
        <v>438</v>
      </c>
      <c r="Z17" s="5" t="s">
        <v>439</v>
      </c>
      <c r="AA17" s="5" t="s">
        <v>440</v>
      </c>
      <c r="AB17" s="6">
        <v>40242</v>
      </c>
      <c r="AC17" s="5" t="s">
        <v>441</v>
      </c>
      <c r="AD17" s="6">
        <v>40570</v>
      </c>
      <c r="AE17" s="5"/>
      <c r="AF17" s="6">
        <v>1462</v>
      </c>
      <c r="AG17" s="5" t="s">
        <v>442</v>
      </c>
      <c r="AH17" s="6">
        <v>25569</v>
      </c>
      <c r="AI17" s="5" t="s">
        <v>176</v>
      </c>
      <c r="AJ17" s="5" t="s">
        <v>334</v>
      </c>
      <c r="AK17" s="6">
        <v>39889</v>
      </c>
      <c r="AL17" s="5"/>
      <c r="AM17" s="5" t="s">
        <v>443</v>
      </c>
      <c r="AN17" s="6">
        <v>40181</v>
      </c>
      <c r="AO17" s="5"/>
      <c r="AP17" s="5" t="s">
        <v>444</v>
      </c>
      <c r="AQ17" s="5" t="s">
        <v>444</v>
      </c>
      <c r="AR17" s="6">
        <v>1462</v>
      </c>
      <c r="AS17" s="5"/>
      <c r="AT17" s="5" t="s">
        <v>444</v>
      </c>
      <c r="AU17" s="5" t="s">
        <v>444</v>
      </c>
      <c r="AV17" s="6">
        <v>1462</v>
      </c>
      <c r="AW17" s="5"/>
      <c r="AX17" s="5" t="s">
        <v>444</v>
      </c>
      <c r="AY17" s="5" t="s">
        <v>444</v>
      </c>
      <c r="AZ17" s="6">
        <v>25569</v>
      </c>
      <c r="BA17" s="5"/>
      <c r="BB17" s="5" t="s">
        <v>445</v>
      </c>
      <c r="BC17" s="5" t="s">
        <v>446</v>
      </c>
      <c r="BD17" s="6">
        <v>39635</v>
      </c>
      <c r="BE17" s="5" t="s">
        <v>156</v>
      </c>
      <c r="BF17" s="5"/>
      <c r="BG17" s="7">
        <v>45292</v>
      </c>
      <c r="BH17" s="5"/>
      <c r="BI17" s="13" t="s">
        <v>53</v>
      </c>
    </row>
    <row r="18" spans="1:61" ht="26.5" customHeight="1" x14ac:dyDescent="0.15">
      <c r="A18" s="3">
        <v>17</v>
      </c>
      <c r="B18" s="4" t="s">
        <v>447</v>
      </c>
      <c r="C18" s="4" t="s">
        <v>99</v>
      </c>
      <c r="D18" s="4" t="s">
        <v>448</v>
      </c>
      <c r="E18" s="5" t="s">
        <v>449</v>
      </c>
      <c r="F18" s="5" t="s">
        <v>96</v>
      </c>
      <c r="G18" s="5" t="s">
        <v>137</v>
      </c>
      <c r="H18" s="5" t="s">
        <v>450</v>
      </c>
      <c r="I18" s="6">
        <v>30888</v>
      </c>
      <c r="J18" s="5" t="s">
        <v>451</v>
      </c>
      <c r="K18" s="5" t="s">
        <v>57</v>
      </c>
      <c r="L18" s="5" t="s">
        <v>58</v>
      </c>
      <c r="M18" s="5" t="s">
        <v>59</v>
      </c>
      <c r="N18" s="5" t="s">
        <v>452</v>
      </c>
      <c r="O18" s="5" t="s">
        <v>453</v>
      </c>
      <c r="P18" s="5" t="s">
        <v>271</v>
      </c>
      <c r="Q18" s="5" t="s">
        <v>454</v>
      </c>
      <c r="R18" s="5" t="s">
        <v>455</v>
      </c>
      <c r="S18" s="5" t="s">
        <v>64</v>
      </c>
      <c r="T18" s="5" t="s">
        <v>456</v>
      </c>
      <c r="U18" s="6">
        <v>25569</v>
      </c>
      <c r="V18" s="5" t="s">
        <v>457</v>
      </c>
      <c r="W18" s="5"/>
      <c r="X18" s="5" t="s">
        <v>458</v>
      </c>
      <c r="Y18" s="5" t="s">
        <v>459</v>
      </c>
      <c r="Z18" s="5" t="s">
        <v>460</v>
      </c>
      <c r="AA18" s="5" t="s">
        <v>461</v>
      </c>
      <c r="AB18" s="6">
        <v>40242</v>
      </c>
      <c r="AC18" s="5" t="s">
        <v>462</v>
      </c>
      <c r="AD18" s="6">
        <v>40568</v>
      </c>
      <c r="AE18" s="5"/>
      <c r="AF18" s="6">
        <v>1462</v>
      </c>
      <c r="AG18" s="5" t="s">
        <v>442</v>
      </c>
      <c r="AH18" s="6">
        <v>25569</v>
      </c>
      <c r="AI18" s="5" t="s">
        <v>176</v>
      </c>
      <c r="AJ18" s="5" t="s">
        <v>334</v>
      </c>
      <c r="AK18" s="6">
        <v>39889</v>
      </c>
      <c r="AL18" s="5"/>
      <c r="AM18" s="5" t="s">
        <v>463</v>
      </c>
      <c r="AN18" s="6">
        <v>40182</v>
      </c>
      <c r="AO18" s="5"/>
      <c r="AP18" s="5" t="s">
        <v>464</v>
      </c>
      <c r="AQ18" s="5" t="s">
        <v>465</v>
      </c>
      <c r="AR18" s="6">
        <v>35226</v>
      </c>
      <c r="AS18" s="5"/>
      <c r="AT18" s="5" t="s">
        <v>466</v>
      </c>
      <c r="AU18" s="5" t="s">
        <v>467</v>
      </c>
      <c r="AV18" s="6">
        <v>36311</v>
      </c>
      <c r="AW18" s="5"/>
      <c r="AX18" s="5" t="s">
        <v>468</v>
      </c>
      <c r="AY18" s="5" t="s">
        <v>469</v>
      </c>
      <c r="AZ18" s="6">
        <v>37424</v>
      </c>
      <c r="BA18" s="5"/>
      <c r="BB18" s="5" t="s">
        <v>470</v>
      </c>
      <c r="BC18" s="5" t="s">
        <v>471</v>
      </c>
      <c r="BD18" s="6">
        <v>39244</v>
      </c>
      <c r="BE18" s="5" t="s">
        <v>293</v>
      </c>
      <c r="BF18" s="5"/>
      <c r="BG18" s="7">
        <v>45292</v>
      </c>
      <c r="BH18" s="5"/>
      <c r="BI18" s="13" t="s">
        <v>53</v>
      </c>
    </row>
    <row r="19" spans="1:61" ht="26.5" customHeight="1" x14ac:dyDescent="0.15">
      <c r="A19" s="3">
        <v>18</v>
      </c>
      <c r="B19" s="4" t="s">
        <v>472</v>
      </c>
      <c r="C19" s="4" t="s">
        <v>99</v>
      </c>
      <c r="D19" s="4" t="s">
        <v>401</v>
      </c>
      <c r="E19" s="5" t="s">
        <v>473</v>
      </c>
      <c r="F19" s="5" t="s">
        <v>96</v>
      </c>
      <c r="G19" s="5" t="s">
        <v>137</v>
      </c>
      <c r="H19" s="5" t="s">
        <v>428</v>
      </c>
      <c r="I19" s="6">
        <v>27602</v>
      </c>
      <c r="J19" s="5" t="s">
        <v>56</v>
      </c>
      <c r="K19" s="5" t="s">
        <v>57</v>
      </c>
      <c r="L19" s="5" t="s">
        <v>58</v>
      </c>
      <c r="M19" s="5" t="s">
        <v>59</v>
      </c>
      <c r="N19" s="5" t="s">
        <v>474</v>
      </c>
      <c r="O19" s="5" t="s">
        <v>475</v>
      </c>
      <c r="P19" s="5" t="s">
        <v>271</v>
      </c>
      <c r="Q19" s="5" t="s">
        <v>476</v>
      </c>
      <c r="R19" s="5" t="s">
        <v>477</v>
      </c>
      <c r="S19" s="5" t="s">
        <v>64</v>
      </c>
      <c r="T19" s="5" t="s">
        <v>478</v>
      </c>
      <c r="U19" s="6">
        <v>25569</v>
      </c>
      <c r="V19" s="5" t="s">
        <v>479</v>
      </c>
      <c r="W19" s="5"/>
      <c r="X19" s="5" t="s">
        <v>480</v>
      </c>
      <c r="Y19" s="5" t="s">
        <v>481</v>
      </c>
      <c r="Z19" s="5" t="s">
        <v>482</v>
      </c>
      <c r="AA19" s="5" t="s">
        <v>483</v>
      </c>
      <c r="AB19" s="6">
        <v>40821</v>
      </c>
      <c r="AC19" s="5" t="s">
        <v>484</v>
      </c>
      <c r="AD19" s="6">
        <v>40693</v>
      </c>
      <c r="AE19" s="5" t="s">
        <v>485</v>
      </c>
      <c r="AF19" s="6">
        <v>42696</v>
      </c>
      <c r="AG19" s="5" t="s">
        <v>175</v>
      </c>
      <c r="AH19" s="6">
        <v>25569</v>
      </c>
      <c r="AI19" s="5" t="s">
        <v>176</v>
      </c>
      <c r="AJ19" s="5" t="s">
        <v>177</v>
      </c>
      <c r="AK19" s="6">
        <v>40231</v>
      </c>
      <c r="AL19" s="5"/>
      <c r="AM19" s="5" t="s">
        <v>178</v>
      </c>
      <c r="AN19" s="6">
        <v>40633</v>
      </c>
      <c r="AO19" s="5"/>
      <c r="AP19" s="5"/>
      <c r="AQ19" s="5"/>
      <c r="AR19" s="6">
        <v>1462</v>
      </c>
      <c r="AS19" s="5"/>
      <c r="AT19" s="5"/>
      <c r="AU19" s="5"/>
      <c r="AV19" s="6">
        <v>1462</v>
      </c>
      <c r="AW19" s="5"/>
      <c r="AX19" s="5"/>
      <c r="AY19" s="5"/>
      <c r="AZ19" s="6">
        <v>1462</v>
      </c>
      <c r="BA19" s="5"/>
      <c r="BB19" s="5" t="s">
        <v>422</v>
      </c>
      <c r="BC19" s="5" t="s">
        <v>486</v>
      </c>
      <c r="BD19" s="6">
        <v>38122</v>
      </c>
      <c r="BE19" s="5" t="s">
        <v>156</v>
      </c>
      <c r="BF19" s="5"/>
      <c r="BG19" s="7">
        <v>45292</v>
      </c>
      <c r="BH19" s="5"/>
      <c r="BI19" s="13" t="s">
        <v>53</v>
      </c>
    </row>
    <row r="20" spans="1:61" ht="52.75" customHeight="1" x14ac:dyDescent="0.15">
      <c r="A20" s="3">
        <v>19</v>
      </c>
      <c r="B20" s="4" t="s">
        <v>487</v>
      </c>
      <c r="C20" s="4" t="s">
        <v>99</v>
      </c>
      <c r="D20" s="4" t="s">
        <v>488</v>
      </c>
      <c r="E20" s="5" t="s">
        <v>489</v>
      </c>
      <c r="F20" s="5" t="s">
        <v>96</v>
      </c>
      <c r="G20" s="5" t="s">
        <v>137</v>
      </c>
      <c r="H20" s="5" t="s">
        <v>160</v>
      </c>
      <c r="I20" s="6">
        <v>30798</v>
      </c>
      <c r="J20" s="5" t="s">
        <v>161</v>
      </c>
      <c r="K20" s="5" t="s">
        <v>57</v>
      </c>
      <c r="L20" s="5" t="s">
        <v>58</v>
      </c>
      <c r="M20" s="5" t="s">
        <v>59</v>
      </c>
      <c r="N20" s="5" t="s">
        <v>490</v>
      </c>
      <c r="O20" s="5" t="s">
        <v>491</v>
      </c>
      <c r="P20" s="5" t="s">
        <v>492</v>
      </c>
      <c r="Q20" s="5" t="s">
        <v>493</v>
      </c>
      <c r="R20" s="5" t="s">
        <v>494</v>
      </c>
      <c r="S20" s="5" t="s">
        <v>64</v>
      </c>
      <c r="T20" s="5" t="s">
        <v>495</v>
      </c>
      <c r="U20" s="6">
        <v>41527</v>
      </c>
      <c r="V20" s="5" t="s">
        <v>496</v>
      </c>
      <c r="W20" s="5"/>
      <c r="X20" s="5" t="s">
        <v>497</v>
      </c>
      <c r="Y20" s="5" t="s">
        <v>498</v>
      </c>
      <c r="Z20" s="5" t="s">
        <v>499</v>
      </c>
      <c r="AA20" s="5" t="s">
        <v>500</v>
      </c>
      <c r="AB20" s="6">
        <v>41306</v>
      </c>
      <c r="AC20" s="5" t="s">
        <v>501</v>
      </c>
      <c r="AD20" s="6">
        <v>41017</v>
      </c>
      <c r="AE20" s="5"/>
      <c r="AF20" s="6">
        <v>1462</v>
      </c>
      <c r="AG20" s="5" t="s">
        <v>175</v>
      </c>
      <c r="AH20" s="6">
        <v>25569</v>
      </c>
      <c r="AI20" s="5" t="s">
        <v>176</v>
      </c>
      <c r="AJ20" s="5" t="s">
        <v>152</v>
      </c>
      <c r="AK20" s="6">
        <v>40623</v>
      </c>
      <c r="AL20" s="5"/>
      <c r="AM20" s="5" t="s">
        <v>153</v>
      </c>
      <c r="AN20" s="6">
        <v>40998</v>
      </c>
      <c r="AO20" s="5"/>
      <c r="AP20" s="5" t="s">
        <v>502</v>
      </c>
      <c r="AQ20" s="5" t="s">
        <v>503</v>
      </c>
      <c r="AR20" s="6">
        <v>35956</v>
      </c>
      <c r="AS20" s="5"/>
      <c r="AT20" s="5" t="s">
        <v>504</v>
      </c>
      <c r="AU20" s="5" t="s">
        <v>505</v>
      </c>
      <c r="AV20" s="6">
        <v>37070</v>
      </c>
      <c r="AW20" s="5"/>
      <c r="AX20" s="5" t="s">
        <v>506</v>
      </c>
      <c r="AY20" s="5" t="s">
        <v>507</v>
      </c>
      <c r="AZ20" s="6">
        <v>38152</v>
      </c>
      <c r="BA20" s="5"/>
      <c r="BB20" s="5" t="s">
        <v>445</v>
      </c>
      <c r="BC20" s="5" t="s">
        <v>508</v>
      </c>
      <c r="BD20" s="6">
        <v>39872</v>
      </c>
      <c r="BE20" s="5" t="s">
        <v>156</v>
      </c>
      <c r="BF20" s="5"/>
      <c r="BG20" s="7">
        <v>45292</v>
      </c>
      <c r="BH20" s="5"/>
      <c r="BI20" s="13" t="s">
        <v>53</v>
      </c>
    </row>
    <row r="21" spans="1:61" ht="39.5" customHeight="1" x14ac:dyDescent="0.15">
      <c r="A21" s="3">
        <v>20</v>
      </c>
      <c r="B21" s="4" t="s">
        <v>509</v>
      </c>
      <c r="C21" s="4" t="s">
        <v>99</v>
      </c>
      <c r="D21" s="4" t="s">
        <v>510</v>
      </c>
      <c r="E21" s="5" t="s">
        <v>511</v>
      </c>
      <c r="F21" s="5" t="s">
        <v>96</v>
      </c>
      <c r="G21" s="5" t="s">
        <v>137</v>
      </c>
      <c r="H21" s="5" t="s">
        <v>428</v>
      </c>
      <c r="I21" s="6">
        <v>27726</v>
      </c>
      <c r="J21" s="5" t="s">
        <v>56</v>
      </c>
      <c r="K21" s="5" t="s">
        <v>57</v>
      </c>
      <c r="L21" s="5" t="s">
        <v>58</v>
      </c>
      <c r="M21" s="5" t="s">
        <v>59</v>
      </c>
      <c r="N21" s="5" t="s">
        <v>512</v>
      </c>
      <c r="O21" s="5" t="s">
        <v>513</v>
      </c>
      <c r="P21" s="5" t="s">
        <v>324</v>
      </c>
      <c r="Q21" s="5" t="s">
        <v>514</v>
      </c>
      <c r="R21" s="5" t="s">
        <v>515</v>
      </c>
      <c r="S21" s="5" t="s">
        <v>64</v>
      </c>
      <c r="T21" s="5" t="s">
        <v>516</v>
      </c>
      <c r="U21" s="6">
        <v>39757</v>
      </c>
      <c r="V21" s="5"/>
      <c r="W21" s="5"/>
      <c r="X21" s="5" t="s">
        <v>517</v>
      </c>
      <c r="Y21" s="5" t="s">
        <v>518</v>
      </c>
      <c r="Z21" s="5" t="s">
        <v>519</v>
      </c>
      <c r="AA21" s="5" t="s">
        <v>520</v>
      </c>
      <c r="AB21" s="6">
        <v>41306</v>
      </c>
      <c r="AC21" s="5" t="s">
        <v>521</v>
      </c>
      <c r="AD21" s="6">
        <v>41139</v>
      </c>
      <c r="AE21" s="5" t="s">
        <v>522</v>
      </c>
      <c r="AF21" s="6">
        <v>42696</v>
      </c>
      <c r="AG21" s="5" t="s">
        <v>175</v>
      </c>
      <c r="AH21" s="6">
        <v>25569</v>
      </c>
      <c r="AI21" s="5" t="s">
        <v>176</v>
      </c>
      <c r="AJ21" s="5" t="s">
        <v>152</v>
      </c>
      <c r="AK21" s="6">
        <v>40623</v>
      </c>
      <c r="AL21" s="5"/>
      <c r="AM21" s="5" t="s">
        <v>153</v>
      </c>
      <c r="AN21" s="6">
        <v>40998</v>
      </c>
      <c r="AO21" s="5"/>
      <c r="AP21" s="5"/>
      <c r="AQ21" s="5"/>
      <c r="AR21" s="6">
        <v>1462</v>
      </c>
      <c r="AS21" s="5"/>
      <c r="AT21" s="5"/>
      <c r="AU21" s="5"/>
      <c r="AV21" s="6">
        <v>1462</v>
      </c>
      <c r="AW21" s="5"/>
      <c r="AX21" s="5"/>
      <c r="AY21" s="5"/>
      <c r="AZ21" s="6">
        <v>1462</v>
      </c>
      <c r="BA21" s="5"/>
      <c r="BB21" s="5" t="s">
        <v>523</v>
      </c>
      <c r="BC21" s="5" t="s">
        <v>524</v>
      </c>
      <c r="BD21" s="6">
        <v>36680</v>
      </c>
      <c r="BE21" s="5" t="s">
        <v>525</v>
      </c>
      <c r="BF21" s="5"/>
      <c r="BG21" s="7">
        <v>45292</v>
      </c>
      <c r="BH21" s="5"/>
      <c r="BI21" s="13" t="s">
        <v>53</v>
      </c>
    </row>
    <row r="22" spans="1:61" ht="13.75" customHeight="1" x14ac:dyDescent="0.15">
      <c r="A22" s="3">
        <v>21</v>
      </c>
      <c r="B22" s="4" t="s">
        <v>526</v>
      </c>
      <c r="C22" s="4" t="s">
        <v>527</v>
      </c>
      <c r="D22" s="8"/>
      <c r="E22" s="5" t="s">
        <v>528</v>
      </c>
      <c r="F22" s="5" t="s">
        <v>96</v>
      </c>
      <c r="G22" s="5" t="s">
        <v>137</v>
      </c>
      <c r="H22" s="5" t="s">
        <v>529</v>
      </c>
      <c r="I22" s="6">
        <v>31879</v>
      </c>
      <c r="J22" s="5" t="s">
        <v>56</v>
      </c>
      <c r="K22" s="5" t="s">
        <v>187</v>
      </c>
      <c r="L22" s="5" t="s">
        <v>58</v>
      </c>
      <c r="M22" s="5" t="s">
        <v>59</v>
      </c>
      <c r="N22" s="5" t="s">
        <v>530</v>
      </c>
      <c r="O22" s="5" t="s">
        <v>531</v>
      </c>
      <c r="P22" s="5" t="s">
        <v>532</v>
      </c>
      <c r="Q22" s="5" t="s">
        <v>533</v>
      </c>
      <c r="R22" s="5" t="s">
        <v>534</v>
      </c>
      <c r="S22" s="5" t="s">
        <v>64</v>
      </c>
      <c r="T22" s="5" t="s">
        <v>535</v>
      </c>
      <c r="U22" s="6">
        <v>40948</v>
      </c>
      <c r="V22" s="5" t="s">
        <v>536</v>
      </c>
      <c r="W22" s="5"/>
      <c r="X22" s="5" t="s">
        <v>537</v>
      </c>
      <c r="Y22" s="5" t="s">
        <v>538</v>
      </c>
      <c r="Z22" s="5" t="s">
        <v>539</v>
      </c>
      <c r="AA22" s="5" t="s">
        <v>540</v>
      </c>
      <c r="AB22" s="6">
        <v>41306</v>
      </c>
      <c r="AC22" s="5" t="s">
        <v>541</v>
      </c>
      <c r="AD22" s="6">
        <v>41016</v>
      </c>
      <c r="AE22" s="5"/>
      <c r="AF22" s="6">
        <v>1462</v>
      </c>
      <c r="AG22" s="5" t="s">
        <v>175</v>
      </c>
      <c r="AH22" s="6">
        <v>25569</v>
      </c>
      <c r="AI22" s="5" t="s">
        <v>176</v>
      </c>
      <c r="AJ22" s="5" t="s">
        <v>152</v>
      </c>
      <c r="AK22" s="6">
        <v>40623</v>
      </c>
      <c r="AL22" s="5"/>
      <c r="AM22" s="5" t="s">
        <v>153</v>
      </c>
      <c r="AN22" s="6">
        <v>40998</v>
      </c>
      <c r="AO22" s="5"/>
      <c r="AP22" s="5" t="s">
        <v>542</v>
      </c>
      <c r="AQ22" s="5" t="s">
        <v>543</v>
      </c>
      <c r="AR22" s="6">
        <v>36700</v>
      </c>
      <c r="AS22" s="5"/>
      <c r="AT22" s="5" t="s">
        <v>544</v>
      </c>
      <c r="AU22" s="5" t="s">
        <v>545</v>
      </c>
      <c r="AV22" s="6">
        <v>37788</v>
      </c>
      <c r="AW22" s="5"/>
      <c r="AX22" s="5" t="s">
        <v>546</v>
      </c>
      <c r="AY22" s="5" t="s">
        <v>547</v>
      </c>
      <c r="AZ22" s="6">
        <v>38887</v>
      </c>
      <c r="BA22" s="5"/>
      <c r="BB22" s="5" t="s">
        <v>179</v>
      </c>
      <c r="BC22" s="5" t="s">
        <v>548</v>
      </c>
      <c r="BD22" s="6">
        <v>40233</v>
      </c>
      <c r="BE22" s="5" t="s">
        <v>549</v>
      </c>
      <c r="BF22" s="5"/>
      <c r="BG22" s="7">
        <v>45292</v>
      </c>
      <c r="BH22" s="5"/>
      <c r="BI22" s="13" t="s">
        <v>53</v>
      </c>
    </row>
    <row r="23" spans="1:61" ht="39.5" customHeight="1" x14ac:dyDescent="0.15">
      <c r="A23" s="3">
        <v>22</v>
      </c>
      <c r="B23" s="4" t="s">
        <v>550</v>
      </c>
      <c r="C23" s="4" t="s">
        <v>99</v>
      </c>
      <c r="D23" s="4" t="s">
        <v>510</v>
      </c>
      <c r="E23" s="5" t="s">
        <v>551</v>
      </c>
      <c r="F23" s="5" t="s">
        <v>96</v>
      </c>
      <c r="G23" s="5" t="s">
        <v>215</v>
      </c>
      <c r="H23" s="5" t="s">
        <v>552</v>
      </c>
      <c r="I23" s="6">
        <v>29248</v>
      </c>
      <c r="J23" s="5" t="s">
        <v>56</v>
      </c>
      <c r="K23" s="5" t="s">
        <v>187</v>
      </c>
      <c r="L23" s="5" t="s">
        <v>58</v>
      </c>
      <c r="M23" s="5" t="s">
        <v>59</v>
      </c>
      <c r="N23" s="5" t="s">
        <v>553</v>
      </c>
      <c r="O23" s="5" t="s">
        <v>554</v>
      </c>
      <c r="P23" s="5" t="s">
        <v>61</v>
      </c>
      <c r="Q23" s="5" t="s">
        <v>555</v>
      </c>
      <c r="R23" s="5" t="s">
        <v>556</v>
      </c>
      <c r="S23" s="5" t="s">
        <v>64</v>
      </c>
      <c r="T23" s="5" t="s">
        <v>557</v>
      </c>
      <c r="U23" s="6">
        <v>42617</v>
      </c>
      <c r="V23" s="5" t="s">
        <v>558</v>
      </c>
      <c r="W23" s="5"/>
      <c r="X23" s="5" t="s">
        <v>559</v>
      </c>
      <c r="Y23" s="5" t="s">
        <v>560</v>
      </c>
      <c r="Z23" s="5" t="s">
        <v>561</v>
      </c>
      <c r="AA23" s="5" t="s">
        <v>562</v>
      </c>
      <c r="AB23" s="6">
        <v>42159</v>
      </c>
      <c r="AC23" s="5" t="s">
        <v>563</v>
      </c>
      <c r="AD23" s="6">
        <v>41444</v>
      </c>
      <c r="AE23" s="5"/>
      <c r="AF23" s="6">
        <v>1462</v>
      </c>
      <c r="AG23" s="5" t="s">
        <v>564</v>
      </c>
      <c r="AH23" s="6">
        <v>42838</v>
      </c>
      <c r="AI23" s="5" t="s">
        <v>176</v>
      </c>
      <c r="AJ23" s="5" t="s">
        <v>565</v>
      </c>
      <c r="AK23" s="6">
        <v>41337</v>
      </c>
      <c r="AL23" s="5"/>
      <c r="AM23" s="5" t="s">
        <v>566</v>
      </c>
      <c r="AN23" s="6">
        <v>41978</v>
      </c>
      <c r="AO23" s="5"/>
      <c r="AP23" s="5"/>
      <c r="AQ23" s="5"/>
      <c r="AR23" s="6">
        <v>1462</v>
      </c>
      <c r="AS23" s="5"/>
      <c r="AT23" s="5"/>
      <c r="AU23" s="5"/>
      <c r="AV23" s="6">
        <v>1462</v>
      </c>
      <c r="AW23" s="5"/>
      <c r="AX23" s="5"/>
      <c r="AY23" s="5"/>
      <c r="AZ23" s="6">
        <v>1462</v>
      </c>
      <c r="BA23" s="5"/>
      <c r="BB23" s="5" t="s">
        <v>422</v>
      </c>
      <c r="BC23" s="5" t="s">
        <v>567</v>
      </c>
      <c r="BD23" s="6">
        <v>38104</v>
      </c>
      <c r="BE23" s="5" t="s">
        <v>156</v>
      </c>
      <c r="BF23" s="5"/>
      <c r="BG23" s="7">
        <v>45292</v>
      </c>
      <c r="BH23" s="5"/>
      <c r="BI23" s="13" t="s">
        <v>53</v>
      </c>
    </row>
    <row r="24" spans="1:61" ht="26.5" customHeight="1" x14ac:dyDescent="0.15">
      <c r="A24" s="3">
        <v>23</v>
      </c>
      <c r="B24" s="4" t="s">
        <v>568</v>
      </c>
      <c r="C24" s="4" t="s">
        <v>569</v>
      </c>
      <c r="D24" s="4" t="s">
        <v>570</v>
      </c>
      <c r="E24" s="5" t="s">
        <v>571</v>
      </c>
      <c r="F24" s="5" t="s">
        <v>96</v>
      </c>
      <c r="G24" s="5" t="s">
        <v>215</v>
      </c>
      <c r="H24" s="5" t="s">
        <v>572</v>
      </c>
      <c r="I24" s="6">
        <v>30970</v>
      </c>
      <c r="J24" s="5" t="s">
        <v>56</v>
      </c>
      <c r="K24" s="5" t="s">
        <v>57</v>
      </c>
      <c r="L24" s="5" t="s">
        <v>58</v>
      </c>
      <c r="M24" s="5" t="s">
        <v>59</v>
      </c>
      <c r="N24" s="5" t="s">
        <v>573</v>
      </c>
      <c r="O24" s="5" t="s">
        <v>574</v>
      </c>
      <c r="P24" s="5" t="s">
        <v>575</v>
      </c>
      <c r="Q24" s="5" t="s">
        <v>576</v>
      </c>
      <c r="R24" s="5" t="s">
        <v>577</v>
      </c>
      <c r="S24" s="5" t="s">
        <v>64</v>
      </c>
      <c r="T24" s="5" t="s">
        <v>578</v>
      </c>
      <c r="U24" s="6">
        <v>40293</v>
      </c>
      <c r="V24" s="5"/>
      <c r="W24" s="5"/>
      <c r="X24" s="5" t="s">
        <v>579</v>
      </c>
      <c r="Y24" s="5" t="s">
        <v>580</v>
      </c>
      <c r="Z24" s="5" t="s">
        <v>581</v>
      </c>
      <c r="AA24" s="5" t="s">
        <v>582</v>
      </c>
      <c r="AB24" s="6">
        <v>40821</v>
      </c>
      <c r="AC24" s="5" t="s">
        <v>583</v>
      </c>
      <c r="AD24" s="6">
        <v>40693</v>
      </c>
      <c r="AE24" s="5" t="s">
        <v>584</v>
      </c>
      <c r="AF24" s="6">
        <v>42696</v>
      </c>
      <c r="AG24" s="5" t="s">
        <v>585</v>
      </c>
      <c r="AH24" s="6">
        <v>25569</v>
      </c>
      <c r="AI24" s="5" t="s">
        <v>586</v>
      </c>
      <c r="AJ24" s="5" t="s">
        <v>587</v>
      </c>
      <c r="AK24" s="6">
        <v>40161</v>
      </c>
      <c r="AL24" s="5"/>
      <c r="AM24" s="5" t="s">
        <v>588</v>
      </c>
      <c r="AN24" s="6">
        <v>40908</v>
      </c>
      <c r="AO24" s="5"/>
      <c r="AP24" s="5" t="s">
        <v>589</v>
      </c>
      <c r="AQ24" s="5" t="s">
        <v>590</v>
      </c>
      <c r="AR24" s="6">
        <v>35591</v>
      </c>
      <c r="AS24" s="5"/>
      <c r="AT24" s="5" t="s">
        <v>591</v>
      </c>
      <c r="AU24" s="5" t="s">
        <v>592</v>
      </c>
      <c r="AV24" s="6">
        <v>37070</v>
      </c>
      <c r="AW24" s="5"/>
      <c r="AX24" s="5" t="s">
        <v>593</v>
      </c>
      <c r="AY24" s="5" t="s">
        <v>594</v>
      </c>
      <c r="AZ24" s="6">
        <v>38152</v>
      </c>
      <c r="BA24" s="5"/>
      <c r="BB24" s="5" t="s">
        <v>595</v>
      </c>
      <c r="BC24" s="5" t="s">
        <v>596</v>
      </c>
      <c r="BD24" s="6">
        <v>41928</v>
      </c>
      <c r="BE24" s="5" t="s">
        <v>597</v>
      </c>
      <c r="BF24" s="5"/>
      <c r="BG24" s="7">
        <v>45292</v>
      </c>
      <c r="BH24" s="5"/>
      <c r="BI24" s="13" t="s">
        <v>53</v>
      </c>
    </row>
    <row r="25" spans="1:61" ht="39.5" customHeight="1" x14ac:dyDescent="0.15">
      <c r="A25" s="3">
        <v>24</v>
      </c>
      <c r="B25" s="4" t="s">
        <v>598</v>
      </c>
      <c r="C25" s="4" t="s">
        <v>99</v>
      </c>
      <c r="D25" s="4" t="s">
        <v>599</v>
      </c>
      <c r="E25" s="5" t="s">
        <v>600</v>
      </c>
      <c r="F25" s="5" t="s">
        <v>96</v>
      </c>
      <c r="G25" s="5" t="s">
        <v>185</v>
      </c>
      <c r="H25" s="5" t="s">
        <v>601</v>
      </c>
      <c r="I25" s="6">
        <v>28152</v>
      </c>
      <c r="J25" s="5" t="s">
        <v>451</v>
      </c>
      <c r="K25" s="5" t="s">
        <v>187</v>
      </c>
      <c r="L25" s="5" t="s">
        <v>58</v>
      </c>
      <c r="M25" s="5" t="s">
        <v>59</v>
      </c>
      <c r="N25" s="5"/>
      <c r="O25" s="5" t="s">
        <v>602</v>
      </c>
      <c r="P25" s="5"/>
      <c r="Q25" s="5" t="s">
        <v>603</v>
      </c>
      <c r="R25" s="5" t="s">
        <v>604</v>
      </c>
      <c r="S25" s="5" t="s">
        <v>64</v>
      </c>
      <c r="T25" s="5" t="s">
        <v>605</v>
      </c>
      <c r="U25" s="6">
        <v>40764</v>
      </c>
      <c r="V25" s="5" t="s">
        <v>606</v>
      </c>
      <c r="W25" s="5"/>
      <c r="X25" s="5" t="s">
        <v>607</v>
      </c>
      <c r="Y25" s="5" t="s">
        <v>608</v>
      </c>
      <c r="Z25" s="5" t="s">
        <v>609</v>
      </c>
      <c r="AA25" s="5" t="s">
        <v>610</v>
      </c>
      <c r="AB25" s="6">
        <v>39881</v>
      </c>
      <c r="AC25" s="5" t="s">
        <v>611</v>
      </c>
      <c r="AD25" s="6">
        <v>40270</v>
      </c>
      <c r="AE25" s="5" t="s">
        <v>612</v>
      </c>
      <c r="AF25" s="6">
        <v>42551</v>
      </c>
      <c r="AG25" s="5" t="s">
        <v>613</v>
      </c>
      <c r="AH25" s="6">
        <v>42328</v>
      </c>
      <c r="AI25" s="5"/>
      <c r="AJ25" s="5" t="s">
        <v>614</v>
      </c>
      <c r="AK25" s="6">
        <v>39598</v>
      </c>
      <c r="AL25" s="5"/>
      <c r="AM25" s="5" t="s">
        <v>615</v>
      </c>
      <c r="AN25" s="6">
        <v>39895</v>
      </c>
      <c r="AO25" s="5"/>
      <c r="AP25" s="5" t="s">
        <v>616</v>
      </c>
      <c r="AQ25" s="5" t="s">
        <v>617</v>
      </c>
      <c r="AR25" s="6">
        <v>32673</v>
      </c>
      <c r="AS25" s="5"/>
      <c r="AT25" s="5" t="s">
        <v>618</v>
      </c>
      <c r="AU25" s="5" t="s">
        <v>619</v>
      </c>
      <c r="AV25" s="6">
        <v>33759</v>
      </c>
      <c r="AW25" s="5"/>
      <c r="AX25" s="5" t="s">
        <v>620</v>
      </c>
      <c r="AY25" s="5" t="s">
        <v>621</v>
      </c>
      <c r="AZ25" s="6">
        <v>34841</v>
      </c>
      <c r="BA25" s="5"/>
      <c r="BB25" s="5" t="s">
        <v>179</v>
      </c>
      <c r="BC25" s="5" t="s">
        <v>622</v>
      </c>
      <c r="BD25" s="6">
        <v>37517</v>
      </c>
      <c r="BE25" s="5" t="s">
        <v>156</v>
      </c>
      <c r="BF25" s="5"/>
      <c r="BG25" s="7">
        <v>45292</v>
      </c>
      <c r="BH25" s="5"/>
      <c r="BI25" s="13" t="s">
        <v>53</v>
      </c>
    </row>
    <row r="26" spans="1:61" ht="39.5" customHeight="1" x14ac:dyDescent="0.15">
      <c r="A26" s="3">
        <v>25</v>
      </c>
      <c r="B26" s="4" t="s">
        <v>623</v>
      </c>
      <c r="C26" s="4" t="s">
        <v>99</v>
      </c>
      <c r="D26" s="4" t="s">
        <v>624</v>
      </c>
      <c r="E26" s="5" t="s">
        <v>625</v>
      </c>
      <c r="F26" s="5" t="s">
        <v>96</v>
      </c>
      <c r="G26" s="5" t="s">
        <v>185</v>
      </c>
      <c r="H26" s="5" t="s">
        <v>626</v>
      </c>
      <c r="I26" s="6">
        <v>27316</v>
      </c>
      <c r="J26" s="5" t="s">
        <v>451</v>
      </c>
      <c r="K26" s="5" t="s">
        <v>57</v>
      </c>
      <c r="L26" s="5" t="s">
        <v>58</v>
      </c>
      <c r="M26" s="5" t="s">
        <v>59</v>
      </c>
      <c r="N26" s="5"/>
      <c r="O26" s="5" t="s">
        <v>627</v>
      </c>
      <c r="P26" s="5"/>
      <c r="Q26" s="5" t="s">
        <v>628</v>
      </c>
      <c r="R26" s="5" t="s">
        <v>629</v>
      </c>
      <c r="S26" s="5" t="s">
        <v>64</v>
      </c>
      <c r="T26" s="5" t="s">
        <v>630</v>
      </c>
      <c r="U26" s="6">
        <v>36626</v>
      </c>
      <c r="V26" s="5" t="s">
        <v>631</v>
      </c>
      <c r="W26" s="5"/>
      <c r="X26" s="5" t="s">
        <v>632</v>
      </c>
      <c r="Y26" s="5" t="s">
        <v>633</v>
      </c>
      <c r="Z26" s="5" t="s">
        <v>634</v>
      </c>
      <c r="AA26" s="5" t="s">
        <v>635</v>
      </c>
      <c r="AB26" s="6">
        <v>40562</v>
      </c>
      <c r="AC26" s="5" t="s">
        <v>636</v>
      </c>
      <c r="AD26" s="6">
        <v>40570</v>
      </c>
      <c r="AE26" s="5"/>
      <c r="AF26" s="6">
        <v>1462</v>
      </c>
      <c r="AG26" s="5"/>
      <c r="AH26" s="6">
        <v>43108</v>
      </c>
      <c r="AI26" s="5"/>
      <c r="AJ26" s="5" t="s">
        <v>334</v>
      </c>
      <c r="AK26" s="6">
        <v>39889</v>
      </c>
      <c r="AL26" s="5"/>
      <c r="AM26" s="5" t="s">
        <v>335</v>
      </c>
      <c r="AN26" s="6">
        <v>40181</v>
      </c>
      <c r="AO26" s="5"/>
      <c r="AP26" s="5" t="s">
        <v>637</v>
      </c>
      <c r="AQ26" s="5" t="s">
        <v>638</v>
      </c>
      <c r="AR26" s="6">
        <v>31553</v>
      </c>
      <c r="AS26" s="5"/>
      <c r="AT26" s="5" t="s">
        <v>639</v>
      </c>
      <c r="AU26" s="5" t="s">
        <v>640</v>
      </c>
      <c r="AV26" s="6">
        <v>32660</v>
      </c>
      <c r="AW26" s="5"/>
      <c r="AX26" s="5" t="s">
        <v>641</v>
      </c>
      <c r="AY26" s="5" t="s">
        <v>642</v>
      </c>
      <c r="AZ26" s="6">
        <v>33767</v>
      </c>
      <c r="BA26" s="5"/>
      <c r="BB26" s="5" t="s">
        <v>643</v>
      </c>
      <c r="BC26" s="5" t="s">
        <v>644</v>
      </c>
      <c r="BD26" s="6">
        <v>36529</v>
      </c>
      <c r="BE26" s="5" t="s">
        <v>293</v>
      </c>
      <c r="BF26" s="5"/>
      <c r="BG26" s="7">
        <v>45292</v>
      </c>
      <c r="BH26" s="5"/>
      <c r="BI26" s="13" t="s">
        <v>53</v>
      </c>
    </row>
    <row r="27" spans="1:61" ht="24.75" customHeight="1" x14ac:dyDescent="0.15">
      <c r="A27" s="3">
        <v>26</v>
      </c>
      <c r="B27" s="4" t="s">
        <v>645</v>
      </c>
      <c r="C27" s="4" t="s">
        <v>370</v>
      </c>
      <c r="D27" s="4" t="s">
        <v>646</v>
      </c>
      <c r="E27" s="5" t="s">
        <v>647</v>
      </c>
      <c r="F27" s="5" t="s">
        <v>96</v>
      </c>
      <c r="G27" s="5" t="s">
        <v>137</v>
      </c>
      <c r="H27" s="5" t="s">
        <v>648</v>
      </c>
      <c r="I27" s="6">
        <v>30211</v>
      </c>
      <c r="J27" s="5" t="s">
        <v>56</v>
      </c>
      <c r="K27" s="5" t="s">
        <v>187</v>
      </c>
      <c r="L27" s="5" t="s">
        <v>58</v>
      </c>
      <c r="M27" s="5" t="s">
        <v>59</v>
      </c>
      <c r="N27" s="5" t="s">
        <v>649</v>
      </c>
      <c r="O27" s="5" t="s">
        <v>650</v>
      </c>
      <c r="P27" s="5" t="s">
        <v>651</v>
      </c>
      <c r="Q27" s="5" t="s">
        <v>652</v>
      </c>
      <c r="R27" s="12" t="s">
        <v>653</v>
      </c>
      <c r="S27" s="5" t="s">
        <v>64</v>
      </c>
      <c r="T27" s="5" t="s">
        <v>654</v>
      </c>
      <c r="U27" s="6">
        <v>39104</v>
      </c>
      <c r="V27" s="5" t="s">
        <v>655</v>
      </c>
      <c r="W27" s="5"/>
      <c r="X27" s="5" t="s">
        <v>656</v>
      </c>
      <c r="Y27" s="5" t="s">
        <v>657</v>
      </c>
      <c r="Z27" s="5" t="s">
        <v>658</v>
      </c>
      <c r="AA27" s="5" t="s">
        <v>659</v>
      </c>
      <c r="AB27" s="6">
        <v>40821</v>
      </c>
      <c r="AC27" s="5" t="s">
        <v>660</v>
      </c>
      <c r="AD27" s="6">
        <v>40693</v>
      </c>
      <c r="AE27" s="5"/>
      <c r="AF27" s="6">
        <v>1462</v>
      </c>
      <c r="AG27" s="5" t="s">
        <v>175</v>
      </c>
      <c r="AH27" s="6">
        <v>25569</v>
      </c>
      <c r="AI27" s="5" t="s">
        <v>176</v>
      </c>
      <c r="AJ27" s="5" t="s">
        <v>177</v>
      </c>
      <c r="AK27" s="6">
        <v>40231</v>
      </c>
      <c r="AL27" s="5"/>
      <c r="AM27" s="5" t="s">
        <v>178</v>
      </c>
      <c r="AN27" s="6">
        <v>40633</v>
      </c>
      <c r="AO27" s="5"/>
      <c r="AP27" s="5" t="s">
        <v>661</v>
      </c>
      <c r="AQ27" s="5" t="s">
        <v>662</v>
      </c>
      <c r="AR27" s="6">
        <v>34846</v>
      </c>
      <c r="AS27" s="5"/>
      <c r="AT27" s="5" t="s">
        <v>663</v>
      </c>
      <c r="AU27" s="5" t="s">
        <v>664</v>
      </c>
      <c r="AV27" s="6">
        <v>35940</v>
      </c>
      <c r="AW27" s="5"/>
      <c r="AX27" s="5" t="s">
        <v>665</v>
      </c>
      <c r="AY27" s="5"/>
      <c r="AZ27" s="6">
        <v>1462</v>
      </c>
      <c r="BA27" s="5"/>
      <c r="BB27" s="5" t="s">
        <v>666</v>
      </c>
      <c r="BC27" s="5" t="s">
        <v>667</v>
      </c>
      <c r="BD27" s="6">
        <v>38677</v>
      </c>
      <c r="BE27" s="5" t="s">
        <v>668</v>
      </c>
      <c r="BF27" s="5"/>
      <c r="BG27" s="7">
        <v>45292</v>
      </c>
      <c r="BH27" s="5"/>
      <c r="BI27" s="13" t="s">
        <v>53</v>
      </c>
    </row>
    <row r="28" spans="1:61" ht="13.75" customHeight="1" x14ac:dyDescent="0.15">
      <c r="A28" s="3">
        <v>27</v>
      </c>
      <c r="B28" s="4" t="s">
        <v>669</v>
      </c>
      <c r="C28" s="4" t="s">
        <v>670</v>
      </c>
      <c r="D28" s="14" t="s">
        <v>1818</v>
      </c>
      <c r="E28" s="5" t="s">
        <v>671</v>
      </c>
      <c r="F28" s="5" t="s">
        <v>96</v>
      </c>
      <c r="G28" s="5" t="s">
        <v>672</v>
      </c>
      <c r="H28" s="5" t="s">
        <v>673</v>
      </c>
      <c r="I28" s="6">
        <v>29413</v>
      </c>
      <c r="J28" s="5" t="s">
        <v>56</v>
      </c>
      <c r="K28" s="5" t="s">
        <v>57</v>
      </c>
      <c r="L28" s="5" t="s">
        <v>58</v>
      </c>
      <c r="M28" s="5" t="s">
        <v>59</v>
      </c>
      <c r="N28" s="5"/>
      <c r="O28" s="5" t="s">
        <v>674</v>
      </c>
      <c r="P28" s="11" t="s">
        <v>1810</v>
      </c>
      <c r="Q28" s="5" t="s">
        <v>675</v>
      </c>
      <c r="R28" s="5" t="s">
        <v>676</v>
      </c>
      <c r="S28" s="5" t="s">
        <v>64</v>
      </c>
      <c r="T28" s="5" t="s">
        <v>677</v>
      </c>
      <c r="U28" s="6">
        <v>39747</v>
      </c>
      <c r="V28" s="5" t="s">
        <v>678</v>
      </c>
      <c r="W28" s="5"/>
      <c r="X28" s="5" t="s">
        <v>679</v>
      </c>
      <c r="Y28" s="5" t="s">
        <v>680</v>
      </c>
      <c r="Z28" s="5" t="s">
        <v>681</v>
      </c>
      <c r="AA28" s="5" t="s">
        <v>682</v>
      </c>
      <c r="AB28" s="6">
        <v>40821</v>
      </c>
      <c r="AC28" s="5"/>
      <c r="AD28" s="6">
        <v>1462</v>
      </c>
      <c r="AE28" s="5" t="s">
        <v>683</v>
      </c>
      <c r="AF28" s="6">
        <v>42696</v>
      </c>
      <c r="AG28" s="5" t="s">
        <v>684</v>
      </c>
      <c r="AH28" s="6">
        <v>42506</v>
      </c>
      <c r="AI28" s="5" t="s">
        <v>176</v>
      </c>
      <c r="AJ28" s="5" t="s">
        <v>685</v>
      </c>
      <c r="AK28" s="6">
        <v>38728</v>
      </c>
      <c r="AL28" s="5"/>
      <c r="AM28" s="5" t="s">
        <v>686</v>
      </c>
      <c r="AN28" s="6">
        <v>39541</v>
      </c>
      <c r="AO28" s="5"/>
      <c r="AP28" s="5" t="s">
        <v>687</v>
      </c>
      <c r="AQ28" s="5" t="s">
        <v>688</v>
      </c>
      <c r="AR28" s="6">
        <v>34127</v>
      </c>
      <c r="AS28" s="5"/>
      <c r="AT28" s="5" t="s">
        <v>689</v>
      </c>
      <c r="AU28" s="5" t="s">
        <v>690</v>
      </c>
      <c r="AV28" s="6">
        <v>35213</v>
      </c>
      <c r="AW28" s="5"/>
      <c r="AX28" s="5" t="s">
        <v>691</v>
      </c>
      <c r="AY28" s="5" t="s">
        <v>692</v>
      </c>
      <c r="AZ28" s="6">
        <v>36304</v>
      </c>
      <c r="BA28" s="5"/>
      <c r="BB28" s="5" t="s">
        <v>693</v>
      </c>
      <c r="BC28" s="5" t="s">
        <v>694</v>
      </c>
      <c r="BD28" s="6">
        <v>38301</v>
      </c>
      <c r="BE28" s="5" t="s">
        <v>156</v>
      </c>
      <c r="BF28" s="5"/>
      <c r="BG28" s="7">
        <v>45292</v>
      </c>
      <c r="BH28" s="5"/>
      <c r="BI28" s="13" t="s">
        <v>53</v>
      </c>
    </row>
    <row r="29" spans="1:61" ht="35.75" customHeight="1" x14ac:dyDescent="0.15">
      <c r="A29" s="3">
        <v>28</v>
      </c>
      <c r="B29" s="4" t="s">
        <v>695</v>
      </c>
      <c r="C29" s="4" t="s">
        <v>370</v>
      </c>
      <c r="D29" s="4" t="s">
        <v>696</v>
      </c>
      <c r="E29" s="5" t="s">
        <v>697</v>
      </c>
      <c r="F29" s="5" t="s">
        <v>96</v>
      </c>
      <c r="G29" s="5" t="s">
        <v>215</v>
      </c>
      <c r="H29" s="5" t="s">
        <v>698</v>
      </c>
      <c r="I29" s="6">
        <v>26858</v>
      </c>
      <c r="J29" s="5" t="s">
        <v>56</v>
      </c>
      <c r="K29" s="5" t="s">
        <v>57</v>
      </c>
      <c r="L29" s="5" t="s">
        <v>58</v>
      </c>
      <c r="M29" s="5" t="s">
        <v>59</v>
      </c>
      <c r="N29" s="5" t="s">
        <v>699</v>
      </c>
      <c r="O29" s="5" t="s">
        <v>700</v>
      </c>
      <c r="P29" s="5" t="s">
        <v>701</v>
      </c>
      <c r="Q29" s="5" t="s">
        <v>702</v>
      </c>
      <c r="R29" s="12" t="s">
        <v>1811</v>
      </c>
      <c r="S29" s="5" t="s">
        <v>64</v>
      </c>
      <c r="T29" s="5"/>
      <c r="U29" s="6">
        <v>35058</v>
      </c>
      <c r="V29" s="5" t="s">
        <v>703</v>
      </c>
      <c r="W29" s="5"/>
      <c r="X29" s="5" t="s">
        <v>704</v>
      </c>
      <c r="Y29" s="5" t="s">
        <v>705</v>
      </c>
      <c r="Z29" s="5" t="s">
        <v>706</v>
      </c>
      <c r="AA29" s="5" t="s">
        <v>707</v>
      </c>
      <c r="AB29" s="6">
        <v>40242</v>
      </c>
      <c r="AC29" s="5"/>
      <c r="AD29" s="6">
        <v>1462</v>
      </c>
      <c r="AE29" s="5" t="s">
        <v>708</v>
      </c>
      <c r="AF29" s="6">
        <v>42696</v>
      </c>
      <c r="AG29" s="5" t="s">
        <v>709</v>
      </c>
      <c r="AH29" s="6">
        <v>42925</v>
      </c>
      <c r="AI29" s="5"/>
      <c r="AJ29" s="5" t="s">
        <v>710</v>
      </c>
      <c r="AK29" s="6">
        <v>39889</v>
      </c>
      <c r="AL29" s="5"/>
      <c r="AM29" s="5" t="s">
        <v>711</v>
      </c>
      <c r="AN29" s="6">
        <v>40181</v>
      </c>
      <c r="AO29" s="5"/>
      <c r="AP29" s="5" t="s">
        <v>712</v>
      </c>
      <c r="AQ29" s="5" t="s">
        <v>713</v>
      </c>
      <c r="AR29" s="6">
        <v>31930</v>
      </c>
      <c r="AS29" s="5"/>
      <c r="AT29" s="5" t="s">
        <v>714</v>
      </c>
      <c r="AU29" s="5" t="s">
        <v>715</v>
      </c>
      <c r="AV29" s="6">
        <v>33026</v>
      </c>
      <c r="AW29" s="5"/>
      <c r="AX29" s="5" t="s">
        <v>716</v>
      </c>
      <c r="AY29" s="5" t="s">
        <v>717</v>
      </c>
      <c r="AZ29" s="6">
        <v>34117</v>
      </c>
      <c r="BA29" s="5"/>
      <c r="BB29" s="5" t="s">
        <v>397</v>
      </c>
      <c r="BC29" s="5" t="s">
        <v>718</v>
      </c>
      <c r="BD29" s="6">
        <v>41176</v>
      </c>
      <c r="BE29" s="5" t="s">
        <v>399</v>
      </c>
      <c r="BF29" s="5"/>
      <c r="BG29" s="7">
        <v>45292</v>
      </c>
      <c r="BH29" s="5"/>
      <c r="BI29" s="13" t="s">
        <v>53</v>
      </c>
    </row>
    <row r="30" spans="1:61" ht="26.5" customHeight="1" x14ac:dyDescent="0.15">
      <c r="A30" s="3">
        <v>29</v>
      </c>
      <c r="B30" s="4" t="s">
        <v>98</v>
      </c>
      <c r="C30" s="4" t="s">
        <v>370</v>
      </c>
      <c r="D30" s="4" t="s">
        <v>719</v>
      </c>
      <c r="E30" s="5" t="s">
        <v>720</v>
      </c>
      <c r="F30" s="5" t="s">
        <v>96</v>
      </c>
      <c r="G30" s="5" t="s">
        <v>215</v>
      </c>
      <c r="H30" s="5" t="s">
        <v>721</v>
      </c>
      <c r="I30" s="6">
        <v>27183</v>
      </c>
      <c r="J30" s="5" t="s">
        <v>56</v>
      </c>
      <c r="K30" s="5" t="s">
        <v>187</v>
      </c>
      <c r="L30" s="5" t="s">
        <v>58</v>
      </c>
      <c r="M30" s="5" t="s">
        <v>59</v>
      </c>
      <c r="N30" s="5"/>
      <c r="O30" s="5" t="s">
        <v>722</v>
      </c>
      <c r="P30" s="5"/>
      <c r="Q30" s="5" t="s">
        <v>723</v>
      </c>
      <c r="R30" s="5" t="s">
        <v>724</v>
      </c>
      <c r="S30" s="5" t="s">
        <v>64</v>
      </c>
      <c r="T30" s="5" t="s">
        <v>725</v>
      </c>
      <c r="U30" s="6">
        <v>36045</v>
      </c>
      <c r="V30" s="5"/>
      <c r="W30" s="5"/>
      <c r="X30" s="5" t="s">
        <v>726</v>
      </c>
      <c r="Y30" s="5" t="s">
        <v>727</v>
      </c>
      <c r="Z30" s="5" t="s">
        <v>728</v>
      </c>
      <c r="AA30" s="5" t="s">
        <v>729</v>
      </c>
      <c r="AB30" s="6">
        <v>42098</v>
      </c>
      <c r="AC30" s="5" t="s">
        <v>730</v>
      </c>
      <c r="AD30" s="6">
        <v>41442</v>
      </c>
      <c r="AE30" s="5" t="s">
        <v>731</v>
      </c>
      <c r="AF30" s="6">
        <v>42696</v>
      </c>
      <c r="AG30" s="5" t="s">
        <v>732</v>
      </c>
      <c r="AH30" s="6">
        <v>25569</v>
      </c>
      <c r="AI30" s="5" t="s">
        <v>586</v>
      </c>
      <c r="AJ30" s="5" t="s">
        <v>733</v>
      </c>
      <c r="AK30" s="6">
        <v>41337</v>
      </c>
      <c r="AL30" s="5"/>
      <c r="AM30" s="5" t="s">
        <v>734</v>
      </c>
      <c r="AN30" s="6">
        <v>41726</v>
      </c>
      <c r="AO30" s="5"/>
      <c r="AP30" s="5" t="s">
        <v>735</v>
      </c>
      <c r="AQ30" s="5" t="s">
        <v>736</v>
      </c>
      <c r="AR30" s="6">
        <v>31198</v>
      </c>
      <c r="AS30" s="5"/>
      <c r="AT30" s="5" t="s">
        <v>737</v>
      </c>
      <c r="AU30" s="5" t="s">
        <v>738</v>
      </c>
      <c r="AV30" s="6">
        <v>32305</v>
      </c>
      <c r="AW30" s="5"/>
      <c r="AX30" s="5" t="s">
        <v>739</v>
      </c>
      <c r="AY30" s="5" t="s">
        <v>740</v>
      </c>
      <c r="AZ30" s="6">
        <v>33390</v>
      </c>
      <c r="BA30" s="5"/>
      <c r="BB30" s="5" t="s">
        <v>595</v>
      </c>
      <c r="BC30" s="5" t="s">
        <v>741</v>
      </c>
      <c r="BD30" s="6">
        <v>41095</v>
      </c>
      <c r="BE30" s="5" t="s">
        <v>399</v>
      </c>
      <c r="BF30" s="5"/>
      <c r="BG30" s="7">
        <v>45292</v>
      </c>
      <c r="BH30" s="5"/>
      <c r="BI30" s="13" t="s">
        <v>53</v>
      </c>
    </row>
    <row r="31" spans="1:61" ht="26.5" customHeight="1" x14ac:dyDescent="0.15">
      <c r="A31" s="3">
        <v>30</v>
      </c>
      <c r="B31" s="4" t="s">
        <v>742</v>
      </c>
      <c r="C31" s="4" t="s">
        <v>99</v>
      </c>
      <c r="D31" s="4" t="s">
        <v>696</v>
      </c>
      <c r="E31" s="5" t="s">
        <v>743</v>
      </c>
      <c r="F31" s="5" t="s">
        <v>96</v>
      </c>
      <c r="G31" s="5" t="s">
        <v>215</v>
      </c>
      <c r="H31" s="5" t="s">
        <v>744</v>
      </c>
      <c r="I31" s="6">
        <v>27759</v>
      </c>
      <c r="J31" s="5" t="s">
        <v>56</v>
      </c>
      <c r="K31" s="5" t="s">
        <v>57</v>
      </c>
      <c r="L31" s="5" t="s">
        <v>58</v>
      </c>
      <c r="M31" s="5" t="s">
        <v>59</v>
      </c>
      <c r="N31" s="5" t="s">
        <v>745</v>
      </c>
      <c r="O31" s="5" t="s">
        <v>746</v>
      </c>
      <c r="P31" s="5" t="s">
        <v>747</v>
      </c>
      <c r="Q31" s="5" t="s">
        <v>748</v>
      </c>
      <c r="R31" s="5" t="s">
        <v>749</v>
      </c>
      <c r="S31" s="5" t="s">
        <v>64</v>
      </c>
      <c r="T31" s="5"/>
      <c r="U31" s="6">
        <v>1462</v>
      </c>
      <c r="V31" s="5"/>
      <c r="W31" s="5"/>
      <c r="X31" s="5" t="s">
        <v>750</v>
      </c>
      <c r="Y31" s="5" t="s">
        <v>751</v>
      </c>
      <c r="Z31" s="5"/>
      <c r="AA31" s="5" t="s">
        <v>752</v>
      </c>
      <c r="AB31" s="6">
        <v>42159</v>
      </c>
      <c r="AC31" s="5" t="s">
        <v>753</v>
      </c>
      <c r="AD31" s="6">
        <v>41444</v>
      </c>
      <c r="AE31" s="5"/>
      <c r="AF31" s="6">
        <v>1462</v>
      </c>
      <c r="AG31" s="5" t="s">
        <v>564</v>
      </c>
      <c r="AH31" s="6">
        <v>42838</v>
      </c>
      <c r="AI31" s="5" t="s">
        <v>176</v>
      </c>
      <c r="AJ31" s="5" t="s">
        <v>754</v>
      </c>
      <c r="AK31" s="6">
        <v>41337</v>
      </c>
      <c r="AL31" s="5"/>
      <c r="AM31" s="5" t="s">
        <v>755</v>
      </c>
      <c r="AN31" s="6">
        <v>41726</v>
      </c>
      <c r="AO31" s="5"/>
      <c r="AP31" s="5" t="s">
        <v>756</v>
      </c>
      <c r="AQ31" s="5" t="s">
        <v>757</v>
      </c>
      <c r="AR31" s="6">
        <v>32318</v>
      </c>
      <c r="AS31" s="5"/>
      <c r="AT31" s="5" t="s">
        <v>758</v>
      </c>
      <c r="AU31" s="5" t="s">
        <v>759</v>
      </c>
      <c r="AV31" s="6">
        <v>33456</v>
      </c>
      <c r="AW31" s="5"/>
      <c r="AX31" s="5" t="s">
        <v>760</v>
      </c>
      <c r="AY31" s="5" t="s">
        <v>761</v>
      </c>
      <c r="AZ31" s="6">
        <v>34477</v>
      </c>
      <c r="BA31" s="5"/>
      <c r="BB31" s="5" t="s">
        <v>762</v>
      </c>
      <c r="BC31" s="5" t="s">
        <v>763</v>
      </c>
      <c r="BD31" s="6">
        <v>36809</v>
      </c>
      <c r="BE31" s="5" t="s">
        <v>156</v>
      </c>
      <c r="BF31" s="5"/>
      <c r="BG31" s="7">
        <v>45292</v>
      </c>
      <c r="BH31" s="5"/>
      <c r="BI31" s="13" t="s">
        <v>53</v>
      </c>
    </row>
    <row r="32" spans="1:61" ht="26.5" customHeight="1" x14ac:dyDescent="0.15">
      <c r="A32" s="3">
        <v>31</v>
      </c>
      <c r="B32" s="4" t="s">
        <v>764</v>
      </c>
      <c r="C32" s="4" t="s">
        <v>370</v>
      </c>
      <c r="D32" s="4" t="s">
        <v>599</v>
      </c>
      <c r="E32" s="5" t="s">
        <v>765</v>
      </c>
      <c r="F32" s="5" t="s">
        <v>96</v>
      </c>
      <c r="G32" s="5" t="s">
        <v>215</v>
      </c>
      <c r="H32" s="5" t="s">
        <v>766</v>
      </c>
      <c r="I32" s="6">
        <v>31309</v>
      </c>
      <c r="J32" s="5" t="s">
        <v>56</v>
      </c>
      <c r="K32" s="5" t="s">
        <v>187</v>
      </c>
      <c r="L32" s="5" t="s">
        <v>58</v>
      </c>
      <c r="M32" s="5" t="s">
        <v>59</v>
      </c>
      <c r="N32" s="5" t="s">
        <v>767</v>
      </c>
      <c r="O32" s="5" t="s">
        <v>768</v>
      </c>
      <c r="P32" s="5" t="s">
        <v>190</v>
      </c>
      <c r="Q32" s="5" t="s">
        <v>769</v>
      </c>
      <c r="R32" s="5" t="s">
        <v>770</v>
      </c>
      <c r="S32" s="5" t="s">
        <v>64</v>
      </c>
      <c r="T32" s="5"/>
      <c r="U32" s="6">
        <v>1462</v>
      </c>
      <c r="V32" s="5" t="s">
        <v>771</v>
      </c>
      <c r="W32" s="5"/>
      <c r="X32" s="5" t="s">
        <v>772</v>
      </c>
      <c r="Y32" s="5" t="s">
        <v>773</v>
      </c>
      <c r="Z32" s="5" t="s">
        <v>774</v>
      </c>
      <c r="AA32" s="5" t="s">
        <v>775</v>
      </c>
      <c r="AB32" s="6">
        <v>40821</v>
      </c>
      <c r="AC32" s="5" t="s">
        <v>776</v>
      </c>
      <c r="AD32" s="6">
        <v>40693</v>
      </c>
      <c r="AE32" s="5" t="s">
        <v>777</v>
      </c>
      <c r="AF32" s="6">
        <v>42661</v>
      </c>
      <c r="AG32" s="5" t="s">
        <v>585</v>
      </c>
      <c r="AH32" s="6">
        <v>25569</v>
      </c>
      <c r="AI32" s="5" t="s">
        <v>586</v>
      </c>
      <c r="AJ32" s="5" t="s">
        <v>587</v>
      </c>
      <c r="AK32" s="6">
        <v>39827</v>
      </c>
      <c r="AL32" s="5"/>
      <c r="AM32" s="5" t="s">
        <v>588</v>
      </c>
      <c r="AN32" s="6">
        <v>40633</v>
      </c>
      <c r="AO32" s="5"/>
      <c r="AP32" s="5"/>
      <c r="AQ32" s="5"/>
      <c r="AR32" s="6">
        <v>1462</v>
      </c>
      <c r="AS32" s="5"/>
      <c r="AT32" s="5"/>
      <c r="AU32" s="5"/>
      <c r="AV32" s="6">
        <v>1462</v>
      </c>
      <c r="AW32" s="5"/>
      <c r="AX32" s="5"/>
      <c r="AY32" s="5"/>
      <c r="AZ32" s="6">
        <v>1462</v>
      </c>
      <c r="BA32" s="5"/>
      <c r="BB32" s="5" t="s">
        <v>595</v>
      </c>
      <c r="BC32" s="5" t="s">
        <v>778</v>
      </c>
      <c r="BD32" s="6">
        <v>41820</v>
      </c>
      <c r="BE32" s="5" t="s">
        <v>399</v>
      </c>
      <c r="BF32" s="5"/>
      <c r="BG32" s="7">
        <v>45292</v>
      </c>
      <c r="BH32" s="5"/>
      <c r="BI32" s="13" t="s">
        <v>53</v>
      </c>
    </row>
    <row r="33" spans="1:61" ht="26.5" customHeight="1" x14ac:dyDescent="0.15">
      <c r="A33" s="3">
        <v>32</v>
      </c>
      <c r="B33" s="4" t="s">
        <v>779</v>
      </c>
      <c r="C33" s="4" t="s">
        <v>569</v>
      </c>
      <c r="D33" s="4" t="s">
        <v>780</v>
      </c>
      <c r="E33" s="5" t="s">
        <v>781</v>
      </c>
      <c r="F33" s="5" t="s">
        <v>96</v>
      </c>
      <c r="G33" s="5" t="s">
        <v>215</v>
      </c>
      <c r="H33" s="5" t="s">
        <v>782</v>
      </c>
      <c r="I33" s="6">
        <v>30536</v>
      </c>
      <c r="J33" s="5" t="s">
        <v>56</v>
      </c>
      <c r="K33" s="5" t="s">
        <v>57</v>
      </c>
      <c r="L33" s="5" t="s">
        <v>58</v>
      </c>
      <c r="M33" s="5" t="s">
        <v>59</v>
      </c>
      <c r="N33" s="5" t="s">
        <v>783</v>
      </c>
      <c r="O33" s="5" t="s">
        <v>784</v>
      </c>
      <c r="P33" s="5" t="s">
        <v>785</v>
      </c>
      <c r="Q33" s="5" t="s">
        <v>786</v>
      </c>
      <c r="R33" s="5" t="s">
        <v>787</v>
      </c>
      <c r="S33" s="5" t="s">
        <v>64</v>
      </c>
      <c r="T33" s="5" t="s">
        <v>788</v>
      </c>
      <c r="U33" s="6">
        <v>41672</v>
      </c>
      <c r="V33" s="5" t="s">
        <v>789</v>
      </c>
      <c r="W33" s="5"/>
      <c r="X33" s="5" t="s">
        <v>790</v>
      </c>
      <c r="Y33" s="5" t="s">
        <v>791</v>
      </c>
      <c r="Z33" s="5" t="s">
        <v>792</v>
      </c>
      <c r="AA33" s="5" t="s">
        <v>793</v>
      </c>
      <c r="AB33" s="6">
        <v>42159</v>
      </c>
      <c r="AC33" s="5" t="s">
        <v>794</v>
      </c>
      <c r="AD33" s="6">
        <v>41442</v>
      </c>
      <c r="AE33" s="5" t="s">
        <v>795</v>
      </c>
      <c r="AF33" s="6">
        <v>42696</v>
      </c>
      <c r="AG33" s="5" t="s">
        <v>732</v>
      </c>
      <c r="AH33" s="6">
        <v>25569</v>
      </c>
      <c r="AI33" s="5" t="s">
        <v>586</v>
      </c>
      <c r="AJ33" s="5" t="s">
        <v>796</v>
      </c>
      <c r="AK33" s="6">
        <v>41337</v>
      </c>
      <c r="AL33" s="5"/>
      <c r="AM33" s="5" t="s">
        <v>734</v>
      </c>
      <c r="AN33" s="6">
        <v>41726</v>
      </c>
      <c r="AO33" s="5"/>
      <c r="AP33" s="5" t="s">
        <v>797</v>
      </c>
      <c r="AQ33" s="5" t="s">
        <v>798</v>
      </c>
      <c r="AR33" s="6">
        <v>35226</v>
      </c>
      <c r="AS33" s="5"/>
      <c r="AT33" s="5" t="s">
        <v>799</v>
      </c>
      <c r="AU33" s="5" t="s">
        <v>800</v>
      </c>
      <c r="AV33" s="6">
        <v>36311</v>
      </c>
      <c r="AW33" s="5"/>
      <c r="AX33" s="5" t="s">
        <v>801</v>
      </c>
      <c r="AY33" s="5" t="s">
        <v>802</v>
      </c>
      <c r="AZ33" s="6">
        <v>37421</v>
      </c>
      <c r="BA33" s="5"/>
      <c r="BB33" s="5" t="s">
        <v>397</v>
      </c>
      <c r="BC33" s="5" t="s">
        <v>803</v>
      </c>
      <c r="BD33" s="6">
        <v>39647</v>
      </c>
      <c r="BE33" s="5" t="s">
        <v>597</v>
      </c>
      <c r="BF33" s="5"/>
      <c r="BG33" s="7">
        <v>45292</v>
      </c>
      <c r="BH33" s="5"/>
      <c r="BI33" s="13" t="s">
        <v>53</v>
      </c>
    </row>
    <row r="34" spans="1:61" ht="24.75" customHeight="1" x14ac:dyDescent="0.15">
      <c r="A34" s="3">
        <v>33</v>
      </c>
      <c r="B34" s="4" t="s">
        <v>804</v>
      </c>
      <c r="C34" s="4" t="s">
        <v>99</v>
      </c>
      <c r="D34" s="4" t="s">
        <v>805</v>
      </c>
      <c r="E34" s="5" t="s">
        <v>806</v>
      </c>
      <c r="F34" s="5" t="s">
        <v>96</v>
      </c>
      <c r="G34" s="5" t="s">
        <v>215</v>
      </c>
      <c r="H34" s="5" t="s">
        <v>807</v>
      </c>
      <c r="I34" s="6">
        <v>27429</v>
      </c>
      <c r="J34" s="5" t="s">
        <v>56</v>
      </c>
      <c r="K34" s="5" t="s">
        <v>57</v>
      </c>
      <c r="L34" s="5" t="s">
        <v>58</v>
      </c>
      <c r="M34" s="5" t="s">
        <v>59</v>
      </c>
      <c r="N34" s="5" t="s">
        <v>808</v>
      </c>
      <c r="O34" s="5" t="s">
        <v>809</v>
      </c>
      <c r="P34" s="5" t="s">
        <v>810</v>
      </c>
      <c r="Q34" s="5" t="s">
        <v>811</v>
      </c>
      <c r="R34" s="5" t="s">
        <v>812</v>
      </c>
      <c r="S34" s="5" t="s">
        <v>64</v>
      </c>
      <c r="T34" s="5"/>
      <c r="U34" s="6">
        <v>37627</v>
      </c>
      <c r="V34" s="5" t="s">
        <v>813</v>
      </c>
      <c r="W34" s="5"/>
      <c r="X34" s="5" t="s">
        <v>814</v>
      </c>
      <c r="Y34" s="5" t="s">
        <v>815</v>
      </c>
      <c r="Z34" s="5" t="s">
        <v>816</v>
      </c>
      <c r="AA34" s="5"/>
      <c r="AB34" s="6">
        <v>1462</v>
      </c>
      <c r="AC34" s="5" t="s">
        <v>817</v>
      </c>
      <c r="AD34" s="6">
        <v>42185</v>
      </c>
      <c r="AE34" s="5" t="s">
        <v>818</v>
      </c>
      <c r="AF34" s="6">
        <v>42696</v>
      </c>
      <c r="AG34" s="5" t="s">
        <v>819</v>
      </c>
      <c r="AH34" s="6">
        <v>43108</v>
      </c>
      <c r="AI34" s="5" t="s">
        <v>586</v>
      </c>
      <c r="AJ34" s="5" t="s">
        <v>820</v>
      </c>
      <c r="AK34" s="6">
        <v>42086</v>
      </c>
      <c r="AL34" s="5"/>
      <c r="AM34" s="5" t="s">
        <v>821</v>
      </c>
      <c r="AN34" s="6">
        <v>42550</v>
      </c>
      <c r="AO34" s="5"/>
      <c r="AP34" s="5"/>
      <c r="AQ34" s="5"/>
      <c r="AR34" s="6">
        <v>1462</v>
      </c>
      <c r="AS34" s="5"/>
      <c r="AT34" s="5"/>
      <c r="AU34" s="5"/>
      <c r="AV34" s="6">
        <v>1462</v>
      </c>
      <c r="AW34" s="5"/>
      <c r="AX34" s="5"/>
      <c r="AY34" s="5"/>
      <c r="AZ34" s="6">
        <v>1462</v>
      </c>
      <c r="BA34" s="5"/>
      <c r="BB34" s="5" t="s">
        <v>154</v>
      </c>
      <c r="BC34" s="5" t="s">
        <v>822</v>
      </c>
      <c r="BD34" s="6">
        <v>37515</v>
      </c>
      <c r="BE34" s="5" t="s">
        <v>156</v>
      </c>
      <c r="BF34" s="5"/>
      <c r="BG34" s="7">
        <v>45292</v>
      </c>
      <c r="BH34" s="5"/>
      <c r="BI34" s="13" t="s">
        <v>53</v>
      </c>
    </row>
    <row r="35" spans="1:61" ht="39.5" customHeight="1" x14ac:dyDescent="0.15">
      <c r="A35" s="3">
        <v>34</v>
      </c>
      <c r="B35" s="4" t="s">
        <v>823</v>
      </c>
      <c r="C35" s="4" t="s">
        <v>370</v>
      </c>
      <c r="D35" s="4" t="s">
        <v>805</v>
      </c>
      <c r="E35" s="5" t="s">
        <v>824</v>
      </c>
      <c r="F35" s="5" t="s">
        <v>96</v>
      </c>
      <c r="G35" s="5" t="s">
        <v>215</v>
      </c>
      <c r="H35" s="5" t="s">
        <v>825</v>
      </c>
      <c r="I35" s="6">
        <v>27463</v>
      </c>
      <c r="J35" s="5" t="s">
        <v>451</v>
      </c>
      <c r="K35" s="5" t="s">
        <v>187</v>
      </c>
      <c r="L35" s="5" t="s">
        <v>58</v>
      </c>
      <c r="M35" s="5" t="s">
        <v>59</v>
      </c>
      <c r="N35" s="5" t="s">
        <v>826</v>
      </c>
      <c r="O35" s="5" t="s">
        <v>827</v>
      </c>
      <c r="P35" s="5" t="s">
        <v>324</v>
      </c>
      <c r="Q35" s="5" t="s">
        <v>828</v>
      </c>
      <c r="R35" s="5" t="s">
        <v>829</v>
      </c>
      <c r="S35" s="5" t="s">
        <v>64</v>
      </c>
      <c r="T35" s="5" t="s">
        <v>830</v>
      </c>
      <c r="U35" s="6">
        <v>38637</v>
      </c>
      <c r="V35" s="5" t="s">
        <v>831</v>
      </c>
      <c r="W35" s="5"/>
      <c r="X35" s="5" t="s">
        <v>832</v>
      </c>
      <c r="Y35" s="5" t="s">
        <v>833</v>
      </c>
      <c r="Z35" s="5" t="s">
        <v>834</v>
      </c>
      <c r="AA35" s="5"/>
      <c r="AB35" s="6">
        <v>1462</v>
      </c>
      <c r="AC35" s="5" t="s">
        <v>835</v>
      </c>
      <c r="AD35" s="6">
        <v>42163</v>
      </c>
      <c r="AE35" s="5" t="s">
        <v>836</v>
      </c>
      <c r="AF35" s="6">
        <v>42661</v>
      </c>
      <c r="AG35" s="5" t="s">
        <v>819</v>
      </c>
      <c r="AH35" s="6">
        <v>43108</v>
      </c>
      <c r="AI35" s="5" t="s">
        <v>586</v>
      </c>
      <c r="AJ35" s="5" t="s">
        <v>837</v>
      </c>
      <c r="AK35" s="6">
        <v>42086</v>
      </c>
      <c r="AL35" s="5"/>
      <c r="AM35" s="5" t="s">
        <v>838</v>
      </c>
      <c r="AN35" s="6">
        <v>42550</v>
      </c>
      <c r="AO35" s="5"/>
      <c r="AP35" s="5" t="s">
        <v>839</v>
      </c>
      <c r="AQ35" s="5" t="s">
        <v>840</v>
      </c>
      <c r="AR35" s="6">
        <v>32311</v>
      </c>
      <c r="AS35" s="5"/>
      <c r="AT35" s="5" t="s">
        <v>841</v>
      </c>
      <c r="AU35" s="5" t="s">
        <v>842</v>
      </c>
      <c r="AV35" s="6">
        <v>33395</v>
      </c>
      <c r="AW35" s="5"/>
      <c r="AX35" s="5" t="s">
        <v>843</v>
      </c>
      <c r="AY35" s="5" t="s">
        <v>844</v>
      </c>
      <c r="AZ35" s="6">
        <v>34484</v>
      </c>
      <c r="BA35" s="5"/>
      <c r="BB35" s="5" t="s">
        <v>845</v>
      </c>
      <c r="BC35" s="5" t="s">
        <v>846</v>
      </c>
      <c r="BD35" s="6">
        <v>36779</v>
      </c>
      <c r="BE35" s="5" t="s">
        <v>847</v>
      </c>
      <c r="BF35" s="5"/>
      <c r="BG35" s="7">
        <v>45292</v>
      </c>
      <c r="BH35" s="5"/>
      <c r="BI35" s="13" t="s">
        <v>53</v>
      </c>
    </row>
    <row r="36" spans="1:61" ht="39.5" customHeight="1" x14ac:dyDescent="0.15">
      <c r="A36" s="3">
        <v>35</v>
      </c>
      <c r="B36" s="4" t="s">
        <v>848</v>
      </c>
      <c r="C36" s="4" t="s">
        <v>99</v>
      </c>
      <c r="D36" s="4" t="s">
        <v>599</v>
      </c>
      <c r="E36" s="5" t="s">
        <v>849</v>
      </c>
      <c r="F36" s="5" t="s">
        <v>96</v>
      </c>
      <c r="G36" s="5" t="s">
        <v>215</v>
      </c>
      <c r="H36" s="5" t="s">
        <v>850</v>
      </c>
      <c r="I36" s="6">
        <v>26123</v>
      </c>
      <c r="J36" s="5" t="s">
        <v>56</v>
      </c>
      <c r="K36" s="5" t="s">
        <v>57</v>
      </c>
      <c r="L36" s="5" t="s">
        <v>58</v>
      </c>
      <c r="M36" s="5" t="s">
        <v>59</v>
      </c>
      <c r="N36" s="5" t="s">
        <v>851</v>
      </c>
      <c r="O36" s="5" t="s">
        <v>852</v>
      </c>
      <c r="P36" s="5" t="s">
        <v>324</v>
      </c>
      <c r="Q36" s="5" t="s">
        <v>853</v>
      </c>
      <c r="R36" s="5" t="s">
        <v>854</v>
      </c>
      <c r="S36" s="5" t="s">
        <v>64</v>
      </c>
      <c r="T36" s="5" t="s">
        <v>855</v>
      </c>
      <c r="U36" s="6">
        <v>36826</v>
      </c>
      <c r="V36" s="5" t="s">
        <v>856</v>
      </c>
      <c r="W36" s="5"/>
      <c r="X36" s="5" t="s">
        <v>857</v>
      </c>
      <c r="Y36" s="5" t="s">
        <v>858</v>
      </c>
      <c r="Z36" s="5" t="s">
        <v>859</v>
      </c>
      <c r="AA36" s="5"/>
      <c r="AB36" s="6">
        <v>1462</v>
      </c>
      <c r="AC36" s="5" t="s">
        <v>849</v>
      </c>
      <c r="AD36" s="6">
        <v>42011</v>
      </c>
      <c r="AE36" s="5" t="s">
        <v>860</v>
      </c>
      <c r="AF36" s="6">
        <v>42541</v>
      </c>
      <c r="AG36" s="5" t="s">
        <v>819</v>
      </c>
      <c r="AH36" s="6">
        <v>43108</v>
      </c>
      <c r="AI36" s="5" t="s">
        <v>586</v>
      </c>
      <c r="AJ36" s="5" t="s">
        <v>861</v>
      </c>
      <c r="AK36" s="6">
        <v>42086</v>
      </c>
      <c r="AL36" s="5"/>
      <c r="AM36" s="5" t="s">
        <v>821</v>
      </c>
      <c r="AN36" s="6">
        <v>42550</v>
      </c>
      <c r="AO36" s="5"/>
      <c r="AP36" s="5"/>
      <c r="AQ36" s="5"/>
      <c r="AR36" s="6">
        <v>1462</v>
      </c>
      <c r="AS36" s="5"/>
      <c r="AT36" s="5"/>
      <c r="AU36" s="5"/>
      <c r="AV36" s="6">
        <v>1462</v>
      </c>
      <c r="AW36" s="5"/>
      <c r="AX36" s="5"/>
      <c r="AY36" s="5"/>
      <c r="AZ36" s="6">
        <v>1462</v>
      </c>
      <c r="BA36" s="5"/>
      <c r="BB36" s="5" t="s">
        <v>862</v>
      </c>
      <c r="BC36" s="5" t="s">
        <v>863</v>
      </c>
      <c r="BD36" s="6">
        <v>36757</v>
      </c>
      <c r="BE36" s="5" t="s">
        <v>864</v>
      </c>
      <c r="BF36" s="5"/>
      <c r="BG36" s="7">
        <v>45292</v>
      </c>
      <c r="BH36" s="5"/>
      <c r="BI36" s="13" t="s">
        <v>53</v>
      </c>
    </row>
    <row r="37" spans="1:61" ht="39.5" customHeight="1" x14ac:dyDescent="0.15">
      <c r="A37" s="3">
        <v>36</v>
      </c>
      <c r="B37" s="4" t="s">
        <v>865</v>
      </c>
      <c r="C37" s="4" t="s">
        <v>370</v>
      </c>
      <c r="D37" s="4" t="s">
        <v>866</v>
      </c>
      <c r="E37" s="5" t="s">
        <v>867</v>
      </c>
      <c r="F37" s="5" t="s">
        <v>96</v>
      </c>
      <c r="G37" s="5" t="s">
        <v>215</v>
      </c>
      <c r="H37" s="5" t="s">
        <v>868</v>
      </c>
      <c r="I37" s="6">
        <v>26106</v>
      </c>
      <c r="J37" s="5" t="s">
        <v>56</v>
      </c>
      <c r="K37" s="5" t="s">
        <v>57</v>
      </c>
      <c r="L37" s="5" t="s">
        <v>58</v>
      </c>
      <c r="M37" s="5" t="s">
        <v>59</v>
      </c>
      <c r="N37" s="5" t="s">
        <v>869</v>
      </c>
      <c r="O37" s="5" t="s">
        <v>870</v>
      </c>
      <c r="P37" s="5" t="s">
        <v>871</v>
      </c>
      <c r="Q37" s="5" t="s">
        <v>872</v>
      </c>
      <c r="R37" s="5" t="s">
        <v>873</v>
      </c>
      <c r="S37" s="5" t="s">
        <v>64</v>
      </c>
      <c r="T37" s="5" t="s">
        <v>874</v>
      </c>
      <c r="U37" s="6">
        <v>41072</v>
      </c>
      <c r="V37" s="5" t="s">
        <v>875</v>
      </c>
      <c r="W37" s="5"/>
      <c r="X37" s="5" t="s">
        <v>876</v>
      </c>
      <c r="Y37" s="5" t="s">
        <v>877</v>
      </c>
      <c r="Z37" s="5" t="s">
        <v>878</v>
      </c>
      <c r="AA37" s="5"/>
      <c r="AB37" s="6">
        <v>1462</v>
      </c>
      <c r="AC37" s="5" t="s">
        <v>867</v>
      </c>
      <c r="AD37" s="6">
        <v>1462</v>
      </c>
      <c r="AE37" s="5" t="s">
        <v>879</v>
      </c>
      <c r="AF37" s="6">
        <v>42541</v>
      </c>
      <c r="AG37" s="5" t="s">
        <v>819</v>
      </c>
      <c r="AH37" s="6">
        <v>43108</v>
      </c>
      <c r="AI37" s="5" t="s">
        <v>586</v>
      </c>
      <c r="AJ37" s="5" t="s">
        <v>880</v>
      </c>
      <c r="AK37" s="6">
        <v>42086</v>
      </c>
      <c r="AL37" s="5"/>
      <c r="AM37" s="5" t="s">
        <v>821</v>
      </c>
      <c r="AN37" s="6">
        <v>42550</v>
      </c>
      <c r="AO37" s="5"/>
      <c r="AP37" s="5" t="s">
        <v>881</v>
      </c>
      <c r="AQ37" s="5" t="s">
        <v>882</v>
      </c>
      <c r="AR37" s="6">
        <v>30823</v>
      </c>
      <c r="AS37" s="5"/>
      <c r="AT37" s="5" t="s">
        <v>883</v>
      </c>
      <c r="AU37" s="5" t="s">
        <v>884</v>
      </c>
      <c r="AV37" s="6">
        <v>32026</v>
      </c>
      <c r="AW37" s="5"/>
      <c r="AX37" s="5" t="s">
        <v>885</v>
      </c>
      <c r="AY37" s="5" t="s">
        <v>886</v>
      </c>
      <c r="AZ37" s="6">
        <v>33019</v>
      </c>
      <c r="BA37" s="5"/>
      <c r="BB37" s="5" t="s">
        <v>887</v>
      </c>
      <c r="BC37" s="5" t="s">
        <v>888</v>
      </c>
      <c r="BD37" s="6">
        <v>35867</v>
      </c>
      <c r="BE37" s="5" t="s">
        <v>847</v>
      </c>
      <c r="BF37" s="5"/>
      <c r="BG37" s="7">
        <v>45292</v>
      </c>
      <c r="BH37" s="5"/>
      <c r="BI37" s="13" t="s">
        <v>53</v>
      </c>
    </row>
    <row r="38" spans="1:61" ht="26.5" customHeight="1" x14ac:dyDescent="0.15">
      <c r="A38" s="3">
        <v>37</v>
      </c>
      <c r="B38" s="4" t="s">
        <v>889</v>
      </c>
      <c r="C38" s="4" t="s">
        <v>99</v>
      </c>
      <c r="D38" s="4" t="s">
        <v>890</v>
      </c>
      <c r="E38" s="5" t="s">
        <v>891</v>
      </c>
      <c r="F38" s="5" t="s">
        <v>96</v>
      </c>
      <c r="G38" s="5" t="s">
        <v>215</v>
      </c>
      <c r="H38" s="5" t="s">
        <v>673</v>
      </c>
      <c r="I38" s="6">
        <v>33465</v>
      </c>
      <c r="J38" s="5" t="s">
        <v>56</v>
      </c>
      <c r="K38" s="5" t="s">
        <v>57</v>
      </c>
      <c r="L38" s="5" t="s">
        <v>58</v>
      </c>
      <c r="M38" s="5" t="s">
        <v>59</v>
      </c>
      <c r="N38" s="5"/>
      <c r="O38" s="5" t="s">
        <v>892</v>
      </c>
      <c r="P38" s="5" t="s">
        <v>893</v>
      </c>
      <c r="Q38" s="5" t="s">
        <v>894</v>
      </c>
      <c r="R38" s="5" t="s">
        <v>895</v>
      </c>
      <c r="S38" s="5" t="s">
        <v>64</v>
      </c>
      <c r="T38" s="5"/>
      <c r="U38" s="6">
        <v>1462</v>
      </c>
      <c r="V38" s="5"/>
      <c r="W38" s="5"/>
      <c r="X38" s="5" t="s">
        <v>896</v>
      </c>
      <c r="Y38" s="5" t="s">
        <v>897</v>
      </c>
      <c r="Z38" s="5"/>
      <c r="AA38" s="5"/>
      <c r="AB38" s="6">
        <v>1462</v>
      </c>
      <c r="AC38" s="5" t="s">
        <v>898</v>
      </c>
      <c r="AD38" s="6">
        <v>42216</v>
      </c>
      <c r="AE38" s="5"/>
      <c r="AF38" s="6">
        <v>1462</v>
      </c>
      <c r="AG38" s="5" t="s">
        <v>585</v>
      </c>
      <c r="AH38" s="6">
        <v>25569</v>
      </c>
      <c r="AI38" s="5" t="s">
        <v>586</v>
      </c>
      <c r="AJ38" s="5" t="s">
        <v>899</v>
      </c>
      <c r="AK38" s="6">
        <v>42151</v>
      </c>
      <c r="AL38" s="5"/>
      <c r="AM38" s="5"/>
      <c r="AN38" s="6">
        <v>1462</v>
      </c>
      <c r="AO38" s="5"/>
      <c r="AP38" s="5" t="s">
        <v>900</v>
      </c>
      <c r="AQ38" s="5" t="s">
        <v>901</v>
      </c>
      <c r="AR38" s="6">
        <v>37800</v>
      </c>
      <c r="AS38" s="5"/>
      <c r="AT38" s="5" t="s">
        <v>902</v>
      </c>
      <c r="AU38" s="5" t="s">
        <v>903</v>
      </c>
      <c r="AV38" s="6">
        <v>38894</v>
      </c>
      <c r="AW38" s="5"/>
      <c r="AX38" s="5" t="s">
        <v>904</v>
      </c>
      <c r="AY38" s="5" t="s">
        <v>905</v>
      </c>
      <c r="AZ38" s="6">
        <v>39979</v>
      </c>
      <c r="BA38" s="5"/>
      <c r="BB38" s="5" t="s">
        <v>906</v>
      </c>
      <c r="BC38" s="5" t="s">
        <v>907</v>
      </c>
      <c r="BD38" s="6">
        <v>1462</v>
      </c>
      <c r="BE38" s="5" t="s">
        <v>908</v>
      </c>
      <c r="BF38" s="5"/>
      <c r="BG38" s="7">
        <v>45292</v>
      </c>
      <c r="BH38" s="5"/>
      <c r="BI38" s="13" t="s">
        <v>53</v>
      </c>
    </row>
    <row r="39" spans="1:61" ht="24.75" customHeight="1" x14ac:dyDescent="0.15">
      <c r="A39" s="3">
        <v>38</v>
      </c>
      <c r="B39" s="4" t="s">
        <v>909</v>
      </c>
      <c r="C39" s="4" t="s">
        <v>569</v>
      </c>
      <c r="D39" s="4" t="s">
        <v>599</v>
      </c>
      <c r="E39" s="5" t="s">
        <v>910</v>
      </c>
      <c r="F39" s="5" t="s">
        <v>96</v>
      </c>
      <c r="G39" s="5" t="s">
        <v>102</v>
      </c>
      <c r="H39" s="5" t="s">
        <v>911</v>
      </c>
      <c r="I39" s="6">
        <v>28494</v>
      </c>
      <c r="J39" s="5" t="s">
        <v>56</v>
      </c>
      <c r="K39" s="5" t="s">
        <v>57</v>
      </c>
      <c r="L39" s="5" t="s">
        <v>58</v>
      </c>
      <c r="M39" s="5" t="s">
        <v>59</v>
      </c>
      <c r="N39" s="5" t="s">
        <v>912</v>
      </c>
      <c r="O39" s="5" t="s">
        <v>913</v>
      </c>
      <c r="P39" s="5" t="s">
        <v>271</v>
      </c>
      <c r="Q39" s="5" t="s">
        <v>914</v>
      </c>
      <c r="R39" s="5" t="s">
        <v>915</v>
      </c>
      <c r="S39" s="5" t="s">
        <v>64</v>
      </c>
      <c r="T39" s="5" t="s">
        <v>916</v>
      </c>
      <c r="U39" s="6">
        <v>39266</v>
      </c>
      <c r="V39" s="5" t="s">
        <v>917</v>
      </c>
      <c r="W39" s="5"/>
      <c r="X39" s="5" t="s">
        <v>918</v>
      </c>
      <c r="Y39" s="5" t="s">
        <v>919</v>
      </c>
      <c r="Z39" s="5" t="s">
        <v>920</v>
      </c>
      <c r="AA39" s="5" t="s">
        <v>921</v>
      </c>
      <c r="AB39" s="6">
        <v>39731</v>
      </c>
      <c r="AC39" s="5" t="s">
        <v>922</v>
      </c>
      <c r="AD39" s="6">
        <v>40200</v>
      </c>
      <c r="AE39" s="5" t="s">
        <v>923</v>
      </c>
      <c r="AF39" s="6">
        <v>42696</v>
      </c>
      <c r="AG39" s="5" t="s">
        <v>709</v>
      </c>
      <c r="AH39" s="6">
        <v>42925</v>
      </c>
      <c r="AI39" s="5" t="s">
        <v>176</v>
      </c>
      <c r="AJ39" s="5" t="s">
        <v>924</v>
      </c>
      <c r="AK39" s="6">
        <v>39080</v>
      </c>
      <c r="AL39" s="5"/>
      <c r="AM39" s="5" t="s">
        <v>686</v>
      </c>
      <c r="AN39" s="6">
        <v>39542</v>
      </c>
      <c r="AO39" s="5"/>
      <c r="AP39" s="5" t="s">
        <v>389</v>
      </c>
      <c r="AQ39" s="5" t="s">
        <v>925</v>
      </c>
      <c r="AR39" s="6">
        <v>33399</v>
      </c>
      <c r="AS39" s="5"/>
      <c r="AT39" s="5" t="s">
        <v>926</v>
      </c>
      <c r="AU39" s="5" t="s">
        <v>927</v>
      </c>
      <c r="AV39" s="6">
        <v>34491</v>
      </c>
      <c r="AW39" s="5"/>
      <c r="AX39" s="5" t="s">
        <v>928</v>
      </c>
      <c r="AY39" s="5" t="s">
        <v>929</v>
      </c>
      <c r="AZ39" s="6">
        <v>35581</v>
      </c>
      <c r="BA39" s="5"/>
      <c r="BB39" s="5" t="s">
        <v>393</v>
      </c>
      <c r="BC39" s="5" t="s">
        <v>930</v>
      </c>
      <c r="BD39" s="6">
        <v>35581</v>
      </c>
      <c r="BE39" s="5" t="s">
        <v>931</v>
      </c>
      <c r="BF39" s="5"/>
      <c r="BG39" s="7">
        <v>45292</v>
      </c>
      <c r="BH39" s="5"/>
      <c r="BI39" s="13" t="s">
        <v>53</v>
      </c>
    </row>
    <row r="40" spans="1:61" ht="26.5" customHeight="1" x14ac:dyDescent="0.15">
      <c r="A40" s="3">
        <v>39</v>
      </c>
      <c r="B40" s="4" t="s">
        <v>932</v>
      </c>
      <c r="C40" s="4" t="s">
        <v>99</v>
      </c>
      <c r="D40" s="4" t="s">
        <v>933</v>
      </c>
      <c r="E40" s="5" t="s">
        <v>934</v>
      </c>
      <c r="F40" s="5" t="s">
        <v>96</v>
      </c>
      <c r="G40" s="5" t="s">
        <v>215</v>
      </c>
      <c r="H40" s="5" t="s">
        <v>935</v>
      </c>
      <c r="I40" s="6">
        <v>31353</v>
      </c>
      <c r="J40" s="5" t="s">
        <v>56</v>
      </c>
      <c r="K40" s="5" t="s">
        <v>57</v>
      </c>
      <c r="L40" s="5" t="s">
        <v>58</v>
      </c>
      <c r="M40" s="5" t="s">
        <v>59</v>
      </c>
      <c r="N40" s="5" t="s">
        <v>936</v>
      </c>
      <c r="O40" s="5" t="s">
        <v>937</v>
      </c>
      <c r="P40" s="5" t="s">
        <v>785</v>
      </c>
      <c r="Q40" s="5" t="s">
        <v>938</v>
      </c>
      <c r="R40" s="5" t="s">
        <v>939</v>
      </c>
      <c r="S40" s="5" t="s">
        <v>64</v>
      </c>
      <c r="T40" s="5" t="s">
        <v>940</v>
      </c>
      <c r="U40" s="6">
        <v>25569</v>
      </c>
      <c r="V40" s="5" t="s">
        <v>941</v>
      </c>
      <c r="W40" s="5"/>
      <c r="X40" s="5" t="s">
        <v>942</v>
      </c>
      <c r="Y40" s="5" t="s">
        <v>943</v>
      </c>
      <c r="Z40" s="5" t="s">
        <v>944</v>
      </c>
      <c r="AA40" s="5"/>
      <c r="AB40" s="6">
        <v>1462</v>
      </c>
      <c r="AC40" s="5" t="s">
        <v>945</v>
      </c>
      <c r="AD40" s="6">
        <v>1462</v>
      </c>
      <c r="AE40" s="5"/>
      <c r="AF40" s="6">
        <v>1462</v>
      </c>
      <c r="AG40" s="5" t="s">
        <v>585</v>
      </c>
      <c r="AH40" s="6">
        <v>25569</v>
      </c>
      <c r="AI40" s="5" t="s">
        <v>586</v>
      </c>
      <c r="AJ40" s="5" t="s">
        <v>946</v>
      </c>
      <c r="AK40" s="6">
        <v>25569</v>
      </c>
      <c r="AL40" s="5" t="s">
        <v>120</v>
      </c>
      <c r="AM40" s="5" t="s">
        <v>947</v>
      </c>
      <c r="AN40" s="6">
        <v>25569</v>
      </c>
      <c r="AO40" s="5" t="s">
        <v>120</v>
      </c>
      <c r="AP40" s="5" t="s">
        <v>948</v>
      </c>
      <c r="AQ40" s="5" t="s">
        <v>949</v>
      </c>
      <c r="AR40" s="6">
        <v>25569</v>
      </c>
      <c r="AS40" s="5" t="s">
        <v>950</v>
      </c>
      <c r="AT40" s="5" t="s">
        <v>951</v>
      </c>
      <c r="AU40" s="5" t="s">
        <v>952</v>
      </c>
      <c r="AV40" s="6">
        <v>25569</v>
      </c>
      <c r="AW40" s="5" t="s">
        <v>953</v>
      </c>
      <c r="AX40" s="5" t="s">
        <v>954</v>
      </c>
      <c r="AY40" s="5" t="s">
        <v>955</v>
      </c>
      <c r="AZ40" s="6">
        <v>25569</v>
      </c>
      <c r="BA40" s="5" t="s">
        <v>956</v>
      </c>
      <c r="BB40" s="5" t="s">
        <v>957</v>
      </c>
      <c r="BC40" s="5" t="s">
        <v>958</v>
      </c>
      <c r="BD40" s="6">
        <v>25569</v>
      </c>
      <c r="BE40" s="5" t="s">
        <v>959</v>
      </c>
      <c r="BF40" s="5"/>
      <c r="BG40" s="7">
        <v>45292</v>
      </c>
      <c r="BH40" s="5"/>
      <c r="BI40" s="13" t="s">
        <v>53</v>
      </c>
    </row>
    <row r="41" spans="1:61" ht="26.5" customHeight="1" x14ac:dyDescent="0.15">
      <c r="A41" s="3">
        <v>40</v>
      </c>
      <c r="B41" s="4" t="s">
        <v>960</v>
      </c>
      <c r="C41" s="4" t="s">
        <v>99</v>
      </c>
      <c r="D41" s="4" t="s">
        <v>88</v>
      </c>
      <c r="E41" s="5" t="s">
        <v>961</v>
      </c>
      <c r="F41" s="5" t="s">
        <v>96</v>
      </c>
      <c r="G41" s="5" t="s">
        <v>102</v>
      </c>
      <c r="H41" s="5" t="s">
        <v>601</v>
      </c>
      <c r="I41" s="6">
        <v>30869</v>
      </c>
      <c r="J41" s="5" t="s">
        <v>56</v>
      </c>
      <c r="K41" s="5" t="s">
        <v>187</v>
      </c>
      <c r="L41" s="5" t="s">
        <v>58</v>
      </c>
      <c r="M41" s="5" t="s">
        <v>59</v>
      </c>
      <c r="N41" s="5"/>
      <c r="O41" s="5"/>
      <c r="P41" s="5"/>
      <c r="Q41" s="5" t="s">
        <v>962</v>
      </c>
      <c r="R41" s="5" t="s">
        <v>90</v>
      </c>
      <c r="S41" s="5" t="s">
        <v>64</v>
      </c>
      <c r="T41" s="5"/>
      <c r="U41" s="6">
        <v>1462</v>
      </c>
      <c r="V41" s="5"/>
      <c r="W41" s="5"/>
      <c r="X41" s="5"/>
      <c r="Y41" s="5"/>
      <c r="Z41" s="5"/>
      <c r="AA41" s="5"/>
      <c r="AB41" s="6">
        <v>1462</v>
      </c>
      <c r="AC41" s="5"/>
      <c r="AD41" s="6">
        <v>1462</v>
      </c>
      <c r="AE41" s="5"/>
      <c r="AF41" s="6">
        <v>1462</v>
      </c>
      <c r="AG41" s="5"/>
      <c r="AH41" s="6">
        <v>1462</v>
      </c>
      <c r="AI41" s="5"/>
      <c r="AJ41" s="5" t="s">
        <v>963</v>
      </c>
      <c r="AK41" s="6">
        <v>25569</v>
      </c>
      <c r="AL41" s="5" t="s">
        <v>586</v>
      </c>
      <c r="AM41" s="5"/>
      <c r="AN41" s="6">
        <v>1462</v>
      </c>
      <c r="AO41" s="5"/>
      <c r="AP41" s="5" t="s">
        <v>964</v>
      </c>
      <c r="AQ41" s="5" t="s">
        <v>965</v>
      </c>
      <c r="AR41" s="6">
        <v>35222</v>
      </c>
      <c r="AS41" s="5" t="s">
        <v>956</v>
      </c>
      <c r="AT41" s="5" t="s">
        <v>966</v>
      </c>
      <c r="AU41" s="5" t="s">
        <v>967</v>
      </c>
      <c r="AV41" s="6">
        <v>25569</v>
      </c>
      <c r="AW41" s="5" t="s">
        <v>956</v>
      </c>
      <c r="AX41" s="5" t="s">
        <v>968</v>
      </c>
      <c r="AY41" s="5" t="s">
        <v>969</v>
      </c>
      <c r="AZ41" s="6">
        <v>25569</v>
      </c>
      <c r="BA41" s="5" t="s">
        <v>956</v>
      </c>
      <c r="BB41" s="5" t="s">
        <v>957</v>
      </c>
      <c r="BC41" s="5" t="s">
        <v>970</v>
      </c>
      <c r="BD41" s="6">
        <v>25569</v>
      </c>
      <c r="BE41" s="5" t="s">
        <v>959</v>
      </c>
      <c r="BF41" s="5"/>
      <c r="BG41" s="7">
        <v>45292</v>
      </c>
      <c r="BH41" s="5"/>
      <c r="BI41" s="13" t="s">
        <v>53</v>
      </c>
    </row>
    <row r="42" spans="1:61" ht="26.5" customHeight="1" x14ac:dyDescent="0.15">
      <c r="A42" s="3">
        <v>41</v>
      </c>
      <c r="B42" s="4" t="s">
        <v>971</v>
      </c>
      <c r="C42" s="4" t="s">
        <v>99</v>
      </c>
      <c r="D42" s="4" t="s">
        <v>805</v>
      </c>
      <c r="E42" s="5" t="s">
        <v>972</v>
      </c>
      <c r="F42" s="5" t="s">
        <v>96</v>
      </c>
      <c r="G42" s="5" t="s">
        <v>102</v>
      </c>
      <c r="H42" s="5" t="s">
        <v>428</v>
      </c>
      <c r="I42" s="6">
        <v>31154</v>
      </c>
      <c r="J42" s="5" t="s">
        <v>451</v>
      </c>
      <c r="K42" s="5" t="s">
        <v>187</v>
      </c>
      <c r="L42" s="5" t="s">
        <v>58</v>
      </c>
      <c r="M42" s="5" t="s">
        <v>59</v>
      </c>
      <c r="N42" s="5" t="s">
        <v>973</v>
      </c>
      <c r="O42" s="5" t="s">
        <v>974</v>
      </c>
      <c r="P42" s="5" t="s">
        <v>975</v>
      </c>
      <c r="Q42" s="5" t="s">
        <v>962</v>
      </c>
      <c r="R42" s="5" t="s">
        <v>90</v>
      </c>
      <c r="S42" s="5" t="s">
        <v>976</v>
      </c>
      <c r="T42" s="5"/>
      <c r="U42" s="6">
        <v>1462</v>
      </c>
      <c r="V42" s="5"/>
      <c r="W42" s="5"/>
      <c r="X42" s="5" t="s">
        <v>977</v>
      </c>
      <c r="Y42" s="5" t="s">
        <v>978</v>
      </c>
      <c r="Z42" s="5"/>
      <c r="AA42" s="5"/>
      <c r="AB42" s="6">
        <v>1462</v>
      </c>
      <c r="AC42" s="5"/>
      <c r="AD42" s="6">
        <v>1462</v>
      </c>
      <c r="AE42" s="5"/>
      <c r="AF42" s="6">
        <v>1462</v>
      </c>
      <c r="AG42" s="5"/>
      <c r="AH42" s="6">
        <v>1462</v>
      </c>
      <c r="AI42" s="5"/>
      <c r="AJ42" s="5" t="s">
        <v>979</v>
      </c>
      <c r="AK42" s="6">
        <v>43553</v>
      </c>
      <c r="AL42" s="5" t="s">
        <v>586</v>
      </c>
      <c r="AM42" s="5"/>
      <c r="AN42" s="6">
        <v>1462</v>
      </c>
      <c r="AO42" s="5"/>
      <c r="AP42" s="5" t="s">
        <v>980</v>
      </c>
      <c r="AQ42" s="5" t="s">
        <v>981</v>
      </c>
      <c r="AR42" s="6">
        <v>35709</v>
      </c>
      <c r="AS42" s="5" t="s">
        <v>982</v>
      </c>
      <c r="AT42" s="5" t="s">
        <v>983</v>
      </c>
      <c r="AU42" s="5" t="s">
        <v>984</v>
      </c>
      <c r="AV42" s="6">
        <v>25569</v>
      </c>
      <c r="AW42" s="5" t="s">
        <v>985</v>
      </c>
      <c r="AX42" s="5" t="s">
        <v>986</v>
      </c>
      <c r="AY42" s="5" t="s">
        <v>987</v>
      </c>
      <c r="AZ42" s="6">
        <v>25569</v>
      </c>
      <c r="BA42" s="5" t="s">
        <v>985</v>
      </c>
      <c r="BB42" s="5" t="s">
        <v>523</v>
      </c>
      <c r="BC42" s="5" t="s">
        <v>988</v>
      </c>
      <c r="BD42" s="6">
        <v>25569</v>
      </c>
      <c r="BE42" s="5" t="s">
        <v>989</v>
      </c>
      <c r="BF42" s="5"/>
      <c r="BG42" s="7">
        <v>45292</v>
      </c>
      <c r="BH42" s="5"/>
      <c r="BI42" s="13" t="s">
        <v>53</v>
      </c>
    </row>
    <row r="43" spans="1:61" ht="26.5" customHeight="1" x14ac:dyDescent="0.15">
      <c r="A43" s="3">
        <v>42</v>
      </c>
      <c r="B43" s="4" t="s">
        <v>990</v>
      </c>
      <c r="C43" s="4" t="s">
        <v>670</v>
      </c>
      <c r="D43" s="4" t="s">
        <v>991</v>
      </c>
      <c r="E43" s="5" t="s">
        <v>992</v>
      </c>
      <c r="F43" s="5" t="s">
        <v>96</v>
      </c>
      <c r="G43" s="5" t="s">
        <v>102</v>
      </c>
      <c r="H43" s="5" t="s">
        <v>428</v>
      </c>
      <c r="I43" s="6">
        <v>32376</v>
      </c>
      <c r="J43" s="5" t="s">
        <v>56</v>
      </c>
      <c r="K43" s="5" t="s">
        <v>57</v>
      </c>
      <c r="L43" s="5" t="s">
        <v>58</v>
      </c>
      <c r="M43" s="5" t="s">
        <v>59</v>
      </c>
      <c r="N43" s="5" t="s">
        <v>993</v>
      </c>
      <c r="O43" s="5" t="s">
        <v>994</v>
      </c>
      <c r="P43" s="5" t="s">
        <v>995</v>
      </c>
      <c r="Q43" s="5" t="s">
        <v>996</v>
      </c>
      <c r="R43" s="5" t="s">
        <v>90</v>
      </c>
      <c r="S43" s="5" t="s">
        <v>64</v>
      </c>
      <c r="T43" s="5" t="s">
        <v>997</v>
      </c>
      <c r="U43" s="6">
        <v>25569</v>
      </c>
      <c r="V43" s="5"/>
      <c r="W43" s="5"/>
      <c r="X43" s="5"/>
      <c r="Y43" s="5"/>
      <c r="Z43" s="5"/>
      <c r="AA43" s="5"/>
      <c r="AB43" s="6">
        <v>1462</v>
      </c>
      <c r="AC43" s="5"/>
      <c r="AD43" s="6">
        <v>1462</v>
      </c>
      <c r="AE43" s="5"/>
      <c r="AF43" s="6">
        <v>1462</v>
      </c>
      <c r="AG43" s="5"/>
      <c r="AH43" s="6">
        <v>1462</v>
      </c>
      <c r="AI43" s="5"/>
      <c r="AJ43" s="5" t="s">
        <v>998</v>
      </c>
      <c r="AK43" s="6">
        <v>25569</v>
      </c>
      <c r="AL43" s="5" t="s">
        <v>586</v>
      </c>
      <c r="AM43" s="5"/>
      <c r="AN43" s="6">
        <v>1462</v>
      </c>
      <c r="AO43" s="5"/>
      <c r="AP43" s="5" t="s">
        <v>999</v>
      </c>
      <c r="AQ43" s="5"/>
      <c r="AR43" s="6">
        <v>1462</v>
      </c>
      <c r="AS43" s="5"/>
      <c r="AT43" s="5"/>
      <c r="AU43" s="5"/>
      <c r="AV43" s="6">
        <v>1462</v>
      </c>
      <c r="AW43" s="5"/>
      <c r="AX43" s="5"/>
      <c r="AY43" s="5"/>
      <c r="AZ43" s="6">
        <v>1462</v>
      </c>
      <c r="BA43" s="5"/>
      <c r="BB43" s="5" t="s">
        <v>1000</v>
      </c>
      <c r="BC43" s="5" t="s">
        <v>1001</v>
      </c>
      <c r="BD43" s="6">
        <v>40735</v>
      </c>
      <c r="BE43" s="5" t="s">
        <v>1002</v>
      </c>
      <c r="BF43" s="5"/>
      <c r="BG43" s="7">
        <v>45292</v>
      </c>
      <c r="BH43" s="5"/>
      <c r="BI43" s="13" t="s">
        <v>53</v>
      </c>
    </row>
    <row r="44" spans="1:61" ht="24.75" customHeight="1" x14ac:dyDescent="0.15">
      <c r="A44" s="3">
        <v>43</v>
      </c>
      <c r="B44" s="4" t="s">
        <v>1003</v>
      </c>
      <c r="C44" s="4" t="s">
        <v>99</v>
      </c>
      <c r="D44" s="4" t="s">
        <v>991</v>
      </c>
      <c r="E44" s="5" t="s">
        <v>1004</v>
      </c>
      <c r="F44" s="5" t="s">
        <v>96</v>
      </c>
      <c r="G44" s="5" t="s">
        <v>102</v>
      </c>
      <c r="H44" s="5" t="s">
        <v>1005</v>
      </c>
      <c r="I44" s="6">
        <v>33630</v>
      </c>
      <c r="J44" s="5" t="s">
        <v>56</v>
      </c>
      <c r="K44" s="5" t="s">
        <v>57</v>
      </c>
      <c r="L44" s="5" t="s">
        <v>58</v>
      </c>
      <c r="M44" s="5" t="s">
        <v>59</v>
      </c>
      <c r="N44" s="5" t="s">
        <v>1006</v>
      </c>
      <c r="O44" s="5" t="s">
        <v>1007</v>
      </c>
      <c r="P44" s="5" t="s">
        <v>1008</v>
      </c>
      <c r="Q44" s="5" t="s">
        <v>1009</v>
      </c>
      <c r="R44" s="5" t="s">
        <v>90</v>
      </c>
      <c r="S44" s="5" t="s">
        <v>976</v>
      </c>
      <c r="T44" s="5"/>
      <c r="U44" s="6">
        <v>1462</v>
      </c>
      <c r="V44" s="5"/>
      <c r="W44" s="5"/>
      <c r="X44" s="5" t="s">
        <v>1010</v>
      </c>
      <c r="Y44" s="5" t="s">
        <v>1011</v>
      </c>
      <c r="Z44" s="5"/>
      <c r="AA44" s="5"/>
      <c r="AB44" s="6">
        <v>1462</v>
      </c>
      <c r="AC44" s="5"/>
      <c r="AD44" s="6">
        <v>1462</v>
      </c>
      <c r="AE44" s="5"/>
      <c r="AF44" s="6">
        <v>1462</v>
      </c>
      <c r="AG44" s="5"/>
      <c r="AH44" s="6">
        <v>1462</v>
      </c>
      <c r="AI44" s="5"/>
      <c r="AJ44" s="5" t="s">
        <v>1012</v>
      </c>
      <c r="AK44" s="6">
        <v>25569</v>
      </c>
      <c r="AL44" s="5" t="s">
        <v>586</v>
      </c>
      <c r="AM44" s="5"/>
      <c r="AN44" s="6">
        <v>1462</v>
      </c>
      <c r="AO44" s="5"/>
      <c r="AP44" s="5" t="s">
        <v>1013</v>
      </c>
      <c r="AQ44" s="5" t="s">
        <v>1014</v>
      </c>
      <c r="AR44" s="6">
        <v>25569</v>
      </c>
      <c r="AS44" s="5" t="s">
        <v>1015</v>
      </c>
      <c r="AT44" s="5" t="s">
        <v>1016</v>
      </c>
      <c r="AU44" s="5" t="s">
        <v>1017</v>
      </c>
      <c r="AV44" s="6">
        <v>25569</v>
      </c>
      <c r="AW44" s="5" t="s">
        <v>1018</v>
      </c>
      <c r="AX44" s="5" t="s">
        <v>1019</v>
      </c>
      <c r="AY44" s="5" t="s">
        <v>1020</v>
      </c>
      <c r="AZ44" s="6">
        <v>25569</v>
      </c>
      <c r="BA44" s="5" t="s">
        <v>1021</v>
      </c>
      <c r="BB44" s="5" t="s">
        <v>957</v>
      </c>
      <c r="BC44" s="5" t="s">
        <v>1022</v>
      </c>
      <c r="BD44" s="6">
        <v>42097</v>
      </c>
      <c r="BE44" s="5" t="s">
        <v>156</v>
      </c>
      <c r="BF44" s="5"/>
      <c r="BG44" s="7">
        <v>45292</v>
      </c>
      <c r="BH44" s="5"/>
      <c r="BI44" s="13" t="s">
        <v>53</v>
      </c>
    </row>
    <row r="45" spans="1:61" ht="39.5" customHeight="1" x14ac:dyDescent="0.15">
      <c r="A45" s="3">
        <v>44</v>
      </c>
      <c r="B45" s="4" t="s">
        <v>1023</v>
      </c>
      <c r="C45" s="4"/>
      <c r="D45" s="4" t="s">
        <v>599</v>
      </c>
      <c r="E45" s="5" t="s">
        <v>1024</v>
      </c>
      <c r="F45" s="5" t="s">
        <v>91</v>
      </c>
      <c r="G45" s="5" t="s">
        <v>137</v>
      </c>
      <c r="H45" s="5" t="s">
        <v>428</v>
      </c>
      <c r="I45" s="6">
        <v>26320</v>
      </c>
      <c r="J45" s="5" t="s">
        <v>56</v>
      </c>
      <c r="K45" s="5" t="s">
        <v>57</v>
      </c>
      <c r="L45" s="5" t="s">
        <v>58</v>
      </c>
      <c r="M45" s="5" t="s">
        <v>59</v>
      </c>
      <c r="N45" s="5" t="s">
        <v>1025</v>
      </c>
      <c r="O45" s="5" t="s">
        <v>1026</v>
      </c>
      <c r="P45" s="5" t="s">
        <v>1027</v>
      </c>
      <c r="Q45" s="5" t="s">
        <v>1028</v>
      </c>
      <c r="R45" s="5" t="s">
        <v>1029</v>
      </c>
      <c r="S45" s="5" t="s">
        <v>64</v>
      </c>
      <c r="T45" s="5" t="s">
        <v>1030</v>
      </c>
      <c r="U45" s="6">
        <v>34328</v>
      </c>
      <c r="V45" s="5" t="s">
        <v>1031</v>
      </c>
      <c r="W45" s="5"/>
      <c r="X45" s="5" t="s">
        <v>1032</v>
      </c>
      <c r="Y45" s="5" t="s">
        <v>1033</v>
      </c>
      <c r="Z45" s="5" t="s">
        <v>1034</v>
      </c>
      <c r="AA45" s="5" t="s">
        <v>1035</v>
      </c>
      <c r="AB45" s="6">
        <v>35504</v>
      </c>
      <c r="AC45" s="5" t="s">
        <v>1036</v>
      </c>
      <c r="AD45" s="6">
        <v>35502</v>
      </c>
      <c r="AE45" s="5" t="s">
        <v>1037</v>
      </c>
      <c r="AF45" s="6">
        <v>42696</v>
      </c>
      <c r="AG45" s="5" t="s">
        <v>1038</v>
      </c>
      <c r="AH45" s="6">
        <v>41726</v>
      </c>
      <c r="AI45" s="5" t="s">
        <v>176</v>
      </c>
      <c r="AJ45" s="5" t="s">
        <v>1039</v>
      </c>
      <c r="AK45" s="6">
        <v>34788</v>
      </c>
      <c r="AL45" s="5"/>
      <c r="AM45" s="5" t="s">
        <v>1040</v>
      </c>
      <c r="AN45" s="6">
        <v>41726</v>
      </c>
      <c r="AO45" s="5"/>
      <c r="AP45" s="5" t="s">
        <v>1041</v>
      </c>
      <c r="AQ45" s="5" t="s">
        <v>1042</v>
      </c>
      <c r="AR45" s="6">
        <v>30823</v>
      </c>
      <c r="AS45" s="5"/>
      <c r="AT45" s="5"/>
      <c r="AU45" s="5"/>
      <c r="AV45" s="6">
        <v>1462</v>
      </c>
      <c r="AW45" s="5"/>
      <c r="AX45" s="5" t="s">
        <v>1043</v>
      </c>
      <c r="AY45" s="5" t="s">
        <v>1044</v>
      </c>
      <c r="AZ45" s="6">
        <v>39454</v>
      </c>
      <c r="BA45" s="5"/>
      <c r="BB45" s="5" t="s">
        <v>1045</v>
      </c>
      <c r="BC45" s="5" t="s">
        <v>1044</v>
      </c>
      <c r="BD45" s="6">
        <v>39630</v>
      </c>
      <c r="BE45" s="5" t="s">
        <v>1046</v>
      </c>
      <c r="BF45" s="5"/>
      <c r="BG45" s="7">
        <v>45292</v>
      </c>
      <c r="BH45" s="5"/>
      <c r="BI45" s="13" t="s">
        <v>53</v>
      </c>
    </row>
    <row r="46" spans="1:61" ht="26.5" customHeight="1" x14ac:dyDescent="0.15">
      <c r="A46" s="3">
        <v>45</v>
      </c>
      <c r="B46" s="4" t="s">
        <v>1047</v>
      </c>
      <c r="C46" s="4"/>
      <c r="D46" s="4" t="s">
        <v>1048</v>
      </c>
      <c r="E46" s="5" t="s">
        <v>1049</v>
      </c>
      <c r="F46" s="5" t="s">
        <v>91</v>
      </c>
      <c r="G46" s="5" t="s">
        <v>185</v>
      </c>
      <c r="H46" s="5" t="s">
        <v>1050</v>
      </c>
      <c r="I46" s="6">
        <v>25176</v>
      </c>
      <c r="J46" s="5" t="s">
        <v>161</v>
      </c>
      <c r="K46" s="5" t="s">
        <v>57</v>
      </c>
      <c r="L46" s="5" t="s">
        <v>58</v>
      </c>
      <c r="M46" s="5" t="s">
        <v>59</v>
      </c>
      <c r="N46" s="5" t="s">
        <v>1051</v>
      </c>
      <c r="O46" s="5" t="s">
        <v>1052</v>
      </c>
      <c r="P46" s="5" t="s">
        <v>1053</v>
      </c>
      <c r="Q46" s="5" t="s">
        <v>1054</v>
      </c>
      <c r="R46" s="5" t="s">
        <v>1055</v>
      </c>
      <c r="S46" s="5" t="s">
        <v>64</v>
      </c>
      <c r="T46" s="5" t="s">
        <v>1056</v>
      </c>
      <c r="U46" s="6">
        <v>39987</v>
      </c>
      <c r="V46" s="5" t="s">
        <v>1057</v>
      </c>
      <c r="W46" s="5"/>
      <c r="X46" s="5" t="s">
        <v>1058</v>
      </c>
      <c r="Y46" s="5" t="s">
        <v>1059</v>
      </c>
      <c r="Z46" s="5" t="s">
        <v>1060</v>
      </c>
      <c r="AA46" s="5" t="s">
        <v>1061</v>
      </c>
      <c r="AB46" s="6">
        <v>40126</v>
      </c>
      <c r="AC46" s="5"/>
      <c r="AD46" s="6">
        <v>1462</v>
      </c>
      <c r="AE46" s="5"/>
      <c r="AF46" s="6">
        <v>1462</v>
      </c>
      <c r="AG46" s="5" t="s">
        <v>1062</v>
      </c>
      <c r="AH46" s="6">
        <v>25569</v>
      </c>
      <c r="AI46" s="5" t="s">
        <v>586</v>
      </c>
      <c r="AJ46" s="5" t="s">
        <v>1063</v>
      </c>
      <c r="AK46" s="6">
        <v>39428</v>
      </c>
      <c r="AL46" s="5"/>
      <c r="AM46" s="5" t="s">
        <v>1064</v>
      </c>
      <c r="AN46" s="6">
        <v>39813</v>
      </c>
      <c r="AO46" s="5"/>
      <c r="AP46" s="5" t="s">
        <v>1065</v>
      </c>
      <c r="AQ46" s="5" t="s">
        <v>1066</v>
      </c>
      <c r="AR46" s="6">
        <v>30095</v>
      </c>
      <c r="AS46" s="5"/>
      <c r="AT46" s="5" t="s">
        <v>1067</v>
      </c>
      <c r="AU46" s="5" t="s">
        <v>1068</v>
      </c>
      <c r="AV46" s="6">
        <v>31178</v>
      </c>
      <c r="AW46" s="5"/>
      <c r="AX46" s="5" t="s">
        <v>1069</v>
      </c>
      <c r="AY46" s="5" t="s">
        <v>1070</v>
      </c>
      <c r="AZ46" s="6">
        <v>32276</v>
      </c>
      <c r="BA46" s="5"/>
      <c r="BB46" s="5" t="s">
        <v>1071</v>
      </c>
      <c r="BC46" s="5" t="s">
        <v>1072</v>
      </c>
      <c r="BD46" s="6">
        <v>32276</v>
      </c>
      <c r="BE46" s="5" t="s">
        <v>1073</v>
      </c>
      <c r="BF46" s="5"/>
      <c r="BG46" s="7">
        <v>45292</v>
      </c>
      <c r="BH46" s="5"/>
      <c r="BI46" s="13" t="s">
        <v>53</v>
      </c>
    </row>
    <row r="47" spans="1:61" ht="26.5" customHeight="1" x14ac:dyDescent="0.15">
      <c r="A47" s="3">
        <v>46</v>
      </c>
      <c r="B47" s="4" t="s">
        <v>1074</v>
      </c>
      <c r="C47" s="4"/>
      <c r="D47" s="4" t="s">
        <v>599</v>
      </c>
      <c r="E47" s="5" t="s">
        <v>1075</v>
      </c>
      <c r="F47" s="5" t="s">
        <v>91</v>
      </c>
      <c r="G47" s="5" t="s">
        <v>185</v>
      </c>
      <c r="H47" s="5" t="s">
        <v>1076</v>
      </c>
      <c r="I47" s="6">
        <v>29529</v>
      </c>
      <c r="J47" s="5" t="s">
        <v>56</v>
      </c>
      <c r="K47" s="5" t="s">
        <v>57</v>
      </c>
      <c r="L47" s="5" t="s">
        <v>58</v>
      </c>
      <c r="M47" s="5" t="s">
        <v>59</v>
      </c>
      <c r="N47" s="5" t="s">
        <v>1077</v>
      </c>
      <c r="O47" s="5" t="s">
        <v>1078</v>
      </c>
      <c r="P47" s="5" t="s">
        <v>1079</v>
      </c>
      <c r="Q47" s="5" t="s">
        <v>1080</v>
      </c>
      <c r="R47" s="5" t="s">
        <v>1081</v>
      </c>
      <c r="S47" s="5" t="s">
        <v>64</v>
      </c>
      <c r="T47" s="5" t="s">
        <v>1082</v>
      </c>
      <c r="U47" s="6">
        <v>39217</v>
      </c>
      <c r="V47" s="5" t="s">
        <v>1083</v>
      </c>
      <c r="W47" s="5"/>
      <c r="X47" s="5" t="s">
        <v>1084</v>
      </c>
      <c r="Y47" s="5" t="s">
        <v>1085</v>
      </c>
      <c r="Z47" s="5" t="s">
        <v>1086</v>
      </c>
      <c r="AA47" s="5" t="s">
        <v>1087</v>
      </c>
      <c r="AB47" s="6">
        <v>40126</v>
      </c>
      <c r="AC47" s="5" t="s">
        <v>1088</v>
      </c>
      <c r="AD47" s="6">
        <v>1462</v>
      </c>
      <c r="AE47" s="5" t="s">
        <v>1089</v>
      </c>
      <c r="AF47" s="6">
        <v>42696</v>
      </c>
      <c r="AG47" s="5" t="s">
        <v>1062</v>
      </c>
      <c r="AH47" s="6">
        <v>43511</v>
      </c>
      <c r="AI47" s="5" t="s">
        <v>586</v>
      </c>
      <c r="AJ47" s="5" t="s">
        <v>1063</v>
      </c>
      <c r="AK47" s="6">
        <v>39428</v>
      </c>
      <c r="AL47" s="5"/>
      <c r="AM47" s="5" t="s">
        <v>1064</v>
      </c>
      <c r="AN47" s="6">
        <v>39813</v>
      </c>
      <c r="AO47" s="5"/>
      <c r="AP47" s="5" t="s">
        <v>1090</v>
      </c>
      <c r="AQ47" s="5" t="s">
        <v>1091</v>
      </c>
      <c r="AR47" s="6">
        <v>33744</v>
      </c>
      <c r="AS47" s="5"/>
      <c r="AT47" s="5" t="s">
        <v>1092</v>
      </c>
      <c r="AU47" s="5" t="s">
        <v>1093</v>
      </c>
      <c r="AV47" s="6">
        <v>34848</v>
      </c>
      <c r="AW47" s="5"/>
      <c r="AX47" s="5" t="s">
        <v>1094</v>
      </c>
      <c r="AY47" s="5" t="s">
        <v>1095</v>
      </c>
      <c r="AZ47" s="6">
        <v>35937</v>
      </c>
      <c r="BA47" s="5"/>
      <c r="BB47" s="5" t="s">
        <v>1096</v>
      </c>
      <c r="BC47" s="5" t="s">
        <v>1097</v>
      </c>
      <c r="BD47" s="6">
        <v>35937</v>
      </c>
      <c r="BE47" s="5" t="s">
        <v>1098</v>
      </c>
      <c r="BF47" s="5"/>
      <c r="BG47" s="7">
        <v>45292</v>
      </c>
      <c r="BH47" s="5"/>
      <c r="BI47" s="13" t="s">
        <v>53</v>
      </c>
    </row>
    <row r="48" spans="1:61" ht="24.75" customHeight="1" x14ac:dyDescent="0.15">
      <c r="A48" s="3">
        <v>47</v>
      </c>
      <c r="B48" s="4" t="s">
        <v>1099</v>
      </c>
      <c r="C48" s="4"/>
      <c r="D48" s="4" t="s">
        <v>599</v>
      </c>
      <c r="E48" s="5" t="s">
        <v>1100</v>
      </c>
      <c r="F48" s="5" t="s">
        <v>91</v>
      </c>
      <c r="G48" s="5" t="s">
        <v>185</v>
      </c>
      <c r="H48" s="5" t="s">
        <v>601</v>
      </c>
      <c r="I48" s="6">
        <v>30198</v>
      </c>
      <c r="J48" s="5" t="s">
        <v>56</v>
      </c>
      <c r="K48" s="5" t="s">
        <v>57</v>
      </c>
      <c r="L48" s="5" t="s">
        <v>58</v>
      </c>
      <c r="M48" s="5" t="s">
        <v>59</v>
      </c>
      <c r="N48" s="5" t="s">
        <v>1101</v>
      </c>
      <c r="O48" s="5" t="s">
        <v>1102</v>
      </c>
      <c r="P48" s="5" t="s">
        <v>1103</v>
      </c>
      <c r="Q48" s="5" t="s">
        <v>1104</v>
      </c>
      <c r="R48" s="5" t="s">
        <v>1105</v>
      </c>
      <c r="S48" s="5" t="s">
        <v>64</v>
      </c>
      <c r="T48" s="5" t="s">
        <v>1106</v>
      </c>
      <c r="U48" s="6">
        <v>39809</v>
      </c>
      <c r="V48" s="5" t="s">
        <v>1107</v>
      </c>
      <c r="W48" s="5"/>
      <c r="X48" s="5" t="s">
        <v>1108</v>
      </c>
      <c r="Y48" s="5" t="s">
        <v>1109</v>
      </c>
      <c r="Z48" s="5" t="s">
        <v>1110</v>
      </c>
      <c r="AA48" s="5" t="s">
        <v>1111</v>
      </c>
      <c r="AB48" s="6">
        <v>39861</v>
      </c>
      <c r="AC48" s="5"/>
      <c r="AD48" s="6">
        <v>1462</v>
      </c>
      <c r="AE48" s="5"/>
      <c r="AF48" s="6">
        <v>1462</v>
      </c>
      <c r="AG48" s="5" t="s">
        <v>1112</v>
      </c>
      <c r="AH48" s="6">
        <v>41932</v>
      </c>
      <c r="AI48" s="5" t="s">
        <v>176</v>
      </c>
      <c r="AJ48" s="5" t="s">
        <v>1113</v>
      </c>
      <c r="AK48" s="6">
        <v>39080</v>
      </c>
      <c r="AL48" s="5"/>
      <c r="AM48" s="5" t="s">
        <v>1114</v>
      </c>
      <c r="AN48" s="6">
        <v>39541</v>
      </c>
      <c r="AO48" s="5"/>
      <c r="AP48" s="5" t="s">
        <v>1115</v>
      </c>
      <c r="AQ48" s="5" t="s">
        <v>1116</v>
      </c>
      <c r="AR48" s="6">
        <v>34127</v>
      </c>
      <c r="AS48" s="5"/>
      <c r="AT48" s="5" t="s">
        <v>1117</v>
      </c>
      <c r="AU48" s="5" t="s">
        <v>1118</v>
      </c>
      <c r="AV48" s="6">
        <v>35223</v>
      </c>
      <c r="AW48" s="5"/>
      <c r="AX48" s="5" t="s">
        <v>1119</v>
      </c>
      <c r="AY48" s="5" t="s">
        <v>1120</v>
      </c>
      <c r="AZ48" s="6">
        <v>36304</v>
      </c>
      <c r="BA48" s="5"/>
      <c r="BB48" s="5" t="s">
        <v>601</v>
      </c>
      <c r="BC48" s="5" t="s">
        <v>1121</v>
      </c>
      <c r="BD48" s="6">
        <v>36304</v>
      </c>
      <c r="BE48" s="5" t="s">
        <v>1098</v>
      </c>
      <c r="BF48" s="5"/>
      <c r="BG48" s="7">
        <v>45292</v>
      </c>
      <c r="BH48" s="5"/>
      <c r="BI48" s="13" t="s">
        <v>53</v>
      </c>
    </row>
    <row r="49" spans="1:61" ht="35.75" customHeight="1" x14ac:dyDescent="0.15">
      <c r="A49" s="3">
        <v>48</v>
      </c>
      <c r="B49" s="4" t="s">
        <v>1122</v>
      </c>
      <c r="C49" s="4" t="s">
        <v>569</v>
      </c>
      <c r="D49" s="4" t="s">
        <v>1123</v>
      </c>
      <c r="E49" s="5" t="s">
        <v>1124</v>
      </c>
      <c r="F49" s="5" t="s">
        <v>96</v>
      </c>
      <c r="G49" s="5" t="s">
        <v>102</v>
      </c>
      <c r="H49" s="5" t="s">
        <v>744</v>
      </c>
      <c r="I49" s="6">
        <v>30352</v>
      </c>
      <c r="J49" s="5" t="s">
        <v>56</v>
      </c>
      <c r="K49" s="5" t="s">
        <v>57</v>
      </c>
      <c r="L49" s="5" t="s">
        <v>58</v>
      </c>
      <c r="M49" s="5" t="s">
        <v>59</v>
      </c>
      <c r="N49" s="5" t="s">
        <v>1125</v>
      </c>
      <c r="O49" s="5" t="s">
        <v>1126</v>
      </c>
      <c r="P49" s="5" t="s">
        <v>1127</v>
      </c>
      <c r="Q49" s="5" t="s">
        <v>1128</v>
      </c>
      <c r="R49" s="5" t="s">
        <v>1129</v>
      </c>
      <c r="S49" s="5" t="s">
        <v>64</v>
      </c>
      <c r="T49" s="5" t="s">
        <v>1130</v>
      </c>
      <c r="U49" s="6">
        <v>39564</v>
      </c>
      <c r="V49" s="5" t="s">
        <v>1131</v>
      </c>
      <c r="W49" s="5"/>
      <c r="X49" s="5" t="s">
        <v>1132</v>
      </c>
      <c r="Y49" s="5" t="s">
        <v>1133</v>
      </c>
      <c r="Z49" s="5" t="s">
        <v>1134</v>
      </c>
      <c r="AA49" s="5" t="s">
        <v>1135</v>
      </c>
      <c r="AB49" s="6">
        <v>40126</v>
      </c>
      <c r="AC49" s="5" t="s">
        <v>1136</v>
      </c>
      <c r="AD49" s="6">
        <v>40239</v>
      </c>
      <c r="AE49" s="5" t="s">
        <v>1137</v>
      </c>
      <c r="AF49" s="6">
        <v>42696</v>
      </c>
      <c r="AG49" s="5" t="s">
        <v>709</v>
      </c>
      <c r="AH49" s="6">
        <v>42925</v>
      </c>
      <c r="AI49" s="5" t="s">
        <v>176</v>
      </c>
      <c r="AJ49" s="5" t="s">
        <v>1138</v>
      </c>
      <c r="AK49" s="6">
        <v>39633</v>
      </c>
      <c r="AL49" s="5"/>
      <c r="AM49" s="5" t="s">
        <v>1064</v>
      </c>
      <c r="AN49" s="6">
        <v>39813</v>
      </c>
      <c r="AO49" s="5"/>
      <c r="AP49" s="5"/>
      <c r="AQ49" s="5"/>
      <c r="AR49" s="6">
        <v>1462</v>
      </c>
      <c r="AS49" s="5"/>
      <c r="AT49" s="5"/>
      <c r="AU49" s="5"/>
      <c r="AV49" s="6">
        <v>1462</v>
      </c>
      <c r="AW49" s="5"/>
      <c r="AX49" s="5" t="s">
        <v>1139</v>
      </c>
      <c r="AY49" s="5" t="s">
        <v>1140</v>
      </c>
      <c r="AZ49" s="6">
        <v>37425</v>
      </c>
      <c r="BA49" s="5"/>
      <c r="BB49" s="5" t="s">
        <v>1141</v>
      </c>
      <c r="BC49" s="5" t="s">
        <v>1142</v>
      </c>
      <c r="BD49" s="6">
        <v>42336</v>
      </c>
      <c r="BE49" s="5" t="s">
        <v>1143</v>
      </c>
      <c r="BF49" s="5"/>
      <c r="BG49" s="7">
        <v>45292</v>
      </c>
      <c r="BH49" s="5"/>
      <c r="BI49" s="13" t="s">
        <v>53</v>
      </c>
    </row>
    <row r="50" spans="1:61" ht="26.5" customHeight="1" x14ac:dyDescent="0.15">
      <c r="A50" s="3">
        <v>49</v>
      </c>
      <c r="B50" s="4" t="s">
        <v>1144</v>
      </c>
      <c r="C50" s="4"/>
      <c r="D50" s="4" t="s">
        <v>599</v>
      </c>
      <c r="E50" s="5" t="s">
        <v>1145</v>
      </c>
      <c r="F50" s="5" t="s">
        <v>91</v>
      </c>
      <c r="G50" s="5" t="s">
        <v>137</v>
      </c>
      <c r="H50" s="5" t="s">
        <v>1146</v>
      </c>
      <c r="I50" s="6">
        <v>29011</v>
      </c>
      <c r="J50" s="5" t="s">
        <v>56</v>
      </c>
      <c r="K50" s="5" t="s">
        <v>57</v>
      </c>
      <c r="L50" s="5" t="s">
        <v>58</v>
      </c>
      <c r="M50" s="5" t="s">
        <v>59</v>
      </c>
      <c r="N50" s="5" t="s">
        <v>1147</v>
      </c>
      <c r="O50" s="5" t="s">
        <v>1148</v>
      </c>
      <c r="P50" s="5" t="s">
        <v>393</v>
      </c>
      <c r="Q50" s="5" t="s">
        <v>1149</v>
      </c>
      <c r="R50" s="12" t="s">
        <v>1150</v>
      </c>
      <c r="S50" s="5" t="s">
        <v>64</v>
      </c>
      <c r="T50" s="5" t="s">
        <v>1151</v>
      </c>
      <c r="U50" s="6">
        <v>39985</v>
      </c>
      <c r="V50" s="5" t="s">
        <v>1152</v>
      </c>
      <c r="W50" s="5"/>
      <c r="X50" s="5" t="s">
        <v>1153</v>
      </c>
      <c r="Y50" s="5" t="s">
        <v>1154</v>
      </c>
      <c r="Z50" s="5" t="s">
        <v>1155</v>
      </c>
      <c r="AA50" s="5" t="s">
        <v>1156</v>
      </c>
      <c r="AB50" s="6">
        <v>40847</v>
      </c>
      <c r="AC50" s="5" t="s">
        <v>1157</v>
      </c>
      <c r="AD50" s="6">
        <v>40393</v>
      </c>
      <c r="AE50" s="5" t="s">
        <v>1158</v>
      </c>
      <c r="AF50" s="6">
        <v>42696</v>
      </c>
      <c r="AG50" s="5" t="s">
        <v>1159</v>
      </c>
      <c r="AH50" s="6">
        <v>25569</v>
      </c>
      <c r="AI50" s="5" t="s">
        <v>176</v>
      </c>
      <c r="AJ50" s="5" t="s">
        <v>1160</v>
      </c>
      <c r="AK50" s="6">
        <v>39816</v>
      </c>
      <c r="AL50" s="5"/>
      <c r="AM50" s="5" t="s">
        <v>1161</v>
      </c>
      <c r="AN50" s="6">
        <v>40574</v>
      </c>
      <c r="AO50" s="5"/>
      <c r="AP50" s="5" t="s">
        <v>1162</v>
      </c>
      <c r="AQ50" s="5" t="s">
        <v>1163</v>
      </c>
      <c r="AR50" s="6">
        <v>34488</v>
      </c>
      <c r="AS50" s="5"/>
      <c r="AT50" s="5" t="s">
        <v>1164</v>
      </c>
      <c r="AU50" s="5" t="s">
        <v>1165</v>
      </c>
      <c r="AV50" s="6">
        <v>35586</v>
      </c>
      <c r="AW50" s="5"/>
      <c r="AX50" s="5" t="s">
        <v>1166</v>
      </c>
      <c r="AY50" s="5" t="s">
        <v>1167</v>
      </c>
      <c r="AZ50" s="6">
        <v>36693</v>
      </c>
      <c r="BA50" s="5"/>
      <c r="BB50" s="5" t="s">
        <v>956</v>
      </c>
      <c r="BC50" s="5" t="s">
        <v>1168</v>
      </c>
      <c r="BD50" s="6">
        <v>36693</v>
      </c>
      <c r="BE50" s="5" t="s">
        <v>931</v>
      </c>
      <c r="BF50" s="5"/>
      <c r="BG50" s="7">
        <v>45292</v>
      </c>
      <c r="BH50" s="5"/>
      <c r="BI50" s="13" t="s">
        <v>53</v>
      </c>
    </row>
    <row r="51" spans="1:61" ht="26.5" customHeight="1" x14ac:dyDescent="0.15">
      <c r="A51" s="3">
        <v>50</v>
      </c>
      <c r="B51" s="4" t="s">
        <v>1169</v>
      </c>
      <c r="C51" s="4"/>
      <c r="D51" s="4" t="s">
        <v>599</v>
      </c>
      <c r="E51" s="5" t="s">
        <v>1170</v>
      </c>
      <c r="F51" s="5" t="s">
        <v>91</v>
      </c>
      <c r="G51" s="5" t="s">
        <v>137</v>
      </c>
      <c r="H51" s="5" t="s">
        <v>1171</v>
      </c>
      <c r="I51" s="6">
        <v>28497</v>
      </c>
      <c r="J51" s="5" t="s">
        <v>56</v>
      </c>
      <c r="K51" s="5" t="s">
        <v>57</v>
      </c>
      <c r="L51" s="5" t="s">
        <v>58</v>
      </c>
      <c r="M51" s="5" t="s">
        <v>59</v>
      </c>
      <c r="N51" s="5" t="s">
        <v>1172</v>
      </c>
      <c r="O51" s="5" t="s">
        <v>1173</v>
      </c>
      <c r="P51" s="5" t="s">
        <v>1174</v>
      </c>
      <c r="Q51" s="5" t="s">
        <v>1175</v>
      </c>
      <c r="R51" s="12" t="s">
        <v>1176</v>
      </c>
      <c r="S51" s="5" t="s">
        <v>64</v>
      </c>
      <c r="T51" s="5" t="s">
        <v>1177</v>
      </c>
      <c r="U51" s="6">
        <v>25569</v>
      </c>
      <c r="V51" s="5" t="s">
        <v>1178</v>
      </c>
      <c r="W51" s="5"/>
      <c r="X51" s="5" t="s">
        <v>1179</v>
      </c>
      <c r="Y51" s="5" t="s">
        <v>1180</v>
      </c>
      <c r="Z51" s="5" t="s">
        <v>1181</v>
      </c>
      <c r="AA51" s="5" t="s">
        <v>1182</v>
      </c>
      <c r="AB51" s="6">
        <v>40710</v>
      </c>
      <c r="AC51" s="5" t="s">
        <v>1183</v>
      </c>
      <c r="AD51" s="6">
        <v>40694</v>
      </c>
      <c r="AE51" s="5" t="s">
        <v>1184</v>
      </c>
      <c r="AF51" s="6">
        <v>42696</v>
      </c>
      <c r="AG51" s="5" t="s">
        <v>1185</v>
      </c>
      <c r="AH51" s="6">
        <v>25569</v>
      </c>
      <c r="AI51" s="5" t="s">
        <v>176</v>
      </c>
      <c r="AJ51" s="5" t="s">
        <v>587</v>
      </c>
      <c r="AK51" s="6">
        <v>40161</v>
      </c>
      <c r="AL51" s="5"/>
      <c r="AM51" s="5" t="s">
        <v>588</v>
      </c>
      <c r="AN51" s="6">
        <v>25569</v>
      </c>
      <c r="AO51" s="5"/>
      <c r="AP51" s="5" t="s">
        <v>1186</v>
      </c>
      <c r="AQ51" s="5" t="s">
        <v>1187</v>
      </c>
      <c r="AR51" s="6">
        <v>33031</v>
      </c>
      <c r="AS51" s="5"/>
      <c r="AT51" s="5" t="s">
        <v>1188</v>
      </c>
      <c r="AU51" s="5" t="s">
        <v>1189</v>
      </c>
      <c r="AV51" s="6">
        <v>34125</v>
      </c>
      <c r="AW51" s="5"/>
      <c r="AX51" s="5" t="s">
        <v>1190</v>
      </c>
      <c r="AY51" s="5" t="s">
        <v>1191</v>
      </c>
      <c r="AZ51" s="6">
        <v>35210</v>
      </c>
      <c r="BA51" s="5"/>
      <c r="BB51" s="5" t="s">
        <v>956</v>
      </c>
      <c r="BC51" s="5" t="s">
        <v>1192</v>
      </c>
      <c r="BD51" s="6">
        <v>35210</v>
      </c>
      <c r="BE51" s="5" t="s">
        <v>1073</v>
      </c>
      <c r="BF51" s="5"/>
      <c r="BG51" s="7">
        <v>45292</v>
      </c>
      <c r="BH51" s="5"/>
      <c r="BI51" s="13" t="s">
        <v>53</v>
      </c>
    </row>
    <row r="52" spans="1:61" ht="26.5" customHeight="1" x14ac:dyDescent="0.15">
      <c r="A52" s="3">
        <v>51</v>
      </c>
      <c r="B52" s="4" t="s">
        <v>1193</v>
      </c>
      <c r="C52" s="4"/>
      <c r="D52" s="4" t="s">
        <v>599</v>
      </c>
      <c r="E52" s="5" t="s">
        <v>1194</v>
      </c>
      <c r="F52" s="5" t="s">
        <v>91</v>
      </c>
      <c r="G52" s="5" t="s">
        <v>137</v>
      </c>
      <c r="H52" s="5" t="s">
        <v>1195</v>
      </c>
      <c r="I52" s="6">
        <v>30827</v>
      </c>
      <c r="J52" s="5" t="s">
        <v>56</v>
      </c>
      <c r="K52" s="5" t="s">
        <v>57</v>
      </c>
      <c r="L52" s="5" t="s">
        <v>58</v>
      </c>
      <c r="M52" s="5" t="s">
        <v>59</v>
      </c>
      <c r="N52" s="5" t="s">
        <v>1196</v>
      </c>
      <c r="O52" s="5" t="s">
        <v>1197</v>
      </c>
      <c r="P52" s="5" t="s">
        <v>1198</v>
      </c>
      <c r="Q52" s="5" t="s">
        <v>1199</v>
      </c>
      <c r="R52" s="12" t="s">
        <v>1812</v>
      </c>
      <c r="S52" s="5" t="s">
        <v>64</v>
      </c>
      <c r="T52" s="5" t="s">
        <v>1200</v>
      </c>
      <c r="U52" s="6">
        <v>37912</v>
      </c>
      <c r="V52" s="5" t="s">
        <v>1201</v>
      </c>
      <c r="W52" s="5"/>
      <c r="X52" s="5" t="s">
        <v>1202</v>
      </c>
      <c r="Y52" s="5" t="s">
        <v>1203</v>
      </c>
      <c r="Z52" s="5" t="s">
        <v>1204</v>
      </c>
      <c r="AA52" s="5" t="s">
        <v>1205</v>
      </c>
      <c r="AB52" s="6">
        <v>40821</v>
      </c>
      <c r="AC52" s="5" t="s">
        <v>1194</v>
      </c>
      <c r="AD52" s="6">
        <v>40694</v>
      </c>
      <c r="AE52" s="5" t="s">
        <v>1206</v>
      </c>
      <c r="AF52" s="6">
        <v>42696</v>
      </c>
      <c r="AG52" s="5" t="s">
        <v>1185</v>
      </c>
      <c r="AH52" s="6">
        <v>43159</v>
      </c>
      <c r="AI52" s="5" t="s">
        <v>176</v>
      </c>
      <c r="AJ52" s="5" t="s">
        <v>587</v>
      </c>
      <c r="AK52" s="6">
        <v>40161</v>
      </c>
      <c r="AL52" s="5"/>
      <c r="AM52" s="5" t="s">
        <v>588</v>
      </c>
      <c r="AN52" s="6">
        <v>40633</v>
      </c>
      <c r="AO52" s="5"/>
      <c r="AP52" s="5" t="s">
        <v>1207</v>
      </c>
      <c r="AQ52" s="5" t="s">
        <v>1208</v>
      </c>
      <c r="AR52" s="6">
        <v>35221</v>
      </c>
      <c r="AS52" s="5"/>
      <c r="AT52" s="5" t="s">
        <v>1209</v>
      </c>
      <c r="AU52" s="5" t="s">
        <v>1210</v>
      </c>
      <c r="AV52" s="6">
        <v>36311</v>
      </c>
      <c r="AW52" s="5"/>
      <c r="AX52" s="5" t="s">
        <v>1211</v>
      </c>
      <c r="AY52" s="5" t="s">
        <v>1212</v>
      </c>
      <c r="AZ52" s="6">
        <v>37424</v>
      </c>
      <c r="BA52" s="5"/>
      <c r="BB52" s="5" t="s">
        <v>1213</v>
      </c>
      <c r="BC52" s="5" t="s">
        <v>1214</v>
      </c>
      <c r="BD52" s="6">
        <v>37424</v>
      </c>
      <c r="BE52" s="5" t="s">
        <v>931</v>
      </c>
      <c r="BF52" s="5"/>
      <c r="BG52" s="7">
        <v>45292</v>
      </c>
      <c r="BH52" s="5"/>
      <c r="BI52" s="13" t="s">
        <v>53</v>
      </c>
    </row>
    <row r="53" spans="1:61" ht="24.75" customHeight="1" x14ac:dyDescent="0.15">
      <c r="A53" s="3">
        <v>52</v>
      </c>
      <c r="B53" s="4" t="s">
        <v>1215</v>
      </c>
      <c r="C53" s="4"/>
      <c r="D53" s="4" t="s">
        <v>599</v>
      </c>
      <c r="E53" s="5" t="s">
        <v>1216</v>
      </c>
      <c r="F53" s="5" t="s">
        <v>91</v>
      </c>
      <c r="G53" s="5" t="s">
        <v>137</v>
      </c>
      <c r="H53" s="5" t="s">
        <v>850</v>
      </c>
      <c r="I53" s="6">
        <v>27853</v>
      </c>
      <c r="J53" s="5" t="s">
        <v>56</v>
      </c>
      <c r="K53" s="5" t="s">
        <v>57</v>
      </c>
      <c r="L53" s="5" t="s">
        <v>58</v>
      </c>
      <c r="M53" s="5" t="s">
        <v>59</v>
      </c>
      <c r="N53" s="5"/>
      <c r="O53" s="5" t="s">
        <v>1217</v>
      </c>
      <c r="P53" s="5" t="s">
        <v>1218</v>
      </c>
      <c r="Q53" s="5" t="s">
        <v>1219</v>
      </c>
      <c r="R53" s="5" t="s">
        <v>1220</v>
      </c>
      <c r="S53" s="5" t="s">
        <v>64</v>
      </c>
      <c r="T53" s="5" t="s">
        <v>1221</v>
      </c>
      <c r="U53" s="6">
        <v>40516</v>
      </c>
      <c r="V53" s="5" t="s">
        <v>1222</v>
      </c>
      <c r="W53" s="5"/>
      <c r="X53" s="5" t="s">
        <v>1223</v>
      </c>
      <c r="Y53" s="5" t="s">
        <v>1224</v>
      </c>
      <c r="Z53" s="5" t="s">
        <v>1225</v>
      </c>
      <c r="AA53" s="5" t="s">
        <v>1226</v>
      </c>
      <c r="AB53" s="6">
        <v>41306</v>
      </c>
      <c r="AC53" s="5" t="s">
        <v>1216</v>
      </c>
      <c r="AD53" s="6">
        <v>41016</v>
      </c>
      <c r="AE53" s="5" t="s">
        <v>1227</v>
      </c>
      <c r="AF53" s="6">
        <v>42696</v>
      </c>
      <c r="AG53" s="5" t="s">
        <v>1062</v>
      </c>
      <c r="AH53" s="6">
        <v>25569</v>
      </c>
      <c r="AI53" s="5" t="s">
        <v>586</v>
      </c>
      <c r="AJ53" s="5" t="s">
        <v>1228</v>
      </c>
      <c r="AK53" s="6">
        <v>40623</v>
      </c>
      <c r="AL53" s="5"/>
      <c r="AM53" s="5" t="s">
        <v>1229</v>
      </c>
      <c r="AN53" s="6">
        <v>40998</v>
      </c>
      <c r="AO53" s="5"/>
      <c r="AP53" s="5" t="s">
        <v>1230</v>
      </c>
      <c r="AQ53" s="5" t="s">
        <v>1231</v>
      </c>
      <c r="AR53" s="6">
        <v>32311</v>
      </c>
      <c r="AS53" s="5"/>
      <c r="AT53" s="5"/>
      <c r="AU53" s="5"/>
      <c r="AV53" s="6">
        <v>1462</v>
      </c>
      <c r="AW53" s="5"/>
      <c r="AX53" s="5" t="s">
        <v>1232</v>
      </c>
      <c r="AY53" s="5" t="s">
        <v>1233</v>
      </c>
      <c r="AZ53" s="6">
        <v>34484</v>
      </c>
      <c r="BA53" s="5"/>
      <c r="BB53" s="5" t="s">
        <v>956</v>
      </c>
      <c r="BC53" s="5" t="s">
        <v>1234</v>
      </c>
      <c r="BD53" s="6">
        <v>34484</v>
      </c>
      <c r="BE53" s="5" t="s">
        <v>1073</v>
      </c>
      <c r="BF53" s="5"/>
      <c r="BG53" s="7">
        <v>45292</v>
      </c>
      <c r="BH53" s="5"/>
      <c r="BI53" s="13" t="s">
        <v>53</v>
      </c>
    </row>
    <row r="54" spans="1:61" ht="26.5" customHeight="1" x14ac:dyDescent="0.15">
      <c r="A54" s="3">
        <v>53</v>
      </c>
      <c r="B54" s="4" t="s">
        <v>1235</v>
      </c>
      <c r="C54" s="4"/>
      <c r="D54" s="4" t="s">
        <v>599</v>
      </c>
      <c r="E54" s="5" t="s">
        <v>1236</v>
      </c>
      <c r="F54" s="5" t="s">
        <v>91</v>
      </c>
      <c r="G54" s="5" t="s">
        <v>137</v>
      </c>
      <c r="H54" s="5" t="s">
        <v>428</v>
      </c>
      <c r="I54" s="6">
        <v>29569</v>
      </c>
      <c r="J54" s="5" t="s">
        <v>56</v>
      </c>
      <c r="K54" s="5" t="s">
        <v>57</v>
      </c>
      <c r="L54" s="5" t="s">
        <v>58</v>
      </c>
      <c r="M54" s="5" t="s">
        <v>59</v>
      </c>
      <c r="N54" s="5" t="s">
        <v>1237</v>
      </c>
      <c r="O54" s="5" t="s">
        <v>1238</v>
      </c>
      <c r="P54" s="5" t="s">
        <v>1239</v>
      </c>
      <c r="Q54" s="5" t="s">
        <v>1240</v>
      </c>
      <c r="R54" s="12" t="s">
        <v>1241</v>
      </c>
      <c r="S54" s="5" t="s">
        <v>64</v>
      </c>
      <c r="T54" s="5" t="s">
        <v>1242</v>
      </c>
      <c r="U54" s="6">
        <v>38267</v>
      </c>
      <c r="V54" s="5" t="s">
        <v>1243</v>
      </c>
      <c r="W54" s="5"/>
      <c r="X54" s="5" t="s">
        <v>1244</v>
      </c>
      <c r="Y54" s="5" t="s">
        <v>1245</v>
      </c>
      <c r="Z54" s="5" t="s">
        <v>1246</v>
      </c>
      <c r="AA54" s="5" t="s">
        <v>1247</v>
      </c>
      <c r="AB54" s="6">
        <v>41306</v>
      </c>
      <c r="AC54" s="5" t="s">
        <v>1248</v>
      </c>
      <c r="AD54" s="6">
        <v>41016</v>
      </c>
      <c r="AE54" s="5" t="s">
        <v>1249</v>
      </c>
      <c r="AF54" s="6">
        <v>42696</v>
      </c>
      <c r="AG54" s="5" t="s">
        <v>1062</v>
      </c>
      <c r="AH54" s="6">
        <v>25569</v>
      </c>
      <c r="AI54" s="5" t="s">
        <v>586</v>
      </c>
      <c r="AJ54" s="5" t="s">
        <v>1228</v>
      </c>
      <c r="AK54" s="6">
        <v>40623</v>
      </c>
      <c r="AL54" s="5"/>
      <c r="AM54" s="5" t="s">
        <v>1229</v>
      </c>
      <c r="AN54" s="6">
        <v>40998</v>
      </c>
      <c r="AO54" s="5"/>
      <c r="AP54" s="5" t="s">
        <v>1250</v>
      </c>
      <c r="AQ54" s="5" t="s">
        <v>1251</v>
      </c>
      <c r="AR54" s="6">
        <v>34485</v>
      </c>
      <c r="AS54" s="5"/>
      <c r="AT54" s="5" t="s">
        <v>1252</v>
      </c>
      <c r="AU54" s="5" t="s">
        <v>1253</v>
      </c>
      <c r="AV54" s="6">
        <v>35585</v>
      </c>
      <c r="AW54" s="5"/>
      <c r="AX54" s="5" t="s">
        <v>1254</v>
      </c>
      <c r="AY54" s="5" t="s">
        <v>1255</v>
      </c>
      <c r="AZ54" s="6">
        <v>36689</v>
      </c>
      <c r="BA54" s="5"/>
      <c r="BB54" s="5" t="s">
        <v>985</v>
      </c>
      <c r="BC54" s="5" t="s">
        <v>1255</v>
      </c>
      <c r="BD54" s="6">
        <v>36866</v>
      </c>
      <c r="BE54" s="5" t="s">
        <v>1256</v>
      </c>
      <c r="BF54" s="5"/>
      <c r="BG54" s="7">
        <v>45292</v>
      </c>
      <c r="BH54" s="5"/>
      <c r="BI54" s="13" t="s">
        <v>53</v>
      </c>
    </row>
    <row r="55" spans="1:61" ht="26.5" customHeight="1" x14ac:dyDescent="0.15">
      <c r="A55" s="3">
        <v>54</v>
      </c>
      <c r="B55" s="13" t="s">
        <v>1817</v>
      </c>
      <c r="C55" s="13" t="s">
        <v>99</v>
      </c>
      <c r="D55" s="4" t="s">
        <v>1814</v>
      </c>
      <c r="E55" s="11" t="s">
        <v>1815</v>
      </c>
      <c r="F55" s="11" t="s">
        <v>96</v>
      </c>
      <c r="G55" s="11" t="s">
        <v>102</v>
      </c>
      <c r="H55" s="11" t="s">
        <v>428</v>
      </c>
      <c r="I55" s="6">
        <v>35657</v>
      </c>
      <c r="J55" s="5" t="s">
        <v>56</v>
      </c>
      <c r="K55" s="11" t="s">
        <v>187</v>
      </c>
      <c r="L55" s="5" t="s">
        <v>58</v>
      </c>
      <c r="M55" s="5" t="s">
        <v>59</v>
      </c>
      <c r="N55" s="5"/>
      <c r="O55" s="5"/>
      <c r="P55" s="11" t="s">
        <v>393</v>
      </c>
      <c r="Q55" s="11" t="s">
        <v>1816</v>
      </c>
      <c r="R55" s="12" t="s">
        <v>1819</v>
      </c>
      <c r="S55" s="11" t="s">
        <v>976</v>
      </c>
      <c r="T55" s="5"/>
      <c r="U55" s="6"/>
      <c r="V55" s="5"/>
      <c r="W55" s="5"/>
      <c r="X55" s="5"/>
      <c r="Y55" s="5"/>
      <c r="Z55" s="5"/>
      <c r="AA55" s="5"/>
      <c r="AB55" s="6"/>
      <c r="AC55" s="5"/>
      <c r="AD55" s="6"/>
      <c r="AE55" s="5"/>
      <c r="AF55" s="6"/>
      <c r="AG55" s="5"/>
      <c r="AH55" s="6"/>
      <c r="AI55" s="5"/>
      <c r="AJ55" s="5"/>
      <c r="AK55" s="6"/>
      <c r="AL55" s="5"/>
      <c r="AM55" s="5"/>
      <c r="AN55" s="6"/>
      <c r="AO55" s="5"/>
      <c r="AP55" s="5"/>
      <c r="AQ55" s="5"/>
      <c r="AR55" s="6"/>
      <c r="AS55" s="5"/>
      <c r="AT55" s="5"/>
      <c r="AU55" s="5"/>
      <c r="AV55" s="6"/>
      <c r="AW55" s="5"/>
      <c r="AX55" s="5"/>
      <c r="AY55" s="5"/>
      <c r="AZ55" s="6"/>
      <c r="BA55" s="5"/>
      <c r="BB55" s="5"/>
      <c r="BC55" s="5"/>
      <c r="BD55" s="6"/>
      <c r="BE55" s="5"/>
      <c r="BF55" s="5"/>
      <c r="BG55" s="7"/>
      <c r="BH55" s="5"/>
      <c r="BI55" s="13" t="s">
        <v>53</v>
      </c>
    </row>
    <row r="56" spans="1:61" ht="26.5" customHeight="1" x14ac:dyDescent="0.15">
      <c r="A56" s="3">
        <v>55</v>
      </c>
      <c r="B56" s="4" t="s">
        <v>1257</v>
      </c>
      <c r="C56" s="4"/>
      <c r="D56" s="8"/>
      <c r="E56" s="5" t="s">
        <v>1258</v>
      </c>
      <c r="F56" s="5" t="s">
        <v>91</v>
      </c>
      <c r="G56" s="5" t="s">
        <v>137</v>
      </c>
      <c r="H56" s="5" t="s">
        <v>1146</v>
      </c>
      <c r="I56" s="6">
        <v>28122</v>
      </c>
      <c r="J56" s="5" t="s">
        <v>56</v>
      </c>
      <c r="K56" s="5" t="s">
        <v>57</v>
      </c>
      <c r="L56" s="5" t="s">
        <v>58</v>
      </c>
      <c r="M56" s="5" t="s">
        <v>59</v>
      </c>
      <c r="N56" s="5" t="s">
        <v>1237</v>
      </c>
      <c r="O56" s="5" t="s">
        <v>1259</v>
      </c>
      <c r="P56" s="5" t="s">
        <v>299</v>
      </c>
      <c r="Q56" s="5" t="s">
        <v>1260</v>
      </c>
      <c r="R56" s="12" t="s">
        <v>1813</v>
      </c>
      <c r="S56" s="5" t="s">
        <v>64</v>
      </c>
      <c r="T56" s="5" t="s">
        <v>1261</v>
      </c>
      <c r="U56" s="6">
        <v>39101</v>
      </c>
      <c r="V56" s="5" t="s">
        <v>1262</v>
      </c>
      <c r="W56" s="5"/>
      <c r="X56" s="5" t="s">
        <v>1263</v>
      </c>
      <c r="Y56" s="5" t="s">
        <v>1264</v>
      </c>
      <c r="Z56" s="5" t="s">
        <v>1265</v>
      </c>
      <c r="AA56" s="5" t="s">
        <v>1266</v>
      </c>
      <c r="AB56" s="6">
        <v>40562</v>
      </c>
      <c r="AC56" s="5" t="s">
        <v>1258</v>
      </c>
      <c r="AD56" s="6">
        <v>40567</v>
      </c>
      <c r="AE56" s="5" t="s">
        <v>1267</v>
      </c>
      <c r="AF56" s="6">
        <v>42541</v>
      </c>
      <c r="AG56" s="5" t="s">
        <v>1268</v>
      </c>
      <c r="AH56" s="6">
        <v>42925</v>
      </c>
      <c r="AI56" s="5" t="s">
        <v>176</v>
      </c>
      <c r="AJ56" s="5" t="s">
        <v>710</v>
      </c>
      <c r="AK56" s="6">
        <v>39889</v>
      </c>
      <c r="AL56" s="5"/>
      <c r="AM56" s="5" t="s">
        <v>711</v>
      </c>
      <c r="AN56" s="6">
        <v>40182</v>
      </c>
      <c r="AO56" s="5"/>
      <c r="AP56" s="5" t="s">
        <v>1269</v>
      </c>
      <c r="AQ56" s="5" t="s">
        <v>1269</v>
      </c>
      <c r="AR56" s="6">
        <v>1462</v>
      </c>
      <c r="AS56" s="5"/>
      <c r="AT56" s="5" t="s">
        <v>1269</v>
      </c>
      <c r="AU56" s="5" t="s">
        <v>1269</v>
      </c>
      <c r="AV56" s="6">
        <v>1462</v>
      </c>
      <c r="AW56" s="5"/>
      <c r="AX56" s="5" t="s">
        <v>1269</v>
      </c>
      <c r="AY56" s="5" t="s">
        <v>1269</v>
      </c>
      <c r="AZ56" s="6">
        <v>25569</v>
      </c>
      <c r="BA56" s="5"/>
      <c r="BB56" s="5" t="s">
        <v>985</v>
      </c>
      <c r="BC56" s="5"/>
      <c r="BD56" s="6">
        <v>1462</v>
      </c>
      <c r="BE56" s="5" t="s">
        <v>931</v>
      </c>
      <c r="BF56" s="5"/>
      <c r="BG56" s="7">
        <v>45292</v>
      </c>
      <c r="BH56" s="5"/>
      <c r="BI56" s="13" t="s">
        <v>53</v>
      </c>
    </row>
    <row r="57" spans="1:61" ht="52.75" customHeight="1" x14ac:dyDescent="0.15">
      <c r="A57" s="3">
        <v>56</v>
      </c>
      <c r="B57" s="4" t="s">
        <v>1270</v>
      </c>
      <c r="C57" s="4"/>
      <c r="D57" s="8"/>
      <c r="E57" s="5" t="s">
        <v>1271</v>
      </c>
      <c r="F57" s="5" t="s">
        <v>91</v>
      </c>
      <c r="G57" s="5" t="s">
        <v>215</v>
      </c>
      <c r="H57" s="5" t="s">
        <v>1272</v>
      </c>
      <c r="I57" s="6">
        <v>24837</v>
      </c>
      <c r="J57" s="5" t="s">
        <v>56</v>
      </c>
      <c r="K57" s="5" t="s">
        <v>187</v>
      </c>
      <c r="L57" s="5" t="s">
        <v>58</v>
      </c>
      <c r="M57" s="5" t="s">
        <v>59</v>
      </c>
      <c r="N57" s="5" t="s">
        <v>1273</v>
      </c>
      <c r="O57" s="5" t="s">
        <v>1274</v>
      </c>
      <c r="P57" s="5" t="s">
        <v>1079</v>
      </c>
      <c r="Q57" s="5" t="s">
        <v>1275</v>
      </c>
      <c r="R57" s="5" t="s">
        <v>90</v>
      </c>
      <c r="S57" s="5" t="s">
        <v>64</v>
      </c>
      <c r="T57" s="5" t="s">
        <v>1276</v>
      </c>
      <c r="U57" s="6">
        <v>33606</v>
      </c>
      <c r="V57" s="5" t="s">
        <v>1277</v>
      </c>
      <c r="W57" s="5"/>
      <c r="X57" s="5" t="s">
        <v>1278</v>
      </c>
      <c r="Y57" s="5" t="s">
        <v>1279</v>
      </c>
      <c r="Z57" s="5" t="s">
        <v>1280</v>
      </c>
      <c r="AA57" s="5" t="s">
        <v>1281</v>
      </c>
      <c r="AB57" s="6">
        <v>42159</v>
      </c>
      <c r="AC57" s="5" t="s">
        <v>1282</v>
      </c>
      <c r="AD57" s="6">
        <v>41444</v>
      </c>
      <c r="AE57" s="5" t="s">
        <v>1283</v>
      </c>
      <c r="AF57" s="6">
        <v>42661</v>
      </c>
      <c r="AG57" s="5" t="s">
        <v>1159</v>
      </c>
      <c r="AH57" s="6">
        <v>25569</v>
      </c>
      <c r="AI57" s="5" t="s">
        <v>176</v>
      </c>
      <c r="AJ57" s="5" t="s">
        <v>1284</v>
      </c>
      <c r="AK57" s="6">
        <v>41337</v>
      </c>
      <c r="AL57" s="5"/>
      <c r="AM57" s="5" t="s">
        <v>734</v>
      </c>
      <c r="AN57" s="6">
        <v>41726</v>
      </c>
      <c r="AO57" s="5"/>
      <c r="AP57" s="5" t="s">
        <v>1269</v>
      </c>
      <c r="AQ57" s="5" t="s">
        <v>1269</v>
      </c>
      <c r="AR57" s="6">
        <v>1462</v>
      </c>
      <c r="AS57" s="5"/>
      <c r="AT57" s="5" t="s">
        <v>1285</v>
      </c>
      <c r="AU57" s="5"/>
      <c r="AV57" s="6">
        <v>30460</v>
      </c>
      <c r="AW57" s="5"/>
      <c r="AX57" s="5" t="s">
        <v>1286</v>
      </c>
      <c r="AY57" s="5" t="s">
        <v>1287</v>
      </c>
      <c r="AZ57" s="6">
        <v>31539</v>
      </c>
      <c r="BA57" s="5"/>
      <c r="BB57" s="5" t="s">
        <v>982</v>
      </c>
      <c r="BC57" s="5" t="s">
        <v>1288</v>
      </c>
      <c r="BD57" s="6">
        <v>31417</v>
      </c>
      <c r="BE57" s="5"/>
      <c r="BF57" s="5"/>
      <c r="BG57" s="7">
        <v>45292</v>
      </c>
      <c r="BH57" s="5"/>
      <c r="BI57" s="13" t="s">
        <v>53</v>
      </c>
    </row>
    <row r="58" spans="1:61" ht="39.5" customHeight="1" x14ac:dyDescent="0.15">
      <c r="A58" s="3">
        <v>57</v>
      </c>
      <c r="B58" s="4" t="s">
        <v>1289</v>
      </c>
      <c r="C58" s="4"/>
      <c r="D58" s="4" t="s">
        <v>599</v>
      </c>
      <c r="E58" s="5" t="s">
        <v>1290</v>
      </c>
      <c r="F58" s="5" t="s">
        <v>91</v>
      </c>
      <c r="G58" s="5" t="s">
        <v>215</v>
      </c>
      <c r="H58" s="5" t="s">
        <v>601</v>
      </c>
      <c r="I58" s="6">
        <v>25303</v>
      </c>
      <c r="J58" s="5" t="s">
        <v>56</v>
      </c>
      <c r="K58" s="5" t="s">
        <v>57</v>
      </c>
      <c r="L58" s="5" t="s">
        <v>58</v>
      </c>
      <c r="M58" s="5" t="s">
        <v>59</v>
      </c>
      <c r="N58" s="5" t="s">
        <v>1291</v>
      </c>
      <c r="O58" s="5" t="s">
        <v>1292</v>
      </c>
      <c r="P58" s="5" t="s">
        <v>956</v>
      </c>
      <c r="Q58" s="5" t="s">
        <v>1293</v>
      </c>
      <c r="R58" s="5" t="s">
        <v>1294</v>
      </c>
      <c r="S58" s="5" t="s">
        <v>64</v>
      </c>
      <c r="T58" s="5" t="s">
        <v>1295</v>
      </c>
      <c r="U58" s="6">
        <v>34773</v>
      </c>
      <c r="V58" s="5" t="s">
        <v>1296</v>
      </c>
      <c r="W58" s="5"/>
      <c r="X58" s="5" t="s">
        <v>1297</v>
      </c>
      <c r="Y58" s="5" t="s">
        <v>1298</v>
      </c>
      <c r="Z58" s="5" t="s">
        <v>1299</v>
      </c>
      <c r="AA58" s="5" t="s">
        <v>1300</v>
      </c>
      <c r="AB58" s="6">
        <v>42159</v>
      </c>
      <c r="AC58" s="5" t="s">
        <v>1290</v>
      </c>
      <c r="AD58" s="6">
        <v>41438</v>
      </c>
      <c r="AE58" s="5" t="s">
        <v>1301</v>
      </c>
      <c r="AF58" s="6">
        <v>42159</v>
      </c>
      <c r="AG58" s="5" t="s">
        <v>1159</v>
      </c>
      <c r="AH58" s="6">
        <v>25569</v>
      </c>
      <c r="AI58" s="5" t="s">
        <v>176</v>
      </c>
      <c r="AJ58" s="5" t="s">
        <v>1302</v>
      </c>
      <c r="AK58" s="6">
        <v>41337</v>
      </c>
      <c r="AL58" s="5"/>
      <c r="AM58" s="5" t="s">
        <v>734</v>
      </c>
      <c r="AN58" s="6">
        <v>41726</v>
      </c>
      <c r="AO58" s="5"/>
      <c r="AP58" s="5" t="s">
        <v>1303</v>
      </c>
      <c r="AQ58" s="5" t="s">
        <v>1304</v>
      </c>
      <c r="AR58" s="6">
        <v>30467</v>
      </c>
      <c r="AS58" s="5"/>
      <c r="AT58" s="5" t="s">
        <v>1305</v>
      </c>
      <c r="AU58" s="5" t="s">
        <v>1306</v>
      </c>
      <c r="AV58" s="6">
        <v>31537</v>
      </c>
      <c r="AW58" s="5"/>
      <c r="AX58" s="5" t="s">
        <v>506</v>
      </c>
      <c r="AY58" s="5" t="s">
        <v>1307</v>
      </c>
      <c r="AZ58" s="6">
        <v>32639</v>
      </c>
      <c r="BA58" s="5"/>
      <c r="BB58" s="5" t="s">
        <v>956</v>
      </c>
      <c r="BC58" s="5" t="s">
        <v>1307</v>
      </c>
      <c r="BD58" s="6">
        <v>32817</v>
      </c>
      <c r="BE58" s="5"/>
      <c r="BF58" s="5"/>
      <c r="BG58" s="7">
        <v>45292</v>
      </c>
      <c r="BH58" s="5"/>
      <c r="BI58" s="13" t="s">
        <v>53</v>
      </c>
    </row>
    <row r="59" spans="1:61" ht="39.5" customHeight="1" x14ac:dyDescent="0.15">
      <c r="A59" s="3">
        <v>58</v>
      </c>
      <c r="B59" s="4" t="s">
        <v>1308</v>
      </c>
      <c r="C59" s="4"/>
      <c r="D59" s="4" t="s">
        <v>1309</v>
      </c>
      <c r="E59" s="5" t="s">
        <v>1310</v>
      </c>
      <c r="F59" s="5" t="s">
        <v>91</v>
      </c>
      <c r="G59" s="5" t="s">
        <v>215</v>
      </c>
      <c r="H59" s="5" t="s">
        <v>428</v>
      </c>
      <c r="I59" s="6">
        <v>27267</v>
      </c>
      <c r="J59" s="5" t="s">
        <v>56</v>
      </c>
      <c r="K59" s="5" t="s">
        <v>57</v>
      </c>
      <c r="L59" s="5" t="s">
        <v>58</v>
      </c>
      <c r="M59" s="5" t="s">
        <v>59</v>
      </c>
      <c r="N59" s="5" t="s">
        <v>1311</v>
      </c>
      <c r="O59" s="5" t="s">
        <v>1312</v>
      </c>
      <c r="P59" s="5" t="s">
        <v>1239</v>
      </c>
      <c r="Q59" s="5" t="s">
        <v>1313</v>
      </c>
      <c r="R59" s="5" t="s">
        <v>1314</v>
      </c>
      <c r="S59" s="5" t="s">
        <v>64</v>
      </c>
      <c r="T59" s="5" t="s">
        <v>1315</v>
      </c>
      <c r="U59" s="6">
        <v>38267</v>
      </c>
      <c r="V59" s="5" t="s">
        <v>1316</v>
      </c>
      <c r="W59" s="5"/>
      <c r="X59" s="5" t="s">
        <v>1244</v>
      </c>
      <c r="Y59" s="5" t="s">
        <v>1245</v>
      </c>
      <c r="Z59" s="5" t="s">
        <v>1317</v>
      </c>
      <c r="AA59" s="5" t="s">
        <v>1318</v>
      </c>
      <c r="AB59" s="6">
        <v>42159</v>
      </c>
      <c r="AC59" s="5" t="s">
        <v>1310</v>
      </c>
      <c r="AD59" s="6">
        <v>41439</v>
      </c>
      <c r="AE59" s="5" t="s">
        <v>1319</v>
      </c>
      <c r="AF59" s="6">
        <v>42696</v>
      </c>
      <c r="AG59" s="5" t="s">
        <v>1159</v>
      </c>
      <c r="AH59" s="6">
        <v>25569</v>
      </c>
      <c r="AI59" s="5" t="s">
        <v>176</v>
      </c>
      <c r="AJ59" s="5" t="s">
        <v>1320</v>
      </c>
      <c r="AK59" s="6">
        <v>41337</v>
      </c>
      <c r="AL59" s="5"/>
      <c r="AM59" s="5" t="s">
        <v>734</v>
      </c>
      <c r="AN59" s="6">
        <v>41726</v>
      </c>
      <c r="AO59" s="5"/>
      <c r="AP59" s="5" t="s">
        <v>1321</v>
      </c>
      <c r="AQ59" s="5" t="s">
        <v>1322</v>
      </c>
      <c r="AR59" s="6">
        <v>32318</v>
      </c>
      <c r="AS59" s="5"/>
      <c r="AT59" s="5" t="s">
        <v>1323</v>
      </c>
      <c r="AU59" s="5" t="s">
        <v>1324</v>
      </c>
      <c r="AV59" s="6">
        <v>33397</v>
      </c>
      <c r="AW59" s="5"/>
      <c r="AX59" s="5" t="s">
        <v>1325</v>
      </c>
      <c r="AY59" s="5" t="s">
        <v>1326</v>
      </c>
      <c r="AZ59" s="6">
        <v>34471</v>
      </c>
      <c r="BA59" s="5"/>
      <c r="BB59" s="5" t="s">
        <v>1327</v>
      </c>
      <c r="BC59" s="5" t="s">
        <v>1326</v>
      </c>
      <c r="BD59" s="6">
        <v>34471</v>
      </c>
      <c r="BE59" s="5" t="s">
        <v>1328</v>
      </c>
      <c r="BF59" s="5"/>
      <c r="BG59" s="7">
        <v>45292</v>
      </c>
      <c r="BH59" s="5"/>
      <c r="BI59" s="13" t="s">
        <v>53</v>
      </c>
    </row>
    <row r="60" spans="1:61" ht="26.5" customHeight="1" x14ac:dyDescent="0.15">
      <c r="A60" s="3">
        <v>59</v>
      </c>
      <c r="B60" s="4" t="s">
        <v>1329</v>
      </c>
      <c r="C60" s="4"/>
      <c r="D60" s="4" t="s">
        <v>599</v>
      </c>
      <c r="E60" s="5" t="s">
        <v>1330</v>
      </c>
      <c r="F60" s="5" t="s">
        <v>91</v>
      </c>
      <c r="G60" s="5" t="s">
        <v>215</v>
      </c>
      <c r="H60" s="5" t="s">
        <v>1331</v>
      </c>
      <c r="I60" s="6">
        <v>35635</v>
      </c>
      <c r="J60" s="5" t="s">
        <v>56</v>
      </c>
      <c r="K60" s="5" t="s">
        <v>57</v>
      </c>
      <c r="L60" s="5" t="s">
        <v>58</v>
      </c>
      <c r="M60" s="5" t="s">
        <v>59</v>
      </c>
      <c r="N60" s="5" t="s">
        <v>1332</v>
      </c>
      <c r="O60" s="5" t="s">
        <v>1333</v>
      </c>
      <c r="P60" s="5" t="s">
        <v>1334</v>
      </c>
      <c r="Q60" s="5" t="s">
        <v>1335</v>
      </c>
      <c r="R60" s="5" t="s">
        <v>1336</v>
      </c>
      <c r="S60" s="5" t="s">
        <v>64</v>
      </c>
      <c r="T60" s="5" t="s">
        <v>1337</v>
      </c>
      <c r="U60" s="6">
        <v>40863</v>
      </c>
      <c r="V60" s="5" t="s">
        <v>1338</v>
      </c>
      <c r="W60" s="5"/>
      <c r="X60" s="5" t="s">
        <v>1339</v>
      </c>
      <c r="Y60" s="5" t="s">
        <v>1340</v>
      </c>
      <c r="Z60" s="5" t="s">
        <v>1341</v>
      </c>
      <c r="AA60" s="5" t="s">
        <v>1342</v>
      </c>
      <c r="AB60" s="6">
        <v>42159</v>
      </c>
      <c r="AC60" s="5" t="s">
        <v>1330</v>
      </c>
      <c r="AD60" s="6">
        <v>41585</v>
      </c>
      <c r="AE60" s="5"/>
      <c r="AF60" s="6">
        <v>1462</v>
      </c>
      <c r="AG60" s="5" t="s">
        <v>1343</v>
      </c>
      <c r="AH60" s="6">
        <v>25569</v>
      </c>
      <c r="AI60" s="5" t="s">
        <v>586</v>
      </c>
      <c r="AJ60" s="5" t="s">
        <v>1344</v>
      </c>
      <c r="AK60" s="6">
        <v>41337</v>
      </c>
      <c r="AL60" s="5"/>
      <c r="AM60" s="5" t="s">
        <v>734</v>
      </c>
      <c r="AN60" s="6">
        <v>41726</v>
      </c>
      <c r="AO60" s="5"/>
      <c r="AP60" s="5" t="s">
        <v>1345</v>
      </c>
      <c r="AQ60" s="5" t="s">
        <v>1269</v>
      </c>
      <c r="AR60" s="6">
        <v>1462</v>
      </c>
      <c r="AS60" s="5"/>
      <c r="AT60" s="5" t="s">
        <v>1346</v>
      </c>
      <c r="AU60" s="5" t="s">
        <v>1269</v>
      </c>
      <c r="AV60" s="6">
        <v>1462</v>
      </c>
      <c r="AW60" s="5"/>
      <c r="AX60" s="5" t="s">
        <v>1347</v>
      </c>
      <c r="AY60" s="5"/>
      <c r="AZ60" s="6">
        <v>1462</v>
      </c>
      <c r="BA60" s="5"/>
      <c r="BB60" s="5" t="s">
        <v>1021</v>
      </c>
      <c r="BC60" s="5" t="s">
        <v>1348</v>
      </c>
      <c r="BD60" s="6">
        <v>39630</v>
      </c>
      <c r="BE60" s="5" t="s">
        <v>931</v>
      </c>
      <c r="BF60" s="5"/>
      <c r="BG60" s="7">
        <v>45292</v>
      </c>
      <c r="BH60" s="5"/>
      <c r="BI60" s="13" t="s">
        <v>53</v>
      </c>
    </row>
    <row r="61" spans="1:61" ht="26.5" customHeight="1" x14ac:dyDescent="0.15">
      <c r="A61" s="3">
        <v>60</v>
      </c>
      <c r="B61" s="4" t="s">
        <v>1349</v>
      </c>
      <c r="C61" s="4"/>
      <c r="D61" s="4" t="s">
        <v>599</v>
      </c>
      <c r="E61" s="5" t="s">
        <v>1350</v>
      </c>
      <c r="F61" s="5" t="s">
        <v>91</v>
      </c>
      <c r="G61" s="5" t="s">
        <v>215</v>
      </c>
      <c r="H61" s="5" t="s">
        <v>626</v>
      </c>
      <c r="I61" s="6">
        <v>28398</v>
      </c>
      <c r="J61" s="5" t="s">
        <v>56</v>
      </c>
      <c r="K61" s="5" t="s">
        <v>187</v>
      </c>
      <c r="L61" s="5" t="s">
        <v>58</v>
      </c>
      <c r="M61" s="5" t="s">
        <v>59</v>
      </c>
      <c r="N61" s="5" t="s">
        <v>1351</v>
      </c>
      <c r="O61" s="5" t="s">
        <v>1352</v>
      </c>
      <c r="P61" s="5" t="s">
        <v>1353</v>
      </c>
      <c r="Q61" s="5" t="s">
        <v>1354</v>
      </c>
      <c r="R61" s="5" t="s">
        <v>1355</v>
      </c>
      <c r="S61" s="5" t="s">
        <v>64</v>
      </c>
      <c r="T61" s="5" t="s">
        <v>1356</v>
      </c>
      <c r="U61" s="6">
        <v>41093</v>
      </c>
      <c r="V61" s="5" t="s">
        <v>1357</v>
      </c>
      <c r="W61" s="5"/>
      <c r="X61" s="5" t="s">
        <v>1358</v>
      </c>
      <c r="Y61" s="5" t="s">
        <v>1359</v>
      </c>
      <c r="Z61" s="5" t="s">
        <v>1360</v>
      </c>
      <c r="AA61" s="5" t="s">
        <v>1361</v>
      </c>
      <c r="AB61" s="6">
        <v>42159</v>
      </c>
      <c r="AC61" s="5" t="s">
        <v>1350</v>
      </c>
      <c r="AD61" s="6">
        <v>41698</v>
      </c>
      <c r="AE61" s="5" t="s">
        <v>1362</v>
      </c>
      <c r="AF61" s="6">
        <v>42661</v>
      </c>
      <c r="AG61" s="5" t="s">
        <v>1159</v>
      </c>
      <c r="AH61" s="6">
        <v>25569</v>
      </c>
      <c r="AI61" s="5" t="s">
        <v>586</v>
      </c>
      <c r="AJ61" s="5" t="s">
        <v>1363</v>
      </c>
      <c r="AK61" s="6">
        <v>41337</v>
      </c>
      <c r="AL61" s="5"/>
      <c r="AM61" s="5" t="s">
        <v>734</v>
      </c>
      <c r="AN61" s="6">
        <v>41726</v>
      </c>
      <c r="AO61" s="5"/>
      <c r="AP61" s="5" t="s">
        <v>1364</v>
      </c>
      <c r="AQ61" s="5" t="s">
        <v>1365</v>
      </c>
      <c r="AR61" s="6">
        <v>33031</v>
      </c>
      <c r="AS61" s="5"/>
      <c r="AT61" s="5" t="s">
        <v>1366</v>
      </c>
      <c r="AU61" s="5" t="s">
        <v>1367</v>
      </c>
      <c r="AV61" s="6">
        <v>34127</v>
      </c>
      <c r="AW61" s="5"/>
      <c r="AX61" s="5" t="s">
        <v>1368</v>
      </c>
      <c r="AY61" s="5" t="s">
        <v>1369</v>
      </c>
      <c r="AZ61" s="6">
        <v>35212</v>
      </c>
      <c r="BA61" s="5"/>
      <c r="BB61" s="5" t="s">
        <v>1370</v>
      </c>
      <c r="BC61" s="5" t="s">
        <v>1371</v>
      </c>
      <c r="BD61" s="6">
        <v>35212</v>
      </c>
      <c r="BE61" s="5" t="s">
        <v>931</v>
      </c>
      <c r="BF61" s="5"/>
      <c r="BG61" s="7">
        <v>45292</v>
      </c>
      <c r="BH61" s="5"/>
      <c r="BI61" s="13" t="s">
        <v>53</v>
      </c>
    </row>
    <row r="62" spans="1:61" ht="26.5" customHeight="1" x14ac:dyDescent="0.15">
      <c r="A62" s="3">
        <v>61</v>
      </c>
      <c r="B62" s="4" t="s">
        <v>1372</v>
      </c>
      <c r="C62" s="4"/>
      <c r="D62" s="4" t="s">
        <v>1373</v>
      </c>
      <c r="E62" s="5" t="s">
        <v>1374</v>
      </c>
      <c r="F62" s="5" t="s">
        <v>91</v>
      </c>
      <c r="G62" s="5" t="s">
        <v>215</v>
      </c>
      <c r="H62" s="5" t="s">
        <v>673</v>
      </c>
      <c r="I62" s="6">
        <v>28483</v>
      </c>
      <c r="J62" s="5" t="s">
        <v>56</v>
      </c>
      <c r="K62" s="5" t="s">
        <v>187</v>
      </c>
      <c r="L62" s="5" t="s">
        <v>58</v>
      </c>
      <c r="M62" s="5" t="s">
        <v>59</v>
      </c>
      <c r="N62" s="5" t="s">
        <v>1375</v>
      </c>
      <c r="O62" s="5" t="s">
        <v>1376</v>
      </c>
      <c r="P62" s="5" t="s">
        <v>871</v>
      </c>
      <c r="Q62" s="5" t="s">
        <v>1377</v>
      </c>
      <c r="R62" s="5" t="s">
        <v>1378</v>
      </c>
      <c r="S62" s="5" t="s">
        <v>64</v>
      </c>
      <c r="T62" s="5" t="s">
        <v>1379</v>
      </c>
      <c r="U62" s="6">
        <v>38636</v>
      </c>
      <c r="V62" s="5" t="s">
        <v>1380</v>
      </c>
      <c r="W62" s="5"/>
      <c r="X62" s="5" t="s">
        <v>1381</v>
      </c>
      <c r="Y62" s="5" t="s">
        <v>1382</v>
      </c>
      <c r="Z62" s="5" t="s">
        <v>1383</v>
      </c>
      <c r="AA62" s="5" t="s">
        <v>1384</v>
      </c>
      <c r="AB62" s="6">
        <v>42159</v>
      </c>
      <c r="AC62" s="5" t="s">
        <v>1374</v>
      </c>
      <c r="AD62" s="6">
        <v>41472</v>
      </c>
      <c r="AE62" s="5" t="s">
        <v>1385</v>
      </c>
      <c r="AF62" s="6">
        <v>42661</v>
      </c>
      <c r="AG62" s="5" t="s">
        <v>1159</v>
      </c>
      <c r="AH62" s="6">
        <v>25569</v>
      </c>
      <c r="AI62" s="5" t="s">
        <v>586</v>
      </c>
      <c r="AJ62" s="5" t="s">
        <v>1386</v>
      </c>
      <c r="AK62" s="6">
        <v>41337</v>
      </c>
      <c r="AL62" s="5"/>
      <c r="AM62" s="5" t="s">
        <v>734</v>
      </c>
      <c r="AN62" s="6">
        <v>41726</v>
      </c>
      <c r="AO62" s="5"/>
      <c r="AP62" s="5" t="s">
        <v>1387</v>
      </c>
      <c r="AQ62" s="5" t="s">
        <v>1388</v>
      </c>
      <c r="AR62" s="6">
        <v>33031</v>
      </c>
      <c r="AS62" s="5"/>
      <c r="AT62" s="5" t="s">
        <v>1389</v>
      </c>
      <c r="AU62" s="5" t="s">
        <v>1390</v>
      </c>
      <c r="AV62" s="6">
        <v>34125</v>
      </c>
      <c r="AW62" s="5"/>
      <c r="AX62" s="5" t="s">
        <v>1391</v>
      </c>
      <c r="AY62" s="5" t="s">
        <v>1392</v>
      </c>
      <c r="AZ62" s="6">
        <v>35210</v>
      </c>
      <c r="BA62" s="5"/>
      <c r="BB62" s="5" t="s">
        <v>396</v>
      </c>
      <c r="BC62" s="5" t="s">
        <v>1392</v>
      </c>
      <c r="BD62" s="6">
        <v>35210</v>
      </c>
      <c r="BE62" s="5" t="s">
        <v>1393</v>
      </c>
      <c r="BF62" s="5"/>
      <c r="BG62" s="7">
        <v>45292</v>
      </c>
      <c r="BH62" s="5"/>
      <c r="BI62" s="13" t="s">
        <v>53</v>
      </c>
    </row>
    <row r="63" spans="1:61" ht="24.75" customHeight="1" x14ac:dyDescent="0.15">
      <c r="A63" s="3">
        <v>62</v>
      </c>
      <c r="B63" s="4" t="s">
        <v>1394</v>
      </c>
      <c r="C63" s="4"/>
      <c r="D63" s="4" t="s">
        <v>599</v>
      </c>
      <c r="E63" s="5" t="s">
        <v>1395</v>
      </c>
      <c r="F63" s="5" t="s">
        <v>91</v>
      </c>
      <c r="G63" s="5" t="s">
        <v>215</v>
      </c>
      <c r="H63" s="5" t="s">
        <v>1396</v>
      </c>
      <c r="I63" s="6">
        <v>30401</v>
      </c>
      <c r="J63" s="5" t="s">
        <v>56</v>
      </c>
      <c r="K63" s="5" t="s">
        <v>57</v>
      </c>
      <c r="L63" s="5" t="s">
        <v>58</v>
      </c>
      <c r="M63" s="5" t="s">
        <v>59</v>
      </c>
      <c r="N63" s="5" t="s">
        <v>1397</v>
      </c>
      <c r="O63" s="5" t="s">
        <v>1398</v>
      </c>
      <c r="P63" s="5" t="s">
        <v>1399</v>
      </c>
      <c r="Q63" s="5" t="s">
        <v>1400</v>
      </c>
      <c r="R63" s="5" t="s">
        <v>1401</v>
      </c>
      <c r="S63" s="5" t="s">
        <v>64</v>
      </c>
      <c r="T63" s="5" t="s">
        <v>1402</v>
      </c>
      <c r="U63" s="6">
        <v>38932</v>
      </c>
      <c r="V63" s="5" t="s">
        <v>1403</v>
      </c>
      <c r="W63" s="5"/>
      <c r="X63" s="5" t="s">
        <v>1404</v>
      </c>
      <c r="Y63" s="5" t="s">
        <v>1405</v>
      </c>
      <c r="Z63" s="5" t="s">
        <v>1406</v>
      </c>
      <c r="AA63" s="5" t="s">
        <v>1407</v>
      </c>
      <c r="AB63" s="6">
        <v>42159</v>
      </c>
      <c r="AC63" s="5" t="s">
        <v>1395</v>
      </c>
      <c r="AD63" s="6">
        <v>41442</v>
      </c>
      <c r="AE63" s="5" t="s">
        <v>1408</v>
      </c>
      <c r="AF63" s="6">
        <v>42696</v>
      </c>
      <c r="AG63" s="5" t="s">
        <v>1159</v>
      </c>
      <c r="AH63" s="6">
        <v>25569</v>
      </c>
      <c r="AI63" s="5" t="s">
        <v>586</v>
      </c>
      <c r="AJ63" s="5" t="s">
        <v>1409</v>
      </c>
      <c r="AK63" s="6">
        <v>41337</v>
      </c>
      <c r="AL63" s="5"/>
      <c r="AM63" s="5" t="s">
        <v>734</v>
      </c>
      <c r="AN63" s="6">
        <v>41726</v>
      </c>
      <c r="AO63" s="5"/>
      <c r="AP63" s="5" t="s">
        <v>1410</v>
      </c>
      <c r="AQ63" s="5" t="s">
        <v>1411</v>
      </c>
      <c r="AR63" s="6">
        <v>35593</v>
      </c>
      <c r="AS63" s="5"/>
      <c r="AT63" s="5" t="s">
        <v>1412</v>
      </c>
      <c r="AU63" s="5" t="s">
        <v>1413</v>
      </c>
      <c r="AV63" s="6">
        <v>36693</v>
      </c>
      <c r="AW63" s="5"/>
      <c r="AX63" s="5" t="s">
        <v>1414</v>
      </c>
      <c r="AY63" s="5" t="s">
        <v>1415</v>
      </c>
      <c r="AZ63" s="6">
        <v>37777</v>
      </c>
      <c r="BA63" s="5"/>
      <c r="BB63" s="5" t="s">
        <v>1416</v>
      </c>
      <c r="BC63" s="5" t="s">
        <v>1417</v>
      </c>
      <c r="BD63" s="6">
        <v>37747</v>
      </c>
      <c r="BE63" s="5" t="s">
        <v>293</v>
      </c>
      <c r="BF63" s="5"/>
      <c r="BG63" s="7">
        <v>45292</v>
      </c>
      <c r="BH63" s="5"/>
      <c r="BI63" s="13" t="s">
        <v>53</v>
      </c>
    </row>
    <row r="64" spans="1:61" ht="24.75" customHeight="1" x14ac:dyDescent="0.15">
      <c r="A64" s="3">
        <v>63</v>
      </c>
      <c r="B64" s="4" t="s">
        <v>1418</v>
      </c>
      <c r="C64" s="4"/>
      <c r="D64" s="4" t="s">
        <v>599</v>
      </c>
      <c r="E64" s="5" t="s">
        <v>1419</v>
      </c>
      <c r="F64" s="5" t="s">
        <v>91</v>
      </c>
      <c r="G64" s="5" t="s">
        <v>215</v>
      </c>
      <c r="H64" s="5" t="s">
        <v>1420</v>
      </c>
      <c r="I64" s="6">
        <v>31215</v>
      </c>
      <c r="J64" s="5" t="s">
        <v>56</v>
      </c>
      <c r="K64" s="5" t="s">
        <v>187</v>
      </c>
      <c r="L64" s="5" t="s">
        <v>58</v>
      </c>
      <c r="M64" s="5" t="s">
        <v>59</v>
      </c>
      <c r="N64" s="5" t="s">
        <v>1421</v>
      </c>
      <c r="O64" s="5" t="s">
        <v>1422</v>
      </c>
      <c r="P64" s="5" t="s">
        <v>299</v>
      </c>
      <c r="Q64" s="5" t="s">
        <v>1400</v>
      </c>
      <c r="R64" s="5" t="s">
        <v>1423</v>
      </c>
      <c r="S64" s="5" t="s">
        <v>64</v>
      </c>
      <c r="T64" s="5" t="s">
        <v>1424</v>
      </c>
      <c r="U64" s="6">
        <v>43455</v>
      </c>
      <c r="V64" s="5" t="s">
        <v>1425</v>
      </c>
      <c r="W64" s="5"/>
      <c r="X64" s="5" t="s">
        <v>1426</v>
      </c>
      <c r="Y64" s="5" t="s">
        <v>1427</v>
      </c>
      <c r="Z64" s="5" t="s">
        <v>1428</v>
      </c>
      <c r="AA64" s="5" t="s">
        <v>1429</v>
      </c>
      <c r="AB64" s="6">
        <v>42159</v>
      </c>
      <c r="AC64" s="5" t="s">
        <v>1419</v>
      </c>
      <c r="AD64" s="6">
        <v>41442</v>
      </c>
      <c r="AE64" s="5"/>
      <c r="AF64" s="6">
        <v>1462</v>
      </c>
      <c r="AG64" s="5" t="s">
        <v>1159</v>
      </c>
      <c r="AH64" s="6">
        <v>42838</v>
      </c>
      <c r="AI64" s="5" t="s">
        <v>586</v>
      </c>
      <c r="AJ64" s="5" t="s">
        <v>1430</v>
      </c>
      <c r="AK64" s="6">
        <v>41337</v>
      </c>
      <c r="AL64" s="5"/>
      <c r="AM64" s="5" t="s">
        <v>734</v>
      </c>
      <c r="AN64" s="6">
        <v>41726</v>
      </c>
      <c r="AO64" s="5"/>
      <c r="AP64" s="5" t="s">
        <v>1431</v>
      </c>
      <c r="AQ64" s="5" t="s">
        <v>1432</v>
      </c>
      <c r="AR64" s="6">
        <v>35591</v>
      </c>
      <c r="AS64" s="5"/>
      <c r="AT64" s="5" t="s">
        <v>1433</v>
      </c>
      <c r="AU64" s="5" t="s">
        <v>1434</v>
      </c>
      <c r="AV64" s="6">
        <v>36700</v>
      </c>
      <c r="AW64" s="5"/>
      <c r="AX64" s="5" t="s">
        <v>1435</v>
      </c>
      <c r="AY64" s="5" t="s">
        <v>1436</v>
      </c>
      <c r="AZ64" s="6">
        <v>37779</v>
      </c>
      <c r="BA64" s="5"/>
      <c r="BB64" s="5" t="s">
        <v>396</v>
      </c>
      <c r="BC64" s="5" t="s">
        <v>1437</v>
      </c>
      <c r="BD64" s="6">
        <v>37809</v>
      </c>
      <c r="BE64" s="5" t="s">
        <v>1438</v>
      </c>
      <c r="BF64" s="5"/>
      <c r="BG64" s="7">
        <v>45292</v>
      </c>
      <c r="BH64" s="5"/>
      <c r="BI64" s="13" t="s">
        <v>53</v>
      </c>
    </row>
    <row r="65" spans="1:61" ht="26.5" customHeight="1" x14ac:dyDescent="0.15">
      <c r="A65" s="3">
        <v>64</v>
      </c>
      <c r="B65" s="4" t="s">
        <v>1439</v>
      </c>
      <c r="C65" s="4" t="s">
        <v>569</v>
      </c>
      <c r="D65" s="4" t="s">
        <v>599</v>
      </c>
      <c r="E65" s="5" t="s">
        <v>1440</v>
      </c>
      <c r="F65" s="5" t="s">
        <v>96</v>
      </c>
      <c r="G65" s="5" t="s">
        <v>102</v>
      </c>
      <c r="H65" s="5" t="s">
        <v>1441</v>
      </c>
      <c r="I65" s="6">
        <v>31695</v>
      </c>
      <c r="J65" s="5" t="s">
        <v>56</v>
      </c>
      <c r="K65" s="5" t="s">
        <v>57</v>
      </c>
      <c r="L65" s="5" t="s">
        <v>58</v>
      </c>
      <c r="M65" s="5" t="s">
        <v>59</v>
      </c>
      <c r="N65" s="5" t="s">
        <v>1442</v>
      </c>
      <c r="O65" s="5" t="s">
        <v>1443</v>
      </c>
      <c r="P65" s="5" t="s">
        <v>1444</v>
      </c>
      <c r="Q65" s="5" t="s">
        <v>1445</v>
      </c>
      <c r="R65" s="5" t="s">
        <v>1446</v>
      </c>
      <c r="S65" s="5" t="s">
        <v>64</v>
      </c>
      <c r="T65" s="5" t="s">
        <v>1447</v>
      </c>
      <c r="U65" s="6">
        <v>41658</v>
      </c>
      <c r="V65" s="5" t="s">
        <v>1448</v>
      </c>
      <c r="W65" s="5"/>
      <c r="X65" s="5" t="s">
        <v>1449</v>
      </c>
      <c r="Y65" s="5" t="s">
        <v>1450</v>
      </c>
      <c r="Z65" s="5" t="s">
        <v>1451</v>
      </c>
      <c r="AA65" s="5" t="s">
        <v>1452</v>
      </c>
      <c r="AB65" s="6">
        <v>42159</v>
      </c>
      <c r="AC65" s="5" t="s">
        <v>1440</v>
      </c>
      <c r="AD65" s="6">
        <v>41469</v>
      </c>
      <c r="AE65" s="5" t="s">
        <v>1453</v>
      </c>
      <c r="AF65" s="6">
        <v>42696</v>
      </c>
      <c r="AG65" s="5" t="s">
        <v>1454</v>
      </c>
      <c r="AH65" s="6">
        <v>43159</v>
      </c>
      <c r="AI65" s="5" t="s">
        <v>176</v>
      </c>
      <c r="AJ65" s="5" t="s">
        <v>1455</v>
      </c>
      <c r="AK65" s="6">
        <v>41337</v>
      </c>
      <c r="AL65" s="5"/>
      <c r="AM65" s="5" t="s">
        <v>734</v>
      </c>
      <c r="AN65" s="6">
        <v>41726</v>
      </c>
      <c r="AO65" s="5"/>
      <c r="AP65" s="5" t="s">
        <v>1456</v>
      </c>
      <c r="AQ65" s="5" t="s">
        <v>1457</v>
      </c>
      <c r="AR65" s="6">
        <v>35593</v>
      </c>
      <c r="AS65" s="5"/>
      <c r="AT65" s="5" t="s">
        <v>1458</v>
      </c>
      <c r="AU65" s="5" t="s">
        <v>1459</v>
      </c>
      <c r="AV65" s="6">
        <v>37070</v>
      </c>
      <c r="AW65" s="5"/>
      <c r="AX65" s="5" t="s">
        <v>1460</v>
      </c>
      <c r="AY65" s="5" t="s">
        <v>1461</v>
      </c>
      <c r="AZ65" s="6">
        <v>38152</v>
      </c>
      <c r="BA65" s="5"/>
      <c r="BB65" s="5" t="s">
        <v>1462</v>
      </c>
      <c r="BC65" s="5" t="s">
        <v>1463</v>
      </c>
      <c r="BD65" s="6">
        <v>38152</v>
      </c>
      <c r="BE65" s="5" t="s">
        <v>1464</v>
      </c>
      <c r="BF65" s="5"/>
      <c r="BG65" s="7">
        <v>45292</v>
      </c>
      <c r="BH65" s="5"/>
      <c r="BI65" s="13" t="s">
        <v>53</v>
      </c>
    </row>
    <row r="66" spans="1:61" ht="24.75" customHeight="1" x14ac:dyDescent="0.15">
      <c r="A66" s="3">
        <v>65</v>
      </c>
      <c r="B66" s="4" t="s">
        <v>1465</v>
      </c>
      <c r="C66" s="4"/>
      <c r="D66" s="4" t="s">
        <v>599</v>
      </c>
      <c r="E66" s="5" t="s">
        <v>1466</v>
      </c>
      <c r="F66" s="5" t="s">
        <v>91</v>
      </c>
      <c r="G66" s="5" t="s">
        <v>215</v>
      </c>
      <c r="H66" s="5" t="s">
        <v>673</v>
      </c>
      <c r="I66" s="6">
        <v>31626</v>
      </c>
      <c r="J66" s="5" t="s">
        <v>56</v>
      </c>
      <c r="K66" s="5" t="s">
        <v>57</v>
      </c>
      <c r="L66" s="5" t="s">
        <v>58</v>
      </c>
      <c r="M66" s="5" t="s">
        <v>59</v>
      </c>
      <c r="N66" s="5" t="s">
        <v>1467</v>
      </c>
      <c r="O66" s="5" t="s">
        <v>1468</v>
      </c>
      <c r="P66" s="5" t="s">
        <v>1239</v>
      </c>
      <c r="Q66" s="5" t="s">
        <v>1469</v>
      </c>
      <c r="R66" s="5" t="s">
        <v>1470</v>
      </c>
      <c r="S66" s="5" t="s">
        <v>64</v>
      </c>
      <c r="T66" s="5" t="s">
        <v>1471</v>
      </c>
      <c r="U66" s="6">
        <v>39825</v>
      </c>
      <c r="V66" s="5" t="s">
        <v>1472</v>
      </c>
      <c r="W66" s="5"/>
      <c r="X66" s="5" t="s">
        <v>1473</v>
      </c>
      <c r="Y66" s="5" t="s">
        <v>1474</v>
      </c>
      <c r="Z66" s="5" t="s">
        <v>1475</v>
      </c>
      <c r="AA66" s="5" t="s">
        <v>1476</v>
      </c>
      <c r="AB66" s="6">
        <v>42159</v>
      </c>
      <c r="AC66" s="5" t="s">
        <v>1477</v>
      </c>
      <c r="AD66" s="6">
        <v>41444</v>
      </c>
      <c r="AE66" s="5" t="s">
        <v>1478</v>
      </c>
      <c r="AF66" s="6">
        <v>42696</v>
      </c>
      <c r="AG66" s="5" t="s">
        <v>1159</v>
      </c>
      <c r="AH66" s="6">
        <v>42838</v>
      </c>
      <c r="AI66" s="5" t="s">
        <v>586</v>
      </c>
      <c r="AJ66" s="5" t="s">
        <v>1479</v>
      </c>
      <c r="AK66" s="6">
        <v>41337</v>
      </c>
      <c r="AL66" s="5"/>
      <c r="AM66" s="5" t="s">
        <v>734</v>
      </c>
      <c r="AN66" s="6">
        <v>41726</v>
      </c>
      <c r="AO66" s="5"/>
      <c r="AP66" s="5"/>
      <c r="AQ66" s="5"/>
      <c r="AR66" s="6">
        <v>1462</v>
      </c>
      <c r="AS66" s="5"/>
      <c r="AT66" s="5" t="s">
        <v>1480</v>
      </c>
      <c r="AU66" s="5" t="s">
        <v>1481</v>
      </c>
      <c r="AV66" s="6">
        <v>37070</v>
      </c>
      <c r="AW66" s="5"/>
      <c r="AX66" s="5" t="s">
        <v>506</v>
      </c>
      <c r="AY66" s="5" t="s">
        <v>1482</v>
      </c>
      <c r="AZ66" s="6">
        <v>38152</v>
      </c>
      <c r="BA66" s="5"/>
      <c r="BB66" s="5" t="s">
        <v>1462</v>
      </c>
      <c r="BC66" s="5" t="s">
        <v>1483</v>
      </c>
      <c r="BD66" s="6">
        <v>38152</v>
      </c>
      <c r="BE66" s="5" t="s">
        <v>1464</v>
      </c>
      <c r="BF66" s="5"/>
      <c r="BG66" s="7">
        <v>45292</v>
      </c>
      <c r="BH66" s="5"/>
      <c r="BI66" s="13" t="s">
        <v>53</v>
      </c>
    </row>
    <row r="67" spans="1:61" ht="24.75" customHeight="1" x14ac:dyDescent="0.15">
      <c r="A67" s="3">
        <v>66</v>
      </c>
      <c r="B67" s="4" t="s">
        <v>1484</v>
      </c>
      <c r="C67" s="4"/>
      <c r="D67" s="4" t="s">
        <v>599</v>
      </c>
      <c r="E67" s="5" t="s">
        <v>1485</v>
      </c>
      <c r="F67" s="5" t="s">
        <v>91</v>
      </c>
      <c r="G67" s="5" t="s">
        <v>215</v>
      </c>
      <c r="H67" s="5" t="s">
        <v>373</v>
      </c>
      <c r="I67" s="6">
        <v>28525</v>
      </c>
      <c r="J67" s="5" t="s">
        <v>56</v>
      </c>
      <c r="K67" s="5" t="s">
        <v>57</v>
      </c>
      <c r="L67" s="5" t="s">
        <v>58</v>
      </c>
      <c r="M67" s="5" t="s">
        <v>59</v>
      </c>
      <c r="N67" s="5" t="s">
        <v>1486</v>
      </c>
      <c r="O67" s="5" t="s">
        <v>1487</v>
      </c>
      <c r="P67" s="5" t="s">
        <v>871</v>
      </c>
      <c r="Q67" s="5" t="s">
        <v>1488</v>
      </c>
      <c r="R67" s="5" t="s">
        <v>1489</v>
      </c>
      <c r="S67" s="5" t="s">
        <v>64</v>
      </c>
      <c r="T67" s="5" t="s">
        <v>1490</v>
      </c>
      <c r="U67" s="6">
        <v>42749</v>
      </c>
      <c r="V67" s="5" t="s">
        <v>1491</v>
      </c>
      <c r="W67" s="5"/>
      <c r="X67" s="5" t="s">
        <v>1492</v>
      </c>
      <c r="Y67" s="5" t="s">
        <v>680</v>
      </c>
      <c r="Z67" s="5" t="s">
        <v>1493</v>
      </c>
      <c r="AA67" s="5"/>
      <c r="AB67" s="6">
        <v>1462</v>
      </c>
      <c r="AC67" s="5" t="s">
        <v>1494</v>
      </c>
      <c r="AD67" s="6">
        <v>41879</v>
      </c>
      <c r="AE67" s="5"/>
      <c r="AF67" s="6">
        <v>1462</v>
      </c>
      <c r="AG67" s="5" t="s">
        <v>1495</v>
      </c>
      <c r="AH67" s="6">
        <v>43108</v>
      </c>
      <c r="AI67" s="5" t="s">
        <v>586</v>
      </c>
      <c r="AJ67" s="5" t="s">
        <v>1496</v>
      </c>
      <c r="AK67" s="6">
        <v>41789</v>
      </c>
      <c r="AL67" s="5"/>
      <c r="AM67" s="5" t="s">
        <v>1497</v>
      </c>
      <c r="AN67" s="6">
        <v>42222</v>
      </c>
      <c r="AO67" s="5"/>
      <c r="AP67" s="5" t="s">
        <v>1498</v>
      </c>
      <c r="AQ67" s="5" t="s">
        <v>1499</v>
      </c>
      <c r="AR67" s="6">
        <v>33025</v>
      </c>
      <c r="AS67" s="5"/>
      <c r="AT67" s="5" t="s">
        <v>1500</v>
      </c>
      <c r="AU67" s="5" t="s">
        <v>1501</v>
      </c>
      <c r="AV67" s="6">
        <v>34508</v>
      </c>
      <c r="AW67" s="5"/>
      <c r="AX67" s="5" t="s">
        <v>1502</v>
      </c>
      <c r="AY67" s="5" t="s">
        <v>1503</v>
      </c>
      <c r="AZ67" s="6">
        <v>36284</v>
      </c>
      <c r="BA67" s="5"/>
      <c r="BB67" s="5" t="s">
        <v>956</v>
      </c>
      <c r="BC67" s="5" t="s">
        <v>1504</v>
      </c>
      <c r="BD67" s="6">
        <v>36304</v>
      </c>
      <c r="BE67" s="5" t="s">
        <v>1505</v>
      </c>
      <c r="BF67" s="5"/>
      <c r="BG67" s="7">
        <v>45292</v>
      </c>
      <c r="BH67" s="5"/>
      <c r="BI67" s="13" t="s">
        <v>53</v>
      </c>
    </row>
    <row r="68" spans="1:61" ht="26.5" customHeight="1" x14ac:dyDescent="0.15">
      <c r="A68" s="3">
        <v>67</v>
      </c>
      <c r="B68" s="4" t="s">
        <v>1506</v>
      </c>
      <c r="C68" s="4"/>
      <c r="D68" s="4" t="s">
        <v>599</v>
      </c>
      <c r="E68" s="5" t="s">
        <v>1507</v>
      </c>
      <c r="F68" s="5" t="s">
        <v>91</v>
      </c>
      <c r="G68" s="5" t="s">
        <v>215</v>
      </c>
      <c r="H68" s="5" t="s">
        <v>1508</v>
      </c>
      <c r="I68" s="6">
        <v>30972</v>
      </c>
      <c r="J68" s="5" t="s">
        <v>56</v>
      </c>
      <c r="K68" s="5" t="s">
        <v>57</v>
      </c>
      <c r="L68" s="5" t="s">
        <v>58</v>
      </c>
      <c r="M68" s="5" t="s">
        <v>59</v>
      </c>
      <c r="N68" s="5" t="s">
        <v>1509</v>
      </c>
      <c r="O68" s="5" t="s">
        <v>1510</v>
      </c>
      <c r="P68" s="5" t="s">
        <v>376</v>
      </c>
      <c r="Q68" s="5" t="s">
        <v>1511</v>
      </c>
      <c r="R68" s="5" t="s">
        <v>1512</v>
      </c>
      <c r="S68" s="5" t="s">
        <v>64</v>
      </c>
      <c r="T68" s="5" t="s">
        <v>1513</v>
      </c>
      <c r="U68" s="6">
        <v>41448</v>
      </c>
      <c r="V68" s="5" t="s">
        <v>1514</v>
      </c>
      <c r="W68" s="5"/>
      <c r="X68" s="5" t="s">
        <v>1515</v>
      </c>
      <c r="Y68" s="5" t="s">
        <v>1516</v>
      </c>
      <c r="Z68" s="5" t="s">
        <v>680</v>
      </c>
      <c r="AA68" s="5"/>
      <c r="AB68" s="6">
        <v>1462</v>
      </c>
      <c r="AC68" s="5" t="s">
        <v>1517</v>
      </c>
      <c r="AD68" s="6">
        <v>1462</v>
      </c>
      <c r="AE68" s="5" t="s">
        <v>1518</v>
      </c>
      <c r="AF68" s="6">
        <v>42696</v>
      </c>
      <c r="AG68" s="5" t="s">
        <v>1495</v>
      </c>
      <c r="AH68" s="6">
        <v>43109</v>
      </c>
      <c r="AI68" s="5" t="s">
        <v>586</v>
      </c>
      <c r="AJ68" s="5" t="s">
        <v>1519</v>
      </c>
      <c r="AK68" s="6">
        <v>41789</v>
      </c>
      <c r="AL68" s="5"/>
      <c r="AM68" s="5" t="s">
        <v>1495</v>
      </c>
      <c r="AN68" s="6">
        <v>43108</v>
      </c>
      <c r="AO68" s="5"/>
      <c r="AP68" s="5" t="s">
        <v>1520</v>
      </c>
      <c r="AQ68" s="5" t="s">
        <v>1521</v>
      </c>
      <c r="AR68" s="6">
        <v>35591</v>
      </c>
      <c r="AS68" s="5"/>
      <c r="AT68" s="5" t="s">
        <v>1522</v>
      </c>
      <c r="AU68" s="5" t="s">
        <v>1523</v>
      </c>
      <c r="AV68" s="6">
        <v>36697</v>
      </c>
      <c r="AW68" s="5"/>
      <c r="AX68" s="5" t="s">
        <v>1524</v>
      </c>
      <c r="AY68" s="5" t="s">
        <v>1525</v>
      </c>
      <c r="AZ68" s="6">
        <v>37771</v>
      </c>
      <c r="BA68" s="5"/>
      <c r="BB68" s="5" t="s">
        <v>1370</v>
      </c>
      <c r="BC68" s="5" t="s">
        <v>1526</v>
      </c>
      <c r="BD68" s="6">
        <v>37771</v>
      </c>
      <c r="BE68" s="5" t="s">
        <v>1527</v>
      </c>
      <c r="BF68" s="5"/>
      <c r="BG68" s="7">
        <v>45292</v>
      </c>
      <c r="BH68" s="5"/>
      <c r="BI68" s="13" t="s">
        <v>53</v>
      </c>
    </row>
    <row r="69" spans="1:61" ht="26.5" customHeight="1" x14ac:dyDescent="0.15">
      <c r="A69" s="3">
        <v>68</v>
      </c>
      <c r="B69" s="4" t="s">
        <v>1528</v>
      </c>
      <c r="C69" s="4" t="s">
        <v>99</v>
      </c>
      <c r="D69" s="4" t="s">
        <v>599</v>
      </c>
      <c r="E69" s="5" t="s">
        <v>1529</v>
      </c>
      <c r="F69" s="5" t="s">
        <v>96</v>
      </c>
      <c r="G69" s="5" t="s">
        <v>102</v>
      </c>
      <c r="H69" s="5" t="s">
        <v>1530</v>
      </c>
      <c r="I69" s="6">
        <v>27394</v>
      </c>
      <c r="J69" s="5" t="s">
        <v>56</v>
      </c>
      <c r="K69" s="5" t="s">
        <v>57</v>
      </c>
      <c r="L69" s="5" t="s">
        <v>58</v>
      </c>
      <c r="M69" s="5" t="s">
        <v>59</v>
      </c>
      <c r="N69" s="5"/>
      <c r="O69" s="5" t="s">
        <v>1531</v>
      </c>
      <c r="P69" s="5"/>
      <c r="Q69" s="5" t="s">
        <v>1532</v>
      </c>
      <c r="R69" s="5" t="s">
        <v>1533</v>
      </c>
      <c r="S69" s="5" t="s">
        <v>64</v>
      </c>
      <c r="T69" s="5" t="s">
        <v>1534</v>
      </c>
      <c r="U69" s="6">
        <v>36975</v>
      </c>
      <c r="V69" s="5" t="s">
        <v>1535</v>
      </c>
      <c r="W69" s="5"/>
      <c r="X69" s="5" t="s">
        <v>1536</v>
      </c>
      <c r="Y69" s="5" t="s">
        <v>1537</v>
      </c>
      <c r="Z69" s="5" t="s">
        <v>1538</v>
      </c>
      <c r="AA69" s="5"/>
      <c r="AB69" s="6">
        <v>1462</v>
      </c>
      <c r="AC69" s="5" t="s">
        <v>1539</v>
      </c>
      <c r="AD69" s="6">
        <v>1462</v>
      </c>
      <c r="AE69" s="5" t="s">
        <v>1540</v>
      </c>
      <c r="AF69" s="6">
        <v>42696</v>
      </c>
      <c r="AG69" s="5" t="s">
        <v>732</v>
      </c>
      <c r="AH69" s="6">
        <v>25569</v>
      </c>
      <c r="AI69" s="5" t="s">
        <v>586</v>
      </c>
      <c r="AJ69" s="5" t="s">
        <v>1541</v>
      </c>
      <c r="AK69" s="6">
        <v>41918</v>
      </c>
      <c r="AL69" s="5"/>
      <c r="AM69" s="5" t="s">
        <v>1497</v>
      </c>
      <c r="AN69" s="6">
        <v>42222</v>
      </c>
      <c r="AO69" s="5"/>
      <c r="AP69" s="5" t="s">
        <v>1542</v>
      </c>
      <c r="AQ69" s="5" t="s">
        <v>1543</v>
      </c>
      <c r="AR69" s="6">
        <v>31930</v>
      </c>
      <c r="AS69" s="5"/>
      <c r="AT69" s="5" t="s">
        <v>1544</v>
      </c>
      <c r="AU69" s="5" t="s">
        <v>1545</v>
      </c>
      <c r="AV69" s="6">
        <v>33026</v>
      </c>
      <c r="AW69" s="5"/>
      <c r="AX69" s="5" t="s">
        <v>1546</v>
      </c>
      <c r="AY69" s="5" t="s">
        <v>1547</v>
      </c>
      <c r="AZ69" s="6">
        <v>34118</v>
      </c>
      <c r="BA69" s="5"/>
      <c r="BB69" s="5" t="s">
        <v>1548</v>
      </c>
      <c r="BC69" s="5" t="s">
        <v>1549</v>
      </c>
      <c r="BD69" s="6">
        <v>34118</v>
      </c>
      <c r="BE69" s="5"/>
      <c r="BF69" s="5"/>
      <c r="BG69" s="7">
        <v>45292</v>
      </c>
      <c r="BH69" s="5"/>
      <c r="BI69" s="13" t="s">
        <v>53</v>
      </c>
    </row>
    <row r="70" spans="1:61" ht="26.5" customHeight="1" x14ac:dyDescent="0.15">
      <c r="A70" s="3">
        <v>69</v>
      </c>
      <c r="B70" s="4" t="s">
        <v>1550</v>
      </c>
      <c r="C70" s="4"/>
      <c r="D70" s="4" t="s">
        <v>599</v>
      </c>
      <c r="E70" s="5" t="s">
        <v>1551</v>
      </c>
      <c r="F70" s="5" t="s">
        <v>91</v>
      </c>
      <c r="G70" s="5" t="s">
        <v>215</v>
      </c>
      <c r="H70" s="5" t="s">
        <v>242</v>
      </c>
      <c r="I70" s="6">
        <v>25149</v>
      </c>
      <c r="J70" s="5" t="s">
        <v>56</v>
      </c>
      <c r="K70" s="5" t="s">
        <v>57</v>
      </c>
      <c r="L70" s="5" t="s">
        <v>58</v>
      </c>
      <c r="M70" s="5" t="s">
        <v>59</v>
      </c>
      <c r="N70" s="5" t="s">
        <v>1552</v>
      </c>
      <c r="O70" s="5" t="s">
        <v>1553</v>
      </c>
      <c r="P70" s="5" t="s">
        <v>651</v>
      </c>
      <c r="Q70" s="5" t="s">
        <v>1554</v>
      </c>
      <c r="R70" s="5" t="s">
        <v>1555</v>
      </c>
      <c r="S70" s="5" t="s">
        <v>64</v>
      </c>
      <c r="T70" s="5" t="s">
        <v>1556</v>
      </c>
      <c r="U70" s="6">
        <v>36254</v>
      </c>
      <c r="V70" s="5" t="s">
        <v>1557</v>
      </c>
      <c r="W70" s="5"/>
      <c r="X70" s="5" t="s">
        <v>1558</v>
      </c>
      <c r="Y70" s="5" t="s">
        <v>1559</v>
      </c>
      <c r="Z70" s="5" t="s">
        <v>1560</v>
      </c>
      <c r="AA70" s="5"/>
      <c r="AB70" s="6">
        <v>1462</v>
      </c>
      <c r="AC70" s="5" t="s">
        <v>1561</v>
      </c>
      <c r="AD70" s="6">
        <v>42012</v>
      </c>
      <c r="AE70" s="5" t="s">
        <v>1562</v>
      </c>
      <c r="AF70" s="6">
        <v>42696</v>
      </c>
      <c r="AG70" s="5" t="s">
        <v>1495</v>
      </c>
      <c r="AH70" s="6">
        <v>43108</v>
      </c>
      <c r="AI70" s="5" t="s">
        <v>586</v>
      </c>
      <c r="AJ70" s="5" t="s">
        <v>1563</v>
      </c>
      <c r="AK70" s="6">
        <v>42086</v>
      </c>
      <c r="AL70" s="5"/>
      <c r="AM70" s="5" t="s">
        <v>1564</v>
      </c>
      <c r="AN70" s="6">
        <v>42550</v>
      </c>
      <c r="AO70" s="5"/>
      <c r="AP70" s="5" t="s">
        <v>1565</v>
      </c>
      <c r="AQ70" s="5" t="s">
        <v>1566</v>
      </c>
      <c r="AR70" s="6">
        <v>29353</v>
      </c>
      <c r="AS70" s="5"/>
      <c r="AT70" s="5" t="s">
        <v>1567</v>
      </c>
      <c r="AU70" s="5" t="s">
        <v>1568</v>
      </c>
      <c r="AV70" s="6">
        <v>30460</v>
      </c>
      <c r="AW70" s="5"/>
      <c r="AX70" s="5" t="s">
        <v>1569</v>
      </c>
      <c r="AY70" s="5" t="s">
        <v>1570</v>
      </c>
      <c r="AZ70" s="6">
        <v>31533</v>
      </c>
      <c r="BA70" s="5"/>
      <c r="BB70" s="5" t="s">
        <v>1571</v>
      </c>
      <c r="BC70" s="5" t="s">
        <v>1572</v>
      </c>
      <c r="BD70" s="6">
        <v>31417</v>
      </c>
      <c r="BE70" s="5" t="s">
        <v>931</v>
      </c>
      <c r="BF70" s="5"/>
      <c r="BG70" s="7">
        <v>45292</v>
      </c>
      <c r="BH70" s="5"/>
      <c r="BI70" s="13" t="s">
        <v>53</v>
      </c>
    </row>
    <row r="71" spans="1:61" ht="26.5" customHeight="1" x14ac:dyDescent="0.15">
      <c r="A71" s="3">
        <v>70</v>
      </c>
      <c r="B71" s="4" t="s">
        <v>1573</v>
      </c>
      <c r="C71" s="4"/>
      <c r="D71" s="4" t="s">
        <v>1574</v>
      </c>
      <c r="E71" s="5" t="s">
        <v>1575</v>
      </c>
      <c r="F71" s="5" t="s">
        <v>91</v>
      </c>
      <c r="G71" s="5" t="s">
        <v>215</v>
      </c>
      <c r="H71" s="5" t="s">
        <v>1576</v>
      </c>
      <c r="I71" s="6">
        <v>28164</v>
      </c>
      <c r="J71" s="5" t="s">
        <v>56</v>
      </c>
      <c r="K71" s="5" t="s">
        <v>187</v>
      </c>
      <c r="L71" s="5" t="s">
        <v>58</v>
      </c>
      <c r="M71" s="5" t="s">
        <v>59</v>
      </c>
      <c r="N71" s="5" t="s">
        <v>1577</v>
      </c>
      <c r="O71" s="5" t="s">
        <v>1578</v>
      </c>
      <c r="P71" s="5" t="s">
        <v>1579</v>
      </c>
      <c r="Q71" s="5" t="s">
        <v>1580</v>
      </c>
      <c r="R71" s="5" t="s">
        <v>1581</v>
      </c>
      <c r="S71" s="5" t="s">
        <v>64</v>
      </c>
      <c r="T71" s="5" t="s">
        <v>1582</v>
      </c>
      <c r="U71" s="6">
        <v>37751</v>
      </c>
      <c r="V71" s="5" t="s">
        <v>1583</v>
      </c>
      <c r="W71" s="5"/>
      <c r="X71" s="5" t="s">
        <v>1584</v>
      </c>
      <c r="Y71" s="5" t="s">
        <v>1585</v>
      </c>
      <c r="Z71" s="5" t="s">
        <v>1586</v>
      </c>
      <c r="AA71" s="5"/>
      <c r="AB71" s="6">
        <v>1462</v>
      </c>
      <c r="AC71" s="5"/>
      <c r="AD71" s="6">
        <v>1462</v>
      </c>
      <c r="AE71" s="5"/>
      <c r="AF71" s="6">
        <v>1462</v>
      </c>
      <c r="AG71" s="5" t="s">
        <v>1495</v>
      </c>
      <c r="AH71" s="6">
        <v>43108</v>
      </c>
      <c r="AI71" s="5" t="s">
        <v>586</v>
      </c>
      <c r="AJ71" s="5" t="s">
        <v>1587</v>
      </c>
      <c r="AK71" s="6">
        <v>42086</v>
      </c>
      <c r="AL71" s="5"/>
      <c r="AM71" s="5" t="s">
        <v>1564</v>
      </c>
      <c r="AN71" s="6">
        <v>42550</v>
      </c>
      <c r="AO71" s="5"/>
      <c r="AP71" s="5" t="s">
        <v>1588</v>
      </c>
      <c r="AQ71" s="5" t="s">
        <v>1589</v>
      </c>
      <c r="AR71" s="6">
        <v>33024</v>
      </c>
      <c r="AS71" s="5"/>
      <c r="AT71" s="5" t="s">
        <v>1590</v>
      </c>
      <c r="AU71" s="5" t="s">
        <v>1591</v>
      </c>
      <c r="AV71" s="6">
        <v>34118</v>
      </c>
      <c r="AW71" s="5"/>
      <c r="AX71" s="5" t="s">
        <v>620</v>
      </c>
      <c r="AY71" s="5" t="s">
        <v>1592</v>
      </c>
      <c r="AZ71" s="6">
        <v>35210</v>
      </c>
      <c r="BA71" s="5"/>
      <c r="BB71" s="5" t="s">
        <v>956</v>
      </c>
      <c r="BC71" s="5" t="s">
        <v>1593</v>
      </c>
      <c r="BD71" s="6">
        <v>35210</v>
      </c>
      <c r="BE71" s="5" t="s">
        <v>931</v>
      </c>
      <c r="BF71" s="5"/>
      <c r="BG71" s="7">
        <v>45292</v>
      </c>
      <c r="BH71" s="5"/>
      <c r="BI71" s="13" t="s">
        <v>53</v>
      </c>
    </row>
    <row r="72" spans="1:61" ht="13.75" customHeight="1" x14ac:dyDescent="0.15">
      <c r="A72" s="3">
        <v>71</v>
      </c>
      <c r="B72" s="4" t="s">
        <v>1594</v>
      </c>
      <c r="C72" s="4"/>
      <c r="D72" s="9">
        <v>0</v>
      </c>
      <c r="E72" s="5" t="s">
        <v>1595</v>
      </c>
      <c r="F72" s="5" t="s">
        <v>91</v>
      </c>
      <c r="G72" s="5" t="s">
        <v>215</v>
      </c>
      <c r="H72" s="5" t="s">
        <v>850</v>
      </c>
      <c r="I72" s="6">
        <v>30283</v>
      </c>
      <c r="J72" s="5" t="s">
        <v>56</v>
      </c>
      <c r="K72" s="5" t="s">
        <v>187</v>
      </c>
      <c r="L72" s="5" t="s">
        <v>58</v>
      </c>
      <c r="M72" s="5" t="s">
        <v>59</v>
      </c>
      <c r="N72" s="5" t="s">
        <v>1596</v>
      </c>
      <c r="O72" s="5" t="s">
        <v>1597</v>
      </c>
      <c r="P72" s="5" t="s">
        <v>299</v>
      </c>
      <c r="Q72" s="5" t="s">
        <v>1598</v>
      </c>
      <c r="R72" s="5" t="s">
        <v>1599</v>
      </c>
      <c r="S72" s="5" t="s">
        <v>976</v>
      </c>
      <c r="T72" s="5"/>
      <c r="U72" s="6">
        <v>1462</v>
      </c>
      <c r="V72" s="5"/>
      <c r="W72" s="5"/>
      <c r="X72" s="5" t="s">
        <v>1600</v>
      </c>
      <c r="Y72" s="5" t="s">
        <v>1601</v>
      </c>
      <c r="Z72" s="5"/>
      <c r="AA72" s="5"/>
      <c r="AB72" s="6">
        <v>1462</v>
      </c>
      <c r="AC72" s="5" t="s">
        <v>1602</v>
      </c>
      <c r="AD72" s="6">
        <v>42012</v>
      </c>
      <c r="AE72" s="5"/>
      <c r="AF72" s="6">
        <v>1462</v>
      </c>
      <c r="AG72" s="5" t="s">
        <v>1495</v>
      </c>
      <c r="AH72" s="6">
        <v>43108</v>
      </c>
      <c r="AI72" s="5" t="s">
        <v>586</v>
      </c>
      <c r="AJ72" s="5" t="s">
        <v>1603</v>
      </c>
      <c r="AK72" s="6">
        <v>42086</v>
      </c>
      <c r="AL72" s="5"/>
      <c r="AM72" s="5" t="s">
        <v>1564</v>
      </c>
      <c r="AN72" s="6">
        <v>42550</v>
      </c>
      <c r="AO72" s="5"/>
      <c r="AP72" s="5" t="s">
        <v>1604</v>
      </c>
      <c r="AQ72" s="5" t="s">
        <v>1605</v>
      </c>
      <c r="AR72" s="6">
        <v>34488</v>
      </c>
      <c r="AS72" s="5"/>
      <c r="AT72" s="5" t="s">
        <v>1606</v>
      </c>
      <c r="AU72" s="5" t="s">
        <v>1607</v>
      </c>
      <c r="AV72" s="6">
        <v>35583</v>
      </c>
      <c r="AW72" s="5"/>
      <c r="AX72" s="5" t="s">
        <v>1608</v>
      </c>
      <c r="AY72" s="5" t="s">
        <v>1609</v>
      </c>
      <c r="AZ72" s="6">
        <v>36693</v>
      </c>
      <c r="BA72" s="5"/>
      <c r="BB72" s="5" t="s">
        <v>1610</v>
      </c>
      <c r="BC72" s="5" t="s">
        <v>1611</v>
      </c>
      <c r="BD72" s="6">
        <v>36693</v>
      </c>
      <c r="BE72" s="5"/>
      <c r="BF72" s="5"/>
      <c r="BG72" s="7">
        <v>45292</v>
      </c>
      <c r="BH72" s="5"/>
      <c r="BI72" s="13" t="s">
        <v>53</v>
      </c>
    </row>
    <row r="73" spans="1:61" ht="26.5" customHeight="1" x14ac:dyDescent="0.15">
      <c r="A73" s="3">
        <v>72</v>
      </c>
      <c r="B73" s="4" t="s">
        <v>1612</v>
      </c>
      <c r="C73" s="4" t="s">
        <v>527</v>
      </c>
      <c r="D73" s="4" t="s">
        <v>991</v>
      </c>
      <c r="E73" s="5" t="s">
        <v>1613</v>
      </c>
      <c r="F73" s="5" t="s">
        <v>91</v>
      </c>
      <c r="G73" s="5" t="s">
        <v>215</v>
      </c>
      <c r="H73" s="5" t="s">
        <v>428</v>
      </c>
      <c r="I73" s="6">
        <v>31642</v>
      </c>
      <c r="J73" s="5" t="s">
        <v>56</v>
      </c>
      <c r="K73" s="5" t="s">
        <v>57</v>
      </c>
      <c r="L73" s="5" t="s">
        <v>58</v>
      </c>
      <c r="M73" s="5" t="s">
        <v>59</v>
      </c>
      <c r="N73" s="5" t="s">
        <v>1614</v>
      </c>
      <c r="O73" s="5" t="s">
        <v>1615</v>
      </c>
      <c r="P73" s="5" t="s">
        <v>190</v>
      </c>
      <c r="Q73" s="5" t="s">
        <v>1616</v>
      </c>
      <c r="R73" s="5" t="s">
        <v>1617</v>
      </c>
      <c r="S73" s="5" t="s">
        <v>64</v>
      </c>
      <c r="T73" s="5" t="s">
        <v>1618</v>
      </c>
      <c r="U73" s="6">
        <v>41383</v>
      </c>
      <c r="V73" s="5" t="s">
        <v>1619</v>
      </c>
      <c r="W73" s="5"/>
      <c r="X73" s="5" t="s">
        <v>1620</v>
      </c>
      <c r="Y73" s="5" t="s">
        <v>1621</v>
      </c>
      <c r="Z73" s="5" t="s">
        <v>1622</v>
      </c>
      <c r="AA73" s="5"/>
      <c r="AB73" s="6">
        <v>1462</v>
      </c>
      <c r="AC73" s="5" t="s">
        <v>1623</v>
      </c>
      <c r="AD73" s="6">
        <v>1462</v>
      </c>
      <c r="AE73" s="5" t="s">
        <v>1624</v>
      </c>
      <c r="AF73" s="6">
        <v>42696</v>
      </c>
      <c r="AG73" s="5" t="s">
        <v>1495</v>
      </c>
      <c r="AH73" s="6">
        <v>43108</v>
      </c>
      <c r="AI73" s="5" t="s">
        <v>586</v>
      </c>
      <c r="AJ73" s="5" t="s">
        <v>1625</v>
      </c>
      <c r="AK73" s="6">
        <v>42086</v>
      </c>
      <c r="AL73" s="5"/>
      <c r="AM73" s="5" t="s">
        <v>1626</v>
      </c>
      <c r="AN73" s="6">
        <v>42550</v>
      </c>
      <c r="AO73" s="5"/>
      <c r="AP73" s="5" t="s">
        <v>1627</v>
      </c>
      <c r="AQ73" s="5" t="s">
        <v>1628</v>
      </c>
      <c r="AR73" s="6">
        <v>35956</v>
      </c>
      <c r="AS73" s="5"/>
      <c r="AT73" s="5" t="s">
        <v>1629</v>
      </c>
      <c r="AU73" s="5" t="s">
        <v>1630</v>
      </c>
      <c r="AV73" s="6">
        <v>37070</v>
      </c>
      <c r="AW73" s="5"/>
      <c r="AX73" s="5" t="s">
        <v>1631</v>
      </c>
      <c r="AY73" s="5" t="s">
        <v>1632</v>
      </c>
      <c r="AZ73" s="6">
        <v>38152</v>
      </c>
      <c r="BA73" s="5"/>
      <c r="BB73" s="5" t="s">
        <v>985</v>
      </c>
      <c r="BC73" s="5" t="s">
        <v>1633</v>
      </c>
      <c r="BD73" s="6">
        <v>38152</v>
      </c>
      <c r="BE73" s="5" t="s">
        <v>1634</v>
      </c>
      <c r="BF73" s="5"/>
      <c r="BG73" s="7">
        <v>45292</v>
      </c>
      <c r="BH73" s="5"/>
      <c r="BI73" s="13" t="s">
        <v>53</v>
      </c>
    </row>
    <row r="74" spans="1:61" ht="24.75" customHeight="1" x14ac:dyDescent="0.15">
      <c r="A74" s="3">
        <v>73</v>
      </c>
      <c r="B74" s="4" t="s">
        <v>1635</v>
      </c>
      <c r="C74" s="4" t="s">
        <v>99</v>
      </c>
      <c r="D74" s="4" t="s">
        <v>1636</v>
      </c>
      <c r="E74" s="5" t="s">
        <v>1637</v>
      </c>
      <c r="F74" s="5" t="s">
        <v>96</v>
      </c>
      <c r="G74" s="5" t="s">
        <v>102</v>
      </c>
      <c r="H74" s="5" t="s">
        <v>1638</v>
      </c>
      <c r="I74" s="6">
        <v>31299</v>
      </c>
      <c r="J74" s="5" t="s">
        <v>56</v>
      </c>
      <c r="K74" s="5" t="s">
        <v>57</v>
      </c>
      <c r="L74" s="5" t="s">
        <v>58</v>
      </c>
      <c r="M74" s="5" t="s">
        <v>59</v>
      </c>
      <c r="N74" s="5" t="s">
        <v>1639</v>
      </c>
      <c r="O74" s="5" t="s">
        <v>1640</v>
      </c>
      <c r="P74" s="5" t="s">
        <v>532</v>
      </c>
      <c r="Q74" s="5" t="s">
        <v>1641</v>
      </c>
      <c r="R74" s="5" t="s">
        <v>1642</v>
      </c>
      <c r="S74" s="5" t="s">
        <v>64</v>
      </c>
      <c r="T74" s="5" t="s">
        <v>1643</v>
      </c>
      <c r="U74" s="6">
        <v>41441</v>
      </c>
      <c r="V74" s="5"/>
      <c r="W74" s="5"/>
      <c r="X74" s="5" t="s">
        <v>1644</v>
      </c>
      <c r="Y74" s="5" t="s">
        <v>1645</v>
      </c>
      <c r="Z74" s="5"/>
      <c r="AA74" s="5"/>
      <c r="AB74" s="6">
        <v>1462</v>
      </c>
      <c r="AC74" s="5" t="s">
        <v>1646</v>
      </c>
      <c r="AD74" s="6">
        <v>1462</v>
      </c>
      <c r="AE74" s="5" t="s">
        <v>1647</v>
      </c>
      <c r="AF74" s="6">
        <v>42696</v>
      </c>
      <c r="AG74" s="5" t="s">
        <v>1648</v>
      </c>
      <c r="AH74" s="6">
        <v>43108</v>
      </c>
      <c r="AI74" s="5" t="s">
        <v>586</v>
      </c>
      <c r="AJ74" s="5" t="s">
        <v>1649</v>
      </c>
      <c r="AK74" s="6">
        <v>42086</v>
      </c>
      <c r="AL74" s="5"/>
      <c r="AM74" s="5" t="s">
        <v>1564</v>
      </c>
      <c r="AN74" s="6">
        <v>42550</v>
      </c>
      <c r="AO74" s="5"/>
      <c r="AP74" s="5" t="s">
        <v>1650</v>
      </c>
      <c r="AQ74" s="5" t="s">
        <v>1651</v>
      </c>
      <c r="AR74" s="6">
        <v>35956</v>
      </c>
      <c r="AS74" s="5"/>
      <c r="AT74" s="5" t="s">
        <v>1652</v>
      </c>
      <c r="AU74" s="5" t="s">
        <v>1653</v>
      </c>
      <c r="AV74" s="6">
        <v>37067</v>
      </c>
      <c r="AW74" s="5"/>
      <c r="AX74" s="5" t="s">
        <v>1654</v>
      </c>
      <c r="AY74" s="5" t="s">
        <v>1655</v>
      </c>
      <c r="AZ74" s="6">
        <v>38152</v>
      </c>
      <c r="BA74" s="5"/>
      <c r="BB74" s="5" t="s">
        <v>956</v>
      </c>
      <c r="BC74" s="5" t="s">
        <v>1656</v>
      </c>
      <c r="BD74" s="6">
        <v>38152</v>
      </c>
      <c r="BE74" s="5" t="s">
        <v>1634</v>
      </c>
      <c r="BF74" s="5"/>
      <c r="BG74" s="7">
        <v>45292</v>
      </c>
      <c r="BH74" s="5"/>
      <c r="BI74" s="13" t="s">
        <v>53</v>
      </c>
    </row>
    <row r="75" spans="1:61" ht="26.5" customHeight="1" x14ac:dyDescent="0.15">
      <c r="A75" s="3">
        <v>74</v>
      </c>
      <c r="B75" s="4" t="s">
        <v>1657</v>
      </c>
      <c r="C75" s="4"/>
      <c r="D75" s="4" t="s">
        <v>599</v>
      </c>
      <c r="E75" s="5" t="s">
        <v>1658</v>
      </c>
      <c r="F75" s="5" t="s">
        <v>91</v>
      </c>
      <c r="G75" s="5" t="s">
        <v>215</v>
      </c>
      <c r="H75" s="5" t="s">
        <v>373</v>
      </c>
      <c r="I75" s="6">
        <v>24607</v>
      </c>
      <c r="J75" s="5" t="s">
        <v>56</v>
      </c>
      <c r="K75" s="5" t="s">
        <v>57</v>
      </c>
      <c r="L75" s="5" t="s">
        <v>58</v>
      </c>
      <c r="M75" s="5" t="s">
        <v>59</v>
      </c>
      <c r="N75" s="5" t="s">
        <v>1659</v>
      </c>
      <c r="O75" s="5" t="s">
        <v>1660</v>
      </c>
      <c r="P75" s="5" t="s">
        <v>1661</v>
      </c>
      <c r="Q75" s="5" t="s">
        <v>1662</v>
      </c>
      <c r="R75" s="5" t="s">
        <v>90</v>
      </c>
      <c r="S75" s="5" t="s">
        <v>64</v>
      </c>
      <c r="T75" s="5" t="s">
        <v>1663</v>
      </c>
      <c r="U75" s="6">
        <v>35831</v>
      </c>
      <c r="V75" s="5" t="s">
        <v>1664</v>
      </c>
      <c r="W75" s="5"/>
      <c r="X75" s="5" t="s">
        <v>1665</v>
      </c>
      <c r="Y75" s="5" t="s">
        <v>1666</v>
      </c>
      <c r="Z75" s="5" t="s">
        <v>1667</v>
      </c>
      <c r="AA75" s="5"/>
      <c r="AB75" s="6">
        <v>1462</v>
      </c>
      <c r="AC75" s="5"/>
      <c r="AD75" s="6">
        <v>1462</v>
      </c>
      <c r="AE75" s="5" t="s">
        <v>1668</v>
      </c>
      <c r="AF75" s="6">
        <v>42696</v>
      </c>
      <c r="AG75" s="5" t="s">
        <v>1268</v>
      </c>
      <c r="AH75" s="6">
        <v>42925</v>
      </c>
      <c r="AI75" s="5" t="s">
        <v>176</v>
      </c>
      <c r="AJ75" s="5" t="s">
        <v>1669</v>
      </c>
      <c r="AK75" s="6">
        <v>39080</v>
      </c>
      <c r="AL75" s="5"/>
      <c r="AM75" s="5" t="s">
        <v>388</v>
      </c>
      <c r="AN75" s="6">
        <v>39541</v>
      </c>
      <c r="AO75" s="5"/>
      <c r="AP75" s="5" t="s">
        <v>1670</v>
      </c>
      <c r="AQ75" s="5" t="s">
        <v>1671</v>
      </c>
      <c r="AR75" s="6">
        <v>30132</v>
      </c>
      <c r="AS75" s="5"/>
      <c r="AT75" s="5" t="s">
        <v>1672</v>
      </c>
      <c r="AU75" s="5" t="s">
        <v>1673</v>
      </c>
      <c r="AV75" s="6">
        <v>31188</v>
      </c>
      <c r="AW75" s="5"/>
      <c r="AX75" s="5" t="s">
        <v>1674</v>
      </c>
      <c r="AY75" s="5" t="s">
        <v>1675</v>
      </c>
      <c r="AZ75" s="6">
        <v>30104</v>
      </c>
      <c r="BA75" s="5"/>
      <c r="BB75" s="5" t="s">
        <v>956</v>
      </c>
      <c r="BC75" s="5" t="s">
        <v>1676</v>
      </c>
      <c r="BD75" s="6">
        <v>32179</v>
      </c>
      <c r="BE75" s="5" t="s">
        <v>1634</v>
      </c>
      <c r="BF75" s="5"/>
      <c r="BG75" s="7">
        <v>45292</v>
      </c>
      <c r="BH75" s="5"/>
      <c r="BI75" s="13" t="s">
        <v>53</v>
      </c>
    </row>
    <row r="76" spans="1:61" ht="24.75" customHeight="1" x14ac:dyDescent="0.15">
      <c r="A76" s="3">
        <v>75</v>
      </c>
      <c r="B76" s="4" t="s">
        <v>1677</v>
      </c>
      <c r="C76" s="4"/>
      <c r="D76" s="4" t="s">
        <v>599</v>
      </c>
      <c r="E76" s="5" t="s">
        <v>1678</v>
      </c>
      <c r="F76" s="5" t="s">
        <v>91</v>
      </c>
      <c r="G76" s="5" t="s">
        <v>102</v>
      </c>
      <c r="H76" s="5" t="s">
        <v>850</v>
      </c>
      <c r="I76" s="6">
        <v>28289</v>
      </c>
      <c r="J76" s="5" t="s">
        <v>56</v>
      </c>
      <c r="K76" s="5" t="s">
        <v>57</v>
      </c>
      <c r="L76" s="5" t="s">
        <v>58</v>
      </c>
      <c r="M76" s="5" t="s">
        <v>59</v>
      </c>
      <c r="N76" s="5" t="s">
        <v>1679</v>
      </c>
      <c r="O76" s="5" t="s">
        <v>1680</v>
      </c>
      <c r="P76" s="5" t="s">
        <v>1399</v>
      </c>
      <c r="Q76" s="5" t="s">
        <v>1681</v>
      </c>
      <c r="R76" s="5" t="s">
        <v>90</v>
      </c>
      <c r="S76" s="5" t="s">
        <v>64</v>
      </c>
      <c r="T76" s="5" t="s">
        <v>1682</v>
      </c>
      <c r="U76" s="6">
        <v>39816</v>
      </c>
      <c r="V76" s="5" t="s">
        <v>1683</v>
      </c>
      <c r="W76" s="5"/>
      <c r="X76" s="5" t="s">
        <v>1684</v>
      </c>
      <c r="Y76" s="5" t="s">
        <v>1685</v>
      </c>
      <c r="Z76" s="5" t="s">
        <v>1686</v>
      </c>
      <c r="AA76" s="5"/>
      <c r="AB76" s="6">
        <v>1462</v>
      </c>
      <c r="AC76" s="5" t="s">
        <v>1678</v>
      </c>
      <c r="AD76" s="6">
        <v>42198</v>
      </c>
      <c r="AE76" s="5" t="s">
        <v>1687</v>
      </c>
      <c r="AF76" s="6">
        <v>42696</v>
      </c>
      <c r="AG76" s="5" t="s">
        <v>1268</v>
      </c>
      <c r="AH76" s="6">
        <v>42925</v>
      </c>
      <c r="AI76" s="5" t="s">
        <v>176</v>
      </c>
      <c r="AJ76" s="5" t="s">
        <v>1688</v>
      </c>
      <c r="AK76" s="6">
        <v>42086</v>
      </c>
      <c r="AL76" s="5"/>
      <c r="AM76" s="5" t="s">
        <v>1689</v>
      </c>
      <c r="AN76" s="6">
        <v>42550</v>
      </c>
      <c r="AO76" s="5"/>
      <c r="AP76" s="5" t="s">
        <v>1690</v>
      </c>
      <c r="AQ76" s="5" t="s">
        <v>1691</v>
      </c>
      <c r="AR76" s="6">
        <v>32673</v>
      </c>
      <c r="AS76" s="5"/>
      <c r="AT76" s="5" t="s">
        <v>1692</v>
      </c>
      <c r="AU76" s="5" t="s">
        <v>1693</v>
      </c>
      <c r="AV76" s="6">
        <v>33759</v>
      </c>
      <c r="AW76" s="5"/>
      <c r="AX76" s="5" t="s">
        <v>1694</v>
      </c>
      <c r="AY76" s="5" t="s">
        <v>1695</v>
      </c>
      <c r="AZ76" s="6">
        <v>39660</v>
      </c>
      <c r="BA76" s="5"/>
      <c r="BB76" s="5" t="s">
        <v>1213</v>
      </c>
      <c r="BC76" s="5" t="s">
        <v>1695</v>
      </c>
      <c r="BD76" s="6">
        <v>39660</v>
      </c>
      <c r="BE76" s="5"/>
      <c r="BF76" s="5"/>
      <c r="BG76" s="7">
        <v>45292</v>
      </c>
      <c r="BH76" s="5"/>
      <c r="BI76" s="13" t="s">
        <v>53</v>
      </c>
    </row>
    <row r="77" spans="1:61" ht="24.75" customHeight="1" x14ac:dyDescent="0.15">
      <c r="A77" s="3">
        <v>76</v>
      </c>
      <c r="B77" s="4" t="s">
        <v>1696</v>
      </c>
      <c r="C77" s="4"/>
      <c r="D77" s="4" t="s">
        <v>1309</v>
      </c>
      <c r="E77" s="5" t="s">
        <v>1697</v>
      </c>
      <c r="F77" s="5" t="s">
        <v>85</v>
      </c>
      <c r="G77" s="5" t="s">
        <v>185</v>
      </c>
      <c r="H77" s="5" t="s">
        <v>1698</v>
      </c>
      <c r="I77" s="6">
        <v>31208</v>
      </c>
      <c r="J77" s="5" t="s">
        <v>56</v>
      </c>
      <c r="K77" s="5" t="s">
        <v>57</v>
      </c>
      <c r="L77" s="5" t="s">
        <v>58</v>
      </c>
      <c r="M77" s="5" t="s">
        <v>59</v>
      </c>
      <c r="N77" s="5" t="s">
        <v>1699</v>
      </c>
      <c r="O77" s="5" t="s">
        <v>1700</v>
      </c>
      <c r="P77" s="5" t="s">
        <v>1701</v>
      </c>
      <c r="Q77" s="5" t="s">
        <v>1702</v>
      </c>
      <c r="R77" s="5" t="s">
        <v>1703</v>
      </c>
      <c r="S77" s="5" t="s">
        <v>64</v>
      </c>
      <c r="T77" s="5" t="s">
        <v>1704</v>
      </c>
      <c r="U77" s="6">
        <v>42475</v>
      </c>
      <c r="V77" s="5" t="s">
        <v>1705</v>
      </c>
      <c r="W77" s="5"/>
      <c r="X77" s="5" t="s">
        <v>1706</v>
      </c>
      <c r="Y77" s="5" t="s">
        <v>1707</v>
      </c>
      <c r="Z77" s="5" t="s">
        <v>1708</v>
      </c>
      <c r="AA77" s="5"/>
      <c r="AB77" s="6">
        <v>1462</v>
      </c>
      <c r="AC77" s="5" t="s">
        <v>1697</v>
      </c>
      <c r="AD77" s="6">
        <v>42214</v>
      </c>
      <c r="AE77" s="5" t="s">
        <v>1709</v>
      </c>
      <c r="AF77" s="6">
        <v>42696</v>
      </c>
      <c r="AG77" s="5" t="s">
        <v>1710</v>
      </c>
      <c r="AH77" s="6">
        <v>43108</v>
      </c>
      <c r="AI77" s="5" t="s">
        <v>176</v>
      </c>
      <c r="AJ77" s="5" t="s">
        <v>1711</v>
      </c>
      <c r="AK77" s="6">
        <v>42086</v>
      </c>
      <c r="AL77" s="5"/>
      <c r="AM77" s="5" t="s">
        <v>1712</v>
      </c>
      <c r="AN77" s="6">
        <v>42550</v>
      </c>
      <c r="AO77" s="5"/>
      <c r="AP77" s="5" t="s">
        <v>1713</v>
      </c>
      <c r="AQ77" s="5" t="s">
        <v>1714</v>
      </c>
      <c r="AR77" s="6">
        <v>35956</v>
      </c>
      <c r="AS77" s="5"/>
      <c r="AT77" s="5" t="s">
        <v>1715</v>
      </c>
      <c r="AU77" s="5" t="s">
        <v>1716</v>
      </c>
      <c r="AV77" s="6">
        <v>37431</v>
      </c>
      <c r="AW77" s="5"/>
      <c r="AX77" s="5"/>
      <c r="AY77" s="5"/>
      <c r="AZ77" s="6">
        <v>1462</v>
      </c>
      <c r="BA77" s="5"/>
      <c r="BB77" s="5" t="s">
        <v>393</v>
      </c>
      <c r="BC77" s="5" t="s">
        <v>1716</v>
      </c>
      <c r="BD77" s="6">
        <v>37431</v>
      </c>
      <c r="BE77" s="5"/>
      <c r="BF77" s="5"/>
      <c r="BG77" s="7">
        <v>45292</v>
      </c>
      <c r="BH77" s="5"/>
      <c r="BI77" s="13" t="s">
        <v>53</v>
      </c>
    </row>
    <row r="78" spans="1:61" ht="24.75" customHeight="1" x14ac:dyDescent="0.15">
      <c r="A78" s="3">
        <v>77</v>
      </c>
      <c r="B78" s="4" t="s">
        <v>1717</v>
      </c>
      <c r="C78" s="4"/>
      <c r="D78" s="4" t="s">
        <v>646</v>
      </c>
      <c r="E78" s="5" t="s">
        <v>1718</v>
      </c>
      <c r="F78" s="5" t="s">
        <v>91</v>
      </c>
      <c r="G78" s="5" t="s">
        <v>102</v>
      </c>
      <c r="H78" s="5" t="s">
        <v>1719</v>
      </c>
      <c r="I78" s="6">
        <v>31300</v>
      </c>
      <c r="J78" s="5" t="s">
        <v>56</v>
      </c>
      <c r="K78" s="5" t="s">
        <v>57</v>
      </c>
      <c r="L78" s="5" t="s">
        <v>58</v>
      </c>
      <c r="M78" s="5" t="s">
        <v>59</v>
      </c>
      <c r="N78" s="5" t="s">
        <v>1720</v>
      </c>
      <c r="O78" s="5" t="s">
        <v>1721</v>
      </c>
      <c r="P78" s="5" t="s">
        <v>1722</v>
      </c>
      <c r="Q78" s="5" t="s">
        <v>1723</v>
      </c>
      <c r="R78" s="5" t="s">
        <v>1724</v>
      </c>
      <c r="S78" s="5" t="s">
        <v>64</v>
      </c>
      <c r="T78" s="5" t="s">
        <v>1725</v>
      </c>
      <c r="U78" s="6">
        <v>42635</v>
      </c>
      <c r="V78" s="5" t="s">
        <v>1726</v>
      </c>
      <c r="W78" s="5"/>
      <c r="X78" s="5" t="s">
        <v>1727</v>
      </c>
      <c r="Y78" s="5" t="s">
        <v>1728</v>
      </c>
      <c r="Z78" s="5" t="s">
        <v>1729</v>
      </c>
      <c r="AA78" s="5"/>
      <c r="AB78" s="6">
        <v>1462</v>
      </c>
      <c r="AC78" s="5" t="s">
        <v>1730</v>
      </c>
      <c r="AD78" s="6">
        <v>1462</v>
      </c>
      <c r="AE78" s="5"/>
      <c r="AF78" s="6">
        <v>1462</v>
      </c>
      <c r="AG78" s="5" t="s">
        <v>1268</v>
      </c>
      <c r="AH78" s="6">
        <v>42925</v>
      </c>
      <c r="AI78" s="5" t="s">
        <v>176</v>
      </c>
      <c r="AJ78" s="5" t="s">
        <v>1731</v>
      </c>
      <c r="AK78" s="6">
        <v>42086</v>
      </c>
      <c r="AL78" s="5"/>
      <c r="AM78" s="5" t="s">
        <v>1689</v>
      </c>
      <c r="AN78" s="6">
        <v>42550</v>
      </c>
      <c r="AO78" s="5"/>
      <c r="AP78" s="5" t="s">
        <v>1732</v>
      </c>
      <c r="AQ78" s="5" t="s">
        <v>1733</v>
      </c>
      <c r="AR78" s="6">
        <v>36311</v>
      </c>
      <c r="AS78" s="5"/>
      <c r="AT78" s="5" t="s">
        <v>1734</v>
      </c>
      <c r="AU78" s="5" t="s">
        <v>1735</v>
      </c>
      <c r="AV78" s="6">
        <v>37431</v>
      </c>
      <c r="AW78" s="5"/>
      <c r="AX78" s="5" t="s">
        <v>1347</v>
      </c>
      <c r="AY78" s="5" t="s">
        <v>1736</v>
      </c>
      <c r="AZ78" s="6">
        <v>39660</v>
      </c>
      <c r="BA78" s="5"/>
      <c r="BB78" s="5" t="s">
        <v>1701</v>
      </c>
      <c r="BC78" s="5" t="s">
        <v>1736</v>
      </c>
      <c r="BD78" s="6">
        <v>39660</v>
      </c>
      <c r="BE78" s="5"/>
      <c r="BF78" s="5"/>
      <c r="BG78" s="7">
        <v>45292</v>
      </c>
      <c r="BH78" s="5"/>
      <c r="BI78" s="13" t="s">
        <v>53</v>
      </c>
    </row>
    <row r="79" spans="1:61" ht="24.75" customHeight="1" x14ac:dyDescent="0.15">
      <c r="A79" s="3">
        <v>78</v>
      </c>
      <c r="B79" s="4" t="s">
        <v>1737</v>
      </c>
      <c r="C79" s="4"/>
      <c r="D79" s="4" t="s">
        <v>599</v>
      </c>
      <c r="E79" s="5" t="s">
        <v>1738</v>
      </c>
      <c r="F79" s="5" t="s">
        <v>91</v>
      </c>
      <c r="G79" s="5" t="s">
        <v>102</v>
      </c>
      <c r="H79" s="5" t="s">
        <v>850</v>
      </c>
      <c r="I79" s="6">
        <v>30096</v>
      </c>
      <c r="J79" s="5" t="s">
        <v>56</v>
      </c>
      <c r="K79" s="5" t="s">
        <v>57</v>
      </c>
      <c r="L79" s="5" t="s">
        <v>58</v>
      </c>
      <c r="M79" s="5" t="s">
        <v>59</v>
      </c>
      <c r="N79" s="5" t="s">
        <v>1739</v>
      </c>
      <c r="O79" s="5" t="s">
        <v>1740</v>
      </c>
      <c r="P79" s="5" t="s">
        <v>1741</v>
      </c>
      <c r="Q79" s="5" t="s">
        <v>1742</v>
      </c>
      <c r="R79" s="5" t="s">
        <v>90</v>
      </c>
      <c r="S79" s="5" t="s">
        <v>64</v>
      </c>
      <c r="T79" s="5" t="s">
        <v>1743</v>
      </c>
      <c r="U79" s="6">
        <v>39829</v>
      </c>
      <c r="V79" s="5" t="s">
        <v>1744</v>
      </c>
      <c r="W79" s="5"/>
      <c r="X79" s="5" t="s">
        <v>1745</v>
      </c>
      <c r="Y79" s="5" t="s">
        <v>1746</v>
      </c>
      <c r="Z79" s="5" t="s">
        <v>1747</v>
      </c>
      <c r="AA79" s="5" t="s">
        <v>1748</v>
      </c>
      <c r="AB79" s="6">
        <v>42748</v>
      </c>
      <c r="AC79" s="5" t="s">
        <v>1749</v>
      </c>
      <c r="AD79" s="6">
        <v>41451</v>
      </c>
      <c r="AE79" s="5" t="s">
        <v>1750</v>
      </c>
      <c r="AF79" s="6">
        <v>40126</v>
      </c>
      <c r="AG79" s="5" t="s">
        <v>1185</v>
      </c>
      <c r="AH79" s="6">
        <v>43159</v>
      </c>
      <c r="AI79" s="5" t="s">
        <v>176</v>
      </c>
      <c r="AJ79" s="5" t="s">
        <v>1751</v>
      </c>
      <c r="AK79" s="6">
        <v>42086</v>
      </c>
      <c r="AL79" s="5"/>
      <c r="AM79" s="5" t="s">
        <v>1185</v>
      </c>
      <c r="AN79" s="6">
        <v>43159</v>
      </c>
      <c r="AO79" s="5"/>
      <c r="AP79" s="5" t="s">
        <v>1752</v>
      </c>
      <c r="AQ79" s="5" t="s">
        <v>1753</v>
      </c>
      <c r="AR79" s="6">
        <v>34846</v>
      </c>
      <c r="AS79" s="5"/>
      <c r="AT79" s="5" t="s">
        <v>1754</v>
      </c>
      <c r="AU79" s="5" t="s">
        <v>1755</v>
      </c>
      <c r="AV79" s="6">
        <v>35941</v>
      </c>
      <c r="AW79" s="5"/>
      <c r="AX79" s="5" t="s">
        <v>1347</v>
      </c>
      <c r="AY79" s="5" t="s">
        <v>1756</v>
      </c>
      <c r="AZ79" s="6">
        <v>42857</v>
      </c>
      <c r="BA79" s="5"/>
      <c r="BB79" s="5" t="s">
        <v>396</v>
      </c>
      <c r="BC79" s="5" t="s">
        <v>1757</v>
      </c>
      <c r="BD79" s="6">
        <v>35941</v>
      </c>
      <c r="BE79" s="5" t="s">
        <v>931</v>
      </c>
      <c r="BF79" s="5"/>
      <c r="BG79" s="7">
        <v>45292</v>
      </c>
      <c r="BH79" s="5"/>
      <c r="BI79" s="13" t="s">
        <v>53</v>
      </c>
    </row>
    <row r="80" spans="1:61" ht="13.75" customHeight="1" x14ac:dyDescent="0.15">
      <c r="A80" s="3">
        <v>79</v>
      </c>
      <c r="B80" s="4" t="s">
        <v>1758</v>
      </c>
      <c r="C80" s="4" t="s">
        <v>99</v>
      </c>
      <c r="D80" s="13" t="s">
        <v>646</v>
      </c>
      <c r="E80" s="5" t="s">
        <v>1759</v>
      </c>
      <c r="F80" s="5" t="s">
        <v>96</v>
      </c>
      <c r="G80" s="5" t="s">
        <v>102</v>
      </c>
      <c r="H80" s="5"/>
      <c r="I80" s="6">
        <v>30631</v>
      </c>
      <c r="J80" s="11" t="s">
        <v>451</v>
      </c>
      <c r="K80" s="5" t="s">
        <v>57</v>
      </c>
      <c r="L80" s="5" t="s">
        <v>58</v>
      </c>
      <c r="M80" s="5" t="s">
        <v>59</v>
      </c>
      <c r="N80" s="5"/>
      <c r="O80" s="5"/>
      <c r="P80" s="5"/>
      <c r="Q80" s="5"/>
      <c r="R80" s="5" t="s">
        <v>90</v>
      </c>
      <c r="S80" s="5" t="s">
        <v>64</v>
      </c>
      <c r="T80" s="5"/>
      <c r="U80" s="6"/>
      <c r="V80" s="5"/>
      <c r="W80" s="5"/>
      <c r="X80" s="5"/>
      <c r="Y80" s="5"/>
      <c r="Z80" s="5"/>
      <c r="AA80" s="5"/>
      <c r="AB80" s="6"/>
      <c r="AC80" s="5"/>
      <c r="AD80" s="6"/>
      <c r="AE80" s="5"/>
      <c r="AF80" s="6"/>
      <c r="AG80" s="5"/>
      <c r="AH80" s="6"/>
      <c r="AI80" s="5"/>
      <c r="AJ80" s="5"/>
      <c r="AK80" s="6"/>
      <c r="AL80" s="5"/>
      <c r="AM80" s="5"/>
      <c r="AN80" s="6"/>
      <c r="AO80" s="5"/>
      <c r="AP80" s="5"/>
      <c r="AQ80" s="5"/>
      <c r="AR80" s="6"/>
      <c r="AS80" s="5"/>
      <c r="AT80" s="5"/>
      <c r="AU80" s="5"/>
      <c r="AV80" s="6"/>
      <c r="AW80" s="5"/>
      <c r="AX80" s="5"/>
      <c r="AY80" s="5"/>
      <c r="AZ80" s="6"/>
      <c r="BA80" s="5"/>
      <c r="BB80" s="5"/>
      <c r="BC80" s="5"/>
      <c r="BD80" s="6"/>
      <c r="BE80" s="5"/>
      <c r="BF80" s="5"/>
      <c r="BG80" s="7">
        <v>45292</v>
      </c>
      <c r="BH80" s="5"/>
      <c r="BI80" s="13" t="s">
        <v>53</v>
      </c>
    </row>
    <row r="81" spans="1:61" ht="24.75" customHeight="1" x14ac:dyDescent="0.15">
      <c r="A81" s="3">
        <v>80</v>
      </c>
      <c r="B81" s="4" t="s">
        <v>1760</v>
      </c>
      <c r="C81" s="4"/>
      <c r="D81" s="4" t="s">
        <v>599</v>
      </c>
      <c r="E81" s="5" t="s">
        <v>1761</v>
      </c>
      <c r="F81" s="5" t="s">
        <v>91</v>
      </c>
      <c r="G81" s="5" t="s">
        <v>185</v>
      </c>
      <c r="H81" s="5"/>
      <c r="I81" s="6">
        <v>30212</v>
      </c>
      <c r="J81" s="11" t="s">
        <v>56</v>
      </c>
      <c r="K81" s="5" t="s">
        <v>57</v>
      </c>
      <c r="L81" s="5" t="s">
        <v>58</v>
      </c>
      <c r="M81" s="5" t="s">
        <v>59</v>
      </c>
      <c r="N81" s="5"/>
      <c r="O81" s="5"/>
      <c r="P81" s="5"/>
      <c r="Q81" s="5"/>
      <c r="R81" s="5" t="s">
        <v>90</v>
      </c>
      <c r="S81" s="5" t="s">
        <v>64</v>
      </c>
      <c r="T81" s="5"/>
      <c r="U81" s="6"/>
      <c r="V81" s="5"/>
      <c r="W81" s="5"/>
      <c r="X81" s="5"/>
      <c r="Y81" s="5"/>
      <c r="Z81" s="5"/>
      <c r="AA81" s="5"/>
      <c r="AB81" s="6"/>
      <c r="AC81" s="5"/>
      <c r="AD81" s="6"/>
      <c r="AE81" s="5"/>
      <c r="AF81" s="6"/>
      <c r="AG81" s="5"/>
      <c r="AH81" s="6"/>
      <c r="AI81" s="5"/>
      <c r="AJ81" s="5"/>
      <c r="AK81" s="6"/>
      <c r="AL81" s="5"/>
      <c r="AM81" s="5"/>
      <c r="AN81" s="6"/>
      <c r="AO81" s="5"/>
      <c r="AP81" s="5"/>
      <c r="AQ81" s="5"/>
      <c r="AR81" s="6"/>
      <c r="AS81" s="5"/>
      <c r="AT81" s="5"/>
      <c r="AU81" s="5"/>
      <c r="AV81" s="6"/>
      <c r="AW81" s="5"/>
      <c r="AX81" s="5"/>
      <c r="AY81" s="5"/>
      <c r="AZ81" s="6"/>
      <c r="BA81" s="5"/>
      <c r="BB81" s="5"/>
      <c r="BC81" s="5"/>
      <c r="BD81" s="6"/>
      <c r="BE81" s="5"/>
      <c r="BF81" s="5"/>
      <c r="BG81" s="7">
        <v>45292</v>
      </c>
      <c r="BH81" s="5"/>
      <c r="BI81" s="13" t="s">
        <v>53</v>
      </c>
    </row>
    <row r="82" spans="1:61" ht="24.75" customHeight="1" x14ac:dyDescent="0.15">
      <c r="A82" s="3">
        <v>81</v>
      </c>
      <c r="B82" s="4" t="s">
        <v>1762</v>
      </c>
      <c r="C82" s="4"/>
      <c r="D82" s="4" t="s">
        <v>991</v>
      </c>
      <c r="E82" s="5" t="s">
        <v>1763</v>
      </c>
      <c r="F82" s="5" t="s">
        <v>91</v>
      </c>
      <c r="G82" s="5" t="s">
        <v>215</v>
      </c>
      <c r="H82" s="5"/>
      <c r="I82" s="6">
        <v>32254</v>
      </c>
      <c r="J82" s="5" t="s">
        <v>56</v>
      </c>
      <c r="K82" s="5" t="s">
        <v>57</v>
      </c>
      <c r="L82" s="5" t="s">
        <v>58</v>
      </c>
      <c r="M82" s="5" t="s">
        <v>59</v>
      </c>
      <c r="N82" s="5"/>
      <c r="O82" s="5"/>
      <c r="P82" s="5"/>
      <c r="Q82" s="5"/>
      <c r="R82" s="5" t="s">
        <v>90</v>
      </c>
      <c r="S82" s="5" t="s">
        <v>64</v>
      </c>
      <c r="T82" s="5"/>
      <c r="U82" s="6"/>
      <c r="V82" s="5"/>
      <c r="W82" s="5"/>
      <c r="X82" s="5"/>
      <c r="Y82" s="5"/>
      <c r="Z82" s="5"/>
      <c r="AA82" s="5"/>
      <c r="AB82" s="6"/>
      <c r="AC82" s="5"/>
      <c r="AD82" s="6"/>
      <c r="AE82" s="5"/>
      <c r="AF82" s="6"/>
      <c r="AG82" s="5"/>
      <c r="AH82" s="6"/>
      <c r="AI82" s="5"/>
      <c r="AJ82" s="5"/>
      <c r="AK82" s="6"/>
      <c r="AL82" s="5"/>
      <c r="AM82" s="5"/>
      <c r="AN82" s="6"/>
      <c r="AO82" s="5"/>
      <c r="AP82" s="5"/>
      <c r="AQ82" s="5"/>
      <c r="AR82" s="6"/>
      <c r="AS82" s="5"/>
      <c r="AT82" s="5"/>
      <c r="AU82" s="5"/>
      <c r="AV82" s="6"/>
      <c r="AW82" s="5"/>
      <c r="AX82" s="5"/>
      <c r="AY82" s="5"/>
      <c r="AZ82" s="6"/>
      <c r="BA82" s="5"/>
      <c r="BB82" s="5"/>
      <c r="BC82" s="5"/>
      <c r="BD82" s="6"/>
      <c r="BE82" s="5"/>
      <c r="BF82" s="5"/>
      <c r="BG82" s="7">
        <v>45292</v>
      </c>
      <c r="BH82" s="5"/>
      <c r="BI82" s="13" t="s">
        <v>53</v>
      </c>
    </row>
    <row r="83" spans="1:61" ht="24.75" customHeight="1" x14ac:dyDescent="0.15">
      <c r="A83" s="3">
        <v>82</v>
      </c>
      <c r="B83" s="13" t="s">
        <v>1844</v>
      </c>
      <c r="C83" s="4"/>
      <c r="D83" s="13" t="s">
        <v>866</v>
      </c>
      <c r="E83" s="11" t="s">
        <v>1845</v>
      </c>
      <c r="F83" s="11" t="s">
        <v>96</v>
      </c>
      <c r="G83" s="11" t="s">
        <v>102</v>
      </c>
      <c r="H83" s="5"/>
      <c r="I83" s="6">
        <v>30318</v>
      </c>
      <c r="J83" s="11" t="s">
        <v>56</v>
      </c>
      <c r="K83" s="5" t="s">
        <v>57</v>
      </c>
      <c r="L83" s="5" t="s">
        <v>58</v>
      </c>
      <c r="M83" s="5" t="s">
        <v>59</v>
      </c>
      <c r="N83" s="5"/>
      <c r="O83" s="5"/>
      <c r="P83" s="5"/>
      <c r="Q83" s="5"/>
      <c r="R83" s="5" t="s">
        <v>90</v>
      </c>
      <c r="S83" s="5" t="s">
        <v>64</v>
      </c>
      <c r="T83" s="5"/>
      <c r="U83" s="6"/>
      <c r="V83" s="5"/>
      <c r="W83" s="5"/>
      <c r="X83" s="5"/>
      <c r="Y83" s="5"/>
      <c r="Z83" s="5"/>
      <c r="AA83" s="5"/>
      <c r="AB83" s="6"/>
      <c r="AC83" s="5"/>
      <c r="AD83" s="6"/>
      <c r="AE83" s="5"/>
      <c r="AF83" s="6"/>
      <c r="AG83" s="5"/>
      <c r="AH83" s="6"/>
      <c r="AI83" s="5"/>
      <c r="AJ83" s="5"/>
      <c r="AK83" s="6"/>
      <c r="AL83" s="5"/>
      <c r="AM83" s="5"/>
      <c r="AN83" s="6"/>
      <c r="AO83" s="5"/>
      <c r="AP83" s="5"/>
      <c r="AQ83" s="5"/>
      <c r="AR83" s="6"/>
      <c r="AS83" s="5"/>
      <c r="AT83" s="5"/>
      <c r="AU83" s="5"/>
      <c r="AV83" s="6"/>
      <c r="AW83" s="5"/>
      <c r="AX83" s="5"/>
      <c r="AY83" s="5"/>
      <c r="AZ83" s="6"/>
      <c r="BA83" s="5"/>
      <c r="BB83" s="5"/>
      <c r="BC83" s="5"/>
      <c r="BD83" s="6"/>
      <c r="BE83" s="5"/>
      <c r="BF83" s="5"/>
      <c r="BG83" s="7"/>
      <c r="BH83" s="5"/>
      <c r="BI83" s="13" t="s">
        <v>53</v>
      </c>
    </row>
    <row r="84" spans="1:61" ht="13.75" customHeight="1" x14ac:dyDescent="0.15">
      <c r="A84" s="3">
        <v>83</v>
      </c>
      <c r="B84" s="4" t="s">
        <v>1764</v>
      </c>
      <c r="C84" s="4" t="s">
        <v>370</v>
      </c>
      <c r="D84" s="8"/>
      <c r="E84" s="11" t="s">
        <v>1823</v>
      </c>
      <c r="F84" s="5" t="s">
        <v>85</v>
      </c>
      <c r="G84" s="5" t="s">
        <v>102</v>
      </c>
      <c r="H84" s="5" t="s">
        <v>911</v>
      </c>
      <c r="I84" s="6">
        <v>32254</v>
      </c>
      <c r="J84" s="5" t="s">
        <v>56</v>
      </c>
      <c r="K84" s="5" t="s">
        <v>187</v>
      </c>
      <c r="L84" s="5" t="s">
        <v>1765</v>
      </c>
      <c r="M84" s="5" t="s">
        <v>1766</v>
      </c>
      <c r="N84" s="5"/>
      <c r="O84" s="5"/>
      <c r="P84" s="5" t="s">
        <v>393</v>
      </c>
      <c r="Q84" s="5" t="s">
        <v>1767</v>
      </c>
      <c r="R84" s="5" t="s">
        <v>90</v>
      </c>
      <c r="S84" s="5" t="s">
        <v>976</v>
      </c>
      <c r="T84" s="5"/>
      <c r="U84" s="6"/>
      <c r="V84" s="5"/>
      <c r="W84" s="5"/>
      <c r="X84" s="5"/>
      <c r="Y84" s="5"/>
      <c r="Z84" s="5"/>
      <c r="AA84" s="5"/>
      <c r="AB84" s="6"/>
      <c r="AC84" s="5"/>
      <c r="AD84" s="6"/>
      <c r="AE84" s="5"/>
      <c r="AF84" s="6"/>
      <c r="AG84" s="5"/>
      <c r="AH84" s="6"/>
      <c r="AI84" s="5"/>
      <c r="AJ84" s="5"/>
      <c r="AK84" s="6"/>
      <c r="AL84" s="5"/>
      <c r="AM84" s="5"/>
      <c r="AN84" s="6"/>
      <c r="AO84" s="5"/>
      <c r="AP84" s="5"/>
      <c r="AQ84" s="5"/>
      <c r="AR84" s="6"/>
      <c r="AS84" s="5"/>
      <c r="AT84" s="5"/>
      <c r="AU84" s="5"/>
      <c r="AV84" s="6"/>
      <c r="AW84" s="5"/>
      <c r="AX84" s="5"/>
      <c r="AY84" s="5"/>
      <c r="AZ84" s="6"/>
      <c r="BA84" s="5"/>
      <c r="BB84" s="5"/>
      <c r="BC84" s="5"/>
      <c r="BD84" s="6"/>
      <c r="BE84" s="5"/>
      <c r="BF84" s="5"/>
      <c r="BG84" s="7">
        <v>45292</v>
      </c>
      <c r="BH84" s="5"/>
      <c r="BI84" s="13" t="s">
        <v>1843</v>
      </c>
    </row>
    <row r="85" spans="1:61" ht="13.75" customHeight="1" x14ac:dyDescent="0.15">
      <c r="A85" s="3">
        <v>84</v>
      </c>
      <c r="B85" s="4" t="s">
        <v>1768</v>
      </c>
      <c r="C85" s="4"/>
      <c r="D85" s="8"/>
      <c r="E85" s="11" t="s">
        <v>1820</v>
      </c>
      <c r="F85" s="5" t="s">
        <v>85</v>
      </c>
      <c r="G85" s="5" t="s">
        <v>102</v>
      </c>
      <c r="H85" s="5" t="s">
        <v>1769</v>
      </c>
      <c r="I85" s="6">
        <v>32117</v>
      </c>
      <c r="J85" s="5" t="s">
        <v>56</v>
      </c>
      <c r="K85" s="5" t="s">
        <v>187</v>
      </c>
      <c r="L85" s="5" t="s">
        <v>1765</v>
      </c>
      <c r="M85" s="5" t="s">
        <v>1766</v>
      </c>
      <c r="N85" s="5"/>
      <c r="O85" s="5"/>
      <c r="P85" s="5" t="s">
        <v>393</v>
      </c>
      <c r="Q85" s="5" t="s">
        <v>1767</v>
      </c>
      <c r="R85" s="5" t="s">
        <v>90</v>
      </c>
      <c r="S85" s="5" t="s">
        <v>976</v>
      </c>
      <c r="T85" s="5"/>
      <c r="U85" s="6"/>
      <c r="V85" s="5"/>
      <c r="W85" s="5"/>
      <c r="X85" s="5"/>
      <c r="Y85" s="5"/>
      <c r="Z85" s="5"/>
      <c r="AA85" s="5"/>
      <c r="AB85" s="6"/>
      <c r="AC85" s="5"/>
      <c r="AD85" s="6"/>
      <c r="AE85" s="5"/>
      <c r="AF85" s="6"/>
      <c r="AG85" s="5"/>
      <c r="AH85" s="6"/>
      <c r="AI85" s="5"/>
      <c r="AJ85" s="5"/>
      <c r="AK85" s="6"/>
      <c r="AL85" s="5"/>
      <c r="AM85" s="5"/>
      <c r="AN85" s="6"/>
      <c r="AO85" s="5"/>
      <c r="AP85" s="5"/>
      <c r="AQ85" s="5"/>
      <c r="AR85" s="6"/>
      <c r="AS85" s="5"/>
      <c r="AT85" s="5"/>
      <c r="AU85" s="5"/>
      <c r="AV85" s="6"/>
      <c r="AW85" s="5"/>
      <c r="AX85" s="5"/>
      <c r="AY85" s="5"/>
      <c r="AZ85" s="6"/>
      <c r="BA85" s="5"/>
      <c r="BB85" s="5"/>
      <c r="BC85" s="5"/>
      <c r="BD85" s="6"/>
      <c r="BE85" s="5"/>
      <c r="BF85" s="5"/>
      <c r="BG85" s="7">
        <v>45292</v>
      </c>
      <c r="BH85" s="5"/>
      <c r="BI85" s="13" t="s">
        <v>1843</v>
      </c>
    </row>
    <row r="86" spans="1:61" ht="13.75" customHeight="1" x14ac:dyDescent="0.15">
      <c r="A86" s="3">
        <v>85</v>
      </c>
      <c r="B86" s="4" t="s">
        <v>1770</v>
      </c>
      <c r="C86" s="10"/>
      <c r="D86" s="8"/>
      <c r="E86" s="11" t="s">
        <v>1821</v>
      </c>
      <c r="F86" s="5" t="s">
        <v>85</v>
      </c>
      <c r="G86" s="5" t="s">
        <v>102</v>
      </c>
      <c r="H86" s="5" t="s">
        <v>1771</v>
      </c>
      <c r="I86" s="6">
        <v>32098</v>
      </c>
      <c r="J86" s="5" t="s">
        <v>56</v>
      </c>
      <c r="K86" s="5" t="s">
        <v>57</v>
      </c>
      <c r="L86" s="5" t="s">
        <v>1765</v>
      </c>
      <c r="M86" s="5" t="s">
        <v>1766</v>
      </c>
      <c r="N86" s="5"/>
      <c r="O86" s="5"/>
      <c r="P86" s="5" t="s">
        <v>393</v>
      </c>
      <c r="Q86" s="5" t="s">
        <v>1767</v>
      </c>
      <c r="R86" s="5" t="s">
        <v>90</v>
      </c>
      <c r="S86" s="5" t="s">
        <v>976</v>
      </c>
      <c r="T86" s="5"/>
      <c r="U86" s="6"/>
      <c r="V86" s="5"/>
      <c r="W86" s="5"/>
      <c r="X86" s="5"/>
      <c r="Y86" s="5"/>
      <c r="Z86" s="5"/>
      <c r="AA86" s="5"/>
      <c r="AB86" s="6"/>
      <c r="AC86" s="5"/>
      <c r="AD86" s="6"/>
      <c r="AE86" s="5"/>
      <c r="AF86" s="6"/>
      <c r="AG86" s="5"/>
      <c r="AH86" s="6"/>
      <c r="AI86" s="5"/>
      <c r="AJ86" s="5"/>
      <c r="AK86" s="6"/>
      <c r="AL86" s="5"/>
      <c r="AM86" s="5"/>
      <c r="AN86" s="6"/>
      <c r="AO86" s="5"/>
      <c r="AP86" s="5"/>
      <c r="AQ86" s="5"/>
      <c r="AR86" s="6"/>
      <c r="AS86" s="5"/>
      <c r="AT86" s="5"/>
      <c r="AU86" s="5"/>
      <c r="AV86" s="6"/>
      <c r="AW86" s="5"/>
      <c r="AX86" s="5"/>
      <c r="AY86" s="5"/>
      <c r="AZ86" s="6"/>
      <c r="BA86" s="5"/>
      <c r="BB86" s="5"/>
      <c r="BC86" s="5"/>
      <c r="BD86" s="6"/>
      <c r="BE86" s="5"/>
      <c r="BF86" s="5"/>
      <c r="BG86" s="7">
        <v>45292</v>
      </c>
      <c r="BH86" s="5"/>
      <c r="BI86" s="13" t="s">
        <v>1843</v>
      </c>
    </row>
    <row r="87" spans="1:61" ht="13.75" customHeight="1" x14ac:dyDescent="0.15">
      <c r="A87" s="3">
        <v>86</v>
      </c>
      <c r="B87" s="4" t="s">
        <v>1772</v>
      </c>
      <c r="C87" s="4" t="s">
        <v>569</v>
      </c>
      <c r="D87" s="8"/>
      <c r="E87" s="11" t="s">
        <v>1822</v>
      </c>
      <c r="F87" s="5" t="s">
        <v>85</v>
      </c>
      <c r="G87" s="5" t="s">
        <v>102</v>
      </c>
      <c r="H87" s="5" t="s">
        <v>1773</v>
      </c>
      <c r="I87" s="6">
        <v>31943</v>
      </c>
      <c r="J87" s="5" t="s">
        <v>56</v>
      </c>
      <c r="K87" s="5" t="s">
        <v>57</v>
      </c>
      <c r="L87" s="5" t="s">
        <v>1765</v>
      </c>
      <c r="M87" s="5" t="s">
        <v>1766</v>
      </c>
      <c r="N87" s="5"/>
      <c r="O87" s="5"/>
      <c r="P87" s="5" t="s">
        <v>393</v>
      </c>
      <c r="Q87" s="5" t="s">
        <v>1767</v>
      </c>
      <c r="R87" s="5" t="s">
        <v>90</v>
      </c>
      <c r="S87" s="5" t="s">
        <v>976</v>
      </c>
      <c r="T87" s="5"/>
      <c r="U87" s="6"/>
      <c r="V87" s="5"/>
      <c r="W87" s="5"/>
      <c r="X87" s="5"/>
      <c r="Y87" s="5"/>
      <c r="Z87" s="5"/>
      <c r="AA87" s="5"/>
      <c r="AB87" s="6"/>
      <c r="AC87" s="5"/>
      <c r="AD87" s="6"/>
      <c r="AE87" s="5"/>
      <c r="AF87" s="6"/>
      <c r="AG87" s="5"/>
      <c r="AH87" s="6"/>
      <c r="AI87" s="5"/>
      <c r="AJ87" s="5"/>
      <c r="AK87" s="6"/>
      <c r="AL87" s="5"/>
      <c r="AM87" s="5"/>
      <c r="AN87" s="6"/>
      <c r="AO87" s="5"/>
      <c r="AP87" s="5"/>
      <c r="AQ87" s="5"/>
      <c r="AR87" s="6"/>
      <c r="AS87" s="5"/>
      <c r="AT87" s="5"/>
      <c r="AU87" s="5"/>
      <c r="AV87" s="6"/>
      <c r="AW87" s="5"/>
      <c r="AX87" s="5"/>
      <c r="AY87" s="5"/>
      <c r="AZ87" s="6"/>
      <c r="BA87" s="5"/>
      <c r="BB87" s="5"/>
      <c r="BC87" s="5"/>
      <c r="BD87" s="6"/>
      <c r="BE87" s="5"/>
      <c r="BF87" s="5"/>
      <c r="BG87" s="7">
        <v>45292</v>
      </c>
      <c r="BH87" s="5"/>
      <c r="BI87" s="13" t="s">
        <v>1843</v>
      </c>
    </row>
    <row r="88" spans="1:61" ht="13.75" customHeight="1" x14ac:dyDescent="0.15">
      <c r="A88" s="3">
        <v>87</v>
      </c>
      <c r="B88" s="4" t="s">
        <v>1774</v>
      </c>
      <c r="C88" s="4" t="s">
        <v>1775</v>
      </c>
      <c r="D88" s="8"/>
      <c r="E88" s="11" t="s">
        <v>1824</v>
      </c>
      <c r="F88" s="5" t="s">
        <v>85</v>
      </c>
      <c r="G88" s="5" t="s">
        <v>102</v>
      </c>
      <c r="H88" s="5" t="s">
        <v>160</v>
      </c>
      <c r="I88" s="6">
        <v>33946</v>
      </c>
      <c r="J88" s="5" t="s">
        <v>1776</v>
      </c>
      <c r="K88" s="5" t="s">
        <v>187</v>
      </c>
      <c r="L88" s="5" t="s">
        <v>1765</v>
      </c>
      <c r="M88" s="5" t="s">
        <v>1766</v>
      </c>
      <c r="N88" s="5"/>
      <c r="O88" s="5"/>
      <c r="P88" s="5" t="s">
        <v>393</v>
      </c>
      <c r="Q88" s="5" t="s">
        <v>1767</v>
      </c>
      <c r="R88" s="5" t="s">
        <v>90</v>
      </c>
      <c r="S88" s="5" t="s">
        <v>976</v>
      </c>
      <c r="T88" s="5"/>
      <c r="U88" s="6"/>
      <c r="V88" s="5"/>
      <c r="W88" s="5"/>
      <c r="X88" s="5"/>
      <c r="Y88" s="5"/>
      <c r="Z88" s="5"/>
      <c r="AA88" s="5"/>
      <c r="AB88" s="6"/>
      <c r="AC88" s="5"/>
      <c r="AD88" s="6"/>
      <c r="AE88" s="5"/>
      <c r="AF88" s="6"/>
      <c r="AG88" s="5"/>
      <c r="AH88" s="6"/>
      <c r="AI88" s="5"/>
      <c r="AJ88" s="5"/>
      <c r="AK88" s="6"/>
      <c r="AL88" s="5"/>
      <c r="AM88" s="5"/>
      <c r="AN88" s="6"/>
      <c r="AO88" s="5"/>
      <c r="AP88" s="5"/>
      <c r="AQ88" s="5"/>
      <c r="AR88" s="6"/>
      <c r="AS88" s="5"/>
      <c r="AT88" s="5"/>
      <c r="AU88" s="5"/>
      <c r="AV88" s="6"/>
      <c r="AW88" s="5"/>
      <c r="AX88" s="5"/>
      <c r="AY88" s="5"/>
      <c r="AZ88" s="6"/>
      <c r="BA88" s="5"/>
      <c r="BB88" s="5"/>
      <c r="BC88" s="5"/>
      <c r="BD88" s="6"/>
      <c r="BE88" s="5"/>
      <c r="BF88" s="5"/>
      <c r="BG88" s="7">
        <v>45292</v>
      </c>
      <c r="BH88" s="5"/>
      <c r="BI88" s="13" t="s">
        <v>1843</v>
      </c>
    </row>
    <row r="89" spans="1:61" ht="13.75" customHeight="1" x14ac:dyDescent="0.15">
      <c r="A89" s="3">
        <v>88</v>
      </c>
      <c r="B89" s="4" t="s">
        <v>1777</v>
      </c>
      <c r="C89" s="4" t="s">
        <v>1778</v>
      </c>
      <c r="D89" s="8"/>
      <c r="E89" s="11" t="s">
        <v>1825</v>
      </c>
      <c r="F89" s="5" t="s">
        <v>85</v>
      </c>
      <c r="G89" s="5" t="s">
        <v>102</v>
      </c>
      <c r="H89" s="5" t="s">
        <v>1779</v>
      </c>
      <c r="I89" s="6">
        <v>35405</v>
      </c>
      <c r="J89" s="5" t="s">
        <v>56</v>
      </c>
      <c r="K89" s="5" t="s">
        <v>187</v>
      </c>
      <c r="L89" s="5" t="s">
        <v>1765</v>
      </c>
      <c r="M89" s="5" t="s">
        <v>1766</v>
      </c>
      <c r="N89" s="5"/>
      <c r="O89" s="5"/>
      <c r="P89" s="5" t="s">
        <v>393</v>
      </c>
      <c r="Q89" s="5" t="s">
        <v>1767</v>
      </c>
      <c r="R89" s="5" t="s">
        <v>90</v>
      </c>
      <c r="S89" s="5" t="s">
        <v>976</v>
      </c>
      <c r="T89" s="5"/>
      <c r="U89" s="6"/>
      <c r="V89" s="5"/>
      <c r="W89" s="5"/>
      <c r="X89" s="5"/>
      <c r="Y89" s="5"/>
      <c r="Z89" s="5"/>
      <c r="AA89" s="5"/>
      <c r="AB89" s="6"/>
      <c r="AC89" s="5"/>
      <c r="AD89" s="6"/>
      <c r="AE89" s="5"/>
      <c r="AF89" s="6"/>
      <c r="AG89" s="5"/>
      <c r="AH89" s="6"/>
      <c r="AI89" s="5"/>
      <c r="AJ89" s="5"/>
      <c r="AK89" s="6"/>
      <c r="AL89" s="5"/>
      <c r="AM89" s="5"/>
      <c r="AN89" s="6"/>
      <c r="AO89" s="5"/>
      <c r="AP89" s="5"/>
      <c r="AQ89" s="5"/>
      <c r="AR89" s="6"/>
      <c r="AS89" s="5"/>
      <c r="AT89" s="5"/>
      <c r="AU89" s="5"/>
      <c r="AV89" s="6"/>
      <c r="AW89" s="5"/>
      <c r="AX89" s="5"/>
      <c r="AY89" s="5"/>
      <c r="AZ89" s="6"/>
      <c r="BA89" s="5"/>
      <c r="BB89" s="5"/>
      <c r="BC89" s="5"/>
      <c r="BD89" s="6"/>
      <c r="BE89" s="5"/>
      <c r="BF89" s="5"/>
      <c r="BG89" s="7">
        <v>45292</v>
      </c>
      <c r="BH89" s="5"/>
      <c r="BI89" s="13" t="s">
        <v>1843</v>
      </c>
    </row>
    <row r="90" spans="1:61" ht="13.75" customHeight="1" x14ac:dyDescent="0.15">
      <c r="A90" s="3">
        <v>89</v>
      </c>
      <c r="B90" s="4" t="s">
        <v>1780</v>
      </c>
      <c r="C90" s="4"/>
      <c r="D90" s="8"/>
      <c r="E90" s="11" t="s">
        <v>1826</v>
      </c>
      <c r="F90" s="5" t="s">
        <v>85</v>
      </c>
      <c r="G90" s="5" t="s">
        <v>102</v>
      </c>
      <c r="H90" s="5" t="s">
        <v>782</v>
      </c>
      <c r="I90" s="6">
        <v>35474</v>
      </c>
      <c r="J90" s="5" t="s">
        <v>56</v>
      </c>
      <c r="K90" s="5" t="s">
        <v>57</v>
      </c>
      <c r="L90" s="5" t="s">
        <v>1765</v>
      </c>
      <c r="M90" s="5" t="s">
        <v>1766</v>
      </c>
      <c r="N90" s="5"/>
      <c r="O90" s="5"/>
      <c r="P90" s="5" t="s">
        <v>393</v>
      </c>
      <c r="Q90" s="5" t="s">
        <v>1767</v>
      </c>
      <c r="R90" s="5" t="s">
        <v>90</v>
      </c>
      <c r="S90" s="5" t="s">
        <v>976</v>
      </c>
      <c r="T90" s="5"/>
      <c r="U90" s="6"/>
      <c r="V90" s="5"/>
      <c r="W90" s="5"/>
      <c r="X90" s="5"/>
      <c r="Y90" s="5"/>
      <c r="Z90" s="5"/>
      <c r="AA90" s="5"/>
      <c r="AB90" s="6"/>
      <c r="AC90" s="5"/>
      <c r="AD90" s="6"/>
      <c r="AE90" s="5"/>
      <c r="AF90" s="6"/>
      <c r="AG90" s="5"/>
      <c r="AH90" s="6"/>
      <c r="AI90" s="5"/>
      <c r="AJ90" s="5"/>
      <c r="AK90" s="6"/>
      <c r="AL90" s="5"/>
      <c r="AM90" s="5"/>
      <c r="AN90" s="6"/>
      <c r="AO90" s="5"/>
      <c r="AP90" s="5"/>
      <c r="AQ90" s="5"/>
      <c r="AR90" s="6"/>
      <c r="AS90" s="5"/>
      <c r="AT90" s="5"/>
      <c r="AU90" s="5"/>
      <c r="AV90" s="6"/>
      <c r="AW90" s="5"/>
      <c r="AX90" s="5"/>
      <c r="AY90" s="5"/>
      <c r="AZ90" s="6"/>
      <c r="BA90" s="5"/>
      <c r="BB90" s="5"/>
      <c r="BC90" s="5"/>
      <c r="BD90" s="6"/>
      <c r="BE90" s="5"/>
      <c r="BF90" s="5"/>
      <c r="BG90" s="7">
        <v>45292</v>
      </c>
      <c r="BH90" s="5"/>
      <c r="BI90" s="13" t="s">
        <v>1843</v>
      </c>
    </row>
    <row r="91" spans="1:61" ht="13.75" customHeight="1" x14ac:dyDescent="0.15">
      <c r="A91" s="3">
        <v>90</v>
      </c>
      <c r="B91" s="4" t="s">
        <v>1781</v>
      </c>
      <c r="C91" s="4"/>
      <c r="D91" s="8"/>
      <c r="E91" s="11" t="s">
        <v>1827</v>
      </c>
      <c r="F91" s="5" t="s">
        <v>85</v>
      </c>
      <c r="G91" s="5" t="s">
        <v>102</v>
      </c>
      <c r="H91" s="5" t="s">
        <v>911</v>
      </c>
      <c r="I91" s="6">
        <v>35910</v>
      </c>
      <c r="J91" s="5" t="s">
        <v>56</v>
      </c>
      <c r="K91" s="5" t="s">
        <v>57</v>
      </c>
      <c r="L91" s="5" t="s">
        <v>1765</v>
      </c>
      <c r="M91" s="5" t="s">
        <v>1766</v>
      </c>
      <c r="N91" s="5"/>
      <c r="O91" s="5"/>
      <c r="P91" s="5" t="s">
        <v>393</v>
      </c>
      <c r="Q91" s="5" t="s">
        <v>1782</v>
      </c>
      <c r="R91" s="5" t="s">
        <v>90</v>
      </c>
      <c r="S91" s="5" t="s">
        <v>976</v>
      </c>
      <c r="T91" s="5"/>
      <c r="U91" s="6"/>
      <c r="V91" s="5"/>
      <c r="W91" s="5"/>
      <c r="X91" s="5"/>
      <c r="Y91" s="5"/>
      <c r="Z91" s="5"/>
      <c r="AA91" s="5"/>
      <c r="AB91" s="6"/>
      <c r="AC91" s="5"/>
      <c r="AD91" s="6"/>
      <c r="AE91" s="5"/>
      <c r="AF91" s="6"/>
      <c r="AG91" s="5"/>
      <c r="AH91" s="6"/>
      <c r="AI91" s="5"/>
      <c r="AJ91" s="5"/>
      <c r="AK91" s="6"/>
      <c r="AL91" s="5"/>
      <c r="AM91" s="5"/>
      <c r="AN91" s="6"/>
      <c r="AO91" s="5"/>
      <c r="AP91" s="5"/>
      <c r="AQ91" s="5"/>
      <c r="AR91" s="6"/>
      <c r="AS91" s="5"/>
      <c r="AT91" s="5"/>
      <c r="AU91" s="5"/>
      <c r="AV91" s="6"/>
      <c r="AW91" s="5"/>
      <c r="AX91" s="5"/>
      <c r="AY91" s="5"/>
      <c r="AZ91" s="6"/>
      <c r="BA91" s="5"/>
      <c r="BB91" s="5"/>
      <c r="BC91" s="5"/>
      <c r="BD91" s="6"/>
      <c r="BE91" s="5"/>
      <c r="BF91" s="5"/>
      <c r="BG91" s="7">
        <v>45292</v>
      </c>
      <c r="BH91" s="5"/>
      <c r="BI91" s="13" t="s">
        <v>1843</v>
      </c>
    </row>
    <row r="92" spans="1:61" ht="13.75" customHeight="1" x14ac:dyDescent="0.15">
      <c r="A92" s="3">
        <v>91</v>
      </c>
      <c r="B92" s="4" t="s">
        <v>1783</v>
      </c>
      <c r="C92" s="4" t="s">
        <v>1784</v>
      </c>
      <c r="D92" s="8"/>
      <c r="E92" s="11" t="s">
        <v>1828</v>
      </c>
      <c r="F92" s="5" t="s">
        <v>85</v>
      </c>
      <c r="G92" s="5" t="s">
        <v>102</v>
      </c>
      <c r="H92" s="5" t="s">
        <v>744</v>
      </c>
      <c r="I92" s="6">
        <v>34829</v>
      </c>
      <c r="J92" s="5" t="s">
        <v>56</v>
      </c>
      <c r="K92" s="5" t="s">
        <v>187</v>
      </c>
      <c r="L92" s="5" t="s">
        <v>1765</v>
      </c>
      <c r="M92" s="5" t="s">
        <v>1766</v>
      </c>
      <c r="N92" s="5"/>
      <c r="O92" s="5"/>
      <c r="P92" s="5" t="s">
        <v>393</v>
      </c>
      <c r="Q92" s="5" t="s">
        <v>1782</v>
      </c>
      <c r="R92" s="5" t="s">
        <v>90</v>
      </c>
      <c r="S92" s="5" t="s">
        <v>976</v>
      </c>
      <c r="T92" s="5"/>
      <c r="U92" s="6"/>
      <c r="V92" s="5"/>
      <c r="W92" s="5"/>
      <c r="X92" s="5"/>
      <c r="Y92" s="5"/>
      <c r="Z92" s="5"/>
      <c r="AA92" s="5"/>
      <c r="AB92" s="6"/>
      <c r="AC92" s="5"/>
      <c r="AD92" s="6"/>
      <c r="AE92" s="5"/>
      <c r="AF92" s="6"/>
      <c r="AG92" s="5"/>
      <c r="AH92" s="6"/>
      <c r="AI92" s="5"/>
      <c r="AJ92" s="5"/>
      <c r="AK92" s="6"/>
      <c r="AL92" s="5"/>
      <c r="AM92" s="5"/>
      <c r="AN92" s="6"/>
      <c r="AO92" s="5"/>
      <c r="AP92" s="5"/>
      <c r="AQ92" s="5"/>
      <c r="AR92" s="6"/>
      <c r="AS92" s="5"/>
      <c r="AT92" s="5"/>
      <c r="AU92" s="5"/>
      <c r="AV92" s="6"/>
      <c r="AW92" s="5"/>
      <c r="AX92" s="5"/>
      <c r="AY92" s="5"/>
      <c r="AZ92" s="6"/>
      <c r="BA92" s="5"/>
      <c r="BB92" s="5"/>
      <c r="BC92" s="5"/>
      <c r="BD92" s="6"/>
      <c r="BE92" s="5"/>
      <c r="BF92" s="5"/>
      <c r="BG92" s="7">
        <v>45292</v>
      </c>
      <c r="BH92" s="5"/>
      <c r="BI92" s="13" t="s">
        <v>1843</v>
      </c>
    </row>
    <row r="93" spans="1:61" ht="13.75" customHeight="1" x14ac:dyDescent="0.15">
      <c r="A93" s="3">
        <v>92</v>
      </c>
      <c r="B93" s="4" t="s">
        <v>1785</v>
      </c>
      <c r="C93" s="4"/>
      <c r="D93" s="8"/>
      <c r="E93" s="11" t="s">
        <v>1829</v>
      </c>
      <c r="F93" s="5" t="s">
        <v>85</v>
      </c>
      <c r="G93" s="5" t="s">
        <v>102</v>
      </c>
      <c r="H93" s="5" t="s">
        <v>850</v>
      </c>
      <c r="I93" s="6">
        <v>29647</v>
      </c>
      <c r="J93" s="5" t="s">
        <v>56</v>
      </c>
      <c r="K93" s="5" t="s">
        <v>187</v>
      </c>
      <c r="L93" s="5" t="s">
        <v>1765</v>
      </c>
      <c r="M93" s="5" t="s">
        <v>1766</v>
      </c>
      <c r="N93" s="5"/>
      <c r="O93" s="5"/>
      <c r="P93" s="5" t="s">
        <v>393</v>
      </c>
      <c r="Q93" s="5" t="s">
        <v>1782</v>
      </c>
      <c r="R93" s="5" t="s">
        <v>90</v>
      </c>
      <c r="S93" s="5" t="s">
        <v>976</v>
      </c>
      <c r="T93" s="5"/>
      <c r="U93" s="6"/>
      <c r="V93" s="5"/>
      <c r="W93" s="5"/>
      <c r="X93" s="5"/>
      <c r="Y93" s="5"/>
      <c r="Z93" s="5"/>
      <c r="AA93" s="5"/>
      <c r="AB93" s="6"/>
      <c r="AC93" s="5"/>
      <c r="AD93" s="6"/>
      <c r="AE93" s="5"/>
      <c r="AF93" s="6"/>
      <c r="AG93" s="5"/>
      <c r="AH93" s="6"/>
      <c r="AI93" s="5"/>
      <c r="AJ93" s="5"/>
      <c r="AK93" s="6"/>
      <c r="AL93" s="5"/>
      <c r="AM93" s="5"/>
      <c r="AN93" s="6"/>
      <c r="AO93" s="5"/>
      <c r="AP93" s="5"/>
      <c r="AQ93" s="5"/>
      <c r="AR93" s="6"/>
      <c r="AS93" s="5"/>
      <c r="AT93" s="5"/>
      <c r="AU93" s="5"/>
      <c r="AV93" s="6"/>
      <c r="AW93" s="5"/>
      <c r="AX93" s="5"/>
      <c r="AY93" s="5"/>
      <c r="AZ93" s="6"/>
      <c r="BA93" s="5"/>
      <c r="BB93" s="5"/>
      <c r="BC93" s="5"/>
      <c r="BD93" s="6"/>
      <c r="BE93" s="5"/>
      <c r="BF93" s="5"/>
      <c r="BG93" s="7">
        <v>45292</v>
      </c>
      <c r="BH93" s="5"/>
      <c r="BI93" s="13" t="s">
        <v>1843</v>
      </c>
    </row>
    <row r="94" spans="1:61" ht="13.75" customHeight="1" x14ac:dyDescent="0.15">
      <c r="A94" s="3">
        <v>93</v>
      </c>
      <c r="B94" s="4" t="s">
        <v>1786</v>
      </c>
      <c r="C94" s="4"/>
      <c r="D94" s="8"/>
      <c r="E94" s="11" t="s">
        <v>1830</v>
      </c>
      <c r="F94" s="5" t="s">
        <v>85</v>
      </c>
      <c r="G94" s="5" t="s">
        <v>102</v>
      </c>
      <c r="H94" s="5" t="s">
        <v>428</v>
      </c>
      <c r="I94" s="6">
        <v>31200</v>
      </c>
      <c r="J94" s="5" t="s">
        <v>56</v>
      </c>
      <c r="K94" s="5" t="s">
        <v>187</v>
      </c>
      <c r="L94" s="5" t="s">
        <v>1765</v>
      </c>
      <c r="M94" s="5" t="s">
        <v>1766</v>
      </c>
      <c r="N94" s="5"/>
      <c r="O94" s="5"/>
      <c r="P94" s="5" t="s">
        <v>393</v>
      </c>
      <c r="Q94" s="5" t="s">
        <v>1782</v>
      </c>
      <c r="R94" s="5" t="s">
        <v>90</v>
      </c>
      <c r="S94" s="5" t="s">
        <v>976</v>
      </c>
      <c r="T94" s="5"/>
      <c r="U94" s="6"/>
      <c r="V94" s="5"/>
      <c r="W94" s="5"/>
      <c r="X94" s="5"/>
      <c r="Y94" s="5"/>
      <c r="Z94" s="5"/>
      <c r="AA94" s="5"/>
      <c r="AB94" s="6"/>
      <c r="AC94" s="5"/>
      <c r="AD94" s="6"/>
      <c r="AE94" s="5"/>
      <c r="AF94" s="6"/>
      <c r="AG94" s="5"/>
      <c r="AH94" s="6"/>
      <c r="AI94" s="5"/>
      <c r="AJ94" s="5"/>
      <c r="AK94" s="6"/>
      <c r="AL94" s="5"/>
      <c r="AM94" s="5"/>
      <c r="AN94" s="6"/>
      <c r="AO94" s="5"/>
      <c r="AP94" s="5"/>
      <c r="AQ94" s="5"/>
      <c r="AR94" s="6"/>
      <c r="AS94" s="5"/>
      <c r="AT94" s="5"/>
      <c r="AU94" s="5"/>
      <c r="AV94" s="6"/>
      <c r="AW94" s="5"/>
      <c r="AX94" s="5"/>
      <c r="AY94" s="5"/>
      <c r="AZ94" s="6"/>
      <c r="BA94" s="5"/>
      <c r="BB94" s="5"/>
      <c r="BC94" s="5"/>
      <c r="BD94" s="6"/>
      <c r="BE94" s="5"/>
      <c r="BF94" s="5"/>
      <c r="BG94" s="7">
        <v>45292</v>
      </c>
      <c r="BH94" s="5"/>
      <c r="BI94" s="13" t="s">
        <v>1843</v>
      </c>
    </row>
    <row r="95" spans="1:61" ht="13.75" customHeight="1" x14ac:dyDescent="0.15">
      <c r="A95" s="3">
        <v>94</v>
      </c>
      <c r="B95" s="4" t="s">
        <v>1787</v>
      </c>
      <c r="C95" s="10"/>
      <c r="D95" s="8"/>
      <c r="E95" s="11" t="s">
        <v>1831</v>
      </c>
      <c r="F95" s="5" t="s">
        <v>85</v>
      </c>
      <c r="G95" s="5" t="s">
        <v>102</v>
      </c>
      <c r="H95" s="5"/>
      <c r="I95" s="6">
        <v>31200</v>
      </c>
      <c r="J95" s="5" t="s">
        <v>56</v>
      </c>
      <c r="K95" s="5" t="s">
        <v>187</v>
      </c>
      <c r="L95" s="5" t="s">
        <v>1765</v>
      </c>
      <c r="M95" s="5" t="s">
        <v>1766</v>
      </c>
      <c r="N95" s="5"/>
      <c r="O95" s="5"/>
      <c r="P95" s="5" t="s">
        <v>393</v>
      </c>
      <c r="Q95" s="5" t="s">
        <v>1782</v>
      </c>
      <c r="R95" s="5" t="s">
        <v>90</v>
      </c>
      <c r="S95" s="5" t="s">
        <v>976</v>
      </c>
      <c r="T95" s="5"/>
      <c r="U95" s="6"/>
      <c r="V95" s="5"/>
      <c r="W95" s="5"/>
      <c r="X95" s="5"/>
      <c r="Y95" s="5"/>
      <c r="Z95" s="5"/>
      <c r="AA95" s="5"/>
      <c r="AB95" s="6"/>
      <c r="AC95" s="5"/>
      <c r="AD95" s="6"/>
      <c r="AE95" s="5"/>
      <c r="AF95" s="6"/>
      <c r="AG95" s="5"/>
      <c r="AH95" s="6"/>
      <c r="AI95" s="5"/>
      <c r="AJ95" s="5"/>
      <c r="AK95" s="6"/>
      <c r="AL95" s="5"/>
      <c r="AM95" s="5"/>
      <c r="AN95" s="6"/>
      <c r="AO95" s="5"/>
      <c r="AP95" s="5"/>
      <c r="AQ95" s="5"/>
      <c r="AR95" s="6"/>
      <c r="AS95" s="5"/>
      <c r="AT95" s="5"/>
      <c r="AU95" s="5"/>
      <c r="AV95" s="6"/>
      <c r="AW95" s="5"/>
      <c r="AX95" s="5"/>
      <c r="AY95" s="5"/>
      <c r="AZ95" s="6"/>
      <c r="BA95" s="5"/>
      <c r="BB95" s="5"/>
      <c r="BC95" s="5"/>
      <c r="BD95" s="6"/>
      <c r="BE95" s="5"/>
      <c r="BF95" s="5"/>
      <c r="BG95" s="7">
        <v>45292</v>
      </c>
      <c r="BH95" s="5"/>
      <c r="BI95" s="13" t="s">
        <v>1843</v>
      </c>
    </row>
    <row r="96" spans="1:61" ht="13.75" customHeight="1" x14ac:dyDescent="0.15">
      <c r="A96" s="3">
        <v>95</v>
      </c>
      <c r="B96" s="4" t="s">
        <v>1788</v>
      </c>
      <c r="C96" s="4" t="s">
        <v>1789</v>
      </c>
      <c r="D96" s="8"/>
      <c r="E96" s="11" t="s">
        <v>1832</v>
      </c>
      <c r="F96" s="5" t="s">
        <v>85</v>
      </c>
      <c r="G96" s="5" t="s">
        <v>102</v>
      </c>
      <c r="H96" s="5" t="s">
        <v>1790</v>
      </c>
      <c r="I96" s="6">
        <v>34410</v>
      </c>
      <c r="J96" s="5" t="s">
        <v>56</v>
      </c>
      <c r="K96" s="5" t="s">
        <v>57</v>
      </c>
      <c r="L96" s="5" t="s">
        <v>1765</v>
      </c>
      <c r="M96" s="5" t="s">
        <v>1766</v>
      </c>
      <c r="N96" s="5"/>
      <c r="O96" s="5"/>
      <c r="P96" s="5" t="s">
        <v>393</v>
      </c>
      <c r="Q96" s="5" t="s">
        <v>1782</v>
      </c>
      <c r="R96" s="5" t="s">
        <v>90</v>
      </c>
      <c r="S96" s="5" t="s">
        <v>976</v>
      </c>
      <c r="T96" s="5"/>
      <c r="U96" s="6"/>
      <c r="V96" s="5"/>
      <c r="W96" s="5"/>
      <c r="X96" s="5"/>
      <c r="Y96" s="5"/>
      <c r="Z96" s="5"/>
      <c r="AA96" s="5"/>
      <c r="AB96" s="6"/>
      <c r="AC96" s="5"/>
      <c r="AD96" s="6"/>
      <c r="AE96" s="5"/>
      <c r="AF96" s="6"/>
      <c r="AG96" s="5"/>
      <c r="AH96" s="6"/>
      <c r="AI96" s="5"/>
      <c r="AJ96" s="5"/>
      <c r="AK96" s="6"/>
      <c r="AL96" s="5"/>
      <c r="AM96" s="5"/>
      <c r="AN96" s="6"/>
      <c r="AO96" s="5"/>
      <c r="AP96" s="5"/>
      <c r="AQ96" s="5"/>
      <c r="AR96" s="6"/>
      <c r="AS96" s="5"/>
      <c r="AT96" s="5"/>
      <c r="AU96" s="5"/>
      <c r="AV96" s="6"/>
      <c r="AW96" s="5"/>
      <c r="AX96" s="5"/>
      <c r="AY96" s="5"/>
      <c r="AZ96" s="6"/>
      <c r="BA96" s="5"/>
      <c r="BB96" s="5"/>
      <c r="BC96" s="5"/>
      <c r="BD96" s="6"/>
      <c r="BE96" s="5"/>
      <c r="BF96" s="5"/>
      <c r="BG96" s="7">
        <v>45292</v>
      </c>
      <c r="BH96" s="5"/>
      <c r="BI96" s="13" t="s">
        <v>1843</v>
      </c>
    </row>
    <row r="97" spans="1:61" ht="13.75" customHeight="1" x14ac:dyDescent="0.15">
      <c r="A97" s="3">
        <v>96</v>
      </c>
      <c r="B97" s="4" t="s">
        <v>814</v>
      </c>
      <c r="C97" s="4"/>
      <c r="D97" s="8"/>
      <c r="E97" s="11" t="s">
        <v>1833</v>
      </c>
      <c r="F97" s="5" t="s">
        <v>85</v>
      </c>
      <c r="G97" s="5" t="s">
        <v>102</v>
      </c>
      <c r="H97" s="5" t="s">
        <v>1791</v>
      </c>
      <c r="I97" s="6">
        <v>29647</v>
      </c>
      <c r="J97" s="5" t="s">
        <v>56</v>
      </c>
      <c r="K97" s="5" t="s">
        <v>57</v>
      </c>
      <c r="L97" s="5" t="s">
        <v>1765</v>
      </c>
      <c r="M97" s="5" t="s">
        <v>1766</v>
      </c>
      <c r="N97" s="5"/>
      <c r="O97" s="5"/>
      <c r="P97" s="5" t="s">
        <v>393</v>
      </c>
      <c r="Q97" s="5" t="s">
        <v>1782</v>
      </c>
      <c r="R97" s="5" t="s">
        <v>90</v>
      </c>
      <c r="S97" s="5" t="s">
        <v>976</v>
      </c>
      <c r="T97" s="5"/>
      <c r="U97" s="6"/>
      <c r="V97" s="5"/>
      <c r="W97" s="5"/>
      <c r="X97" s="5"/>
      <c r="Y97" s="5"/>
      <c r="Z97" s="5"/>
      <c r="AA97" s="5"/>
      <c r="AB97" s="6"/>
      <c r="AC97" s="5"/>
      <c r="AD97" s="6"/>
      <c r="AE97" s="5"/>
      <c r="AF97" s="6"/>
      <c r="AG97" s="5"/>
      <c r="AH97" s="6"/>
      <c r="AI97" s="5"/>
      <c r="AJ97" s="5"/>
      <c r="AK97" s="6"/>
      <c r="AL97" s="5"/>
      <c r="AM97" s="5"/>
      <c r="AN97" s="6"/>
      <c r="AO97" s="5"/>
      <c r="AP97" s="5"/>
      <c r="AQ97" s="5"/>
      <c r="AR97" s="6"/>
      <c r="AS97" s="5"/>
      <c r="AT97" s="5"/>
      <c r="AU97" s="5"/>
      <c r="AV97" s="6"/>
      <c r="AW97" s="5"/>
      <c r="AX97" s="5"/>
      <c r="AY97" s="5"/>
      <c r="AZ97" s="6"/>
      <c r="BA97" s="5"/>
      <c r="BB97" s="5"/>
      <c r="BC97" s="5"/>
      <c r="BD97" s="6"/>
      <c r="BE97" s="5"/>
      <c r="BF97" s="5"/>
      <c r="BG97" s="7">
        <v>45292</v>
      </c>
      <c r="BH97" s="5"/>
      <c r="BI97" s="13" t="s">
        <v>1843</v>
      </c>
    </row>
    <row r="98" spans="1:61" ht="13.75" customHeight="1" x14ac:dyDescent="0.15">
      <c r="A98" s="3">
        <v>97</v>
      </c>
      <c r="B98" s="4" t="s">
        <v>1792</v>
      </c>
      <c r="C98" s="4"/>
      <c r="D98" s="8"/>
      <c r="E98" s="11" t="s">
        <v>1834</v>
      </c>
      <c r="F98" s="5" t="s">
        <v>85</v>
      </c>
      <c r="G98" s="5" t="s">
        <v>102</v>
      </c>
      <c r="H98" s="5" t="s">
        <v>1793</v>
      </c>
      <c r="I98" s="6">
        <v>32391</v>
      </c>
      <c r="J98" s="5" t="s">
        <v>56</v>
      </c>
      <c r="K98" s="5" t="s">
        <v>57</v>
      </c>
      <c r="L98" s="5" t="s">
        <v>1765</v>
      </c>
      <c r="M98" s="5" t="s">
        <v>1766</v>
      </c>
      <c r="N98" s="5"/>
      <c r="O98" s="5"/>
      <c r="P98" s="5" t="s">
        <v>393</v>
      </c>
      <c r="Q98" s="5" t="s">
        <v>1782</v>
      </c>
      <c r="R98" s="5" t="s">
        <v>90</v>
      </c>
      <c r="S98" s="5" t="s">
        <v>976</v>
      </c>
      <c r="T98" s="5"/>
      <c r="U98" s="6"/>
      <c r="V98" s="5"/>
      <c r="W98" s="5"/>
      <c r="X98" s="5"/>
      <c r="Y98" s="5"/>
      <c r="Z98" s="5"/>
      <c r="AA98" s="5"/>
      <c r="AB98" s="6"/>
      <c r="AC98" s="5"/>
      <c r="AD98" s="6"/>
      <c r="AE98" s="5"/>
      <c r="AF98" s="6"/>
      <c r="AG98" s="5"/>
      <c r="AH98" s="6"/>
      <c r="AI98" s="5"/>
      <c r="AJ98" s="5"/>
      <c r="AK98" s="6"/>
      <c r="AL98" s="5"/>
      <c r="AM98" s="5"/>
      <c r="AN98" s="6"/>
      <c r="AO98" s="5"/>
      <c r="AP98" s="5"/>
      <c r="AQ98" s="5"/>
      <c r="AR98" s="6"/>
      <c r="AS98" s="5"/>
      <c r="AT98" s="5"/>
      <c r="AU98" s="5"/>
      <c r="AV98" s="6"/>
      <c r="AW98" s="5"/>
      <c r="AX98" s="5"/>
      <c r="AY98" s="5"/>
      <c r="AZ98" s="6"/>
      <c r="BA98" s="5"/>
      <c r="BB98" s="5"/>
      <c r="BC98" s="5"/>
      <c r="BD98" s="6"/>
      <c r="BE98" s="5"/>
      <c r="BF98" s="5"/>
      <c r="BG98" s="7">
        <v>45292</v>
      </c>
      <c r="BH98" s="5"/>
      <c r="BI98" s="13" t="s">
        <v>1843</v>
      </c>
    </row>
    <row r="99" spans="1:61" ht="13.75" customHeight="1" x14ac:dyDescent="0.15">
      <c r="A99" s="3">
        <v>98</v>
      </c>
      <c r="B99" s="4" t="s">
        <v>1794</v>
      </c>
      <c r="C99" s="4"/>
      <c r="D99" s="8"/>
      <c r="E99" s="11" t="s">
        <v>1835</v>
      </c>
      <c r="F99" s="5" t="s">
        <v>85</v>
      </c>
      <c r="G99" s="5" t="s">
        <v>102</v>
      </c>
      <c r="H99" s="5"/>
      <c r="I99" s="6">
        <v>31200</v>
      </c>
      <c r="J99" s="5" t="s">
        <v>56</v>
      </c>
      <c r="K99" s="5" t="s">
        <v>57</v>
      </c>
      <c r="L99" s="5" t="s">
        <v>1765</v>
      </c>
      <c r="M99" s="5" t="s">
        <v>1766</v>
      </c>
      <c r="N99" s="5"/>
      <c r="O99" s="5"/>
      <c r="P99" s="5" t="s">
        <v>393</v>
      </c>
      <c r="Q99" s="5" t="s">
        <v>1782</v>
      </c>
      <c r="R99" s="5" t="s">
        <v>90</v>
      </c>
      <c r="S99" s="5" t="s">
        <v>976</v>
      </c>
      <c r="T99" s="5"/>
      <c r="U99" s="6"/>
      <c r="V99" s="5"/>
      <c r="W99" s="5"/>
      <c r="X99" s="5"/>
      <c r="Y99" s="5"/>
      <c r="Z99" s="5"/>
      <c r="AA99" s="5"/>
      <c r="AB99" s="6"/>
      <c r="AC99" s="5"/>
      <c r="AD99" s="6"/>
      <c r="AE99" s="5"/>
      <c r="AF99" s="6"/>
      <c r="AG99" s="5"/>
      <c r="AH99" s="6"/>
      <c r="AI99" s="5"/>
      <c r="AJ99" s="5"/>
      <c r="AK99" s="6"/>
      <c r="AL99" s="5"/>
      <c r="AM99" s="5"/>
      <c r="AN99" s="6"/>
      <c r="AO99" s="5"/>
      <c r="AP99" s="5"/>
      <c r="AQ99" s="5"/>
      <c r="AR99" s="6"/>
      <c r="AS99" s="5"/>
      <c r="AT99" s="5"/>
      <c r="AU99" s="5"/>
      <c r="AV99" s="6"/>
      <c r="AW99" s="5"/>
      <c r="AX99" s="5"/>
      <c r="AY99" s="5"/>
      <c r="AZ99" s="6"/>
      <c r="BA99" s="5"/>
      <c r="BB99" s="5"/>
      <c r="BC99" s="5"/>
      <c r="BD99" s="6"/>
      <c r="BE99" s="5"/>
      <c r="BF99" s="5"/>
      <c r="BG99" s="7">
        <v>45292</v>
      </c>
      <c r="BH99" s="5"/>
      <c r="BI99" s="13" t="s">
        <v>1843</v>
      </c>
    </row>
    <row r="100" spans="1:61" ht="13.75" customHeight="1" x14ac:dyDescent="0.15">
      <c r="A100" s="3">
        <v>99</v>
      </c>
      <c r="B100" s="4" t="s">
        <v>1795</v>
      </c>
      <c r="C100" s="4"/>
      <c r="D100" s="8"/>
      <c r="E100" s="11" t="s">
        <v>1836</v>
      </c>
      <c r="F100" s="5" t="s">
        <v>85</v>
      </c>
      <c r="G100" s="5" t="s">
        <v>102</v>
      </c>
      <c r="H100" s="5" t="s">
        <v>1796</v>
      </c>
      <c r="I100" s="6">
        <v>33310</v>
      </c>
      <c r="J100" s="5" t="s">
        <v>56</v>
      </c>
      <c r="K100" s="5" t="s">
        <v>187</v>
      </c>
      <c r="L100" s="5" t="s">
        <v>1765</v>
      </c>
      <c r="M100" s="5" t="s">
        <v>1766</v>
      </c>
      <c r="N100" s="5"/>
      <c r="O100" s="5"/>
      <c r="P100" s="5" t="s">
        <v>393</v>
      </c>
      <c r="Q100" s="5" t="s">
        <v>1782</v>
      </c>
      <c r="R100" s="5" t="s">
        <v>90</v>
      </c>
      <c r="S100" s="5" t="s">
        <v>976</v>
      </c>
      <c r="T100" s="5"/>
      <c r="U100" s="6"/>
      <c r="V100" s="5"/>
      <c r="W100" s="5"/>
      <c r="X100" s="5"/>
      <c r="Y100" s="5"/>
      <c r="Z100" s="5"/>
      <c r="AA100" s="5"/>
      <c r="AB100" s="6"/>
      <c r="AC100" s="5"/>
      <c r="AD100" s="6"/>
      <c r="AE100" s="5"/>
      <c r="AF100" s="6"/>
      <c r="AG100" s="5"/>
      <c r="AH100" s="6"/>
      <c r="AI100" s="5"/>
      <c r="AJ100" s="5"/>
      <c r="AK100" s="6"/>
      <c r="AL100" s="5"/>
      <c r="AM100" s="5"/>
      <c r="AN100" s="6"/>
      <c r="AO100" s="5"/>
      <c r="AP100" s="5"/>
      <c r="AQ100" s="5"/>
      <c r="AR100" s="6"/>
      <c r="AS100" s="5"/>
      <c r="AT100" s="5"/>
      <c r="AU100" s="5"/>
      <c r="AV100" s="6"/>
      <c r="AW100" s="5"/>
      <c r="AX100" s="5"/>
      <c r="AY100" s="5"/>
      <c r="AZ100" s="6"/>
      <c r="BA100" s="5"/>
      <c r="BB100" s="5"/>
      <c r="BC100" s="5"/>
      <c r="BD100" s="6"/>
      <c r="BE100" s="5"/>
      <c r="BF100" s="5"/>
      <c r="BG100" s="7">
        <v>45292</v>
      </c>
      <c r="BH100" s="5"/>
      <c r="BI100" s="13" t="s">
        <v>1843</v>
      </c>
    </row>
    <row r="101" spans="1:61" ht="13.75" customHeight="1" x14ac:dyDescent="0.15">
      <c r="A101" s="3">
        <v>100</v>
      </c>
      <c r="B101" s="4" t="s">
        <v>1797</v>
      </c>
      <c r="C101" s="4"/>
      <c r="D101" s="8"/>
      <c r="E101" s="11" t="s">
        <v>1837</v>
      </c>
      <c r="F101" s="5" t="s">
        <v>85</v>
      </c>
      <c r="G101" s="5" t="s">
        <v>102</v>
      </c>
      <c r="H101" s="5" t="s">
        <v>1798</v>
      </c>
      <c r="I101" s="6">
        <v>33760</v>
      </c>
      <c r="J101" s="5" t="s">
        <v>56</v>
      </c>
      <c r="K101" s="5" t="s">
        <v>57</v>
      </c>
      <c r="L101" s="5" t="s">
        <v>1765</v>
      </c>
      <c r="M101" s="5" t="s">
        <v>1766</v>
      </c>
      <c r="N101" s="5"/>
      <c r="O101" s="5"/>
      <c r="P101" s="5" t="s">
        <v>393</v>
      </c>
      <c r="Q101" s="5" t="s">
        <v>1782</v>
      </c>
      <c r="R101" s="5" t="s">
        <v>90</v>
      </c>
      <c r="S101" s="5" t="s">
        <v>976</v>
      </c>
      <c r="T101" s="5"/>
      <c r="U101" s="6"/>
      <c r="V101" s="5"/>
      <c r="W101" s="5"/>
      <c r="X101" s="5"/>
      <c r="Y101" s="5"/>
      <c r="Z101" s="5"/>
      <c r="AA101" s="5"/>
      <c r="AB101" s="6"/>
      <c r="AC101" s="5"/>
      <c r="AD101" s="6"/>
      <c r="AE101" s="5"/>
      <c r="AF101" s="6"/>
      <c r="AG101" s="5"/>
      <c r="AH101" s="6"/>
      <c r="AI101" s="5"/>
      <c r="AJ101" s="5"/>
      <c r="AK101" s="6"/>
      <c r="AL101" s="5"/>
      <c r="AM101" s="5"/>
      <c r="AN101" s="6"/>
      <c r="AO101" s="5"/>
      <c r="AP101" s="5"/>
      <c r="AQ101" s="5"/>
      <c r="AR101" s="6"/>
      <c r="AS101" s="5"/>
      <c r="AT101" s="5"/>
      <c r="AU101" s="5"/>
      <c r="AV101" s="6"/>
      <c r="AW101" s="5"/>
      <c r="AX101" s="5"/>
      <c r="AY101" s="5"/>
      <c r="AZ101" s="6"/>
      <c r="BA101" s="5"/>
      <c r="BB101" s="5"/>
      <c r="BC101" s="5"/>
      <c r="BD101" s="6"/>
      <c r="BE101" s="5"/>
      <c r="BF101" s="5"/>
      <c r="BG101" s="7">
        <v>45292</v>
      </c>
      <c r="BH101" s="5"/>
      <c r="BI101" s="13" t="s">
        <v>1843</v>
      </c>
    </row>
    <row r="102" spans="1:61" ht="13.75" customHeight="1" x14ac:dyDescent="0.15">
      <c r="A102" s="3">
        <v>101</v>
      </c>
      <c r="B102" s="4" t="s">
        <v>1799</v>
      </c>
      <c r="C102" s="4"/>
      <c r="D102" s="8"/>
      <c r="E102" s="11" t="s">
        <v>1838</v>
      </c>
      <c r="F102" s="5" t="s">
        <v>85</v>
      </c>
      <c r="G102" s="5" t="s">
        <v>102</v>
      </c>
      <c r="H102" s="5" t="s">
        <v>1800</v>
      </c>
      <c r="I102" s="6">
        <v>31606</v>
      </c>
      <c r="J102" s="5" t="s">
        <v>1801</v>
      </c>
      <c r="K102" s="5" t="s">
        <v>57</v>
      </c>
      <c r="L102" s="5" t="s">
        <v>1765</v>
      </c>
      <c r="M102" s="5" t="s">
        <v>1766</v>
      </c>
      <c r="N102" s="5"/>
      <c r="O102" s="5"/>
      <c r="P102" s="5" t="s">
        <v>393</v>
      </c>
      <c r="Q102" s="5" t="s">
        <v>1782</v>
      </c>
      <c r="R102" s="5" t="s">
        <v>90</v>
      </c>
      <c r="S102" s="5" t="s">
        <v>976</v>
      </c>
      <c r="T102" s="5"/>
      <c r="U102" s="6"/>
      <c r="V102" s="5"/>
      <c r="W102" s="5"/>
      <c r="X102" s="5"/>
      <c r="Y102" s="5"/>
      <c r="Z102" s="5"/>
      <c r="AA102" s="5"/>
      <c r="AB102" s="6"/>
      <c r="AC102" s="5"/>
      <c r="AD102" s="6"/>
      <c r="AE102" s="5"/>
      <c r="AF102" s="6"/>
      <c r="AG102" s="5"/>
      <c r="AH102" s="6"/>
      <c r="AI102" s="5"/>
      <c r="AJ102" s="5"/>
      <c r="AK102" s="6"/>
      <c r="AL102" s="5"/>
      <c r="AM102" s="5"/>
      <c r="AN102" s="6"/>
      <c r="AO102" s="5"/>
      <c r="AP102" s="5"/>
      <c r="AQ102" s="5"/>
      <c r="AR102" s="6"/>
      <c r="AS102" s="5"/>
      <c r="AT102" s="5"/>
      <c r="AU102" s="5"/>
      <c r="AV102" s="6"/>
      <c r="AW102" s="5"/>
      <c r="AX102" s="5"/>
      <c r="AY102" s="5"/>
      <c r="AZ102" s="6"/>
      <c r="BA102" s="5"/>
      <c r="BB102" s="5"/>
      <c r="BC102" s="5"/>
      <c r="BD102" s="6"/>
      <c r="BE102" s="5"/>
      <c r="BF102" s="5"/>
      <c r="BG102" s="7">
        <v>45292</v>
      </c>
      <c r="BH102" s="5"/>
      <c r="BI102" s="13" t="s">
        <v>1843</v>
      </c>
    </row>
    <row r="103" spans="1:61" ht="13.75" customHeight="1" x14ac:dyDescent="0.15">
      <c r="A103" s="3">
        <v>102</v>
      </c>
      <c r="B103" s="4" t="s">
        <v>1802</v>
      </c>
      <c r="C103" s="4"/>
      <c r="D103" s="8"/>
      <c r="E103" s="11" t="s">
        <v>1839</v>
      </c>
      <c r="F103" s="5" t="s">
        <v>85</v>
      </c>
      <c r="G103" s="5" t="s">
        <v>102</v>
      </c>
      <c r="H103" s="5" t="s">
        <v>1803</v>
      </c>
      <c r="I103" s="6">
        <v>36032</v>
      </c>
      <c r="J103" s="5" t="s">
        <v>56</v>
      </c>
      <c r="K103" s="5" t="s">
        <v>57</v>
      </c>
      <c r="L103" s="5" t="s">
        <v>1765</v>
      </c>
      <c r="M103" s="5" t="s">
        <v>1766</v>
      </c>
      <c r="N103" s="5"/>
      <c r="O103" s="5"/>
      <c r="P103" s="5" t="s">
        <v>393</v>
      </c>
      <c r="Q103" s="5" t="s">
        <v>1782</v>
      </c>
      <c r="R103" s="5" t="s">
        <v>90</v>
      </c>
      <c r="S103" s="5" t="s">
        <v>976</v>
      </c>
      <c r="T103" s="5"/>
      <c r="U103" s="6"/>
      <c r="V103" s="5"/>
      <c r="W103" s="5"/>
      <c r="X103" s="5"/>
      <c r="Y103" s="5"/>
      <c r="Z103" s="5"/>
      <c r="AA103" s="5"/>
      <c r="AB103" s="6"/>
      <c r="AC103" s="5"/>
      <c r="AD103" s="6"/>
      <c r="AE103" s="5"/>
      <c r="AF103" s="6"/>
      <c r="AG103" s="5"/>
      <c r="AH103" s="6"/>
      <c r="AI103" s="5"/>
      <c r="AJ103" s="5"/>
      <c r="AK103" s="6"/>
      <c r="AL103" s="5"/>
      <c r="AM103" s="5"/>
      <c r="AN103" s="6"/>
      <c r="AO103" s="5"/>
      <c r="AP103" s="5"/>
      <c r="AQ103" s="5"/>
      <c r="AR103" s="6"/>
      <c r="AS103" s="5"/>
      <c r="AT103" s="5"/>
      <c r="AU103" s="5"/>
      <c r="AV103" s="6"/>
      <c r="AW103" s="5"/>
      <c r="AX103" s="5"/>
      <c r="AY103" s="5"/>
      <c r="AZ103" s="6"/>
      <c r="BA103" s="5"/>
      <c r="BB103" s="5"/>
      <c r="BC103" s="5"/>
      <c r="BD103" s="6"/>
      <c r="BE103" s="5"/>
      <c r="BF103" s="5"/>
      <c r="BG103" s="7">
        <v>45292</v>
      </c>
      <c r="BH103" s="5"/>
      <c r="BI103" s="13" t="s">
        <v>1843</v>
      </c>
    </row>
    <row r="104" spans="1:61" ht="13.75" customHeight="1" x14ac:dyDescent="0.15">
      <c r="A104" s="3">
        <v>103</v>
      </c>
      <c r="B104" s="4" t="s">
        <v>1804</v>
      </c>
      <c r="C104" s="4"/>
      <c r="D104" s="8"/>
      <c r="E104" s="11" t="s">
        <v>1840</v>
      </c>
      <c r="F104" s="5" t="s">
        <v>85</v>
      </c>
      <c r="G104" s="5" t="s">
        <v>102</v>
      </c>
      <c r="H104" s="5" t="s">
        <v>1805</v>
      </c>
      <c r="I104" s="6">
        <v>34680</v>
      </c>
      <c r="J104" s="5" t="s">
        <v>161</v>
      </c>
      <c r="K104" s="5" t="s">
        <v>57</v>
      </c>
      <c r="L104" s="5" t="s">
        <v>1765</v>
      </c>
      <c r="M104" s="5" t="s">
        <v>1766</v>
      </c>
      <c r="N104" s="5"/>
      <c r="O104" s="5"/>
      <c r="P104" s="5" t="s">
        <v>393</v>
      </c>
      <c r="Q104" s="5" t="s">
        <v>1782</v>
      </c>
      <c r="R104" s="5" t="s">
        <v>90</v>
      </c>
      <c r="S104" s="5" t="s">
        <v>976</v>
      </c>
      <c r="T104" s="5"/>
      <c r="U104" s="6"/>
      <c r="V104" s="5"/>
      <c r="W104" s="5"/>
      <c r="X104" s="5"/>
      <c r="Y104" s="5"/>
      <c r="Z104" s="5"/>
      <c r="AA104" s="5"/>
      <c r="AB104" s="6"/>
      <c r="AC104" s="5"/>
      <c r="AD104" s="6"/>
      <c r="AE104" s="5"/>
      <c r="AF104" s="6"/>
      <c r="AG104" s="5"/>
      <c r="AH104" s="6"/>
      <c r="AI104" s="5"/>
      <c r="AJ104" s="5"/>
      <c r="AK104" s="6"/>
      <c r="AL104" s="5"/>
      <c r="AM104" s="5"/>
      <c r="AN104" s="6"/>
      <c r="AO104" s="5"/>
      <c r="AP104" s="5"/>
      <c r="AQ104" s="5"/>
      <c r="AR104" s="6"/>
      <c r="AS104" s="5"/>
      <c r="AT104" s="5"/>
      <c r="AU104" s="5"/>
      <c r="AV104" s="6"/>
      <c r="AW104" s="5"/>
      <c r="AX104" s="5"/>
      <c r="AY104" s="5"/>
      <c r="AZ104" s="6"/>
      <c r="BA104" s="5"/>
      <c r="BB104" s="5"/>
      <c r="BC104" s="5"/>
      <c r="BD104" s="6"/>
      <c r="BE104" s="5"/>
      <c r="BF104" s="5"/>
      <c r="BG104" s="7">
        <v>45292</v>
      </c>
      <c r="BH104" s="5"/>
      <c r="BI104" s="13" t="s">
        <v>1843</v>
      </c>
    </row>
    <row r="105" spans="1:61" ht="13.75" customHeight="1" x14ac:dyDescent="0.15">
      <c r="A105" s="3">
        <v>104</v>
      </c>
      <c r="B105" s="4" t="s">
        <v>1806</v>
      </c>
      <c r="C105" s="4"/>
      <c r="D105" s="8"/>
      <c r="E105" s="11" t="s">
        <v>1841</v>
      </c>
      <c r="F105" s="5" t="s">
        <v>85</v>
      </c>
      <c r="G105" s="5" t="s">
        <v>102</v>
      </c>
      <c r="H105" s="5" t="s">
        <v>1146</v>
      </c>
      <c r="I105" s="6">
        <v>35090</v>
      </c>
      <c r="J105" s="5" t="s">
        <v>56</v>
      </c>
      <c r="K105" s="5" t="s">
        <v>57</v>
      </c>
      <c r="L105" s="5" t="s">
        <v>1765</v>
      </c>
      <c r="M105" s="5" t="s">
        <v>1766</v>
      </c>
      <c r="N105" s="5"/>
      <c r="O105" s="5"/>
      <c r="P105" s="5" t="s">
        <v>393</v>
      </c>
      <c r="Q105" s="5" t="s">
        <v>1782</v>
      </c>
      <c r="R105" s="5" t="s">
        <v>90</v>
      </c>
      <c r="S105" s="5" t="s">
        <v>976</v>
      </c>
      <c r="T105" s="5"/>
      <c r="U105" s="6"/>
      <c r="V105" s="5"/>
      <c r="W105" s="5"/>
      <c r="X105" s="5"/>
      <c r="Y105" s="5"/>
      <c r="Z105" s="5"/>
      <c r="AA105" s="5"/>
      <c r="AB105" s="6"/>
      <c r="AC105" s="5"/>
      <c r="AD105" s="6"/>
      <c r="AE105" s="5"/>
      <c r="AF105" s="6"/>
      <c r="AG105" s="5"/>
      <c r="AH105" s="6"/>
      <c r="AI105" s="5"/>
      <c r="AJ105" s="5"/>
      <c r="AK105" s="6"/>
      <c r="AL105" s="5"/>
      <c r="AM105" s="5"/>
      <c r="AN105" s="6"/>
      <c r="AO105" s="5"/>
      <c r="AP105" s="5"/>
      <c r="AQ105" s="5"/>
      <c r="AR105" s="6"/>
      <c r="AS105" s="5"/>
      <c r="AT105" s="5"/>
      <c r="AU105" s="5"/>
      <c r="AV105" s="6"/>
      <c r="AW105" s="5"/>
      <c r="AX105" s="5"/>
      <c r="AY105" s="5"/>
      <c r="AZ105" s="6"/>
      <c r="BA105" s="5"/>
      <c r="BB105" s="5"/>
      <c r="BC105" s="5"/>
      <c r="BD105" s="6"/>
      <c r="BE105" s="5"/>
      <c r="BF105" s="5"/>
      <c r="BG105" s="7">
        <v>45292</v>
      </c>
      <c r="BH105" s="5"/>
      <c r="BI105" s="13" t="s">
        <v>1843</v>
      </c>
    </row>
    <row r="106" spans="1:61" ht="13.75" customHeight="1" x14ac:dyDescent="0.15">
      <c r="A106" s="3">
        <v>105</v>
      </c>
      <c r="B106" s="4" t="s">
        <v>1807</v>
      </c>
      <c r="C106" s="4"/>
      <c r="D106" s="8"/>
      <c r="E106" s="11" t="s">
        <v>1842</v>
      </c>
      <c r="F106" s="5" t="s">
        <v>85</v>
      </c>
      <c r="G106" s="5" t="s">
        <v>102</v>
      </c>
      <c r="H106" s="5" t="s">
        <v>1808</v>
      </c>
      <c r="I106" s="6">
        <v>34709</v>
      </c>
      <c r="J106" s="5" t="s">
        <v>56</v>
      </c>
      <c r="K106" s="5" t="s">
        <v>187</v>
      </c>
      <c r="L106" s="5" t="s">
        <v>1765</v>
      </c>
      <c r="M106" s="5" t="s">
        <v>1766</v>
      </c>
      <c r="N106" s="5"/>
      <c r="O106" s="5"/>
      <c r="P106" s="5" t="s">
        <v>393</v>
      </c>
      <c r="Q106" s="5" t="s">
        <v>1782</v>
      </c>
      <c r="R106" s="5" t="s">
        <v>90</v>
      </c>
      <c r="S106" s="5" t="s">
        <v>976</v>
      </c>
      <c r="T106" s="5"/>
      <c r="U106" s="6"/>
      <c r="V106" s="5"/>
      <c r="W106" s="5"/>
      <c r="X106" s="5"/>
      <c r="Y106" s="5"/>
      <c r="Z106" s="5"/>
      <c r="AA106" s="5"/>
      <c r="AB106" s="6"/>
      <c r="AC106" s="5"/>
      <c r="AD106" s="6"/>
      <c r="AE106" s="5"/>
      <c r="AF106" s="6"/>
      <c r="AG106" s="5"/>
      <c r="AH106" s="6"/>
      <c r="AI106" s="5"/>
      <c r="AJ106" s="5"/>
      <c r="AK106" s="6"/>
      <c r="AL106" s="5"/>
      <c r="AM106" s="5"/>
      <c r="AN106" s="6"/>
      <c r="AO106" s="5"/>
      <c r="AP106" s="5"/>
      <c r="AQ106" s="5"/>
      <c r="AR106" s="6"/>
      <c r="AS106" s="5"/>
      <c r="AT106" s="5"/>
      <c r="AU106" s="5"/>
      <c r="AV106" s="6"/>
      <c r="AW106" s="5"/>
      <c r="AX106" s="5"/>
      <c r="AY106" s="5"/>
      <c r="AZ106" s="6"/>
      <c r="BA106" s="5"/>
      <c r="BB106" s="5"/>
      <c r="BC106" s="5"/>
      <c r="BD106" s="6"/>
      <c r="BE106" s="5"/>
      <c r="BF106" s="5"/>
      <c r="BG106" s="7">
        <v>45292</v>
      </c>
      <c r="BH106" s="5"/>
      <c r="BI106" s="13" t="s">
        <v>1843</v>
      </c>
    </row>
  </sheetData>
  <hyperlinks>
    <hyperlink ref="R3" r:id="rId1" xr:uid="{00000000-0004-0000-0000-000000000000}"/>
    <hyperlink ref="R4" r:id="rId2" xr:uid="{00000000-0004-0000-0000-000001000000}"/>
    <hyperlink ref="R15" r:id="rId3" xr:uid="{00000000-0004-0000-0000-000002000000}"/>
    <hyperlink ref="R41" r:id="rId4" xr:uid="{00000000-0004-0000-0000-000003000000}"/>
    <hyperlink ref="R42" r:id="rId5" xr:uid="{00000000-0004-0000-0000-000004000000}"/>
    <hyperlink ref="R43" r:id="rId6" xr:uid="{00000000-0004-0000-0000-000005000000}"/>
    <hyperlink ref="R44" r:id="rId7" xr:uid="{00000000-0004-0000-0000-000006000000}"/>
    <hyperlink ref="R57" r:id="rId8" xr:uid="{00000000-0004-0000-0000-000007000000}"/>
    <hyperlink ref="R75" r:id="rId9" xr:uid="{00000000-0004-0000-0000-000008000000}"/>
    <hyperlink ref="R76" r:id="rId10" xr:uid="{00000000-0004-0000-0000-000009000000}"/>
    <hyperlink ref="R79" r:id="rId11" xr:uid="{00000000-0004-0000-0000-00000A000000}"/>
    <hyperlink ref="R80" r:id="rId12" xr:uid="{00000000-0004-0000-0000-00000B000000}"/>
    <hyperlink ref="R81" r:id="rId13" xr:uid="{00000000-0004-0000-0000-00000C000000}"/>
    <hyperlink ref="R82" r:id="rId14" xr:uid="{00000000-0004-0000-0000-00000D000000}"/>
    <hyperlink ref="R84" r:id="rId15" xr:uid="{00000000-0004-0000-0000-00000E000000}"/>
    <hyperlink ref="R85" r:id="rId16" xr:uid="{00000000-0004-0000-0000-00000F000000}"/>
    <hyperlink ref="R86" r:id="rId17" xr:uid="{00000000-0004-0000-0000-000010000000}"/>
    <hyperlink ref="R87" r:id="rId18" xr:uid="{00000000-0004-0000-0000-000011000000}"/>
    <hyperlink ref="R88" r:id="rId19" xr:uid="{00000000-0004-0000-0000-000012000000}"/>
    <hyperlink ref="R89" r:id="rId20" xr:uid="{00000000-0004-0000-0000-000013000000}"/>
    <hyperlink ref="R90" r:id="rId21" xr:uid="{00000000-0004-0000-0000-000014000000}"/>
    <hyperlink ref="R91" r:id="rId22" xr:uid="{00000000-0004-0000-0000-000015000000}"/>
    <hyperlink ref="R92" r:id="rId23" xr:uid="{00000000-0004-0000-0000-000016000000}"/>
    <hyperlink ref="R93" r:id="rId24" xr:uid="{00000000-0004-0000-0000-000017000000}"/>
    <hyperlink ref="R94" r:id="rId25" xr:uid="{00000000-0004-0000-0000-000018000000}"/>
    <hyperlink ref="R95" r:id="rId26" xr:uid="{00000000-0004-0000-0000-000019000000}"/>
    <hyperlink ref="R96" r:id="rId27" xr:uid="{00000000-0004-0000-0000-00001A000000}"/>
    <hyperlink ref="R97" r:id="rId28" xr:uid="{00000000-0004-0000-0000-00001B000000}"/>
    <hyperlink ref="R98" r:id="rId29" xr:uid="{00000000-0004-0000-0000-00001C000000}"/>
    <hyperlink ref="R99" r:id="rId30" xr:uid="{00000000-0004-0000-0000-00001D000000}"/>
    <hyperlink ref="R100" r:id="rId31" xr:uid="{00000000-0004-0000-0000-00001E000000}"/>
    <hyperlink ref="R101" r:id="rId32" xr:uid="{00000000-0004-0000-0000-00001F000000}"/>
    <hyperlink ref="R102" r:id="rId33" xr:uid="{00000000-0004-0000-0000-000020000000}"/>
    <hyperlink ref="R103" r:id="rId34" xr:uid="{00000000-0004-0000-0000-000021000000}"/>
    <hyperlink ref="R104" r:id="rId35" xr:uid="{00000000-0004-0000-0000-000022000000}"/>
    <hyperlink ref="R105" r:id="rId36" xr:uid="{00000000-0004-0000-0000-000023000000}"/>
    <hyperlink ref="R106" r:id="rId37" xr:uid="{00000000-0004-0000-0000-000024000000}"/>
    <hyperlink ref="R13" r:id="rId38" xr:uid="{524EF707-1F75-624C-B732-B314C6214BC3}"/>
    <hyperlink ref="R27" r:id="rId39" xr:uid="{9E9F1253-EFB8-BE44-BA7B-F8FCEE0AB624}"/>
    <hyperlink ref="R29" r:id="rId40" xr:uid="{8192AF18-B8F1-5D43-BC42-B9F524364169}"/>
    <hyperlink ref="R51" r:id="rId41" xr:uid="{739F91D8-CD51-A44B-94BA-0C53A2C87A1A}"/>
    <hyperlink ref="R50" r:id="rId42" xr:uid="{24F2DF32-3790-B04D-B4AF-B8DB183085DC}"/>
    <hyperlink ref="R52" r:id="rId43" xr:uid="{E628EEF8-ACB1-324A-BACC-41E3F7CDBE0E}"/>
    <hyperlink ref="R54" r:id="rId44" xr:uid="{638897B3-7229-ED48-AD55-06A65F01B65B}"/>
    <hyperlink ref="R56" r:id="rId45" xr:uid="{D9861CC1-67B5-C040-85DB-49EDAA20F6BA}"/>
    <hyperlink ref="R55" r:id="rId46" xr:uid="{53FBC8A0-06DA-4949-B562-E737A9E84A47}"/>
    <hyperlink ref="R83" r:id="rId47" xr:uid="{5A27AFC0-08D9-9F4E-B752-26F7F3A4436A}"/>
  </hyperlinks>
  <pageMargins left="0.5" right="0.5" top="1" bottom="1" header="0.5" footer="0.5"/>
  <pageSetup scale="25" orientation="portrait"/>
  <headerFooter>
    <oddHeader>&amp;C&amp;"Times New Roman,Regular"&amp;12&amp;K000000Data ASN</oddHeader>
    <oddFooter>&amp;C&amp;"Helvetica Neue,Regular"&amp;12&amp;K000000&amp;P</oddFooter>
  </headerFooter>
  <legacyDrawing r:id="rId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ASN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2024-04-01T10:38:35Z</dcterms:modified>
</cp:coreProperties>
</file>