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RENSTRA" sheetId="1" r:id="rId4"/>
  </sheets>
</workbook>
</file>

<file path=xl/comments1.xml><?xml version="1.0" encoding="utf-8"?>
<comments xmlns="http://schemas.openxmlformats.org/spreadsheetml/2006/main">
  <authors>
    <author>dpupr Pasangkayu</author>
  </authors>
  <commentList>
    <comment ref="C45" authorId="0">
      <text>
        <r>
          <rPr>
            <sz val="11"/>
            <color indexed="8"/>
            <rFont val="Helvetica Neue"/>
          </rPr>
          <t xml:space="preserve">dpupr Pasangkayu:
Peningkatan 25 jt/ha
Rehab irigasi 18 jt/ha </t>
        </r>
      </text>
    </comment>
    <comment ref="C47" authorId="0">
      <text>
        <r>
          <rPr>
            <sz val="11"/>
            <color indexed="8"/>
            <rFont val="Helvetica Neue"/>
          </rPr>
          <t xml:space="preserve">dpupr Pasangkayu:
14 jt/ha
</t>
        </r>
      </text>
    </comment>
    <comment ref="C68" authorId="0">
      <text>
        <r>
          <rPr>
            <sz val="11"/>
            <color indexed="8"/>
            <rFont val="Helvetica Neue"/>
          </rPr>
          <t xml:space="preserve">dpupr Pasangkayu:
Rekonstruksi jalan adalah peningkatan struktur yang merupakan kegiatan penanganan untuk dapat meningkatkan kemampuan bagian ruas jalan yang dalam kondisi rusak berat agar bagian jalan tersebut mempunyai kondisi mantap kembali sesuai dengan umur rencana yang ditetapkan atau Kegiatan peningkatan struktur jalan termasuk bangunan pelengkap dan perlengkapan jalannya, tanpa peningkatan kapasitas
Rekonstruksi jalan sebagaimana dilakukan secara setempat meliputi kegiatan:
Perbaikan seluruh struktur perkerasan, drainase, bahu jalan,tebing, dan talud;
Peningkatan kekuatan struktur berupa pelapisan ulang perkerasan dan bahu jalan sesuai umur rencananya kembali;
Perbaikan perlengkapan jalan;
Perbaikan bangunan pelengkap; dan
Pemeliharaan/pembersihan rumaja.
</t>
        </r>
      </text>
    </comment>
    <comment ref="C69" authorId="0">
      <text>
        <r>
          <rPr>
            <sz val="11"/>
            <color indexed="8"/>
            <rFont val="Helvetica Neue"/>
          </rPr>
          <t>dpupr Pasangkayu:
Rehabilitasi jalan adalah kegiatan penanganan pencegahan terjadinya kerusakan yang luas dan setiap kerusakan yang tidak diperhitungkan dalam desain, yang berakibat menurunnya kondisi kemantapan pada bagian/tempat tertentu dari suatu ruas jalan dengan kondisi rusak ringan, agar penurunan kondisi kemantapan tersebut dapat dikembalikan pada kondisi kemantapan sesuai dengan rencana.
Rehabilitasi jalan meliputi kegiatan:
Pelapisan ulang;
Perbaikan bahu jalan;
Perbaikan bangunan pelengkap;
Perbaikan/penggantian perlengkapan jalan;
Penambalan lubang;
Penggantian dowel/tie bar pada perkerasan kaku (rigid pavement);
Penanganan tanggap darurat.
Pekerjaan galian;
Pekerjaan timbunan;
Penyiapan tanah dasar;
Pekerjaan struktur perkerasan
Perbaikan/pembuatan drainase;Pemarkaan;
Pengkerikilan kembali (regraveling) untuk perkerasan jalan tidak berpenutup dan jalan tanpa perkerasan; dan
Pemeliharaan/pembersihan rumaja.</t>
        </r>
      </text>
    </comment>
    <comment ref="C70" authorId="0">
      <text>
        <r>
          <rPr>
            <sz val="11"/>
            <color indexed="8"/>
            <rFont val="Helvetica Neue"/>
          </rPr>
          <t>dpupr Pasangkayu:
Pemeliharaan berkala jalan adalah kegiatan penanganan pencegahan terjadinya kerusakan yang lebih luas dan setiap kerusakan yang diperhitungkan dalam desain agar penurunan kondisi jalan dapat dikembalikan pada kondisi kemantapan sesuai dengan rencana.
Pemeliharaan berkala jalan meliputi kegiatan:
Pelapisan ulang (overlay);
Perbaikan bahu jalan;
Pelapisan aspal tipis, termasuk pemeliharaan pencegahan/preventive yang meliputi antara lainfog seal, chip seal, slurry seal, micro seal, strain alleviating membrane interlayer (SAMI);
Pengasaran permukaan (regrooving)
Pengisian celah/retak permukaan (sealing);
Perbaikan bangunan pelengkap;
Penggantian/perbaikan perlengkapan jalan yang hilang/rusak;
Pemarkaan (marking) ulang;
Penambalan lubang;
Untuk jalan tidak berpenutup aspal/ beton semen dapat dilakukan penggarukan, penambahan, dan pencampuran kembali material (ripping and reworking existing layers) pada saat pembentukan kembali permukaan; dan
Pemeliharaan/pembersihan rumaja.</t>
        </r>
      </text>
    </comment>
    <comment ref="C71" authorId="0">
      <text>
        <r>
          <rPr>
            <sz val="11"/>
            <color indexed="8"/>
            <rFont val="Helvetica Neue"/>
          </rPr>
          <t xml:space="preserve">dpupr Pasangkayu:
Pemeliharaan rutin jalan adalah kegiatan merawat serta memperbaiki kerusakan-kerusakan yang terjadi pada ruas-ruas jalan dengan kondisi pelayanan mantap.
Pemeliharaan rutin jalan sebagaimana dimaksud dilakukan sepanjang tahun, meliputi kegiatan:
Pemeliharaan/pembersihan bahu jalan;
Pemeliharaan sistem drainase (dengan tujuan untuk memelihara fungsi dan untuk memperkecil kerusakan pada struktur atau permukaan jalan dan harus dibersihkan terus menerus dari lumpur, tumpukan kotoran, dan sampah);
Pemeliharaan/pembersihan rumaja;
Pemeliharaan pemotongan tumbuhan/tanaman liar (rumput-rumputan, semak belukar, dan pepohonan) di dalam rumija
Pengisian celah/retak permukaan (sealing);
Laburan aspal;
Penambalan lubang
Pemeliharaan bangunan pelengkap;
Pemeliharaan perlengkapan jalan; dan
(Grading operation / Reshaping)   atau pembentukan kembali permukaan untuk perkerasan jalan tanpa penutup dan jalan tanpa perkerasan.
</t>
        </r>
      </text>
    </comment>
    <comment ref="C73" authorId="0">
      <text>
        <r>
          <rPr>
            <sz val="11"/>
            <color indexed="8"/>
            <rFont val="Helvetica Neue"/>
          </rPr>
          <t xml:space="preserve">dpupr Pasangkayu:
Pemeliharaan rutin jalan adalah kegiatan merawat serta memperbaiki kerusakan-kerusakan yang terjadi pada ruas-ruas jalan dengan kondisi pelayanan mantap.
Pemeliharaan rutin jalan sebagaimana dimaksud dilakukan sepanjang tahun, meliputi kegiatan:
Pemeliharaan/pembersihan bahu jalan;
Pemeliharaan sistem drainase (dengan tujuan untuk memelihara fungsi dan untuk memperkecil kerusakan pada struktur atau permukaan jalan dan harus dibersihkan terus menerus dari lumpur, tumpukan kotoran, dan sampah);
Pemeliharaan/pembersihan rumaja;
Pemeliharaan pemotongan tumbuhan/tanaman liar (rumput-rumputan, semak belukar, dan pepohonan) di dalam rumija
Pengisian celah/retak permukaan (sealing);
Laburan aspal;
Penambalan lubang
Pemeliharaan bangunan pelengkap;
Pemeliharaan perlengkapan jalan; dan
(Grading operation / Reshaping)   atau pembentukan kembali permukaan untuk perkerasan jalan tanpa penutup dan jalan tanpa perkerasan.
</t>
        </r>
      </text>
    </comment>
  </commentList>
</comments>
</file>

<file path=xl/sharedStrings.xml><?xml version="1.0" encoding="utf-8"?>
<sst xmlns="http://schemas.openxmlformats.org/spreadsheetml/2006/main" uniqueCount="280">
  <si>
    <t>SASARAN</t>
  </si>
  <si>
    <t>KODE</t>
  </si>
  <si>
    <t>PROGRAM DAN KEGIATAN</t>
  </si>
  <si>
    <t>SATUAN</t>
  </si>
  <si>
    <t>INDIKATOR</t>
  </si>
  <si>
    <t>DATA CAPAIAN AWAL</t>
  </si>
  <si>
    <t>TARGET TAHUN 1</t>
  </si>
  <si>
    <t>DANA TAHUN 1</t>
  </si>
  <si>
    <t>TARGET TAHUN 2</t>
  </si>
  <si>
    <t>DANA TAHUN 2</t>
  </si>
  <si>
    <t>TARGET TAHUN 3</t>
  </si>
  <si>
    <t>DANA TAHUN 3</t>
  </si>
  <si>
    <t>TARGET TAHUN 4</t>
  </si>
  <si>
    <t>DANA TAHUN 4</t>
  </si>
  <si>
    <t>TARGET TAHUN 5</t>
  </si>
  <si>
    <t>DANA TAHUN 5</t>
  </si>
  <si>
    <t>LOKASI</t>
  </si>
  <si>
    <t>KETERANGAN</t>
  </si>
  <si>
    <t>URUSAN PEMERINTAHAN WAJIB YANG BERKAITAN DENGAN PELAYANAN DASAR</t>
  </si>
  <si>
    <r>
      <rPr>
        <sz val="10"/>
        <color indexed="8"/>
        <rFont val="Arial"/>
      </rPr>
      <t>1.3</t>
    </r>
  </si>
  <si>
    <t>URUSAN PEMERINTAHAN BIDANG PEKERJAAN UMUMDAN PENATAAN RUANG</t>
  </si>
  <si>
    <t>x.xx.01</t>
  </si>
  <si>
    <t>PROGRAM PENUNJANG URUSAN PEMERINTAHAN DAERAH KABUPATEN/KOTA</t>
  </si>
  <si>
    <t>x.xx.01.2.01</t>
  </si>
  <si>
    <t>Perencanaan, Penganggaran, dan Evaluasi Kinerja Perangkat Daerah</t>
  </si>
  <si>
    <t>x.xx.01.2.01.0001</t>
  </si>
  <si>
    <t>Penyusunan Dokumen Perencanaan Perangkat Daerah</t>
  </si>
  <si>
    <t>Dokumen</t>
  </si>
  <si>
    <t>Jumlah Dokumen Perencanaan Perangkat Daerah</t>
  </si>
  <si>
    <t>x.xx.01.2.01.0002</t>
  </si>
  <si>
    <t>Koordinasi dan Penyusunan Dokumen RKA-SKPD</t>
  </si>
  <si>
    <t>Jumlah Dokumen RKA-SKPD dan Laporan Hasil Koordinasi Penyusunan Dokumen RKA-SKPD</t>
  </si>
  <si>
    <t>x.xx.01.2.01.0003</t>
  </si>
  <si>
    <t>Koordinasi dan Penyusunan Dokumen Perubahan RKA-SKPD</t>
  </si>
  <si>
    <t>Jumlah Dokumen Perubahan RKA SKPD dan Laporan Hasil Koordinasi Penyusunan Dokumen Perubahan RKA-SKPD</t>
  </si>
  <si>
    <t>x.xx.01.2.01.0004</t>
  </si>
  <si>
    <t>Koordinasi dan Penyusunan DPA SKPD</t>
  </si>
  <si>
    <t>Jumlah Dokumen DPA-SKPD dan Laporan Hasil Koordinasi Penyusunan Dokumen DPA-SKPD</t>
  </si>
  <si>
    <t>x.xx.01.2.01.0005</t>
  </si>
  <si>
    <t>Koordinasi dan Penyusunan Perubahan DPA-SKPD</t>
  </si>
  <si>
    <t>Jumlah Dokumen Perubahan DPA SKPD dan Laporan Hasil Koordinasi Penyusunan Dokumen Perubahan DPA-SKPD</t>
  </si>
  <si>
    <t>x.xx.01.2.01.0006</t>
  </si>
  <si>
    <t>Koordinasi dan Penyusunan Laporan Capaian Kinerja dan Ikhtisar Realisasi Kinerja SKPD</t>
  </si>
  <si>
    <t>Laporan</t>
  </si>
  <si>
    <t>Jumlah Laporan Capaian Kinerja dan Ikhtisar Realisasi Kinerja SKPD dan Laporan Hasil Koordinasi Penyusunan Laporan Capaian Kinerja dan Ikhtisar Realisasi Kinerja SKPD</t>
  </si>
  <si>
    <t>x.xx.01.2.01.0007</t>
  </si>
  <si>
    <t>Evaluasi Kinerja Perangkat Daerah</t>
  </si>
  <si>
    <t>Jumlah Laporan Evaluasi Kinerja Perangkat Daerah</t>
  </si>
  <si>
    <t>x.xx.01.2.02</t>
  </si>
  <si>
    <t>Administrasi Keuangan Perangkat Daerah</t>
  </si>
  <si>
    <t>x.xx.01.2.02.0001</t>
  </si>
  <si>
    <t>Penyediaan Gaji dan Tunjangan ASN</t>
  </si>
  <si>
    <t>Orang/bulan</t>
  </si>
  <si>
    <t>Jumlah Orang yang Menerima Gaji dan Tunjangan ASN</t>
  </si>
  <si>
    <t>x.xx.01.2.02.0002</t>
  </si>
  <si>
    <t>Penyediaan Administrasi Pelaksanaan Tugas ASN</t>
  </si>
  <si>
    <t>Jumlah Dokumen Hasil Penyediaan Administrasi Pelaksanaan Tugas ASN</t>
  </si>
  <si>
    <t>x.xx.01.2.02.0005</t>
  </si>
  <si>
    <t>Koordinasi dan Penyusunan Laporan Keuangan Akhir Tahun SKPD</t>
  </si>
  <si>
    <t>Jumlah Laporan Keuangan Akhir Tahun SKPD dan Laporan Hasil Koordinasi Penyusunan Laporan Keuangan Akhir Tahun SKPD</t>
  </si>
  <si>
    <t>x.xx.01.2.02.0007</t>
  </si>
  <si>
    <t>Koordinasi dan Penyusunan Laporan Keuangan Bulanan/ Triwulanan/ Semesteran SKPD</t>
  </si>
  <si>
    <t>Jumlah Laporan Keuangan Bulanan/ Triwulanan/ Semesteran SKPD dan Laporan Koordinasi Penyusunan Laporan Keuangan Bulanan/Triwulanan/Semesteran SKPD</t>
  </si>
  <si>
    <t>x.xx.01.2.03</t>
  </si>
  <si>
    <t>Administrasi Barang Milik Daerah pada Perangkat Daerah</t>
  </si>
  <si>
    <t>x.xx.01.2.03.0006</t>
  </si>
  <si>
    <t>Penatausahaan Barang Milik Daerah pada SKPD</t>
  </si>
  <si>
    <t>Jumlah Laporan Penatausahaan Barang Milik Daerah pada SKPD</t>
  </si>
  <si>
    <t>x.xx.01.2.06</t>
  </si>
  <si>
    <t>Administrasi Umum Perangkat Daerah</t>
  </si>
  <si>
    <t>x.xx.01.2.06.0001</t>
  </si>
  <si>
    <t>Penyediaan Komponen Instalasi Listrik/Penerangan Bangunan Kantor</t>
  </si>
  <si>
    <t>Paket</t>
  </si>
  <si>
    <t>Jumlah Paket Komponen Instalasi Listrik/Penerangan Bangunan Kantor yang Disediakan</t>
  </si>
  <si>
    <t>x.xx.01.2.06.0005</t>
  </si>
  <si>
    <t>Penyediaan Barang Cetakan dan Penggandaan</t>
  </si>
  <si>
    <t>Jumlah Paket Barang Cetakan dan Penggandaan yang Disediakan</t>
  </si>
  <si>
    <t>x.xx.01.2.06.0006</t>
  </si>
  <si>
    <t>Penyediaan Bahan Bacaan dan Peraturan Perundang-undangan</t>
  </si>
  <si>
    <t>Jumlah Dokumen Bahan Bacaan dan Peraturan Perundang- Undangan yang Disediakan</t>
  </si>
  <si>
    <t>x.xx.01.2.06.0008</t>
  </si>
  <si>
    <t>Fasilitasi Kunjungan Tamu</t>
  </si>
  <si>
    <t>Jumlah Laporan Fasilitasi Kunjungan Tamu</t>
  </si>
  <si>
    <t>x.xx.01.2.06.0009</t>
  </si>
  <si>
    <t>Penyelenggaraan Rapat Koordinasi dan Konsultasi SKPD</t>
  </si>
  <si>
    <t>Jumlah Laporan Penyelenggaraan Rapat Koordinasi dan Konsultasi SKPD</t>
  </si>
  <si>
    <t>x.xx.01.2.07</t>
  </si>
  <si>
    <t>Pengadaan Barang Milik Daerah Penunjang Urusan Pemerintah Daerah</t>
  </si>
  <si>
    <t>x.xx.01.2.07.0006</t>
  </si>
  <si>
    <t>Pengadaan Peralatan dan Mesin Lainnya</t>
  </si>
  <si>
    <t>Unit</t>
  </si>
  <si>
    <t>Jumlah Unit Peralatan dan Mesin Lainnya yang Disediakan</t>
  </si>
  <si>
    <t>x.xx.01.2.07.0009</t>
  </si>
  <si>
    <t>Pengadaan Gedung Kantor atau Bangunan Lainnya</t>
  </si>
  <si>
    <t>Jumlah Unit Gedung Kantor atau Bangunan Lainnya yang Disediakan</t>
  </si>
  <si>
    <t>x.xx.01.2.08</t>
  </si>
  <si>
    <t>Penyediaan Jasa Penunjang Urusan Pemerintahan Daerah</t>
  </si>
  <si>
    <t>x.xx.01.2.08.0001</t>
  </si>
  <si>
    <t>Penyediaan Jasa Surat Menyurat</t>
  </si>
  <si>
    <t>Jumlah Laporan Penyediaan Jasa Surat Menyurat</t>
  </si>
  <si>
    <t>x.xx.01.2.08.0002</t>
  </si>
  <si>
    <t>Penyediaan Jasa Komunikasi, Sumber Daya Air dan Listrik</t>
  </si>
  <si>
    <t>Jumlah Laporan Penyediaan Jasa Komunikasi, Sumber Daya Air dan Listrik yang Disediakan</t>
  </si>
  <si>
    <t>x.xx.01.2.08.0004</t>
  </si>
  <si>
    <t>Penyediaan Jasa Pelayanan Umum Kantor</t>
  </si>
  <si>
    <t>Jumlah Laporan Penyediaan Jasa Pelayanan Umum Kantor yang Disediakan</t>
  </si>
  <si>
    <t>x.xx.01.2.09</t>
  </si>
  <si>
    <t>Pemeliharaan Barang Milik Daerah Penunjang Urusan Pemerintahan Daerah</t>
  </si>
  <si>
    <t>x.xx.01.2.09.0001</t>
  </si>
  <si>
    <t>Penyediaan Jasa Pemeliharaan, Biaya Pemeliharaan, dan Pajak Kendaraan Perorangan Dinas atau Kendaraan Dinas Jabatan</t>
  </si>
  <si>
    <t>Jumlah Kendaraan Perorangan Dinas atau Kendaraan Dinas Jabatan yang Dipelihara dan dibayarkan Pajaknya</t>
  </si>
  <si>
    <t>x.xx.01.2.09.0003</t>
  </si>
  <si>
    <t>Penyediaan Jasa Pemeliharaan, Biaya Pemeliharaan dan Perizinan Alat Besar</t>
  </si>
  <si>
    <t>Jumlah Alat Besar yang Dipelihara dan dibayarkan Perizinannya</t>
  </si>
  <si>
    <t>x.xx.01.2.09.0006</t>
  </si>
  <si>
    <t>Pemeliharaan Peralatan dan Mesin Lainnya</t>
  </si>
  <si>
    <t>Jumlah Peralatan dan Mesin Lainnya yang Dipelihara</t>
  </si>
  <si>
    <t>x.xx.01.2.09.0009</t>
  </si>
  <si>
    <t>Pemeliharaan/Rehabilitasi Gedung Kantor dan Bangunan Lainnya</t>
  </si>
  <si>
    <t>Jumlah Gedung Kantor dan Bangunan Lainnya yang Dipelihara/Direhabilitasi</t>
  </si>
  <si>
    <t>x.xx.01.2.09.0010</t>
  </si>
  <si>
    <t>Pemeliharaan/Rehabilitasi Sarana dan Prasarana Gedung Kantor atau Bangunan Lainnya</t>
  </si>
  <si>
    <t>Jumlah Sarana dan Prasarana Gedung Kantor atau Bangunan Lainnya yang Dipelihara/Direhabilitasi</t>
  </si>
  <si>
    <t>1.3.02</t>
  </si>
  <si>
    <t>PROGRAM PENGELOLAAN SUMBER DAYA AIR (SDA)</t>
  </si>
  <si>
    <t>1.3.02.2.01</t>
  </si>
  <si>
    <t>Pengelolaan SDA dan Bangunan Pengaman Pantai pada Wilayah Sungai (WS) dalam 1 (satu) Daerah Kabupaten/Kota</t>
  </si>
  <si>
    <t>1.3.02.2.01.0109</t>
  </si>
  <si>
    <t>Pembangunan Bangunan Perkuatan Tebing</t>
  </si>
  <si>
    <t>KM</t>
  </si>
  <si>
    <t>Panjang Bangunan Perkuatan Tebing yang Dibangun</t>
  </si>
  <si>
    <t>1.3.02.2.01.0117</t>
  </si>
  <si>
    <t>Pembangunan Seawall dan Bangunan Pengaman Pantai Lainnya</t>
  </si>
  <si>
    <t>Panjang Seawall dan Bangunan Pengaman Pantai Lainnya yang Dibangun</t>
  </si>
  <si>
    <t>1.3.02.2.01.0093</t>
  </si>
  <si>
    <t>Normalisasi/Restorasi Sungai</t>
  </si>
  <si>
    <t>Panjang Sungai yang Dinormalisasi/Direstorasi</t>
  </si>
  <si>
    <t>1.3.02.2.02</t>
  </si>
  <si>
    <t>Pengembangan dan Pengelolaan Sistem Irigasi Primer dan Sekunder pada Daerah Irigasi yang Luasnya di Bawah 1000 Ha dalam 1 (Satu) Daerah Kabupaten/Kota</t>
  </si>
  <si>
    <t>1.3.02.2.02.0008</t>
  </si>
  <si>
    <t>Peningkatan Jaringan Irigasi Permukaan</t>
  </si>
  <si>
    <t>Panjang Jaringan Irigasi Permukaan yang Ditingkatkan</t>
  </si>
  <si>
    <t>1.3.02.2.02.0011</t>
  </si>
  <si>
    <t>Peningkatan Jaringan Irigasi Tambak</t>
  </si>
  <si>
    <t>Panjang Jaringan Irigasi Tambak yang Ditingkatkan</t>
  </si>
  <si>
    <t>1.3.02.2.02.0014</t>
  </si>
  <si>
    <t>Rehabilitasi Jaringan Irigasi Permukaan</t>
  </si>
  <si>
    <t>Panjang Jaringan Irigasi Permukaan yang Direhabilitasi</t>
  </si>
  <si>
    <t>1.3.02.2.02.0017</t>
  </si>
  <si>
    <t>Rehabilitasi Jaringan Irigasi Tambak</t>
  </si>
  <si>
    <t>Panjang Jaringan Irigasi Tambak yang Direhabilitasi</t>
  </si>
  <si>
    <t>1.3.02.2.02.0021</t>
  </si>
  <si>
    <t>Operasi dan Pemeliharaan Jaringan Irigasi Permukaan</t>
  </si>
  <si>
    <t>Panjang Jaringan Irigasi Permukaan yang Dioperasikan dan Dipelihara</t>
  </si>
  <si>
    <t>1.3.03</t>
  </si>
  <si>
    <t>PROGRAM PENGELOLAAN DAN PENGEMBANGAN SISTEM PENYEDIAAN AIR MINUM</t>
  </si>
  <si>
    <t>1.3.03.2.01</t>
  </si>
  <si>
    <t>Pengelolaan dan Pengembangan Sistem Penyediaan Air Minum (SPAM) di Daerah Kabupaten/Kota</t>
  </si>
  <si>
    <t>1.3.03.2.01.0028</t>
  </si>
  <si>
    <t>Pembangunan Sistem Penyediaan Air Minum (SPAM) Jaringan Perpipaan</t>
  </si>
  <si>
    <t>Liter/Detik</t>
  </si>
  <si>
    <t>Kapasitas Sistem Penyediaan Air Minum (SPAM) Jaringan Perpipaan yang dibangun</t>
  </si>
  <si>
    <t>1.3.03.2.01.0029</t>
  </si>
  <si>
    <t>Operasi dan Pemeliharaan Sistem Penyediaan Air Minum (SPAM)</t>
  </si>
  <si>
    <t>Jumlah Sistem Penyediaan Air Minum (SPAM) yang Dioperasikan dan Dipelihara</t>
  </si>
  <si>
    <t>1.3.05</t>
  </si>
  <si>
    <t>PROGRAM PENGELOLAAN DAN PENGEMBANGAN SISTEM AIR LIMBAH</t>
  </si>
  <si>
    <t>1.3.05.2.01</t>
  </si>
  <si>
    <t>Pengelolaan dan Pengembangan Sistem Air Limbah Domestik dalam Daerah Kabupaten/Kota</t>
  </si>
  <si>
    <t>Rehabilitasi / Peningkatan / Perluasan Sistem Pengelolaan Air Limbah Domestik Terpusat Skala Permukiman</t>
  </si>
  <si>
    <t>1.3.06</t>
  </si>
  <si>
    <t>PROGRAM PENGELOLAAN DAN PENGEMBANGAN SISTEM DRAINASE</t>
  </si>
  <si>
    <t>1.3.06.2.01</t>
  </si>
  <si>
    <t>Pengelolaan dan Pengembangan Sistem Drainase yang Terhubung Langsung dengan Sungai dalam Daerah Kabupaten/Kota</t>
  </si>
  <si>
    <t>1.3.06.2.01.0012</t>
  </si>
  <si>
    <t>Pembangunan Sistem Drainase Lingkungan</t>
  </si>
  <si>
    <t>M</t>
  </si>
  <si>
    <t>Panjang Saluran Drainase Lingkungan yang Dibangun</t>
  </si>
  <si>
    <t>1.3.08</t>
  </si>
  <si>
    <t>PROGRAM PENATAAN BANGUNAN GEDUNG</t>
  </si>
  <si>
    <t>1.3.08.2.01</t>
  </si>
  <si>
    <t>Penyelenggaraan Bangunan Gedung di Wilayah Daerah Kabupaten/Kota, Pemberian Izin Mendirikan Bangunan (IMB) dan Sertifikat Laik Fungsi Bangunan Gedung</t>
  </si>
  <si>
    <t>1.3.08.2.01.0023</t>
  </si>
  <si>
    <t>Penyelenggaraan Penerbitan Persetujuan Bangunan Gedung (PBG), Sertifikat Laik Fungsi (SLF), Surat Bukti Kepemilikan Bangunan Gedung (SBKBG), Rencana Teknis Pembongkaran Bangunan Gedung (RTB), Tim Profesi Ahli (TPA), Tim Penilai Teknis (TPT), Penilik, dan Pendataan Bangunan Gedung melalui SIMBG</t>
  </si>
  <si>
    <t>Jumlah Penerbitan Persetujuan Bangunan Gedung (PBG), Sertifikat Laik Fungsi (SLF), Surat Bukti Kepemilikan Bangunan Gedung (SBKBG), Rencana Teknis Pembongkaran Bangunan Gedung (RTB), Tim Profesi Ahli (TPA), Tim Penilai Teknis (TPT), Penilik, dan Pendataan Bangunan Gedung melalui SIMBG</t>
  </si>
  <si>
    <t>1.3.09</t>
  </si>
  <si>
    <t>PROGRAM PENATAAN BANGUNAN DAN LINGKUNGANNYA</t>
  </si>
  <si>
    <t>1.3.09.2.01</t>
  </si>
  <si>
    <t>Penyelenggaraan Penataan Bangunan dan Lingkungannya di Daerah Kabupaten/Kota</t>
  </si>
  <si>
    <t>1.3.08.2.01.0021</t>
  </si>
  <si>
    <t>Pembangunan, Pemanfaatan, Pelestariaan dan Pembongkaran Bangunan Gedung untuk Kepentingan Strategis Daerah Kabupaten/Kota</t>
  </si>
  <si>
    <t>Jumlah Dokumen Pembangunan, Pemanfaatan, Pelestariaan dan Pembongkaran Bangunan Gedung untuk Kepentingan Strategis Daerah Kabupaten/Kota</t>
  </si>
  <si>
    <t>1.3.10</t>
  </si>
  <si>
    <t>PROGRAM PENYELENGGARAAN JALAN</t>
  </si>
  <si>
    <t>1.3.10.2.01</t>
  </si>
  <si>
    <t>Penyelenggaraan Jalan Kabupaten/Kota</t>
  </si>
  <si>
    <t>1.3.10.2.01.0032</t>
  </si>
  <si>
    <t>Pembangunan Jalan</t>
  </si>
  <si>
    <t>Panjang Jalan yang Dibangun</t>
  </si>
  <si>
    <t>1.3.10.2.01.0044</t>
  </si>
  <si>
    <t>Rehabilitasi Jalan</t>
  </si>
  <si>
    <t>Panjang Jalan yang Direhabilitasi</t>
  </si>
  <si>
    <t>1.3.10.2.01.0034</t>
  </si>
  <si>
    <t>Pemeliharaan Berkala Jalan</t>
  </si>
  <si>
    <t>Panjang Jalan yang Dipelihara Secara Berkala</t>
  </si>
  <si>
    <t>1.3.10.2.01.0046</t>
  </si>
  <si>
    <t>Pemeliharaan Rutin Jalan</t>
  </si>
  <si>
    <t>Panjang Jalan yang Dipelihara Secara Rutin</t>
  </si>
  <si>
    <t>1.3.10.2.01.0040</t>
  </si>
  <si>
    <t>Pembangunan Jembatan</t>
  </si>
  <si>
    <t>Jembatan</t>
  </si>
  <si>
    <t>Jumlah Jembatan yang Dibangun</t>
  </si>
  <si>
    <t>1.3.10.2.01.0038</t>
  </si>
  <si>
    <t>Pemeliharaan Rutin Jembatan</t>
  </si>
  <si>
    <t>Jumlah Jembatan yang Dipelihara Secara Rutin</t>
  </si>
  <si>
    <t>1.3.11</t>
  </si>
  <si>
    <t>PROGRAM PENGEMBANGAN JASA KONSTRUKSI</t>
  </si>
  <si>
    <t>1.3.11.2.01</t>
  </si>
  <si>
    <t>Penyelenggaraan Pelatihan Tenaga Terampil Konstruksi</t>
  </si>
  <si>
    <t>1.3.11.2.01.0009</t>
  </si>
  <si>
    <t>Penyediaan Training Need Assessment (TNA) Pelatihan Tenaga Kerja Konstruksi Kualifikasi Jabatan Operator dan Teknisi atau Analis</t>
  </si>
  <si>
    <t>Jumlah Training Need Assessment (TNA) Pelatihan Tenaga Kerja Konstruksi Kualifikasi Jabatan Operator dan Teknisi atau Analis yang Disediakan</t>
  </si>
  <si>
    <t>1.3.11.2.01.0012</t>
  </si>
  <si>
    <t>Penyediaan Instruktur/Asesor/Penyelenggar a Pelatihan Tenaga Kerja Konstruksi Kualifikasi Jabatan Operator dan Teknisi atau Analis</t>
  </si>
  <si>
    <t>Orang</t>
  </si>
  <si>
    <t>Jumlah Instruktur/Asesor/Penyelenggara Pelatihan Tenaga Kerja Konstruksi Kualifikasi Jabatan Operator dan Teknisi atau Analis yang Disediakan</t>
  </si>
  <si>
    <t>1.3.11.2.01.0011</t>
  </si>
  <si>
    <t>Pembinaan dan Peningkatan Kapasitas Kelembagaan Jasa Konstruksi</t>
  </si>
  <si>
    <t>Lembaga</t>
  </si>
  <si>
    <t>Jumlah Lembaga Jasa Konstruksi yang Dibina dan Ditingkatkan Kapasitasnya</t>
  </si>
  <si>
    <t>1.3.11.2.02</t>
  </si>
  <si>
    <t>Penyelenggaraan Sistem Informasi Jasa Konstruksi Cakupan Daerah Kabupaten/Kota</t>
  </si>
  <si>
    <t>1.3.11.2.02.0015</t>
  </si>
  <si>
    <t>Operasionalisasi Layanan Informasi Jasa Konstruksi</t>
  </si>
  <si>
    <t>Layanan Informasi</t>
  </si>
  <si>
    <t>Jumlah Layanan Informasi Jasa Konstruksi yang Dioperasikan</t>
  </si>
  <si>
    <t>1.3.11.2.02.0012</t>
  </si>
  <si>
    <t>Penyediaan Perangkat Pendukung Layanan Informasi Jasa Konstruksi</t>
  </si>
  <si>
    <t>Perangkat Pendukung</t>
  </si>
  <si>
    <t>Jumlah Perangkat Pendukung Layanan Informasi Jasa Konstruksi yang Disediakan</t>
  </si>
  <si>
    <t>1.3.11.2.04</t>
  </si>
  <si>
    <t>Pengawasan Tertib Usaha, Tertib Penyelenggaraan dan Tertib Pemanfaatan Jasa Konstruksi</t>
  </si>
  <si>
    <t>1.3.11.2.04.0007</t>
  </si>
  <si>
    <t>Pengawasan dan Evaluasi Tertib Usaha Jasa Konstruksi Kabupaten/Kota</t>
  </si>
  <si>
    <t>Badan Usaha</t>
  </si>
  <si>
    <t>Jumlah Badan Usaha Jasa Konstruksi Kabupaten/Kota yang Diawasi dan Dievaluasi Tertib Usaha</t>
  </si>
  <si>
    <t>1.3.12</t>
  </si>
  <si>
    <t>PROGRAM PENYELENGGARAAN PENATAAN RUANG</t>
  </si>
  <si>
    <t>1.3.12.2.01</t>
  </si>
  <si>
    <t>Penetapan Rencana Tata Ruang Wilayah (RTRW) dan Rencana Rinci Tata Ruang (RRTR) Kabupaten/Kota</t>
  </si>
  <si>
    <t>1.3.12.2.01.0005</t>
  </si>
  <si>
    <t>Pelaksanaan Persetujuan Substansi RTRW Kabupaten/Kota</t>
  </si>
  <si>
    <t>Jumlah surat persetujuan substansi RTRW Kabupaten/Kota</t>
  </si>
  <si>
    <t>1.3.12.2.01.0006</t>
  </si>
  <si>
    <t>Pelaksanaan Persetujuan Substansi RDTR Kabupaten/Kota</t>
  </si>
  <si>
    <t>Jumlah dokumen administrasi persetujuan substansi RDTR Kabupaten/Kota</t>
  </si>
  <si>
    <t>1.3.12.2.01.0009</t>
  </si>
  <si>
    <t>Pelaksanaan Evaluasi dan Konsultasi Evaluasi RTRW Kabupaten/Kota</t>
  </si>
  <si>
    <t>dokumen persyaratan untuk mendapatkan keputusan Gubernur hasil evaluasi</t>
  </si>
  <si>
    <t>1.3.12.2.01.0012</t>
  </si>
  <si>
    <t>Sosialisasi Peraturan Perundang- undangan dan pedoman Bidang Penataan ruang</t>
  </si>
  <si>
    <t>Jumlah pemangku kepentingan yang mengikuti kegiatan sosialisasi</t>
  </si>
  <si>
    <t>1.3.12.2.02</t>
  </si>
  <si>
    <t>Koordinasi dan Sinkronisasi Perencanaan Tata Ruang Daerah Kabupaten/Kota</t>
  </si>
  <si>
    <t>1.3.12.2.02.0002</t>
  </si>
  <si>
    <t>Koordinasi dan Sinkronisasi Penyusunan RRTR Kabupaten/Kota</t>
  </si>
  <si>
    <t>Jumlah Dokumen Koordinasi dan Sinkronisasi Penyusunan RRTR Kabupaten/Kota</t>
  </si>
  <si>
    <t>1.3.12.2.03</t>
  </si>
  <si>
    <t>Koordinasi dan Sinkronisasi Pemanfaatan Ruang Daerah Kabupaten/Kota</t>
  </si>
  <si>
    <t>1.3.12.2.03.0003</t>
  </si>
  <si>
    <t>Koordinasi Penyelenggaraan Penataan Ruang</t>
  </si>
  <si>
    <t>Jumlah Dokumen koordinasi penyelenggaraan penataan ruang</t>
  </si>
  <si>
    <t>1.3.12.2.03.0006</t>
  </si>
  <si>
    <t>Sistem informasi dan komunikasi penataan ruang</t>
  </si>
  <si>
    <t>Jumlah sistem informasi dan komunikasi penataan ruang</t>
  </si>
  <si>
    <t>1.3.12.2.04</t>
  </si>
  <si>
    <t>Koordinasi dan Sinkronisasi Pengendalian Pemanfaatan Ruang Daerah Kabupaten/Kota</t>
  </si>
  <si>
    <t>1.3.12.2.04.0004</t>
  </si>
  <si>
    <t>Koordinasi Pelaksanaan Penataan Ruang</t>
  </si>
  <si>
    <t>Jumlah Dokumen Koordinasi Pelaksanaan Penataan Ruang</t>
  </si>
</sst>
</file>

<file path=xl/styles.xml><?xml version="1.0" encoding="utf-8"?>
<styleSheet xmlns="http://schemas.openxmlformats.org/spreadsheetml/2006/main">
  <numFmts count="10">
    <numFmt numFmtId="0" formatCode="General"/>
    <numFmt numFmtId="59" formatCode="#,###&quot; bln&quot;"/>
    <numFmt numFmtId="60" formatCode="#,###.##&quot; m&quot;"/>
    <numFmt numFmtId="61" formatCode="#,###&quot; ha&quot;"/>
    <numFmt numFmtId="62" formatCode="#,###&quot; DI.&quot;"/>
    <numFmt numFmtId="63" formatCode="#,###.##&quot; km&quot;"/>
    <numFmt numFmtId="64" formatCode="#,###&quot; org&quot;"/>
    <numFmt numFmtId="65" formatCode="#,###&quot; unit&quot;"/>
    <numFmt numFmtId="66" formatCode="#,###&quot; dok&quot;"/>
    <numFmt numFmtId="67" formatCode="#,###&quot; keg&quot;"/>
  </numFmts>
  <fonts count="6">
    <font>
      <sz val="10"/>
      <color indexed="8"/>
      <name val="Helvetica Neue"/>
    </font>
    <font>
      <sz val="12"/>
      <color indexed="8"/>
      <name val="Helvetica Neue"/>
    </font>
    <font>
      <b val="1"/>
      <sz val="10"/>
      <color indexed="9"/>
      <name val="Helvetica Neue"/>
    </font>
    <font>
      <sz val="10"/>
      <color indexed="8"/>
      <name val="Arial"/>
    </font>
    <font>
      <sz val="11"/>
      <color indexed="8"/>
      <name val="Helvetica Neue"/>
    </font>
    <font>
      <b val="1"/>
      <sz val="10"/>
      <color indexed="8"/>
      <name val="Helvetica Neue"/>
    </font>
  </fonts>
  <fills count="8">
    <fill>
      <patternFill patternType="none"/>
    </fill>
    <fill>
      <patternFill patternType="gray125"/>
    </fill>
    <fill>
      <patternFill patternType="solid">
        <fgColor indexed="10"/>
        <bgColor auto="1"/>
      </patternFill>
    </fill>
    <fill>
      <patternFill patternType="solid">
        <fgColor indexed="13"/>
        <bgColor auto="1"/>
      </patternFill>
    </fill>
    <fill>
      <patternFill patternType="solid">
        <fgColor indexed="14"/>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s>
  <borders count="7">
    <border>
      <left/>
      <right/>
      <top/>
      <bottom/>
      <diagonal/>
    </border>
    <border>
      <left style="thin">
        <color indexed="11"/>
      </left>
      <right style="thin">
        <color indexed="9"/>
      </right>
      <top style="thin">
        <color indexed="11"/>
      </top>
      <bottom style="thin">
        <color indexed="12"/>
      </bottom>
      <diagonal/>
    </border>
    <border>
      <left style="thin">
        <color indexed="9"/>
      </left>
      <right style="thin">
        <color indexed="9"/>
      </right>
      <top style="thin">
        <color indexed="11"/>
      </top>
      <bottom style="thin">
        <color indexed="12"/>
      </bottom>
      <diagonal/>
    </border>
    <border>
      <left style="thin">
        <color indexed="9"/>
      </left>
      <right style="thin">
        <color indexed="11"/>
      </right>
      <top style="thin">
        <color indexed="11"/>
      </top>
      <bottom style="thin">
        <color indexed="12"/>
      </bottom>
      <diagonal/>
    </border>
    <border>
      <left style="thin">
        <color indexed="11"/>
      </left>
      <right style="thin">
        <color indexed="11"/>
      </right>
      <top style="thin">
        <color indexed="12"/>
      </top>
      <bottom style="thin">
        <color indexed="11"/>
      </bottom>
      <diagonal/>
    </border>
    <border>
      <left style="thin">
        <color indexed="11"/>
      </left>
      <right style="thin">
        <color indexed="11"/>
      </right>
      <top style="thin">
        <color indexed="11"/>
      </top>
      <bottom style="thin">
        <color indexed="11"/>
      </bottom>
      <diagonal/>
    </border>
    <border>
      <left style="thin">
        <color indexed="11"/>
      </left>
      <right style="thin">
        <color indexed="11"/>
      </right>
      <top style="thin">
        <color indexed="11"/>
      </top>
      <bottom style="thin">
        <color indexed="12"/>
      </bottom>
      <diagonal/>
    </border>
  </borders>
  <cellStyleXfs count="1">
    <xf numFmtId="0" fontId="0" applyNumberFormat="0" applyFont="1" applyFill="0" applyBorder="0" applyAlignment="1" applyProtection="0">
      <alignment vertical="top" wrapText="1"/>
    </xf>
  </cellStyleXfs>
  <cellXfs count="66">
    <xf numFmtId="0" fontId="0" applyNumberFormat="0" applyFont="1" applyFill="0" applyBorder="0" applyAlignment="1" applyProtection="0">
      <alignment vertical="top" wrapText="1"/>
    </xf>
    <xf numFmtId="0" fontId="0" applyNumberFormat="1" applyFont="1" applyFill="0" applyBorder="0" applyAlignment="1" applyProtection="0">
      <alignment vertical="top" wrapText="1"/>
    </xf>
    <xf numFmtId="49" fontId="2" fillId="2" borderId="1" applyNumberFormat="1" applyFont="1" applyFill="1" applyBorder="1" applyAlignment="1" applyProtection="0">
      <alignment horizontal="center" vertical="center" wrapText="1"/>
    </xf>
    <xf numFmtId="49" fontId="2" fillId="2" borderId="2" applyNumberFormat="1" applyFont="1" applyFill="1" applyBorder="1" applyAlignment="1" applyProtection="0">
      <alignment horizontal="center" vertical="center" wrapText="1"/>
    </xf>
    <xf numFmtId="49" fontId="2" fillId="2" borderId="3" applyNumberFormat="1" applyFont="1" applyFill="1" applyBorder="1" applyAlignment="1" applyProtection="0">
      <alignment horizontal="center" vertical="center" wrapText="1"/>
    </xf>
    <xf numFmtId="0" fontId="0" borderId="4" applyNumberFormat="0" applyFont="1" applyFill="0" applyBorder="1" applyAlignment="1" applyProtection="0">
      <alignment vertical="top" wrapText="1"/>
    </xf>
    <xf numFmtId="0" fontId="0" borderId="4" applyNumberFormat="1" applyFont="1" applyFill="0" applyBorder="1" applyAlignment="1" applyProtection="0">
      <alignment vertical="top" wrapText="1"/>
    </xf>
    <xf numFmtId="49" fontId="0" borderId="4" applyNumberFormat="1" applyFont="1" applyFill="0" applyBorder="1" applyAlignment="1" applyProtection="0">
      <alignment vertical="top" wrapText="1"/>
    </xf>
    <xf numFmtId="0" fontId="0" fillId="3" borderId="5" applyNumberFormat="0" applyFont="1" applyFill="1" applyBorder="1" applyAlignment="1" applyProtection="0">
      <alignment vertical="top" wrapText="1"/>
    </xf>
    <xf numFmtId="49" fontId="0" fillId="3" borderId="5" applyNumberFormat="1" applyFont="1" applyFill="1" applyBorder="1" applyAlignment="1" applyProtection="0">
      <alignment vertical="top" wrapText="1"/>
    </xf>
    <xf numFmtId="49" fontId="0" fillId="4" borderId="5" applyNumberFormat="1" applyFont="1" applyFill="1" applyBorder="1" applyAlignment="1" applyProtection="0">
      <alignment vertical="top" wrapText="1"/>
    </xf>
    <xf numFmtId="0" fontId="0" fillId="3" borderId="5" applyNumberFormat="1" applyFont="1" applyFill="1" applyBorder="1" applyAlignment="1" applyProtection="0">
      <alignment vertical="top" wrapText="1"/>
    </xf>
    <xf numFmtId="0" fontId="0" fillId="4" borderId="5" applyNumberFormat="0" applyFont="1" applyFill="1" applyBorder="1" applyAlignment="1" applyProtection="0">
      <alignment vertical="top" wrapText="1"/>
    </xf>
    <xf numFmtId="0" fontId="0" borderId="5" applyNumberFormat="0" applyFont="1" applyFill="0" applyBorder="1" applyAlignment="1" applyProtection="0">
      <alignment vertical="top" wrapText="1"/>
    </xf>
    <xf numFmtId="49" fontId="0" borderId="5" applyNumberFormat="1" applyFont="1" applyFill="0" applyBorder="1" applyAlignment="1" applyProtection="0">
      <alignment vertical="top" wrapText="1"/>
    </xf>
    <xf numFmtId="49" fontId="0" fillId="5" borderId="5" applyNumberFormat="1" applyFont="1" applyFill="1" applyBorder="1" applyAlignment="1" applyProtection="0">
      <alignment vertical="top" wrapText="1"/>
    </xf>
    <xf numFmtId="0" fontId="0" borderId="5" applyNumberFormat="1" applyFont="1" applyFill="0" applyBorder="1" applyAlignment="1" applyProtection="0">
      <alignment vertical="top" wrapText="1"/>
    </xf>
    <xf numFmtId="0" fontId="0" fillId="5" borderId="5" applyNumberFormat="1" applyFont="1" applyFill="1" applyBorder="1" applyAlignment="1" applyProtection="0">
      <alignment vertical="top" wrapText="1"/>
    </xf>
    <xf numFmtId="3" fontId="0" fillId="5" borderId="5" applyNumberFormat="1" applyFont="1" applyFill="1" applyBorder="1" applyAlignment="1" applyProtection="0">
      <alignment vertical="top" wrapText="1"/>
    </xf>
    <xf numFmtId="59" fontId="0" fillId="5" borderId="5" applyNumberFormat="1" applyFont="1" applyFill="1" applyBorder="1" applyAlignment="1" applyProtection="0">
      <alignment vertical="top" wrapText="1"/>
    </xf>
    <xf numFmtId="49" fontId="0" fillId="6" borderId="5" applyNumberFormat="1" applyFont="1" applyFill="1" applyBorder="1" applyAlignment="1" applyProtection="0">
      <alignment vertical="top" wrapText="1"/>
    </xf>
    <xf numFmtId="59" fontId="0" fillId="6" borderId="5" applyNumberFormat="1" applyFont="1" applyFill="1" applyBorder="1" applyAlignment="1" applyProtection="0">
      <alignment vertical="top" wrapText="1"/>
    </xf>
    <xf numFmtId="3" fontId="0" fillId="6" borderId="5" applyNumberFormat="1" applyFont="1" applyFill="1" applyBorder="1" applyAlignment="1" applyProtection="0">
      <alignment vertical="top" wrapText="1"/>
    </xf>
    <xf numFmtId="0" fontId="0" fillId="6" borderId="5" applyNumberFormat="1" applyFont="1" applyFill="1" applyBorder="1" applyAlignment="1" applyProtection="0">
      <alignment vertical="top" wrapText="1"/>
    </xf>
    <xf numFmtId="59" fontId="0" borderId="5" applyNumberFormat="1" applyFont="1" applyFill="0" applyBorder="1" applyAlignment="1" applyProtection="0">
      <alignment vertical="top" wrapText="1"/>
    </xf>
    <xf numFmtId="3" fontId="0" borderId="5" applyNumberFormat="1" applyFont="1" applyFill="0" applyBorder="1" applyAlignment="1" applyProtection="0">
      <alignment vertical="top" wrapText="1"/>
    </xf>
    <xf numFmtId="59" fontId="0" fillId="3" borderId="5" applyNumberFormat="1" applyFont="1" applyFill="1" applyBorder="1" applyAlignment="1" applyProtection="0">
      <alignment vertical="top" wrapText="1"/>
    </xf>
    <xf numFmtId="3" fontId="0" fillId="3" borderId="5" applyNumberFormat="1" applyFont="1" applyFill="1" applyBorder="1" applyAlignment="1" applyProtection="0">
      <alignment vertical="top" wrapText="1"/>
    </xf>
    <xf numFmtId="60" fontId="0" fillId="6" borderId="5" applyNumberFormat="1" applyFont="1" applyFill="1" applyBorder="1" applyAlignment="1" applyProtection="0">
      <alignment vertical="top" wrapText="1"/>
    </xf>
    <xf numFmtId="60" fontId="0" fillId="3" borderId="5" applyNumberFormat="1" applyFont="1" applyFill="1" applyBorder="1" applyAlignment="1" applyProtection="0">
      <alignment vertical="top" wrapText="1"/>
    </xf>
    <xf numFmtId="60" fontId="0" borderId="5" applyNumberFormat="1" applyFont="1" applyFill="0" applyBorder="1" applyAlignment="1" applyProtection="0">
      <alignment vertical="top" wrapText="1"/>
    </xf>
    <xf numFmtId="61" fontId="0" fillId="6" borderId="5" applyNumberFormat="1" applyFont="1" applyFill="1" applyBorder="1" applyAlignment="1" applyProtection="0">
      <alignment vertical="top" wrapText="1"/>
    </xf>
    <xf numFmtId="61" fontId="0" fillId="3" borderId="5" applyNumberFormat="1" applyFont="1" applyFill="1" applyBorder="1" applyAlignment="1" applyProtection="0">
      <alignment vertical="top" wrapText="1"/>
    </xf>
    <xf numFmtId="61" fontId="0" borderId="5" applyNumberFormat="1" applyFont="1" applyFill="0" applyBorder="1" applyAlignment="1" applyProtection="0">
      <alignment vertical="top" wrapText="1"/>
    </xf>
    <xf numFmtId="4" fontId="0" fillId="3" borderId="5" applyNumberFormat="1" applyFont="1" applyFill="1" applyBorder="1" applyAlignment="1" applyProtection="0">
      <alignment vertical="top" wrapText="1"/>
    </xf>
    <xf numFmtId="2" fontId="0" fillId="3" borderId="5" applyNumberFormat="1" applyFont="1" applyFill="1" applyBorder="1" applyAlignment="1" applyProtection="0">
      <alignment vertical="top" wrapText="1"/>
    </xf>
    <xf numFmtId="62" fontId="0" fillId="3" borderId="5" applyNumberFormat="1" applyFont="1" applyFill="1" applyBorder="1" applyAlignment="1" applyProtection="0">
      <alignment vertical="top" wrapText="1"/>
    </xf>
    <xf numFmtId="60" fontId="0" fillId="5" borderId="5" applyNumberFormat="1" applyFont="1" applyFill="1" applyBorder="1" applyAlignment="1" applyProtection="0">
      <alignment vertical="top" wrapText="1"/>
    </xf>
    <xf numFmtId="9" fontId="0" fillId="5" borderId="5" applyNumberFormat="1" applyFont="1" applyFill="1" applyBorder="1" applyAlignment="1" applyProtection="0">
      <alignment vertical="top" wrapText="1"/>
    </xf>
    <xf numFmtId="4" fontId="0" fillId="5" borderId="5" applyNumberFormat="1" applyFont="1" applyFill="1" applyBorder="1" applyAlignment="1" applyProtection="0">
      <alignment vertical="top" wrapText="1"/>
    </xf>
    <xf numFmtId="2" fontId="0" fillId="5" borderId="5" applyNumberFormat="1" applyFont="1" applyFill="1" applyBorder="1" applyAlignment="1" applyProtection="0">
      <alignment vertical="top" wrapText="1"/>
    </xf>
    <xf numFmtId="9" fontId="0" fillId="6" borderId="5" applyNumberFormat="1" applyFont="1" applyFill="1" applyBorder="1" applyAlignment="1" applyProtection="0">
      <alignment vertical="top" wrapText="1"/>
    </xf>
    <xf numFmtId="4" fontId="0" fillId="6" borderId="5" applyNumberFormat="1" applyFont="1" applyFill="1" applyBorder="1" applyAlignment="1" applyProtection="0">
      <alignment vertical="top" wrapText="1"/>
    </xf>
    <xf numFmtId="2" fontId="0" fillId="6" borderId="5" applyNumberFormat="1" applyFont="1" applyFill="1" applyBorder="1" applyAlignment="1" applyProtection="0">
      <alignment vertical="top" wrapText="1"/>
    </xf>
    <xf numFmtId="9" fontId="0" borderId="5" applyNumberFormat="1" applyFont="1" applyFill="0" applyBorder="1" applyAlignment="1" applyProtection="0">
      <alignment vertical="top" wrapText="1"/>
    </xf>
    <xf numFmtId="4" fontId="0" borderId="5" applyNumberFormat="1" applyFont="1" applyFill="0" applyBorder="1" applyAlignment="1" applyProtection="0">
      <alignment vertical="top" wrapText="1"/>
    </xf>
    <xf numFmtId="2" fontId="0" borderId="5" applyNumberFormat="1" applyFont="1" applyFill="0" applyBorder="1" applyAlignment="1" applyProtection="0">
      <alignment vertical="top" wrapText="1"/>
    </xf>
    <xf numFmtId="63" fontId="0" fillId="5" borderId="5" applyNumberFormat="1" applyFont="1" applyFill="1" applyBorder="1" applyAlignment="1" applyProtection="0">
      <alignment vertical="top" wrapText="1"/>
    </xf>
    <xf numFmtId="63" fontId="0" fillId="6" borderId="5" applyNumberFormat="1" applyFont="1" applyFill="1" applyBorder="1" applyAlignment="1" applyProtection="0">
      <alignment vertical="top" wrapText="1"/>
    </xf>
    <xf numFmtId="63" fontId="0" borderId="5" applyNumberFormat="1" applyFont="1" applyFill="0" applyBorder="1" applyAlignment="1" applyProtection="0">
      <alignment vertical="top" wrapText="1"/>
    </xf>
    <xf numFmtId="63" fontId="0" fillId="3" borderId="5" applyNumberFormat="1" applyFont="1" applyFill="1" applyBorder="1" applyAlignment="1" applyProtection="0">
      <alignment vertical="top" wrapText="1"/>
    </xf>
    <xf numFmtId="64" fontId="0" fillId="6" borderId="5" applyNumberFormat="1" applyFont="1" applyFill="1" applyBorder="1" applyAlignment="1" applyProtection="0">
      <alignment vertical="top" wrapText="1"/>
    </xf>
    <xf numFmtId="64" fontId="0" borderId="5" applyNumberFormat="1" applyFont="1" applyFill="0" applyBorder="1" applyAlignment="1" applyProtection="0">
      <alignment vertical="top" wrapText="1"/>
    </xf>
    <xf numFmtId="64" fontId="0" fillId="3" borderId="5" applyNumberFormat="1" applyFont="1" applyFill="1" applyBorder="1" applyAlignment="1" applyProtection="0">
      <alignment vertical="top" wrapText="1"/>
    </xf>
    <xf numFmtId="0" fontId="0" fillId="6" borderId="5" applyNumberFormat="0" applyFont="1" applyFill="1" applyBorder="1" applyAlignment="1" applyProtection="0">
      <alignment vertical="top" wrapText="1"/>
    </xf>
    <xf numFmtId="65" fontId="0" fillId="3" borderId="5" applyNumberFormat="1" applyFont="1" applyFill="1" applyBorder="1" applyAlignment="1" applyProtection="0">
      <alignment vertical="top" wrapText="1"/>
    </xf>
    <xf numFmtId="66" fontId="0" fillId="6" borderId="5" applyNumberFormat="1" applyFont="1" applyFill="1" applyBorder="1" applyAlignment="1" applyProtection="0">
      <alignment vertical="top" wrapText="1"/>
    </xf>
    <xf numFmtId="66" fontId="0" borderId="5" applyNumberFormat="1" applyFont="1" applyFill="0" applyBorder="1" applyAlignment="1" applyProtection="0">
      <alignment vertical="top" wrapText="1"/>
    </xf>
    <xf numFmtId="66" fontId="0" fillId="3" borderId="5" applyNumberFormat="1" applyFont="1" applyFill="1" applyBorder="1" applyAlignment="1" applyProtection="0">
      <alignment vertical="top" wrapText="1"/>
    </xf>
    <xf numFmtId="67" fontId="0" fillId="3" borderId="5" applyNumberFormat="1" applyFont="1" applyFill="1" applyBorder="1" applyAlignment="1" applyProtection="0">
      <alignment vertical="top" wrapText="1"/>
    </xf>
    <xf numFmtId="0" fontId="0" borderId="6" applyNumberFormat="0" applyFont="1" applyFill="0" applyBorder="1" applyAlignment="1" applyProtection="0">
      <alignment vertical="top" wrapText="1"/>
    </xf>
    <xf numFmtId="49" fontId="0" borderId="6" applyNumberFormat="1" applyFont="1" applyFill="0" applyBorder="1" applyAlignment="1" applyProtection="0">
      <alignment vertical="top" wrapText="1"/>
    </xf>
    <xf numFmtId="3" fontId="0" borderId="6" applyNumberFormat="1" applyFont="1" applyFill="0" applyBorder="1" applyAlignment="1" applyProtection="0">
      <alignment vertical="top" wrapText="1"/>
    </xf>
    <xf numFmtId="4" fontId="0" borderId="6" applyNumberFormat="1" applyFont="1" applyFill="0" applyBorder="1" applyAlignment="1" applyProtection="0">
      <alignment vertical="top" wrapText="1"/>
    </xf>
    <xf numFmtId="0" fontId="0" borderId="6" applyNumberFormat="1" applyFont="1" applyFill="0" applyBorder="1" applyAlignment="1" applyProtection="0">
      <alignment vertical="top" wrapText="1"/>
    </xf>
    <xf numFmtId="0" fontId="5" fillId="7" borderId="4" applyNumberFormat="0" applyFont="1" applyFill="1"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efffe"/>
      <rgbColor rgb="ffff2500"/>
      <rgbColor rgb="ffc8c8c8"/>
      <rgbColor rgb="ff89847f"/>
      <rgbColor rgb="fff7f7f6"/>
      <rgbColor rgb="ffff8d77"/>
      <rgbColor rgb="ff6dceb9"/>
      <rgbColor rgb="ff9cd8ef"/>
      <rgbColor rgb="ffecece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vmlDrawing" Target="../drawings/vmlDrawing1.vml"/><Relationship Id="rId3" Type="http://schemas.openxmlformats.org/officeDocument/2006/relationships/comments" Target="../comments1.xml"/></Relationships>

</file>

<file path=xl/worksheets/sheet1.xml><?xml version="1.0" encoding="utf-8"?>
<worksheet xmlns:r="http://schemas.openxmlformats.org/officeDocument/2006/relationships" xmlns="http://schemas.openxmlformats.org/spreadsheetml/2006/main">
  <dimension ref="A1:R97"/>
  <sheetViews>
    <sheetView workbookViewId="0" showGridLines="0" defaultGridColor="1">
      <pane topLeftCell="A2" xSplit="0" ySplit="1" activePane="bottomLeft" state="frozen"/>
    </sheetView>
  </sheetViews>
  <sheetFormatPr defaultColWidth="16.3333" defaultRowHeight="19.9" customHeight="1" outlineLevelRow="0" outlineLevelCol="0"/>
  <cols>
    <col min="1" max="1" width="20.9688" style="1" customWidth="1"/>
    <col min="2" max="2" width="16.3516" style="1" customWidth="1"/>
    <col min="3" max="3" width="51.2422" style="1" customWidth="1"/>
    <col min="4" max="4" width="16.3516" style="1" customWidth="1"/>
    <col min="5" max="5" width="35.7344" style="1" customWidth="1"/>
    <col min="6" max="6" width="18.8516" style="1" customWidth="1"/>
    <col min="7" max="18" width="16.3516" style="1" customWidth="1"/>
    <col min="19" max="16384" width="16.3516" style="1" customWidth="1"/>
  </cols>
  <sheetData>
    <row r="1" ht="46.7" customHeight="1">
      <c r="A1" t="s" s="2">
        <v>0</v>
      </c>
      <c r="B1" t="s" s="3">
        <v>1</v>
      </c>
      <c r="C1" t="s" s="3">
        <v>2</v>
      </c>
      <c r="D1" t="s" s="3">
        <v>3</v>
      </c>
      <c r="E1" t="s" s="3">
        <v>4</v>
      </c>
      <c r="F1" t="s" s="3">
        <v>5</v>
      </c>
      <c r="G1" t="s" s="3">
        <v>6</v>
      </c>
      <c r="H1" t="s" s="3">
        <v>7</v>
      </c>
      <c r="I1" t="s" s="3">
        <v>8</v>
      </c>
      <c r="J1" t="s" s="3">
        <v>9</v>
      </c>
      <c r="K1" t="s" s="3">
        <v>10</v>
      </c>
      <c r="L1" t="s" s="3">
        <v>11</v>
      </c>
      <c r="M1" t="s" s="3">
        <v>12</v>
      </c>
      <c r="N1" t="s" s="3">
        <v>13</v>
      </c>
      <c r="O1" t="s" s="3">
        <v>14</v>
      </c>
      <c r="P1" t="s" s="3">
        <v>15</v>
      </c>
      <c r="Q1" t="s" s="3">
        <v>16</v>
      </c>
      <c r="R1" t="s" s="4">
        <v>17</v>
      </c>
    </row>
    <row r="2" ht="32.45" customHeight="1">
      <c r="A2" s="5"/>
      <c r="B2" s="6">
        <v>1</v>
      </c>
      <c r="C2" t="s" s="7">
        <v>18</v>
      </c>
      <c r="D2" s="5"/>
      <c r="E2" s="6">
        <v>0</v>
      </c>
      <c r="F2" s="5"/>
      <c r="G2" s="5"/>
      <c r="H2" s="5"/>
      <c r="I2" s="5"/>
      <c r="J2" s="5"/>
      <c r="K2" s="5"/>
      <c r="L2" s="5"/>
      <c r="M2" s="5"/>
      <c r="N2" s="5"/>
      <c r="O2" s="5"/>
      <c r="P2" s="5"/>
      <c r="Q2" s="5"/>
      <c r="R2" s="5"/>
    </row>
    <row r="3" ht="32.2" customHeight="1">
      <c r="A3" s="8"/>
      <c r="B3" t="s" s="9">
        <v>19</v>
      </c>
      <c r="C3" t="s" s="10">
        <v>20</v>
      </c>
      <c r="D3" s="8"/>
      <c r="E3" s="11">
        <v>0</v>
      </c>
      <c r="F3" s="8"/>
      <c r="G3" s="12"/>
      <c r="H3" s="12"/>
      <c r="I3" s="12"/>
      <c r="J3" s="12"/>
      <c r="K3" s="12"/>
      <c r="L3" s="12"/>
      <c r="M3" s="12"/>
      <c r="N3" s="12"/>
      <c r="O3" s="12"/>
      <c r="P3" s="12"/>
      <c r="Q3" s="8"/>
      <c r="R3" s="8"/>
    </row>
    <row r="4" ht="32.2" customHeight="1">
      <c r="A4" s="13"/>
      <c r="B4" t="s" s="14">
        <v>21</v>
      </c>
      <c r="C4" t="s" s="15">
        <v>22</v>
      </c>
      <c r="D4" s="13"/>
      <c r="E4" s="16">
        <v>0</v>
      </c>
      <c r="F4" s="13"/>
      <c r="G4" s="17">
        <f>_xlfn.IFERROR(G5+G13+G18+G20+G26+G29+G33,"")</f>
        <v>240</v>
      </c>
      <c r="H4" s="18">
        <f>_xlfn.IFERROR(H5+H13+H18+H20+H26+H29+H33,"")</f>
        <v>15264117328</v>
      </c>
      <c r="I4" s="19">
        <f>_xlfn.IFERROR(I5+I13+I18+I20+I26+I29+I33,"")</f>
        <v>300</v>
      </c>
      <c r="J4" s="18">
        <f>_xlfn.IFERROR(J5+J13+J18+J20+J26+J29+J33,"")</f>
        <v>17553722000</v>
      </c>
      <c r="K4" s="19">
        <f>_xlfn.IFERROR(K5+K13+K18+K20+K26+K29+K33,"")</f>
        <v>300</v>
      </c>
      <c r="L4" s="18">
        <f>_xlfn.IFERROR(L5+L13+L18+L20+L26+L29+L33,"")</f>
        <v>20186771000</v>
      </c>
      <c r="M4" s="19">
        <f>_xlfn.IFERROR(M5+M13+M18+M20+M26+M29+M33,"")</f>
        <v>300</v>
      </c>
      <c r="N4" s="17">
        <f>_xlfn.IFERROR(N5+N13+N18+N20+N26+N29+N33,"")</f>
        <v>23214773000</v>
      </c>
      <c r="O4" s="19">
        <f>_xlfn.IFERROR(O5+O13+O18+O20+O26+O29+O33,"")</f>
        <v>300</v>
      </c>
      <c r="P4" s="17">
        <f>_xlfn.IFERROR(P5+P13+P18+P20+P26+P29+P33,"")</f>
        <v>26696978000</v>
      </c>
      <c r="Q4" s="13"/>
      <c r="R4" s="13"/>
    </row>
    <row r="5" ht="32.2" customHeight="1">
      <c r="A5" s="8"/>
      <c r="B5" t="s" s="9">
        <v>23</v>
      </c>
      <c r="C5" t="s" s="20">
        <v>24</v>
      </c>
      <c r="D5" s="8"/>
      <c r="E5" s="11">
        <v>0</v>
      </c>
      <c r="F5" s="8"/>
      <c r="G5" s="21">
        <f>_xlfn.IFERROR(SUM(G6:G12),"")</f>
        <v>84</v>
      </c>
      <c r="H5" s="22">
        <f>_xlfn.IFERROR(SUM(H6:H12),"")</f>
        <v>173889403</v>
      </c>
      <c r="I5" s="21">
        <f>_xlfn.IFERROR(SUM(I6:I12),"")</f>
        <v>84</v>
      </c>
      <c r="J5" s="22">
        <f>_xlfn.IFERROR(SUM(J6:J12),"")</f>
        <v>199968000</v>
      </c>
      <c r="K5" s="21">
        <f>_xlfn.IFERROR(SUM(K6:K12),"")</f>
        <v>84</v>
      </c>
      <c r="L5" s="22">
        <f>_xlfn.IFERROR(SUM(L6:L12),"")</f>
        <v>229961000</v>
      </c>
      <c r="M5" s="21">
        <f>_xlfn.IFERROR(SUM(M6:M12),"")</f>
        <v>84</v>
      </c>
      <c r="N5" s="23">
        <f>_xlfn.IFERROR(SUM(N6:N12),"")</f>
        <v>264452000</v>
      </c>
      <c r="O5" s="21">
        <f>_xlfn.IFERROR(SUM(O6:O12),"")</f>
        <v>84</v>
      </c>
      <c r="P5" s="23">
        <f>_xlfn.IFERROR(SUM(P6:P12),"")</f>
        <v>304116000</v>
      </c>
      <c r="Q5" s="8"/>
      <c r="R5" s="8"/>
    </row>
    <row r="6" ht="32.2" customHeight="1">
      <c r="A6" s="13"/>
      <c r="B6" t="s" s="14">
        <v>25</v>
      </c>
      <c r="C6" t="s" s="14">
        <v>26</v>
      </c>
      <c r="D6" t="s" s="14">
        <v>27</v>
      </c>
      <c r="E6" t="s" s="14">
        <v>28</v>
      </c>
      <c r="F6" s="13"/>
      <c r="G6" s="24">
        <v>12</v>
      </c>
      <c r="H6" s="25">
        <v>13670350</v>
      </c>
      <c r="I6" s="24">
        <v>12</v>
      </c>
      <c r="J6" s="25">
        <f>ROUNDDOWN(H6*1.15,-3)</f>
        <v>15720000</v>
      </c>
      <c r="K6" s="24">
        <v>12</v>
      </c>
      <c r="L6" s="25">
        <f>ROUNDDOWN(J6*1.15,-3)</f>
        <v>18078000</v>
      </c>
      <c r="M6" s="24">
        <v>12</v>
      </c>
      <c r="N6" s="16">
        <f>ROUNDDOWN(L6*1.15,-3)</f>
        <v>20789000</v>
      </c>
      <c r="O6" s="24">
        <v>12</v>
      </c>
      <c r="P6" s="16">
        <f>ROUNDDOWN(N6*1.15,-3)</f>
        <v>23907000</v>
      </c>
      <c r="Q6" s="13"/>
      <c r="R6" s="13"/>
    </row>
    <row r="7" ht="44.2" customHeight="1">
      <c r="A7" s="8"/>
      <c r="B7" t="s" s="9">
        <v>29</v>
      </c>
      <c r="C7" t="s" s="9">
        <v>30</v>
      </c>
      <c r="D7" t="s" s="9">
        <v>27</v>
      </c>
      <c r="E7" t="s" s="9">
        <v>31</v>
      </c>
      <c r="F7" s="8"/>
      <c r="G7" s="26">
        <v>12</v>
      </c>
      <c r="H7" s="27">
        <v>1463575</v>
      </c>
      <c r="I7" s="26">
        <v>12</v>
      </c>
      <c r="J7" s="27">
        <f>ROUNDDOWN(H7*1.15,-3)</f>
        <v>1683000</v>
      </c>
      <c r="K7" s="26">
        <v>12</v>
      </c>
      <c r="L7" s="27">
        <f>ROUNDDOWN(J7*1.15,-3)</f>
        <v>1935000</v>
      </c>
      <c r="M7" s="26">
        <v>12</v>
      </c>
      <c r="N7" s="11">
        <f>ROUNDDOWN(L7*1.15,-3)</f>
        <v>2225000</v>
      </c>
      <c r="O7" s="26">
        <v>12</v>
      </c>
      <c r="P7" s="11">
        <f>ROUNDDOWN(N7*1.15,-3)</f>
        <v>2558000</v>
      </c>
      <c r="Q7" s="8"/>
      <c r="R7" s="8"/>
    </row>
    <row r="8" ht="44.2" customHeight="1">
      <c r="A8" s="13"/>
      <c r="B8" t="s" s="14">
        <v>32</v>
      </c>
      <c r="C8" t="s" s="14">
        <v>33</v>
      </c>
      <c r="D8" t="s" s="14">
        <v>27</v>
      </c>
      <c r="E8" t="s" s="14">
        <v>34</v>
      </c>
      <c r="F8" s="13"/>
      <c r="G8" s="24">
        <v>12</v>
      </c>
      <c r="H8" s="25">
        <v>1393000</v>
      </c>
      <c r="I8" s="24">
        <v>12</v>
      </c>
      <c r="J8" s="25">
        <f>ROUNDDOWN(H8*1.15,-3)</f>
        <v>1601000</v>
      </c>
      <c r="K8" s="24">
        <v>12</v>
      </c>
      <c r="L8" s="25">
        <f>ROUNDDOWN(J8*1.15,-3)</f>
        <v>1841000</v>
      </c>
      <c r="M8" s="24">
        <v>12</v>
      </c>
      <c r="N8" s="16">
        <f>ROUNDDOWN(L8*1.15,-3)</f>
        <v>2117000</v>
      </c>
      <c r="O8" s="24">
        <v>12</v>
      </c>
      <c r="P8" s="16">
        <f>ROUNDDOWN(N8*1.15,-3)</f>
        <v>2434000</v>
      </c>
      <c r="Q8" s="13"/>
      <c r="R8" s="13"/>
    </row>
    <row r="9" ht="44.2" customHeight="1">
      <c r="A9" s="8"/>
      <c r="B9" t="s" s="9">
        <v>35</v>
      </c>
      <c r="C9" t="s" s="9">
        <v>36</v>
      </c>
      <c r="D9" t="s" s="9">
        <v>27</v>
      </c>
      <c r="E9" t="s" s="9">
        <v>37</v>
      </c>
      <c r="F9" s="8"/>
      <c r="G9" s="26">
        <v>12</v>
      </c>
      <c r="H9" s="27">
        <v>1393000</v>
      </c>
      <c r="I9" s="26">
        <v>12</v>
      </c>
      <c r="J9" s="27">
        <f>ROUNDDOWN(H9*1.15,-3)</f>
        <v>1601000</v>
      </c>
      <c r="K9" s="26">
        <v>12</v>
      </c>
      <c r="L9" s="27">
        <f>ROUNDDOWN(J9*1.15,-3)</f>
        <v>1841000</v>
      </c>
      <c r="M9" s="26">
        <v>12</v>
      </c>
      <c r="N9" s="11">
        <f>ROUNDDOWN(L9*1.15,-3)</f>
        <v>2117000</v>
      </c>
      <c r="O9" s="26">
        <v>12</v>
      </c>
      <c r="P9" s="11">
        <f>ROUNDDOWN(N9*1.15,-3)</f>
        <v>2434000</v>
      </c>
      <c r="Q9" s="8"/>
      <c r="R9" s="8"/>
    </row>
    <row r="10" ht="44.2" customHeight="1">
      <c r="A10" s="13"/>
      <c r="B10" t="s" s="14">
        <v>38</v>
      </c>
      <c r="C10" t="s" s="14">
        <v>39</v>
      </c>
      <c r="D10" t="s" s="14">
        <v>27</v>
      </c>
      <c r="E10" t="s" s="14">
        <v>40</v>
      </c>
      <c r="F10" s="13"/>
      <c r="G10" s="24">
        <v>12</v>
      </c>
      <c r="H10" s="25">
        <v>1393000</v>
      </c>
      <c r="I10" s="24">
        <v>12</v>
      </c>
      <c r="J10" s="25">
        <f>ROUNDDOWN(H10*1.15,-3)</f>
        <v>1601000</v>
      </c>
      <c r="K10" s="24">
        <v>12</v>
      </c>
      <c r="L10" s="25">
        <f>ROUNDDOWN(J10*1.15,-3)</f>
        <v>1841000</v>
      </c>
      <c r="M10" s="24">
        <v>12</v>
      </c>
      <c r="N10" s="16">
        <f>ROUNDDOWN(L10*1.15,-3)</f>
        <v>2117000</v>
      </c>
      <c r="O10" s="24">
        <v>12</v>
      </c>
      <c r="P10" s="16">
        <f>ROUNDDOWN(N10*1.15,-3)</f>
        <v>2434000</v>
      </c>
      <c r="Q10" s="13"/>
      <c r="R10" s="13"/>
    </row>
    <row r="11" ht="56.2" customHeight="1">
      <c r="A11" s="8"/>
      <c r="B11" t="s" s="9">
        <v>41</v>
      </c>
      <c r="C11" t="s" s="9">
        <v>42</v>
      </c>
      <c r="D11" t="s" s="9">
        <v>43</v>
      </c>
      <c r="E11" t="s" s="9">
        <v>44</v>
      </c>
      <c r="F11" s="8"/>
      <c r="G11" s="26">
        <v>12</v>
      </c>
      <c r="H11" s="27">
        <v>4576550</v>
      </c>
      <c r="I11" s="26">
        <v>12</v>
      </c>
      <c r="J11" s="27">
        <f>ROUNDDOWN(H11*1.15,-3)</f>
        <v>5263000</v>
      </c>
      <c r="K11" s="26">
        <v>12</v>
      </c>
      <c r="L11" s="27">
        <f>ROUNDDOWN(J11*1.15,-3)</f>
        <v>6052000</v>
      </c>
      <c r="M11" s="26">
        <v>12</v>
      </c>
      <c r="N11" s="11">
        <f>ROUNDDOWN(L11*1.15,-3)</f>
        <v>6959000</v>
      </c>
      <c r="O11" s="26">
        <v>12</v>
      </c>
      <c r="P11" s="11">
        <f>ROUNDDOWN(N11*1.15,-3)</f>
        <v>8002000</v>
      </c>
      <c r="Q11" s="8"/>
      <c r="R11" s="8"/>
    </row>
    <row r="12" ht="32.2" customHeight="1">
      <c r="A12" s="13"/>
      <c r="B12" t="s" s="14">
        <v>45</v>
      </c>
      <c r="C12" t="s" s="14">
        <v>46</v>
      </c>
      <c r="D12" t="s" s="14">
        <v>43</v>
      </c>
      <c r="E12" t="s" s="14">
        <v>47</v>
      </c>
      <c r="F12" s="13"/>
      <c r="G12" s="24">
        <v>12</v>
      </c>
      <c r="H12" s="25">
        <v>149999928</v>
      </c>
      <c r="I12" s="24">
        <v>12</v>
      </c>
      <c r="J12" s="25">
        <f>ROUNDDOWN(H12*1.15,-3)</f>
        <v>172499000</v>
      </c>
      <c r="K12" s="24">
        <v>12</v>
      </c>
      <c r="L12" s="25">
        <f>ROUNDDOWN(J12*1.15,-3)</f>
        <v>198373000</v>
      </c>
      <c r="M12" s="24">
        <v>12</v>
      </c>
      <c r="N12" s="16">
        <f>ROUNDDOWN(L12*1.15,-3)</f>
        <v>228128000</v>
      </c>
      <c r="O12" s="24">
        <v>12</v>
      </c>
      <c r="P12" s="16">
        <f>ROUNDDOWN(N12*1.15,-3)</f>
        <v>262347000</v>
      </c>
      <c r="Q12" s="13"/>
      <c r="R12" s="13"/>
    </row>
    <row r="13" ht="20.2" customHeight="1">
      <c r="A13" s="8"/>
      <c r="B13" t="s" s="9">
        <v>48</v>
      </c>
      <c r="C13" t="s" s="20">
        <v>49</v>
      </c>
      <c r="D13" s="11">
        <v>0</v>
      </c>
      <c r="E13" s="11">
        <v>0</v>
      </c>
      <c r="F13" s="8"/>
      <c r="G13" s="21">
        <f>_xlfn.IFERROR(SUM(G14:G17),"")</f>
        <v>48</v>
      </c>
      <c r="H13" s="22">
        <f>_xlfn.IFERROR(SUM(H14:H17),"")</f>
        <v>4339168654</v>
      </c>
      <c r="I13" s="21">
        <f>_xlfn.IFERROR(SUM(I14:I17),"")</f>
        <v>48</v>
      </c>
      <c r="J13" s="22">
        <f>_xlfn.IFERROR(SUM(J14:J17),"")</f>
        <v>4990043000</v>
      </c>
      <c r="K13" s="21">
        <f>_xlfn.IFERROR(SUM(K14:K17),"")</f>
        <v>48</v>
      </c>
      <c r="L13" s="22">
        <f>_xlfn.IFERROR(SUM(L14:L17),"")</f>
        <v>5738549000</v>
      </c>
      <c r="M13" s="21">
        <f>_xlfn.IFERROR(SUM(M14:M17),"")</f>
        <v>48</v>
      </c>
      <c r="N13" s="23">
        <f>_xlfn.IFERROR(SUM(N14:N17),"")</f>
        <v>6599328000</v>
      </c>
      <c r="O13" s="21">
        <f>_xlfn.IFERROR(SUM(O14:O17),"")</f>
        <v>48</v>
      </c>
      <c r="P13" s="23">
        <f>_xlfn.IFERROR(SUM(P14:P17),"")</f>
        <v>7589226000</v>
      </c>
      <c r="Q13" s="8"/>
      <c r="R13" s="8"/>
    </row>
    <row r="14" ht="32.2" customHeight="1">
      <c r="A14" s="13"/>
      <c r="B14" t="s" s="14">
        <v>50</v>
      </c>
      <c r="C14" t="s" s="14">
        <v>51</v>
      </c>
      <c r="D14" t="s" s="14">
        <v>52</v>
      </c>
      <c r="E14" t="s" s="14">
        <v>53</v>
      </c>
      <c r="F14" s="13"/>
      <c r="G14" s="24">
        <v>12</v>
      </c>
      <c r="H14" s="25">
        <v>4262180204</v>
      </c>
      <c r="I14" s="24">
        <v>12</v>
      </c>
      <c r="J14" s="25">
        <f>ROUNDDOWN(H14*1.15,-3)</f>
        <v>4901507000</v>
      </c>
      <c r="K14" s="24">
        <v>12</v>
      </c>
      <c r="L14" s="25">
        <f>ROUNDDOWN(J14*1.15,-3)</f>
        <v>5636733000</v>
      </c>
      <c r="M14" s="24">
        <v>12</v>
      </c>
      <c r="N14" s="16">
        <f>ROUNDDOWN(L14*1.15,-3)</f>
        <v>6482242000</v>
      </c>
      <c r="O14" s="24">
        <v>12</v>
      </c>
      <c r="P14" s="16">
        <f>ROUNDDOWN(N14*1.15,-3)</f>
        <v>7454578000</v>
      </c>
      <c r="Q14" s="13"/>
      <c r="R14" s="13"/>
    </row>
    <row r="15" ht="32.2" customHeight="1">
      <c r="A15" s="8"/>
      <c r="B15" t="s" s="9">
        <v>54</v>
      </c>
      <c r="C15" t="s" s="9">
        <v>55</v>
      </c>
      <c r="D15" t="s" s="9">
        <v>27</v>
      </c>
      <c r="E15" t="s" s="9">
        <v>56</v>
      </c>
      <c r="F15" s="8"/>
      <c r="G15" s="26">
        <v>12</v>
      </c>
      <c r="H15" s="27">
        <v>67885750</v>
      </c>
      <c r="I15" s="26">
        <v>12</v>
      </c>
      <c r="J15" s="27">
        <f>ROUNDDOWN(H15*1.15,-3)</f>
        <v>78068000</v>
      </c>
      <c r="K15" s="26">
        <v>12</v>
      </c>
      <c r="L15" s="27">
        <f>ROUNDDOWN(J15*1.15,-3)</f>
        <v>89778000</v>
      </c>
      <c r="M15" s="26">
        <v>12</v>
      </c>
      <c r="N15" s="11">
        <f>ROUNDDOWN(L15*1.15,-3)</f>
        <v>103244000</v>
      </c>
      <c r="O15" s="26">
        <v>12</v>
      </c>
      <c r="P15" s="11">
        <f>ROUNDDOWN(N15*1.15,-3)</f>
        <v>118730000</v>
      </c>
      <c r="Q15" s="8"/>
      <c r="R15" s="8"/>
    </row>
    <row r="16" ht="44.2" customHeight="1">
      <c r="A16" s="13"/>
      <c r="B16" t="s" s="14">
        <v>57</v>
      </c>
      <c r="C16" t="s" s="14">
        <v>58</v>
      </c>
      <c r="D16" t="s" s="14">
        <v>43</v>
      </c>
      <c r="E16" t="s" s="14">
        <v>59</v>
      </c>
      <c r="F16" s="13"/>
      <c r="G16" s="24">
        <v>12</v>
      </c>
      <c r="H16" s="25">
        <v>4551350</v>
      </c>
      <c r="I16" s="24">
        <v>12</v>
      </c>
      <c r="J16" s="25">
        <f>ROUNDDOWN(H16*1.15,-3)</f>
        <v>5234000</v>
      </c>
      <c r="K16" s="24">
        <v>12</v>
      </c>
      <c r="L16" s="25">
        <f>ROUNDDOWN(J16*1.15,-3)</f>
        <v>6019000</v>
      </c>
      <c r="M16" s="24">
        <v>12</v>
      </c>
      <c r="N16" s="16">
        <f>ROUNDDOWN(L16*1.15,-3)</f>
        <v>6921000</v>
      </c>
      <c r="O16" s="24">
        <v>12</v>
      </c>
      <c r="P16" s="16">
        <f>ROUNDDOWN(N16*1.15,-3)</f>
        <v>7959000</v>
      </c>
      <c r="Q16" s="13"/>
      <c r="R16" s="13"/>
    </row>
    <row r="17" ht="56.2" customHeight="1">
      <c r="A17" s="8"/>
      <c r="B17" t="s" s="9">
        <v>60</v>
      </c>
      <c r="C17" t="s" s="9">
        <v>61</v>
      </c>
      <c r="D17" t="s" s="9">
        <v>43</v>
      </c>
      <c r="E17" t="s" s="9">
        <v>62</v>
      </c>
      <c r="F17" s="8"/>
      <c r="G17" s="26">
        <v>12</v>
      </c>
      <c r="H17" s="27">
        <v>4551350</v>
      </c>
      <c r="I17" s="26">
        <v>12</v>
      </c>
      <c r="J17" s="27">
        <f>ROUNDDOWN(H17*1.15,-3)</f>
        <v>5234000</v>
      </c>
      <c r="K17" s="26">
        <v>12</v>
      </c>
      <c r="L17" s="27">
        <f>ROUNDDOWN(J17*1.15,-3)</f>
        <v>6019000</v>
      </c>
      <c r="M17" s="26">
        <v>12</v>
      </c>
      <c r="N17" s="11">
        <f>ROUNDDOWN(L17*1.15,-3)</f>
        <v>6921000</v>
      </c>
      <c r="O17" s="26">
        <v>12</v>
      </c>
      <c r="P17" s="11">
        <f>ROUNDDOWN(N17*1.15,-3)</f>
        <v>7959000</v>
      </c>
      <c r="Q17" s="8"/>
      <c r="R17" s="8"/>
    </row>
    <row r="18" ht="20.2" customHeight="1">
      <c r="A18" s="13"/>
      <c r="B18" t="s" s="14">
        <v>63</v>
      </c>
      <c r="C18" t="s" s="20">
        <v>64</v>
      </c>
      <c r="D18" s="16">
        <v>0</v>
      </c>
      <c r="E18" s="16">
        <v>0</v>
      </c>
      <c r="F18" s="13"/>
      <c r="G18" s="21">
        <f>_xlfn.IFERROR(SUM(G19),"")</f>
        <v>12</v>
      </c>
      <c r="H18" s="22">
        <f>_xlfn.IFERROR(SUM(H19),"")</f>
        <v>16285750</v>
      </c>
      <c r="I18" s="21">
        <f>_xlfn.IFERROR(SUM(I19),"")</f>
        <v>12</v>
      </c>
      <c r="J18" s="22">
        <f>_xlfn.IFERROR(SUM(J19),"")</f>
        <v>18728000</v>
      </c>
      <c r="K18" s="21">
        <f>_xlfn.IFERROR(SUM(K19),"")</f>
        <v>12</v>
      </c>
      <c r="L18" s="22">
        <f>_xlfn.IFERROR(SUM(L19),"")</f>
        <v>21537000</v>
      </c>
      <c r="M18" s="21">
        <f>_xlfn.IFERROR(SUM(M19),"")</f>
        <v>12</v>
      </c>
      <c r="N18" s="23">
        <f>_xlfn.IFERROR(SUM(N19),"")</f>
        <v>24767000</v>
      </c>
      <c r="O18" s="21">
        <f>_xlfn.IFERROR(SUM(O19),"")</f>
        <v>12</v>
      </c>
      <c r="P18" s="23">
        <f>_xlfn.IFERROR(SUM(P19),"")</f>
        <v>28482000</v>
      </c>
      <c r="Q18" s="13"/>
      <c r="R18" s="13"/>
    </row>
    <row r="19" ht="32.2" customHeight="1">
      <c r="A19" s="8"/>
      <c r="B19" t="s" s="9">
        <v>65</v>
      </c>
      <c r="C19" t="s" s="9">
        <v>66</v>
      </c>
      <c r="D19" t="s" s="9">
        <v>43</v>
      </c>
      <c r="E19" t="s" s="9">
        <v>67</v>
      </c>
      <c r="F19" s="8"/>
      <c r="G19" s="26">
        <v>12</v>
      </c>
      <c r="H19" s="27">
        <v>16285750</v>
      </c>
      <c r="I19" s="26">
        <v>12</v>
      </c>
      <c r="J19" s="27">
        <f>ROUNDDOWN(H19*1.15,-3)</f>
        <v>18728000</v>
      </c>
      <c r="K19" s="26">
        <v>12</v>
      </c>
      <c r="L19" s="27">
        <f>ROUNDDOWN(J19*1.15,-3)</f>
        <v>21537000</v>
      </c>
      <c r="M19" s="26">
        <v>12</v>
      </c>
      <c r="N19" s="11">
        <f>ROUNDDOWN(L19*1.15,-3)</f>
        <v>24767000</v>
      </c>
      <c r="O19" s="26">
        <v>12</v>
      </c>
      <c r="P19" s="11">
        <f>ROUNDDOWN(N19*1.15,-3)</f>
        <v>28482000</v>
      </c>
      <c r="Q19" s="8"/>
      <c r="R19" s="8"/>
    </row>
    <row r="20" ht="20.2" customHeight="1">
      <c r="A20" s="13"/>
      <c r="B20" t="s" s="14">
        <v>68</v>
      </c>
      <c r="C20" t="s" s="20">
        <v>69</v>
      </c>
      <c r="D20" s="16">
        <v>0</v>
      </c>
      <c r="E20" s="16">
        <v>0</v>
      </c>
      <c r="F20" s="13"/>
      <c r="G20" s="21">
        <f>_xlfn.IFERROR(SUM(G21:G25),"")</f>
        <v>60</v>
      </c>
      <c r="H20" s="22">
        <f>_xlfn.IFERROR(SUM(H21:H25),"")</f>
        <v>705414950</v>
      </c>
      <c r="I20" s="21">
        <f>_xlfn.IFERROR(SUM(I21:I25),"")</f>
        <v>60</v>
      </c>
      <c r="J20" s="22">
        <f>_xlfn.IFERROR(SUM(J21:J25),"")</f>
        <v>811226000</v>
      </c>
      <c r="K20" s="21">
        <f>_xlfn.IFERROR(SUM(K21:K25),"")</f>
        <v>60</v>
      </c>
      <c r="L20" s="22">
        <f>_xlfn.IFERROR(SUM(L21:L25),"")</f>
        <v>932908000</v>
      </c>
      <c r="M20" s="21">
        <f>_xlfn.IFERROR(SUM(M21:M25),"")</f>
        <v>60</v>
      </c>
      <c r="N20" s="23">
        <f>_xlfn.IFERROR(SUM(N21:N25),"")</f>
        <v>1072842000</v>
      </c>
      <c r="O20" s="21">
        <f>_xlfn.IFERROR(SUM(O21:O25),"")</f>
        <v>60</v>
      </c>
      <c r="P20" s="23">
        <f>_xlfn.IFERROR(SUM(P21:P25),"")</f>
        <v>1233767000</v>
      </c>
      <c r="Q20" s="13"/>
      <c r="R20" s="13"/>
    </row>
    <row r="21" ht="44.2" customHeight="1">
      <c r="A21" s="8"/>
      <c r="B21" t="s" s="9">
        <v>70</v>
      </c>
      <c r="C21" t="s" s="9">
        <v>71</v>
      </c>
      <c r="D21" t="s" s="9">
        <v>72</v>
      </c>
      <c r="E21" t="s" s="9">
        <v>73</v>
      </c>
      <c r="F21" s="8"/>
      <c r="G21" s="26">
        <v>12</v>
      </c>
      <c r="H21" s="27">
        <v>4522950</v>
      </c>
      <c r="I21" s="26">
        <v>12</v>
      </c>
      <c r="J21" s="27">
        <f>ROUNDDOWN(H21*1.15,-3)</f>
        <v>5201000</v>
      </c>
      <c r="K21" s="26">
        <v>12</v>
      </c>
      <c r="L21" s="27">
        <f>ROUNDDOWN(J21*1.15,-3)</f>
        <v>5981000</v>
      </c>
      <c r="M21" s="26">
        <v>12</v>
      </c>
      <c r="N21" s="11">
        <f>ROUNDDOWN(L21*1.15,-3)</f>
        <v>6878000</v>
      </c>
      <c r="O21" s="26">
        <v>12</v>
      </c>
      <c r="P21" s="11">
        <f>ROUNDDOWN(N21*1.15,-3)</f>
        <v>7909000</v>
      </c>
      <c r="Q21" s="8"/>
      <c r="R21" s="8"/>
    </row>
    <row r="22" ht="32.2" customHeight="1">
      <c r="A22" s="13"/>
      <c r="B22" t="s" s="14">
        <v>74</v>
      </c>
      <c r="C22" t="s" s="14">
        <v>75</v>
      </c>
      <c r="D22" t="s" s="14">
        <v>72</v>
      </c>
      <c r="E22" t="s" s="14">
        <v>76</v>
      </c>
      <c r="F22" s="13"/>
      <c r="G22" s="24">
        <v>12</v>
      </c>
      <c r="H22" s="25">
        <v>237217000</v>
      </c>
      <c r="I22" s="24">
        <v>12</v>
      </c>
      <c r="J22" s="25">
        <f>ROUNDDOWN(H22*1.15,-3)</f>
        <v>272799000</v>
      </c>
      <c r="K22" s="24">
        <v>12</v>
      </c>
      <c r="L22" s="25">
        <f>ROUNDDOWN(J22*1.15,-3)</f>
        <v>313718000</v>
      </c>
      <c r="M22" s="24">
        <v>12</v>
      </c>
      <c r="N22" s="16">
        <f>ROUNDDOWN(L22*1.15,-3)</f>
        <v>360775000</v>
      </c>
      <c r="O22" s="24">
        <v>12</v>
      </c>
      <c r="P22" s="16">
        <f>ROUNDDOWN(N22*1.15,-3)</f>
        <v>414891000</v>
      </c>
      <c r="Q22" s="13"/>
      <c r="R22" s="13"/>
    </row>
    <row r="23" ht="44.2" customHeight="1">
      <c r="A23" s="8"/>
      <c r="B23" t="s" s="9">
        <v>77</v>
      </c>
      <c r="C23" t="s" s="9">
        <v>78</v>
      </c>
      <c r="D23" t="s" s="9">
        <v>27</v>
      </c>
      <c r="E23" t="s" s="9">
        <v>79</v>
      </c>
      <c r="F23" s="8"/>
      <c r="G23" s="26">
        <v>12</v>
      </c>
      <c r="H23" s="27">
        <v>49320000</v>
      </c>
      <c r="I23" s="26">
        <v>12</v>
      </c>
      <c r="J23" s="27">
        <f>ROUNDDOWN(H23*1.15,-3)</f>
        <v>56718000</v>
      </c>
      <c r="K23" s="26">
        <v>12</v>
      </c>
      <c r="L23" s="27">
        <f>ROUNDDOWN(J23*1.15,-3)</f>
        <v>65225000</v>
      </c>
      <c r="M23" s="26">
        <v>12</v>
      </c>
      <c r="N23" s="11">
        <f>ROUNDDOWN(L23*1.15,-3)</f>
        <v>75008000</v>
      </c>
      <c r="O23" s="26">
        <v>12</v>
      </c>
      <c r="P23" s="11">
        <f>ROUNDDOWN(N23*1.15,-3)</f>
        <v>86259000</v>
      </c>
      <c r="Q23" s="8"/>
      <c r="R23" s="8"/>
    </row>
    <row r="24" ht="20.2" customHeight="1">
      <c r="A24" s="13"/>
      <c r="B24" t="s" s="14">
        <v>80</v>
      </c>
      <c r="C24" t="s" s="14">
        <v>81</v>
      </c>
      <c r="D24" t="s" s="14">
        <v>43</v>
      </c>
      <c r="E24" t="s" s="14">
        <v>82</v>
      </c>
      <c r="F24" s="13"/>
      <c r="G24" s="24">
        <v>12</v>
      </c>
      <c r="H24" s="25">
        <v>14400000</v>
      </c>
      <c r="I24" s="24">
        <v>12</v>
      </c>
      <c r="J24" s="25">
        <f>ROUNDDOWN(H24*1.15,-3)</f>
        <v>16560000</v>
      </c>
      <c r="K24" s="24">
        <v>12</v>
      </c>
      <c r="L24" s="25">
        <f>ROUNDDOWN(J24*1.15,-3)</f>
        <v>19044000</v>
      </c>
      <c r="M24" s="24">
        <v>12</v>
      </c>
      <c r="N24" s="16">
        <f>ROUNDDOWN(L24*1.15,-3)</f>
        <v>21900000</v>
      </c>
      <c r="O24" s="24">
        <v>12</v>
      </c>
      <c r="P24" s="16">
        <f>ROUNDDOWN(N24*1.15,-3)</f>
        <v>25185000</v>
      </c>
      <c r="Q24" s="13"/>
      <c r="R24" s="13"/>
    </row>
    <row r="25" ht="32.2" customHeight="1">
      <c r="A25" s="8"/>
      <c r="B25" t="s" s="9">
        <v>83</v>
      </c>
      <c r="C25" t="s" s="9">
        <v>84</v>
      </c>
      <c r="D25" t="s" s="9">
        <v>43</v>
      </c>
      <c r="E25" t="s" s="9">
        <v>85</v>
      </c>
      <c r="F25" s="8"/>
      <c r="G25" s="26">
        <v>12</v>
      </c>
      <c r="H25" s="27">
        <v>399955000</v>
      </c>
      <c r="I25" s="26">
        <v>12</v>
      </c>
      <c r="J25" s="27">
        <f>ROUNDDOWN(H25*1.15,-3)</f>
        <v>459948000</v>
      </c>
      <c r="K25" s="26">
        <v>12</v>
      </c>
      <c r="L25" s="27">
        <f>ROUNDDOWN(J25*1.15,-3)</f>
        <v>528940000</v>
      </c>
      <c r="M25" s="26">
        <v>12</v>
      </c>
      <c r="N25" s="11">
        <f>ROUNDDOWN(L25*1.15,-3)</f>
        <v>608281000</v>
      </c>
      <c r="O25" s="26">
        <v>12</v>
      </c>
      <c r="P25" s="11">
        <f>ROUNDDOWN(N25*1.15,-3)</f>
        <v>699523000</v>
      </c>
      <c r="Q25" s="8"/>
      <c r="R25" s="8"/>
    </row>
    <row r="26" ht="32.2" customHeight="1">
      <c r="A26" s="13"/>
      <c r="B26" t="s" s="14">
        <v>86</v>
      </c>
      <c r="C26" t="s" s="20">
        <v>87</v>
      </c>
      <c r="D26" s="16">
        <v>0</v>
      </c>
      <c r="E26" s="16">
        <v>0</v>
      </c>
      <c r="F26" s="13"/>
      <c r="G26" s="23">
        <f>_xlfn.IFERROR(SUM(G27:G28),"")</f>
        <v>0</v>
      </c>
      <c r="H26" s="22">
        <f>_xlfn.IFERROR(SUM(H27:H28),"")</f>
        <v>3338405965</v>
      </c>
      <c r="I26" s="21">
        <f>_xlfn.IFERROR(SUM(I27:I28),"")</f>
        <v>0</v>
      </c>
      <c r="J26" s="22">
        <f>_xlfn.IFERROR(SUM(J27:J28),"")</f>
        <v>3839165000</v>
      </c>
      <c r="K26" s="21">
        <f>_xlfn.IFERROR(SUM(K27:K28),"")</f>
        <v>0</v>
      </c>
      <c r="L26" s="22">
        <f>_xlfn.IFERROR(SUM(L27:L28),"")</f>
        <v>4415039000</v>
      </c>
      <c r="M26" s="21">
        <f>_xlfn.IFERROR(SUM(M27:M28),"")</f>
        <v>0</v>
      </c>
      <c r="N26" s="23">
        <f>_xlfn.IFERROR(SUM(N27:N28),"")</f>
        <v>5077294000</v>
      </c>
      <c r="O26" s="21">
        <f>_xlfn.IFERROR(SUM(O27:O28),"")</f>
        <v>0</v>
      </c>
      <c r="P26" s="23">
        <f>_xlfn.IFERROR(SUM(P27:P28),"")</f>
        <v>5838887000</v>
      </c>
      <c r="Q26" s="13"/>
      <c r="R26" s="13"/>
    </row>
    <row r="27" ht="32.2" customHeight="1">
      <c r="A27" s="8"/>
      <c r="B27" t="s" s="9">
        <v>88</v>
      </c>
      <c r="C27" t="s" s="9">
        <v>89</v>
      </c>
      <c r="D27" t="s" s="9">
        <v>90</v>
      </c>
      <c r="E27" t="s" s="9">
        <v>91</v>
      </c>
      <c r="F27" s="8"/>
      <c r="G27" s="8"/>
      <c r="H27" s="27">
        <v>131406065</v>
      </c>
      <c r="I27" s="26"/>
      <c r="J27" s="27">
        <f>ROUNDDOWN(H27*1.15,-3)</f>
        <v>151116000</v>
      </c>
      <c r="K27" s="26"/>
      <c r="L27" s="27">
        <f>ROUNDDOWN(J27*1.15,-3)</f>
        <v>173783000</v>
      </c>
      <c r="M27" s="26"/>
      <c r="N27" s="11">
        <f>ROUNDDOWN(L27*1.15,-3)</f>
        <v>199850000</v>
      </c>
      <c r="O27" s="26"/>
      <c r="P27" s="11">
        <f>ROUNDDOWN(N27*1.15,-3)</f>
        <v>229827000</v>
      </c>
      <c r="Q27" s="8"/>
      <c r="R27" s="8"/>
    </row>
    <row r="28" ht="32.2" customHeight="1">
      <c r="A28" s="13"/>
      <c r="B28" t="s" s="14">
        <v>92</v>
      </c>
      <c r="C28" t="s" s="14">
        <v>93</v>
      </c>
      <c r="D28" t="s" s="14">
        <v>90</v>
      </c>
      <c r="E28" t="s" s="14">
        <v>94</v>
      </c>
      <c r="F28" s="13"/>
      <c r="G28" s="13"/>
      <c r="H28" s="25">
        <v>3206999900</v>
      </c>
      <c r="I28" s="24"/>
      <c r="J28" s="25">
        <f>ROUNDDOWN(H28*1.15,-3)</f>
        <v>3688049000</v>
      </c>
      <c r="K28" s="24"/>
      <c r="L28" s="25">
        <f>ROUNDDOWN(J28*1.15,-3)</f>
        <v>4241256000</v>
      </c>
      <c r="M28" s="24"/>
      <c r="N28" s="16">
        <f>ROUNDDOWN(L28*1.15,-3)</f>
        <v>4877444000</v>
      </c>
      <c r="O28" s="24"/>
      <c r="P28" s="16">
        <f>ROUNDDOWN(N28*1.15,-3)</f>
        <v>5609060000</v>
      </c>
      <c r="Q28" s="13"/>
      <c r="R28" s="13"/>
    </row>
    <row r="29" ht="20.2" customHeight="1">
      <c r="A29" s="8"/>
      <c r="B29" t="s" s="9">
        <v>95</v>
      </c>
      <c r="C29" t="s" s="20">
        <v>96</v>
      </c>
      <c r="D29" s="11">
        <v>0</v>
      </c>
      <c r="E29" s="11">
        <v>0</v>
      </c>
      <c r="F29" s="8"/>
      <c r="G29" s="21">
        <f>_xlfn.IFERROR(SUM(G30:G32),"")</f>
        <v>24</v>
      </c>
      <c r="H29" s="22">
        <f>_xlfn.IFERROR(SUM(H30:H32),"")</f>
        <v>626501225</v>
      </c>
      <c r="I29" s="21">
        <f>_xlfn.IFERROR(SUM(I30:I32),"")</f>
        <v>36</v>
      </c>
      <c r="J29" s="22">
        <f>_xlfn.IFERROR(SUM(J30:J32),"")</f>
        <v>720475000</v>
      </c>
      <c r="K29" s="21">
        <f>_xlfn.IFERROR(SUM(K30:K32),"")</f>
        <v>36</v>
      </c>
      <c r="L29" s="22">
        <f>_xlfn.IFERROR(SUM(L30:L32),"")</f>
        <v>828545000</v>
      </c>
      <c r="M29" s="21">
        <f>_xlfn.IFERROR(SUM(M30:M32),"")</f>
        <v>36</v>
      </c>
      <c r="N29" s="23">
        <f>_xlfn.IFERROR(SUM(N30:N32),"")</f>
        <v>952825000</v>
      </c>
      <c r="O29" s="21">
        <f>_xlfn.IFERROR(SUM(O30:O32),"")</f>
        <v>36</v>
      </c>
      <c r="P29" s="23">
        <f>_xlfn.IFERROR(SUM(P30:P32),"")</f>
        <v>1095747000</v>
      </c>
      <c r="Q29" s="8"/>
      <c r="R29" s="8"/>
    </row>
    <row r="30" ht="32.2" customHeight="1">
      <c r="A30" s="13"/>
      <c r="B30" t="s" s="14">
        <v>97</v>
      </c>
      <c r="C30" t="s" s="14">
        <v>98</v>
      </c>
      <c r="D30" t="s" s="14">
        <v>43</v>
      </c>
      <c r="E30" t="s" s="14">
        <v>99</v>
      </c>
      <c r="F30" s="13"/>
      <c r="G30" s="24">
        <v>12</v>
      </c>
      <c r="H30" s="25">
        <v>12429025</v>
      </c>
      <c r="I30" s="24">
        <v>12</v>
      </c>
      <c r="J30" s="25">
        <f>ROUNDDOWN(H30*1.15,-3)</f>
        <v>14293000</v>
      </c>
      <c r="K30" s="24">
        <v>12</v>
      </c>
      <c r="L30" s="25">
        <f>ROUNDDOWN(J30*1.15,-3)</f>
        <v>16436000</v>
      </c>
      <c r="M30" s="24">
        <v>12</v>
      </c>
      <c r="N30" s="16">
        <f>ROUNDDOWN(L30*1.15,-3)</f>
        <v>18901000</v>
      </c>
      <c r="O30" s="24">
        <v>12</v>
      </c>
      <c r="P30" s="16">
        <f>ROUNDDOWN(N30*1.15,-3)</f>
        <v>21736000</v>
      </c>
      <c r="Q30" s="13"/>
      <c r="R30" s="13"/>
    </row>
    <row r="31" ht="44.2" customHeight="1">
      <c r="A31" s="8"/>
      <c r="B31" t="s" s="9">
        <v>100</v>
      </c>
      <c r="C31" t="s" s="9">
        <v>101</v>
      </c>
      <c r="D31" t="s" s="9">
        <v>43</v>
      </c>
      <c r="E31" t="s" s="9">
        <v>102</v>
      </c>
      <c r="F31" s="8"/>
      <c r="G31" s="26">
        <v>12</v>
      </c>
      <c r="H31" s="27">
        <v>259548000</v>
      </c>
      <c r="I31" s="26">
        <v>12</v>
      </c>
      <c r="J31" s="27">
        <f>ROUNDDOWN(H31*1.15,-3)</f>
        <v>298480000</v>
      </c>
      <c r="K31" s="26">
        <v>12</v>
      </c>
      <c r="L31" s="27">
        <f>ROUNDDOWN(J31*1.15,-3)</f>
        <v>343252000</v>
      </c>
      <c r="M31" s="26">
        <v>12</v>
      </c>
      <c r="N31" s="11">
        <f>ROUNDDOWN(L31*1.15,-3)</f>
        <v>394739000</v>
      </c>
      <c r="O31" s="26">
        <v>12</v>
      </c>
      <c r="P31" s="11">
        <f>ROUNDDOWN(N31*1.15,-3)</f>
        <v>453949000</v>
      </c>
      <c r="Q31" s="8"/>
      <c r="R31" s="8"/>
    </row>
    <row r="32" ht="32.2" customHeight="1">
      <c r="A32" s="13"/>
      <c r="B32" t="s" s="14">
        <v>103</v>
      </c>
      <c r="C32" t="s" s="14">
        <v>104</v>
      </c>
      <c r="D32" t="s" s="14">
        <v>43</v>
      </c>
      <c r="E32" t="s" s="14">
        <v>105</v>
      </c>
      <c r="F32" s="13"/>
      <c r="G32" s="13"/>
      <c r="H32" s="25">
        <v>354524200</v>
      </c>
      <c r="I32" s="24">
        <v>12</v>
      </c>
      <c r="J32" s="25">
        <f>ROUNDDOWN(H32*1.15,-3)</f>
        <v>407702000</v>
      </c>
      <c r="K32" s="24">
        <v>12</v>
      </c>
      <c r="L32" s="25">
        <f>ROUNDDOWN(J32*1.15,-3)</f>
        <v>468857000</v>
      </c>
      <c r="M32" s="24">
        <v>12</v>
      </c>
      <c r="N32" s="16">
        <f>ROUNDDOWN(L32*1.15,-3)</f>
        <v>539185000</v>
      </c>
      <c r="O32" s="24">
        <v>12</v>
      </c>
      <c r="P32" s="16">
        <f>ROUNDDOWN(N32*1.15,-3)</f>
        <v>620062000</v>
      </c>
      <c r="Q32" s="13"/>
      <c r="R32" s="13"/>
    </row>
    <row r="33" ht="32.2" customHeight="1">
      <c r="A33" s="8"/>
      <c r="B33" t="s" s="9">
        <v>106</v>
      </c>
      <c r="C33" t="s" s="20">
        <v>107</v>
      </c>
      <c r="D33" s="11">
        <v>0</v>
      </c>
      <c r="E33" s="11">
        <v>0</v>
      </c>
      <c r="F33" s="8"/>
      <c r="G33" s="21">
        <f>_xlfn.IFERROR(SUM(G34:G38),"")</f>
        <v>12</v>
      </c>
      <c r="H33" s="22">
        <f>_xlfn.IFERROR(SUM(H34:H38),"")</f>
        <v>6064451381</v>
      </c>
      <c r="I33" s="21">
        <f>_xlfn.IFERROR(SUM(I34:I38),"")</f>
        <v>60</v>
      </c>
      <c r="J33" s="22">
        <f>_xlfn.IFERROR(SUM(J34:J38),"")</f>
        <v>6974117000</v>
      </c>
      <c r="K33" s="21">
        <f>_xlfn.IFERROR(SUM(K34:K38),"")</f>
        <v>60</v>
      </c>
      <c r="L33" s="22">
        <f>_xlfn.IFERROR(SUM(L34:L38),"")</f>
        <v>8020232000</v>
      </c>
      <c r="M33" s="21">
        <f>_xlfn.IFERROR(SUM(M34:M38),"")</f>
        <v>60</v>
      </c>
      <c r="N33" s="23">
        <f>_xlfn.IFERROR(SUM(N34:N38),"")</f>
        <v>9223265000</v>
      </c>
      <c r="O33" s="21">
        <f>_xlfn.IFERROR(SUM(O34:O38),"")</f>
        <v>60</v>
      </c>
      <c r="P33" s="23">
        <f>_xlfn.IFERROR(SUM(P34:P38),"")</f>
        <v>10606753000</v>
      </c>
      <c r="Q33" s="8"/>
      <c r="R33" s="8"/>
    </row>
    <row r="34" ht="44.2" customHeight="1">
      <c r="A34" s="13"/>
      <c r="B34" t="s" s="14">
        <v>108</v>
      </c>
      <c r="C34" t="s" s="14">
        <v>109</v>
      </c>
      <c r="D34" t="s" s="14">
        <v>90</v>
      </c>
      <c r="E34" t="s" s="14">
        <v>110</v>
      </c>
      <c r="F34" s="13"/>
      <c r="G34" s="24">
        <v>12</v>
      </c>
      <c r="H34" s="25">
        <v>78182832</v>
      </c>
      <c r="I34" s="24">
        <v>12</v>
      </c>
      <c r="J34" s="25">
        <f>ROUNDDOWN(H34*1.15,-3)</f>
        <v>89910000</v>
      </c>
      <c r="K34" s="24">
        <v>12</v>
      </c>
      <c r="L34" s="25">
        <f>ROUNDDOWN(J34*1.15,-3)</f>
        <v>103396000</v>
      </c>
      <c r="M34" s="24">
        <v>12</v>
      </c>
      <c r="N34" s="16">
        <f>ROUNDDOWN(L34*1.15,-3)</f>
        <v>118905000</v>
      </c>
      <c r="O34" s="24">
        <v>12</v>
      </c>
      <c r="P34" s="16">
        <f>ROUNDDOWN(N34*1.15,-3)</f>
        <v>136740000</v>
      </c>
      <c r="Q34" s="13"/>
      <c r="R34" s="13"/>
    </row>
    <row r="35" ht="32.2" customHeight="1">
      <c r="A35" s="8"/>
      <c r="B35" t="s" s="9">
        <v>111</v>
      </c>
      <c r="C35" t="s" s="9">
        <v>112</v>
      </c>
      <c r="D35" t="s" s="9">
        <v>90</v>
      </c>
      <c r="E35" t="s" s="9">
        <v>113</v>
      </c>
      <c r="F35" s="8"/>
      <c r="G35" s="8"/>
      <c r="H35" s="27">
        <v>146245964</v>
      </c>
      <c r="I35" s="26">
        <v>12</v>
      </c>
      <c r="J35" s="27">
        <f>ROUNDDOWN(H35*1.15,-3)</f>
        <v>168182000</v>
      </c>
      <c r="K35" s="26">
        <v>12</v>
      </c>
      <c r="L35" s="27">
        <f>ROUNDDOWN(J35*1.15,-3)</f>
        <v>193409000</v>
      </c>
      <c r="M35" s="26">
        <v>12</v>
      </c>
      <c r="N35" s="11">
        <f>ROUNDDOWN(L35*1.15,-3)</f>
        <v>222420000</v>
      </c>
      <c r="O35" s="26">
        <v>12</v>
      </c>
      <c r="P35" s="11">
        <f>ROUNDDOWN(N35*1.15,-3)</f>
        <v>255783000</v>
      </c>
      <c r="Q35" s="8"/>
      <c r="R35" s="8"/>
    </row>
    <row r="36" ht="32.2" customHeight="1">
      <c r="A36" s="13"/>
      <c r="B36" t="s" s="14">
        <v>114</v>
      </c>
      <c r="C36" t="s" s="14">
        <v>115</v>
      </c>
      <c r="D36" t="s" s="14">
        <v>90</v>
      </c>
      <c r="E36" t="s" s="14">
        <v>116</v>
      </c>
      <c r="F36" s="13"/>
      <c r="G36" s="13"/>
      <c r="H36" s="25">
        <v>15750000</v>
      </c>
      <c r="I36" s="24">
        <v>12</v>
      </c>
      <c r="J36" s="25">
        <f>ROUNDDOWN(H36*1.15,-3)</f>
        <v>18112000</v>
      </c>
      <c r="K36" s="24">
        <v>12</v>
      </c>
      <c r="L36" s="25">
        <f>ROUNDDOWN(J36*1.15,-3)</f>
        <v>20828000</v>
      </c>
      <c r="M36" s="24">
        <v>12</v>
      </c>
      <c r="N36" s="16">
        <f>ROUNDDOWN(L36*1.15,-3)</f>
        <v>23952000</v>
      </c>
      <c r="O36" s="24">
        <v>12</v>
      </c>
      <c r="P36" s="16">
        <f>ROUNDDOWN(N36*1.15,-3)</f>
        <v>27544000</v>
      </c>
      <c r="Q36" s="13"/>
      <c r="R36" s="13"/>
    </row>
    <row r="37" ht="32.2" customHeight="1">
      <c r="A37" s="8"/>
      <c r="B37" t="s" s="9">
        <v>117</v>
      </c>
      <c r="C37" t="s" s="9">
        <v>118</v>
      </c>
      <c r="D37" t="s" s="9">
        <v>90</v>
      </c>
      <c r="E37" t="s" s="9">
        <v>119</v>
      </c>
      <c r="F37" s="8"/>
      <c r="G37" s="8"/>
      <c r="H37" s="27">
        <v>313815945</v>
      </c>
      <c r="I37" s="26">
        <v>12</v>
      </c>
      <c r="J37" s="27">
        <f>ROUNDDOWN(H37*1.15,-3)</f>
        <v>360888000</v>
      </c>
      <c r="K37" s="26">
        <v>12</v>
      </c>
      <c r="L37" s="27">
        <f>ROUNDDOWN(J37*1.15,-3)</f>
        <v>415021000</v>
      </c>
      <c r="M37" s="26">
        <v>12</v>
      </c>
      <c r="N37" s="11">
        <f>ROUNDDOWN(L37*1.15,-3)</f>
        <v>477274000</v>
      </c>
      <c r="O37" s="26">
        <v>12</v>
      </c>
      <c r="P37" s="11">
        <f>ROUNDDOWN(N37*1.15,-3)</f>
        <v>548865000</v>
      </c>
      <c r="Q37" s="8"/>
      <c r="R37" s="8"/>
    </row>
    <row r="38" ht="44.2" customHeight="1">
      <c r="A38" s="13"/>
      <c r="B38" t="s" s="14">
        <v>120</v>
      </c>
      <c r="C38" t="s" s="14">
        <v>121</v>
      </c>
      <c r="D38" t="s" s="14">
        <v>90</v>
      </c>
      <c r="E38" t="s" s="14">
        <v>122</v>
      </c>
      <c r="F38" s="13"/>
      <c r="G38" s="13"/>
      <c r="H38" s="25">
        <v>5510456640</v>
      </c>
      <c r="I38" s="24">
        <v>12</v>
      </c>
      <c r="J38" s="25">
        <f>ROUNDDOWN(H38*1.15,-3)</f>
        <v>6337025000</v>
      </c>
      <c r="K38" s="24">
        <v>12</v>
      </c>
      <c r="L38" s="25">
        <f>ROUNDDOWN(J38*1.15,-3)</f>
        <v>7287578000</v>
      </c>
      <c r="M38" s="24">
        <v>12</v>
      </c>
      <c r="N38" s="16">
        <f>ROUNDDOWN(L38*1.15,-3)</f>
        <v>8380714000</v>
      </c>
      <c r="O38" s="24">
        <v>12</v>
      </c>
      <c r="P38" s="16">
        <f>ROUNDDOWN(N38*1.15,-3)</f>
        <v>9637821000</v>
      </c>
      <c r="Q38" s="13"/>
      <c r="R38" s="13"/>
    </row>
    <row r="39" ht="20.2" customHeight="1">
      <c r="A39" s="8"/>
      <c r="B39" t="s" s="9">
        <v>123</v>
      </c>
      <c r="C39" t="s" s="15">
        <v>124</v>
      </c>
      <c r="D39" s="11">
        <v>0</v>
      </c>
      <c r="E39" s="11">
        <v>0</v>
      </c>
      <c r="F39" s="8"/>
      <c r="G39" t="s" s="15">
        <f>_xlfn.IFERROR(G40+G44+#REF!,"")</f>
      </c>
      <c r="H39" t="s" s="15">
        <f>_xlfn.IFERROR(H40+H44+#REF!,"")</f>
      </c>
      <c r="I39" t="s" s="15">
        <f>_xlfn.IFERROR(I40+I44+#REF!,"")</f>
      </c>
      <c r="J39" t="s" s="15">
        <f>_xlfn.IFERROR(J40+J44+#REF!,"")</f>
      </c>
      <c r="K39" t="s" s="15">
        <f>_xlfn.IFERROR(K40+K44+#REF!,"")</f>
      </c>
      <c r="L39" t="s" s="15">
        <f>_xlfn.IFERROR(L40+L44+#REF!,"")</f>
      </c>
      <c r="M39" t="s" s="15">
        <f>_xlfn.IFERROR(M40+M44+#REF!,"")</f>
      </c>
      <c r="N39" t="s" s="15">
        <f>_xlfn.IFERROR(N40+N44+#REF!,"")</f>
      </c>
      <c r="O39" t="s" s="15">
        <f>_xlfn.IFERROR(O40+O44+#REF!,"")</f>
      </c>
      <c r="P39" t="s" s="15">
        <f>_xlfn.IFERROR(P40+P44+#REF!,"")</f>
      </c>
      <c r="Q39" s="8"/>
      <c r="R39" s="8"/>
    </row>
    <row r="40" ht="32.2" customHeight="1">
      <c r="A40" s="13"/>
      <c r="B40" t="s" s="14">
        <v>125</v>
      </c>
      <c r="C40" t="s" s="20">
        <v>126</v>
      </c>
      <c r="D40" s="16">
        <v>0</v>
      </c>
      <c r="E40" s="16">
        <v>0</v>
      </c>
      <c r="F40" s="13"/>
      <c r="G40" s="28">
        <f>_xlfn.IFERROR(SUM(G41:G43),"")</f>
        <v>47297.9478318667</v>
      </c>
      <c r="H40" s="22">
        <f>_xlfn.IFERROR(SUM(H41:H43),"")</f>
        <v>5451167913</v>
      </c>
      <c r="I40" s="28">
        <f>_xlfn.IFERROR(SUM(I41:I43),"")</f>
        <v>71143.4503304</v>
      </c>
      <c r="J40" s="22">
        <f>_xlfn.IFERROR(SUM(J41:J43),"")</f>
        <v>8668073326</v>
      </c>
      <c r="K40" s="28">
        <f>_xlfn.IFERROR(SUM(K41:K43),"")</f>
        <v>71143.4503304</v>
      </c>
      <c r="L40" s="22">
        <f>_xlfn.IFERROR(SUM(L41:L43),"")</f>
        <v>8668073326</v>
      </c>
      <c r="M40" s="28">
        <f>_xlfn.IFERROR(SUM(M41:M43),"")</f>
        <v>71143.4503304</v>
      </c>
      <c r="N40" s="23">
        <f>_xlfn.IFERROR(SUM(N41:N43),"")</f>
        <v>8668073326</v>
      </c>
      <c r="O40" s="28">
        <f>_xlfn.IFERROR(SUM(O41:O43),"")</f>
        <v>71143.4503304</v>
      </c>
      <c r="P40" s="22">
        <f>_xlfn.IFERROR(SUM(P41:P43),"")</f>
        <v>8668073326</v>
      </c>
      <c r="Q40" s="13"/>
      <c r="R40" s="13"/>
    </row>
    <row r="41" ht="32.2" customHeight="1">
      <c r="A41" s="8"/>
      <c r="B41" t="s" s="9">
        <v>127</v>
      </c>
      <c r="C41" t="s" s="9">
        <v>128</v>
      </c>
      <c r="D41" t="s" s="9">
        <v>129</v>
      </c>
      <c r="E41" t="s" s="9">
        <v>130</v>
      </c>
      <c r="F41" s="8"/>
      <c r="G41" s="29">
        <f>H41/2500000</f>
        <v>393.0571652</v>
      </c>
      <c r="H41" s="27">
        <v>982642913</v>
      </c>
      <c r="I41" s="29">
        <f>J41/2500000</f>
        <v>786.1143304</v>
      </c>
      <c r="J41" s="27">
        <f>H41*2</f>
        <v>1965285826</v>
      </c>
      <c r="K41" s="29">
        <v>786.1143304</v>
      </c>
      <c r="L41" s="27">
        <v>1965285826</v>
      </c>
      <c r="M41" s="29">
        <v>786.1143304</v>
      </c>
      <c r="N41" s="11">
        <v>1965285826</v>
      </c>
      <c r="O41" s="29">
        <v>786.1143304</v>
      </c>
      <c r="P41" s="27">
        <v>1965285826</v>
      </c>
      <c r="Q41" s="8"/>
      <c r="R41" s="8"/>
    </row>
    <row r="42" ht="32.2" customHeight="1">
      <c r="A42" s="13"/>
      <c r="B42" t="s" s="14">
        <v>131</v>
      </c>
      <c r="C42" t="s" s="14">
        <v>132</v>
      </c>
      <c r="D42" t="s" s="14">
        <v>129</v>
      </c>
      <c r="E42" t="s" s="14">
        <v>133</v>
      </c>
      <c r="F42" s="13"/>
      <c r="G42" s="30">
        <f>H42/2500000</f>
        <v>392.024</v>
      </c>
      <c r="H42" s="25">
        <v>980060000</v>
      </c>
      <c r="I42" s="30">
        <f>J42/2500000</f>
        <v>588.0359999999999</v>
      </c>
      <c r="J42" s="25">
        <f>H42*1.5</f>
        <v>1470090000</v>
      </c>
      <c r="K42" s="30">
        <v>588.0359999999999</v>
      </c>
      <c r="L42" s="25">
        <v>1470090000</v>
      </c>
      <c r="M42" s="30">
        <v>588.0359999999999</v>
      </c>
      <c r="N42" s="16">
        <v>1470090000</v>
      </c>
      <c r="O42" s="30">
        <v>588.0359999999999</v>
      </c>
      <c r="P42" s="25">
        <v>1470090000</v>
      </c>
      <c r="Q42" s="13"/>
      <c r="R42" s="13"/>
    </row>
    <row r="43" ht="32.2" customHeight="1">
      <c r="A43" s="8"/>
      <c r="B43" t="s" s="9">
        <v>134</v>
      </c>
      <c r="C43" t="s" s="9">
        <v>135</v>
      </c>
      <c r="D43" t="s" s="9">
        <v>129</v>
      </c>
      <c r="E43" t="s" s="9">
        <v>136</v>
      </c>
      <c r="F43" s="8"/>
      <c r="G43" s="29">
        <f>H43/75000</f>
        <v>46512.8666666667</v>
      </c>
      <c r="H43" s="27">
        <v>3488465000</v>
      </c>
      <c r="I43" s="29">
        <f>J43/75000</f>
        <v>69769.3</v>
      </c>
      <c r="J43" s="27">
        <f>H43*1.5</f>
        <v>5232697500</v>
      </c>
      <c r="K43" s="29">
        <v>69769.3</v>
      </c>
      <c r="L43" s="27">
        <v>5232697500</v>
      </c>
      <c r="M43" s="29">
        <v>69769.3</v>
      </c>
      <c r="N43" s="11">
        <v>5232697500</v>
      </c>
      <c r="O43" s="29">
        <v>69769.3</v>
      </c>
      <c r="P43" s="27">
        <v>5232697500</v>
      </c>
      <c r="Q43" s="8"/>
      <c r="R43" s="8"/>
    </row>
    <row r="44" ht="44.2" customHeight="1">
      <c r="A44" s="13"/>
      <c r="B44" t="s" s="14">
        <v>137</v>
      </c>
      <c r="C44" t="s" s="20">
        <v>138</v>
      </c>
      <c r="D44" s="16">
        <v>0</v>
      </c>
      <c r="E44" s="16">
        <v>0</v>
      </c>
      <c r="F44" s="13"/>
      <c r="G44" s="31">
        <f>_xlfn.IFERROR(SUM(G47:G48),"")/1331</f>
        <v>0.400525920360631</v>
      </c>
      <c r="H44" s="22">
        <f>_xlfn.IFERROR(SUM(H47:H49),"")</f>
        <v>8878500000</v>
      </c>
      <c r="I44" s="23">
        <f>_xlfn.IFERROR(SUM(I47:I49),"")</f>
        <v>540.1</v>
      </c>
      <c r="J44" s="22">
        <f>_xlfn.IFERROR(SUM(J47:J49),"")</f>
        <v>8878500000</v>
      </c>
      <c r="K44" s="23">
        <f>_xlfn.IFERROR(SUM(K47:K49),"")</f>
        <v>540.1</v>
      </c>
      <c r="L44" s="22">
        <f>_xlfn.IFERROR(SUM(L47:L49),"")</f>
        <v>8878500000</v>
      </c>
      <c r="M44" s="23">
        <f>_xlfn.IFERROR(SUM(M47:M49),"")</f>
        <v>540.1</v>
      </c>
      <c r="N44" s="23">
        <f>_xlfn.IFERROR(SUM(N47:N49),"")</f>
        <v>8878500000</v>
      </c>
      <c r="O44" s="23">
        <f>_xlfn.IFERROR(SUM(O47:O49),"")</f>
        <v>540.1</v>
      </c>
      <c r="P44" s="22">
        <f>_xlfn.IFERROR(SUM(P47:P49),"")</f>
        <v>8878500000</v>
      </c>
      <c r="Q44" s="13"/>
      <c r="R44" s="13"/>
    </row>
    <row r="45" ht="32.2" customHeight="1">
      <c r="A45" s="8"/>
      <c r="B45" t="s" s="9">
        <v>139</v>
      </c>
      <c r="C45" t="s" s="9">
        <v>140</v>
      </c>
      <c r="D45" t="s" s="9">
        <v>129</v>
      </c>
      <c r="E45" t="s" s="9">
        <v>141</v>
      </c>
      <c r="F45" s="8"/>
      <c r="G45" s="32">
        <v>266</v>
      </c>
      <c r="H45" s="27">
        <f>25000000*G45</f>
        <v>6650000000</v>
      </c>
      <c r="I45" s="32">
        <v>266</v>
      </c>
      <c r="J45" s="27">
        <f>25000000*I45</f>
        <v>6650000000</v>
      </c>
      <c r="K45" s="32">
        <v>266</v>
      </c>
      <c r="L45" s="27">
        <f>25000000*K45</f>
        <v>6650000000</v>
      </c>
      <c r="M45" s="32">
        <v>266</v>
      </c>
      <c r="N45" s="11">
        <f>25000000*M45</f>
        <v>6650000000</v>
      </c>
      <c r="O45" s="32">
        <v>266</v>
      </c>
      <c r="P45" s="27">
        <f>25000000*O45</f>
        <v>6650000000</v>
      </c>
      <c r="Q45" s="8"/>
      <c r="R45" s="8"/>
    </row>
    <row r="46" ht="32.2" customHeight="1">
      <c r="A46" s="13"/>
      <c r="B46" t="s" s="14">
        <v>142</v>
      </c>
      <c r="C46" t="s" s="14">
        <v>143</v>
      </c>
      <c r="D46" t="s" s="14">
        <v>129</v>
      </c>
      <c r="E46" t="s" s="14">
        <v>144</v>
      </c>
      <c r="F46" s="13"/>
      <c r="G46" s="33">
        <f t="shared" si="232" ref="G46:O48">2671/10</f>
        <v>267.1</v>
      </c>
      <c r="H46" s="25">
        <f>18000000*G46</f>
        <v>4807800000</v>
      </c>
      <c r="I46" s="33">
        <f t="shared" si="232"/>
        <v>267.1</v>
      </c>
      <c r="J46" s="25">
        <f>18000000*I46</f>
        <v>4807800000</v>
      </c>
      <c r="K46" s="33">
        <f t="shared" si="232"/>
        <v>267.1</v>
      </c>
      <c r="L46" s="25">
        <f>18000000*K46</f>
        <v>4807800000</v>
      </c>
      <c r="M46" s="33">
        <f t="shared" si="232"/>
        <v>267.1</v>
      </c>
      <c r="N46" s="16">
        <f>18000000*M46</f>
        <v>4807800000</v>
      </c>
      <c r="O46" s="33">
        <f t="shared" si="232"/>
        <v>267.1</v>
      </c>
      <c r="P46" s="25">
        <f>18000000*O46</f>
        <v>4807800000</v>
      </c>
      <c r="Q46" s="13"/>
      <c r="R46" s="13"/>
    </row>
    <row r="47" ht="32.2" customHeight="1">
      <c r="A47" s="8"/>
      <c r="B47" t="s" s="9">
        <v>145</v>
      </c>
      <c r="C47" t="s" s="9">
        <v>146</v>
      </c>
      <c r="D47" t="s" s="9">
        <v>129</v>
      </c>
      <c r="E47" t="s" s="9">
        <v>147</v>
      </c>
      <c r="F47" s="8"/>
      <c r="G47" s="32">
        <v>266</v>
      </c>
      <c r="H47" s="34">
        <f>18000000*G47</f>
        <v>4788000000</v>
      </c>
      <c r="I47" s="32">
        <v>266</v>
      </c>
      <c r="J47" s="34">
        <f>18000000*I47</f>
        <v>4788000000</v>
      </c>
      <c r="K47" s="32">
        <v>266</v>
      </c>
      <c r="L47" s="34">
        <f>18000000*K47</f>
        <v>4788000000</v>
      </c>
      <c r="M47" s="32">
        <v>266</v>
      </c>
      <c r="N47" s="35">
        <f>18000000*M47</f>
        <v>4788000000</v>
      </c>
      <c r="O47" s="32">
        <v>266</v>
      </c>
      <c r="P47" s="34">
        <f>18000000*O47</f>
        <v>4788000000</v>
      </c>
      <c r="Q47" s="8"/>
      <c r="R47" s="8"/>
    </row>
    <row r="48" ht="32.2" customHeight="1">
      <c r="A48" s="13"/>
      <c r="B48" t="s" s="14">
        <v>148</v>
      </c>
      <c r="C48" t="s" s="14">
        <v>149</v>
      </c>
      <c r="D48" t="s" s="14">
        <v>129</v>
      </c>
      <c r="E48" t="s" s="14">
        <v>150</v>
      </c>
      <c r="F48" s="13"/>
      <c r="G48" s="33">
        <f t="shared" si="232"/>
        <v>267.1</v>
      </c>
      <c r="H48" s="25">
        <f>15000000*G48</f>
        <v>4006500000</v>
      </c>
      <c r="I48" s="33">
        <f t="shared" si="232"/>
        <v>267.1</v>
      </c>
      <c r="J48" s="25">
        <f>15000000*I48</f>
        <v>4006500000</v>
      </c>
      <c r="K48" s="33">
        <f t="shared" si="232"/>
        <v>267.1</v>
      </c>
      <c r="L48" s="25">
        <f>15000000*K48</f>
        <v>4006500000</v>
      </c>
      <c r="M48" s="33">
        <f t="shared" si="232"/>
        <v>267.1</v>
      </c>
      <c r="N48" s="16">
        <f>15000000*M48</f>
        <v>4006500000</v>
      </c>
      <c r="O48" s="33">
        <f t="shared" si="232"/>
        <v>267.1</v>
      </c>
      <c r="P48" s="25">
        <f>15000000*O48</f>
        <v>4006500000</v>
      </c>
      <c r="Q48" s="13"/>
      <c r="R48" s="13"/>
    </row>
    <row r="49" ht="32.2" customHeight="1">
      <c r="A49" s="8"/>
      <c r="B49" t="s" s="9">
        <v>151</v>
      </c>
      <c r="C49" t="s" s="9">
        <v>152</v>
      </c>
      <c r="D49" t="s" s="9">
        <v>129</v>
      </c>
      <c r="E49" t="s" s="9">
        <v>153</v>
      </c>
      <c r="F49" s="8"/>
      <c r="G49" s="36">
        <v>7</v>
      </c>
      <c r="H49" s="27">
        <f>12000000*G49</f>
        <v>84000000</v>
      </c>
      <c r="I49" s="36">
        <v>7</v>
      </c>
      <c r="J49" s="27">
        <f>12000000*I49</f>
        <v>84000000</v>
      </c>
      <c r="K49" s="36">
        <v>7</v>
      </c>
      <c r="L49" s="27">
        <f>12000000*K49</f>
        <v>84000000</v>
      </c>
      <c r="M49" s="36">
        <v>7</v>
      </c>
      <c r="N49" s="11">
        <f>12000000*M49</f>
        <v>84000000</v>
      </c>
      <c r="O49" s="36">
        <v>7</v>
      </c>
      <c r="P49" s="27">
        <f>12000000*O49</f>
        <v>84000000</v>
      </c>
      <c r="Q49" s="8"/>
      <c r="R49" s="8"/>
    </row>
    <row r="50" ht="32.2" customHeight="1">
      <c r="A50" s="13"/>
      <c r="B50" t="s" s="14">
        <v>154</v>
      </c>
      <c r="C50" t="s" s="15">
        <v>155</v>
      </c>
      <c r="D50" s="16">
        <v>0</v>
      </c>
      <c r="E50" s="16">
        <v>0</v>
      </c>
      <c r="F50" s="13"/>
      <c r="G50" s="17">
        <f>_xlfn.IFERROR(G51,"")</f>
        <v>0</v>
      </c>
      <c r="H50" s="18">
        <f>_xlfn.IFERROR(H51,"")</f>
        <v>5250944000</v>
      </c>
      <c r="I50" s="17">
        <f>_xlfn.IFERROR(I51,"")</f>
        <v>0</v>
      </c>
      <c r="J50" s="18">
        <f>_xlfn.IFERROR(J51,"")</f>
        <v>7876416000</v>
      </c>
      <c r="K50" s="17">
        <f>_xlfn.IFERROR(K51,"")</f>
        <v>0</v>
      </c>
      <c r="L50" s="18">
        <f>_xlfn.IFERROR(L51,"")</f>
        <v>11814624000</v>
      </c>
      <c r="M50" s="17">
        <f>_xlfn.IFERROR(M51,"")</f>
        <v>0</v>
      </c>
      <c r="N50" s="17">
        <f>_xlfn.IFERROR(N51,"")</f>
        <v>17721936000</v>
      </c>
      <c r="O50" s="17">
        <f>_xlfn.IFERROR(O51,"")</f>
        <v>0</v>
      </c>
      <c r="P50" s="17">
        <f>_xlfn.IFERROR(P51,"")</f>
        <v>26582904000</v>
      </c>
      <c r="Q50" s="13"/>
      <c r="R50" s="13"/>
    </row>
    <row r="51" ht="32.2" customHeight="1">
      <c r="A51" s="8"/>
      <c r="B51" t="s" s="9">
        <v>156</v>
      </c>
      <c r="C51" t="s" s="20">
        <v>157</v>
      </c>
      <c r="D51" s="11">
        <v>0</v>
      </c>
      <c r="E51" s="11">
        <v>0</v>
      </c>
      <c r="F51" s="8"/>
      <c r="G51" s="23">
        <f>_xlfn.IFERROR(SUM(G52:G53),"")</f>
        <v>0</v>
      </c>
      <c r="H51" s="22">
        <f>_xlfn.IFERROR(SUM(H52:H53),"")</f>
        <v>5250944000</v>
      </c>
      <c r="I51" s="23">
        <f>_xlfn.IFERROR(SUM(I52:I53),"")</f>
        <v>0</v>
      </c>
      <c r="J51" s="22">
        <f>_xlfn.IFERROR(SUM(J52:J53),"")</f>
        <v>7876416000</v>
      </c>
      <c r="K51" s="23">
        <f>_xlfn.IFERROR(SUM(K52:K53),"")</f>
        <v>0</v>
      </c>
      <c r="L51" s="22">
        <f>_xlfn.IFERROR(SUM(L52:L53),"")</f>
        <v>11814624000</v>
      </c>
      <c r="M51" s="23">
        <f>_xlfn.IFERROR(SUM(M52:M53),"")</f>
        <v>0</v>
      </c>
      <c r="N51" s="23">
        <f>_xlfn.IFERROR(SUM(N52:N53),"")</f>
        <v>17721936000</v>
      </c>
      <c r="O51" s="23">
        <f>_xlfn.IFERROR(SUM(O52:O53),"")</f>
        <v>0</v>
      </c>
      <c r="P51" s="23">
        <f>_xlfn.IFERROR(SUM(P52:P53),"")</f>
        <v>26582904000</v>
      </c>
      <c r="Q51" s="8"/>
      <c r="R51" s="8"/>
    </row>
    <row r="52" ht="32.2" customHeight="1">
      <c r="A52" s="13"/>
      <c r="B52" t="s" s="14">
        <v>158</v>
      </c>
      <c r="C52" t="s" s="14">
        <v>159</v>
      </c>
      <c r="D52" t="s" s="14">
        <v>160</v>
      </c>
      <c r="E52" t="s" s="14">
        <v>161</v>
      </c>
      <c r="F52" s="13"/>
      <c r="G52" s="13"/>
      <c r="H52" s="25">
        <v>4781296000</v>
      </c>
      <c r="I52" s="13"/>
      <c r="J52" s="25">
        <f>H52*1.5</f>
        <v>7171944000</v>
      </c>
      <c r="K52" s="13"/>
      <c r="L52" s="25">
        <f>J52*1.5</f>
        <v>10757916000</v>
      </c>
      <c r="M52" s="13"/>
      <c r="N52" s="16">
        <f>L52*1.5</f>
        <v>16136874000</v>
      </c>
      <c r="O52" s="13"/>
      <c r="P52" s="16">
        <f>N52*1.5</f>
        <v>24205311000</v>
      </c>
      <c r="Q52" s="13"/>
      <c r="R52" s="13"/>
    </row>
    <row r="53" ht="32.2" customHeight="1">
      <c r="A53" s="8"/>
      <c r="B53" t="s" s="9">
        <v>162</v>
      </c>
      <c r="C53" t="s" s="9">
        <v>163</v>
      </c>
      <c r="D53" t="s" s="9">
        <v>90</v>
      </c>
      <c r="E53" t="s" s="9">
        <v>164</v>
      </c>
      <c r="F53" s="8"/>
      <c r="G53" s="8"/>
      <c r="H53" s="27">
        <v>469648000</v>
      </c>
      <c r="I53" s="8"/>
      <c r="J53" s="27">
        <f>H53*1.5</f>
        <v>704472000</v>
      </c>
      <c r="K53" s="8"/>
      <c r="L53" s="27">
        <f>J53*1.5</f>
        <v>1056708000</v>
      </c>
      <c r="M53" s="8"/>
      <c r="N53" s="11">
        <f>L53*1.5</f>
        <v>1585062000</v>
      </c>
      <c r="O53" s="8"/>
      <c r="P53" s="11">
        <f>N53*1.5</f>
        <v>2377593000</v>
      </c>
      <c r="Q53" s="8"/>
      <c r="R53" s="8"/>
    </row>
    <row r="54" ht="32.2" customHeight="1">
      <c r="A54" s="13"/>
      <c r="B54" t="s" s="14">
        <v>165</v>
      </c>
      <c r="C54" t="s" s="15">
        <v>166</v>
      </c>
      <c r="D54" s="16">
        <v>0</v>
      </c>
      <c r="E54" s="16">
        <v>0</v>
      </c>
      <c r="F54" s="13"/>
      <c r="G54" s="17">
        <f>_xlfn.IFERROR(G55,"")</f>
        <v>0</v>
      </c>
      <c r="H54" s="18">
        <f>_xlfn.IFERROR(H55,"")</f>
        <v>2015259000</v>
      </c>
      <c r="I54" s="17">
        <f>_xlfn.IFERROR(I55,"")</f>
        <v>0</v>
      </c>
      <c r="J54" s="18">
        <f>_xlfn.IFERROR(J55,"")</f>
        <v>3022888500</v>
      </c>
      <c r="K54" s="17">
        <f>_xlfn.IFERROR(K55,"")</f>
        <v>0</v>
      </c>
      <c r="L54" s="18">
        <f>_xlfn.IFERROR(L55,"")</f>
        <v>4534332750</v>
      </c>
      <c r="M54" s="17">
        <f>_xlfn.IFERROR(M55,"")</f>
        <v>0</v>
      </c>
      <c r="N54" s="17">
        <f>_xlfn.IFERROR(N55,"")</f>
        <v>6801499125</v>
      </c>
      <c r="O54" s="17">
        <f>_xlfn.IFERROR(O55,"")</f>
        <v>0</v>
      </c>
      <c r="P54" s="17">
        <f>_xlfn.IFERROR(P55,"")</f>
        <v>10202248687.5</v>
      </c>
      <c r="Q54" s="13"/>
      <c r="R54" s="13"/>
    </row>
    <row r="55" ht="32.2" customHeight="1">
      <c r="A55" s="8"/>
      <c r="B55" t="s" s="9">
        <v>167</v>
      </c>
      <c r="C55" t="s" s="20">
        <v>168</v>
      </c>
      <c r="D55" s="11">
        <v>0</v>
      </c>
      <c r="E55" s="11">
        <v>0</v>
      </c>
      <c r="F55" s="8"/>
      <c r="G55" s="23">
        <f>_xlfn.IFERROR(SUM(G56),"")</f>
        <v>0</v>
      </c>
      <c r="H55" s="22">
        <f>_xlfn.IFERROR(SUM(H56),"")</f>
        <v>2015259000</v>
      </c>
      <c r="I55" s="23">
        <f>_xlfn.IFERROR(SUM(I56),"")</f>
        <v>0</v>
      </c>
      <c r="J55" s="22">
        <f>_xlfn.IFERROR(SUM(J56),"")</f>
        <v>3022888500</v>
      </c>
      <c r="K55" s="23">
        <f>_xlfn.IFERROR(SUM(K56),"")</f>
        <v>0</v>
      </c>
      <c r="L55" s="22">
        <f>_xlfn.IFERROR(SUM(L56),"")</f>
        <v>4534332750</v>
      </c>
      <c r="M55" s="23">
        <f>_xlfn.IFERROR(SUM(M56),"")</f>
        <v>0</v>
      </c>
      <c r="N55" s="23">
        <f>_xlfn.IFERROR(SUM(N56),"")</f>
        <v>6801499125</v>
      </c>
      <c r="O55" s="23">
        <f>_xlfn.IFERROR(SUM(O56),"")</f>
        <v>0</v>
      </c>
      <c r="P55" s="23">
        <f>_xlfn.IFERROR(SUM(P56),"")</f>
        <v>10202248687.5</v>
      </c>
      <c r="Q55" s="8"/>
      <c r="R55" s="8"/>
    </row>
    <row r="56" ht="32.2" customHeight="1">
      <c r="A56" s="13"/>
      <c r="B56" t="s" s="14"/>
      <c r="C56" t="s" s="14">
        <v>169</v>
      </c>
      <c r="D56" t="s" s="14"/>
      <c r="E56" t="s" s="14"/>
      <c r="F56" s="13"/>
      <c r="G56" s="13"/>
      <c r="H56" s="25">
        <v>2015259000</v>
      </c>
      <c r="I56" s="13"/>
      <c r="J56" s="25">
        <f>H56*1.5</f>
        <v>3022888500</v>
      </c>
      <c r="K56" s="13"/>
      <c r="L56" s="25">
        <f>J56*1.5</f>
        <v>4534332750</v>
      </c>
      <c r="M56" s="13"/>
      <c r="N56" s="16">
        <f>L56*1.5</f>
        <v>6801499125</v>
      </c>
      <c r="O56" s="13"/>
      <c r="P56" s="16">
        <f>N56*1.5</f>
        <v>10202248687.5</v>
      </c>
      <c r="Q56" s="13"/>
      <c r="R56" s="13"/>
    </row>
    <row r="57" ht="32.2" customHeight="1">
      <c r="A57" s="8"/>
      <c r="B57" t="s" s="9">
        <v>170</v>
      </c>
      <c r="C57" t="s" s="15">
        <v>171</v>
      </c>
      <c r="D57" s="11">
        <v>0</v>
      </c>
      <c r="E57" s="11">
        <v>0</v>
      </c>
      <c r="F57" s="8"/>
      <c r="G57" s="37">
        <f>_xlfn.IFERROR(G58,"")</f>
        <v>8790.159428571431</v>
      </c>
      <c r="H57" s="18">
        <f>_xlfn.IFERROR(H58,"")</f>
        <v>6153111600</v>
      </c>
      <c r="I57" s="37">
        <f>_xlfn.IFERROR(I58,"")</f>
        <v>10548.1913142857</v>
      </c>
      <c r="J57" s="18">
        <f>_xlfn.IFERROR(J58,"")</f>
        <v>7383733920</v>
      </c>
      <c r="K57" s="37">
        <f>_xlfn.IFERROR(K58,"")</f>
        <v>11075.60088</v>
      </c>
      <c r="L57" s="18">
        <f>_xlfn.IFERROR(L58,"")</f>
        <v>8860480704</v>
      </c>
      <c r="M57" s="37">
        <f>_xlfn.IFERROR(M58,"")</f>
        <v>13290.721056</v>
      </c>
      <c r="N57" s="17">
        <f>_xlfn.IFERROR(N58,"")</f>
        <v>10632576844.8</v>
      </c>
      <c r="O57" s="37">
        <f>_xlfn.IFERROR(O58,"")</f>
        <v>15948.8652672</v>
      </c>
      <c r="P57" s="17">
        <f>_xlfn.IFERROR(P58,"")</f>
        <v>12759092213.76</v>
      </c>
      <c r="Q57" s="8"/>
      <c r="R57" s="8"/>
    </row>
    <row r="58" ht="32.2" customHeight="1">
      <c r="A58" s="13"/>
      <c r="B58" t="s" s="14">
        <v>172</v>
      </c>
      <c r="C58" t="s" s="20">
        <v>173</v>
      </c>
      <c r="D58" s="16">
        <v>0</v>
      </c>
      <c r="E58" s="16">
        <v>0</v>
      </c>
      <c r="F58" s="13"/>
      <c r="G58" s="28">
        <f>_xlfn.IFERROR(SUM(G59),"")</f>
        <v>8790.159428571431</v>
      </c>
      <c r="H58" s="22">
        <f>_xlfn.IFERROR(SUM(H59),"")</f>
        <v>6153111600</v>
      </c>
      <c r="I58" s="28">
        <f>_xlfn.IFERROR(SUM(I59),"")</f>
        <v>10548.1913142857</v>
      </c>
      <c r="J58" s="22">
        <f>_xlfn.IFERROR(SUM(J59),"")</f>
        <v>7383733920</v>
      </c>
      <c r="K58" s="28">
        <f>_xlfn.IFERROR(SUM(K59),"")</f>
        <v>11075.60088</v>
      </c>
      <c r="L58" s="22">
        <f>_xlfn.IFERROR(SUM(L59),"")</f>
        <v>8860480704</v>
      </c>
      <c r="M58" s="28">
        <f>_xlfn.IFERROR(SUM(M59),"")</f>
        <v>13290.721056</v>
      </c>
      <c r="N58" s="23">
        <f>_xlfn.IFERROR(SUM(N59),"")</f>
        <v>10632576844.8</v>
      </c>
      <c r="O58" s="28">
        <f>_xlfn.IFERROR(SUM(O59),"")</f>
        <v>15948.8652672</v>
      </c>
      <c r="P58" s="23">
        <f>_xlfn.IFERROR(SUM(P59),"")</f>
        <v>12759092213.76</v>
      </c>
      <c r="Q58" s="13"/>
      <c r="R58" s="13"/>
    </row>
    <row r="59" ht="32.2" customHeight="1">
      <c r="A59" s="8"/>
      <c r="B59" t="s" s="9">
        <v>174</v>
      </c>
      <c r="C59" t="s" s="9">
        <v>175</v>
      </c>
      <c r="D59" t="s" s="9">
        <v>176</v>
      </c>
      <c r="E59" t="s" s="9">
        <v>177</v>
      </c>
      <c r="F59" s="8"/>
      <c r="G59" s="29">
        <f>H59/700000</f>
        <v>8790.159428571431</v>
      </c>
      <c r="H59" s="27">
        <v>6153111600</v>
      </c>
      <c r="I59" s="29">
        <f>J59/700000</f>
        <v>10548.1913142857</v>
      </c>
      <c r="J59" s="27">
        <f>H59*1.2</f>
        <v>7383733920</v>
      </c>
      <c r="K59" s="29">
        <f>L59/800000</f>
        <v>11075.60088</v>
      </c>
      <c r="L59" s="27">
        <f>J59*1.2</f>
        <v>8860480704</v>
      </c>
      <c r="M59" s="29">
        <f>N59/800000</f>
        <v>13290.721056</v>
      </c>
      <c r="N59" s="11">
        <f>L59*1.2</f>
        <v>10632576844.8</v>
      </c>
      <c r="O59" s="29">
        <f>P59/800000</f>
        <v>15948.8652672</v>
      </c>
      <c r="P59" s="11">
        <f>N59*1.2</f>
        <v>12759092213.76</v>
      </c>
      <c r="Q59" s="8"/>
      <c r="R59" s="8"/>
    </row>
    <row r="60" ht="20.2" customHeight="1">
      <c r="A60" s="13"/>
      <c r="B60" t="s" s="14">
        <v>178</v>
      </c>
      <c r="C60" t="s" s="15">
        <v>179</v>
      </c>
      <c r="D60" s="16">
        <v>0</v>
      </c>
      <c r="E60" s="16">
        <v>0</v>
      </c>
      <c r="F60" s="13"/>
      <c r="G60" s="38">
        <f>_xlfn.IFERROR(G61,"")</f>
        <v>1</v>
      </c>
      <c r="H60" s="39">
        <f>_xlfn.IFERROR(H61,"")</f>
        <v>50000000</v>
      </c>
      <c r="I60" s="38">
        <f>_xlfn.IFERROR(I61,"")</f>
        <v>1</v>
      </c>
      <c r="J60" s="39">
        <f>_xlfn.IFERROR(J61,"")</f>
        <v>85952500</v>
      </c>
      <c r="K60" s="38">
        <f>_xlfn.IFERROR(K61,"")</f>
        <v>1</v>
      </c>
      <c r="L60" s="39">
        <f>_xlfn.IFERROR(L61,"")</f>
        <v>129752500</v>
      </c>
      <c r="M60" s="38">
        <f>_xlfn.IFERROR(M61,"")</f>
        <v>1</v>
      </c>
      <c r="N60" s="40">
        <f>_xlfn.IFERROR(N61,"")</f>
        <v>129752500</v>
      </c>
      <c r="O60" s="38">
        <f>_xlfn.IFERROR(O61,"")</f>
        <v>1</v>
      </c>
      <c r="P60" s="39">
        <f>_xlfn.IFERROR(P61,"")</f>
        <v>129752500</v>
      </c>
      <c r="Q60" s="13"/>
      <c r="R60" s="13"/>
    </row>
    <row r="61" ht="44.2" customHeight="1">
      <c r="A61" s="8"/>
      <c r="B61" t="s" s="9">
        <v>180</v>
      </c>
      <c r="C61" t="s" s="20">
        <v>181</v>
      </c>
      <c r="D61" s="11">
        <v>0</v>
      </c>
      <c r="E61" s="11">
        <v>0</v>
      </c>
      <c r="F61" s="8"/>
      <c r="G61" s="41">
        <f>_xlfn.IFERROR(SUM(G62),"")</f>
        <v>1</v>
      </c>
      <c r="H61" s="42">
        <f>_xlfn.IFERROR(SUM(H62),"")</f>
        <v>50000000</v>
      </c>
      <c r="I61" s="41">
        <f>_xlfn.IFERROR(SUM(I62),"")</f>
        <v>1</v>
      </c>
      <c r="J61" s="42">
        <f>_xlfn.IFERROR(SUM(J62),"")</f>
        <v>85952500</v>
      </c>
      <c r="K61" s="41">
        <f>_xlfn.IFERROR(SUM(K62),"")</f>
        <v>1</v>
      </c>
      <c r="L61" s="42">
        <f>_xlfn.IFERROR(SUM(L62),"")</f>
        <v>129752500</v>
      </c>
      <c r="M61" s="41">
        <f>_xlfn.IFERROR(SUM(M62),"")</f>
        <v>1</v>
      </c>
      <c r="N61" s="43">
        <f>_xlfn.IFERROR(SUM(N62),"")</f>
        <v>129752500</v>
      </c>
      <c r="O61" s="41">
        <f>_xlfn.IFERROR(SUM(O62),"")</f>
        <v>1</v>
      </c>
      <c r="P61" s="42">
        <f>_xlfn.IFERROR(SUM(P62),"")</f>
        <v>129752500</v>
      </c>
      <c r="Q61" s="8"/>
      <c r="R61" s="8"/>
    </row>
    <row r="62" ht="92.2" customHeight="1">
      <c r="A62" s="13"/>
      <c r="B62" t="s" s="14">
        <v>182</v>
      </c>
      <c r="C62" t="s" s="14">
        <v>183</v>
      </c>
      <c r="D62" t="s" s="14">
        <v>27</v>
      </c>
      <c r="E62" t="s" s="14">
        <v>184</v>
      </c>
      <c r="F62" s="13"/>
      <c r="G62" s="44">
        <v>1</v>
      </c>
      <c r="H62" s="45">
        <v>50000000</v>
      </c>
      <c r="I62" s="44">
        <v>1</v>
      </c>
      <c r="J62" s="45">
        <v>85952500</v>
      </c>
      <c r="K62" s="44">
        <v>1</v>
      </c>
      <c r="L62" s="45">
        <v>129752500</v>
      </c>
      <c r="M62" s="44">
        <v>1</v>
      </c>
      <c r="N62" s="46">
        <v>129752500</v>
      </c>
      <c r="O62" s="44">
        <v>1</v>
      </c>
      <c r="P62" s="45">
        <v>129752500</v>
      </c>
      <c r="Q62" s="13"/>
      <c r="R62" s="13"/>
    </row>
    <row r="63" ht="20.2" customHeight="1">
      <c r="A63" s="8"/>
      <c r="B63" t="s" s="9">
        <v>185</v>
      </c>
      <c r="C63" t="s" s="15">
        <v>186</v>
      </c>
      <c r="D63" s="11">
        <v>0</v>
      </c>
      <c r="E63" s="11">
        <v>0</v>
      </c>
      <c r="F63" s="8"/>
      <c r="G63" s="17">
        <f>_xlfn.IFERROR(G64,"")</f>
        <v>0</v>
      </c>
      <c r="H63" s="18">
        <f>_xlfn.IFERROR(H64,"")</f>
        <v>22152556938</v>
      </c>
      <c r="I63" s="17">
        <f>_xlfn.IFERROR(I64,"")</f>
        <v>0</v>
      </c>
      <c r="J63" s="39">
        <f>_xlfn.IFERROR(J64,"")</f>
        <v>22152000000</v>
      </c>
      <c r="K63" s="17">
        <f>_xlfn.IFERROR(K64,"")</f>
        <v>0</v>
      </c>
      <c r="L63" s="39">
        <f>_xlfn.IFERROR(L64,"")</f>
        <v>22152000000</v>
      </c>
      <c r="M63" s="17">
        <f>_xlfn.IFERROR(M64,"")</f>
        <v>0</v>
      </c>
      <c r="N63" s="40">
        <f>_xlfn.IFERROR(N64,"")</f>
        <v>22152000000</v>
      </c>
      <c r="O63" s="17">
        <f>_xlfn.IFERROR(O64,"")</f>
        <v>0</v>
      </c>
      <c r="P63" s="39">
        <f>_xlfn.IFERROR(P64,"")</f>
        <v>22152000000</v>
      </c>
      <c r="Q63" s="8"/>
      <c r="R63" s="8"/>
    </row>
    <row r="64" ht="32.2" customHeight="1">
      <c r="A64" s="13"/>
      <c r="B64" t="s" s="14">
        <v>187</v>
      </c>
      <c r="C64" t="s" s="20">
        <v>188</v>
      </c>
      <c r="D64" s="16">
        <v>0</v>
      </c>
      <c r="E64" s="16">
        <v>0</v>
      </c>
      <c r="F64" s="13"/>
      <c r="G64" s="23">
        <f>_xlfn.IFERROR(SUM(G65),"")</f>
        <v>0</v>
      </c>
      <c r="H64" s="22">
        <f>_xlfn.IFERROR(SUM(H65),"")</f>
        <v>22152556938</v>
      </c>
      <c r="I64" s="23">
        <f>_xlfn.IFERROR(SUM(I65),"")</f>
        <v>0</v>
      </c>
      <c r="J64" s="42">
        <f>_xlfn.IFERROR(SUM(J65),"")</f>
        <v>22152000000</v>
      </c>
      <c r="K64" s="23">
        <f>_xlfn.IFERROR(SUM(K65),"")</f>
        <v>0</v>
      </c>
      <c r="L64" s="42">
        <f>_xlfn.IFERROR(SUM(L65),"")</f>
        <v>22152000000</v>
      </c>
      <c r="M64" s="23">
        <f>_xlfn.IFERROR(SUM(M65),"")</f>
        <v>0</v>
      </c>
      <c r="N64" s="43">
        <f>_xlfn.IFERROR(SUM(N65),"")</f>
        <v>22152000000</v>
      </c>
      <c r="O64" s="23">
        <f>_xlfn.IFERROR(SUM(O65),"")</f>
        <v>0</v>
      </c>
      <c r="P64" s="42">
        <f>_xlfn.IFERROR(SUM(P65),"")</f>
        <v>22152000000</v>
      </c>
      <c r="Q64" s="13"/>
      <c r="R64" s="13"/>
    </row>
    <row r="65" ht="68.2" customHeight="1">
      <c r="A65" s="8"/>
      <c r="B65" t="s" s="9">
        <v>189</v>
      </c>
      <c r="C65" t="s" s="9">
        <v>190</v>
      </c>
      <c r="D65" t="s" s="9">
        <v>27</v>
      </c>
      <c r="E65" t="s" s="9">
        <v>191</v>
      </c>
      <c r="F65" s="8"/>
      <c r="G65" s="8"/>
      <c r="H65" s="27">
        <v>22152556938</v>
      </c>
      <c r="I65" s="8"/>
      <c r="J65" s="34">
        <v>22152000000</v>
      </c>
      <c r="K65" s="8"/>
      <c r="L65" s="34">
        <v>22152000000</v>
      </c>
      <c r="M65" s="8"/>
      <c r="N65" s="35">
        <v>22152000000</v>
      </c>
      <c r="O65" s="8"/>
      <c r="P65" s="34">
        <v>22152000000</v>
      </c>
      <c r="Q65" s="8"/>
      <c r="R65" s="8"/>
    </row>
    <row r="66" ht="20.2" customHeight="1">
      <c r="A66" s="13"/>
      <c r="B66" t="s" s="14">
        <v>192</v>
      </c>
      <c r="C66" t="s" s="15">
        <v>193</v>
      </c>
      <c r="D66" s="16">
        <v>0</v>
      </c>
      <c r="E66" s="16">
        <v>0</v>
      </c>
      <c r="F66" s="13"/>
      <c r="G66" s="47">
        <f>_xlfn.IFERROR(G67,"")</f>
        <v>117.799010794118</v>
      </c>
      <c r="H66" s="18">
        <f>_xlfn.IFERROR(H67,"")</f>
        <v>124318668425</v>
      </c>
      <c r="I66" s="47">
        <f>_xlfn.IFERROR(I67,"")</f>
        <v>136.362812947059</v>
      </c>
      <c r="J66" s="18">
        <f>_xlfn.IFERROR(J67,"")</f>
        <v>140697900255</v>
      </c>
      <c r="K66" s="17">
        <f>_xlfn.IFERROR(K67,"")</f>
        <v>144.931953592941</v>
      </c>
      <c r="L66" s="18">
        <f>_xlfn.IFERROR(L67,"")</f>
        <v>145431669804</v>
      </c>
      <c r="M66" s="17">
        <f>_xlfn.IFERROR(M67,"")</f>
        <v>149.779551271118</v>
      </c>
      <c r="N66" s="17">
        <f>_xlfn.IFERROR(N67,"")</f>
        <v>150402127830.45</v>
      </c>
      <c r="O66" s="47">
        <f>_xlfn.IFERROR(O67,"")</f>
        <v>153.919528833204</v>
      </c>
      <c r="P66" s="17">
        <f>_xlfn.IFERROR(P67,"")</f>
        <v>155621108758.223</v>
      </c>
      <c r="Q66" s="13"/>
      <c r="R66" s="13"/>
    </row>
    <row r="67" ht="20.2" customHeight="1">
      <c r="A67" s="8"/>
      <c r="B67" t="s" s="9">
        <v>194</v>
      </c>
      <c r="C67" t="s" s="20">
        <v>195</v>
      </c>
      <c r="D67" s="11">
        <v>0</v>
      </c>
      <c r="E67" s="11">
        <v>0</v>
      </c>
      <c r="F67" s="8"/>
      <c r="G67" s="48">
        <f>_xlfn.IFERROR(SUM(G68:G72),"")</f>
        <v>117.799010794118</v>
      </c>
      <c r="H67" s="22">
        <f>_xlfn.IFERROR(SUM(H68:H73),"")</f>
        <v>124318668425</v>
      </c>
      <c r="I67" s="48">
        <f>_xlfn.IFERROR(SUM(I68,I69),"")</f>
        <v>136.362812947059</v>
      </c>
      <c r="J67" s="22">
        <f>_xlfn.IFERROR(SUM(J68:J73),"")</f>
        <v>140697900255</v>
      </c>
      <c r="K67" s="23">
        <f>_xlfn.IFERROR(SUM(K68:K73),"")</f>
        <v>144.931953592941</v>
      </c>
      <c r="L67" s="22">
        <f>_xlfn.IFERROR(SUM(L68:L73),"")</f>
        <v>145431669804</v>
      </c>
      <c r="M67" s="23">
        <f>_xlfn.IFERROR(SUM(M68:M72),"")</f>
        <v>149.779551271118</v>
      </c>
      <c r="N67" s="23">
        <f>_xlfn.IFERROR(SUM(N68:N73),"")</f>
        <v>150402127830.45</v>
      </c>
      <c r="O67" s="48">
        <f>_xlfn.IFERROR(SUM(O68,O69),"")</f>
        <v>153.919528833204</v>
      </c>
      <c r="P67" s="23">
        <f>_xlfn.IFERROR(SUM(P68:P73),"")</f>
        <v>155621108758.223</v>
      </c>
      <c r="Q67" s="8"/>
      <c r="R67" s="8"/>
    </row>
    <row r="68" ht="20.2" customHeight="1">
      <c r="A68" s="13"/>
      <c r="B68" t="s" s="14">
        <v>196</v>
      </c>
      <c r="C68" t="s" s="14">
        <v>197</v>
      </c>
      <c r="D68" t="s" s="14">
        <v>129</v>
      </c>
      <c r="E68" t="s" s="14">
        <v>198</v>
      </c>
      <c r="F68" s="13"/>
      <c r="G68" s="49">
        <f>H68/850000000</f>
        <v>92.81901076470589</v>
      </c>
      <c r="H68" s="25">
        <v>78896159150</v>
      </c>
      <c r="I68" s="49">
        <f>J68/850000000</f>
        <v>111.382812917647</v>
      </c>
      <c r="J68" s="25">
        <f>H68*1.2</f>
        <v>94675390980</v>
      </c>
      <c r="K68" s="49">
        <f>L68/850000000</f>
        <v>116.951953563529</v>
      </c>
      <c r="L68" s="25">
        <f>J68*1.05</f>
        <v>99409160529</v>
      </c>
      <c r="M68" s="49">
        <f>N68/850000000</f>
        <v>122.799551241706</v>
      </c>
      <c r="N68" s="16">
        <f>L68*1.05</f>
        <v>104379618555.45</v>
      </c>
      <c r="O68" s="49">
        <f>P68/850000000</f>
        <v>128.939528803792</v>
      </c>
      <c r="P68" s="16">
        <f>N68*1.05</f>
        <v>109598599483.223</v>
      </c>
      <c r="Q68" s="13"/>
      <c r="R68" s="13"/>
    </row>
    <row r="69" ht="20.2" customHeight="1">
      <c r="A69" s="8"/>
      <c r="B69" t="s" s="9">
        <v>199</v>
      </c>
      <c r="C69" t="s" s="9">
        <v>200</v>
      </c>
      <c r="D69" t="s" s="9">
        <v>129</v>
      </c>
      <c r="E69" t="s" s="9">
        <v>201</v>
      </c>
      <c r="F69" s="8"/>
      <c r="G69" s="50">
        <f>H69/850000000</f>
        <v>24.9800000294118</v>
      </c>
      <c r="H69" s="27">
        <v>21233000025</v>
      </c>
      <c r="I69" s="50">
        <f>J69/850000000</f>
        <v>24.9800000294118</v>
      </c>
      <c r="J69" s="27">
        <v>21233000025</v>
      </c>
      <c r="K69" s="50">
        <f>L69/850000000</f>
        <v>24.9800000294118</v>
      </c>
      <c r="L69" s="27">
        <v>21233000025</v>
      </c>
      <c r="M69" s="50">
        <f>N69/850000000</f>
        <v>24.9800000294118</v>
      </c>
      <c r="N69" s="11">
        <v>21233000025</v>
      </c>
      <c r="O69" s="50">
        <f>P69/850000000</f>
        <v>24.9800000294118</v>
      </c>
      <c r="P69" s="27">
        <v>21233000025</v>
      </c>
      <c r="Q69" s="8"/>
      <c r="R69" s="8"/>
    </row>
    <row r="70" ht="20.2" customHeight="1">
      <c r="A70" s="13"/>
      <c r="B70" t="s" s="14">
        <v>202</v>
      </c>
      <c r="C70" t="s" s="14">
        <v>203</v>
      </c>
      <c r="D70" t="s" s="14">
        <v>129</v>
      </c>
      <c r="E70" t="s" s="14">
        <v>204</v>
      </c>
      <c r="F70" s="13"/>
      <c r="G70" s="13"/>
      <c r="H70" s="13"/>
      <c r="I70" s="16">
        <v>1</v>
      </c>
      <c r="J70" s="25">
        <v>200000000</v>
      </c>
      <c r="K70" s="16">
        <v>1</v>
      </c>
      <c r="L70" s="25">
        <v>200000000</v>
      </c>
      <c r="M70" s="16">
        <v>1</v>
      </c>
      <c r="N70" s="16">
        <v>200000000</v>
      </c>
      <c r="O70" s="16">
        <v>1</v>
      </c>
      <c r="P70" s="25">
        <v>200000000</v>
      </c>
      <c r="Q70" s="13"/>
      <c r="R70" s="13"/>
    </row>
    <row r="71" ht="20.2" customHeight="1">
      <c r="A71" s="8"/>
      <c r="B71" t="s" s="9">
        <v>205</v>
      </c>
      <c r="C71" t="s" s="9">
        <v>206</v>
      </c>
      <c r="D71" t="s" s="9">
        <v>129</v>
      </c>
      <c r="E71" t="s" s="9">
        <v>207</v>
      </c>
      <c r="F71" s="8"/>
      <c r="G71" s="8"/>
      <c r="H71" s="8"/>
      <c r="I71" s="11">
        <v>1</v>
      </c>
      <c r="J71" s="27">
        <v>200000000</v>
      </c>
      <c r="K71" s="11">
        <v>1</v>
      </c>
      <c r="L71" s="27">
        <v>200000000</v>
      </c>
      <c r="M71" s="11">
        <v>1</v>
      </c>
      <c r="N71" s="11">
        <v>200000000</v>
      </c>
      <c r="O71" s="11">
        <v>1</v>
      </c>
      <c r="P71" s="27">
        <v>200000000</v>
      </c>
      <c r="Q71" s="8"/>
      <c r="R71" s="8"/>
    </row>
    <row r="72" ht="20.2" customHeight="1">
      <c r="A72" s="13"/>
      <c r="B72" t="s" s="14">
        <v>208</v>
      </c>
      <c r="C72" t="s" s="14">
        <v>209</v>
      </c>
      <c r="D72" t="s" s="14">
        <v>210</v>
      </c>
      <c r="E72" t="s" s="14">
        <v>211</v>
      </c>
      <c r="F72" s="13"/>
      <c r="G72" s="13"/>
      <c r="H72" s="25">
        <v>24189509250</v>
      </c>
      <c r="I72" s="13"/>
      <c r="J72" s="25">
        <v>24189509250</v>
      </c>
      <c r="K72" s="13"/>
      <c r="L72" s="25">
        <v>24189509250</v>
      </c>
      <c r="M72" s="13"/>
      <c r="N72" s="16">
        <v>24189509250</v>
      </c>
      <c r="O72" s="13"/>
      <c r="P72" s="25">
        <v>24189509250</v>
      </c>
      <c r="Q72" s="13"/>
      <c r="R72" s="13"/>
    </row>
    <row r="73" ht="32.2" customHeight="1">
      <c r="A73" s="8"/>
      <c r="B73" t="s" s="9">
        <v>212</v>
      </c>
      <c r="C73" t="s" s="9">
        <v>213</v>
      </c>
      <c r="D73" t="s" s="9">
        <v>210</v>
      </c>
      <c r="E73" t="s" s="9">
        <v>214</v>
      </c>
      <c r="F73" s="8"/>
      <c r="G73" s="8"/>
      <c r="H73" s="8"/>
      <c r="I73" s="11">
        <v>1</v>
      </c>
      <c r="J73" s="27">
        <v>200000000</v>
      </c>
      <c r="K73" s="11">
        <v>1</v>
      </c>
      <c r="L73" s="27">
        <v>200000000</v>
      </c>
      <c r="M73" s="11">
        <v>1</v>
      </c>
      <c r="N73" s="11">
        <v>200000000</v>
      </c>
      <c r="O73" s="11">
        <v>1</v>
      </c>
      <c r="P73" s="27">
        <v>200000000</v>
      </c>
      <c r="Q73" s="8"/>
      <c r="R73" s="8"/>
    </row>
    <row r="74" ht="20.2" customHeight="1">
      <c r="A74" s="13"/>
      <c r="B74" t="s" s="14">
        <v>215</v>
      </c>
      <c r="C74" t="s" s="15">
        <v>216</v>
      </c>
      <c r="D74" s="16">
        <v>0</v>
      </c>
      <c r="E74" s="16">
        <v>0</v>
      </c>
      <c r="F74" s="13"/>
      <c r="G74" s="18">
        <f>G75+G79+G82</f>
        <v>0</v>
      </c>
      <c r="H74" s="18">
        <f>H75+H79+H82</f>
        <v>0</v>
      </c>
      <c r="I74" s="18">
        <f>I75+I79+I82</f>
        <v>674</v>
      </c>
      <c r="J74" s="18">
        <f>J75+J79+J82</f>
        <v>1218918150</v>
      </c>
      <c r="K74" s="18">
        <f>K75+K79+K82</f>
        <v>572</v>
      </c>
      <c r="L74" s="18">
        <f>L75+L79+L82</f>
        <v>1009935000</v>
      </c>
      <c r="M74" s="18">
        <f>M75+M79+M82</f>
        <v>480</v>
      </c>
      <c r="N74" s="18">
        <f>N75+N79+N82</f>
        <v>703035000</v>
      </c>
      <c r="O74" s="18">
        <f>O75+O79+O82</f>
        <v>480</v>
      </c>
      <c r="P74" s="18">
        <f>P75+P79+P82</f>
        <v>795395000</v>
      </c>
      <c r="Q74" s="13"/>
      <c r="R74" s="13"/>
    </row>
    <row r="75" ht="20.2" customHeight="1">
      <c r="A75" s="8"/>
      <c r="B75" t="s" s="9">
        <v>217</v>
      </c>
      <c r="C75" t="s" s="20">
        <v>218</v>
      </c>
      <c r="D75" s="11">
        <v>0</v>
      </c>
      <c r="E75" s="11">
        <v>0</v>
      </c>
      <c r="F75" s="8"/>
      <c r="G75" s="23">
        <f>SUM(G76:G78)</f>
        <v>0</v>
      </c>
      <c r="H75" s="23">
        <f>SUM(H76:H78)</f>
        <v>0</v>
      </c>
      <c r="I75" s="51">
        <f>SUM(I76:I78)</f>
        <v>600</v>
      </c>
      <c r="J75" s="42">
        <f>SUM(J76:J78)</f>
        <v>937557200</v>
      </c>
      <c r="K75" s="51">
        <f>SUM(K76:K78)</f>
        <v>500</v>
      </c>
      <c r="L75" s="42">
        <f>SUM(L76:L78)</f>
        <v>747335000</v>
      </c>
      <c r="M75" s="51">
        <f>SUM(M76:M78)</f>
        <v>408</v>
      </c>
      <c r="N75" s="43">
        <f>SUM(N76:N78)</f>
        <v>532795000</v>
      </c>
      <c r="O75" s="51">
        <f>SUM(O76:O78)</f>
        <v>408</v>
      </c>
      <c r="P75" s="42">
        <f>SUM(P76:P78)</f>
        <v>532795000</v>
      </c>
      <c r="Q75" s="8"/>
      <c r="R75" s="8"/>
    </row>
    <row r="76" ht="56.2" customHeight="1">
      <c r="A76" s="13"/>
      <c r="B76" t="s" s="14">
        <v>219</v>
      </c>
      <c r="C76" t="s" s="14">
        <v>220</v>
      </c>
      <c r="D76" t="s" s="14">
        <v>27</v>
      </c>
      <c r="E76" t="s" s="14">
        <v>221</v>
      </c>
      <c r="F76" s="13"/>
      <c r="G76" s="13"/>
      <c r="H76" s="13"/>
      <c r="I76" s="52">
        <v>200</v>
      </c>
      <c r="J76" s="45">
        <v>148740000</v>
      </c>
      <c r="K76" s="52">
        <v>200</v>
      </c>
      <c r="L76" s="45">
        <v>148740000</v>
      </c>
      <c r="M76" s="52">
        <v>200</v>
      </c>
      <c r="N76" s="46">
        <v>148740000</v>
      </c>
      <c r="O76" s="52">
        <v>200</v>
      </c>
      <c r="P76" s="45">
        <v>148740000</v>
      </c>
      <c r="Q76" s="13"/>
      <c r="R76" s="13"/>
    </row>
    <row r="77" ht="56.2" customHeight="1">
      <c r="A77" s="8"/>
      <c r="B77" t="s" s="9">
        <v>222</v>
      </c>
      <c r="C77" t="s" s="9">
        <v>223</v>
      </c>
      <c r="D77" t="s" s="9">
        <v>224</v>
      </c>
      <c r="E77" t="s" s="9">
        <v>225</v>
      </c>
      <c r="F77" s="8"/>
      <c r="G77" s="8"/>
      <c r="H77" s="8"/>
      <c r="I77" s="53">
        <v>200</v>
      </c>
      <c r="J77" s="34">
        <v>324300000</v>
      </c>
      <c r="K77" s="53">
        <v>200</v>
      </c>
      <c r="L77" s="34">
        <v>324300000</v>
      </c>
      <c r="M77" s="53">
        <v>200</v>
      </c>
      <c r="N77" s="35">
        <v>324300000</v>
      </c>
      <c r="O77" s="53">
        <v>200</v>
      </c>
      <c r="P77" s="34">
        <v>324300000</v>
      </c>
      <c r="Q77" s="8"/>
      <c r="R77" s="8"/>
    </row>
    <row r="78" ht="32.2" customHeight="1">
      <c r="A78" s="13"/>
      <c r="B78" t="s" s="14">
        <v>226</v>
      </c>
      <c r="C78" t="s" s="14">
        <v>227</v>
      </c>
      <c r="D78" t="s" s="14">
        <v>228</v>
      </c>
      <c r="E78" t="s" s="14">
        <v>229</v>
      </c>
      <c r="F78" s="13"/>
      <c r="G78" s="13"/>
      <c r="H78" s="13"/>
      <c r="I78" s="52">
        <v>200</v>
      </c>
      <c r="J78" s="45">
        <v>464517200</v>
      </c>
      <c r="K78" s="52">
        <v>100</v>
      </c>
      <c r="L78" s="45">
        <v>274295000</v>
      </c>
      <c r="M78" s="52">
        <v>8</v>
      </c>
      <c r="N78" s="46">
        <v>59755000</v>
      </c>
      <c r="O78" s="52">
        <v>8</v>
      </c>
      <c r="P78" s="45">
        <v>59755000</v>
      </c>
      <c r="Q78" s="13"/>
      <c r="R78" s="13"/>
    </row>
    <row r="79" ht="32.2" customHeight="1">
      <c r="A79" s="8"/>
      <c r="B79" t="s" s="9">
        <v>230</v>
      </c>
      <c r="C79" t="s" s="20">
        <v>231</v>
      </c>
      <c r="D79" s="11">
        <v>0</v>
      </c>
      <c r="E79" s="11">
        <v>0</v>
      </c>
      <c r="F79" s="8"/>
      <c r="G79" s="54"/>
      <c r="H79" s="23">
        <f>H80+H81</f>
        <v>0</v>
      </c>
      <c r="I79" s="23">
        <f>I80+I81</f>
        <v>14</v>
      </c>
      <c r="J79" s="42">
        <f>J80+J81</f>
        <v>31360950</v>
      </c>
      <c r="K79" s="21">
        <f>K80+K81</f>
        <v>12</v>
      </c>
      <c r="L79" s="42">
        <f>L80+L81</f>
        <v>12600000</v>
      </c>
      <c r="M79" s="21">
        <f>M80+M81</f>
        <v>12</v>
      </c>
      <c r="N79" s="43">
        <f>N80+N81</f>
        <v>12600000</v>
      </c>
      <c r="O79" s="21">
        <f>O80+O81</f>
        <v>12</v>
      </c>
      <c r="P79" s="42">
        <f>P80+P81</f>
        <v>12600000</v>
      </c>
      <c r="Q79" s="8"/>
      <c r="R79" s="8"/>
    </row>
    <row r="80" ht="32.2" customHeight="1">
      <c r="A80" s="13"/>
      <c r="B80" t="s" s="14">
        <v>232</v>
      </c>
      <c r="C80" t="s" s="14">
        <v>233</v>
      </c>
      <c r="D80" t="s" s="14">
        <v>234</v>
      </c>
      <c r="E80" t="s" s="14">
        <v>235</v>
      </c>
      <c r="F80" s="13"/>
      <c r="G80" s="13"/>
      <c r="H80" s="13"/>
      <c r="I80" s="24">
        <v>12</v>
      </c>
      <c r="J80" s="45">
        <v>12600000</v>
      </c>
      <c r="K80" s="24">
        <v>12</v>
      </c>
      <c r="L80" s="45">
        <v>12600000</v>
      </c>
      <c r="M80" s="24">
        <v>12</v>
      </c>
      <c r="N80" s="46">
        <v>12600000</v>
      </c>
      <c r="O80" s="24">
        <v>12</v>
      </c>
      <c r="P80" s="45">
        <v>12600000</v>
      </c>
      <c r="Q80" s="13"/>
      <c r="R80" s="13"/>
    </row>
    <row r="81" ht="32.2" customHeight="1">
      <c r="A81" s="8"/>
      <c r="B81" t="s" s="9">
        <v>236</v>
      </c>
      <c r="C81" t="s" s="9">
        <v>237</v>
      </c>
      <c r="D81" t="s" s="9">
        <v>238</v>
      </c>
      <c r="E81" t="s" s="9">
        <v>239</v>
      </c>
      <c r="F81" s="8"/>
      <c r="G81" s="8"/>
      <c r="H81" s="8"/>
      <c r="I81" s="55">
        <v>2</v>
      </c>
      <c r="J81" s="34">
        <v>18760950</v>
      </c>
      <c r="K81" s="8"/>
      <c r="L81" s="8"/>
      <c r="M81" s="8"/>
      <c r="N81" s="11"/>
      <c r="O81" s="8"/>
      <c r="P81" s="8"/>
      <c r="Q81" s="8"/>
      <c r="R81" s="8"/>
    </row>
    <row r="82" ht="32.2" customHeight="1">
      <c r="A82" s="13"/>
      <c r="B82" t="s" s="14">
        <v>240</v>
      </c>
      <c r="C82" t="s" s="20">
        <v>241</v>
      </c>
      <c r="D82" s="16">
        <v>0</v>
      </c>
      <c r="E82" s="16">
        <v>0</v>
      </c>
      <c r="F82" s="13"/>
      <c r="G82" s="54"/>
      <c r="H82" s="23">
        <f>H83</f>
        <v>0</v>
      </c>
      <c r="I82" s="51">
        <f>I83</f>
        <v>60</v>
      </c>
      <c r="J82" s="42">
        <f>J83</f>
        <v>250000000</v>
      </c>
      <c r="K82" s="51">
        <f>K83</f>
        <v>60</v>
      </c>
      <c r="L82" s="42">
        <f>L83</f>
        <v>250000000</v>
      </c>
      <c r="M82" s="51">
        <f>M83</f>
        <v>60</v>
      </c>
      <c r="N82" s="43">
        <f>N83</f>
        <v>157640000</v>
      </c>
      <c r="O82" s="51">
        <f>O83</f>
        <v>60</v>
      </c>
      <c r="P82" s="42">
        <f>P83</f>
        <v>250000000</v>
      </c>
      <c r="Q82" s="13"/>
      <c r="R82" s="13"/>
    </row>
    <row r="83" ht="44.2" customHeight="1">
      <c r="A83" s="8"/>
      <c r="B83" t="s" s="9">
        <v>242</v>
      </c>
      <c r="C83" t="s" s="9">
        <v>243</v>
      </c>
      <c r="D83" t="s" s="9">
        <v>244</v>
      </c>
      <c r="E83" t="s" s="9">
        <v>245</v>
      </c>
      <c r="F83" s="8"/>
      <c r="G83" s="8"/>
      <c r="H83" s="8"/>
      <c r="I83" s="53">
        <v>60</v>
      </c>
      <c r="J83" s="34">
        <v>250000000</v>
      </c>
      <c r="K83" s="53">
        <v>60</v>
      </c>
      <c r="L83" s="34">
        <v>250000000</v>
      </c>
      <c r="M83" s="53">
        <v>60</v>
      </c>
      <c r="N83" s="35">
        <v>157640000</v>
      </c>
      <c r="O83" s="53">
        <v>60</v>
      </c>
      <c r="P83" s="34">
        <v>250000000</v>
      </c>
      <c r="Q83" s="8"/>
      <c r="R83" s="8"/>
    </row>
    <row r="84" ht="20.2" customHeight="1">
      <c r="A84" s="13"/>
      <c r="B84" t="s" s="14">
        <v>246</v>
      </c>
      <c r="C84" t="s" s="15">
        <v>247</v>
      </c>
      <c r="D84" s="16">
        <v>0</v>
      </c>
      <c r="E84" s="16">
        <v>0</v>
      </c>
      <c r="F84" s="13"/>
      <c r="G84" s="18">
        <f>G85+G90+G92+G95</f>
        <v>1</v>
      </c>
      <c r="H84" s="18">
        <f>H85+H90+H92+H95</f>
        <v>711234600</v>
      </c>
      <c r="I84" s="18">
        <f>I85</f>
        <v>5</v>
      </c>
      <c r="J84" s="18">
        <f>J85+J90+J92+J95</f>
        <v>3063895250</v>
      </c>
      <c r="K84" s="18">
        <f>K85</f>
        <v>3</v>
      </c>
      <c r="L84" s="18">
        <f>L85+L90+L92+L95</f>
        <v>2035842250</v>
      </c>
      <c r="M84" s="18">
        <f>M85</f>
        <v>3</v>
      </c>
      <c r="N84" s="17">
        <f>N85+N90+N92+N95</f>
        <v>1915658250</v>
      </c>
      <c r="O84" s="18">
        <f>O85</f>
        <v>3</v>
      </c>
      <c r="P84" s="18">
        <f>P85+P90+P92+P95</f>
        <v>2004181250</v>
      </c>
      <c r="Q84" s="13"/>
      <c r="R84" s="13"/>
    </row>
    <row r="85" ht="32.2" customHeight="1">
      <c r="A85" s="8"/>
      <c r="B85" t="s" s="9">
        <v>248</v>
      </c>
      <c r="C85" t="s" s="20">
        <v>249</v>
      </c>
      <c r="D85" s="11">
        <v>0</v>
      </c>
      <c r="E85" s="11">
        <v>0</v>
      </c>
      <c r="F85" s="8"/>
      <c r="G85" s="56">
        <f>SUM(G86)</f>
        <v>1</v>
      </c>
      <c r="H85" s="42">
        <f>SUM(H86)</f>
        <v>629235750</v>
      </c>
      <c r="I85" s="23">
        <f>SUM(I86:I89)</f>
        <v>5</v>
      </c>
      <c r="J85" s="42">
        <f>SUM(J86:J89)</f>
        <v>2599796250</v>
      </c>
      <c r="K85" s="23">
        <f>SUM(K86:K89)</f>
        <v>3</v>
      </c>
      <c r="L85" s="42">
        <f>SUM(L86:L89)</f>
        <v>1597749250</v>
      </c>
      <c r="M85" s="23">
        <f>SUM(M86:M89)</f>
        <v>3</v>
      </c>
      <c r="N85" s="43">
        <f>SUM(N86:N89)</f>
        <v>1642311750</v>
      </c>
      <c r="O85" s="23">
        <f>SUM(O86:O89)</f>
        <v>3</v>
      </c>
      <c r="P85" s="42">
        <f>SUM(P86:P89)</f>
        <v>1648674750</v>
      </c>
      <c r="Q85" s="8"/>
      <c r="R85" s="8"/>
    </row>
    <row r="86" ht="32.2" customHeight="1">
      <c r="A86" s="13"/>
      <c r="B86" t="s" s="14">
        <v>250</v>
      </c>
      <c r="C86" t="s" s="14">
        <v>251</v>
      </c>
      <c r="D86" t="s" s="14">
        <v>27</v>
      </c>
      <c r="E86" t="s" s="14">
        <v>252</v>
      </c>
      <c r="F86" s="13"/>
      <c r="G86" s="57">
        <v>1</v>
      </c>
      <c r="H86" s="45">
        <v>629235750</v>
      </c>
      <c r="I86" s="13"/>
      <c r="J86" s="13"/>
      <c r="K86" s="52"/>
      <c r="L86" s="13"/>
      <c r="M86" s="52"/>
      <c r="N86" s="16"/>
      <c r="O86" s="52"/>
      <c r="P86" s="13"/>
      <c r="Q86" s="13"/>
      <c r="R86" s="13"/>
    </row>
    <row r="87" ht="32.2" customHeight="1">
      <c r="A87" s="8"/>
      <c r="B87" t="s" s="9">
        <v>253</v>
      </c>
      <c r="C87" t="s" s="9">
        <v>254</v>
      </c>
      <c r="D87" t="s" s="9">
        <v>27</v>
      </c>
      <c r="E87" t="s" s="9">
        <v>255</v>
      </c>
      <c r="F87" s="8"/>
      <c r="G87" s="58">
        <v>2</v>
      </c>
      <c r="H87" s="34">
        <v>1367987000</v>
      </c>
      <c r="I87" s="58">
        <v>1</v>
      </c>
      <c r="J87" s="34">
        <v>1134553250</v>
      </c>
      <c r="K87" s="58">
        <v>1</v>
      </c>
      <c r="L87" s="34">
        <v>975902250</v>
      </c>
      <c r="M87" s="58">
        <v>1</v>
      </c>
      <c r="N87" s="35">
        <v>968793250</v>
      </c>
      <c r="O87" s="58">
        <v>1</v>
      </c>
      <c r="P87" s="34">
        <v>975156250</v>
      </c>
      <c r="Q87" s="8"/>
      <c r="R87" s="8"/>
    </row>
    <row r="88" ht="32.2" customHeight="1">
      <c r="A88" s="13"/>
      <c r="B88" t="s" s="14">
        <v>256</v>
      </c>
      <c r="C88" t="s" s="14">
        <v>257</v>
      </c>
      <c r="D88" t="s" s="14">
        <v>27</v>
      </c>
      <c r="E88" t="s" s="14">
        <v>258</v>
      </c>
      <c r="F88" s="13"/>
      <c r="G88" s="13"/>
      <c r="H88" s="45">
        <v>231711000</v>
      </c>
      <c r="I88" s="52">
        <v>1</v>
      </c>
      <c r="J88" s="45">
        <v>1027863000</v>
      </c>
      <c r="K88" s="52">
        <v>1</v>
      </c>
      <c r="L88" s="45">
        <v>525147000</v>
      </c>
      <c r="M88" s="52">
        <v>1</v>
      </c>
      <c r="N88" s="46">
        <v>576818500</v>
      </c>
      <c r="O88" s="52">
        <v>1</v>
      </c>
      <c r="P88" s="45">
        <v>576818500</v>
      </c>
      <c r="Q88" s="13"/>
      <c r="R88" s="13"/>
    </row>
    <row r="89" ht="32.2" customHeight="1">
      <c r="A89" s="8"/>
      <c r="B89" t="s" s="9">
        <v>259</v>
      </c>
      <c r="C89" t="s" s="9">
        <v>260</v>
      </c>
      <c r="D89" t="s" s="9">
        <v>224</v>
      </c>
      <c r="E89" t="s" s="9">
        <v>261</v>
      </c>
      <c r="F89" s="8"/>
      <c r="G89" s="11">
        <v>1</v>
      </c>
      <c r="H89" s="34">
        <v>106085000</v>
      </c>
      <c r="I89" s="59">
        <v>3</v>
      </c>
      <c r="J89" s="34">
        <v>437380000</v>
      </c>
      <c r="K89" s="11">
        <v>1</v>
      </c>
      <c r="L89" s="34">
        <v>96700000</v>
      </c>
      <c r="M89" s="11">
        <v>1</v>
      </c>
      <c r="N89" s="35">
        <v>96700000</v>
      </c>
      <c r="O89" s="11">
        <v>1</v>
      </c>
      <c r="P89" s="34">
        <v>96700000</v>
      </c>
      <c r="Q89" s="8"/>
      <c r="R89" s="8"/>
    </row>
    <row r="90" ht="32.2" customHeight="1">
      <c r="A90" s="13"/>
      <c r="B90" t="s" s="14">
        <v>262</v>
      </c>
      <c r="C90" t="s" s="20">
        <v>263</v>
      </c>
      <c r="D90" s="16">
        <v>0</v>
      </c>
      <c r="E90" s="16">
        <v>0</v>
      </c>
      <c r="F90" s="13"/>
      <c r="G90" s="23">
        <f>SUM(G91)</f>
        <v>0</v>
      </c>
      <c r="H90" s="23">
        <f>SUM(H91)</f>
        <v>0</v>
      </c>
      <c r="I90" s="21">
        <f>SUM(I91)</f>
        <v>12</v>
      </c>
      <c r="J90" s="42">
        <f>SUM(J91)</f>
        <v>214099000</v>
      </c>
      <c r="K90" s="21">
        <f>SUM(K91)</f>
        <v>12</v>
      </c>
      <c r="L90" s="42">
        <f>SUM(L91)</f>
        <v>113990500</v>
      </c>
      <c r="M90" s="21">
        <f>SUM(M91)</f>
        <v>12</v>
      </c>
      <c r="N90" s="43">
        <f>SUM(N91)</f>
        <v>115706500</v>
      </c>
      <c r="O90" s="21">
        <f>SUM(O91)</f>
        <v>12</v>
      </c>
      <c r="P90" s="42">
        <f>SUM(P91)</f>
        <v>105506500</v>
      </c>
      <c r="Q90" s="13"/>
      <c r="R90" s="13"/>
    </row>
    <row r="91" ht="32.2" customHeight="1">
      <c r="A91" s="8"/>
      <c r="B91" t="s" s="9">
        <v>264</v>
      </c>
      <c r="C91" t="s" s="9">
        <v>265</v>
      </c>
      <c r="D91" t="s" s="9">
        <v>27</v>
      </c>
      <c r="E91" t="s" s="9">
        <v>266</v>
      </c>
      <c r="F91" s="8"/>
      <c r="G91" s="8"/>
      <c r="H91" s="8"/>
      <c r="I91" s="26">
        <v>12</v>
      </c>
      <c r="J91" s="34">
        <v>214099000</v>
      </c>
      <c r="K91" s="26">
        <v>12</v>
      </c>
      <c r="L91" s="34">
        <v>113990500</v>
      </c>
      <c r="M91" s="26">
        <v>12</v>
      </c>
      <c r="N91" s="35">
        <v>115706500</v>
      </c>
      <c r="O91" s="26">
        <v>12</v>
      </c>
      <c r="P91" s="34">
        <v>105506500</v>
      </c>
      <c r="Q91" s="8"/>
      <c r="R91" s="8"/>
    </row>
    <row r="92" ht="32.2" customHeight="1">
      <c r="A92" s="13"/>
      <c r="B92" t="s" s="14">
        <v>267</v>
      </c>
      <c r="C92" t="s" s="20">
        <v>268</v>
      </c>
      <c r="D92" s="16">
        <v>0</v>
      </c>
      <c r="E92" s="16">
        <v>0</v>
      </c>
      <c r="F92" s="13"/>
      <c r="G92" s="23">
        <f>SUM(G93)</f>
        <v>0</v>
      </c>
      <c r="H92" s="23">
        <f>SUM(H93)</f>
        <v>0</v>
      </c>
      <c r="I92" s="23">
        <f>SUM(I93:I94)</f>
        <v>0</v>
      </c>
      <c r="J92" s="42">
        <f>SUM(J93:J94)</f>
        <v>250000000</v>
      </c>
      <c r="K92" s="51">
        <f>SUM(K93:K94)</f>
        <v>60</v>
      </c>
      <c r="L92" s="42">
        <f>SUM(L93:L94)</f>
        <v>250000000</v>
      </c>
      <c r="M92" s="51">
        <f>SUM(M93:M94)</f>
        <v>60</v>
      </c>
      <c r="N92" s="43">
        <f>SUM(N93:N94)</f>
        <v>157640000</v>
      </c>
      <c r="O92" s="51">
        <f>SUM(O93:O94)</f>
        <v>60</v>
      </c>
      <c r="P92" s="42">
        <f>SUM(P93:P94)</f>
        <v>250000000</v>
      </c>
      <c r="Q92" s="13"/>
      <c r="R92" s="13"/>
    </row>
    <row r="93" ht="32.2" customHeight="1">
      <c r="A93" s="8"/>
      <c r="B93" t="s" s="9">
        <v>269</v>
      </c>
      <c r="C93" t="s" s="9">
        <v>270</v>
      </c>
      <c r="D93" t="s" s="9">
        <v>27</v>
      </c>
      <c r="E93" t="s" s="9">
        <v>271</v>
      </c>
      <c r="F93" s="8"/>
      <c r="G93" s="8"/>
      <c r="H93" s="8"/>
      <c r="I93" s="8"/>
      <c r="J93" s="34">
        <v>250000000</v>
      </c>
      <c r="K93" s="53">
        <v>60</v>
      </c>
      <c r="L93" s="34">
        <v>250000000</v>
      </c>
      <c r="M93" s="53">
        <v>60</v>
      </c>
      <c r="N93" s="35">
        <v>157640000</v>
      </c>
      <c r="O93" s="53">
        <v>60</v>
      </c>
      <c r="P93" s="34">
        <v>250000000</v>
      </c>
      <c r="Q93" s="8"/>
      <c r="R93" s="8"/>
    </row>
    <row r="94" ht="32.2" customHeight="1">
      <c r="A94" s="13"/>
      <c r="B94" t="s" s="14">
        <v>272</v>
      </c>
      <c r="C94" t="s" s="14">
        <v>273</v>
      </c>
      <c r="D94" t="s" s="14">
        <v>27</v>
      </c>
      <c r="E94" t="s" s="14">
        <v>274</v>
      </c>
      <c r="F94" s="13"/>
      <c r="G94" s="13"/>
      <c r="H94" s="13"/>
      <c r="I94" s="13"/>
      <c r="J94" s="13"/>
      <c r="K94" s="52"/>
      <c r="L94" s="13"/>
      <c r="M94" s="52"/>
      <c r="N94" s="16"/>
      <c r="O94" s="52"/>
      <c r="P94" s="13"/>
      <c r="Q94" s="13"/>
      <c r="R94" s="13"/>
    </row>
    <row r="95" ht="32.2" customHeight="1">
      <c r="A95" s="8"/>
      <c r="B95" t="s" s="9">
        <v>275</v>
      </c>
      <c r="C95" t="s" s="20">
        <v>276</v>
      </c>
      <c r="D95" s="11">
        <v>0</v>
      </c>
      <c r="E95" s="11">
        <v>0</v>
      </c>
      <c r="F95" s="8"/>
      <c r="G95" s="23">
        <f>SUM(G96)</f>
        <v>0</v>
      </c>
      <c r="H95" s="22">
        <f>SUM(H96)</f>
        <v>81998850</v>
      </c>
      <c r="I95" s="23">
        <f>SUM(I96)</f>
        <v>0</v>
      </c>
      <c r="J95" s="23">
        <f>SUM(J96)</f>
        <v>0</v>
      </c>
      <c r="K95" s="23">
        <f>SUM(K96)</f>
        <v>0</v>
      </c>
      <c r="L95" s="42">
        <f>SUM(L96)</f>
        <v>74102500</v>
      </c>
      <c r="M95" s="43">
        <f>SUM(M96)</f>
        <v>50</v>
      </c>
      <c r="N95" s="23">
        <f>SUM(N96)</f>
        <v>0</v>
      </c>
      <c r="O95" s="23">
        <f>SUM(O96)</f>
        <v>0</v>
      </c>
      <c r="P95" s="23">
        <f>SUM(P96)</f>
        <v>0</v>
      </c>
      <c r="Q95" s="8"/>
      <c r="R95" s="8"/>
    </row>
    <row r="96" ht="32.45" customHeight="1">
      <c r="A96" s="60"/>
      <c r="B96" t="s" s="61">
        <v>277</v>
      </c>
      <c r="C96" t="s" s="61">
        <v>278</v>
      </c>
      <c r="D96" t="s" s="61">
        <v>27</v>
      </c>
      <c r="E96" t="s" s="61">
        <v>279</v>
      </c>
      <c r="F96" s="60"/>
      <c r="G96" s="60"/>
      <c r="H96" s="62">
        <v>81998850</v>
      </c>
      <c r="I96" s="60"/>
      <c r="J96" s="60"/>
      <c r="K96" s="60"/>
      <c r="L96" s="63">
        <v>74102500</v>
      </c>
      <c r="M96" s="64">
        <v>50</v>
      </c>
      <c r="N96" s="64"/>
      <c r="O96" s="60"/>
      <c r="P96" s="60"/>
      <c r="Q96" s="60"/>
      <c r="R96" s="60"/>
    </row>
    <row r="97" ht="20.45" customHeight="1">
      <c r="A97" s="65"/>
      <c r="B97" s="65"/>
      <c r="C97" s="65"/>
      <c r="D97" s="65"/>
      <c r="E97" s="65"/>
      <c r="F97" s="65"/>
      <c r="G97" s="65"/>
      <c r="H97" s="65"/>
      <c r="I97" s="65"/>
      <c r="J97" s="65"/>
      <c r="K97" s="65"/>
      <c r="L97" s="65"/>
      <c r="M97" s="65"/>
      <c r="N97" s="65"/>
      <c r="O97" s="65"/>
      <c r="P97" s="65"/>
      <c r="Q97" s="65"/>
      <c r="R97" s="65"/>
    </row>
  </sheetData>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drawing r:id="rId1"/>
  <legacyDrawing r:id="rId2"/>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