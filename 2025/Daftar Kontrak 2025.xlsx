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embar 1 - Table 1" sheetId="1" r:id="rId5"/>
  </sheets>
</workbook>
</file>

<file path=xl/comments1.xml><?xml version="1.0" encoding="utf-8"?>
<comments xmlns="http://schemas.openxmlformats.org/spreadsheetml/2006/main">
  <authors>
    <author>Dhiandra Isha</author>
    <author>dpupr Pasangkayu</author>
  </authors>
  <commentList>
    <comment ref="AC4" authorId="0">
      <text>
        <r>
          <rPr>
            <sz val="11"/>
            <color indexed="8"/>
            <rFont val="Helvetica Neue"/>
          </rPr>
          <t>Dhiandra Isha:
Berapa lama Masa Pemeliharaan ?
Masa pemeliharaan paling singkat untuk pekerjaan permanen selama 6 (enam) bulan, sedangkan untuk pekerjaan semi permanen selama 3 (tiga) bulan dan masa pemeliharaan dapat melampaui Tahun Anggaran.</t>
        </r>
      </text>
    </comment>
    <comment ref="AF4" authorId="0">
      <text>
        <r>
          <rPr>
            <sz val="11"/>
            <color indexed="8"/>
            <rFont val="Helvetica Neue"/>
          </rPr>
          <t>Dhiandra Isha:
1.03.1.03.01.18.03 Rehabilitasi/Pemeliharaan jalan
1.03.1.03.01.15.03 Pembangunan Jalan
1.03.1.03.01.15.05 Pembangunan Jembatan</t>
        </r>
      </text>
    </comment>
    <comment ref="C187" authorId="1">
      <text>
        <r>
          <rPr>
            <sz val="11"/>
            <color indexed="8"/>
            <rFont val="Helvetica Neue"/>
          </rPr>
          <t>dpupr Pasangkayu:
Pemb./Peningkatan Jalan Ds Benggaulu 
Peningkatan Jalan Kanantuo
Peningkatan Jalan Bambalamotu I
Peningkatan Jalan Bambalamotu II
Peningkatan Jalan Kasoloang I
Pemb. Box Culvert Kalukunangka 1 Mata (2 Unit)
Pemb. Proteksi Jalan Jalan Andi Depu Pasangkayu
Peningkatan Jalan Kasoloang II
Peningkatan Jalan Letawa I
Peningkatan Jalan Letawa II
Peningkatan Jalan Letawa III
Peningkatan Jalan Maponu I
Peningkatan Jalan Maponu II
Peningkatan Jalan Pajalele
Pemb. Jalan Dsn Salubulu 
Peningkatan Jalan Ds Sarjo I
Peningkatan Jalan Ds Sarjo II
PEMB. JALAN DSN SALUBULU I
PEMB. JALAN DSN SALUBULU - BUNJAMATA
PEMB. JALAN DSN SALONGGABO
PEMB. JALAN BARAS MOTU
PEMB. JALAN BARAS MOTU I
PEMB. JALAN BARAS MOTU II
PEMB. JALAN DS BENGGAULU
PEMB. JALAN DS BENGGAULU I
PENINGKATAN JALAN KAMPUNG BARU DAPURANG
PENINGKATAN JALAN TAGARI
PENINGKATAN JALAN DAPURANG
PENINGKATAN JALAN BULUMARIO - PATIKA
PENINGKATAN JALAN GUNUNGSARI TPA
PENINGKATAN JALAN BAMBAIRA II
PENINGKATAN JALAN BAMBAIRA III
PENINGKATAN JALAN POROS SALONGGABO (JEMB. MERAH)</t>
        </r>
      </text>
    </comment>
    <comment ref="M189" authorId="1">
      <text>
        <r>
          <rPr>
            <sz val="11"/>
            <color indexed="8"/>
            <rFont val="Helvetica Neue"/>
          </rPr>
          <t>dpupr Pasangkayu:
439.684.999,99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<sst xmlns="http://schemas.openxmlformats.org/spreadsheetml/2006/main" uniqueCount="2238">
  <si>
    <r>
      <rPr>
        <sz val="10"/>
        <color indexed="8"/>
        <rFont val="Avenir Next Regular"/>
      </rPr>
      <t>Pengawasan Pemb./Peningkatan Jalan Ds Benggaulu cs.</t>
    </r>
  </si>
  <si>
    <t>Pembangunan Jalan</t>
  </si>
  <si>
    <t>6 CV. Asa Karya</t>
  </si>
  <si>
    <r>
      <rPr>
        <sz val="10"/>
        <color indexed="8"/>
        <rFont val="Avenir Next Regular"/>
      </rPr>
      <t>Hasan, ST</t>
    </r>
  </si>
  <si>
    <t>Direktur</t>
  </si>
  <si>
    <t>02.821.676.0-805.000</t>
  </si>
  <si>
    <t>Jl. Andi Pelang Kec. Pasangkayu Kab. Pasangkayu</t>
  </si>
  <si>
    <t>Muh.Asyurah SH.,MH.,M.Kn</t>
  </si>
  <si>
    <t>130-003-0000255587 Bank Sulselbar</t>
  </si>
  <si>
    <t>CV. Asa Karya</t>
  </si>
  <si>
    <t>APBD</t>
  </si>
  <si>
    <t>SPSE</t>
  </si>
  <si>
    <t>Waktu Penugasan</t>
  </si>
  <si>
    <t>Konsultansi</t>
  </si>
  <si>
    <t xml:space="preserve">1.03.03.2.01.0028 </t>
  </si>
  <si>
    <t>56527550/BAHPL/2025</t>
  </si>
  <si>
    <t>56527550/PEN/2025</t>
  </si>
  <si>
    <t>56527550/UMUM/PEJ-PENG/DPUPR/IV/2025</t>
  </si>
  <si>
    <t>56527550/KLAR-NEG/PEJ-PENG/DPUPR/IV/2025</t>
  </si>
  <si>
    <t>600/56527550/SPK-Konsultansi/PPK/DPUPR</t>
  </si>
  <si>
    <t>600/56527550/SPMK/PPK/DPUPR</t>
  </si>
  <si>
    <t>Pelelangan Umum</t>
  </si>
  <si>
    <t xml:space="preserve">Metode Satu Sampul </t>
  </si>
  <si>
    <t>Pascakualifikasi</t>
  </si>
  <si>
    <t>Sistem Gugur</t>
  </si>
  <si>
    <t>SYAMSUNAR, Sp, MM</t>
  </si>
  <si>
    <t xml:space="preserve">Enam Puluh Delapan Juta Lima Ratus  Ribu   </t>
  </si>
  <si>
    <t xml:space="preserve">Enam Puluh Delapan Juta Empat Ratus Sembilan Puluh Ribu   </t>
  </si>
  <si>
    <t xml:space="preserve">Enam Puluh Delapan Juta  Empat Puluh Lima Ribu Lima Ratus  Delapan </t>
  </si>
  <si>
    <t xml:space="preserve">Enam Puluh Delapan Juta  Empat Puluh Lima Ribu   </t>
  </si>
  <si>
    <t xml:space="preserve">Seratus  Lima Puluh </t>
  </si>
  <si>
    <t xml:space="preserve">Tiga Juta Empat Ratus  Dua Ribu Dua Ratus Lima Puluh </t>
  </si>
  <si>
    <t>No</t>
  </si>
  <si>
    <t>Nama Paket</t>
  </si>
  <si>
    <t>Sub Kegiatan</t>
  </si>
  <si>
    <t>Ruas</t>
  </si>
  <si>
    <t>Pagu Ruas</t>
  </si>
  <si>
    <t>Lokasi Ruas</t>
  </si>
  <si>
    <t>Volume</t>
  </si>
  <si>
    <t>Sat</t>
  </si>
  <si>
    <t>Pagu Anggaran</t>
  </si>
  <si>
    <t>HPS</t>
  </si>
  <si>
    <t>Penawaran</t>
  </si>
  <si>
    <t>Negoisasi</t>
  </si>
  <si>
    <t>Perusahaan</t>
  </si>
  <si>
    <t>Jabatan</t>
  </si>
  <si>
    <t>NPWP</t>
  </si>
  <si>
    <t>Alamat</t>
  </si>
  <si>
    <t>Nomor Notaris</t>
  </si>
  <si>
    <t>Tanggal Notaris</t>
  </si>
  <si>
    <t>Notaris</t>
  </si>
  <si>
    <t>No Rek Bank</t>
  </si>
  <si>
    <t>Atas Nama Rek Bank</t>
  </si>
  <si>
    <t>Waktu Pelaksanaan</t>
  </si>
  <si>
    <t>SUMBER DANA</t>
  </si>
  <si>
    <t>nilai Kontrak</t>
  </si>
  <si>
    <t>No. Penawaran</t>
  </si>
  <si>
    <t>Tanggal surat Penawaran</t>
  </si>
  <si>
    <t>Masa Pemeliharaan</t>
  </si>
  <si>
    <t>Jenis Kontrak</t>
  </si>
  <si>
    <t>Kategori</t>
  </si>
  <si>
    <t>Kode Rek. Sub Kegiatan</t>
  </si>
  <si>
    <t>Tgl Undangan</t>
  </si>
  <si>
    <t>Tgl Pembukaan</t>
  </si>
  <si>
    <t>Evaluasi Penawaran</t>
  </si>
  <si>
    <t>Klarifikasi Teknis dan Negosiasi</t>
  </si>
  <si>
    <t>tanggal SPBBJ</t>
  </si>
  <si>
    <t>Tanggal Kontrak/SPK</t>
  </si>
  <si>
    <t>Tanggal SPMK</t>
  </si>
  <si>
    <t>No. BAHP/BAHS</t>
  </si>
  <si>
    <t>tanggal BAHP/BAHS</t>
  </si>
  <si>
    <t>No. Penetapan</t>
  </si>
  <si>
    <t>tanggal Penetapan</t>
  </si>
  <si>
    <t>No. Pengumuman</t>
  </si>
  <si>
    <t>Tanggal Pengumuman</t>
  </si>
  <si>
    <t>BA Klasifikasi Negoisasi/pembukt</t>
  </si>
  <si>
    <t>Tanggal Nego</t>
  </si>
  <si>
    <t>Nilai Evaluasi</t>
  </si>
  <si>
    <t>No Kontrak</t>
  </si>
  <si>
    <t>No. SPMK</t>
  </si>
  <si>
    <t>Tanggal Undangan/Lelang</t>
  </si>
  <si>
    <t>Nomor Addendum</t>
  </si>
  <si>
    <t>Tanggal Addendum</t>
  </si>
  <si>
    <t>email rekanan</t>
  </si>
  <si>
    <t>No. Perusahaan</t>
  </si>
  <si>
    <t>Metode Pengadaan</t>
  </si>
  <si>
    <t>Metode Pemasukan Dokumen Penawaran</t>
  </si>
  <si>
    <t>Metode Kualifikasi</t>
  </si>
  <si>
    <t>Metode Evaluasi</t>
  </si>
  <si>
    <t>KONSULTAN PERENCANA</t>
  </si>
  <si>
    <t>KONSULTAN PENGAWAS</t>
  </si>
  <si>
    <t>coba</t>
  </si>
  <si>
    <t>Sudah print</t>
  </si>
  <si>
    <t>Jaminan pelaksanaan</t>
  </si>
  <si>
    <t>TIM TEKNIS/PPTK</t>
  </si>
  <si>
    <t>Keterangan</t>
  </si>
  <si>
    <t xml:space="preserve">Normalisasi Sungai/Saluran Taranja </t>
  </si>
  <si>
    <t>Normalisasi/Restorasi Sungai</t>
  </si>
  <si>
    <t>15 CV. Arlindo Konstruksi</t>
  </si>
  <si>
    <t>Muh. Irwanto</t>
  </si>
  <si>
    <t>02.906.015.9-814.000</t>
  </si>
  <si>
    <t>Jln. Trans Sulawesi, Kel Pasangkayu</t>
  </si>
  <si>
    <t>‘02/2020</t>
  </si>
  <si>
    <t>RISKAL ,SH., M.Kn</t>
  </si>
  <si>
    <t xml:space="preserve">075.003.000001036.7 Bank Sulselbar </t>
  </si>
  <si>
    <t>CV. Arlindo Konstruksi</t>
  </si>
  <si>
    <t>Harga Satuan</t>
  </si>
  <si>
    <t>Konstruksi</t>
  </si>
  <si>
    <t>1.03.10.2.01.0032</t>
  </si>
  <si>
    <t>56625531/BAHPL/2025</t>
  </si>
  <si>
    <t>56625531/PEN/2025</t>
  </si>
  <si>
    <t>56625531/UMUM/PEJ-PENG/DPUPR/II/2025</t>
  </si>
  <si>
    <t>56625531/KLAR-NEG/PEJ-PENG/DPUPR/II/2025</t>
  </si>
  <si>
    <t>600/56625531/SPK-Konstruksi/PPK/DPUPR</t>
  </si>
  <si>
    <t>600/56625531/SPMK/PPK/DPUPR</t>
  </si>
  <si>
    <t>I Nyoman Sumerta , S.T., M.P.W.P</t>
  </si>
  <si>
    <t>Normalisasi sungai/saluran Tinapu</t>
  </si>
  <si>
    <t>22 CV. Abadi Selalu</t>
  </si>
  <si>
    <t>Muh. Reza Fahlevy</t>
  </si>
  <si>
    <t>02.113.424.2-814.000</t>
  </si>
  <si>
    <t>Jl. Lingk. Pallang-Pallang, Majene</t>
  </si>
  <si>
    <t>Ny. NUR HIDAYAH, S.H.</t>
  </si>
  <si>
    <t>075-003.000000456.1</t>
  </si>
  <si>
    <t>CV. Abadi Selalu</t>
  </si>
  <si>
    <t>56645531/BAHPL/2025</t>
  </si>
  <si>
    <t>56645531/PEN/2025</t>
  </si>
  <si>
    <t>56645531/UMUM/PEJ-PENG/DPUPR/II/2025</t>
  </si>
  <si>
    <t>56645531/KLAR-NEG/PEJ-PENG/DPUPR/II/2025</t>
  </si>
  <si>
    <t>600/56645531/SPK-Konstruksi/PPK/DPUPR</t>
  </si>
  <si>
    <t>600/56645531/SPMK/PPK/DPUPR</t>
  </si>
  <si>
    <t xml:space="preserve">Normalisasi Sungai/Saluran Dalam Kota Pasangkayu </t>
  </si>
  <si>
    <t>190 CV. BERKAH BAHAGIA</t>
  </si>
  <si>
    <t>MUHAMMAD ZALIM</t>
  </si>
  <si>
    <t>01.956.757.7-8143.000</t>
  </si>
  <si>
    <t>Dusun Tunangan Desa Pangali-ali</t>
  </si>
  <si>
    <t>Cici Harfiah, SH., M.Kn</t>
  </si>
  <si>
    <t>072-003-0000015963-4</t>
  </si>
  <si>
    <t>CV. BERKAH BAHAGIA</t>
  </si>
  <si>
    <t>56679531/BAHPL/2025</t>
  </si>
  <si>
    <t>56679531/PEN/2025</t>
  </si>
  <si>
    <t>56679531/UMUM/PEJ-PENG/DPUPR/II/2025</t>
  </si>
  <si>
    <t>56679531/KLAR-NEG/PEJ-PENG/DPUPR/II/2025</t>
  </si>
  <si>
    <t>600/56679531/SPK-Konstruksi/PPK/DPUPR</t>
  </si>
  <si>
    <t>600/56679531/SPMK/PPK/DPUPR</t>
  </si>
  <si>
    <t xml:space="preserve">Normalisasi Sungai/Saluran Dusun Tura Desa Karya Bersama </t>
  </si>
  <si>
    <t>18 CV. MAPUTEH</t>
  </si>
  <si>
    <t>SABARUDDIN</t>
  </si>
  <si>
    <t>02.371.054.4-814.001</t>
  </si>
  <si>
    <t>02</t>
  </si>
  <si>
    <t>RISKAL, S.H., M.Kn</t>
  </si>
  <si>
    <t>075.003.776</t>
  </si>
  <si>
    <t>CV. MAPUTEH</t>
  </si>
  <si>
    <t>56695031/BAHPL/2025</t>
  </si>
  <si>
    <t>56695031/PEN/2025</t>
  </si>
  <si>
    <t>56695031/UMUM/PEJ-PENG/DPUPR/II/2025</t>
  </si>
  <si>
    <t>56695031/KLAR-NEG/PEJ-PENG/DPUPR/II/2025</t>
  </si>
  <si>
    <t>600/56695031/SPK-Konstruksi/PPK/DPUPR</t>
  </si>
  <si>
    <t>600/56695031/SPMK/PPK/DPUPR</t>
  </si>
  <si>
    <t xml:space="preserve">Pengawasan Saluran Pembuang Dalam Kota Pasangkayu cs </t>
  </si>
  <si>
    <t>245 CV. Arlindo</t>
  </si>
  <si>
    <t>SATRIA MERDEKA HUSAIN</t>
  </si>
  <si>
    <t>03.154.619.5-814.000</t>
  </si>
  <si>
    <t>Jl. Gusti Ngurah Rai Pasangkayu</t>
  </si>
  <si>
    <t>‘02</t>
  </si>
  <si>
    <t>MARWANI, SH., M.Kn</t>
  </si>
  <si>
    <t xml:space="preserve">075.003.0000015806
 BPD SULSELBAR Cab. Pasangkayu </t>
  </si>
  <si>
    <t>CV. Arlindo</t>
  </si>
  <si>
    <t>56695463/BAHPL/2025</t>
  </si>
  <si>
    <t>56695463/PEN/2025</t>
  </si>
  <si>
    <t>56695463/UMUM/PEJ-PENG/DPUPR/II/2025</t>
  </si>
  <si>
    <t>56695463/KLAR-NEG/PEJ-PENG/DPUPR/II/2025</t>
  </si>
  <si>
    <t>600/56695463/SPK-Konstruksi/PPK/DPUPR</t>
  </si>
  <si>
    <t>600/56695463/SPMK/PPK/DPUPR</t>
  </si>
  <si>
    <t>Pengadaan Langsung</t>
  </si>
  <si>
    <t>Not Data</t>
  </si>
  <si>
    <t>Barang</t>
  </si>
  <si>
    <t>34/BAHPL/2025</t>
  </si>
  <si>
    <t>34/PEN/2025</t>
  </si>
  <si>
    <t>34/UMUM/PEJ-PENG/DPUPR//2025</t>
  </si>
  <si>
    <t>34/KLAR-NEG/PEJ-PENG/DPUPR//2025</t>
  </si>
  <si>
    <t>600/34/SPK-Barang/PPK/DPUPR</t>
  </si>
  <si>
    <t>600/34/SPMK/PPK/DPUPR</t>
  </si>
  <si>
    <t>NA</t>
  </si>
  <si>
    <t>pilih sub kegiatan</t>
  </si>
  <si>
    <t>Stock Design Peningkatan jalan Kabupaten I</t>
  </si>
  <si>
    <t>223 CV. AQILA KARYA KONSULTAN</t>
  </si>
  <si>
    <t>SUPARDI, ST.</t>
  </si>
  <si>
    <t>53.154.688.5-814.000</t>
  </si>
  <si>
    <t>Jln Tanjung Babia II Kel. Pasangkayu Kec. Pasangkayu 91571</t>
  </si>
  <si>
    <t>RISKAL, S.H., M.Kn.</t>
  </si>
  <si>
    <t>075-003-000001607-1 Bank Sulselbar Cabang Pasangkayu</t>
  </si>
  <si>
    <t>CV. AQILA KARYA KONSULTAN</t>
  </si>
  <si>
    <t>Lump Sum</t>
  </si>
  <si>
    <t>56625341/BAHPL/2025</t>
  </si>
  <si>
    <t>56625341/PEN/2025</t>
  </si>
  <si>
    <t>56625341/UMUM/PEJ-PENG/DPUPR/II/2025</t>
  </si>
  <si>
    <t>56625341/KLAR-NEG/PEJ-PENG/DPUPR/II/2025</t>
  </si>
  <si>
    <t>600/56625341/SPK-Konsultansi/PPK/DPUPR</t>
  </si>
  <si>
    <t>600/56625341/SPMK/PPK/DPUPR</t>
  </si>
  <si>
    <t>Stock Design Peningkatan jalan Kabupaten II</t>
  </si>
  <si>
    <t>56625335/BAHPL/2025</t>
  </si>
  <si>
    <t>56625335/PEN/2025</t>
  </si>
  <si>
    <t>56625335/UMUM/PEJ-PENG/DPUPR/II/2025</t>
  </si>
  <si>
    <t>56625335/KLAR-NEG/PEJ-PENG/DPUPR/II/2025</t>
  </si>
  <si>
    <t>600/56625335/SPK-Konsultansi/PPK/DPUPR</t>
  </si>
  <si>
    <t>600/56625335/SPMK/PPK/DPUPR</t>
  </si>
  <si>
    <t>Stock Design Peningkatan jalan Kabupaten III</t>
  </si>
  <si>
    <t>56625336/BAHPL/2025</t>
  </si>
  <si>
    <t>56625336/PEN/2025</t>
  </si>
  <si>
    <t>56625336/UMUM/PEJ-PENG/DPUPR/II/2025</t>
  </si>
  <si>
    <t>56625336/KLAR-NEG/PEJ-PENG/DPUPR/II/2025</t>
  </si>
  <si>
    <t>600/56625336/SPK-Konsultansi/PPK/DPUPR</t>
  </si>
  <si>
    <t>600/56625336/SPMK/PPK/DPUPR</t>
  </si>
  <si>
    <t>Stock Design Peningkatan jalan Kabupaten IV</t>
  </si>
  <si>
    <t>246 CV. MIANZ INNOVATIONS CORP</t>
  </si>
  <si>
    <t>MUH. ILYANSYAH, S.T.</t>
  </si>
  <si>
    <t>12.818.877.8-814.000</t>
  </si>
  <si>
    <t>BTN Ampi, Jl. Anggrek No. 9, Kab. Mamuju</t>
  </si>
  <si>
    <t>1 9</t>
  </si>
  <si>
    <t>Azizah Tasman, S.H., M.Kn.</t>
  </si>
  <si>
    <t>540-063-000000062-9 Bank Sulselbar</t>
  </si>
  <si>
    <t>CV. MIANZ INNOVATIONS CORP</t>
  </si>
  <si>
    <t>56625337/BAHPL/2025</t>
  </si>
  <si>
    <t>56625337/PEN/2025</t>
  </si>
  <si>
    <t>56625337/UMUM/PEJ-PENG/DPUPR/II/2025</t>
  </si>
  <si>
    <t>56625337/KLAR-NEG/PEJ-PENG/DPUPR/II/2025</t>
  </si>
  <si>
    <t>600/56625337/SPK-Konsultansi/PPK/DPUPR</t>
  </si>
  <si>
    <t>600/56625337/SPMK/PPK/DPUPR</t>
  </si>
  <si>
    <t>Stock Design Peningkatan jalan Kabupaten V</t>
  </si>
  <si>
    <t>56625345/BAHPL/2025</t>
  </si>
  <si>
    <t>56625345/PEN/2025</t>
  </si>
  <si>
    <t>56625345/UMUM/PEJ-PENG/DPUPR/II/2025</t>
  </si>
  <si>
    <t>56625345/KLAR-NEG/PEJ-PENG/DPUPR/II/2025</t>
  </si>
  <si>
    <t>600/56625345/SPK-Konsultansi/PPK/DPUPR</t>
  </si>
  <si>
    <t>600/56625345/SPMK/PPK/DPUPR</t>
  </si>
  <si>
    <t>Stock Design Peningkatan jalan Kabupaten VI</t>
  </si>
  <si>
    <t>56625346/BAHPL/2025</t>
  </si>
  <si>
    <t>56625346/PEN/2025</t>
  </si>
  <si>
    <t>56625346/UMUM/PEJ-PENG/DPUPR/II/2025</t>
  </si>
  <si>
    <t>56625346/KLAR-NEG/PEJ-PENG/DPUPR/II/2025</t>
  </si>
  <si>
    <t>600/56625346/SPK-Konsultansi/PPK/DPUPR</t>
  </si>
  <si>
    <t>600/56625346/SPMK/PPK/DPUPR</t>
  </si>
  <si>
    <t>Stock Design Peningkatan jalan Kabupaten VII</t>
  </si>
  <si>
    <t>56625356/BAHPL/2025</t>
  </si>
  <si>
    <t>56625356/PEN/2025</t>
  </si>
  <si>
    <t>56625356/UMUM/PEJ-PENG/DPUPR/II/2025</t>
  </si>
  <si>
    <t>56625356/KLAR-NEG/PEJ-PENG/DPUPR/II/2025</t>
  </si>
  <si>
    <t>600/56625356/SPK-Konsultansi/PPK/DPUPR</t>
  </si>
  <si>
    <t>600/56625356/SPMK/PPK/DPUPR</t>
  </si>
  <si>
    <t>Stock Design Peningkatan jalan Kabupaten VIII</t>
  </si>
  <si>
    <t>247 CV. TAQY KONSULTAN</t>
  </si>
  <si>
    <t xml:space="preserve">MUHAMMAD MUSA </t>
  </si>
  <si>
    <t>62.319.557.5-814.000</t>
  </si>
  <si>
    <t xml:space="preserve">JL. H. Andi Endeng Mamuju Prov. Sulbar </t>
  </si>
  <si>
    <t>0 2 JANUARI 2 0 2 3</t>
  </si>
  <si>
    <t xml:space="preserve">AZIZAH TASMAN, S.H., M.Kn. </t>
  </si>
  <si>
    <t>540-063-000000042-4 Bank Sulselbar</t>
  </si>
  <si>
    <t>CV. TAQY KONSULTAN</t>
  </si>
  <si>
    <t>56625357/BAHPL/2025</t>
  </si>
  <si>
    <t>56625357/PEN/2025</t>
  </si>
  <si>
    <t>56625357/UMUM/PEJ-PENG/DPUPR/II/2025</t>
  </si>
  <si>
    <t>56625357/KLAR-NEG/PEJ-PENG/DPUPR/II/2025</t>
  </si>
  <si>
    <t>600/56625357/SPK-Konsultansi/PPK/DPUPR</t>
  </si>
  <si>
    <t>600/56625357/SPMK/PPK/DPUPR</t>
  </si>
  <si>
    <t>Stock Design Peningkatan jalan Kabupaten IX</t>
  </si>
  <si>
    <t>56625360/BAHPL/2025</t>
  </si>
  <si>
    <t>56625360/PEN/2025</t>
  </si>
  <si>
    <t>56625360/UMUM/PEJ-PENG/DPUPR/II/2025</t>
  </si>
  <si>
    <t>56625360/KLAR-NEG/PEJ-PENG/DPUPR/II/2025</t>
  </si>
  <si>
    <t>600/56625360/SPK-Konsultansi/PPK/DPUPR</t>
  </si>
  <si>
    <t>600/56625360/SPMK/PPK/DPUPR</t>
  </si>
  <si>
    <t>Stock Design Peningkatan jalan Kabupaten X</t>
  </si>
  <si>
    <r>
      <rPr>
        <sz val="10"/>
        <color indexed="18"/>
        <rFont val="Avenir Next Regular"/>
      </rPr>
      <t>Stock Design Peningkatan jalan Kabupaten X</t>
    </r>
  </si>
  <si>
    <t>56625364/BAHPL/2025</t>
  </si>
  <si>
    <t>56625364/PEN/2025</t>
  </si>
  <si>
    <t>56625364/UMUM/PEJ-PENG/DPUPR/II/2025</t>
  </si>
  <si>
    <t>56625364/KLAR-NEG/PEJ-PENG/DPUPR/II/2025</t>
  </si>
  <si>
    <t>600/56625364/SPK-Konsultansi/PPK/DPUPR</t>
  </si>
  <si>
    <t>600/56625364/SPMK/PPK/DPUPR</t>
  </si>
  <si>
    <t>Stock Design Pemb./Penggantian Jembatan Kabupaten I</t>
  </si>
  <si>
    <t>Pembangunan Jembatan</t>
  </si>
  <si>
    <r>
      <rPr>
        <sz val="10"/>
        <color indexed="18"/>
        <rFont val="Avenir Next Regular"/>
      </rPr>
      <t>Stock Design Pemb./Penggantian Jembatan Kabupaten I</t>
    </r>
  </si>
  <si>
    <t>56625543/BAHPL/2025</t>
  </si>
  <si>
    <t>56625543/PEN/2025</t>
  </si>
  <si>
    <t>56625543/UMUM/PEJ-PENG/DPUPR/II/2025</t>
  </si>
  <si>
    <t>56625543/KLAR-NEG/PEJ-PENG/DPUPR/II/2025</t>
  </si>
  <si>
    <t>600/56625543/SPK-Konsultansi/PPK/DPUPR</t>
  </si>
  <si>
    <t>600/56625543/SPMK/PPK/DPUPR</t>
  </si>
  <si>
    <t>BACHTIAR B SUMAY,SH</t>
  </si>
  <si>
    <t>Stock Design Pemb./Penggantian Jembatan Kabupaten II</t>
  </si>
  <si>
    <r>
      <rPr>
        <sz val="10"/>
        <color indexed="18"/>
        <rFont val="Avenir Next Regular"/>
      </rPr>
      <t>Stock Design Pemb./Penggantian Jembatan Kabupaten II</t>
    </r>
  </si>
  <si>
    <t xml:space="preserve">248 CV. VISUAL ART DESIGN </t>
  </si>
  <si>
    <t xml:space="preserve">A. AHMAD HUSAING </t>
  </si>
  <si>
    <t>62.419.839.6-814.000</t>
  </si>
  <si>
    <t>JL. Pattimura No. 44, Kel. Binanga, Kec. Mamuju, Kab. Mamuju, Prov. Sulawesi Barat</t>
  </si>
  <si>
    <t>09</t>
  </si>
  <si>
    <t>AZIZAH TASMAN, SH., M.Kn</t>
  </si>
  <si>
    <t>540 063 000000048-3 Bank Sulselbar</t>
  </si>
  <si>
    <t xml:space="preserve">CV. VISUAL ART DESIGN </t>
  </si>
  <si>
    <t>56625544/BAHPL/2025</t>
  </si>
  <si>
    <t>56625544/PEN/2025</t>
  </si>
  <si>
    <t>56625544/UMUM/PEJ-PENG/DPUPR/II/2025</t>
  </si>
  <si>
    <t>56625544/KLAR-NEG/PEJ-PENG/DPUPR/II/2025</t>
  </si>
  <si>
    <t>600/56625544/SPK-Konsultansi/PPK/DPUPR</t>
  </si>
  <si>
    <t>600/56625544/SPMK/PPK/DPUPR</t>
  </si>
  <si>
    <t>Stock Design Pemb./Penggantian Jembatan Kabupaten III</t>
  </si>
  <si>
    <r>
      <rPr>
        <sz val="10"/>
        <color indexed="18"/>
        <rFont val="Avenir Next Regular"/>
      </rPr>
      <t>Stock Design Pemb./Penggantian Jembatan Kabupaten III</t>
    </r>
  </si>
  <si>
    <t>56625550/BAHPL/2025</t>
  </si>
  <si>
    <t>56625550/PEN/2025</t>
  </si>
  <si>
    <t>56625550/UMUM/PEJ-PENG/DPUPR/II/2025</t>
  </si>
  <si>
    <t>56625550/KLAR-NEG/PEJ-PENG/DPUPR/II/2025</t>
  </si>
  <si>
    <t>600/56625550/SPK-Konsultansi/PPK/DPUPR</t>
  </si>
  <si>
    <t>600/56625550/SPMK/PPK/DPUPR</t>
  </si>
  <si>
    <t>Perencanaan Konstruksi (DED) Peningkatan Jalan Kabupaten I cs.</t>
  </si>
  <si>
    <r>
      <rPr>
        <sz val="10"/>
        <color indexed="18"/>
        <rFont val="Avenir Next Regular"/>
      </rPr>
      <t>Perencanaan Konstruksi (DED) Peningkatan Jalan Kabupaten I cs.</t>
    </r>
  </si>
  <si>
    <t>56625359/BAHPL/2025</t>
  </si>
  <si>
    <t>56625359/PEN/2025</t>
  </si>
  <si>
    <t>56625359/UMUM/PEJ-PENG/DPUPR/II/2025</t>
  </si>
  <si>
    <t>56625359/KLAR-NEG/PEJ-PENG/DPUPR/II/2025</t>
  </si>
  <si>
    <t>600/56625359/SPK-Konsultansi/PPK/DPUPR</t>
  </si>
  <si>
    <t>600/56625359/SPMK/PPK/DPUPR</t>
  </si>
  <si>
    <t>Perencanaan Konstruksi (DED) Peningkatan Jalan Kabupaten II cs.</t>
  </si>
  <si>
    <r>
      <rPr>
        <sz val="10"/>
        <color indexed="18"/>
        <rFont val="Avenir Next Regular"/>
      </rPr>
      <t>Perencanaan Konstruksi (DED) Peningkatan Jalan Kabupaten II cs.</t>
    </r>
  </si>
  <si>
    <t>249 PT. ANUTA PURA KONSULTAN</t>
  </si>
  <si>
    <t>Ir. MUH. MUSTAMIR</t>
  </si>
  <si>
    <t>74-058-922.1-805-000</t>
  </si>
  <si>
    <t>Perumahan Citra Tidung Regency No. 3 Makassar</t>
  </si>
  <si>
    <t>015</t>
  </si>
  <si>
    <t>Andi Asrul Sukma, S.H., M.Kn</t>
  </si>
  <si>
    <t>0215278065 BNI</t>
  </si>
  <si>
    <t>PT. ANUTA PURA KONSULTAN</t>
  </si>
  <si>
    <t>56625361/BAHPL/2025</t>
  </si>
  <si>
    <t>56625361/PEN/2025</t>
  </si>
  <si>
    <t>56625361/UMUM/PEJ-PENG/DPUPR/II/2025</t>
  </si>
  <si>
    <t>56625361/KLAR-NEG/PEJ-PENG/DPUPR/II/2025</t>
  </si>
  <si>
    <t>600/56625361/SPK-Konsultansi/PPK/DPUPR</t>
  </si>
  <si>
    <t>600/56625361/SPMK/PPK/DPUPR</t>
  </si>
  <si>
    <t>Perencanaan Konstruksi (DED) Peningkatan Jalan Kabupaten III cs.</t>
  </si>
  <si>
    <r>
      <rPr>
        <sz val="10"/>
        <color indexed="18"/>
        <rFont val="Avenir Next Regular"/>
      </rPr>
      <t>Perencanaan Konstruksi (DED) Peningkatan Jalan Kabupaten III cs.</t>
    </r>
  </si>
  <si>
    <t>56625338/BAHPL/2025</t>
  </si>
  <si>
    <t>56625338/PEN/2025</t>
  </si>
  <si>
    <t>56625338/UMUM/PEJ-PENG/DPUPR/II/2025</t>
  </si>
  <si>
    <t>56625338/KLAR-NEG/PEJ-PENG/DPUPR/II/2025</t>
  </si>
  <si>
    <t>600/56625338/SPK-Konsultansi/PPK/DPUPR</t>
  </si>
  <si>
    <t>600/56625338/SPMK/PPK/DPUPR</t>
  </si>
  <si>
    <t>Perencanaan Konstruksi (DED) Peningkatan Jalan Kabupaten IV cs.</t>
  </si>
  <si>
    <r>
      <rPr>
        <sz val="10"/>
        <color indexed="18"/>
        <rFont val="Avenir Next Regular"/>
      </rPr>
      <t>Perencanaan Konstruksi (DED) Peningkatan Jalan Kabupaten IV cs.</t>
    </r>
  </si>
  <si>
    <t>56625363/BAHPL/2025</t>
  </si>
  <si>
    <t>56625363/PEN/2025</t>
  </si>
  <si>
    <t>56625363/UMUM/PEJ-PENG/DPUPR/II/2025</t>
  </si>
  <si>
    <t>56625363/KLAR-NEG/PEJ-PENG/DPUPR/II/2025</t>
  </si>
  <si>
    <t>600/56625363/SPK-Konsultansi/PPK/DPUPR</t>
  </si>
  <si>
    <t>600/56625363/SPMK/PPK/DPUPR</t>
  </si>
  <si>
    <t>Pemb. Jalan Tobenge</t>
  </si>
  <si>
    <r>
      <rPr>
        <sz val="10"/>
        <color indexed="18"/>
        <rFont val="Avenir Next Regular"/>
      </rPr>
      <t>Pemb. Jalan Tobenge</t>
    </r>
  </si>
  <si>
    <t>231 CV. IPORANNUAN UTAMA KONSTRUKSI</t>
  </si>
  <si>
    <t>D I L M A N</t>
  </si>
  <si>
    <t>12.741.797.0-814.000</t>
  </si>
  <si>
    <t>Dusun Kaluku Nangka II</t>
  </si>
  <si>
    <t>HARTINI,Sh.,M.Kn</t>
  </si>
  <si>
    <t>075-003-000001624-1 Bank Sulselbar</t>
  </si>
  <si>
    <t>CV. IPORANNUAN UTAMA KONSTRUKSI</t>
  </si>
  <si>
    <t>56625423/BAHPL/2025</t>
  </si>
  <si>
    <t>56625423/PEN/2025</t>
  </si>
  <si>
    <t>56625423/UMUM/PEJ-PENG/DPUPR/II/2025</t>
  </si>
  <si>
    <t>56625423/KLAR-NEG/PEJ-PENG/DPUPR/II/2025</t>
  </si>
  <si>
    <t>600/56625423/SPK-Konstruksi/PPK/DPUPR</t>
  </si>
  <si>
    <t>600/56625423/SPMK/PPK/DPUPR</t>
  </si>
  <si>
    <t>Pemb. Jalan Ompi</t>
  </si>
  <si>
    <r>
      <rPr>
        <sz val="10"/>
        <color indexed="18"/>
        <rFont val="Avenir Next Regular"/>
      </rPr>
      <t>Pemb. Jalan Ompi</t>
    </r>
  </si>
  <si>
    <t>56625424/BAHPL/2025</t>
  </si>
  <si>
    <t>56625424/PEN/2025</t>
  </si>
  <si>
    <t>56625424/UMUM/PEJ-PENG/DPUPR/II/2025</t>
  </si>
  <si>
    <t>56625424/KLAR-NEG/PEJ-PENG/DPUPR/II/2025</t>
  </si>
  <si>
    <t>600/56625424/SPK-Konstruksi/PPK/DPUPR</t>
  </si>
  <si>
    <t>600/56625424/SPMK/PPK/DPUPR</t>
  </si>
  <si>
    <t>Pemb. Jalan Masabo</t>
  </si>
  <si>
    <r>
      <rPr>
        <sz val="10"/>
        <color indexed="18"/>
        <rFont val="Avenir Next Regular"/>
      </rPr>
      <t>Pemb. Jalan Masabo</t>
    </r>
  </si>
  <si>
    <t>56625410/BAHPL/2025</t>
  </si>
  <si>
    <t>56625410/PEN/2025</t>
  </si>
  <si>
    <t>56625410/UMUM/PEJ-PENG/DPUPR/II/2025</t>
  </si>
  <si>
    <t>56625410/KLAR-NEG/PEJ-PENG/DPUPR/II/2025</t>
  </si>
  <si>
    <t>600/56625410/SPK-Konstruksi/PPK/DPUPR</t>
  </si>
  <si>
    <t>600/56625410/SPMK/PPK/DPUPR</t>
  </si>
  <si>
    <t>56625365/BAHPL/2025</t>
  </si>
  <si>
    <t>56625365/PEN/2025</t>
  </si>
  <si>
    <t>56625365/UMUM/PEJ-PENG/DPUPR/II/2025</t>
  </si>
  <si>
    <t>56625365/KLAR-NEG/PEJ-PENG/DPUPR/II/2025</t>
  </si>
  <si>
    <t>600/56625365/SPK-Konstruksi/PPK/DPUPR</t>
  </si>
  <si>
    <t>600/56625365/SPMK/PPK/DPUPR</t>
  </si>
  <si>
    <t>/BAHPL/2025</t>
  </si>
  <si>
    <t>/PEN/2025</t>
  </si>
  <si>
    <t>/UMUM/PEJ-PENG/DPUPR//2025</t>
  </si>
  <si>
    <t>/KLAR-NEG/PEJ-PENG/DPUPR//2025</t>
  </si>
  <si>
    <t>600//SPK-Barang/PPK/DPUPR</t>
  </si>
  <si>
    <t>600//SPMK/PPK/DPUPR</t>
  </si>
  <si>
    <t xml:space="preserve">Pembangunan Jembatan Jalan Trans Sulawesi - Bambaira - Saluwira (DBH) </t>
  </si>
  <si>
    <r>
      <rPr>
        <sz val="10"/>
        <color indexed="18"/>
        <rFont val="Avenir Next Regular"/>
      </rPr>
      <t xml:space="preserve">Pembangunan Jembatan Jalan Trans Sulawesi - Bambaira - Saluwira (DBH) </t>
    </r>
  </si>
  <si>
    <t>DBH</t>
  </si>
  <si>
    <t>1.03.10.2.01.0040</t>
  </si>
  <si>
    <t>56625548/BAHPL/2025</t>
  </si>
  <si>
    <t>56625548/PEN/2025</t>
  </si>
  <si>
    <t>56625548/UMUM/PEJ-PENG/DPUPR/II/2025</t>
  </si>
  <si>
    <t>56625548/KLAR-NEG/PEJ-PENG/DPUPR/II/2025</t>
  </si>
  <si>
    <t>600/56625548/Kont-Konstruksi/PPK/DPUPR</t>
  </si>
  <si>
    <t>600/56625548/SPMK/PPK/DPUPR</t>
  </si>
  <si>
    <t xml:space="preserve">Pengawasan Pembangunan Jembatan Jalan Trans Sulawesi - Bambaira - Saluwira (DBH) </t>
  </si>
  <si>
    <r>
      <rPr>
        <sz val="10"/>
        <color indexed="18"/>
        <rFont val="Avenir Next Regular"/>
      </rPr>
      <t xml:space="preserve">Pengawasan Pembangunan Jembatan Jalan Trans Sulawesi - Bambaira - Saluwira (DBH) </t>
    </r>
  </si>
  <si>
    <t>56625549/BAHPL/2025</t>
  </si>
  <si>
    <t>56625549/PEN/2025</t>
  </si>
  <si>
    <t>56625549/UMUM/PEJ-PENG/DPUPR/II/2025</t>
  </si>
  <si>
    <t>56625549/KLAR-NEG/PEJ-PENG/DPUPR/II/2025</t>
  </si>
  <si>
    <t>600/56625549/SPK-Konsultansi/PPK/DPUPR</t>
  </si>
  <si>
    <t>600/56625549/SPMK/PPK/DPUPR</t>
  </si>
  <si>
    <t xml:space="preserve">Pengembangan Jaringan Distribusi dan Sambungan Rumah Desa Ompi Kec. Bulutaba (DAK) </t>
  </si>
  <si>
    <t>Pembangunan Sistem Penyediaan Air Minum (SPAM) Jaringan Perpipaan</t>
  </si>
  <si>
    <r>
      <rPr>
        <sz val="10"/>
        <color indexed="18"/>
        <rFont val="Avenir Next Regular"/>
      </rPr>
      <t xml:space="preserve">Pengembangan Jaringan Distribusi dan Sambungan Rumah Desa Ompi Kec. Bulutaba (DAK) </t>
    </r>
  </si>
  <si>
    <t>72 CV. HARAPAN BARU</t>
  </si>
  <si>
    <t>SAHRONI</t>
  </si>
  <si>
    <t>01.956.739.5-813.000</t>
  </si>
  <si>
    <t>LING. PALLANG-PALLANG DESA TALLU BANUA KEC. SENDANA KAB. MAJENE</t>
  </si>
  <si>
    <t>075.03.1389-7 Bank Sulselbar</t>
  </si>
  <si>
    <t>CV. HARAPAN BARU</t>
  </si>
  <si>
    <t>DAK</t>
  </si>
  <si>
    <t>e-purchasing</t>
  </si>
  <si>
    <t>1.03.03.2.01.0028</t>
  </si>
  <si>
    <t>56626941/BAHPL/2025</t>
  </si>
  <si>
    <t>56626941/PEN/2025</t>
  </si>
  <si>
    <t>56626941/UMUM/PEJ-PENG/DPUPR/II/2025</t>
  </si>
  <si>
    <t>56626941/KLAR-NEG/PEJ-PENG/DPUPR/II/2025</t>
  </si>
  <si>
    <t>600/56626941/Kont-Konstruksi/PPK/DPUPR</t>
  </si>
  <si>
    <t>600/56626941/SPMK/PPK/DPUPR</t>
  </si>
  <si>
    <t>NARDIN, ST</t>
  </si>
  <si>
    <t xml:space="preserve">Pengembangan Jaringan Distribusi dan Sambungan Rumah Desa Sarjo Kec. Sarjo (DAK) </t>
  </si>
  <si>
    <r>
      <rPr>
        <sz val="10"/>
        <color indexed="18"/>
        <rFont val="Avenir Next Regular"/>
      </rPr>
      <t xml:space="preserve">Pengembangan Jaringan Distribusi dan Sambungan Rumah Desa Sarjo Kec. Sarjo (DAK) </t>
    </r>
  </si>
  <si>
    <t>56626937/BAHPL/2025</t>
  </si>
  <si>
    <t>56626937/PEN/2025</t>
  </si>
  <si>
    <t>56626937/UMUM/PEJ-PENG/DPUPR/III/2025</t>
  </si>
  <si>
    <t>56626937/KLAR-NEG/PEJ-PENG/DPUPR/III/2025</t>
  </si>
  <si>
    <t>600/56626937/Kont-Konstruksi/PPK/DPUPR</t>
  </si>
  <si>
    <t>600/56626937/SPMK/PPK/DPUPR</t>
  </si>
  <si>
    <t xml:space="preserve">Pengembangan Jaringan Distribusi dan Sambungan Rumah Desa Polewali Kec. Bambalamotu (DAK) </t>
  </si>
  <si>
    <r>
      <rPr>
        <sz val="10"/>
        <color indexed="18"/>
        <rFont val="Avenir Next Regular"/>
      </rPr>
      <t xml:space="preserve">Pengembangan Jaringan Distribusi dan Sambungan Rumah Desa Polewali Kec. Bambalamotu (DAK) </t>
    </r>
  </si>
  <si>
    <t>56626935/BAHPL/2025</t>
  </si>
  <si>
    <t>56626935/PEN/2025</t>
  </si>
  <si>
    <t>56626935/UMUM/PEJ-PENG/DPUPR/II/2025</t>
  </si>
  <si>
    <t>56626935/KLAR-NEG/PEJ-PENG/DPUPR/II/2025</t>
  </si>
  <si>
    <t>600/56626935/Kont-Konstruksi/PPK/DPUPR</t>
  </si>
  <si>
    <t>600/56626935/SPMK/PPK/DPUPR</t>
  </si>
  <si>
    <t xml:space="preserve"> Pengembangan Jaringan Distribusi dan Sambungan Rumah Desa Bambalamotu Kec. Bambalamotu (DAK) </t>
  </si>
  <si>
    <r>
      <rPr>
        <sz val="10"/>
        <color indexed="18"/>
        <rFont val="Avenir Next Regular"/>
      </rPr>
      <t xml:space="preserve"> Pengembangan Jaringan Distribusi dan Sambungan Rumah Desa Bambalamotu Kec. Bambalamotu (DAK) </t>
    </r>
  </si>
  <si>
    <t>20 CV. CAKRA MAS</t>
  </si>
  <si>
    <r>
      <rPr>
        <sz val="10"/>
        <color indexed="8"/>
        <rFont val="Helvetica"/>
      </rPr>
      <t>I R V A N</t>
    </r>
  </si>
  <si>
    <t>03.154.739.1-814.000</t>
  </si>
  <si>
    <t xml:space="preserve">Jl. I Gusti Ngurah Rai, Pasangkayu 
</t>
  </si>
  <si>
    <t>08</t>
  </si>
  <si>
    <t>Fatimah Syamsul, S.H., M.Kn</t>
  </si>
  <si>
    <t>1510080081117 Bank mandiri Cab. Pasangkayu</t>
  </si>
  <si>
    <t>CV. CAKRA MAS</t>
  </si>
  <si>
    <t>56626942/BAHPL/2025</t>
  </si>
  <si>
    <t>56626942/PEN/2025</t>
  </si>
  <si>
    <t>56626942/UMUM/PEJ-PENG/DPUPR/II/2025</t>
  </si>
  <si>
    <t>56626942/KLAR-NEG/PEJ-PENG/DPUPR/II/2025</t>
  </si>
  <si>
    <t>600/56626942/Kont-Konstruksi/PPK/DPUPR</t>
  </si>
  <si>
    <t>600/56626942/SPMK/PPK/DPUPR</t>
  </si>
  <si>
    <t>Pengawasan Jaringan Perpipaan Air Bersih Sarjo-Polewali-Bambalamotu (DAK)</t>
  </si>
  <si>
    <r>
      <rPr>
        <sz val="10"/>
        <color indexed="18"/>
        <rFont val="Avenir Next Regular"/>
      </rPr>
      <t>Pengawasan Jaringan Perpipaan Air Bersih Sarjo-Polewali-Bambalamotu (DAK)</t>
    </r>
  </si>
  <si>
    <t>162 CV. MULTI REKAYASA</t>
  </si>
  <si>
    <t>SUDIRMAN, ST, MT</t>
  </si>
  <si>
    <t>02.974.105.5-801.000</t>
  </si>
  <si>
    <t>Jl. Perintis Kemerdekaan III. BTN Hamzy Blok A No. 6 Makassar 90245</t>
  </si>
  <si>
    <t>04</t>
  </si>
  <si>
    <t>27Agustus 2009</t>
  </si>
  <si>
    <t>Sit Nurulul Azmi, SH.</t>
  </si>
  <si>
    <t>130.003.000028531.1 bank sulselbar</t>
  </si>
  <si>
    <t>CV. MULTI REKAYASA</t>
  </si>
  <si>
    <t>56626944/BAHPL/2025</t>
  </si>
  <si>
    <t>56626944/PEN/2025</t>
  </si>
  <si>
    <t>56626944/UMUM/PEJ-PENG/DPUPR/II/2025</t>
  </si>
  <si>
    <t>56626944/KLAR-NEG/PEJ-PENG/DPUPR/II/2025</t>
  </si>
  <si>
    <t>600/56626944/SPK-Konsultansi/PPK/DPUPR</t>
  </si>
  <si>
    <t>600/56626944/SPMK/PPK/DPUPR</t>
  </si>
  <si>
    <t xml:space="preserve">Peningkatan Jalan Gunungsari I </t>
  </si>
  <si>
    <r>
      <rPr>
        <sz val="10"/>
        <color indexed="18"/>
        <rFont val="Avenir Next Regular"/>
      </rPr>
      <t xml:space="preserve">Peningkatan Jalan Gunungsari I </t>
    </r>
  </si>
  <si>
    <t>206 CV. UTAMA BUANA</t>
  </si>
  <si>
    <t>ANDRIAWAN ARWAN</t>
  </si>
  <si>
    <t>94.396.295.1-814.000</t>
  </si>
  <si>
    <t>Jalan Andi Depu, Desa/Kelurahan Pasangkayu, Kec. Pasangkayu, Kab. 
Pasangkayu, Provinsi Sulawesi Barat</t>
  </si>
  <si>
    <t>21/2020</t>
  </si>
  <si>
    <t>075-003-000001577-6. Bank Sulselbar</t>
  </si>
  <si>
    <t>CV. UTAMA BUANA</t>
  </si>
  <si>
    <t>56720180/BAHPL/2025</t>
  </si>
  <si>
    <t>56720180/PEN/2025</t>
  </si>
  <si>
    <t>56720180/UMUM/PEJ-PENG/DPUPR/III/2025</t>
  </si>
  <si>
    <t>56720180/KLAR-NEG/PEJ-PENG/DPUPR/III/2025</t>
  </si>
  <si>
    <t>600/56720180/SPK-Konstruksi/PPK/DPUPR</t>
  </si>
  <si>
    <t>600/56720180/SPMK/PPK/DPUPR</t>
  </si>
  <si>
    <t xml:space="preserve">Peningkatan Jalan Gunungsari II </t>
  </si>
  <si>
    <r>
      <rPr>
        <sz val="10"/>
        <color indexed="18"/>
        <rFont val="Avenir Next Regular"/>
      </rPr>
      <t xml:space="preserve">Peningkatan Jalan Gunungsari II </t>
    </r>
  </si>
  <si>
    <t>56726170/BAHPL/2025</t>
  </si>
  <si>
    <t>56726170/PEN/2025</t>
  </si>
  <si>
    <t>56726170/UMUM/PEJ-PENG/DPUPR/III/2025</t>
  </si>
  <si>
    <t>56726170/KLAR-NEG/PEJ-PENG/DPUPR/III/2025</t>
  </si>
  <si>
    <t>600/56726170/SPK-Konstruksi/PPK/DPUPR</t>
  </si>
  <si>
    <t>600/56726170/SPMK/PPK/DPUPR</t>
  </si>
  <si>
    <t>Pemb. Jalan Kanantuo</t>
  </si>
  <si>
    <r>
      <rPr>
        <sz val="10"/>
        <color indexed="18"/>
        <rFont val="Avenir Next Regular"/>
      </rPr>
      <t>Pemb. Jalan Kanantuo</t>
    </r>
  </si>
  <si>
    <t>56736140/BAHPL/2025</t>
  </si>
  <si>
    <t>56736140/PEN/2025</t>
  </si>
  <si>
    <t>56736140/UMUM/PEJ-PENG/DPUPR/III/2025</t>
  </si>
  <si>
    <t>56736140/KLAR-NEG/PEJ-PENG/DPUPR/III/2025</t>
  </si>
  <si>
    <t>600/56736140/SPK-Konstruksi/PPK/DPUPR</t>
  </si>
  <si>
    <t>600/56736140/SPMK/PPK/DPUPR</t>
  </si>
  <si>
    <t xml:space="preserve">Peningkatan Jalan Muhijrah Desa Pakawa </t>
  </si>
  <si>
    <r>
      <rPr>
        <sz val="10"/>
        <color indexed="18"/>
        <rFont val="Avenir Next Regular"/>
      </rPr>
      <t xml:space="preserve">Peningkatan Jalan Muhijrah Desa Pakawa </t>
    </r>
  </si>
  <si>
    <t>147 CV. LABUAN BANGUNINDO</t>
  </si>
  <si>
    <t>ASRAFIL, SH</t>
  </si>
  <si>
    <t>83.621.928.7-814.000</t>
  </si>
  <si>
    <t>JL. Ir. SUKARNO, KEL. PASANGKAYU, KEC. PASANGKAYU KAB. PASANGKAYU</t>
  </si>
  <si>
    <t>03</t>
  </si>
  <si>
    <t>0750030000015521 Bank SULSELBAR</t>
  </si>
  <si>
    <t>CV. LABUAN BANGUNINDO</t>
  </si>
  <si>
    <t>56830180/BAHPL/2025</t>
  </si>
  <si>
    <t>56830180/PEN/2025</t>
  </si>
  <si>
    <t>56830180/UMUM/PEJ-PENG/DPUPR/III/2025</t>
  </si>
  <si>
    <t>56830180/KLAR-NEG/PEJ-PENG/DPUPR/III/2025</t>
  </si>
  <si>
    <t>600/56830180/SPK-Konstruksi/PPK/DPUPR</t>
  </si>
  <si>
    <t>600/56830180/SPMK/PPK/DPUPR</t>
  </si>
  <si>
    <t xml:space="preserve">Penigkatan Jalan Balanti Agri </t>
  </si>
  <si>
    <r>
      <rPr>
        <sz val="10"/>
        <color indexed="18"/>
        <rFont val="Avenir Next Regular"/>
      </rPr>
      <t xml:space="preserve">Penigkatan Jalan Balanti Agri </t>
    </r>
  </si>
  <si>
    <t>172 CV. TO MASSANGNGADI KONSTRUKSI</t>
  </si>
  <si>
    <t>ARDHI BAHAR</t>
  </si>
  <si>
    <t>90.030.190.4-814.000</t>
  </si>
  <si>
    <t>Jl. Tanjung Babia Pasangkayu</t>
  </si>
  <si>
    <t xml:space="preserve">075.003.0000015610  BPD SULSELBAR Cab. Pasangkayu </t>
  </si>
  <si>
    <t>CV. TO MASSANGNGADI KONSTRUKSI</t>
  </si>
  <si>
    <t>58426875/BAHPL/2025</t>
  </si>
  <si>
    <t>58426875/PEN/2025</t>
  </si>
  <si>
    <t>58426875/UMUM/PEJ-PENG/DPUPR/III/2025</t>
  </si>
  <si>
    <t>58426875/KLAR-NEG/PEJ-PENG/DPUPR/III/2025</t>
  </si>
  <si>
    <t>600/58426875/SPK-Konstruksi/PPK/DPUPR</t>
  </si>
  <si>
    <t>600/58426875/SPMK/PPK/DPUPR</t>
  </si>
  <si>
    <t xml:space="preserve">Pemb. Box Culvert Dsn Silaja </t>
  </si>
  <si>
    <r>
      <rPr>
        <sz val="10"/>
        <color indexed="18"/>
        <rFont val="Avenir Next Regular"/>
      </rPr>
      <t xml:space="preserve">Pemb. Box Culvert Dsn Silaja </t>
    </r>
  </si>
  <si>
    <t>58432539/BAHPL/2025</t>
  </si>
  <si>
    <t>58432539/PEN/2025</t>
  </si>
  <si>
    <t>58432539/UMUM/PEJ-PENG/DPUPR/III/2025</t>
  </si>
  <si>
    <t>58432539/KLAR-NEG/PEJ-PENG/DPUPR/III/2025</t>
  </si>
  <si>
    <t>600/58432539/SPK-Konstruksi/PPK/DPUPR</t>
  </si>
  <si>
    <t>600/58432539/SPMK/PPK/DPUPR</t>
  </si>
  <si>
    <t xml:space="preserve">Pemb. Jalan Teranja Ds Ako </t>
  </si>
  <si>
    <r>
      <rPr>
        <sz val="10"/>
        <color indexed="18"/>
        <rFont val="Avenir Next Regular"/>
      </rPr>
      <t xml:space="preserve">Pemb. Jalan Teranja Ds Ako </t>
    </r>
  </si>
  <si>
    <t>58426938/BAHPL/2025</t>
  </si>
  <si>
    <t>58426938/PEN/2025</t>
  </si>
  <si>
    <t>58426938/UMUM/PEJ-PENG/DPUPR/III/2025</t>
  </si>
  <si>
    <t>58426938/KLAR-NEG/PEJ-PENG/DPUPR/III/2025</t>
  </si>
  <si>
    <t>600/58426938/SPK-Konstruksi/PPK/DPUPR</t>
  </si>
  <si>
    <t>600/58426938/SPMK/PPK/DPUPR</t>
  </si>
  <si>
    <t xml:space="preserve">Peningkatan Jalan Bambaira </t>
  </si>
  <si>
    <r>
      <rPr>
        <sz val="10"/>
        <color indexed="18"/>
        <rFont val="Avenir Next Regular"/>
      </rPr>
      <t xml:space="preserve">Peningkatan Jalan Bambaira </t>
    </r>
  </si>
  <si>
    <t>58427415/BAHPL/2025</t>
  </si>
  <si>
    <t>58427415/PEN/2025</t>
  </si>
  <si>
    <t>58427415/UMUM/PEJ-PENG/DPUPR/III/2025</t>
  </si>
  <si>
    <t>58427415/KLAR-NEG/PEJ-PENG/DPUPR/III/2025</t>
  </si>
  <si>
    <t>600/58427415/SPK-Konstruksi/PPK/DPUPR</t>
  </si>
  <si>
    <t>600/58427415/SPMK/PPK/DPUPR</t>
  </si>
  <si>
    <t xml:space="preserve">Peningkatan Jalan Teranggi </t>
  </si>
  <si>
    <r>
      <rPr>
        <sz val="10"/>
        <color indexed="18"/>
        <rFont val="Avenir Next Regular"/>
      </rPr>
      <t xml:space="preserve">Peningkatan Jalan Teranggi </t>
    </r>
  </si>
  <si>
    <t>58427515/BAHPL/2025</t>
  </si>
  <si>
    <t>58427515/PEN/2025</t>
  </si>
  <si>
    <t>58427515/UMUM/PEJ-PENG/DPUPR/III/2025</t>
  </si>
  <si>
    <t>58427515/KLAR-NEG/PEJ-PENG/DPUPR/III/2025</t>
  </si>
  <si>
    <t>600/58427515/SPK-Konstruksi/PPK/DPUPR</t>
  </si>
  <si>
    <t>600/58427515/SPMK/PPK/DPUPR</t>
  </si>
  <si>
    <t>Peningkatan Jalan Bambaira I</t>
  </si>
  <si>
    <r>
      <rPr>
        <sz val="10"/>
        <color indexed="18"/>
        <rFont val="Avenir Next Regular"/>
      </rPr>
      <t>Peningkatan Jalan Bambaira I</t>
    </r>
  </si>
  <si>
    <t>58427544/BAHPL/2025</t>
  </si>
  <si>
    <t>58427544/PEN/2025</t>
  </si>
  <si>
    <t>58427544/UMUM/PEJ-PENG/DPUPR/III/2025</t>
  </si>
  <si>
    <t>58427544/KLAR-NEG/PEJ-PENG/DPUPR/III/2025</t>
  </si>
  <si>
    <t>600/58427544/SPK-Konstruksi/PPK/DPUPR</t>
  </si>
  <si>
    <t>600/58427544/SPMK/PPK/DPUPR</t>
  </si>
  <si>
    <t xml:space="preserve">Pemb./Peningkatan Jalan Dusun Bambatunu Desa Kalukunangka </t>
  </si>
  <si>
    <r>
      <rPr>
        <sz val="10"/>
        <color indexed="18"/>
        <rFont val="Avenir Next Regular"/>
      </rPr>
      <t xml:space="preserve">Pemb./Peningkatan Jalan Dusun Bambatunu Desa Kalukunangka </t>
    </r>
  </si>
  <si>
    <t>58427572/BAHPL/2025</t>
  </si>
  <si>
    <t>58427572/PEN/2025</t>
  </si>
  <si>
    <t>58427572/UMUM/PEJ-PENG/DPUPR/III/2025</t>
  </si>
  <si>
    <t>58427572/KLAR-NEG/PEJ-PENG/DPUPR/III/2025</t>
  </si>
  <si>
    <t>600/58427572/SPK-Konstruksi/PPK/DPUPR</t>
  </si>
  <si>
    <t>600/58427572/SPMK/PPK/DPUPR</t>
  </si>
  <si>
    <t>Pemb./Peningkatan Jalan Dusun Harapan</t>
  </si>
  <si>
    <r>
      <rPr>
        <sz val="10"/>
        <color indexed="18"/>
        <rFont val="Avenir Next Regular"/>
      </rPr>
      <t>Pemb./Peningkatan Jalan Dusun Harapan</t>
    </r>
  </si>
  <si>
    <t>58427606/BAHPL/2025</t>
  </si>
  <si>
    <t>58427606/PEN/2025</t>
  </si>
  <si>
    <t>58427606/UMUM/PEJ-PENG/DPUPR/III/2025</t>
  </si>
  <si>
    <t>58427606/KLAR-NEG/PEJ-PENG/DPUPR/III/2025</t>
  </si>
  <si>
    <t>600/58427606/SPK-Konstruksi/PPK/DPUPR</t>
  </si>
  <si>
    <t>600/58427606/SPMK/PPK/DPUPR</t>
  </si>
  <si>
    <t xml:space="preserve">Pemb./Peningkatan Jalan Bambamone I </t>
  </si>
  <si>
    <r>
      <rPr>
        <sz val="10"/>
        <color indexed="18"/>
        <rFont val="Avenir Next Regular"/>
      </rPr>
      <t xml:space="preserve">Pemb./Peningkatan Jalan Bambamone I </t>
    </r>
  </si>
  <si>
    <t>58427675/BAHPL/2025</t>
  </si>
  <si>
    <t>58427675/PEN/2025</t>
  </si>
  <si>
    <t>58427675/UMUM/PEJ-PENG/DPUPR/III/2025</t>
  </si>
  <si>
    <t>58427675/KLAR-NEG/PEJ-PENG/DPUPR/III/2025</t>
  </si>
  <si>
    <t>600/58427675/SPK-Konstruksi/PPK/DPUPR</t>
  </si>
  <si>
    <t>600/58427675/SPMK/PPK/DPUPR</t>
  </si>
  <si>
    <t>Peningkatan Jalan Bambamone II</t>
  </si>
  <si>
    <r>
      <rPr>
        <sz val="10"/>
        <color indexed="18"/>
        <rFont val="Avenir Next Regular"/>
      </rPr>
      <t>Peningkatan Jalan Bambamone II</t>
    </r>
  </si>
  <si>
    <t>229 CV. ABRA JAYA KONTRUKSI</t>
  </si>
  <si>
    <t>ABD. RASAK</t>
  </si>
  <si>
    <t>03.661.265.3-814.000</t>
  </si>
  <si>
    <t>Lingk. T anjung Babia., Desa/Kelurahan Pasangkayu, Kec. Pasangkayu</t>
  </si>
  <si>
    <t>HARTINI, SH.,M.Kn</t>
  </si>
  <si>
    <t>075-003-000001623-3</t>
  </si>
  <si>
    <t>CV. ABRA JAYA KONTRUKSI</t>
  </si>
  <si>
    <t>58429903/BAHPL/2025</t>
  </si>
  <si>
    <t>58429903/PEN/2025</t>
  </si>
  <si>
    <t>58429903/UMUM/PEJ-PENG/DPUPR/III/2025</t>
  </si>
  <si>
    <t>58429903/KLAR-NEG/PEJ-PENG/DPUPR/III/2025</t>
  </si>
  <si>
    <t>600/58429903/SPK-Konstruksi/PPK/DPUPR</t>
  </si>
  <si>
    <t>600/58429903/SPMK/PPK/DPUPR</t>
  </si>
  <si>
    <t xml:space="preserve">Pemb. Dsn Purnama Baru Ds Kalola </t>
  </si>
  <si>
    <r>
      <rPr>
        <sz val="10"/>
        <color indexed="18"/>
        <rFont val="Avenir Next Regular"/>
      </rPr>
      <t xml:space="preserve">Pemb. Dsn Purnama Baru Ds Kalola </t>
    </r>
  </si>
  <si>
    <t>58429955/BAHPL/2025</t>
  </si>
  <si>
    <t>58429955/PEN/2025</t>
  </si>
  <si>
    <t>58429955/UMUM/PEJ-PENG/DPUPR/III/2025</t>
  </si>
  <si>
    <t>58429955/KLAR-NEG/PEJ-PENG/DPUPR/III/2025</t>
  </si>
  <si>
    <t>600/58429955/SPK-Konstruksi/PPK/DPUPR</t>
  </si>
  <si>
    <t>600/58429955/SPMK/PPK/DPUPR</t>
  </si>
  <si>
    <t xml:space="preserve">Pemb. Jalan Ds Benggaulu Kanan Tuo </t>
  </si>
  <si>
    <r>
      <rPr>
        <sz val="10"/>
        <color indexed="18"/>
        <rFont val="Avenir Next Regular"/>
      </rPr>
      <t xml:space="preserve">Pemb. Jalan Ds Benggaulu Kanan Tuo </t>
    </r>
  </si>
  <si>
    <t>58430016/BAHPL/2025</t>
  </si>
  <si>
    <t>58430016/PEN/2025</t>
  </si>
  <si>
    <t>58430016/UMUM/PEJ-PENG/DPUPR/III/2025</t>
  </si>
  <si>
    <t>58430016/KLAR-NEG/PEJ-PENG/DPUPR/III/2025</t>
  </si>
  <si>
    <t>600/58430016/SPK-Konstruksi/PPK/DPUPR</t>
  </si>
  <si>
    <t>600/58430016/SPMK/PPK/DPUPR</t>
  </si>
  <si>
    <t>Peningkatan Jalan Salonggabo I</t>
  </si>
  <si>
    <r>
      <rPr>
        <sz val="10"/>
        <color indexed="18"/>
        <rFont val="Avenir Next Regular"/>
      </rPr>
      <t>Peningkatan Jalan Salonggabo I</t>
    </r>
  </si>
  <si>
    <t>58430076/BAHPL/2025</t>
  </si>
  <si>
    <t>58430076/PEN/2025</t>
  </si>
  <si>
    <t>58430076/UMUM/PEJ-PENG/DPUPR/III/2025</t>
  </si>
  <si>
    <t>58430076/KLAR-NEG/PEJ-PENG/DPUPR/III/2025</t>
  </si>
  <si>
    <t>600/58430076/SPK-Konstruksi/PPK/DPUPR</t>
  </si>
  <si>
    <t>600/58430076/SPMK/PPK/DPUPR</t>
  </si>
  <si>
    <t>Pemb. Jalan Salubulu Pasangkayu</t>
  </si>
  <si>
    <r>
      <rPr>
        <sz val="10"/>
        <color indexed="18"/>
        <rFont val="Avenir Next Regular"/>
      </rPr>
      <t>Pemb. Jalan Salubulu Pasangkayu</t>
    </r>
  </si>
  <si>
    <t>58430153/BAHPL/2025</t>
  </si>
  <si>
    <t>58430153/PEN/2025</t>
  </si>
  <si>
    <t>58430153/UMUM/PEJ-PENG/DPUPR/III/2025</t>
  </si>
  <si>
    <t>58430153/KLAR-NEG/PEJ-PENG/DPUPR/III/2025</t>
  </si>
  <si>
    <t>600/58430153/SPK-Konstruksi/PPK/DPUPR</t>
  </si>
  <si>
    <t>600/58430153/SPMK/PPK/DPUPR</t>
  </si>
  <si>
    <t>Peningkatan Jalan Tobengo</t>
  </si>
  <si>
    <r>
      <rPr>
        <sz val="10"/>
        <color indexed="18"/>
        <rFont val="Avenir Next Regular"/>
      </rPr>
      <t>Peningkatan Jalan Tobengo</t>
    </r>
  </si>
  <si>
    <t>238 CV. ALIF MAPPARIMULA</t>
  </si>
  <si>
    <t>IZHAR FAUSAN</t>
  </si>
  <si>
    <t>99.995.452.2-814.000</t>
  </si>
  <si>
    <t>BTN GRIYA PERMATA KORONGANA 2 BLOK E NO. 27, Desa/Kelurahan Simboro, Kec. Simboro dan Kepulauan, Kab. Mamuju</t>
  </si>
  <si>
    <t>130-003-000000912-7 Bank Sulselbar</t>
  </si>
  <si>
    <t>CV. ALIF MAPPARIMULA</t>
  </si>
  <si>
    <t>58430203/BAHPL/2025</t>
  </si>
  <si>
    <t>58430203/PEN/2025</t>
  </si>
  <si>
    <t>58430203/UMUM/PEJ-PENG/DPUPR/III/2025</t>
  </si>
  <si>
    <t>58430203/KLAR-NEG/PEJ-PENG/DPUPR/III/2025</t>
  </si>
  <si>
    <t>600/58430203/SPK-Konstruksi/PPK/DPUPR</t>
  </si>
  <si>
    <t>600/58430203/SPMK/PPK/DPUPR</t>
  </si>
  <si>
    <t xml:space="preserve">Peningkatan Jalan Bambamone - Mandar II </t>
  </si>
  <si>
    <r>
      <rPr>
        <sz val="10"/>
        <color indexed="18"/>
        <rFont val="Avenir Next Regular"/>
      </rPr>
      <t xml:space="preserve">Peningkatan Jalan Bambamone - Mandar II </t>
    </r>
  </si>
  <si>
    <t>58430311/BAHPL/2025</t>
  </si>
  <si>
    <t>58430311/PEN/2025</t>
  </si>
  <si>
    <t>58430311/UMUM/PEJ-PENG/DPUPR/III/2025</t>
  </si>
  <si>
    <t>58430311/KLAR-NEG/PEJ-PENG/DPUPR/III/2025</t>
  </si>
  <si>
    <t>600/58430311/SPK-Konstruksi/PPK/DPUPR</t>
  </si>
  <si>
    <t>600/58430311/SPMK/PPK/DPUPR</t>
  </si>
  <si>
    <t xml:space="preserve">Pemb. Jalan Gunung Sari - Petunggu </t>
  </si>
  <si>
    <r>
      <rPr>
        <sz val="10"/>
        <color indexed="18"/>
        <rFont val="Avenir Next Regular"/>
      </rPr>
      <t xml:space="preserve">Pemb. Jalan Gunung Sari - Petunggu </t>
    </r>
  </si>
  <si>
    <t>58430355/BAHPL/2025</t>
  </si>
  <si>
    <t>58430355/PEN/2025</t>
  </si>
  <si>
    <t>58430355/UMUM/PEJ-PENG/DPUPR/III/2025</t>
  </si>
  <si>
    <t>58430355/KLAR-NEG/PEJ-PENG/DPUPR/III/2025</t>
  </si>
  <si>
    <t>600/58430355/SPK-Konstruksi/PPK/DPUPR</t>
  </si>
  <si>
    <t>600/58430355/SPMK/PPK/DPUPR</t>
  </si>
  <si>
    <t xml:space="preserve">Peningkatan Jalan Dusun Lameambo Singgani </t>
  </si>
  <si>
    <r>
      <rPr>
        <sz val="10"/>
        <color indexed="18"/>
        <rFont val="Avenir Next Regular"/>
      </rPr>
      <t xml:space="preserve">Peningkatan Jalan Dusun Lameambo Singgani </t>
    </r>
  </si>
  <si>
    <t>58430404/BAHPL/2025</t>
  </si>
  <si>
    <t>58430404/PEN/2025</t>
  </si>
  <si>
    <t>58430404/UMUM/PEJ-PENG/DPUPR/III/2025</t>
  </si>
  <si>
    <t>58430404/KLAR-NEG/PEJ-PENG/DPUPR/III/2025</t>
  </si>
  <si>
    <t>600/58430404/SPK-Konstruksi/PPK/DPUPR</t>
  </si>
  <si>
    <t>600/58430404/SPMK/PPK/DPUPR</t>
  </si>
  <si>
    <t>SUMBER DANA PAJAK KEND</t>
  </si>
  <si>
    <t>Peningkatan Jalan Salonggabo - Morobio</t>
  </si>
  <si>
    <r>
      <rPr>
        <sz val="10"/>
        <color indexed="18"/>
        <rFont val="Avenir Next Regular"/>
      </rPr>
      <t>Peningkatan Jalan Salonggabo - Morobio</t>
    </r>
  </si>
  <si>
    <t>58430444/BAHPL/2025</t>
  </si>
  <si>
    <t>58430444/PEN/2025</t>
  </si>
  <si>
    <t>58430444/UMUM/PEJ-PENG/DPUPR/III/2025</t>
  </si>
  <si>
    <t>58430444/KLAR-NEG/PEJ-PENG/DPUPR/III/2025</t>
  </si>
  <si>
    <t>600/58430444/SPK-Konstruksi/PPK/DPUPR</t>
  </si>
  <si>
    <t>600/58430444/SPMK/PPK/DPUPR</t>
  </si>
  <si>
    <t>PAJAK/DAU</t>
  </si>
  <si>
    <t xml:space="preserve">Peningkatan Jalan/Rabat Beton Pasangkayu </t>
  </si>
  <si>
    <r>
      <rPr>
        <sz val="10"/>
        <color indexed="18"/>
        <rFont val="Avenir Next Regular"/>
      </rPr>
      <t xml:space="preserve">Peningkatan Jalan/Rabat Beton Pasangkayu </t>
    </r>
  </si>
  <si>
    <t>58430536/BAHPL/2025</t>
  </si>
  <si>
    <t>58430536/PEN/2025</t>
  </si>
  <si>
    <t>58430536/UMUM/PEJ-PENG/DPUPR/III/2025</t>
  </si>
  <si>
    <t>58430536/KLAR-NEG/PEJ-PENG/DPUPR/III/2025</t>
  </si>
  <si>
    <t>600/58430536/SPK-Konstruksi/PPK/DPUPR</t>
  </si>
  <si>
    <t>600/58430536/SPMK/PPK/DPUPR</t>
  </si>
  <si>
    <t xml:space="preserve">Pemb. Jalan Pasangkayu (Lanjutan) </t>
  </si>
  <si>
    <r>
      <rPr>
        <sz val="10"/>
        <color indexed="18"/>
        <rFont val="Avenir Next Regular"/>
      </rPr>
      <t xml:space="preserve">Pemb. Jalan Pasangkayu (Lanjutan) </t>
    </r>
  </si>
  <si>
    <t>58430653/BAHPL/2025</t>
  </si>
  <si>
    <t>58430653/PEN/2025</t>
  </si>
  <si>
    <t>58430653/UMUM/PEJ-PENG/DPUPR/III/2025</t>
  </si>
  <si>
    <t>58430653/KLAR-NEG/PEJ-PENG/DPUPR/III/2025</t>
  </si>
  <si>
    <t>600/58430653/SPK-Konstruksi/PPK/DPUPR</t>
  </si>
  <si>
    <t>600/58430653/SPMK/PPK/DPUPR</t>
  </si>
  <si>
    <t xml:space="preserve">Peningkatan Jalan Mandar II - Maisia </t>
  </si>
  <si>
    <r>
      <rPr>
        <sz val="10"/>
        <color indexed="18"/>
        <rFont val="Avenir Next Regular"/>
      </rPr>
      <t xml:space="preserve">Peningkatan Jalan Mandar II - Maisia </t>
    </r>
  </si>
  <si>
    <t>58430780/BAHPL/2025</t>
  </si>
  <si>
    <t>58430780/PEN/2025</t>
  </si>
  <si>
    <t>58430780/UMUM/PEJ-PENG/DPUPR/III/2025</t>
  </si>
  <si>
    <t>58430780/KLAR-NEG/PEJ-PENG/DPUPR/III/2025</t>
  </si>
  <si>
    <t>600/58430780/SPK-Konstruksi/PPK/DPUPR</t>
  </si>
  <si>
    <t>600/58430780/SPMK/PPK/DPUPR</t>
  </si>
  <si>
    <t xml:space="preserve">Perenc. Rehabilitasi/Pemeliharaan Rumah Jabatan Bupati </t>
  </si>
  <si>
    <t>Penataan Bangunan dan Lingkungan Kawasan Cagar Budaya, Kawasan Pariwisata, Kawasan Sistem Perkotaan Nasional dan Kawasan Strategis Lainnya</t>
  </si>
  <si>
    <r>
      <rPr>
        <sz val="10"/>
        <color indexed="18"/>
        <rFont val="Avenir Next Regular"/>
      </rPr>
      <t xml:space="preserve">Perenc. Rehabilitasi/Pemeliharaan Rumah Jabatan Bupati </t>
    </r>
  </si>
  <si>
    <t>255 CV. MEZZANINE DUA EMPAT</t>
  </si>
  <si>
    <t>H I D R U L L A H</t>
  </si>
  <si>
    <t>03.815.758.2-805.000</t>
  </si>
  <si>
    <t>JL. PERUMNAS RAYA KOMP RUKO BALANG TONJONG NO. 22 Makassar</t>
  </si>
  <si>
    <t>SITTI HASRIDAH RASYID, S.H.</t>
  </si>
  <si>
    <t>139-003-000000144-5 Bank Sulselbar</t>
  </si>
  <si>
    <t>CV. MEZZANINE DUA EMPAT</t>
  </si>
  <si>
    <t>1.03.09.2.01.0008</t>
  </si>
  <si>
    <t>56625267/BAHPL/2025</t>
  </si>
  <si>
    <t>56625267/PEN/2025</t>
  </si>
  <si>
    <t>56625267/UMUM/PEJ-PENG/DPUPR/III/2025</t>
  </si>
  <si>
    <t>56625267/KLAR-NEG/PEJ-PENG/DPUPR/III/2025</t>
  </si>
  <si>
    <t>600/56625267/SPK-Konsultansi/PPK/DPUPR</t>
  </si>
  <si>
    <t>600/56625267/SPMK/PPK/DPUPR</t>
  </si>
  <si>
    <t xml:space="preserve">Stock Desain Jemb./Box Culvert Kab. Pasangkayu I </t>
  </si>
  <si>
    <r>
      <rPr>
        <sz val="10"/>
        <color indexed="18"/>
        <rFont val="Avenir Next Regular"/>
      </rPr>
      <t xml:space="preserve">Stock Desain Jemb./Box Culvert Kab. Pasangkayu I </t>
    </r>
  </si>
  <si>
    <t>250 CV. NAO KONSULTAN INOVATIF</t>
  </si>
  <si>
    <t>MUH. SUPARMAN, SE</t>
  </si>
  <si>
    <t>1091 0312 1100 5624</t>
  </si>
  <si>
    <t>JL. PROF. MOH. YAMIN NO.15, Desa/Kelurahan Tatura Utara, Kec. Palu
Selatan, Kota Palu, Provinsi Sulawesi Tengah</t>
  </si>
  <si>
    <t>01</t>
  </si>
  <si>
    <t>ALSA DWI CHAYADI THALIB S.H,
M.Kn</t>
  </si>
  <si>
    <t>0010107015096 Bank Sulteng</t>
  </si>
  <si>
    <t>CV. NAO KONSULTAN INOVATIF</t>
  </si>
  <si>
    <t>56632498/BAHPL/2025</t>
  </si>
  <si>
    <t>56632498/PEN/2025</t>
  </si>
  <si>
    <t>56632498/UMUM/PEJ-PENG/DPUPR/III/2025</t>
  </si>
  <si>
    <t>56632498/KLAR-NEG/PEJ-PENG/DPUPR/III/2025</t>
  </si>
  <si>
    <t>600/56632498/SPK-Konsultansi/PPK/DPUPR</t>
  </si>
  <si>
    <t>600/56632498/SPMK/PPK/DPUPR</t>
  </si>
  <si>
    <t xml:space="preserve">Stock Desain Jemb./Box Culvert Kab. Pasangkayu II </t>
  </si>
  <si>
    <r>
      <rPr>
        <sz val="10"/>
        <color indexed="18"/>
        <rFont val="Avenir Next Regular"/>
      </rPr>
      <t xml:space="preserve">Stock Desain Jemb./Box Culvert Kab. Pasangkayu II </t>
    </r>
  </si>
  <si>
    <t>56741416/BAHPL/2025</t>
  </si>
  <si>
    <t>56741416/PEN/2025</t>
  </si>
  <si>
    <t>56741416/UMUM/PEJ-PENG/DPUPR/III/2025</t>
  </si>
  <si>
    <t>56741416/KLAR-NEG/PEJ-PENG/DPUPR/III/2025</t>
  </si>
  <si>
    <t>600/56741416/SPK-Konsultansi/PPK/DPUPR</t>
  </si>
  <si>
    <t>600/56741416/SPMK/PPK/DPUPR</t>
  </si>
  <si>
    <t>Stock Desain Jalan Rabat Beton Pasangkayu I</t>
  </si>
  <si>
    <r>
      <rPr>
        <sz val="10"/>
        <color indexed="18"/>
        <rFont val="Avenir Next Regular"/>
      </rPr>
      <t>Stock Desain Jalan Rabat Beton Pasangkayu I</t>
    </r>
  </si>
  <si>
    <t>56584477/BAHPL/2025</t>
  </si>
  <si>
    <t>56584477/PEN/2025</t>
  </si>
  <si>
    <t>56584477/UMUM/PEJ-PENG/DPUPR/III/2025</t>
  </si>
  <si>
    <t>56584477/KLAR-NEG/PEJ-PENG/DPUPR/III/2025</t>
  </si>
  <si>
    <t>600/56584477/SPK-Konsultansi/PPK/DPUPR</t>
  </si>
  <si>
    <t>600/56584477/SPMK/PPK/DPUPR</t>
  </si>
  <si>
    <t>Stock Desain Jalan Rabat Beton Pasangkayu II</t>
  </si>
  <si>
    <r>
      <rPr>
        <sz val="10"/>
        <color indexed="18"/>
        <rFont val="Avenir Next Regular"/>
      </rPr>
      <t>Stock Desain Jalan Rabat Beton Pasangkayu II</t>
    </r>
  </si>
  <si>
    <t>56951433/BAHPL/2025</t>
  </si>
  <si>
    <t>56951433/PEN/2025</t>
  </si>
  <si>
    <t>56951433/UMUM/PEJ-PENG/DPUPR/III/2025</t>
  </si>
  <si>
    <t>56951433/KLAR-NEG/PEJ-PENG/DPUPR/III/2025</t>
  </si>
  <si>
    <t>600/56951433/SPK-Konsultansi/PPK/DPUPR</t>
  </si>
  <si>
    <t>600/56951433/SPMK/PPK/DPUPR</t>
  </si>
  <si>
    <t>Stock Desain Jalan Rabat Beton Pasangkayu III</t>
  </si>
  <si>
    <r>
      <rPr>
        <sz val="10"/>
        <color indexed="18"/>
        <rFont val="Avenir Next Regular"/>
      </rPr>
      <t>Stock Desain Jalan Rabat Beton Pasangkayu III</t>
    </r>
  </si>
  <si>
    <t>56422813/BAHPL/2025</t>
  </si>
  <si>
    <t>56422813/PEN/2025</t>
  </si>
  <si>
    <t>56422813/UMUM/PEJ-PENG/DPUPR/III/2025</t>
  </si>
  <si>
    <t>56422813/KLAR-NEG/PEJ-PENG/DPUPR/III/2025</t>
  </si>
  <si>
    <t>600/56422813/SPK-Konsultansi/PPK/DPUPR</t>
  </si>
  <si>
    <t>600/56422813/SPMK/PPK/DPUPR</t>
  </si>
  <si>
    <t xml:space="preserve">Pengawasan Peningkatan Jalan Gunungsari I cs. </t>
  </si>
  <si>
    <r>
      <rPr>
        <sz val="10"/>
        <color indexed="18"/>
        <rFont val="Avenir Next Regular"/>
      </rPr>
      <t xml:space="preserve">Pengawasan Peningkatan Jalan Gunungsari I cs. </t>
    </r>
  </si>
  <si>
    <t>58431349/BAHPL/2025</t>
  </si>
  <si>
    <t>58431349/PEN/2025</t>
  </si>
  <si>
    <t>58431349/UMUM/PEJ-PENG/DPUPR/III/2025</t>
  </si>
  <si>
    <t>58431349/KLAR-NEG/PEJ-PENG/DPUPR/III/2025</t>
  </si>
  <si>
    <t>600/58431349/SPK-Konsultansi/PPK/DPUPR</t>
  </si>
  <si>
    <t>600/58431349/SPMK/PPK/DPUPR</t>
  </si>
  <si>
    <t xml:space="preserve">Pemeliharaan Landscape Kota Pasangkayu </t>
  </si>
  <si>
    <r>
      <rPr>
        <sz val="10"/>
        <color indexed="18"/>
        <rFont val="Avenir Next Regular"/>
      </rPr>
      <t xml:space="preserve">Pemeliharaan Landscape Kota Pasangkayu </t>
    </r>
  </si>
  <si>
    <t>256 CV. INTAN KARYA AGUNG</t>
  </si>
  <si>
    <t>AGUNG KURNIAWAN</t>
  </si>
  <si>
    <t>03.198.009.7-831.000</t>
  </si>
  <si>
    <t>btn palupi permai blok BI A no 11, Desa/Kelurahan Palupi, Kec. T atanga,
Kota Palu</t>
  </si>
  <si>
    <t>ERNY SINGAL S.H., M.H., M.KN.</t>
  </si>
  <si>
    <t>0010107166140 Bank Sulteng</t>
  </si>
  <si>
    <t>CV. INTAN KARYA AGUNG</t>
  </si>
  <si>
    <t>58432795/BAHPL/2025</t>
  </si>
  <si>
    <t>58432795/PEN/2025</t>
  </si>
  <si>
    <t>58432795/UMUM/PEJ-PENG/DPUPR/IV/2025</t>
  </si>
  <si>
    <t>58432795/KLAR-NEG/PEJ-PENG/DPUPR/IV/2025</t>
  </si>
  <si>
    <t>600/58432795/SPK-Konstruksi/PPK/DPUPR</t>
  </si>
  <si>
    <t>600/58432795/SPMK/PPK/DPUPR</t>
  </si>
  <si>
    <t xml:space="preserve">Peningkatan Jalan (Rabat Beton) Kota Pasangkayu I </t>
  </si>
  <si>
    <r>
      <rPr>
        <sz val="10"/>
        <color indexed="18"/>
        <rFont val="Avenir Next Regular"/>
      </rPr>
      <t xml:space="preserve">Peningkatan Jalan (Rabat Beton) Kota Pasangkayu I </t>
    </r>
  </si>
  <si>
    <t>58431386/BAHPL/2025</t>
  </si>
  <si>
    <t>58431386/PEN/2025</t>
  </si>
  <si>
    <t>58431386/UMUM/PEJ-PENG/DPUPR/IV/2025</t>
  </si>
  <si>
    <t>58431386/KLAR-NEG/PEJ-PENG/DPUPR/IV/2025</t>
  </si>
  <si>
    <t>600/58431386/SPK-Konstruksi/PPK/DPUPR</t>
  </si>
  <si>
    <t>600/58431386/SPMK/PPK/DPUPR</t>
  </si>
  <si>
    <t xml:space="preserve">Peningkatan Jalan (Rabat Beton) Kota Pasangkayu II </t>
  </si>
  <si>
    <r>
      <rPr>
        <sz val="10"/>
        <color indexed="18"/>
        <rFont val="Avenir Next Regular"/>
      </rPr>
      <t xml:space="preserve">Peningkatan Jalan (Rabat Beton) Kota Pasangkayu II </t>
    </r>
  </si>
  <si>
    <t>209 CV. KARUNIA INDOTAMA GROUP</t>
  </si>
  <si>
    <t>ROCHYANTO ARSYAD</t>
  </si>
  <si>
    <t>39.495.813.6-814.000</t>
  </si>
  <si>
    <t>JL. Tanjung Babia, Kabupaten Pasangkayu</t>
  </si>
  <si>
    <t>MAWARNI, SH., M.Kn</t>
  </si>
  <si>
    <t>075-003-000001619-5. Bank Sulselbar</t>
  </si>
  <si>
    <t>CV. KARUNIA INDOTAMA GROUP</t>
  </si>
  <si>
    <t>58431402/BAHPL/2025</t>
  </si>
  <si>
    <t>58431402/PEN/2025</t>
  </si>
  <si>
    <t>58431402/UMUM/PEJ-PENG/DPUPR/IV/2025</t>
  </si>
  <si>
    <t>58431402/KLAR-NEG/PEJ-PENG/DPUPR/IV/2025</t>
  </si>
  <si>
    <t>600/58431402/SPK-Konstruksi/PPK/DPUPR</t>
  </si>
  <si>
    <t>600/58431402/SPMK/PPK/DPUPR</t>
  </si>
  <si>
    <t xml:space="preserve">Pengawasan Pembangunan air bersih Saptanajaya (lanjutan) </t>
  </si>
  <si>
    <r>
      <rPr>
        <sz val="10"/>
        <color indexed="18"/>
        <rFont val="Avenir Next Regular"/>
      </rPr>
      <t xml:space="preserve">Pengawasan Pembangunan air bersih Saptanajaya (lanjutan) </t>
    </r>
  </si>
  <si>
    <t>58432943/BAHPL/2025</t>
  </si>
  <si>
    <t>58432943/PEN/2025</t>
  </si>
  <si>
    <t>58432943/UMUM/PEJ-PENG/DPUPR//2025</t>
  </si>
  <si>
    <t>58432943/KLAR-NEG/PEJ-PENG/DPUPR//2025</t>
  </si>
  <si>
    <t>600/58432943/SPK-Konstruksi/PPK/DPUPR</t>
  </si>
  <si>
    <t>600/58432943/SPMK/PPK/DPUPR</t>
  </si>
  <si>
    <t xml:space="preserve">Pengawasan Pemeliharaan Landscape Kota Pasangkayu </t>
  </si>
  <si>
    <t>58432803/BAHPL/2025</t>
  </si>
  <si>
    <t>58432803/PEN/2025</t>
  </si>
  <si>
    <t>58432803/UMUM/PEJ-PENG/DPUPR//2025</t>
  </si>
  <si>
    <t>58432803/KLAR-NEG/PEJ-PENG/DPUPR//2025</t>
  </si>
  <si>
    <t>600/58432803/SPK-Barang/PPK/DPUPR</t>
  </si>
  <si>
    <t>600/58432803/SPMK/PPK/DPUPR</t>
  </si>
  <si>
    <r>
      <rPr>
        <sz val="10"/>
        <color indexed="18"/>
        <rFont val="Avenir Next Regular"/>
      </rPr>
      <t xml:space="preserve">Pengawasan Pemeliharaan Landscape Kota Pasangkayu </t>
    </r>
  </si>
  <si>
    <t xml:space="preserve">Belanja Pemeliharaan Alat Besar-Alat Besar Darat-Alat Besar Darat Lainnya </t>
  </si>
  <si>
    <t>Penyediaan Jasa Pemeliharaan, Biaya Pemeliharaan dan Perizinan Alat Besar</t>
  </si>
  <si>
    <r>
      <rPr>
        <sz val="10"/>
        <color indexed="18"/>
        <rFont val="Avenir Next Regular"/>
      </rPr>
      <t xml:space="preserve">Belanja Pemeliharaan Alat Besar-Alat Besar Darat-Alat Besar Darat Lainnya </t>
    </r>
  </si>
  <si>
    <t>1.03.01.2.09.0003</t>
  </si>
  <si>
    <t>59741216/BAHPL/2025</t>
  </si>
  <si>
    <t>59741216/PEN/2025</t>
  </si>
  <si>
    <t>59741216/UMUM/PEJ-PENG/DPUPR/III/2025</t>
  </si>
  <si>
    <t>59741216/KLAR-NEG/PEJ-PENG/DPUPR/III/2025</t>
  </si>
  <si>
    <t>600/59741216/SPK-Barang/PPK/DPUPR</t>
  </si>
  <si>
    <t>600/59741216/SPMK/PPK/DPUPR</t>
  </si>
  <si>
    <t>FELIX DATUAN, ST</t>
  </si>
  <si>
    <t xml:space="preserve">Stock Design Box Culvert Kab. Pasangkayu I </t>
  </si>
  <si>
    <r>
      <rPr>
        <sz val="10"/>
        <color indexed="18"/>
        <rFont val="Avenir Next Regular"/>
      </rPr>
      <t xml:space="preserve">Stock Design Box Culvert Kab. Pasangkayu I </t>
    </r>
  </si>
  <si>
    <t>59011497/BAHPL/2025</t>
  </si>
  <si>
    <t>59011497/PEN/2025</t>
  </si>
  <si>
    <t>59011497/UMUM/PEJ-PENG/DPUPR/IV/2025</t>
  </si>
  <si>
    <t>59011497/KLAR-NEG/PEJ-PENG/DPUPR/IV/2025</t>
  </si>
  <si>
    <t>600/59011497/SPK-Konsultansi/PPK/DPUPR</t>
  </si>
  <si>
    <t>600/59011497/SPMK/PPK/DPUPR</t>
  </si>
  <si>
    <t xml:space="preserve">Stock Design Box Culvert Kab. Pasangkayu II </t>
  </si>
  <si>
    <r>
      <rPr>
        <sz val="10"/>
        <color indexed="18"/>
        <rFont val="Avenir Next Regular"/>
      </rPr>
      <t xml:space="preserve">Stock Design Box Culvert Kab. Pasangkayu II </t>
    </r>
  </si>
  <si>
    <t>59011519/BAHPL/2025</t>
  </si>
  <si>
    <t>59011519/PEN/2025</t>
  </si>
  <si>
    <t>59011519/UMUM/PEJ-PENG/DPUPR/IV/2025</t>
  </si>
  <si>
    <t>59011519/KLAR-NEG/PEJ-PENG/DPUPR/IV/2025</t>
  </si>
  <si>
    <t>600/59011519/SPK-Konsultansi/PPK/DPUPR</t>
  </si>
  <si>
    <t>600/59011519/SPMK/PPK/DPUPR</t>
  </si>
  <si>
    <t xml:space="preserve">Stock Design Pemb/Peningkatan Jalan Kab. Pasangkayu I </t>
  </si>
  <si>
    <r>
      <rPr>
        <sz val="10"/>
        <color indexed="18"/>
        <rFont val="Avenir Next Regular"/>
      </rPr>
      <t xml:space="preserve">Stock Design Pemb/Peningkatan Jalan Kab. Pasangkayu I </t>
    </r>
  </si>
  <si>
    <t>56625371/BAHPL/2025</t>
  </si>
  <si>
    <t>56625371/PEN/2025</t>
  </si>
  <si>
    <t>56625371/UMUM/PEJ-PENG/DPUPR/IV/2025</t>
  </si>
  <si>
    <t>56625371/KLAR-NEG/PEJ-PENG/DPUPR/IV/2025</t>
  </si>
  <si>
    <t>600/56625371/SPK-Konsultansi/PPK/DPUPR</t>
  </si>
  <si>
    <t>600/56625371/SPMK/PPK/DPUPR</t>
  </si>
  <si>
    <t xml:space="preserve">Stock Design Pemb/Peningkatan Jalan Kab. Pasangkayu II </t>
  </si>
  <si>
    <r>
      <rPr>
        <sz val="10"/>
        <color indexed="18"/>
        <rFont val="Avenir Next Regular"/>
      </rPr>
      <t xml:space="preserve">Stock Design Pemb/Peningkatan Jalan Kab. Pasangkayu II </t>
    </r>
  </si>
  <si>
    <t>56625372/BAHPL/2025</t>
  </si>
  <si>
    <t>56625372/PEN/2025</t>
  </si>
  <si>
    <t>56625372/UMUM/PEJ-PENG/DPUPR/IV/2025</t>
  </si>
  <si>
    <t>56625372/KLAR-NEG/PEJ-PENG/DPUPR/IV/2025</t>
  </si>
  <si>
    <t>600/56625372/SPK-Konsultansi/PPK/DPUPR</t>
  </si>
  <si>
    <t>600/56625372/SPMK/PPK/DPUPR</t>
  </si>
  <si>
    <t xml:space="preserve">Stock Design Pemb/Peningkatan Jalan Kab. Pasangkayu III </t>
  </si>
  <si>
    <r>
      <rPr>
        <sz val="10"/>
        <color indexed="18"/>
        <rFont val="Avenir Next Regular"/>
      </rPr>
      <t xml:space="preserve">Stock Design Pemb/Peningkatan Jalan Kab. Pasangkayu III </t>
    </r>
  </si>
  <si>
    <t>56625339/BAHPL/2025</t>
  </si>
  <si>
    <t>56625339/PEN/2025</t>
  </si>
  <si>
    <t>56625339/UMUM/PEJ-PENG/DPUPR/IV/2025</t>
  </si>
  <si>
    <t>56625339/KLAR-NEG/PEJ-PENG/DPUPR/IV/2025</t>
  </si>
  <si>
    <t>600/56625339/SPK-Konsultansi/PPK/DPUPR</t>
  </si>
  <si>
    <t>600/56625339/SPMK/PPK/DPUPR</t>
  </si>
  <si>
    <t xml:space="preserve">Stock Design Pemb/Peningkatan Jalan Kab. Pasangkayu IV </t>
  </si>
  <si>
    <r>
      <rPr>
        <sz val="10"/>
        <color indexed="18"/>
        <rFont val="Avenir Next Regular"/>
      </rPr>
      <t xml:space="preserve">Stock Design Pemb/Peningkatan Jalan Kab. Pasangkayu IV </t>
    </r>
  </si>
  <si>
    <t>56625374/BAHPL/2025</t>
  </si>
  <si>
    <t>56625374/PEN/2025</t>
  </si>
  <si>
    <t>56625374/UMUM/PEJ-PENG/DPUPR/IV/2025</t>
  </si>
  <si>
    <t>56625374/KLAR-NEG/PEJ-PENG/DPUPR/IV/2025</t>
  </si>
  <si>
    <t>600/56625374/SPK-Konsultansi/PPK/DPUPR</t>
  </si>
  <si>
    <t>600/56625374/SPMK/PPK/DPUPR</t>
  </si>
  <si>
    <t>Pengawasan Peningkatan Jalan Desa Sarudu cs.</t>
  </si>
  <si>
    <r>
      <rPr>
        <sz val="10"/>
        <color indexed="18"/>
        <rFont val="Avenir Next Regular"/>
      </rPr>
      <t>Pengawasan Peningkatan Jalan Desa Sarudu cs.</t>
    </r>
  </si>
  <si>
    <t>59032270/BAHPL/2025</t>
  </si>
  <si>
    <t>59032270/PEN/2025</t>
  </si>
  <si>
    <t>59032270/UMUM/PEJ-PENG/DPUPR/IV/2025</t>
  </si>
  <si>
    <t>59032270/KLAR-NEG/PEJ-PENG/DPUPR/IV/2025</t>
  </si>
  <si>
    <t>600/59032270/SPK-Konsultansi/PPK/DPUPR</t>
  </si>
  <si>
    <t>600/59032270/SPMK/PPK/DPUPR</t>
  </si>
  <si>
    <t>Peningkatan Jalan Desa Sarudu</t>
  </si>
  <si>
    <r>
      <rPr>
        <sz val="10"/>
        <color indexed="18"/>
        <rFont val="Avenir Next Regular"/>
      </rPr>
      <t>Peningkatan Jalan Desa Sarudu</t>
    </r>
  </si>
  <si>
    <t>56625355/BAHPL/2025</t>
  </si>
  <si>
    <t>56625355/PEN/2025</t>
  </si>
  <si>
    <t>56625355/UMUM/PEJ-PENG/DPUPR/IV/2025</t>
  </si>
  <si>
    <t>56625355/KLAR-NEG/PEJ-PENG/DPUPR/IV/2025</t>
  </si>
  <si>
    <t>600/56625355/SPK-Konstruksi/PPK/DPUPR</t>
  </si>
  <si>
    <t>600/56625355/SPMK/PPK/DPUPR</t>
  </si>
  <si>
    <t>Peningkatan Jalan Jembatan Gantung Motu + Lantai Jembatan</t>
  </si>
  <si>
    <r>
      <rPr>
        <sz val="10"/>
        <color indexed="18"/>
        <rFont val="Avenir Next Regular"/>
      </rPr>
      <t>Peningkatan Jalan Jembatan Gantung Motu + Lantai Jembatan</t>
    </r>
  </si>
  <si>
    <t>59032193/BAHPL/2025</t>
  </si>
  <si>
    <t>59032193/PEN/2025</t>
  </si>
  <si>
    <t>59032193/UMUM/PEJ-PENG/DPUPR/IV/2025</t>
  </si>
  <si>
    <t>59032193/KLAR-NEG/PEJ-PENG/DPUPR/IV/2025</t>
  </si>
  <si>
    <t>600/59032193/SPK-Konstruksi/PPK/DPUPR</t>
  </si>
  <si>
    <t>600/59032193/SPMK/PPK/DPUPR</t>
  </si>
  <si>
    <t>Peningkatan Jalan Toleburi Desa Gunungsari</t>
  </si>
  <si>
    <r>
      <rPr>
        <sz val="10"/>
        <color indexed="18"/>
        <rFont val="Avenir Next Regular"/>
      </rPr>
      <t>Peningkatan Jalan Toleburi Desa Gunungsari</t>
    </r>
  </si>
  <si>
    <t>19 CV. Ardan Matra</t>
  </si>
  <si>
    <t>Drs. Burhanuddin</t>
  </si>
  <si>
    <t>02.906.030.8-814.000</t>
  </si>
  <si>
    <t>NUR HIDAYAH, SH.</t>
  </si>
  <si>
    <t>075-3-1125—8</t>
  </si>
  <si>
    <t>CV. Ardan Matra</t>
  </si>
  <si>
    <t>59032196/BAHPL/2025</t>
  </si>
  <si>
    <t>59032196/PEN/2025</t>
  </si>
  <si>
    <t>59032196/UMUM/PEJ-PENG/DPUPR/IV/2025</t>
  </si>
  <si>
    <t>59032196/KLAR-NEG/PEJ-PENG/DPUPR/IV/2025</t>
  </si>
  <si>
    <t>600/59032196/SPK-Konstruksi/PPK/DPUPR</t>
  </si>
  <si>
    <t>600/59032196/SPMK/PPK/DPUPR</t>
  </si>
  <si>
    <t>Peningkatan Jalan Antai</t>
  </si>
  <si>
    <r>
      <rPr>
        <sz val="10"/>
        <color indexed="18"/>
        <rFont val="Avenir Next Regular"/>
      </rPr>
      <t>Peningkatan Jalan Antai</t>
    </r>
  </si>
  <si>
    <t>56625417/BAHPL/2025</t>
  </si>
  <si>
    <t>56625417/PEN/2025</t>
  </si>
  <si>
    <t>56625417/UMUM/PEJ-PENG/DPUPR/IV/2025</t>
  </si>
  <si>
    <t>56625417/KLAR-NEG/PEJ-PENG/DPUPR/IV/2025</t>
  </si>
  <si>
    <t>600/56625417/SPK-Konstruksi/PPK/DPUPR</t>
  </si>
  <si>
    <t>600/56625417/SPMK/PPK/DPUPR</t>
  </si>
  <si>
    <t>Peningkatan Jalan Ds. Gunungsari</t>
  </si>
  <si>
    <r>
      <rPr>
        <sz val="10"/>
        <color indexed="18"/>
        <rFont val="Avenir Next Regular"/>
      </rPr>
      <t>Peningkatan Jalan Ds. Gunungsari</t>
    </r>
  </si>
  <si>
    <t>59032203/BAHPL/2025</t>
  </si>
  <si>
    <t>59032203/PEN/2025</t>
  </si>
  <si>
    <t>59032203/UMUM/PEJ-PENG/DPUPR/IV/2025</t>
  </si>
  <si>
    <t>59032203/KLAR-NEG/PEJ-PENG/DPUPR/IV/2025</t>
  </si>
  <si>
    <t>600/59032203/SPK-Konstruksi/PPK/DPUPR</t>
  </si>
  <si>
    <t>600/59032203/SPMK/PPK/DPUPR</t>
  </si>
  <si>
    <t>Peningkatan Jalan Gunungsari - Bambamone</t>
  </si>
  <si>
    <r>
      <rPr>
        <sz val="10"/>
        <color indexed="18"/>
        <rFont val="Avenir Next Regular"/>
      </rPr>
      <t>Peningkatan Jalan Gunungsari - Bambamone</t>
    </r>
  </si>
  <si>
    <t>56625379/BAHPL/2025</t>
  </si>
  <si>
    <t>56625379/PEN/2025</t>
  </si>
  <si>
    <t>56625379/UMUM/PEJ-PENG/DPUPR/IV/2025</t>
  </si>
  <si>
    <t>56625379/KLAR-NEG/PEJ-PENG/DPUPR/IV/2025</t>
  </si>
  <si>
    <t>600/56625379/SPK-Konstruksi/PPK/DPUPR</t>
  </si>
  <si>
    <t>600/56625379/SPMK/PPK/DPUPR</t>
  </si>
  <si>
    <t>Peningkatan Jalan Dsn. Masillu - Ako</t>
  </si>
  <si>
    <r>
      <rPr>
        <sz val="10"/>
        <color indexed="18"/>
        <rFont val="Avenir Next Regular"/>
      </rPr>
      <t>Peningkatan Jalan Dsn. Masillu - Ako</t>
    </r>
  </si>
  <si>
    <t>59032255/BAHPL/2025</t>
  </si>
  <si>
    <t>59032255/PEN/2025</t>
  </si>
  <si>
    <t>59032255/UMUM/PEJ-PENG/DPUPR/IV/2025</t>
  </si>
  <si>
    <t>59032255/KLAR-NEG/PEJ-PENG/DPUPR/IV/2025</t>
  </si>
  <si>
    <t>600/59032255/SPK-Konstruksi/PPK/DPUPR</t>
  </si>
  <si>
    <t>600/59032255/SPMK/PPK/DPUPR</t>
  </si>
  <si>
    <t>Peningkatan Jalan Poros Mandar II</t>
  </si>
  <si>
    <r>
      <rPr>
        <sz val="10"/>
        <color indexed="18"/>
        <rFont val="Avenir Next Regular"/>
      </rPr>
      <t>Peningkatan Jalan Poros Mandar II</t>
    </r>
  </si>
  <si>
    <t>59032260/BAHPL/2025</t>
  </si>
  <si>
    <t>59032260/PEN/2025</t>
  </si>
  <si>
    <t>59032260/UMUM/PEJ-PENG/DPUPR/IV/2025</t>
  </si>
  <si>
    <t>59032260/KLAR-NEG/PEJ-PENG/DPUPR/IV/2025</t>
  </si>
  <si>
    <t>600/59032260/SPK-Konstruksi/PPK/DPUPR</t>
  </si>
  <si>
    <t>600/59032260/SPMK/PPK/DPUPR</t>
  </si>
  <si>
    <t>/UMUM/PEJ-PENG/DPUPR/IV/2025</t>
  </si>
  <si>
    <t>/KLAR-NEG/PEJ-PENG/DPUPR/IV/2025</t>
  </si>
  <si>
    <t>600//SPK-Konsultansi/PPK/DPUPR</t>
  </si>
  <si>
    <t>Pemb. Proteksi Jembatan Antai</t>
  </si>
  <si>
    <r>
      <rPr>
        <sz val="10"/>
        <color indexed="18"/>
        <rFont val="Avenir Next Regular"/>
      </rPr>
      <t>Pemb. Proteksi Jembatan Antai</t>
    </r>
  </si>
  <si>
    <t>56625535/BAHPL/2025</t>
  </si>
  <si>
    <t>56625535/PEN/2025</t>
  </si>
  <si>
    <t>56625535/UMUM/PEJ-PENG/DPUPR/IV/2025</t>
  </si>
  <si>
    <t>56625535/KLAR-NEG/PEJ-PENG/DPUPR/IV/2025</t>
  </si>
  <si>
    <t>600/56625535/SPK-Konstruksi/PPK/DPUPR</t>
  </si>
  <si>
    <t>600/56625535/SPMK/PPK/DPUPR</t>
  </si>
  <si>
    <t>Pemeliharaan / Normalisasi Sungai / Saluran Martajaya</t>
  </si>
  <si>
    <r>
      <rPr>
        <sz val="10"/>
        <color indexed="18"/>
        <rFont val="Avenir Next Regular"/>
      </rPr>
      <t>Pemeliharaan / Normalisasi Sungai / Saluran Martajaya</t>
    </r>
  </si>
  <si>
    <t>1.03.02.2.01.0093</t>
  </si>
  <si>
    <t>59032344/BAHPL/2025</t>
  </si>
  <si>
    <t>59032344/PEN/2025</t>
  </si>
  <si>
    <t>59032344/UMUM/PEJ-PENG/DPUPR/IV/2025</t>
  </si>
  <si>
    <t>59032344/KLAR-NEG/PEJ-PENG/DPUPR/IV/2025</t>
  </si>
  <si>
    <t>600/59032344/SPK-Konstruksi/PPK/DPUPR</t>
  </si>
  <si>
    <t>600/59032344/SPMK/PPK/DPUPR</t>
  </si>
  <si>
    <t>Pengawasan Normalisasi Sungai / Saluran Martajaya cs</t>
  </si>
  <si>
    <r>
      <rPr>
        <sz val="10"/>
        <color indexed="18"/>
        <rFont val="Avenir Next Regular"/>
      </rPr>
      <t>Pengawasan Normalisasi Sungai / Saluran Martajaya cs</t>
    </r>
  </si>
  <si>
    <t>59032356/BAHPL/2025</t>
  </si>
  <si>
    <t>59032356/PEN/2025</t>
  </si>
  <si>
    <t>59032356/UMUM/PEJ-PENG/DPUPR/IV/2025</t>
  </si>
  <si>
    <t>59032356/KLAR-NEG/PEJ-PENG/DPUPR/IV/2025</t>
  </si>
  <si>
    <t>600/59032356/SPK-Konsultansi/PPK/DPUPR</t>
  </si>
  <si>
    <t>600/59032356/SPMK/PPK/DPUPR</t>
  </si>
  <si>
    <t>Pemb. Box Culvert Jalan Harimau Pasangkayu</t>
  </si>
  <si>
    <r>
      <rPr>
        <sz val="10"/>
        <color indexed="18"/>
        <rFont val="Avenir Next Regular"/>
      </rPr>
      <t>Pemb. Box Culvert Jalan Harimau Pasangkayu</t>
    </r>
  </si>
  <si>
    <t>59032309/BAHPL/2025</t>
  </si>
  <si>
    <t>59032309/PEN/2025</t>
  </si>
  <si>
    <t>59032309/UMUM/PEJ-PENG/DPUPR/IV/2025</t>
  </si>
  <si>
    <t>59032309/KLAR-NEG/PEJ-PENG/DPUPR/IV/2025</t>
  </si>
  <si>
    <t>600/59032309/SPK-Konstruksi/PPK/DPUPR</t>
  </si>
  <si>
    <t>600/59032309/SPMK/PPK/DPUPR</t>
  </si>
  <si>
    <t>Pemb. Jalan Dsn Salubulu I</t>
  </si>
  <si>
    <t>59008191/BAHPL/2025</t>
  </si>
  <si>
    <t>59008191/PEN/2025</t>
  </si>
  <si>
    <t>59008191/UMUM/PEJ-PENG/DPUPR/IV/2025</t>
  </si>
  <si>
    <t>59008191/KLAR-NEG/PEJ-PENG/DPUPR/IV/2025</t>
  </si>
  <si>
    <t>600/59008191/SPK-Konstruksi/PPK/DPUPR</t>
  </si>
  <si>
    <t>600/59008191/SPMK/PPK/DPUPR</t>
  </si>
  <si>
    <t>Pemb. Jalan Dsn Salubulu - Bunjamata</t>
  </si>
  <si>
    <t>251 CV. INDONESIA TIMUR GROUP</t>
  </si>
  <si>
    <t>FACRUNNISA. J</t>
  </si>
  <si>
    <t>Wakil Direktur</t>
  </si>
  <si>
    <t>99.996.318.4-813.000</t>
  </si>
  <si>
    <t>JL. MUSTIKA BTN KOPPE NO. 35, Desa/Kelurahan Darma, Kec. Polewali, Kab. Polewali Mandar</t>
  </si>
  <si>
    <t>540.063.000000067-0 Bank Sulselbar</t>
  </si>
  <si>
    <t>CV. INDONESIA TIMUR GROUP</t>
  </si>
  <si>
    <t>59008371/BAHPL/2025</t>
  </si>
  <si>
    <t>59008371/PEN/2025</t>
  </si>
  <si>
    <t>59008371/UMUM/PEJ-PENG/DPUPR/IV/2025</t>
  </si>
  <si>
    <t>59008371/KLAR-NEG/PEJ-PENG/DPUPR/IV/2025</t>
  </si>
  <si>
    <t>600/59008371/SPK-Konstruksi/PPK/DPUPR</t>
  </si>
  <si>
    <t>600/59008371/SPMK/PPK/DPUPR</t>
  </si>
  <si>
    <t>Pemb. Jalan Dsn Salonggabo</t>
  </si>
  <si>
    <t>59008617/BAHPL/2025</t>
  </si>
  <si>
    <t>59008617/PEN/2025</t>
  </si>
  <si>
    <t>59008617/UMUM/PEJ-PENG/DPUPR/IV/2025</t>
  </si>
  <si>
    <t>59008617/KLAR-NEG/PEJ-PENG/DPUPR/IV/2025</t>
  </si>
  <si>
    <t>600/59008617/SPK-Konstruksi/PPK/DPUPR</t>
  </si>
  <si>
    <t>600/59008617/SPMK/PPK/DPUPR</t>
  </si>
  <si>
    <t>Pemb. Jalan Baras Motu</t>
  </si>
  <si>
    <t>252 CV. INDONESIA TIMUR KONSTRUKSI</t>
  </si>
  <si>
    <t>A. AHMAD HUSAING</t>
  </si>
  <si>
    <t>62.390.943.9-814.000</t>
  </si>
  <si>
    <t>BTN Masannang 4 Blok K/2 Simboro, Kab. Mamuju</t>
  </si>
  <si>
    <t>540053 000000067-3 Bank Sulselbar</t>
  </si>
  <si>
    <t>CV. INDONESIA TIMUR KONSTRUKSI</t>
  </si>
  <si>
    <t>59008849/BAHPL/2025</t>
  </si>
  <si>
    <t>59008849/PEN/2025</t>
  </si>
  <si>
    <t>59008849/UMUM/PEJ-PENG/DPUPR/IV/2025</t>
  </si>
  <si>
    <t>59008849/KLAR-NEG/PEJ-PENG/DPUPR/IV/2025</t>
  </si>
  <si>
    <t>600/59008849/SPK-Konstruksi/PPK/DPUPR</t>
  </si>
  <si>
    <t>600/59008849/SPMK/PPK/DPUPR</t>
  </si>
  <si>
    <t>Pemb. Jalan Baras Motu I</t>
  </si>
  <si>
    <t>59008947/BAHPL/2025</t>
  </si>
  <si>
    <t>59008947/PEN/2025</t>
  </si>
  <si>
    <t>59008947/UMUM/PEJ-PENG/DPUPR/IV/2025</t>
  </si>
  <si>
    <t>59008947/KLAR-NEG/PEJ-PENG/DPUPR/IV/2025</t>
  </si>
  <si>
    <t>600/59008947/SPK-Konstruksi/PPK/DPUPR</t>
  </si>
  <si>
    <t>600/59008947/SPMK/PPK/DPUPR</t>
  </si>
  <si>
    <t>Pemb. Jalan Baras Motu II</t>
  </si>
  <si>
    <t>59009015/BAHPL/2025</t>
  </si>
  <si>
    <t>59009015/PEN/2025</t>
  </si>
  <si>
    <t>59009015/UMUM/PEJ-PENG/DPUPR/IV/2025</t>
  </si>
  <si>
    <t>59009015/KLAR-NEG/PEJ-PENG/DPUPR/IV/2025</t>
  </si>
  <si>
    <t>600/59009015/SPK-Konstruksi/PPK/DPUPR</t>
  </si>
  <si>
    <t>600/59009015/SPMK/PPK/DPUPR</t>
  </si>
  <si>
    <t>Pemb. Jalan Ds Benggaulu</t>
  </si>
  <si>
    <r>
      <rPr>
        <sz val="10"/>
        <color indexed="18"/>
        <rFont val="Avenir Next Regular"/>
      </rPr>
      <t>Pemb. Jalan Ds Benggaulu</t>
    </r>
  </si>
  <si>
    <t>253 CV. RZ INDOUTAMA</t>
  </si>
  <si>
    <t>RISANDI ZALDI</t>
  </si>
  <si>
    <t>50.593.431.5-814.000</t>
  </si>
  <si>
    <t>JL. AMBO TJATJA NO. 3, Desa/Kelurahan Karema, Kec. Mamuju, Kab. Mamuju</t>
  </si>
  <si>
    <t>071-003-000018993-8 Bank Sulselbar</t>
  </si>
  <si>
    <t>CV. RZ INDOUTAMA</t>
  </si>
  <si>
    <t>59009089/BAHPL/2025</t>
  </si>
  <si>
    <t>59009089/PEN/2025</t>
  </si>
  <si>
    <t>59009089/UMUM/PEJ-PENG/DPUPR/IV/2025</t>
  </si>
  <si>
    <t>59009089/KLAR-NEG/PEJ-PENG/DPUPR/IV/2025</t>
  </si>
  <si>
    <t>600/59009089/SPK-Konstruksi/PPK/DPUPR</t>
  </si>
  <si>
    <t>600/59009089/SPMK/PPK/DPUPR</t>
  </si>
  <si>
    <t>Pemb. Jalan Ds Benggaulu I</t>
  </si>
  <si>
    <r>
      <rPr>
        <sz val="10"/>
        <color indexed="18"/>
        <rFont val="Avenir Next Regular"/>
      </rPr>
      <t>Pemb. Jalan Ds Benggaulu I</t>
    </r>
  </si>
  <si>
    <t>59009145/BAHPL/2025</t>
  </si>
  <si>
    <t>59009145/PEN/2025</t>
  </si>
  <si>
    <t>59009145/UMUM/PEJ-PENG/DPUPR/IV/2025</t>
  </si>
  <si>
    <t>59009145/KLAR-NEG/PEJ-PENG/DPUPR/IV/2025</t>
  </si>
  <si>
    <t>600/59009145/SPK-Konstruksi/PPK/DPUPR</t>
  </si>
  <si>
    <t>600/59009145/SPMK/PPK/DPUPR</t>
  </si>
  <si>
    <t>Peningkatan Jalan Kampung Baru Dapurang</t>
  </si>
  <si>
    <r>
      <rPr>
        <sz val="10"/>
        <color indexed="18"/>
        <rFont val="Avenir Next Regular"/>
      </rPr>
      <t>Peningkatan Jalan Kampung Baru Dapurang</t>
    </r>
  </si>
  <si>
    <t>254 CV. BITTOENG GROUP PERKASA</t>
  </si>
  <si>
    <t>A K B A R, SE.</t>
  </si>
  <si>
    <t>39.568.155.4-814.000</t>
  </si>
  <si>
    <t>BTN ZARINDAH BLOK EE NO. 04, , Kab. Mamuju</t>
  </si>
  <si>
    <t>071-003-000018948-2 Bank Sulselbar</t>
  </si>
  <si>
    <t>CV. BITTOENG GROUP PERKASA</t>
  </si>
  <si>
    <t>59009213/BAHPL/2025</t>
  </si>
  <si>
    <t>59009213/PEN/2025</t>
  </si>
  <si>
    <t>59009213/UMUM/PEJ-PENG/DPUPR/IV/2025</t>
  </si>
  <si>
    <t>59009213/KLAR-NEG/PEJ-PENG/DPUPR/IV/2025</t>
  </si>
  <si>
    <t>600/59009213/SPK-Konstruksi/PPK/DPUPR</t>
  </si>
  <si>
    <t>600/59009213/SPMK/PPK/DPUPR</t>
  </si>
  <si>
    <t>Peningkatan Jalan Tagari</t>
  </si>
  <si>
    <r>
      <rPr>
        <sz val="10"/>
        <color indexed="18"/>
        <rFont val="Avenir Next Regular"/>
      </rPr>
      <t>Peningkatan Jalan Tagari</t>
    </r>
  </si>
  <si>
    <t>59009275/BAHPL/2025</t>
  </si>
  <si>
    <t>59009275/PEN/2025</t>
  </si>
  <si>
    <t>59009275/UMUM/PEJ-PENG/DPUPR/IV/2025</t>
  </si>
  <si>
    <t>59009275/KLAR-NEG/PEJ-PENG/DPUPR/IV/2025</t>
  </si>
  <si>
    <t>600/59009275/SPK-Konstruksi/PPK/DPUPR</t>
  </si>
  <si>
    <t>600/59009275/SPMK/PPK/DPUPR</t>
  </si>
  <si>
    <t>Peningkatan Jalan Dapurang</t>
  </si>
  <si>
    <r>
      <rPr>
        <sz val="10"/>
        <color indexed="18"/>
        <rFont val="Avenir Next Regular"/>
      </rPr>
      <t>Peningkatan Jalan Dapurang</t>
    </r>
  </si>
  <si>
    <t>59009302/BAHPL/2025</t>
  </si>
  <si>
    <t>59009302/PEN/2025</t>
  </si>
  <si>
    <t>59009302/UMUM/PEJ-PENG/DPUPR/IV/2025</t>
  </si>
  <si>
    <t>59009302/KLAR-NEG/PEJ-PENG/DPUPR/IV/2025</t>
  </si>
  <si>
    <t>600/59009302/SPK-Konstruksi/PPK/DPUPR</t>
  </si>
  <si>
    <t>600/59009302/SPMK/PPK/DPUPR</t>
  </si>
  <si>
    <t>Peningkatan Jalan Bulumario - Patika</t>
  </si>
  <si>
    <r>
      <rPr>
        <sz val="10"/>
        <color indexed="18"/>
        <rFont val="Avenir Next Regular"/>
      </rPr>
      <t>Peningkatan Jalan Bulumario - Patika</t>
    </r>
  </si>
  <si>
    <t>59009342/BAHPL/2025</t>
  </si>
  <si>
    <t>59009342/PEN/2025</t>
  </si>
  <si>
    <t>59009342/UMUM/PEJ-PENG/DPUPR/IV/2025</t>
  </si>
  <si>
    <t>59009342/KLAR-NEG/PEJ-PENG/DPUPR/IV/2025</t>
  </si>
  <si>
    <t>600/59009342/SPK-Konstruksi/PPK/DPUPR</t>
  </si>
  <si>
    <t>600/59009342/SPMK/PPK/DPUPR</t>
  </si>
  <si>
    <t>Peningkatan Jalan Gunungsari TPA</t>
  </si>
  <si>
    <r>
      <rPr>
        <sz val="10"/>
        <color indexed="18"/>
        <rFont val="Avenir Next Regular"/>
      </rPr>
      <t>Peningkatan Jalan Gunungsari TPA</t>
    </r>
  </si>
  <si>
    <t>59009437/BAHPL/2025</t>
  </si>
  <si>
    <t>59009437/PEN/2025</t>
  </si>
  <si>
    <t>59009437/UMUM/PEJ-PENG/DPUPR/IV/2025</t>
  </si>
  <si>
    <t>59009437/KLAR-NEG/PEJ-PENG/DPUPR/IV/2025</t>
  </si>
  <si>
    <t>600/59009437/SPK-Konstruksi/PPK/DPUPR</t>
  </si>
  <si>
    <t>600/59009437/SPMK/PPK/DPUPR</t>
  </si>
  <si>
    <t>Peningkatan Jalan Bambaira II</t>
  </si>
  <si>
    <r>
      <rPr>
        <sz val="10"/>
        <color indexed="18"/>
        <rFont val="Avenir Next Regular"/>
      </rPr>
      <t>Peningkatan Jalan Bambaira II</t>
    </r>
  </si>
  <si>
    <t>59009607/BAHPL/2025</t>
  </si>
  <si>
    <t>59009607/PEN/2025</t>
  </si>
  <si>
    <t>59009607/UMUM/PEJ-PENG/DPUPR/IV/2025</t>
  </si>
  <si>
    <t>59009607/KLAR-NEG/PEJ-PENG/DPUPR/IV/2025</t>
  </si>
  <si>
    <t>600/59009607/SPK-Konstruksi/PPK/DPUPR</t>
  </si>
  <si>
    <t>600/59009607/SPMK/PPK/DPUPR</t>
  </si>
  <si>
    <t>Peningkatan Jalan Bambaira III</t>
  </si>
  <si>
    <r>
      <rPr>
        <sz val="10"/>
        <color indexed="18"/>
        <rFont val="Avenir Next Regular"/>
      </rPr>
      <t>Peningkatan Jalan Bambaira III</t>
    </r>
  </si>
  <si>
    <t>59009860/BAHPL/2025</t>
  </si>
  <si>
    <t>59009860/PEN/2025</t>
  </si>
  <si>
    <t>59009860/UMUM/PEJ-PENG/DPUPR/IV/2025</t>
  </si>
  <si>
    <t>59009860/KLAR-NEG/PEJ-PENG/DPUPR/IV/2025</t>
  </si>
  <si>
    <t>600/59009860/SPK-Konstruksi/PPK/DPUPR</t>
  </si>
  <si>
    <t>600/59009860/SPMK/PPK/DPUPR</t>
  </si>
  <si>
    <t>Peningkatan Jalan Poros Salonggabo (Jemb. Merah)</t>
  </si>
  <si>
    <r>
      <rPr>
        <sz val="10"/>
        <color indexed="18"/>
        <rFont val="Avenir Next Regular"/>
      </rPr>
      <t>Peningkatan Jalan Poros Salonggabo (Jemb. Merah)</t>
    </r>
  </si>
  <si>
    <t>59009559/BAHPL/2025</t>
  </si>
  <si>
    <t>59009559/PEN/2025</t>
  </si>
  <si>
    <t>59009559/UMUM/PEJ-PENG/DPUPR/IV/2025</t>
  </si>
  <si>
    <t>59009559/KLAR-NEG/PEJ-PENG/DPUPR/IV/2025</t>
  </si>
  <si>
    <t>600/59009559/SPK-Konstruksi/PPK/DPUPR</t>
  </si>
  <si>
    <t>600/59009559/SPMK/PPK/DPUPR</t>
  </si>
  <si>
    <t>Peningkatan Jalan Ds Baras II</t>
  </si>
  <si>
    <r>
      <rPr>
        <sz val="10"/>
        <color indexed="18"/>
        <rFont val="Avenir Next Regular"/>
      </rPr>
      <t>Peningkatan Jalan Ds Baras II</t>
    </r>
  </si>
  <si>
    <t>59011162/BAHPL/2025</t>
  </si>
  <si>
    <t>59011162/PEN/2025</t>
  </si>
  <si>
    <t>59011162/UMUM/PEJ-PENG/DPUPR/V/2025</t>
  </si>
  <si>
    <t>59011162/KLAR-NEG/PEJ-PENG/DPUPR/V/2025</t>
  </si>
  <si>
    <t>600/59011162/SPK-Konstruksi/PPK/DPUPR</t>
  </si>
  <si>
    <t>600/59011162/SPMK/PPK/DPUPR</t>
  </si>
  <si>
    <t xml:space="preserve">Peningkatan Jalan Ds Sarudu </t>
  </si>
  <si>
    <r>
      <rPr>
        <sz val="10"/>
        <color indexed="18"/>
        <rFont val="Avenir Next Regular"/>
      </rPr>
      <t xml:space="preserve">Peningkatan Jalan Ds Sarudu </t>
    </r>
  </si>
  <si>
    <t>59011183/BAHPL/2025</t>
  </si>
  <si>
    <t>59011183/PEN/2025</t>
  </si>
  <si>
    <t>59011183/UMUM/PEJ-PENG/DPUPR/V/2025</t>
  </si>
  <si>
    <t>59011183/KLAR-NEG/PEJ-PENG/DPUPR/V/2025</t>
  </si>
  <si>
    <t>600/59011183/SPK-Konstruksi/PPK/DPUPR</t>
  </si>
  <si>
    <t>600/59011183/SPMK/PPK/DPUPR</t>
  </si>
  <si>
    <t>Peningkatan Jalan Ds Kasano</t>
  </si>
  <si>
    <r>
      <rPr>
        <sz val="10"/>
        <color indexed="18"/>
        <rFont val="Avenir Next Regular"/>
      </rPr>
      <t>Peningkatan Jalan Ds Kasano</t>
    </r>
  </si>
  <si>
    <t>59011202/BAHPL/2025</t>
  </si>
  <si>
    <t>59011202/PEN/2025</t>
  </si>
  <si>
    <t>59011202/UMUM/PEJ-PENG/DPUPR/V/2025</t>
  </si>
  <si>
    <t>59011202/KLAR-NEG/PEJ-PENG/DPUPR/V/2025</t>
  </si>
  <si>
    <t>600/59011202/SPK-Konstruksi/PPK/DPUPR</t>
  </si>
  <si>
    <t>600/59011202/SPMK/PPK/DPUPR</t>
  </si>
  <si>
    <t>Pemeliharaan/Rekonstruksi/Pemb. Jaringan Air Bersih Kabupaten</t>
  </si>
  <si>
    <t>Operasi dan Pemeliharaan Sistem Penyediaan Air Minum (SPAM)</t>
  </si>
  <si>
    <r>
      <rPr>
        <sz val="10"/>
        <color indexed="18"/>
        <rFont val="Avenir Next Regular"/>
      </rPr>
      <t>Pemeliharaan/Rekonstruksi/Pemb. Jaringan Air Bersih Kabupaten</t>
    </r>
  </si>
  <si>
    <t>1.03.03.2.01.0029</t>
  </si>
  <si>
    <t>59051704/BAHPL/2025</t>
  </si>
  <si>
    <t>59051704/PEN/2025</t>
  </si>
  <si>
    <t>59051704/UMUM/PEJ-PENG/DPUPR/V/2025</t>
  </si>
  <si>
    <t>59051704/KLAR-NEG/PEJ-PENG/DPUPR/V/2025</t>
  </si>
  <si>
    <t>600/59051704/SPK-Konstruksi/PPK/DPUPR</t>
  </si>
  <si>
    <t>600/59051704/SPMK/PPK/DPUPR</t>
  </si>
  <si>
    <t>Peningkatan Jalan Bambalamotu I</t>
  </si>
  <si>
    <r>
      <rPr>
        <sz val="10"/>
        <color indexed="18"/>
        <rFont val="Avenir Next Regular"/>
      </rPr>
      <t>Peningkatan Jalan Bambalamotu I</t>
    </r>
  </si>
  <si>
    <t>173 CV. RISYA EMPAT LIMA</t>
  </si>
  <si>
    <t>ARMAN</t>
  </si>
  <si>
    <t>94.252.661.7-814.000</t>
  </si>
  <si>
    <t>Dusun Doda, Kel. Doda, Kec. Sarudu, Kab. Mamuju Utara, Prov. Sulawesi Barat</t>
  </si>
  <si>
    <t>05/2020</t>
  </si>
  <si>
    <t>075.003.0000015831  Bank SULSELBAR</t>
  </si>
  <si>
    <t>CV. RISYA EMPAT LIMA</t>
  </si>
  <si>
    <t>59010687/BAHPL/2025</t>
  </si>
  <si>
    <t>59010687/PEN/2025</t>
  </si>
  <si>
    <t>59010687/UMUM/PEJ-PENG/DPUPR/VI/2025</t>
  </si>
  <si>
    <t>59010687/KLAR-NEG/PEJ-PENG/DPUPR/VI/2025</t>
  </si>
  <si>
    <t>600/59010687/SPK-Konstruksi/PPK/DPUPR</t>
  </si>
  <si>
    <t>600/59010687/SPMK/PPK/DPUPR</t>
  </si>
  <si>
    <t>Perenc. Stock Desain Jalan Kabupaten V</t>
  </si>
  <si>
    <r>
      <rPr>
        <sz val="10"/>
        <color indexed="18"/>
        <rFont val="Avenir Next Regular"/>
      </rPr>
      <t>Perenc. Stock Desain Jalan Kabupaten V</t>
    </r>
  </si>
  <si>
    <t>59011890/BAHPL/2025</t>
  </si>
  <si>
    <t>59011890/PEN/2025</t>
  </si>
  <si>
    <t>59011890/UMUM/PEJ-PENG/DPUPR/VI/2025</t>
  </si>
  <si>
    <t>59011890/KLAR-NEG/PEJ-PENG/DPUPR/VI/2025</t>
  </si>
  <si>
    <t>600/59011890/SPK-Konsultansi/PPK/DPUPR</t>
  </si>
  <si>
    <t>600/59011890/SPMK/PPK/DPUPR</t>
  </si>
  <si>
    <t>Perenc. Stock Desain Jalan Kabupaten VI</t>
  </si>
  <si>
    <r>
      <rPr>
        <sz val="10"/>
        <color indexed="18"/>
        <rFont val="Avenir Next Regular"/>
      </rPr>
      <t>Perenc. Stock Desain Jalan Kabupaten VI</t>
    </r>
  </si>
  <si>
    <t>59011670/BAHPL/2025</t>
  </si>
  <si>
    <t>59011670/PEN/2025</t>
  </si>
  <si>
    <t>59011670/UMUM/PEJ-PENG/DPUPR/VI/2025</t>
  </si>
  <si>
    <t>59011670/KLAR-NEG/PEJ-PENG/DPUPR/VI/2025</t>
  </si>
  <si>
    <t>600/59011670/SPK-Konsultansi/PPK/DPUPR</t>
  </si>
  <si>
    <t>600/59011670/SPMK/PPK/DPUPR</t>
  </si>
  <si>
    <t>Perenc. Stock Desain Jalan Kabupaten VII</t>
  </si>
  <si>
    <r>
      <rPr>
        <sz val="10"/>
        <color indexed="18"/>
        <rFont val="Avenir Next Regular"/>
      </rPr>
      <t>Perenc. Stock Desain Jalan Kabupaten VII</t>
    </r>
  </si>
  <si>
    <t>59010787/BAHPL/2025</t>
  </si>
  <si>
    <t>59010787/PEN/2025</t>
  </si>
  <si>
    <t>59010787/UMUM/PEJ-PENG/DPUPR/VI/2025</t>
  </si>
  <si>
    <t>59010787/KLAR-NEG/PEJ-PENG/DPUPR/VI/2025</t>
  </si>
  <si>
    <t>600/59010787/SPK-Konsultansi/PPK/DPUPR</t>
  </si>
  <si>
    <t>600/59010787/SPMK/PPK/DPUPR</t>
  </si>
  <si>
    <t>Perenc. Pemb. Rumah Tahfidz Bulumario cs.</t>
  </si>
  <si>
    <r>
      <rPr>
        <sz val="10"/>
        <color indexed="18"/>
        <rFont val="Avenir Next Regular"/>
      </rPr>
      <t>Perenc. Pemb. Rumah Tahfidz Bulumario cs.</t>
    </r>
  </si>
  <si>
    <t>59011939/BAHPL/2025</t>
  </si>
  <si>
    <t>59011939/PEN/2025</t>
  </si>
  <si>
    <t>59011939/UMUM/PEJ-PENG/DPUPR/VI/2025</t>
  </si>
  <si>
    <t>59011939/KLAR-NEG/PEJ-PENG/DPUPR/VI/2025</t>
  </si>
  <si>
    <t>600/59011939/SPK-Konsultansi/PPK/DPUPR</t>
  </si>
  <si>
    <t>600/59011939/SPMK/PPK/DPUPR</t>
  </si>
  <si>
    <t xml:space="preserve">Pengawasan Jaringan Perpipaan Air Bersih Kasano-Ompi-Batumatoru-Karya Bersama (DAK) </t>
  </si>
  <si>
    <r>
      <rPr>
        <sz val="10"/>
        <color indexed="18"/>
        <rFont val="Avenir Next Regular"/>
      </rPr>
      <t xml:space="preserve">Pengawasan Jaringan Perpipaan Air Bersih Kasano-Ompi-Batumatoru-Karya Bersama (DAK) </t>
    </r>
  </si>
  <si>
    <t>237 CV. Sembilan Delapan Consulindo</t>
  </si>
  <si>
    <t>JAMALUDDIN, ST., MT</t>
  </si>
  <si>
    <t>81.408.975.1-802.000</t>
  </si>
  <si>
    <t>Rubae bentengnge kecamatan Watang sawitto</t>
  </si>
  <si>
    <t>Muh. Asyurah, SH., MH., MKn.</t>
  </si>
  <si>
    <t>050-003-000015871-2 Bank Sulselbar</t>
  </si>
  <si>
    <t>CV. Sembilan Delapan Consulindo</t>
  </si>
  <si>
    <t>56626936/BAHPL/2025</t>
  </si>
  <si>
    <t>56626936/PEN/2025</t>
  </si>
  <si>
    <t>56626936/UMUM/PEJ-PENG/DPUPR/VI/2025</t>
  </si>
  <si>
    <t>56626936/KLAR-NEG/PEJ-PENG/DPUPR/VI/2025</t>
  </si>
  <si>
    <t>600/56626936/SPK-Konsultansi/PPK/DPUPR</t>
  </si>
  <si>
    <t>600/56626936/SPMK/PPK/DPUPR</t>
  </si>
  <si>
    <t xml:space="preserve">Pengembangan Jaringan Distribusi dan Sambungan Rumah Desa Batumatoru Kec. Lariang (DAK) </t>
  </si>
  <si>
    <r>
      <rPr>
        <sz val="10"/>
        <color indexed="18"/>
        <rFont val="Avenir Next Regular"/>
      </rPr>
      <t xml:space="preserve">Pengembangan Jaringan Distribusi dan Sambungan Rumah Desa Batumatoru Kec. Lariang (DAK) </t>
    </r>
  </si>
  <si>
    <t>230 CV. TIGANUSA</t>
  </si>
  <si>
    <t>APRIANTO, ST.</t>
  </si>
  <si>
    <t>90.071.393.4-831.000</t>
  </si>
  <si>
    <t>JL. RE MARTADINATA NO. 387 RT. 001 RW. 002 KEL. TONDO KEC. MANTIKULORE KOTA PALU – SELAWESI TENGAH</t>
  </si>
  <si>
    <t>Erny Singal, SH., MH., MKn.</t>
  </si>
  <si>
    <t>0080107000293 Bank Sulteng</t>
  </si>
  <si>
    <t>CV. TIGANUSA</t>
  </si>
  <si>
    <t>e-katalog</t>
  </si>
  <si>
    <t>56626938/BAHPL/2025</t>
  </si>
  <si>
    <t>56626938/PEN/2025</t>
  </si>
  <si>
    <t>56626938/UMUM/PEJ-PENG/DPUPR/VI/2025</t>
  </si>
  <si>
    <t>56626938/KLAR-NEG/PEJ-PENG/DPUPR/VI/2025</t>
  </si>
  <si>
    <t>600/56626938/Kont-Konstruksi/PPK/DPUPR</t>
  </si>
  <si>
    <t>600/56626938/SPMK/PPK/DPUPR</t>
  </si>
  <si>
    <t xml:space="preserve">Pengembangan Jaringan Distribusi dan Sambungan Rumah Desa Karya Bersama Kec. Pasangkayu (DAK) </t>
  </si>
  <si>
    <r>
      <rPr>
        <sz val="10"/>
        <color indexed="18"/>
        <rFont val="Avenir Next Regular"/>
      </rPr>
      <t xml:space="preserve">Pengembangan Jaringan Distribusi dan Sambungan Rumah Desa Karya Bersama Kec. Pasangkayu (DAK) </t>
    </r>
  </si>
  <si>
    <t>56626939/BAHPL/2025</t>
  </si>
  <si>
    <t>56626939/PEN/2025</t>
  </si>
  <si>
    <t>56626939/UMUM/PEJ-PENG/DPUPR/VI/2025</t>
  </si>
  <si>
    <t>56626939/KLAR-NEG/PEJ-PENG/DPUPR/VI/2025</t>
  </si>
  <si>
    <t>600/56626939/Kont-Konstruksi/PPK/DPUPR</t>
  </si>
  <si>
    <t>600/56626939/SPMK/PPK/DPUPR</t>
  </si>
  <si>
    <t xml:space="preserve">Pengembangan Jaringan Distribusi dan Sambungan Rumah Desa Kasano Kec. Baras (DAK) </t>
  </si>
  <si>
    <r>
      <rPr>
        <sz val="10"/>
        <color indexed="18"/>
        <rFont val="Avenir Next Regular"/>
      </rPr>
      <t xml:space="preserve">Pengembangan Jaringan Distribusi dan Sambungan Rumah Desa Kasano Kec. Baras (DAK) </t>
    </r>
  </si>
  <si>
    <t>227 CV. SATU TUJUH KONSTRUKSI</t>
  </si>
  <si>
    <t>MOH. TAHRAM AFANDI, ST.</t>
  </si>
  <si>
    <t xml:space="preserve">39.582.272.9-831.000 
</t>
  </si>
  <si>
    <r>
      <rPr>
        <sz val="10"/>
        <color indexed="8"/>
        <rFont val="Helvetica"/>
      </rPr>
      <t>JL RE. MARTADINATA NO.387 RT.001 RW.002 KEL. TONDO KEC. MANTIKULORE KOTA PALU SULAWESI TENGAH</t>
    </r>
  </si>
  <si>
    <t>05</t>
  </si>
  <si>
    <t xml:space="preserve">Erny Singal, SH., MH., MKn 
</t>
  </si>
  <si>
    <t>Bank Sulteng : 0010107012425</t>
  </si>
  <si>
    <t>CV. SATU TUJUH KONSTRUKSI</t>
  </si>
  <si>
    <t>56626940/BAHPL/2025</t>
  </si>
  <si>
    <t>56626940/PEN/2025</t>
  </si>
  <si>
    <t>56626940/UMUM/PEJ-PENG/DPUPR/VI/2025</t>
  </si>
  <si>
    <t>56626940/KLAR-NEG/PEJ-PENG/DPUPR/VI/2025</t>
  </si>
  <si>
    <t>600/56626940/Kont-Konstruksi/PPK/DPUPR</t>
  </si>
  <si>
    <t>600/56626940/SPMK/PPK/DPUPR</t>
  </si>
  <si>
    <t>Peningkatan Jalan Ds Sarjo I</t>
  </si>
  <si>
    <t>59011019/BAHPL/2025</t>
  </si>
  <si>
    <t>59011019/PEN/2025</t>
  </si>
  <si>
    <t>59011019/UMUM/PEJ-PENG/DPUPR/VII/2025</t>
  </si>
  <si>
    <t>59011019/KLAR-NEG/PEJ-PENG/DPUPR/VII/2025</t>
  </si>
  <si>
    <t>600/59011019/SPK-Konstruksi/PPK/DPUPR</t>
  </si>
  <si>
    <t>600/59011019/SPMK/PPK/DPUPR</t>
  </si>
  <si>
    <t>Peningkatan Jalan Ds Sarjo II</t>
  </si>
  <si>
    <t>59011053/BAHPL/2025</t>
  </si>
  <si>
    <t>59011053/PEN/2025</t>
  </si>
  <si>
    <t>59011053/UMUM/PEJ-PENG/DPUPR/VII/2025</t>
  </si>
  <si>
    <t>59011053/KLAR-NEG/PEJ-PENG/DPUPR/VII/2025</t>
  </si>
  <si>
    <t>600/59011053/SPK-Konstruksi/PPK/DPUPR</t>
  </si>
  <si>
    <t>600/59011053/SPMK/PPK/DPUPR</t>
  </si>
  <si>
    <t>Peningkatan Jalan Sipakainga</t>
  </si>
  <si>
    <t>257 CV. AL MUNAWWARAH</t>
  </si>
  <si>
    <t>SOFYAN</t>
  </si>
  <si>
    <t>21.468.089.4-814.000</t>
  </si>
  <si>
    <t>Dusun Jono, Desa/Kelurahan Sarudu, Kec. Sarudu, Kab. Pasangkayu</t>
  </si>
  <si>
    <t>06</t>
  </si>
  <si>
    <t>0 7 5 - 0 0 3 - 0 0 0 0 0 1 6 3 3 - 1 Bank Sulselbar</t>
  </si>
  <si>
    <t>CV. AL MUNAWWARAH</t>
  </si>
  <si>
    <t>59011075/BAHPL/2025</t>
  </si>
  <si>
    <t>59011075/PEN/2025</t>
  </si>
  <si>
    <t>59011075/UMUM/PEJ-PENG/DPUPR/VII/2025</t>
  </si>
  <si>
    <t>59011075/KLAR-NEG/PEJ-PENG/DPUPR/VII/2025</t>
  </si>
  <si>
    <t>600/59011075/SPK-Konstruksi/PPK/DPUPR</t>
  </si>
  <si>
    <t>600/59011075/SPMK/PPK/DPUPR</t>
  </si>
  <si>
    <t>Peningkatan Jalan Kuma Sipakainga</t>
  </si>
  <si>
    <t>59011093/BAHPL/2025</t>
  </si>
  <si>
    <t>59011093/PEN/2025</t>
  </si>
  <si>
    <t>59011093/UMUM/PEJ-PENG/DPUPR/VII/2025</t>
  </si>
  <si>
    <t>59011093/KLAR-NEG/PEJ-PENG/DPUPR/VII/2025</t>
  </si>
  <si>
    <t>600/59011093/SPK-Konstruksi/PPK/DPUPR</t>
  </si>
  <si>
    <t>600/59011093/SPMK/PPK/DPUPR</t>
  </si>
  <si>
    <t>Peningkatan Jalan Ds Baras I</t>
  </si>
  <si>
    <t>59011140/BAHPL/2025</t>
  </si>
  <si>
    <t>59011140/PEN/2025</t>
  </si>
  <si>
    <t>59011140/UMUM/PEJ-PENG/DPUPR/VII/2025</t>
  </si>
  <si>
    <t>59011140/KLAR-NEG/PEJ-PENG/DPUPR/VII/2025</t>
  </si>
  <si>
    <t>600/59011140/SPK-Konstruksi/PPK/DPUPR</t>
  </si>
  <si>
    <t>600/59011140/SPMK/PPK/DPUPR</t>
  </si>
  <si>
    <t>Peningkatan Jalan Maponu II</t>
  </si>
  <si>
    <r>
      <rPr>
        <sz val="10"/>
        <color indexed="18"/>
        <rFont val="Avenir Next Regular"/>
      </rPr>
      <t>Peningkatan Jalan Maponu II</t>
    </r>
  </si>
  <si>
    <t>59010947/BAHPL/2025</t>
  </si>
  <si>
    <t>59010947/PEN/2025</t>
  </si>
  <si>
    <t>59010947/UMUM/PEJ-PENG/DPUPR/VII/2025</t>
  </si>
  <si>
    <t>59010947/KLAR-NEG/PEJ-PENG/DPUPR/VII/2025</t>
  </si>
  <si>
    <t>600/59010947/SPK-Konstruksi/PPK/DPUPR</t>
  </si>
  <si>
    <t>600/59010947/SPMK/PPK/DPUPR</t>
  </si>
  <si>
    <t>Peningkatan Jalan Letawa II</t>
  </si>
  <si>
    <r>
      <rPr>
        <sz val="10"/>
        <color indexed="18"/>
        <rFont val="Avenir Next Regular"/>
      </rPr>
      <t>Peningkatan Jalan Letawa II</t>
    </r>
  </si>
  <si>
    <t>59010869/BAHPL/2025</t>
  </si>
  <si>
    <t>59010869/PEN/2025</t>
  </si>
  <si>
    <t>59010869/UMUM/PEJ-PENG/DPUPR/VII/2025</t>
  </si>
  <si>
    <t>59010869/KLAR-NEG/PEJ-PENG/DPUPR/VII/2025</t>
  </si>
  <si>
    <t>600/59010869/SPK-Konstruksi/PPK/DPUPR</t>
  </si>
  <si>
    <t>600/59010869/SPMK/PPK/DPUPR</t>
  </si>
  <si>
    <t xml:space="preserve"> Peningkatan Jalan Letawa III</t>
  </si>
  <si>
    <r>
      <rPr>
        <sz val="10"/>
        <color indexed="18"/>
        <rFont val="Avenir Next Regular"/>
      </rPr>
      <t xml:space="preserve"> Peningkatan Jalan Letawa III</t>
    </r>
  </si>
  <si>
    <t>119 CV. BENTENG JAYA</t>
  </si>
  <si>
    <t>B A S I R</t>
  </si>
  <si>
    <t>81.385.632.5-814.000</t>
  </si>
  <si>
    <t xml:space="preserve">DSN. PELONTU DESA KALUKU NANGKA </t>
  </si>
  <si>
    <t>075-003-0000001540-7 BANK SULSELBAR</t>
  </si>
  <si>
    <t>CV. BENTENG JAYA</t>
  </si>
  <si>
    <t>59010903/BAHPL/2025</t>
  </si>
  <si>
    <t>59010903/PEN/2025</t>
  </si>
  <si>
    <t>59010903/UMUM/PEJ-PENG/DPUPR/VII/2025</t>
  </si>
  <si>
    <t>59010903/KLAR-NEG/PEJ-PENG/DPUPR/VII/2025</t>
  </si>
  <si>
    <t>600/59010903/SPK-Konstruksi/PPK/DPUPR</t>
  </si>
  <si>
    <t>600/59010903/SPMK/PPK/DPUPR</t>
  </si>
  <si>
    <t>Peningkatan Jalan Kasoloang II</t>
  </si>
  <si>
    <r>
      <rPr>
        <sz val="10"/>
        <color indexed="18"/>
        <rFont val="Avenir Next Regular"/>
      </rPr>
      <t>Peningkatan Jalan Kasoloang II</t>
    </r>
  </si>
  <si>
    <t>59010771/BAHPL/2025</t>
  </si>
  <si>
    <t>59010771/PEN/2025</t>
  </si>
  <si>
    <t>59010771/UMUM/PEJ-PENG/DPUPR/VII/2025</t>
  </si>
  <si>
    <t>59010771/KLAR-NEG/PEJ-PENG/DPUPR/VII/2025</t>
  </si>
  <si>
    <t>600/59010771/SPK-Konstruksi/PPK/DPUPR</t>
  </si>
  <si>
    <t>600/59010771/SPMK/PPK/DPUPR</t>
  </si>
  <si>
    <t xml:space="preserve">Pembangunan air bersih Saptanajaya (lanjutan) </t>
  </si>
  <si>
    <r>
      <rPr>
        <sz val="10"/>
        <color indexed="18"/>
        <rFont val="Avenir Next Regular"/>
      </rPr>
      <t xml:space="preserve">Pembangunan air bersih Saptanajaya (lanjutan) </t>
    </r>
  </si>
  <si>
    <t>58432896/BAHPL/2025</t>
  </si>
  <si>
    <t>58432896/PEN/2025</t>
  </si>
  <si>
    <t>58432896/UMUM/PEJ-PENG/DPUPR/VII/2025</t>
  </si>
  <si>
    <t>58432896/KLAR-NEG/PEJ-PENG/DPUPR/VII/2025</t>
  </si>
  <si>
    <t>600/58432896/SPK-Konstruksi/PPK/DPUPR</t>
  </si>
  <si>
    <t>600/58432896/SPMK/PPK/DPUPR</t>
  </si>
  <si>
    <t>Pengawasan Pembangunan air bersih Saptanajaya (lanjutan)</t>
  </si>
  <si>
    <r>
      <rPr>
        <sz val="10"/>
        <color indexed="18"/>
        <rFont val="Avenir Next Regular"/>
      </rPr>
      <t>Pengawasan Pembangunan air bersih Saptanajaya (lanjutan)</t>
    </r>
  </si>
  <si>
    <t>58432943/UMUM/PEJ-PENG/DPUPR/VII/2025</t>
  </si>
  <si>
    <t>58432943/KLAR-NEG/PEJ-PENG/DPUPR/VII/2025</t>
  </si>
  <si>
    <t>600/58432943/SPK-Konsultansi/PPK/DPUPR</t>
  </si>
  <si>
    <t>Pemb. Jalan Dsn Salubulu</t>
  </si>
  <si>
    <r>
      <rPr>
        <sz val="10"/>
        <color indexed="18"/>
        <rFont val="Avenir Next Regular"/>
      </rPr>
      <t>Pemb. Jalan Dsn Salubulu</t>
    </r>
  </si>
  <si>
    <t>59010989/BAHPL/2025</t>
  </si>
  <si>
    <t>59010989/PEN/2025</t>
  </si>
  <si>
    <t>59010989/UMUM/PEJ-PENG/DPUPR/VII/2025</t>
  </si>
  <si>
    <t>59010989/KLAR-NEG/PEJ-PENG/DPUPR/VII/2025</t>
  </si>
  <si>
    <t>600/59010989/SPK-Konstruksi/PPK/DPUPR</t>
  </si>
  <si>
    <t>600/59010989/SPMK/PPK/DPUPR</t>
  </si>
  <si>
    <t>Peningkatan Jalan Pajalele</t>
  </si>
  <si>
    <r>
      <rPr>
        <sz val="10"/>
        <color indexed="18"/>
        <rFont val="Avenir Next Regular"/>
      </rPr>
      <t>Peningkatan Jalan Pajalele</t>
    </r>
  </si>
  <si>
    <t>59010969/BAHPL/2025</t>
  </si>
  <si>
    <t>59010969/PEN/2025</t>
  </si>
  <si>
    <t>59010969/UMUM/PEJ-PENG/DPUPR/VII/2025</t>
  </si>
  <si>
    <t>59010969/KLAR-NEG/PEJ-PENG/DPUPR/VII/2025</t>
  </si>
  <si>
    <t>600/59010969/SPK-Konstruksi/PPK/DPUPR</t>
  </si>
  <si>
    <t>600/59010969/SPMK/PPK/DPUPR</t>
  </si>
  <si>
    <t>Peningkatan Jalan Letawa I</t>
  </si>
  <si>
    <r>
      <rPr>
        <sz val="10"/>
        <color indexed="18"/>
        <rFont val="Avenir Next Regular"/>
      </rPr>
      <t>Peningkatan Jalan Letawa I</t>
    </r>
  </si>
  <si>
    <t>59010805/BAHPL/2025</t>
  </si>
  <si>
    <t>59010805/PEN/2025</t>
  </si>
  <si>
    <t>59010805/UMUM/PEJ-PENG/DPUPR/VII/2025</t>
  </si>
  <si>
    <t>59010805/KLAR-NEG/PEJ-PENG/DPUPR/VII/2025</t>
  </si>
  <si>
    <t>600/59010805/SPK-Konstruksi/PPK/DPUPR</t>
  </si>
  <si>
    <t>600/59010805/SPMK/PPK/DPUPR</t>
  </si>
  <si>
    <t>Peningkatan Jalan Ds Sarude II</t>
  </si>
  <si>
    <r>
      <rPr>
        <sz val="10"/>
        <color indexed="18"/>
        <rFont val="Avenir Next Regular"/>
      </rPr>
      <t>Peningkatan Jalan Ds Sarude II</t>
    </r>
  </si>
  <si>
    <t>59011110/BAHPL/2025</t>
  </si>
  <si>
    <t>59011110/PEN/2025</t>
  </si>
  <si>
    <t>59011110/UMUM/PEJ-PENG/DPUPR/VII/2025</t>
  </si>
  <si>
    <t>59011110/KLAR-NEG/PEJ-PENG/DPUPR/VII/2025</t>
  </si>
  <si>
    <t>600/59011110/SPK-Konstruksi/PPK/DPUPR</t>
  </si>
  <si>
    <t>600/59011110/SPMK/PPK/DPUPR</t>
  </si>
  <si>
    <t>Peningkatan Jalan Bambalamotu II</t>
  </si>
  <si>
    <r>
      <rPr>
        <sz val="10"/>
        <color indexed="18"/>
        <rFont val="Avenir Next Regular"/>
      </rPr>
      <t>Peningkatan Jalan Bambalamotu II</t>
    </r>
  </si>
  <si>
    <t>59010718/BAHPL/2025</t>
  </si>
  <si>
    <t>59010718/PEN/2025</t>
  </si>
  <si>
    <t>59010718/UMUM/PEJ-PENG/DPUPR/VII/2025</t>
  </si>
  <si>
    <t>59010718/KLAR-NEG/PEJ-PENG/DPUPR/VII/2025</t>
  </si>
  <si>
    <t>600/59010718/SPK-Konstruksi/PPK/DPUPR</t>
  </si>
  <si>
    <t>600/59010718/SPMK/PPK/DPUPR</t>
  </si>
  <si>
    <t>Pemb./Peningkatan Jalan Ds Benggaulu</t>
  </si>
  <si>
    <r>
      <rPr>
        <sz val="10"/>
        <color indexed="18"/>
        <rFont val="Avenir Next Regular"/>
      </rPr>
      <t>Pemb./Peningkatan Jalan Ds Benggaulu</t>
    </r>
  </si>
  <si>
    <t>59009399/BAHPL/2025</t>
  </si>
  <si>
    <t>59009399/PEN/2025</t>
  </si>
  <si>
    <t>59009399/UMUM/PEJ-PENG/DPUPR/VII/2025</t>
  </si>
  <si>
    <t>59009399/KLAR-NEG/PEJ-PENG/DPUPR/VII/2025</t>
  </si>
  <si>
    <t>600/59009399/SPK-Konstruksi/PPK/DPUPR</t>
  </si>
  <si>
    <t>600/59009399/SPMK/PPK/DPUPR</t>
  </si>
  <si>
    <t xml:space="preserve"> Peningkatan Jalan Kanantuo</t>
  </si>
  <si>
    <r>
      <rPr>
        <sz val="10"/>
        <color indexed="18"/>
        <rFont val="Avenir Next Regular"/>
      </rPr>
      <t xml:space="preserve"> Peningkatan Jalan Kanantuo</t>
    </r>
  </si>
  <si>
    <t>59009511/BAHPL/2025</t>
  </si>
  <si>
    <t>59009511/PEN/2025</t>
  </si>
  <si>
    <t>59009511/UMUM/PEJ-PENG/DPUPR/VII/2025</t>
  </si>
  <si>
    <t>59009511/KLAR-NEG/PEJ-PENG/DPUPR/VII/2025</t>
  </si>
  <si>
    <t>600/59009511/SPK-Konstruksi/PPK/DPUPR</t>
  </si>
  <si>
    <t>600/59009511/SPMK/PPK/DPUPR</t>
  </si>
  <si>
    <t>Peningkatan Jalan Maponu I</t>
  </si>
  <si>
    <r>
      <rPr>
        <sz val="10"/>
        <color indexed="18"/>
        <rFont val="Avenir Next Regular"/>
      </rPr>
      <t>Peningkatan Jalan Maponu I</t>
    </r>
  </si>
  <si>
    <t>59010929/BAHPL/2025</t>
  </si>
  <si>
    <t>59010929/PEN/2025</t>
  </si>
  <si>
    <t>59010929/UMUM/PEJ-PENG/DPUPR/VIII/2025</t>
  </si>
  <si>
    <t>59010929/KLAR-NEG/PEJ-PENG/DPUPR/VIII/2025</t>
  </si>
  <si>
    <t>600/59010929/SPK-Konstruksi/PPK/DPUPR</t>
  </si>
  <si>
    <t>600/59010929/SPMK/PPK/DPUPR</t>
  </si>
  <si>
    <t>Pemb. Box Culvert Kalukunangka 1 Mata (2 Unit)</t>
  </si>
  <si>
    <r>
      <rPr>
        <sz val="10"/>
        <color indexed="18"/>
        <rFont val="Avenir Next Regular"/>
      </rPr>
      <t>Pemb. Box Culvert Kalukunangka 1 Mata (2 Unit)</t>
    </r>
  </si>
  <si>
    <t>59011573/BAHPL/2025</t>
  </si>
  <si>
    <t>59011573/PEN/2025</t>
  </si>
  <si>
    <t>59011573/UMUM/PEJ-PENG/DPUPR/VIII/2025</t>
  </si>
  <si>
    <t>59011573/KLAR-NEG/PEJ-PENG/DPUPR/VIII/2025</t>
  </si>
  <si>
    <t>600/59011573/SPK-Konstruksi/PPK/DPUPR</t>
  </si>
  <si>
    <t>600/59011573/SPMK/PPK/DPUPR</t>
  </si>
  <si>
    <t>Pengawasan Pemb./Peningkatan Jalan Ds Benggaulu cs.</t>
  </si>
  <si>
    <r>
      <rPr>
        <sz val="10"/>
        <color indexed="18"/>
        <rFont val="Avenir Next Regular"/>
      </rPr>
      <t>Pengawasan Pemb./Peningkatan Jalan Ds Benggaulu cs.</t>
    </r>
  </si>
  <si>
    <t>Hasan, ST</t>
  </si>
  <si>
    <t>Pengawasan Peningkatan Jalan Sipakainga cs</t>
  </si>
  <si>
    <r>
      <rPr>
        <sz val="10"/>
        <color indexed="18"/>
        <rFont val="Avenir Next Regular"/>
      </rPr>
      <t>Pengawasan Peningkatan Jalan Sipakainga cs</t>
    </r>
  </si>
  <si>
    <t>56634550/BAHPL/2025</t>
  </si>
  <si>
    <t>56634550/PEN/2025</t>
  </si>
  <si>
    <t>56634550/UMUM/PEJ-PENG/DPUPR/VII/2025</t>
  </si>
  <si>
    <t>56634550/KLAR-NEG/PEJ-PENG/DPUPR/VII/2025</t>
  </si>
  <si>
    <t>600/56634550/SPK-Konsultansi/PPK/DPUPR</t>
  </si>
  <si>
    <t>600/56634550/SPMK/PPK/DPUPR</t>
  </si>
  <si>
    <t>Pemb. Rumah Tahfidz Bulumario</t>
  </si>
  <si>
    <r>
      <rPr>
        <sz val="10"/>
        <color indexed="18"/>
        <rFont val="Avenir Next Regular"/>
      </rPr>
      <t>Pemb. Rumah Tahfidz Bulumario</t>
    </r>
  </si>
  <si>
    <t>259 CV. LIUNTUHASENG BROTHERS</t>
  </si>
  <si>
    <t>DAVID, SE</t>
  </si>
  <si>
    <t>0667148555831000</t>
  </si>
  <si>
    <t>Jl. Poros Palu-Palolo Desa Watunonju - Sigi (Kab.) - Sulawesi Tengah</t>
  </si>
  <si>
    <t>ERNY SINGAL, S.H., MH., MKn</t>
  </si>
  <si>
    <t>0010107169894 Bank Sulteng Cabang Palu</t>
  </si>
  <si>
    <t>CV. LIUNTUHASENG BROTHERS</t>
  </si>
  <si>
    <t>10897835000/1/2025/9</t>
  </si>
  <si>
    <t>PII.14.07/BAHP/BPBJ</t>
  </si>
  <si>
    <t>PII.14.07/BAHN/BPBJ</t>
  </si>
  <si>
    <t>600/59011913/Kont-Konstruksi/PPK/DPUPR</t>
  </si>
  <si>
    <t>600/59011913/SPMK/PPK/DPUPR</t>
  </si>
  <si>
    <t>Pemb. Rumah Tahfidz Pasangkayu</t>
  </si>
  <si>
    <r>
      <rPr>
        <sz val="10"/>
        <color indexed="18"/>
        <rFont val="Avenir Next Regular"/>
      </rPr>
      <t>Pemb. Rumah Tahfidz Pasangkayu</t>
    </r>
  </si>
  <si>
    <t>10901755000/1/2025/9</t>
  </si>
  <si>
    <t>P1.13.07/BAHP/P.Konstruksi/BPBJ</t>
  </si>
  <si>
    <t>59012023/PEN/2025</t>
  </si>
  <si>
    <t>59012023/UMUM/PEJ-PENG/DPUPR/VIII/2025</t>
  </si>
  <si>
    <t>59012023/KLAR-NEG/PEJ-PENG/DPUPR/VIII/2025</t>
  </si>
  <si>
    <t>600/59012023/Kont-Konstruksi/PPK/DPUPR</t>
  </si>
  <si>
    <t>600/59012023/SPMK/PPK/DPUPR</t>
  </si>
  <si>
    <t>Pemb. Rumah Tahfidz Belawa Rahmat</t>
  </si>
  <si>
    <r>
      <rPr>
        <sz val="10"/>
        <color indexed="18"/>
        <rFont val="Avenir Next Regular"/>
      </rPr>
      <t>Pemb. Rumah Tahfidz Belawa Rahmat</t>
    </r>
  </si>
  <si>
    <t>201 CV. IDJO KARYA</t>
  </si>
  <si>
    <t>A R M A N</t>
  </si>
  <si>
    <t>39.274.384.5-814.000</t>
  </si>
  <si>
    <t>Desa Doda Kecamatan Sarudu, Kab Pasangkayu</t>
  </si>
  <si>
    <t>075-003-000001618-7. Bank Sulselbar</t>
  </si>
  <si>
    <t>CV. IDJO KARYA</t>
  </si>
  <si>
    <t>P1.12.06/BAHP/P.Konstruksi/BPBJ</t>
  </si>
  <si>
    <t>600/59012079/Kont-Konstruksi/PPK/DPUPR</t>
  </si>
  <si>
    <t>600/59012079/SPMK/PPK/DPUPR</t>
  </si>
  <si>
    <t xml:space="preserve">Pengawasan. Pemb. Rumah Tahfidz Bulumario cs. </t>
  </si>
  <si>
    <r>
      <rPr>
        <sz val="10"/>
        <color indexed="18"/>
        <rFont val="Avenir Next Regular"/>
      </rPr>
      <t xml:space="preserve">Pengawasan. Pemb. Rumah Tahfidz Bulumario cs. </t>
    </r>
  </si>
  <si>
    <t>7 PT. TATA INDOKARYA KONSULTAN</t>
  </si>
  <si>
    <t>ASHAR AZIS, ST.,M.S.P </t>
  </si>
  <si>
    <t>83.264.765.5-814.000</t>
  </si>
  <si>
    <t>Jl. KH. Abd. Malik Pattana Endeng Mamuju</t>
  </si>
  <si>
    <t>20 April 2021</t>
  </si>
  <si>
    <t>Dewi Wulandari, S.H., M.Kn.</t>
  </si>
  <si>
    <t>0741050232 Bank BNI</t>
  </si>
  <si>
    <t>PT. TATA INDOKARYA KONSULTAN</t>
  </si>
  <si>
    <t>59011969/BAHPL/2025</t>
  </si>
  <si>
    <t>59011969/PEN/2025</t>
  </si>
  <si>
    <t>59011969/UMUM/PEJ-PENG/DPUPR/IX/2025</t>
  </si>
  <si>
    <t>59011969/KLAR-NEG/PEJ-PENG/DPUPR/IX/2025</t>
  </si>
  <si>
    <t>600/59011969/SPK-Konsultansi/PPK/DPUPR</t>
  </si>
  <si>
    <t>600/59011969/SPMK/PPK/DPUPR</t>
  </si>
  <si>
    <t>Pemb. Jembatan Tirta Buana</t>
  </si>
  <si>
    <r>
      <rPr>
        <sz val="10"/>
        <color indexed="18"/>
        <rFont val="Avenir Next Regular"/>
      </rPr>
      <t>Pemb. Jembatan Tirta Buana</t>
    </r>
  </si>
  <si>
    <t>171 CV. BERKAH</t>
  </si>
  <si>
    <t>FIRMANSYAH M</t>
  </si>
  <si>
    <t>84.964.109.7-814.000</t>
  </si>
  <si>
    <t>JL. ANDI BANDACO KEL. PASANGKAYU</t>
  </si>
  <si>
    <t>075-003=000001564-4 Bank Sulselbar</t>
  </si>
  <si>
    <t>CV. BERKAH</t>
  </si>
  <si>
    <t>10899986000/1/2025/9</t>
  </si>
  <si>
    <t>P1.14.08/BA-HP/P.Konstruksi/BPBJ</t>
  </si>
  <si>
    <t>60107404/PEN/2025</t>
  </si>
  <si>
    <t>60107404/UMUM/PEJ-PENG/DPUPR/VIII/2025</t>
  </si>
  <si>
    <t>60107404/KLAR-NEG/PEJ-PENG/DPUPR/VIII/2025</t>
  </si>
  <si>
    <t>600/60107404/Kont-Konstruksi/PPK/DPUPR</t>
  </si>
  <si>
    <t>600/60107404/SPMK/PPK/DPUPR</t>
  </si>
  <si>
    <t>Pengawasan Pemb. Jembatan Tirta Buana cs.</t>
  </si>
  <si>
    <r>
      <rPr>
        <sz val="10"/>
        <color indexed="18"/>
        <rFont val="Avenir Next Regular"/>
      </rPr>
      <t>Pengawasan Pemb. Jembatan Tirta Buana cs.</t>
    </r>
  </si>
  <si>
    <t>60108706/BAHPL/2025</t>
  </si>
  <si>
    <t>60108706/PEN/2025</t>
  </si>
  <si>
    <t>60108706/UMUM/PEJ-PENG/DPUPR/IX/2025</t>
  </si>
  <si>
    <t>60108706/KLAR-NEG/PEJ-PENG/DPUPR/IX/2025</t>
  </si>
  <si>
    <t>600/60108706/SPK-Konsultansi/PPK/DPUPR</t>
  </si>
  <si>
    <t>600/60108706/SPMK/PPK/DPUPR</t>
  </si>
  <si>
    <t>Pemb. Proteksi Jalan Jalan Andi Depu Pasangkayu</t>
  </si>
  <si>
    <r>
      <rPr>
        <sz val="10"/>
        <color indexed="18"/>
        <rFont val="Avenir Next Regular"/>
      </rPr>
      <t>Pemb. Proteksi Jalan Jalan Andi Depu Pasangkayu</t>
    </r>
  </si>
  <si>
    <t>59010848/BAHPL/2025</t>
  </si>
  <si>
    <t>59010848/PEN/2025</t>
  </si>
  <si>
    <t>59010848/UMUM/PEJ-PENG/DPUPR/IX/2025</t>
  </si>
  <si>
    <t>59010848/KLAR-NEG/PEJ-PENG/DPUPR/IX/2025</t>
  </si>
  <si>
    <t>600/59010848/SPK-Konstruksi/PPK/DPUPR</t>
  </si>
  <si>
    <t>600/59010848/SPMK/PPK/DPUPR</t>
  </si>
  <si>
    <t>Rehabilitasi/Pemeliharaan Rumah Jabatan Bupati</t>
  </si>
  <si>
    <r>
      <rPr>
        <sz val="10"/>
        <color indexed="18"/>
        <rFont val="Avenir Next Regular"/>
      </rPr>
      <t>Rehabilitasi/Pemeliharaan Rumah Jabatan Bupati</t>
    </r>
  </si>
  <si>
    <t>260 CV. DIAN WAHYU</t>
  </si>
  <si>
    <t>Hj. ROSMAWATI, S.Pd</t>
  </si>
  <si>
    <t>Direktris</t>
  </si>
  <si>
    <t>0745867457805000</t>
  </si>
  <si>
    <t>Jalan Borong Jambu Raya No. 7 Kota Makassar</t>
  </si>
  <si>
    <t>SYAHBUR BASO LUKKASA S.H.</t>
  </si>
  <si>
    <t>130-003-000031022-6 Banks Sulselbar Cabang Makassar</t>
  </si>
  <si>
    <t>CV. DIAN WAHYU</t>
  </si>
  <si>
    <t>11037698000/1/2025/10</t>
  </si>
  <si>
    <t>16.08/BAHP/BPBJ</t>
  </si>
  <si>
    <t>10080492000/PEN/2025</t>
  </si>
  <si>
    <t>10080492000/UMUM/PEJ-PENG/DPUPR//2025</t>
  </si>
  <si>
    <t>16.08/BAHN/BPBJ</t>
  </si>
  <si>
    <t>600/10080492000/Kont-Konstruksi/PPK/DPUPR</t>
  </si>
  <si>
    <t>600/10080492000/SPMK/PPK/DPUPR</t>
  </si>
  <si>
    <t xml:space="preserve">Pengawasan Rehabilitasi/Pemeliharaan Rumah Jabatan Bupati </t>
  </si>
  <si>
    <r>
      <rPr>
        <sz val="10"/>
        <color indexed="18"/>
        <rFont val="Avenir Next Regular"/>
      </rPr>
      <t xml:space="preserve">Pengawasan Rehabilitasi/Pemeliharaan Rumah Jabatan Bupati </t>
    </r>
  </si>
  <si>
    <t>262 PT. Anindya Rekacipta Utama</t>
  </si>
  <si>
    <t>Muhammad Taufiq Ramadhan, S.T</t>
  </si>
  <si>
    <t>Direktur Utama</t>
  </si>
  <si>
    <t>53.445.996.1-801.000</t>
  </si>
  <si>
    <t xml:space="preserve">BTP BLOK AD, JALAN KEBERKAHAN NOMOR 375 BIRINGKANAYA KOTA MAKASSAR </t>
  </si>
  <si>
    <t>Iwan Ampulembang, SH.</t>
  </si>
  <si>
    <t>130-003-000040976-1 Bank Sulselbar</t>
  </si>
  <si>
    <t>PT. Anindya Rekacipta Utama</t>
  </si>
  <si>
    <t>62489054/BAHPL/2025</t>
  </si>
  <si>
    <t>62489054/PEN/2025</t>
  </si>
  <si>
    <t>62489054/UMUM/PEJ-PENG/DPUPR/X/2025</t>
  </si>
  <si>
    <t>62489054/KLAR-NEG/PEJ-PENG/DPUPR/X/2025</t>
  </si>
  <si>
    <t>600/62489054/SPK-Konsultansi/PPK/DPUPR</t>
  </si>
  <si>
    <t>600/62489054/SPMK/PPK/DPUPR</t>
  </si>
  <si>
    <t>SW</t>
  </si>
  <si>
    <t>Pemuhtahiran Data Base Jalan &amp; Jembatan</t>
  </si>
  <si>
    <r>
      <rPr>
        <sz val="10"/>
        <color indexed="18"/>
        <rFont val="Avenir Next Regular"/>
      </rPr>
      <t>Pemuhtahiran Data Base Jalan &amp; Jembatan</t>
    </r>
  </si>
  <si>
    <t>Peningkatan Jalan Rabat Beton Pasangkayu III</t>
  </si>
  <si>
    <r>
      <rPr>
        <sz val="10"/>
        <color indexed="18"/>
        <rFont val="Avenir Next Regular"/>
      </rPr>
      <t>Peningkatan Jalan Rabat Beton Pasangkayu III</t>
    </r>
  </si>
  <si>
    <t>36 CV. MUHASI SMART</t>
  </si>
  <si>
    <t>MUH. HADI SISWANTO, SE</t>
  </si>
  <si>
    <t>75.120.174.0-814.000</t>
  </si>
  <si>
    <t>Jalan  Ir. Soekarno Pasangkayu</t>
  </si>
  <si>
    <t>075-003-000001507-5 Bank Sulselbar</t>
  </si>
  <si>
    <t>CV. MUHASI SMART</t>
  </si>
  <si>
    <t>61392112/BAHPL/2025</t>
  </si>
  <si>
    <t>61392112/PEN/2025</t>
  </si>
  <si>
    <t>61392112/UMUM/PEJ-PENG/DPUPR/XI/2025</t>
  </si>
  <si>
    <t>61392112/KLAR-NEG/PEJ-PENG/DPUPR/XI/2025</t>
  </si>
  <si>
    <t>600/61392112/SPK-Konstruksi/PPK/DPUPR</t>
  </si>
  <si>
    <t>600/61392112/SPMK/PPK/DPUPR</t>
  </si>
  <si>
    <t>Pemb. Jalan Wirabuana - Kalibamba</t>
  </si>
  <si>
    <r>
      <rPr>
        <sz val="10"/>
        <color indexed="18"/>
        <rFont val="Avenir Next Regular"/>
      </rPr>
      <t>Pemb. Jalan Wirabuana - Kalibamba</t>
    </r>
  </si>
  <si>
    <t>61392116/BAHPL/2025</t>
  </si>
  <si>
    <t>61392116/PEN/2025</t>
  </si>
  <si>
    <t>61392116/UMUM/PEJ-PENG/DPUPR/XI/2025</t>
  </si>
  <si>
    <t>61392116/KLAR-NEG/PEJ-PENG/DPUPR/XI/2025</t>
  </si>
  <si>
    <t>600/61392116/SPK-Konstruksi/PPK/DPUPR</t>
  </si>
  <si>
    <t>600/61392116/SPMK/PPK/DPUPR</t>
  </si>
  <si>
    <t>Pemb. Jalan Desa Kalukunangka III Bambaira</t>
  </si>
  <si>
    <r>
      <rPr>
        <sz val="10"/>
        <color indexed="18"/>
        <rFont val="Avenir Next Regular"/>
      </rPr>
      <t>Pemb. Jalan Desa Kalukunangka III Bambaira</t>
    </r>
  </si>
  <si>
    <t>61392162/BAHPL/2025</t>
  </si>
  <si>
    <t>61392162/PEN/2025</t>
  </si>
  <si>
    <t>61392162/UMUM/PEJ-PENG/DPUPR/XI/2025</t>
  </si>
  <si>
    <t>61392162/KLAR-NEG/PEJ-PENG/DPUPR/XI/2025</t>
  </si>
  <si>
    <t>600/61392162/SPK-Konstruksi/PPK/DPUPR</t>
  </si>
  <si>
    <t>600/61392162/SPMK/PPK/DPUPR</t>
  </si>
  <si>
    <t>Stock Desain Jalan Penghubung/Kabupaten Paket XII</t>
  </si>
  <si>
    <r>
      <rPr>
        <sz val="10"/>
        <color indexed="18"/>
        <rFont val="Avenir Next Regular"/>
      </rPr>
      <t>Stock Desain Jalan Penghubung/Kabupaten Paket XII</t>
    </r>
  </si>
  <si>
    <t>61391686/BAHPL/2025</t>
  </si>
  <si>
    <t>61391686/PEN/2025</t>
  </si>
  <si>
    <t>61391686/UMUM/PEJ-PENG/DPUPR/XI/2025</t>
  </si>
  <si>
    <t>61391686/KLAR-NEG/PEJ-PENG/DPUPR/XI/2025</t>
  </si>
  <si>
    <t>600/61391686/SPK-Konsultansi/PPK/DPUPR</t>
  </si>
  <si>
    <t>600/61391686/SPMK/PPK/DPUPR</t>
  </si>
  <si>
    <t>Stock Desain Jalan Penghubung/Kabupaten Paket XIII</t>
  </si>
  <si>
    <r>
      <rPr>
        <sz val="10"/>
        <color indexed="18"/>
        <rFont val="Avenir Next Regular"/>
      </rPr>
      <t>Stock Desain Jalan Penghubung/Kabupaten Paket XIII</t>
    </r>
  </si>
  <si>
    <t>61391693/BAHPL/2025</t>
  </si>
  <si>
    <t>61391693/PEN/2025</t>
  </si>
  <si>
    <t>61391693/UMUM/PEJ-PENG/DPUPR/XI/2025</t>
  </si>
  <si>
    <t>61391693/KLAR-NEG/PEJ-PENG/DPUPR/XI/2025</t>
  </si>
  <si>
    <t>600/61391693/SPK-Konsultansi/PPK/DPUPR</t>
  </si>
  <si>
    <t>600/61391693/SPMK/PPK/DPUPR</t>
  </si>
  <si>
    <t>Stock Desain Jalan Penghubung/Kabupaten Paket XIV</t>
  </si>
  <si>
    <r>
      <rPr>
        <sz val="10"/>
        <color indexed="18"/>
        <rFont val="Avenir Next Regular"/>
      </rPr>
      <t>Stock Desain Jalan Penghubung/Kabupaten Paket XIV</t>
    </r>
  </si>
  <si>
    <t>61391703/BAHPL/2025</t>
  </si>
  <si>
    <t>61391703/PEN/2025</t>
  </si>
  <si>
    <t>61391703/UMUM/PEJ-PENG/DPUPR/XI/2025</t>
  </si>
  <si>
    <t>61391703/KLAR-NEG/PEJ-PENG/DPUPR/XI/2025</t>
  </si>
  <si>
    <t>600/61391703/SPK-Konsultansi/PPK/DPUPR</t>
  </si>
  <si>
    <t>600/61391703/SPMK/PPK/DPUPR</t>
  </si>
  <si>
    <t>Stock Desain Jalan Penghubung/Kabupaten Paket XV</t>
  </si>
  <si>
    <r>
      <rPr>
        <sz val="10"/>
        <color indexed="18"/>
        <rFont val="Avenir Next Regular"/>
      </rPr>
      <t>Stock Desain Jalan Penghubung/Kabupaten Paket XV</t>
    </r>
  </si>
  <si>
    <t>258 CV. DETAIL CONSULTANT</t>
  </si>
  <si>
    <t xml:space="preserve">Ir. MUH. AWALUR RAHMAN, ST </t>
  </si>
  <si>
    <t>21.062.262.7-831 .000</t>
  </si>
  <si>
    <t>BTN Pengawu Blok G2 No.25 Palu</t>
  </si>
  <si>
    <t>Siane Mormin Lamasigi,SH.M.Kn</t>
  </si>
  <si>
    <t>0010107160631 Bank Sulteng Cabang Palu</t>
  </si>
  <si>
    <t>CV. DETAIL CONSULTANT</t>
  </si>
  <si>
    <t>61391709/BAHPL/2025</t>
  </si>
  <si>
    <t>61391709/PEN/2025</t>
  </si>
  <si>
    <t>61391709/UMUM/PEJ-PENG/DPUPR/XI/2025</t>
  </si>
  <si>
    <t>61391709/KLAR-NEG/PEJ-PENG/DPUPR/XI/2025</t>
  </si>
  <si>
    <t>600/61391709/SPK-Konsultansi/PPK/DPUPR</t>
  </si>
  <si>
    <t>600/61391709/SPMK/PPK/DPUPR</t>
  </si>
  <si>
    <t>Stock Desain Jalan Penghubung/Kabupaten Paket I</t>
  </si>
  <si>
    <r>
      <rPr>
        <sz val="10"/>
        <color indexed="18"/>
        <rFont val="Avenir Next Regular"/>
      </rPr>
      <t>Stock Desain Jalan Penghubung/Kabupaten Paket I</t>
    </r>
  </si>
  <si>
    <t>61391720/BAHPL/2025</t>
  </si>
  <si>
    <t>61391720/PEN/2025</t>
  </si>
  <si>
    <t>61391720/UMUM/PEJ-PENG/DPUPR/X/2025</t>
  </si>
  <si>
    <t>61391720/KLAR-NEG/PEJ-PENG/DPUPR/X/2025</t>
  </si>
  <si>
    <t>600/61391720/SPK-Konsultansi/PPK/DPUPR</t>
  </si>
  <si>
    <t>600/61391720/SPMK/PPK/DPUPR</t>
  </si>
  <si>
    <t>Stock Desain Jalan Penghubung/Kabupaten Paket II</t>
  </si>
  <si>
    <r>
      <rPr>
        <sz val="10"/>
        <color indexed="18"/>
        <rFont val="Avenir Next Regular"/>
      </rPr>
      <t>Stock Desain Jalan Penghubung/Kabupaten Paket II</t>
    </r>
  </si>
  <si>
    <t>61391727/BAHPL/2025</t>
  </si>
  <si>
    <t>61391727/PEN/2025</t>
  </si>
  <si>
    <t>61391727/UMUM/PEJ-PENG/DPUPR/X/2025</t>
  </si>
  <si>
    <t>61391727/KLAR-NEG/PEJ-PENG/DPUPR/X/2025</t>
  </si>
  <si>
    <t>600/61391727/SPK-Konsultansi/PPK/DPUPR</t>
  </si>
  <si>
    <t>600/61391727/SPMK/PPK/DPUPR</t>
  </si>
  <si>
    <t>Stock Desain Jalan Penghubung/Kabupaten Paket III</t>
  </si>
  <si>
    <r>
      <rPr>
        <sz val="10"/>
        <color indexed="18"/>
        <rFont val="Avenir Next Regular"/>
      </rPr>
      <t>Stock Desain Jalan Penghubung/Kabupaten Paket III</t>
    </r>
  </si>
  <si>
    <t>61391738/BAHPL/2025</t>
  </si>
  <si>
    <t>61391738/PEN/2025</t>
  </si>
  <si>
    <t>61391738/UMUM/PEJ-PENG/DPUPR/X/2025</t>
  </si>
  <si>
    <t>61391738/KLAR-NEG/PEJ-PENG/DPUPR/X/2025</t>
  </si>
  <si>
    <t>600/61391738/SPK-Konsultansi/PPK/DPUPR</t>
  </si>
  <si>
    <t>600/61391738/SPMK/PPK/DPUPR</t>
  </si>
  <si>
    <t>Stock Desain Jalan Penghubung/Kabupaten Paket IV</t>
  </si>
  <si>
    <r>
      <rPr>
        <sz val="10"/>
        <color indexed="18"/>
        <rFont val="Avenir Next Regular"/>
      </rPr>
      <t>Stock Desain Jalan Penghubung/Kabupaten Paket IV</t>
    </r>
  </si>
  <si>
    <t>61391744/BAHPL/2025</t>
  </si>
  <si>
    <t>61391744/PEN/2025</t>
  </si>
  <si>
    <t>61391744/UMUM/PEJ-PENG/DPUPR/X/2025</t>
  </si>
  <si>
    <t>61391744/KLAR-NEG/PEJ-PENG/DPUPR/X/2025</t>
  </si>
  <si>
    <t>600/61391744/SPK-Konsultansi/PPK/DPUPR</t>
  </si>
  <si>
    <t>600/61391744/SPMK/PPK/DPUPR</t>
  </si>
  <si>
    <t>Stock Desain Jalan Penghubung/Kabupaten Paket V</t>
  </si>
  <si>
    <r>
      <rPr>
        <sz val="10"/>
        <color indexed="18"/>
        <rFont val="Avenir Next Regular"/>
      </rPr>
      <t>Stock Desain Jalan Penghubung/Kabupaten Paket V</t>
    </r>
  </si>
  <si>
    <t>61391751/BAHPL/2025</t>
  </si>
  <si>
    <t>61391751/PEN/2025</t>
  </si>
  <si>
    <t>61391751/UMUM/PEJ-PENG/DPUPR/X/2025</t>
  </si>
  <si>
    <t>61391751/KLAR-NEG/PEJ-PENG/DPUPR/X/2025</t>
  </si>
  <si>
    <t>600/61391751/SPK-Konsultansi/PPK/DPUPR</t>
  </si>
  <si>
    <t>600/61391751/SPMK/PPK/DPUPR</t>
  </si>
  <si>
    <t>Stock Desain Jalan Penghubung/Kabupaten Paket VI</t>
  </si>
  <si>
    <r>
      <rPr>
        <sz val="10"/>
        <color indexed="18"/>
        <rFont val="Avenir Next Regular"/>
      </rPr>
      <t>Stock Desain Jalan Penghubung/Kabupaten Paket VI</t>
    </r>
  </si>
  <si>
    <t>61391767/BAHPL/2025</t>
  </si>
  <si>
    <t>61391767/PEN/2025</t>
  </si>
  <si>
    <t>61391767/UMUM/PEJ-PENG/DPUPR/X/2025</t>
  </si>
  <si>
    <t>61391767/KLAR-NEG/PEJ-PENG/DPUPR/X/2025</t>
  </si>
  <si>
    <t>600/61391767/SPK-Konsultansi/PPK/DPUPR</t>
  </si>
  <si>
    <t>600/61391767/SPMK/PPK/DPUPR</t>
  </si>
  <si>
    <t>Stock Desain Jalan Penghubung/Kabupaten Paket VII</t>
  </si>
  <si>
    <r>
      <rPr>
        <sz val="10"/>
        <color indexed="18"/>
        <rFont val="Avenir Next Regular"/>
      </rPr>
      <t>Stock Desain Jalan Penghubung/Kabupaten Paket VII</t>
    </r>
  </si>
  <si>
    <t>61391774/BAHPL/2025</t>
  </si>
  <si>
    <t>61391774/PEN/2025</t>
  </si>
  <si>
    <t>61391774/UMUM/PEJ-PENG/DPUPR/X/2025</t>
  </si>
  <si>
    <t>61391774/KLAR-NEG/PEJ-PENG/DPUPR/X/2025</t>
  </si>
  <si>
    <t>600/61391774/SPK-Konsultansi/PPK/DPUPR</t>
  </si>
  <si>
    <t>600/61391774/SPMK/PPK/DPUPR</t>
  </si>
  <si>
    <t>Stock Desain Jalan Penghubung/Kabupaten Paket IX</t>
  </si>
  <si>
    <r>
      <rPr>
        <sz val="10"/>
        <color indexed="18"/>
        <rFont val="Avenir Next Regular"/>
      </rPr>
      <t>Stock Desain Jalan Penghubung/Kabupaten Paket IX</t>
    </r>
  </si>
  <si>
    <t>61391780/BAHPL/2025</t>
  </si>
  <si>
    <t>61391780/PEN/2025</t>
  </si>
  <si>
    <t>61391780/UMUM/PEJ-PENG/DPUPR/X/2025</t>
  </si>
  <si>
    <t>61391780/KLAR-NEG/PEJ-PENG/DPUPR/X/2025</t>
  </si>
  <si>
    <t>600/61391780/SPK-Konsultansi/PPK/DPUPR</t>
  </si>
  <si>
    <t>600/61391780/SPMK/PPK/DPUPR</t>
  </si>
  <si>
    <t>Stock Desain Jalan Penghubung/Kabupaten Paket X</t>
  </si>
  <si>
    <r>
      <rPr>
        <sz val="10"/>
        <color indexed="18"/>
        <rFont val="Avenir Next Regular"/>
      </rPr>
      <t>Stock Desain Jalan Penghubung/Kabupaten Paket X</t>
    </r>
  </si>
  <si>
    <t>61391785/BAHPL/2025</t>
  </si>
  <si>
    <t>61391785/PEN/2025</t>
  </si>
  <si>
    <t>61391785/UMUM/PEJ-PENG/DPUPR/X/2025</t>
  </si>
  <si>
    <t>61391785/KLAR-NEG/PEJ-PENG/DPUPR/X/2025</t>
  </si>
  <si>
    <t>600/61391785/SPK-Konsultansi/PPK/DPUPR</t>
  </si>
  <si>
    <t>600/61391785/SPMK/PPK/DPUPR</t>
  </si>
  <si>
    <t>Stock Desain Jalan Penghubung/Kabupaten Paket VIII</t>
  </si>
  <si>
    <r>
      <rPr>
        <sz val="10"/>
        <color indexed="18"/>
        <rFont val="Avenir Next Regular"/>
      </rPr>
      <t>Stock Desain Jalan Penghubung/Kabupaten Paket VIII</t>
    </r>
  </si>
  <si>
    <t>61391794/BAHPL/2025</t>
  </si>
  <si>
    <t>61391794/PEN/2025</t>
  </si>
  <si>
    <t>61391794/UMUM/PEJ-PENG/DPUPR/X/2025</t>
  </si>
  <si>
    <t>61391794/KLAR-NEG/PEJ-PENG/DPUPR/X/2025</t>
  </si>
  <si>
    <t>600/61391794/SPK-Konsultansi/PPK/DPUPR</t>
  </si>
  <si>
    <t>600/61391794/SPMK/PPK/DPUPR</t>
  </si>
  <si>
    <t>Pembangunan Jembatan Randomayang - Wulai V (DBH)</t>
  </si>
  <si>
    <r>
      <rPr>
        <sz val="10"/>
        <color indexed="18"/>
        <rFont val="Avenir Next Regular"/>
      </rPr>
      <t>Pembangunan Jembatan Randomayang - Wulai V (DBH)</t>
    </r>
  </si>
  <si>
    <t>11038191000/1/2025/10</t>
  </si>
  <si>
    <t>P1.15.09/BA-HP/P.Konstruksi/BPBJ</t>
  </si>
  <si>
    <t>10078797000/PEN/2025</t>
  </si>
  <si>
    <t>10078797000/UMUM/PEJ-PENG/DPUPR//2025</t>
  </si>
  <si>
    <t>10078797000/KLAR-NEG/PEJ-PENG/DPUPR//2025</t>
  </si>
  <si>
    <t>600/10078797000/Kont-Konstruksi/PPK/DPUPR</t>
  </si>
  <si>
    <t>600/10078797000/SPMK/PPK/DPUPR</t>
  </si>
  <si>
    <t>10078797000-ADD1</t>
  </si>
  <si>
    <r>
      <rPr>
        <sz val="10"/>
        <color indexed="18"/>
        <rFont val="Avenir Next Regular"/>
      </rPr>
      <t>10078797000-ADD1</t>
    </r>
    <r>
      <rPr>
        <sz val="10"/>
        <color indexed="8"/>
        <rFont val="Helvetica"/>
      </rPr>
      <t>/PEN/2025</t>
    </r>
  </si>
  <si>
    <r>
      <rPr>
        <sz val="10"/>
        <color indexed="18"/>
        <rFont val="Avenir Next Regular"/>
      </rPr>
      <t>10078797000-ADD1</t>
    </r>
    <r>
      <rPr>
        <sz val="10"/>
        <color indexed="8"/>
        <rFont val="Helvetica"/>
      </rPr>
      <t>/UMUM/PEJ-PENG/DPUPR//2025</t>
    </r>
  </si>
  <si>
    <r>
      <rPr>
        <sz val="10"/>
        <color indexed="18"/>
        <rFont val="Avenir Next Regular"/>
      </rPr>
      <t>10078797000-ADD1</t>
    </r>
    <r>
      <rPr>
        <sz val="10"/>
        <color indexed="8"/>
        <rFont val="Helvetica"/>
      </rPr>
      <t>/KLAR-NEG/PEJ-PENG/DPUPR//2025</t>
    </r>
  </si>
  <si>
    <r>
      <rPr>
        <sz val="10"/>
        <color indexed="8"/>
        <rFont val="Helvetica"/>
      </rPr>
      <t>600/</t>
    </r>
    <r>
      <rPr>
        <sz val="10"/>
        <color indexed="18"/>
        <rFont val="Avenir Next Regular"/>
      </rPr>
      <t>10078797000-ADD1</t>
    </r>
    <r>
      <rPr>
        <sz val="10"/>
        <color indexed="8"/>
        <rFont val="Helvetica"/>
      </rPr>
      <t>/Kont-Konstruksi/PPK/DPUPR</t>
    </r>
  </si>
  <si>
    <r>
      <rPr>
        <sz val="10"/>
        <color indexed="8"/>
        <rFont val="Helvetica"/>
      </rPr>
      <t>600/</t>
    </r>
    <r>
      <rPr>
        <sz val="10"/>
        <color indexed="18"/>
        <rFont val="Avenir Next Regular"/>
      </rPr>
      <t>10078797000-ADD1</t>
    </r>
    <r>
      <rPr>
        <sz val="10"/>
        <color indexed="8"/>
        <rFont val="Helvetica"/>
      </rPr>
      <t>/SPMK/PPK/DPUPR</t>
    </r>
  </si>
  <si>
    <t>Pengawasan Pembangunan Jembatan Randomayang - Wulai V (Jalan Trans Sulawesi - Wulai - Bantalaka ) (DBH)</t>
  </si>
  <si>
    <r>
      <rPr>
        <sz val="10"/>
        <color indexed="18"/>
        <rFont val="Avenir Next Regular"/>
      </rPr>
      <t>Pengawasan Pembangunan Jembatan Randomayang - Wulai V (Jalan Trans Sulawesi - Wulai - Bantalaka ) (DBH)</t>
    </r>
  </si>
  <si>
    <t>35/CV.ARL/PASANGKAYU/2025</t>
  </si>
  <si>
    <t>61393426/BAHPL/2025</t>
  </si>
  <si>
    <t>61393426/PEN/2025</t>
  </si>
  <si>
    <t>61393426/UMUM/PEJ-PENG/DPUPR/X/2025</t>
  </si>
  <si>
    <t>61393426/KLAR-NEG/PEJ-PENG/DPUPR/X/2025</t>
  </si>
  <si>
    <t>600/61393426/SPK-Konsultansi/PPK/DPUPR</t>
  </si>
  <si>
    <t>600/61393426/SPMK/PPK/DPUPR</t>
  </si>
  <si>
    <t>Normalisasi Saluran Air Desa Patika - Bulu Mario</t>
  </si>
  <si>
    <r>
      <rPr>
        <sz val="10"/>
        <color indexed="18"/>
        <rFont val="Avenir Next Regular"/>
      </rPr>
      <t>Normalisasi Saluran Air Desa Patika - Bulu Mario</t>
    </r>
  </si>
  <si>
    <t xml:space="preserve">1.03.02.2.01.0093 </t>
  </si>
  <si>
    <t>61393358/BAHPL/2025</t>
  </si>
  <si>
    <t>61393358/PEN/2025</t>
  </si>
  <si>
    <t>61393358/UMUM/PEJ-PENG/DPUPR/XI/2025</t>
  </si>
  <si>
    <t>61393358/KLAR-NEG/PEJ-PENG/DPUPR/XI/2025</t>
  </si>
  <si>
    <t>600/61393358/SPK-Konstruksi/PPK/DPUPR</t>
  </si>
  <si>
    <t>600/61393358/SPMK/PPK/DPUPR</t>
  </si>
  <si>
    <t>Normalisasi Saluran Air Desa Patika - Saptanajaya</t>
  </si>
  <si>
    <r>
      <rPr>
        <sz val="10"/>
        <color indexed="18"/>
        <rFont val="Avenir Next Regular"/>
      </rPr>
      <t>Normalisasi Saluran Air Desa Patika - Saptanajaya</t>
    </r>
  </si>
  <si>
    <t>263 CV. APPE BANUA KAIYYANG</t>
  </si>
  <si>
    <t>M. AHYAR</t>
  </si>
  <si>
    <t>1000 0000 0310 0654</t>
  </si>
  <si>
    <t>BTN Griya Permata Korongana 2 Blok E Nomor 27, Desa/Kelurahan
Simboro, Kec. Simboro dan Kepulauan, Kab. Mamuju</t>
  </si>
  <si>
    <t>ANDI HAERIL SUMANGE, SH.M.Kn</t>
  </si>
  <si>
    <t>075-003-000001638-1 Bank Sulselbar</t>
  </si>
  <si>
    <t>CV. APPE BANUA KAIYYANG</t>
  </si>
  <si>
    <t>61393367/BAHPL/2025</t>
  </si>
  <si>
    <t>61393367/PEN/2025</t>
  </si>
  <si>
    <t>61393367/UMUM/PEJ-PENG/DPUPR/XI/2025</t>
  </si>
  <si>
    <t>61393367/KLAR-NEG/PEJ-PENG/DPUPR/XI/2025</t>
  </si>
  <si>
    <t>600/61393367/SPK-Konstruksi/PPK/DPUPR</t>
  </si>
  <si>
    <t>600/61393367/SPMK/PPK/DPUPR</t>
  </si>
  <si>
    <t>Perenc. Normalisasi Saluran Air Desa Patika - Bulu Mario cs.</t>
  </si>
  <si>
    <r>
      <rPr>
        <sz val="10"/>
        <color indexed="18"/>
        <rFont val="Avenir Next Regular"/>
      </rPr>
      <t>Perenc. Normalisasi Saluran Air Desa Patika - Bulu Mario cs.</t>
    </r>
  </si>
  <si>
    <t>1 CV. Toha Pratama</t>
  </si>
  <si>
    <t>Andi Nur Faisal, ST.</t>
  </si>
  <si>
    <t>54.138.078.8-831.000</t>
  </si>
  <si>
    <t>Jl. Basuki Rahmat Lr. Saleko 1 No. 110 C Palu</t>
  </si>
  <si>
    <t>Farid, SH</t>
  </si>
  <si>
    <t>075.003.000001423-1 Bank Sulselbar</t>
  </si>
  <si>
    <t>CV. Toha Pratama</t>
  </si>
  <si>
    <t>61393266/BAHPL/2025</t>
  </si>
  <si>
    <t>61393266/PEN/2025</t>
  </si>
  <si>
    <t>61393266/UMUM/PEJ-PENG/DPUPR/X/2025</t>
  </si>
  <si>
    <t>61393266/KLAR-NEG/PEJ-PENG/DPUPR/X/2025</t>
  </si>
  <si>
    <t>600/61393266/SPK-Konsultansi/PPK/DPUPR</t>
  </si>
  <si>
    <t>600/61393266/SPMK/PPK/DPUPR</t>
  </si>
  <si>
    <t>Pengawasan Normalisasi Saluran Air Desa  Patika - Bulu Mario cs.</t>
  </si>
  <si>
    <r>
      <rPr>
        <sz val="10"/>
        <color indexed="18"/>
        <rFont val="Avenir Next Regular"/>
      </rPr>
      <t>Pengawasan Normalisasi Saluran Air Desa  Patika - Bulu Mario cs.</t>
    </r>
  </si>
  <si>
    <t>61393278/BAHPL/2025</t>
  </si>
  <si>
    <t>61393278/PEN/2025</t>
  </si>
  <si>
    <t>61393278/UMUM/PEJ-PENG/DPUPR/XI/2025</t>
  </si>
  <si>
    <t>61393278/KLAR-NEG/PEJ-PENG/DPUPR/XI/2025</t>
  </si>
  <si>
    <t>600/61393278/SPK-Konsultansi/PPK/DPUPR</t>
  </si>
  <si>
    <t>600/61393278/SPMK/PPK/DPUPR</t>
  </si>
  <si>
    <t>Pemb. Jalan Baras</t>
  </si>
  <si>
    <r>
      <rPr>
        <sz val="10"/>
        <color indexed="18"/>
        <rFont val="Avenir Next Regular"/>
      </rPr>
      <t>Pemb. Jalan Baras</t>
    </r>
  </si>
  <si>
    <t>61391885/BAHPL/2025</t>
  </si>
  <si>
    <t>61391885/PEN/2025</t>
  </si>
  <si>
    <t>61391885/UMUM/PEJ-PENG/DPUPR/X/2025</t>
  </si>
  <si>
    <t>61391885/KLAR-NEG/PEJ-PENG/DPUPR/X/2025</t>
  </si>
  <si>
    <t>600/61391885/SPK-Konstruksi/PPK/DPUPR</t>
  </si>
  <si>
    <t>600/61391885/SPMK/PPK/DPUPR</t>
  </si>
  <si>
    <t>Pemb. Jalan Towoni</t>
  </si>
  <si>
    <r>
      <rPr>
        <sz val="10"/>
        <color indexed="18"/>
        <rFont val="Avenir Next Regular"/>
      </rPr>
      <t>Pemb. Jalan Towoni</t>
    </r>
  </si>
  <si>
    <t>61391890/BAHPL/2025</t>
  </si>
  <si>
    <t>61391890/PEN/2025</t>
  </si>
  <si>
    <t>61391890/UMUM/PEJ-PENG/DPUPR/X/2025</t>
  </si>
  <si>
    <t>61391890/KLAR-NEG/PEJ-PENG/DPUPR/X/2025</t>
  </si>
  <si>
    <t>600/61391890/SPK-Konstruksi/PPK/DPUPR</t>
  </si>
  <si>
    <t>600/61391890/SPMK/PPK/DPUPR</t>
  </si>
  <si>
    <t>Pemb. Jalan Ds Bulubunggu</t>
  </si>
  <si>
    <r>
      <rPr>
        <sz val="10"/>
        <color indexed="18"/>
        <rFont val="Avenir Next Regular"/>
      </rPr>
      <t>Pemb. Jalan Ds Bulubunggu</t>
    </r>
  </si>
  <si>
    <t>61391912/BAHPL/2025</t>
  </si>
  <si>
    <t>61391912/PEN/2025</t>
  </si>
  <si>
    <t>61391912/UMUM/PEJ-PENG/DPUPR/XI/2025</t>
  </si>
  <si>
    <t>61391912/KLAR-NEG/PEJ-PENG/DPUPR/XI/2025</t>
  </si>
  <si>
    <t>600/61391912/SPK-Konstruksi/PPK/DPUPR</t>
  </si>
  <si>
    <t>600/61391912/SPMK/PPK/DPUPR</t>
  </si>
  <si>
    <t>Pemb. Jalan Desa Motu</t>
  </si>
  <si>
    <r>
      <rPr>
        <sz val="10"/>
        <color indexed="18"/>
        <rFont val="Avenir Next Regular"/>
      </rPr>
      <t>Pemb. Jalan Desa Motu</t>
    </r>
  </si>
  <si>
    <t>61391920/BAHPL/2025</t>
  </si>
  <si>
    <t>61391920/PEN/2025</t>
  </si>
  <si>
    <t>61391920/UMUM/PEJ-PENG/DPUPR/X/2025</t>
  </si>
  <si>
    <t>61391920/KLAR-NEG/PEJ-PENG/DPUPR/X/2025</t>
  </si>
  <si>
    <t>600/61391920/SPK-Konstruksi/PPK/DPUPR</t>
  </si>
  <si>
    <t>600/61391920/SPMK/PPK/DPUPR</t>
  </si>
  <si>
    <t>Pemb. Jalan Desa Benggaulu - Masabo</t>
  </si>
  <si>
    <r>
      <rPr>
        <sz val="10"/>
        <color indexed="18"/>
        <rFont val="Avenir Next Regular"/>
      </rPr>
      <t>Pemb. Jalan Desa Benggaulu - Masabo</t>
    </r>
  </si>
  <si>
    <t>61391927/BAHPL/2025</t>
  </si>
  <si>
    <t>61391927/PEN/2025</t>
  </si>
  <si>
    <t>61391927/UMUM/PEJ-PENG/DPUPR/XI/2025</t>
  </si>
  <si>
    <t>61391927/KLAR-NEG/PEJ-PENG/DPUPR/XI/2025</t>
  </si>
  <si>
    <t>600/61391927/SPK-Konstruksi/PPK/DPUPR</t>
  </si>
  <si>
    <t>600/61391927/SPMK/PPK/DPUPR</t>
  </si>
  <si>
    <t>Pemb. Jalan Desa Sarudu</t>
  </si>
  <si>
    <r>
      <rPr>
        <sz val="10"/>
        <color indexed="18"/>
        <rFont val="Avenir Next Regular"/>
      </rPr>
      <t>Pemb. Jalan Desa Sarudu</t>
    </r>
  </si>
  <si>
    <t>61392183/BAHPL/2025</t>
  </si>
  <si>
    <t>61392183/PEN/2025</t>
  </si>
  <si>
    <t>61392183/UMUM/PEJ-PENG/DPUPR/XI/2025</t>
  </si>
  <si>
    <t>61392183/KLAR-NEG/PEJ-PENG/DPUPR/XI/2025</t>
  </si>
  <si>
    <t>600/61392183/SPK-Konstruksi/PPK/DPUPR</t>
  </si>
  <si>
    <t>600/61392183/SPMK/PPK/DPUPR</t>
  </si>
  <si>
    <t>Pemb. Jalan Desa Sipakainga</t>
  </si>
  <si>
    <r>
      <rPr>
        <sz val="10"/>
        <color indexed="18"/>
        <rFont val="Avenir Next Regular"/>
      </rPr>
      <t>Pemb. Jalan Desa Sipakainga</t>
    </r>
  </si>
  <si>
    <t>61391953/BAHPL/2025</t>
  </si>
  <si>
    <t>61391953/PEN/2025</t>
  </si>
  <si>
    <t>61391953/UMUM/PEJ-PENG/DPUPR/XI/2025</t>
  </si>
  <si>
    <t>61391953/KLAR-NEG/PEJ-PENG/DPUPR/XI/2025</t>
  </si>
  <si>
    <t>600/61391953/SPK-Konstruksi/PPK/DPUPR</t>
  </si>
  <si>
    <t>600/61391953/SPMK/PPK/DPUPR</t>
  </si>
  <si>
    <t>Pemb. Jalan Masabo - Kanantuo</t>
  </si>
  <si>
    <r>
      <rPr>
        <sz val="10"/>
        <color indexed="18"/>
        <rFont val="Avenir Next Regular"/>
      </rPr>
      <t>Pemb. Jalan Masabo - Kanantuo</t>
    </r>
  </si>
  <si>
    <t>61391963/BAHPL/2025</t>
  </si>
  <si>
    <t>61391963/PEN/2025</t>
  </si>
  <si>
    <t>61391963/UMUM/PEJ-PENG/DPUPR/XI/2025</t>
  </si>
  <si>
    <t>61391963/KLAR-NEG/PEJ-PENG/DPUPR/XI/2025</t>
  </si>
  <si>
    <t>600/61391963/SPK-Konstruksi/PPK/DPUPR</t>
  </si>
  <si>
    <t>600/61391963/SPMK/PPK/DPUPR</t>
  </si>
  <si>
    <t>Pemb. Jalan Kalola Duria Sulapa - Purnama Baru</t>
  </si>
  <si>
    <r>
      <rPr>
        <sz val="10"/>
        <color indexed="18"/>
        <rFont val="Avenir Next Regular"/>
      </rPr>
      <t>Pemb. Jalan Kalola Duria Sulapa - Purnama Baru</t>
    </r>
  </si>
  <si>
    <t>61391979/BAHPL/2025</t>
  </si>
  <si>
    <t>61391979/PEN/2025</t>
  </si>
  <si>
    <t>61391979/UMUM/PEJ-PENG/DPUPR/XI/2025</t>
  </si>
  <si>
    <t>61391979/KLAR-NEG/PEJ-PENG/DPUPR/XI/2025</t>
  </si>
  <si>
    <t>600/61391979/SPK-Konstruksi/PPK/DPUPR</t>
  </si>
  <si>
    <t>600/61391979/SPMK/PPK/DPUPR</t>
  </si>
  <si>
    <t>Pemb. Jalan Desa Doda - Talampe</t>
  </si>
  <si>
    <r>
      <rPr>
        <sz val="10"/>
        <color indexed="18"/>
        <rFont val="Avenir Next Regular"/>
      </rPr>
      <t>Pemb. Jalan Desa Doda - Talampe</t>
    </r>
  </si>
  <si>
    <t>61391987/BAHPL/2025</t>
  </si>
  <si>
    <t>61391987/PEN/2025</t>
  </si>
  <si>
    <t>61391987/UMUM/PEJ-PENG/DPUPR/XI/2025</t>
  </si>
  <si>
    <t>61391987/KLAR-NEG/PEJ-PENG/DPUPR/XI/2025</t>
  </si>
  <si>
    <t>600/61391987/SPK-Konstruksi/PPK/DPUPR</t>
  </si>
  <si>
    <t>600/61391987/SPMK/PPK/DPUPR</t>
  </si>
  <si>
    <t>Pemb. Jalan Maranggapa Desa Sarudu</t>
  </si>
  <si>
    <r>
      <rPr>
        <sz val="10"/>
        <color indexed="18"/>
        <rFont val="Avenir Next Regular"/>
      </rPr>
      <t>Pemb. Jalan Maranggapa Desa Sarudu</t>
    </r>
  </si>
  <si>
    <t>61391994/BAHPL/2025</t>
  </si>
  <si>
    <t>61391994/PEN/2025</t>
  </si>
  <si>
    <t>61391994/UMUM/PEJ-PENG/DPUPR/XI/2025</t>
  </si>
  <si>
    <t>61391994/KLAR-NEG/PEJ-PENG/DPUPR/XI/2025</t>
  </si>
  <si>
    <t>600/61391994/SPK-Konstruksi/PPK/DPUPR</t>
  </si>
  <si>
    <t>600/61391994/SPMK/PPK/DPUPR</t>
  </si>
  <si>
    <t>Pemb. Jalan Desa Ompi</t>
  </si>
  <si>
    <r>
      <rPr>
        <sz val="10"/>
        <color indexed="18"/>
        <rFont val="Avenir Next Regular"/>
      </rPr>
      <t>Pemb. Jalan Desa Ompi</t>
    </r>
  </si>
  <si>
    <t>61392001/BAHPL/2025</t>
  </si>
  <si>
    <t>61392001/PEN/2025</t>
  </si>
  <si>
    <t>61392001/UMUM/PEJ-PENG/DPUPR/X/2025</t>
  </si>
  <si>
    <t>61392001/KLAR-NEG/PEJ-PENG/DPUPR/X/2025</t>
  </si>
  <si>
    <t>600/61392001/SPK-Konstruksi/PPK/DPUPR</t>
  </si>
  <si>
    <t>600/61392001/SPMK/PPK/DPUPR</t>
  </si>
  <si>
    <t>Pemb. Jalan Desa Bukit Harapan - Ompi</t>
  </si>
  <si>
    <r>
      <rPr>
        <sz val="10"/>
        <color indexed="18"/>
        <rFont val="Avenir Next Regular"/>
      </rPr>
      <t>Pemb. Jalan Desa Bukit Harapan - Ompi</t>
    </r>
  </si>
  <si>
    <t>61392008/BAHPL/2025</t>
  </si>
  <si>
    <t>61392008/PEN/2025</t>
  </si>
  <si>
    <t>61392008/UMUM/PEJ-PENG/DPUPR/X/2025</t>
  </si>
  <si>
    <t>61392008/KLAR-NEG/PEJ-PENG/DPUPR/X/2025</t>
  </si>
  <si>
    <t>600/61392008/SPK-Konstruksi/PPK/DPUPR</t>
  </si>
  <si>
    <t>600/61392008/SPMK/PPK/DPUPR</t>
  </si>
  <si>
    <t>Pemb. Jalan Desa Kalukunangka</t>
  </si>
  <si>
    <r>
      <rPr>
        <sz val="10"/>
        <color indexed="18"/>
        <rFont val="Avenir Next Regular"/>
      </rPr>
      <t>Pemb. Jalan Desa Kalukunangka</t>
    </r>
  </si>
  <si>
    <t>264 CV. RISQA</t>
  </si>
  <si>
    <t>ILHAM CHAIDIR DJALIL</t>
  </si>
  <si>
    <t>Direktur Cabang</t>
  </si>
  <si>
    <t>43.496.373.2-814.000</t>
  </si>
  <si>
    <t>JL. MARTADINATA , RT 000, RW 000, SIMBORO, SIMBORO, KAB. MAMUJU</t>
  </si>
  <si>
    <t>ANDI HAERIL SUMANGE, SH.MKn</t>
  </si>
  <si>
    <t>0710030000187838 Bank Sulselbar</t>
  </si>
  <si>
    <t>CV. RISQA</t>
  </si>
  <si>
    <t>61392022/BAHPL/2025</t>
  </si>
  <si>
    <t>61392022/PEN/2025</t>
  </si>
  <si>
    <t>61392022/UMUM/PEJ-PENG/DPUPR/XI/2025</t>
  </si>
  <si>
    <t>61392022/KLAR-NEG/PEJ-PENG/DPUPR/XI/2025</t>
  </si>
  <si>
    <t>600/61392022/SPK-Konstruksi/PPK/DPUPR</t>
  </si>
  <si>
    <t>600/61392022/SPMK/PPK/DPUPR</t>
  </si>
  <si>
    <t>Pemb. Jalan Desa Kalola</t>
  </si>
  <si>
    <r>
      <rPr>
        <sz val="10"/>
        <color indexed="18"/>
        <rFont val="Avenir Next Regular"/>
      </rPr>
      <t>Pemb. Jalan Desa Kalola</t>
    </r>
  </si>
  <si>
    <t>61392105/BAHPL/2025</t>
  </si>
  <si>
    <t>61392105/PEN/2025</t>
  </si>
  <si>
    <t>61392105/UMUM/PEJ-PENG/DPUPR/XI/2025</t>
  </si>
  <si>
    <t>61392105/KLAR-NEG/PEJ-PENG/DPUPR/XI/2025</t>
  </si>
  <si>
    <t>600/61392105/SPK-Konstruksi/PPK/DPUPR</t>
  </si>
  <si>
    <t>600/61392105/SPMK/PPK/DPUPR</t>
  </si>
  <si>
    <t>Pemb. Jalan Desa Motu Baras</t>
  </si>
  <si>
    <r>
      <rPr>
        <sz val="10"/>
        <color indexed="18"/>
        <rFont val="Avenir Next Regular"/>
      </rPr>
      <t>Pemb. Jalan Desa Motu Baras</t>
    </r>
  </si>
  <si>
    <t>86 CV. MADURI ZAMSANI</t>
  </si>
  <si>
    <t>ABD. GAFFAR</t>
  </si>
  <si>
    <t>02.906.103.3-814.000</t>
  </si>
  <si>
    <t>Kel. Bambaloka Kab. Mamuju Utara</t>
  </si>
  <si>
    <t>20/2019</t>
  </si>
  <si>
    <t>075-003.000001188-6 Bank Sulselbar</t>
  </si>
  <si>
    <t>CV. MADURI ZAMSANI</t>
  </si>
  <si>
    <t>61392166/BAHPL/2025</t>
  </si>
  <si>
    <t>61392166/PEN/2025</t>
  </si>
  <si>
    <t>61392166/UMUM/PEJ-PENG/DPUPR/XI/2025</t>
  </si>
  <si>
    <t>61392166/KLAR-NEG/PEJ-PENG/DPUPR/XI/2025</t>
  </si>
  <si>
    <t>600/61392166/SPK-Konstruksi/PPK/DPUPR</t>
  </si>
  <si>
    <t>600/61392166/SPMK/PPK/DPUPR</t>
  </si>
  <si>
    <t>Peningkatan jalan rabat beton jalan kedondong pasangkayu</t>
  </si>
  <si>
    <r>
      <rPr>
        <sz val="10"/>
        <color indexed="18"/>
        <rFont val="Avenir Next Regular"/>
      </rPr>
      <t>Peningkatan jalan rabat beton jalan kedondong pasangkayu</t>
    </r>
  </si>
  <si>
    <t>61392172/BAHPL/2025</t>
  </si>
  <si>
    <t>61392172/PEN/2025</t>
  </si>
  <si>
    <t>61392172/UMUM/PEJ-PENG/DPUPR/XI/2025</t>
  </si>
  <si>
    <t>61392172/KLAR-NEG/PEJ-PENG/DPUPR/XI/2025</t>
  </si>
  <si>
    <t>600/61392172/SPK-Konstruksi/PPK/DPUPR</t>
  </si>
  <si>
    <t>600/61392172/SPMK/PPK/DPUPR</t>
  </si>
  <si>
    <t>Pemb. Jalan Desa Benggaulu - Antai Kanan</t>
  </si>
  <si>
    <r>
      <rPr>
        <sz val="10"/>
        <color indexed="18"/>
        <rFont val="Avenir Next Regular"/>
      </rPr>
      <t>Pemb. Jalan Desa Benggaulu - Antai Kanan</t>
    </r>
  </si>
  <si>
    <t>61392028/BAHPL/2025</t>
  </si>
  <si>
    <t>61392028/PEN/2025</t>
  </si>
  <si>
    <t>61392028/UMUM/PEJ-PENG/DPUPR/XI/2025</t>
  </si>
  <si>
    <t>61392028/KLAR-NEG/PEJ-PENG/DPUPR/XI/2025</t>
  </si>
  <si>
    <t>600/61392028/SPK-Konstruksi/PPK/DPUPR</t>
  </si>
  <si>
    <t>600/61392028/SPMK/PPK/DPUPR</t>
  </si>
  <si>
    <t>Pemb. Jalan Desa Bukit Harapan - Kampung Baru</t>
  </si>
  <si>
    <r>
      <rPr>
        <sz val="10"/>
        <color indexed="18"/>
        <rFont val="Avenir Next Regular"/>
      </rPr>
      <t>Pemb. Jalan Desa Bukit Harapan - Kampung Baru</t>
    </r>
  </si>
  <si>
    <t>61392052/BAHPL/2025</t>
  </si>
  <si>
    <t>61392052/PEN/2025</t>
  </si>
  <si>
    <t>61392052/UMUM/PEJ-PENG/DPUPR/X/2025</t>
  </si>
  <si>
    <t>61392052/KLAR-NEG/PEJ-PENG/DPUPR/X/2025</t>
  </si>
  <si>
    <t>600/61392052/SPK-Konstruksi/PPK/DPUPR</t>
  </si>
  <si>
    <t>600/61392052/SPMK/PPK/DPUPR</t>
  </si>
  <si>
    <t>Pemb. Jalan Desa Sipakainga I</t>
  </si>
  <si>
    <r>
      <rPr>
        <sz val="10"/>
        <color indexed="18"/>
        <rFont val="Avenir Next Regular"/>
      </rPr>
      <t>Pemb. Jalan Desa Sipakainga I</t>
    </r>
  </si>
  <si>
    <t>61392094/BAHPL/2025</t>
  </si>
  <si>
    <t>61392094/PEN/2025</t>
  </si>
  <si>
    <t>61392094/UMUM/PEJ-PENG/DPUPR/XI/2025</t>
  </si>
  <si>
    <t>61392094/KLAR-NEG/PEJ-PENG/DPUPR/XI/2025</t>
  </si>
  <si>
    <t>600/61392094/SPK-Konstruksi/PPK/DPUPR</t>
  </si>
  <si>
    <t>600/61392094/SPMK/PPK/DPUPR</t>
  </si>
  <si>
    <t>Pemb. Jalan Desa Sipakainga - Teranggi</t>
  </si>
  <si>
    <t>61392059/BAHPL/2025</t>
  </si>
  <si>
    <t>61392059/PEN/2025</t>
  </si>
  <si>
    <t>61392059/UMUM/PEJ-PENG/DPUPR/XI/2025</t>
  </si>
  <si>
    <t>61392059/KLAR-NEG/PEJ-PENG/DPUPR/XI/2025</t>
  </si>
  <si>
    <t>600/61392059/SPK-Konstruksi/PPK/DPUPR</t>
  </si>
  <si>
    <t>600/61392059/SPMK/PPK/DPUPR</t>
  </si>
  <si>
    <t>Pemb. Jalan Desa Bukit Harapan - Lembah Harapan</t>
  </si>
  <si>
    <t>61392073/BAHPL/2025</t>
  </si>
  <si>
    <t>61392073/PEN/2025</t>
  </si>
  <si>
    <t>61392073/UMUM/PEJ-PENG/DPUPR/XI/2025</t>
  </si>
  <si>
    <t>61392073/KLAR-NEG/PEJ-PENG/DPUPR/XI/2025</t>
  </si>
  <si>
    <t>600/61392073/SPK-Konstruksi/PPK/DPUPR</t>
  </si>
  <si>
    <t>600/61392073/SPMK/PPK/DPUPR</t>
  </si>
  <si>
    <t>Pengawasan Pemb. Jalan Baras cs.</t>
  </si>
  <si>
    <t>61391802/BAHPL/2025</t>
  </si>
  <si>
    <t>61391802/PEN/2025</t>
  </si>
  <si>
    <t>61391802/UMUM/PEJ-PENG/DPUPR/X/2025</t>
  </si>
  <si>
    <t>61391802/KLAR-NEG/PEJ-PENG/DPUPR/X/2025</t>
  </si>
  <si>
    <t>600/61391802/SPK-Konsultansi/PPK/DPUPR</t>
  </si>
  <si>
    <t>600/61391802/SPMK/PPK/DPUPR</t>
  </si>
  <si>
    <t>Pemb. Jalan Dsn. Teranja I</t>
  </si>
  <si>
    <t>61392190/BAHPL/2025</t>
  </si>
  <si>
    <t>61392190/PEN/2025</t>
  </si>
  <si>
    <t>61392190/UMUM/PEJ-PENG/DPUPR/XI/2025</t>
  </si>
  <si>
    <t>61392190/KLAR-NEG/PEJ-PENG/DPUPR/XI/2025</t>
  </si>
  <si>
    <t>600/61392190/SPK-Konstruksi/PPK/DPUPR</t>
  </si>
  <si>
    <t>600/61392190/SPMK/PPK/DPUPR</t>
  </si>
  <si>
    <t>Pemb. Jalan Kelurahan Pasangkayu</t>
  </si>
  <si>
    <t>61392199/BAHPL/2025</t>
  </si>
  <si>
    <t>61392199/PEN/2025</t>
  </si>
  <si>
    <t>61392199/UMUM/PEJ-PENG/DPUPR/XI/2025</t>
  </si>
  <si>
    <t>61392199/KLAR-NEG/PEJ-PENG/DPUPR/XI/2025</t>
  </si>
  <si>
    <t>600/61392199/SPK-Konstruksi/PPK/DPUPR</t>
  </si>
  <si>
    <t>600/61392199/SPMK/PPK/DPUPR</t>
  </si>
  <si>
    <t>Pemb. Jalan Rabat Beton Pasangkayu IV</t>
  </si>
  <si>
    <t>61392207/BAHPL/2025</t>
  </si>
  <si>
    <t>61392207/PEN/2025</t>
  </si>
  <si>
    <t>61392207/UMUM/PEJ-PENG/DPUPR/XI/2025</t>
  </si>
  <si>
    <t>61392207/KLAR-NEG/PEJ-PENG/DPUPR/XI/2025</t>
  </si>
  <si>
    <t>600/61392207/SPK-Konstruksi/PPK/DPUPR</t>
  </si>
  <si>
    <t>600/61392207/SPMK/PPK/DPUPR</t>
  </si>
  <si>
    <t>Perencanaan Saluran tersier D.I Sarude</t>
  </si>
  <si>
    <t>Rehabilitasi Jaringan Irigasi Permukaan</t>
  </si>
  <si>
    <t>1.03.02.2.02.0014</t>
  </si>
  <si>
    <t>61392586/BAHPL/2025</t>
  </si>
  <si>
    <t>61392586/PEN/2025</t>
  </si>
  <si>
    <t>61392586/UMUM/PEJ-PENG/DPUPR/X/2025</t>
  </si>
  <si>
    <t>61392586/KLAR-NEG/PEJ-PENG/DPUPR/X/2025</t>
  </si>
  <si>
    <t>600/61392586/SPK-Konsultansi/PPK/DPUPR</t>
  </si>
  <si>
    <t>600/61392586/SPMK/PPK/DPUPR</t>
  </si>
  <si>
    <t>Perencanaan Saluran tersier D.I Bambaira</t>
  </si>
  <si>
    <t>61392595/BAHPL/2025</t>
  </si>
  <si>
    <t>61392595/PEN/2025</t>
  </si>
  <si>
    <t>61392595/UMUM/PEJ-PENG/DPUPR/X/2025</t>
  </si>
  <si>
    <t>61392595/KLAR-NEG/PEJ-PENG/DPUPR/X/2025</t>
  </si>
  <si>
    <t>600/61392595/SPK-Konsultansi/PPK/DPUPR</t>
  </si>
  <si>
    <t>600/61392595/SPMK/PPK/DPUPR</t>
  </si>
  <si>
    <t>Perencanaan Saluran tersier D.I Pangiang</t>
  </si>
  <si>
    <t>61392616/BAHPL/2025</t>
  </si>
  <si>
    <t>61392616/PEN/2025</t>
  </si>
  <si>
    <t>61392616/UMUM/PEJ-PENG/DPUPR/X/2025</t>
  </si>
  <si>
    <t>61392616/KLAR-NEG/PEJ-PENG/DPUPR/X/2025</t>
  </si>
  <si>
    <t>600/61392616/SPK-Konsultansi/PPK/DPUPR</t>
  </si>
  <si>
    <t>600/61392616/SPMK/PPK/DPUPR</t>
  </si>
  <si>
    <t>Perencanaan Saluran tersier D.I Gunungsari &amp; Bambalu</t>
  </si>
  <si>
    <t>61392630/BAHPL/2025</t>
  </si>
  <si>
    <t>61392630/PEN/2025</t>
  </si>
  <si>
    <t>61392630/UMUM/PEJ-PENG/DPUPR/X/2025</t>
  </si>
  <si>
    <t>61392630/KLAR-NEG/PEJ-PENG/DPUPR/X/2025</t>
  </si>
  <si>
    <t>600/61392630/SPK-Konsultansi/PPK/DPUPR</t>
  </si>
  <si>
    <t>600/61392630/SPMK/PPK/DPUPR</t>
  </si>
  <si>
    <t>Perencanaan Saluran tersier D.I Patika, Pedongga dan Rontojali</t>
  </si>
  <si>
    <t>61392650/BAHPL/2025</t>
  </si>
  <si>
    <t>61392650/PEN/2025</t>
  </si>
  <si>
    <t>61392650/UMUM/PEJ-PENG/DPUPR/X/2025</t>
  </si>
  <si>
    <t>61392650/KLAR-NEG/PEJ-PENG/DPUPR/X/2025</t>
  </si>
  <si>
    <t>600/61392650/SPK-Konsultansi/PPK/DPUPR</t>
  </si>
  <si>
    <t>600/61392650/SPMK/PPK/DPUPR</t>
  </si>
  <si>
    <t>Penyusunan Dokumen Perencanaan penanganan Pantai kab. Pasangkayu</t>
  </si>
  <si>
    <t>Pembangunan Jembatan Lelejae (lanjutan)</t>
  </si>
  <si>
    <t>61393276/BAHPL/2025</t>
  </si>
  <si>
    <t>61393276/PEN/2025</t>
  </si>
  <si>
    <t>61393276/UMUM/PEJ-PENG/DPUPR/X/2025</t>
  </si>
  <si>
    <t>61393276/KLAR-NEG/PEJ-PENG/DPUPR/X/2025</t>
  </si>
  <si>
    <t>600/61393276/SPK-Konstruksi/PPK/DPUPR</t>
  </si>
  <si>
    <t>600/61393276/SPMK/PPK/DPUPR</t>
  </si>
  <si>
    <t>Stock Desain Air Bersih Kabupaten Paket I</t>
  </si>
  <si>
    <t>61393531/BAHPL/2025</t>
  </si>
  <si>
    <t>61393531/PEN/2025</t>
  </si>
  <si>
    <t>61393531/UMUM/PEJ-PENG/DPUPR/X/2025</t>
  </si>
  <si>
    <t>61393531/KLAR-NEG/PEJ-PENG/DPUPR/X/2025</t>
  </si>
  <si>
    <t>600/61393531/SPK-Konsultansi/PPK/DPUPR</t>
  </si>
  <si>
    <t>600/61393531/SPMK/PPK/DPUPR</t>
  </si>
  <si>
    <t>Stock Desain Air Bersih Kabupaten Paket II</t>
  </si>
  <si>
    <t>61393555/BAHPL/2025</t>
  </si>
  <si>
    <t>61393555/PEN/2025</t>
  </si>
  <si>
    <t>61393555/UMUM/PEJ-PENG/DPUPR/X/2025</t>
  </si>
  <si>
    <t>61393555/KLAR-NEG/PEJ-PENG/DPUPR/X/2025</t>
  </si>
  <si>
    <t>600/61393555/SPK-Konsultansi/PPK/DPUPR</t>
  </si>
  <si>
    <t>600/61393555/SPMK/PPK/DPUPR</t>
  </si>
  <si>
    <t>Review Design Pembangunan Jembatan</t>
  </si>
  <si>
    <t>61393239/BAHPL/2025</t>
  </si>
  <si>
    <t>61393239/PEN/2025</t>
  </si>
  <si>
    <t>61393239/UMUM/PEJ-PENG/DPUPR/X/2025</t>
  </si>
  <si>
    <t>61393239/KLAR-NEG/PEJ-PENG/DPUPR/X/2025</t>
  </si>
  <si>
    <t>600/61393239/SPK-Konsultansi/PPK/DPUPR</t>
  </si>
  <si>
    <t>600/61393239/SPMK/PPK/DPUPR</t>
  </si>
  <si>
    <t>Pembangunan Jembatan saluwira Lanjutan (Talud &amp; Oprit)</t>
  </si>
  <si>
    <t>61393374/BAHPL/2025</t>
  </si>
  <si>
    <t>61393374/PEN/2025</t>
  </si>
  <si>
    <t>61393374/UMUM/PEJ-PENG/DPUPR/X/2025</t>
  </si>
  <si>
    <t>61393374/KLAR-NEG/PEJ-PENG/DPUPR/X/2025</t>
  </si>
  <si>
    <t>600/61393374/SPK-Konstruksi/PPK/DPUPR</t>
  </si>
  <si>
    <t>600/61393374/SPMK/PPK/DPUPR</t>
  </si>
  <si>
    <t>Pemb. Jalan Kec. Pasangkayu</t>
  </si>
  <si>
    <t>61391867/BAHPL/2025</t>
  </si>
  <si>
    <t>61391867/PEN/2025</t>
  </si>
  <si>
    <t>61391867/UMUM/PEJ-PENG/DPUPR/XI/2025</t>
  </si>
  <si>
    <t>61391867/KLAR-NEG/PEJ-PENG/DPUPR/XI/2025</t>
  </si>
  <si>
    <t>600/61391867/SPK-Konstruksi/PPK/DPUPR</t>
  </si>
  <si>
    <t>600/61391867/SPMK/PPK/DPUPR</t>
  </si>
  <si>
    <t>parsial</t>
  </si>
  <si>
    <t>Pemb. Plat Duicker Pasangkayu</t>
  </si>
  <si>
    <t>59421187/BAHPL/2025</t>
  </si>
  <si>
    <t>59421187/PEN/2025</t>
  </si>
  <si>
    <t>59421187/UMUM/PEJ-PENG/DPUPR/XI/2025</t>
  </si>
  <si>
    <t>59421187/KLAR-NEG/PEJ-PENG/DPUPR/XI/2025</t>
  </si>
  <si>
    <t>600/59421187/SPK-Konstruksi/PPK/DPUPR</t>
  </si>
  <si>
    <t>600/59421187/SPMK/PPK/DPUPR</t>
  </si>
  <si>
    <t>Pembangunan Jalan Desa Pangiang (TMMD)</t>
  </si>
  <si>
    <t>Pemb. Jalan Rabat Beton Desa Pangiang (TMMD)</t>
  </si>
  <si>
    <t>Pemb. Jembatan/Box Culvert Desa Pangiang (TMMD)</t>
  </si>
  <si>
    <t>Rehabilitasi Rumah Tidak Layak Huni (RLTH) (TMMD)</t>
  </si>
  <si>
    <t>Perenc. Pembangunan Jalan Desa Pangiang (TMMD) cs.,Perenc. Pemb. Jembatan/Box Culvert Desa Pangiang (TMMD),Perenc. Rehabilitasi Rumah Tidak Layak Huni (RLTH) (TMMD)</t>
  </si>
  <si>
    <t>Pembangunan Jalan
Pembangunan Jembatan
Penataan Bangunan dan Lingkungan Kawasan Cagar Budaya, Kawasan Pariwisata, Kawasan Sistem Perkotaan Nasional dan Kawasan Strategis Lainnya</t>
  </si>
  <si>
    <r>
      <rPr>
        <sz val="10"/>
        <color indexed="8"/>
        <rFont val="Helvetica"/>
      </rPr>
      <t>Perenc. Pembangunan Jalan Desa Pangiang (TMMD) cs.,Perenc. Pemb. Jembatan/Box Culvert Desa Pangiang (TMMD),Perenc. Rehabilitasi Rumah Tidak Layak Huni (RLTH) (TMMD)</t>
    </r>
  </si>
  <si>
    <t>1.03.10.2.01.0032
1.03.10.2.01.0040
1.03.09.2.01.0008</t>
  </si>
  <si>
    <t>61495250/BAHPL/2025</t>
  </si>
  <si>
    <t>61495250/PEN/2025</t>
  </si>
  <si>
    <t>61495250/UMUM/PEJ-PENG/DPUPR/X/2025</t>
  </si>
  <si>
    <t>61495250/KLAR-NEG/PEJ-PENG/DPUPR/X/2025</t>
  </si>
  <si>
    <t>600/61495250/SPK-Konsultansi/PPK/DPUPR</t>
  </si>
  <si>
    <t>600/61495250/SPMK/PPK/DPUPR</t>
  </si>
  <si>
    <t>Perenc. Pembangunan Jalan Desa Pangiang (TMMD) cs.</t>
  </si>
  <si>
    <t>Perenc. Pemb. Jembatan/Box Culvert Desa Pangiang (TMMD)</t>
  </si>
  <si>
    <t>Perenc. Rehabilitasi Rumah Tidak Layak Huni (RLTH) (TMMD)</t>
  </si>
  <si>
    <t>Pengawasan. Pembangunan Jalan Desa Pangiang (TMMD) cs., Pengawasan. Pemb. Jembatan/Box Culvert Desa Pangiang (TMMD), Pengawasan. Rehabilitasi Rumah Tidak Layak Huni (RLTH) (TMMD)</t>
  </si>
  <si>
    <r>
      <rPr>
        <sz val="10"/>
        <color indexed="8"/>
        <rFont val="Helvetica"/>
      </rPr>
      <t>Pengawasan. Pembangunan Jalan Desa Pangiang (TMMD) cs., Pengawasan. Pemb. Jembatan/Box Culvert Desa Pangiang (TMMD), Pengawasan. Rehabilitasi Rumah Tidak Layak Huni (RLTH) (TMMD)</t>
    </r>
  </si>
  <si>
    <t>61474460/BAHPL/2025</t>
  </si>
  <si>
    <t>61474460/PEN/2025</t>
  </si>
  <si>
    <t>61474460/UMUM/PEJ-PENG/DPUPR/XI/2025</t>
  </si>
  <si>
    <t>61474460/KLAR-NEG/PEJ-PENG/DPUPR/XI/2025</t>
  </si>
  <si>
    <t>600/61474460/SPK-Konsultansi/PPK/DPUPR</t>
  </si>
  <si>
    <t>600/61474460/SPMK/PPK/DPUPR</t>
  </si>
  <si>
    <t>Pengawasan. Pembangunan Jalan Desa Pangiang (TMMD) cs.</t>
  </si>
  <si>
    <t>Pengawasan. Pemb. Jembatan/Box Culvert Desa Pangiang (TMMD)</t>
  </si>
  <si>
    <t>Pengawasan. Rehabilitasi Rumah Tidak Layak Huni (RLTH) (TMMD)</t>
  </si>
  <si>
    <t>Pemuktahiran Penguatan Database dan Survey Kondisi Jalan dan Jembatan</t>
  </si>
  <si>
    <t>261 Lembaga Penelitian dan Pengabdian kepada Masyarakat Universitas Tadulako</t>
  </si>
  <si>
    <t>Dr. Ir. Tutang Muhtar K, ST., M.Si.</t>
  </si>
  <si>
    <t>Ketua Tim</t>
  </si>
  <si>
    <t>00.173.485..4-831.000</t>
  </si>
  <si>
    <t>Jalan Soekarno Hatta Kilometer 9 Tondo, Mantikulore, Palu 94119</t>
  </si>
  <si>
    <t>Virtual Akun Bank BTN 9481510020100000101 / Dinas PUPR Kab Pasangkayu</t>
  </si>
  <si>
    <t>Lembaga Penelitian dan Pengabdian kepada Masyarakat Universitas Tadulako</t>
  </si>
  <si>
    <t>SWAKELOLA</t>
  </si>
  <si>
    <t>Swakelola</t>
  </si>
  <si>
    <r>
      <rPr>
        <sz val="10"/>
        <color indexed="18"/>
        <rFont val="Avenir Next Regular"/>
      </rPr>
      <t>01</t>
    </r>
    <r>
      <rPr>
        <sz val="10"/>
        <color indexed="8"/>
        <rFont val="Helvetica"/>
      </rPr>
      <t>/BAHPL/2025</t>
    </r>
  </si>
  <si>
    <r>
      <rPr>
        <sz val="10"/>
        <color indexed="18"/>
        <rFont val="Avenir Next Regular"/>
      </rPr>
      <t>01</t>
    </r>
    <r>
      <rPr>
        <sz val="10"/>
        <color indexed="8"/>
        <rFont val="Helvetica"/>
      </rPr>
      <t>/PEN/2025</t>
    </r>
  </si>
  <si>
    <r>
      <rPr>
        <sz val="10"/>
        <color indexed="18"/>
        <rFont val="Avenir Next Regular"/>
      </rPr>
      <t>01</t>
    </r>
    <r>
      <rPr>
        <sz val="10"/>
        <color indexed="8"/>
        <rFont val="Helvetica"/>
      </rPr>
      <t>/UMUM/PEJ-PENG/DPUPR/XI/2025</t>
    </r>
  </si>
  <si>
    <r>
      <rPr>
        <sz val="10"/>
        <color indexed="18"/>
        <rFont val="Avenir Next Regular"/>
      </rPr>
      <t>01</t>
    </r>
    <r>
      <rPr>
        <sz val="10"/>
        <color indexed="8"/>
        <rFont val="Helvetica"/>
      </rPr>
      <t>/KLAR-NEG/PEJ-PENG/DPUPR/XI/2025</t>
    </r>
  </si>
  <si>
    <r>
      <rPr>
        <sz val="10"/>
        <color indexed="8"/>
        <rFont val="Helvetica"/>
      </rPr>
      <t>600/</t>
    </r>
    <r>
      <rPr>
        <sz val="10"/>
        <color indexed="18"/>
        <rFont val="Avenir Next Regular"/>
      </rPr>
      <t>01</t>
    </r>
    <r>
      <rPr>
        <sz val="10"/>
        <color indexed="8"/>
        <rFont val="Helvetica"/>
      </rPr>
      <t>/Kont-Swakelola/PPK/DPUPR</t>
    </r>
  </si>
  <si>
    <r>
      <rPr>
        <sz val="10"/>
        <color indexed="8"/>
        <rFont val="Helvetica"/>
      </rPr>
      <t>600/</t>
    </r>
    <r>
      <rPr>
        <sz val="10"/>
        <color indexed="18"/>
        <rFont val="Avenir Next Regular"/>
      </rPr>
      <t>01</t>
    </r>
    <r>
      <rPr>
        <sz val="10"/>
        <color indexed="8"/>
        <rFont val="Helvetica"/>
      </rPr>
      <t>/SPMK/PPK/DPUPR</t>
    </r>
  </si>
  <si>
    <t>Program TNI Manunggal Membangun Desa (TMMD) Kabupaten Pasangkayu</t>
  </si>
  <si>
    <t>Pembangunan Jalan
Pembangunan Jembatan
Penataan Bangunan dan Lingkungan Kawasan Cagar Budaya, Kawasan Pariwisata, Kawasan Sistem Perkotaan Nasional dan Kawasan Strategis Lainnya
Pembangunan Sistem Drainase Lingkungan</t>
  </si>
  <si>
    <t>Pembangunan Jalan Desa Pangiang (TMMD)
Pemb. Jalan Rabat Beton Desa Pangiang (TMMD)
Pemb. Jembatan/Box Culvert Desa Pangiang (TMMD)
Rehabilitasi Rumah Tidak Layak Huni (RLTH) (TMMD)</t>
  </si>
  <si>
    <t>385.000.000
200.000.000
75.000.000
250.000.000</t>
  </si>
  <si>
    <t>185 DANDIM 1427 PASANGKAYU REM 142/TATAG DAM XIV/HSN</t>
  </si>
  <si>
    <t>Letkol. CZI Dony Siswanto</t>
  </si>
  <si>
    <t>Komandan Komando Distrik Militer 1427</t>
  </si>
  <si>
    <t>Skep/591/VII/2020</t>
  </si>
  <si>
    <t>Jl. Dewi Sartika Pasangkayu</t>
  </si>
  <si>
    <t>Sprin/578/VII/2020</t>
  </si>
  <si>
    <t>ERNY SINGAL, SH, MH, M.Kn</t>
  </si>
  <si>
    <t>211101005522531 Bank Rakyat Indonesia (BRI)</t>
  </si>
  <si>
    <t xml:space="preserve">BPP KODIM 1427 Pasangkayu </t>
  </si>
  <si>
    <r>
      <rPr>
        <sz val="10"/>
        <color indexed="18"/>
        <rFont val="Avenir Next Regular"/>
      </rPr>
      <t>02</t>
    </r>
    <r>
      <rPr>
        <sz val="10"/>
        <color indexed="8"/>
        <rFont val="Helvetica"/>
      </rPr>
      <t>/BAHPL/2025</t>
    </r>
  </si>
  <si>
    <r>
      <rPr>
        <sz val="10"/>
        <color indexed="18"/>
        <rFont val="Avenir Next Regular"/>
      </rPr>
      <t>02</t>
    </r>
    <r>
      <rPr>
        <sz val="10"/>
        <color indexed="8"/>
        <rFont val="Helvetica"/>
      </rPr>
      <t>/PEN/2025</t>
    </r>
  </si>
  <si>
    <r>
      <rPr>
        <sz val="10"/>
        <color indexed="18"/>
        <rFont val="Avenir Next Regular"/>
      </rPr>
      <t>02</t>
    </r>
    <r>
      <rPr>
        <sz val="10"/>
        <color indexed="8"/>
        <rFont val="Helvetica"/>
      </rPr>
      <t>/UMUM/PEJ-PENG/DPUPR/X/2025</t>
    </r>
  </si>
  <si>
    <r>
      <rPr>
        <sz val="10"/>
        <color indexed="18"/>
        <rFont val="Avenir Next Regular"/>
      </rPr>
      <t>02</t>
    </r>
    <r>
      <rPr>
        <sz val="10"/>
        <color indexed="8"/>
        <rFont val="Helvetica"/>
      </rPr>
      <t>/KLAR-NEG/PEJ-PENG/DPUPR/X/2025</t>
    </r>
  </si>
  <si>
    <r>
      <rPr>
        <sz val="10"/>
        <color indexed="8"/>
        <rFont val="Helvetica"/>
      </rPr>
      <t>600/</t>
    </r>
    <r>
      <rPr>
        <sz val="10"/>
        <color indexed="18"/>
        <rFont val="Avenir Next Regular"/>
      </rPr>
      <t>02</t>
    </r>
    <r>
      <rPr>
        <sz val="10"/>
        <color indexed="8"/>
        <rFont val="Helvetica"/>
      </rPr>
      <t>/Kont-Swakelola/PPK/DPUPR</t>
    </r>
  </si>
  <si>
    <r>
      <rPr>
        <sz val="10"/>
        <color indexed="8"/>
        <rFont val="Helvetica"/>
      </rPr>
      <t>600/</t>
    </r>
    <r>
      <rPr>
        <sz val="10"/>
        <color indexed="18"/>
        <rFont val="Avenir Next Regular"/>
      </rPr>
      <t>02</t>
    </r>
    <r>
      <rPr>
        <sz val="10"/>
        <color indexed="8"/>
        <rFont val="Helvetica"/>
      </rPr>
      <t>/SPMK/PPK/DPUPR</t>
    </r>
  </si>
  <si>
    <t>Pengadaan Barang Komputer Jaringan, Kamera, Drone dan PC Desktop</t>
  </si>
  <si>
    <t>Pengadaan Peralatan dan Mesin Lainnya</t>
  </si>
  <si>
    <t xml:space="preserve">Kamera 360, Drone, DISK STATION SYNOLOGY, Printer, Pengadaan PC 
</t>
  </si>
  <si>
    <t>170 CV. SMART CONSTRUCTION</t>
  </si>
  <si>
    <t>MUHAMMAD HADI SISWANTO, SE</t>
  </si>
  <si>
    <t>94.251.391.2.814.000</t>
  </si>
  <si>
    <t>Jl. Pemancar TVRI, Pasangkayu</t>
  </si>
  <si>
    <t>0750030000015750 Bank SUlselbbar</t>
  </si>
  <si>
    <t>CV. SMART CONSTRUCTION</t>
  </si>
  <si>
    <t>1.03.01.2.07.0006</t>
  </si>
  <si>
    <t>63392120/BAHPL/2025</t>
  </si>
  <si>
    <t>63392120/PEN/2025</t>
  </si>
  <si>
    <t>63392120/UMUM/PEJ-PENG/DPUPR/XI/2025</t>
  </si>
  <si>
    <t>63392120/KLAR-NEG/PEJ-PENG/DPUPR/XI/2025</t>
  </si>
  <si>
    <t>600/63392120/SPK-Barang/PPK/DPUPR</t>
  </si>
  <si>
    <t>600/63392120/SPMK/PPK/DPUPR</t>
  </si>
  <si>
    <t>IRMAWATI, SE</t>
  </si>
  <si>
    <t>Pengadaan Laptop  (Notebook)</t>
  </si>
  <si>
    <t>63382180/BAHPL/2025</t>
  </si>
  <si>
    <t>63382180/PEN/2025</t>
  </si>
  <si>
    <t>63382180/UMUM/PEJ-PENG/DPUPR/XI/2025</t>
  </si>
  <si>
    <t>63382180/KLAR-NEG/PEJ-PENG/DPUPR/XI/2025</t>
  </si>
  <si>
    <t>600/63382180/SPK-Barang/PPK/DPUPR</t>
  </si>
  <si>
    <t>600/63382180/SPMK/PPK/DPUPR</t>
  </si>
  <si>
    <t>002</t>
  </si>
  <si>
    <t xml:space="preserve">Penyusunan SOP Laboratorium </t>
  </si>
  <si>
    <t>Penyediaan Barang Cetakan dan Penggandaan</t>
  </si>
  <si>
    <t>265 LEMBAGA NUSANTARA KONSULTAN</t>
  </si>
  <si>
    <t>LEMBAGA NUSANTARA KONSULTAN</t>
  </si>
  <si>
    <r>
      <rPr>
        <sz val="10"/>
        <color indexed="18"/>
        <rFont val="Avenir Next Regular"/>
      </rPr>
      <t>002</t>
    </r>
    <r>
      <rPr>
        <sz val="10"/>
        <color indexed="8"/>
        <rFont val="Helvetica"/>
      </rPr>
      <t>/BAHPL/2025</t>
    </r>
  </si>
  <si>
    <r>
      <rPr>
        <sz val="10"/>
        <color indexed="18"/>
        <rFont val="Avenir Next Regular"/>
      </rPr>
      <t>002</t>
    </r>
    <r>
      <rPr>
        <sz val="10"/>
        <color indexed="8"/>
        <rFont val="Helvetica"/>
      </rPr>
      <t>/PEN/2025</t>
    </r>
  </si>
  <si>
    <r>
      <rPr>
        <sz val="10"/>
        <color indexed="18"/>
        <rFont val="Avenir Next Regular"/>
      </rPr>
      <t>002</t>
    </r>
    <r>
      <rPr>
        <sz val="10"/>
        <color indexed="8"/>
        <rFont val="Helvetica"/>
      </rPr>
      <t>/UMUM/PEJ-PENG/DPUPR//2025</t>
    </r>
  </si>
  <si>
    <r>
      <rPr>
        <sz val="10"/>
        <color indexed="18"/>
        <rFont val="Avenir Next Regular"/>
      </rPr>
      <t>002</t>
    </r>
    <r>
      <rPr>
        <sz val="10"/>
        <color indexed="8"/>
        <rFont val="Helvetica"/>
      </rPr>
      <t>/KLAR-NEG/PEJ-PENG/DPUPR//2025</t>
    </r>
  </si>
  <si>
    <r>
      <rPr>
        <sz val="10"/>
        <color indexed="8"/>
        <rFont val="Helvetica"/>
      </rPr>
      <t>600/</t>
    </r>
    <r>
      <rPr>
        <sz val="10"/>
        <color indexed="18"/>
        <rFont val="Avenir Next Regular"/>
      </rPr>
      <t>002</t>
    </r>
    <r>
      <rPr>
        <sz val="10"/>
        <color indexed="8"/>
        <rFont val="Helvetica"/>
      </rPr>
      <t>/SPK-Barang/PPK/DPUPR</t>
    </r>
  </si>
  <si>
    <r>
      <rPr>
        <sz val="10"/>
        <color indexed="8"/>
        <rFont val="Helvetica"/>
      </rPr>
      <t>600/</t>
    </r>
    <r>
      <rPr>
        <sz val="10"/>
        <color indexed="18"/>
        <rFont val="Avenir Next Regular"/>
      </rPr>
      <t>002</t>
    </r>
    <r>
      <rPr>
        <sz val="10"/>
        <color indexed="8"/>
        <rFont val="Helvetica"/>
      </rPr>
      <t>/SPMK/PPK/DPUPR</t>
    </r>
  </si>
  <si>
    <t>003</t>
  </si>
  <si>
    <t xml:space="preserve">Penyusunan Video &amp; Buku Profil Infrastruktur Dinas PUPR </t>
  </si>
  <si>
    <r>
      <rPr>
        <sz val="10"/>
        <color indexed="18"/>
        <rFont val="Avenir Next Regular"/>
      </rPr>
      <t>003</t>
    </r>
    <r>
      <rPr>
        <sz val="10"/>
        <color indexed="8"/>
        <rFont val="Helvetica"/>
      </rPr>
      <t>/BAHPL/2025</t>
    </r>
  </si>
  <si>
    <r>
      <rPr>
        <sz val="10"/>
        <color indexed="18"/>
        <rFont val="Avenir Next Regular"/>
      </rPr>
      <t>003</t>
    </r>
    <r>
      <rPr>
        <sz val="10"/>
        <color indexed="8"/>
        <rFont val="Helvetica"/>
      </rPr>
      <t>/PEN/2025</t>
    </r>
  </si>
  <si>
    <r>
      <rPr>
        <sz val="10"/>
        <color indexed="18"/>
        <rFont val="Avenir Next Regular"/>
      </rPr>
      <t>003</t>
    </r>
    <r>
      <rPr>
        <sz val="10"/>
        <color indexed="8"/>
        <rFont val="Helvetica"/>
      </rPr>
      <t>/UMUM/PEJ-PENG/DPUPR//2025</t>
    </r>
  </si>
  <si>
    <r>
      <rPr>
        <sz val="10"/>
        <color indexed="18"/>
        <rFont val="Avenir Next Regular"/>
      </rPr>
      <t>003</t>
    </r>
    <r>
      <rPr>
        <sz val="10"/>
        <color indexed="8"/>
        <rFont val="Helvetica"/>
      </rPr>
      <t>/KLAR-NEG/PEJ-PENG/DPUPR//2025</t>
    </r>
  </si>
  <si>
    <r>
      <rPr>
        <sz val="10"/>
        <color indexed="8"/>
        <rFont val="Helvetica"/>
      </rPr>
      <t>600/</t>
    </r>
    <r>
      <rPr>
        <sz val="10"/>
        <color indexed="18"/>
        <rFont val="Avenir Next Regular"/>
      </rPr>
      <t>003</t>
    </r>
    <r>
      <rPr>
        <sz val="10"/>
        <color indexed="8"/>
        <rFont val="Helvetica"/>
      </rPr>
      <t>/SPK-Barang/PPK/DPUPR</t>
    </r>
  </si>
  <si>
    <r>
      <rPr>
        <sz val="10"/>
        <color indexed="8"/>
        <rFont val="Helvetica"/>
      </rPr>
      <t>600/</t>
    </r>
    <r>
      <rPr>
        <sz val="10"/>
        <color indexed="18"/>
        <rFont val="Avenir Next Regular"/>
      </rPr>
      <t>003</t>
    </r>
    <r>
      <rPr>
        <sz val="10"/>
        <color indexed="8"/>
        <rFont val="Helvetica"/>
      </rPr>
      <t>/SPMK/PPK/DPUPR</t>
    </r>
  </si>
  <si>
    <t>5000/BAHPL/2025</t>
  </si>
  <si>
    <t>5000/PEN/2025</t>
  </si>
  <si>
    <t>5000/UMUM/PEJ-PENG/DPUPR//2025</t>
  </si>
  <si>
    <t>5000/KLAR-NEG/PEJ-PENG/DPUPR//2025</t>
  </si>
  <si>
    <t>600/5000/SPK-Konstruksi/PPK/DPUPR</t>
  </si>
  <si>
    <t>600/5000/SPMK/PPK/DPUPR</t>
  </si>
</sst>
</file>

<file path=xl/styles.xml><?xml version="1.0" encoding="utf-8"?>
<styleSheet xmlns="http://schemas.openxmlformats.org/spreadsheetml/2006/main">
  <numFmts count="12">
    <numFmt numFmtId="0" formatCode="General"/>
    <numFmt numFmtId="59" formatCode="[$Rp-421]#,##0.00"/>
    <numFmt numFmtId="60" formatCode="d mmmm yyyy"/>
    <numFmt numFmtId="61" formatCode="_-[$Rp-421]* #,##0_-;_-[$Rp-421]* \(#,##0\)_-;_-[$Rp-421]* &quot;-&quot;??;_-@_-"/>
    <numFmt numFmtId="62" formatCode="#,##0.0#"/>
    <numFmt numFmtId="63" formatCode="d mmm yyyy"/>
    <numFmt numFmtId="64" formatCode="#,##0.0"/>
    <numFmt numFmtId="65" formatCode="m/yy"/>
    <numFmt numFmtId="66" formatCode="d mmmm yyyy h.mm"/>
    <numFmt numFmtId="67" formatCode="# ???/???"/>
    <numFmt numFmtId="68" formatCode="d/m/yyyy"/>
    <numFmt numFmtId="69" formatCode="[h]&quot;j&quot; m&quot;m&quot; s&quot;d&quot;"/>
  </numFmts>
  <fonts count="19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Helvetica"/>
    </font>
    <font>
      <sz val="12"/>
      <color indexed="8"/>
      <name val="Helvetica"/>
    </font>
    <font>
      <sz val="10"/>
      <color indexed="8"/>
      <name val="Avenir Next Regular"/>
    </font>
    <font>
      <b val="1"/>
      <sz val="10"/>
      <color indexed="8"/>
      <name val="Avenir Next Regular"/>
    </font>
    <font>
      <b val="1"/>
      <sz val="10"/>
      <color indexed="8"/>
      <name val="Helvetica"/>
    </font>
    <font>
      <b val="1"/>
      <sz val="23"/>
      <color indexed="14"/>
      <name val="Avenir Next Regular"/>
    </font>
    <font>
      <sz val="10"/>
      <color indexed="16"/>
      <name val="Avenir Next Regular"/>
    </font>
    <font>
      <sz val="10"/>
      <color indexed="16"/>
      <name val="Helvetica"/>
    </font>
    <font>
      <b val="1"/>
      <sz val="10"/>
      <color indexed="16"/>
      <name val="Helvetica"/>
    </font>
    <font>
      <sz val="12"/>
      <color indexed="16"/>
      <name val="Avenir Next Regular"/>
    </font>
    <font>
      <sz val="12"/>
      <color indexed="16"/>
      <name val="Helvetica"/>
    </font>
    <font>
      <sz val="11"/>
      <color indexed="8"/>
      <name val="Helvetica Neue"/>
    </font>
    <font>
      <b val="1"/>
      <sz val="12"/>
      <color indexed="16"/>
      <name val="Avenir Next Regular"/>
    </font>
    <font>
      <sz val="10"/>
      <color indexed="18"/>
      <name val="Avenir Next Regular"/>
    </font>
    <font>
      <sz val="10"/>
      <color indexed="18"/>
      <name val="Helvetica"/>
    </font>
    <font>
      <sz val="9"/>
      <color indexed="20"/>
      <name val="Helvetica"/>
    </font>
    <font>
      <sz val="9"/>
      <color indexed="8"/>
      <name val="Helvetica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7"/>
      </right>
      <top style="thin">
        <color indexed="17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7"/>
      </bottom>
      <diagonal/>
    </border>
    <border>
      <left style="thin">
        <color indexed="17"/>
      </left>
      <right style="thin">
        <color indexed="10"/>
      </right>
      <top style="thin">
        <color indexed="10"/>
      </top>
      <bottom style="thin">
        <color indexed="17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7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4" fillId="2" borderId="1" applyNumberFormat="1" applyFont="1" applyFill="1" applyBorder="1" applyAlignment="1" applyProtection="0">
      <alignment vertical="top" wrapText="1"/>
    </xf>
    <xf numFmtId="0" fontId="4" fillId="2" borderId="1" applyNumberFormat="0" applyFont="1" applyFill="1" applyBorder="1" applyAlignment="1" applyProtection="0">
      <alignment horizontal="center" vertical="center" wrapText="1"/>
    </xf>
    <xf numFmtId="0" fontId="4" fillId="2" borderId="1" applyNumberFormat="1" applyFont="1" applyFill="1" applyBorder="1" applyAlignment="1" applyProtection="0">
      <alignment horizontal="center" vertical="center" wrapText="1"/>
    </xf>
    <xf numFmtId="59" fontId="4" fillId="2" borderId="1" applyNumberFormat="1" applyFont="1" applyFill="1" applyBorder="1" applyAlignment="1" applyProtection="0">
      <alignment horizontal="center" vertical="center" wrapText="1"/>
    </xf>
    <xf numFmtId="60" fontId="4" fillId="2" borderId="1" applyNumberFormat="1" applyFont="1" applyFill="1" applyBorder="1" applyAlignment="1" applyProtection="0">
      <alignment horizontal="center" vertical="center" wrapText="1"/>
    </xf>
    <xf numFmtId="61" fontId="4" fillId="2" borderId="1" applyNumberFormat="1" applyFont="1" applyFill="1" applyBorder="1" applyAlignment="1" applyProtection="0">
      <alignment horizontal="center" vertical="center" wrapText="1"/>
    </xf>
    <xf numFmtId="60" fontId="2" fillId="2" borderId="1" applyNumberFormat="1" applyFont="1" applyFill="1" applyBorder="1" applyAlignment="1" applyProtection="0">
      <alignment vertical="top" wrapText="1"/>
    </xf>
    <xf numFmtId="0" fontId="4" fillId="2" borderId="1" applyNumberFormat="0" applyFont="1" applyFill="1" applyBorder="1" applyAlignment="1" applyProtection="0">
      <alignment horizontal="center" vertical="center"/>
    </xf>
    <xf numFmtId="0" fontId="5" fillId="2" borderId="1" applyNumberFormat="1" applyFont="1" applyFill="1" applyBorder="1" applyAlignment="1" applyProtection="0">
      <alignment horizontal="center" vertical="center" wrapText="1"/>
    </xf>
    <xf numFmtId="3" fontId="4" fillId="2" borderId="1" applyNumberFormat="1" applyFont="1" applyFill="1" applyBorder="1" applyAlignment="1" applyProtection="0">
      <alignment horizontal="center" vertical="center" wrapText="1"/>
    </xf>
    <xf numFmtId="0" fontId="2" fillId="2" borderId="1" applyNumberFormat="0" applyFont="1" applyFill="1" applyBorder="1" applyAlignment="1" applyProtection="0">
      <alignment horizontal="justify" vertical="top" wrapText="1" readingOrder="1"/>
    </xf>
    <xf numFmtId="0" fontId="2" fillId="2" borderId="1" applyNumberFormat="0" applyFont="1" applyFill="1" applyBorder="1" applyAlignment="1" applyProtection="0">
      <alignment horizontal="center" vertical="center" wrapText="1"/>
    </xf>
    <xf numFmtId="60" fontId="2" fillId="2" borderId="1" applyNumberFormat="1" applyFont="1" applyFill="1" applyBorder="1" applyAlignment="1" applyProtection="0">
      <alignment horizontal="center" vertical="center" wrapText="1"/>
    </xf>
    <xf numFmtId="0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center"/>
    </xf>
    <xf numFmtId="0" fontId="6" fillId="2" borderId="1" applyNumberFormat="0" applyFont="1" applyFill="1" applyBorder="1" applyAlignment="1" applyProtection="0">
      <alignment horizontal="center" vertical="center" wrapText="1"/>
    </xf>
    <xf numFmtId="0" fontId="7" fillId="3" borderId="1" applyNumberFormat="1" applyFont="1" applyFill="1" applyBorder="1" applyAlignment="1" applyProtection="0">
      <alignment horizontal="center" vertical="top" wrapText="1"/>
    </xf>
    <xf numFmtId="0" fontId="8" fillId="2" borderId="1" applyNumberFormat="1" applyFont="1" applyFill="1" applyBorder="1" applyAlignment="1" applyProtection="0">
      <alignment horizontal="center" vertical="center" wrapText="1"/>
    </xf>
    <xf numFmtId="3" fontId="8" fillId="2" borderId="1" applyNumberFormat="1" applyFont="1" applyFill="1" applyBorder="1" applyAlignment="1" applyProtection="0">
      <alignment horizontal="center" vertical="center" wrapText="1"/>
    </xf>
    <xf numFmtId="0" fontId="9" fillId="2" borderId="1" applyNumberFormat="1" applyFont="1" applyFill="1" applyBorder="1" applyAlignment="1" applyProtection="0">
      <alignment horizontal="center" vertical="center" wrapText="1"/>
    </xf>
    <xf numFmtId="0" fontId="9" fillId="2" borderId="1" applyNumberFormat="0" applyFont="1" applyFill="1" applyBorder="1" applyAlignment="1" applyProtection="0">
      <alignment horizontal="center" vertical="center" wrapText="1"/>
    </xf>
    <xf numFmtId="0" fontId="9" fillId="2" borderId="1" applyNumberFormat="0" applyFont="1" applyFill="1" applyBorder="1" applyAlignment="1" applyProtection="0">
      <alignment horizontal="justify" vertical="top" wrapText="1" readingOrder="1"/>
    </xf>
    <xf numFmtId="0" fontId="9" fillId="2" borderId="1" applyNumberFormat="1" applyFont="1" applyFill="1" applyBorder="1" applyAlignment="1" applyProtection="0">
      <alignment horizontal="center" vertical="center"/>
    </xf>
    <xf numFmtId="0" fontId="10" fillId="2" borderId="1" applyNumberFormat="1" applyFont="1" applyFill="1" applyBorder="1" applyAlignment="1" applyProtection="0">
      <alignment horizontal="center" vertical="center" wrapText="1"/>
    </xf>
    <xf numFmtId="0" fontId="9" fillId="2" borderId="2" applyNumberFormat="0" applyFont="1" applyFill="1" applyBorder="1" applyAlignment="1" applyProtection="0">
      <alignment vertical="top" wrapText="1"/>
    </xf>
    <xf numFmtId="49" fontId="11" fillId="2" borderId="2" applyNumberFormat="1" applyFont="1" applyFill="1" applyBorder="1" applyAlignment="1" applyProtection="0">
      <alignment horizontal="center" vertical="center" wrapText="1"/>
    </xf>
    <xf numFmtId="49" fontId="12" fillId="2" borderId="2" applyNumberFormat="1" applyFont="1" applyFill="1" applyBorder="1" applyAlignment="1" applyProtection="0">
      <alignment horizontal="center" vertical="center" wrapText="1"/>
    </xf>
    <xf numFmtId="49" fontId="12" fillId="2" borderId="2" applyNumberFormat="1" applyFont="1" applyFill="1" applyBorder="1" applyAlignment="1" applyProtection="0">
      <alignment horizontal="center" vertical="center"/>
    </xf>
    <xf numFmtId="0" fontId="12" fillId="2" borderId="2" applyNumberFormat="0" applyFont="1" applyFill="1" applyBorder="1" applyAlignment="1" applyProtection="0">
      <alignment horizontal="center" vertical="center" wrapText="1"/>
    </xf>
    <xf numFmtId="49" fontId="14" fillId="2" borderId="2" applyNumberFormat="1" applyFont="1" applyFill="1" applyBorder="1" applyAlignment="1" applyProtection="0">
      <alignment horizontal="center" vertical="center" wrapText="1"/>
    </xf>
    <xf numFmtId="0" fontId="11" fillId="2" borderId="2" applyNumberFormat="0" applyFont="1" applyFill="1" applyBorder="1" applyAlignment="1" applyProtection="0">
      <alignment horizontal="center" vertical="center" wrapText="1"/>
    </xf>
    <xf numFmtId="3" fontId="11" fillId="2" borderId="2" applyNumberFormat="1" applyFont="1" applyFill="1" applyBorder="1" applyAlignment="1" applyProtection="0">
      <alignment horizontal="center" vertical="center" wrapText="1"/>
    </xf>
    <xf numFmtId="0" fontId="15" fillId="4" borderId="3" applyNumberFormat="0" applyFont="1" applyFill="1" applyBorder="1" applyAlignment="1" applyProtection="0">
      <alignment vertical="top" wrapText="1"/>
    </xf>
    <xf numFmtId="0" fontId="16" fillId="4" borderId="4" applyNumberFormat="0" applyFont="1" applyFill="1" applyBorder="1" applyAlignment="1" applyProtection="0">
      <alignment vertical="top" wrapText="1"/>
    </xf>
    <xf numFmtId="0" fontId="2" borderId="5" applyNumberFormat="0" applyFont="1" applyFill="0" applyBorder="1" applyAlignment="1" applyProtection="0">
      <alignment vertical="top" wrapText="1"/>
    </xf>
    <xf numFmtId="0" fontId="2" borderId="3" applyNumberFormat="0" applyFont="1" applyFill="0" applyBorder="1" applyAlignment="1" applyProtection="0">
      <alignment vertical="top" wrapText="1"/>
    </xf>
    <xf numFmtId="4" fontId="2" borderId="3" applyNumberFormat="1" applyFont="1" applyFill="0" applyBorder="1" applyAlignment="1" applyProtection="0">
      <alignment vertical="top" wrapText="1"/>
    </xf>
    <xf numFmtId="3" fontId="2" borderId="3" applyNumberFormat="1" applyFont="1" applyFill="0" applyBorder="1" applyAlignment="1" applyProtection="0">
      <alignment vertical="top" wrapText="1"/>
    </xf>
    <xf numFmtId="4" fontId="17" fillId="4" borderId="3" applyNumberFormat="1" applyFont="1" applyFill="1" applyBorder="1" applyAlignment="1" applyProtection="0">
      <alignment vertical="top" wrapText="1" readingOrder="1"/>
    </xf>
    <xf numFmtId="0" fontId="2" borderId="3" applyNumberFormat="0" applyFont="1" applyFill="0" applyBorder="1" applyAlignment="1" applyProtection="0">
      <alignment horizontal="justify" vertical="top" wrapText="1"/>
    </xf>
    <xf numFmtId="60" fontId="2" borderId="3" applyNumberFormat="1" applyFont="1" applyFill="0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 wrapText="1"/>
    </xf>
    <xf numFmtId="0" fontId="2" fillId="4" borderId="3" applyNumberFormat="0" applyFont="1" applyFill="1" applyBorder="1" applyAlignment="1" applyProtection="0">
      <alignment vertical="top" wrapText="1"/>
    </xf>
    <xf numFmtId="0" fontId="2" borderId="3" applyNumberFormat="0" applyFont="1" applyFill="0" applyBorder="1" applyAlignment="1" applyProtection="0">
      <alignment vertical="top"/>
    </xf>
    <xf numFmtId="0" fontId="6" borderId="3" applyNumberFormat="0" applyFont="1" applyFill="0" applyBorder="1" applyAlignment="1" applyProtection="0">
      <alignment vertical="top" wrapText="1"/>
    </xf>
    <xf numFmtId="0" fontId="15" fillId="4" borderId="1" applyNumberFormat="0" applyFont="1" applyFill="1" applyBorder="1" applyAlignment="1" applyProtection="0">
      <alignment vertical="top" wrapText="1"/>
    </xf>
    <xf numFmtId="0" fontId="15" fillId="4" borderId="1" applyNumberFormat="1" applyFont="1" applyFill="1" applyBorder="1" applyAlignment="1" applyProtection="0">
      <alignment vertical="top" wrapText="1"/>
    </xf>
    <xf numFmtId="49" fontId="16" fillId="4" borderId="6" applyNumberFormat="1" applyFont="1" applyFill="1" applyBorder="1" applyAlignment="1" applyProtection="0">
      <alignment vertical="top" wrapText="1"/>
    </xf>
    <xf numFmtId="49" fontId="2" fillId="5" borderId="7" applyNumberFormat="1" applyFont="1" applyFill="1" applyBorder="1" applyAlignment="1" applyProtection="0">
      <alignment vertical="top" wrapText="1"/>
    </xf>
    <xf numFmtId="0" fontId="2" fillId="5" borderId="1" applyNumberFormat="0" applyFont="1" applyFill="1" applyBorder="1" applyAlignment="1" applyProtection="0">
      <alignment vertical="top" wrapText="1"/>
    </xf>
    <xf numFmtId="4" fontId="2" fillId="5" borderId="1" applyNumberFormat="1" applyFont="1" applyFill="1" applyBorder="1" applyAlignment="1" applyProtection="0">
      <alignment vertical="top" wrapText="1"/>
    </xf>
    <xf numFmtId="0" fontId="2" fillId="6" borderId="1" applyNumberFormat="0" applyFont="1" applyFill="1" applyBorder="1" applyAlignment="1" applyProtection="0">
      <alignment vertical="top" wrapText="1"/>
    </xf>
    <xf numFmtId="3" fontId="2" fillId="5" borderId="1" applyNumberFormat="1" applyFont="1" applyFill="1" applyBorder="1" applyAlignment="1" applyProtection="0">
      <alignment vertical="top" wrapText="1"/>
    </xf>
    <xf numFmtId="62" fontId="2" fillId="5" borderId="1" applyNumberFormat="1" applyFont="1" applyFill="1" applyBorder="1" applyAlignment="1" applyProtection="0">
      <alignment vertical="top" wrapText="1"/>
    </xf>
    <xf numFmtId="4" fontId="17" fillId="4" borderId="1" applyNumberFormat="1" applyFont="1" applyFill="1" applyBorder="1" applyAlignment="1" applyProtection="0">
      <alignment vertical="top" wrapText="1" readingOrder="1"/>
    </xf>
    <xf numFmtId="49" fontId="2" fillId="5" borderId="1" applyNumberFormat="1" applyFont="1" applyFill="1" applyBorder="1" applyAlignment="1" applyProtection="0">
      <alignment vertical="top" wrapText="1"/>
    </xf>
    <xf numFmtId="49" fontId="2" fillId="5" borderId="1" applyNumberFormat="1" applyFont="1" applyFill="1" applyBorder="1" applyAlignment="1" applyProtection="0">
      <alignment horizontal="justify" vertical="top" wrapText="1"/>
    </xf>
    <xf numFmtId="63" fontId="2" fillId="5" borderId="1" applyNumberFormat="1" applyFont="1" applyFill="1" applyBorder="1" applyAlignment="1" applyProtection="0">
      <alignment vertical="top" wrapText="1"/>
    </xf>
    <xf numFmtId="0" fontId="2" fillId="5" borderId="1" applyNumberFormat="1" applyFont="1" applyFill="1" applyBorder="1" applyAlignment="1" applyProtection="0">
      <alignment vertical="top" wrapText="1"/>
    </xf>
    <xf numFmtId="60" fontId="2" fillId="5" borderId="1" applyNumberFormat="1" applyFont="1" applyFill="1" applyBorder="1" applyAlignment="1" applyProtection="0">
      <alignment vertical="top" wrapText="1"/>
    </xf>
    <xf numFmtId="49" fontId="2" fillId="4" borderId="1" applyNumberFormat="1" applyFont="1" applyFill="1" applyBorder="1" applyAlignment="1" applyProtection="0">
      <alignment vertical="top" wrapText="1"/>
    </xf>
    <xf numFmtId="0" fontId="2" fillId="5" borderId="1" applyNumberFormat="0" applyFont="1" applyFill="1" applyBorder="1" applyAlignment="1" applyProtection="0">
      <alignment vertical="top"/>
    </xf>
    <xf numFmtId="0" fontId="6" fillId="5" borderId="1" applyNumberFormat="1" applyFont="1" applyFill="1" applyBorder="1" applyAlignment="1" applyProtection="0">
      <alignment vertical="top" wrapText="1"/>
    </xf>
    <xf numFmtId="0" fontId="16" fillId="4" borderId="6" applyNumberFormat="0" applyFont="1" applyFill="1" applyBorder="1" applyAlignment="1" applyProtection="0">
      <alignment vertical="top" wrapText="1"/>
    </xf>
    <xf numFmtId="0" fontId="2" borderId="7" applyNumberFormat="0" applyFont="1" applyFill="0" applyBorder="1" applyAlignment="1" applyProtection="0">
      <alignment vertical="top" wrapText="1"/>
    </xf>
    <xf numFmtId="0" fontId="2" borderId="1" applyNumberFormat="0" applyFont="1" applyFill="0" applyBorder="1" applyAlignment="1" applyProtection="0">
      <alignment vertical="top" wrapText="1"/>
    </xf>
    <xf numFmtId="4" fontId="2" borderId="1" applyNumberFormat="1" applyFont="1" applyFill="0" applyBorder="1" applyAlignment="1" applyProtection="0">
      <alignment vertical="top" wrapText="1"/>
    </xf>
    <xf numFmtId="3" fontId="2" borderId="1" applyNumberFormat="1" applyFont="1" applyFill="0" applyBorder="1" applyAlignment="1" applyProtection="0">
      <alignment vertical="top" wrapText="1"/>
    </xf>
    <xf numFmtId="0" fontId="2" borderId="1" applyNumberFormat="0" applyFont="1" applyFill="0" applyBorder="1" applyAlignment="1" applyProtection="0">
      <alignment horizontal="justify" vertical="top" wrapText="1"/>
    </xf>
    <xf numFmtId="60" fontId="2" borderId="1" applyNumberFormat="1" applyFont="1" applyFill="0" applyBorder="1" applyAlignment="1" applyProtection="0">
      <alignment vertical="top" wrapText="1"/>
    </xf>
    <xf numFmtId="49" fontId="2" borderId="1" applyNumberFormat="1" applyFont="1" applyFill="0" applyBorder="1" applyAlignment="1" applyProtection="0">
      <alignment vertical="top" wrapText="1"/>
    </xf>
    <xf numFmtId="0" fontId="2" fillId="4" borderId="1" applyNumberFormat="0" applyFont="1" applyFill="1" applyBorder="1" applyAlignment="1" applyProtection="0">
      <alignment vertical="top" wrapText="1"/>
    </xf>
    <xf numFmtId="0" fontId="2" borderId="1" applyNumberFormat="0" applyFont="1" applyFill="0" applyBorder="1" applyAlignment="1" applyProtection="0">
      <alignment vertical="top"/>
    </xf>
    <xf numFmtId="0" fontId="6" borderId="1" applyNumberFormat="0" applyFont="1" applyFill="0" applyBorder="1" applyAlignment="1" applyProtection="0">
      <alignment vertical="top" wrapText="1"/>
    </xf>
    <xf numFmtId="49" fontId="2" borderId="7" applyNumberFormat="1" applyFont="1" applyFill="0" applyBorder="1" applyAlignment="1" applyProtection="0">
      <alignment vertical="top" wrapText="1"/>
    </xf>
    <xf numFmtId="62" fontId="2" borderId="1" applyNumberFormat="1" applyFont="1" applyFill="0" applyBorder="1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justify" vertical="top" wrapText="1"/>
    </xf>
    <xf numFmtId="0" fontId="2" borderId="1" applyNumberFormat="1" applyFont="1" applyFill="0" applyBorder="1" applyAlignment="1" applyProtection="0">
      <alignment vertical="top" wrapText="1"/>
    </xf>
    <xf numFmtId="0" fontId="6" borderId="1" applyNumberFormat="1" applyFont="1" applyFill="0" applyBorder="1" applyAlignment="1" applyProtection="0">
      <alignment vertical="top" wrapText="1"/>
    </xf>
    <xf numFmtId="0" fontId="16" fillId="4" borderId="1" applyNumberFormat="0" applyFont="1" applyFill="1" applyBorder="1" applyAlignment="1" applyProtection="0">
      <alignment vertical="top" wrapText="1"/>
    </xf>
    <xf numFmtId="0" fontId="2" fillId="5" borderId="7" applyNumberFormat="0" applyFont="1" applyFill="1" applyBorder="1" applyAlignment="1" applyProtection="0">
      <alignment vertical="top" wrapText="1"/>
    </xf>
    <xf numFmtId="0" fontId="2" fillId="5" borderId="1" applyNumberFormat="0" applyFont="1" applyFill="1" applyBorder="1" applyAlignment="1" applyProtection="0">
      <alignment horizontal="justify" vertical="top" wrapText="1"/>
    </xf>
    <xf numFmtId="0" fontId="6" fillId="5" borderId="1" applyNumberFormat="0" applyFont="1" applyFill="1" applyBorder="1" applyAlignment="1" applyProtection="0">
      <alignment vertical="top" wrapText="1"/>
    </xf>
    <xf numFmtId="0" fontId="18" borderId="7" applyNumberFormat="0" applyFont="1" applyFill="0" applyBorder="1" applyAlignment="1" applyProtection="0">
      <alignment horizontal="left" vertical="top" wrapText="1"/>
    </xf>
    <xf numFmtId="0" fontId="18" fillId="5" borderId="7" applyNumberFormat="0" applyFont="1" applyFill="1" applyBorder="1" applyAlignment="1" applyProtection="0">
      <alignment horizontal="left" vertical="top" wrapText="1"/>
    </xf>
    <xf numFmtId="49" fontId="18" borderId="7" applyNumberFormat="1" applyFont="1" applyFill="0" applyBorder="1" applyAlignment="1" applyProtection="0">
      <alignment horizontal="left" vertical="top" wrapText="1"/>
    </xf>
    <xf numFmtId="49" fontId="18" fillId="5" borderId="7" applyNumberFormat="1" applyFont="1" applyFill="1" applyBorder="1" applyAlignment="1" applyProtection="0">
      <alignment horizontal="left" vertical="top" wrapText="1"/>
    </xf>
    <xf numFmtId="49" fontId="15" fillId="4" borderId="6" applyNumberFormat="1" applyFont="1" applyFill="1" applyBorder="1" applyAlignment="1" applyProtection="0">
      <alignment vertical="top" wrapText="1"/>
    </xf>
    <xf numFmtId="0" fontId="15" fillId="4" borderId="6" applyNumberFormat="0" applyFont="1" applyFill="1" applyBorder="1" applyAlignment="1" applyProtection="0">
      <alignment vertical="top" wrapText="1"/>
    </xf>
    <xf numFmtId="64" fontId="2" borderId="1" applyNumberFormat="1" applyFont="1" applyFill="0" applyBorder="1" applyAlignment="1" applyProtection="0">
      <alignment vertical="top" wrapText="1"/>
    </xf>
    <xf numFmtId="63" fontId="2" borderId="1" applyNumberFormat="1" applyFont="1" applyFill="0" applyBorder="1" applyAlignment="1" applyProtection="0">
      <alignment vertical="top" wrapText="1"/>
    </xf>
    <xf numFmtId="3" fontId="17" borderId="1" applyNumberFormat="1" applyFont="1" applyFill="0" applyBorder="1" applyAlignment="1" applyProtection="0">
      <alignment vertical="top" wrapText="1" readingOrder="1"/>
    </xf>
    <xf numFmtId="64" fontId="2" fillId="5" borderId="1" applyNumberFormat="1" applyFont="1" applyFill="1" applyBorder="1" applyAlignment="1" applyProtection="0">
      <alignment vertical="top" wrapText="1"/>
    </xf>
    <xf numFmtId="65" fontId="2" fillId="5" borderId="1" applyNumberFormat="1" applyFont="1" applyFill="1" applyBorder="1" applyAlignment="1" applyProtection="0">
      <alignment vertical="top" wrapText="1"/>
    </xf>
    <xf numFmtId="65" fontId="2" borderId="1" applyNumberFormat="1" applyFont="1" applyFill="0" applyBorder="1" applyAlignment="1" applyProtection="0">
      <alignment vertical="top" wrapText="1"/>
    </xf>
    <xf numFmtId="49" fontId="15" fillId="4" borderId="1" applyNumberFormat="1" applyFont="1" applyFill="1" applyBorder="1" applyAlignment="1" applyProtection="0">
      <alignment vertical="top" wrapText="1"/>
    </xf>
    <xf numFmtId="49" fontId="16" borderId="6" applyNumberFormat="1" applyFont="1" applyFill="0" applyBorder="1" applyAlignment="1" applyProtection="0">
      <alignment vertical="top" wrapText="1"/>
    </xf>
    <xf numFmtId="66" fontId="2" borderId="1" applyNumberFormat="1" applyFont="1" applyFill="0" applyBorder="1" applyAlignment="1" applyProtection="0">
      <alignment vertical="top" wrapText="1"/>
    </xf>
    <xf numFmtId="66" fontId="2" fillId="5" borderId="1" applyNumberFormat="1" applyFont="1" applyFill="1" applyBorder="1" applyAlignment="1" applyProtection="0">
      <alignment vertical="top" wrapText="1"/>
    </xf>
    <xf numFmtId="0" fontId="15" fillId="7" borderId="1" applyNumberFormat="0" applyFont="1" applyFill="1" applyBorder="1" applyAlignment="1" applyProtection="0">
      <alignment vertical="top" wrapText="1"/>
    </xf>
    <xf numFmtId="0" fontId="15" fillId="7" borderId="1" applyNumberFormat="1" applyFont="1" applyFill="1" applyBorder="1" applyAlignment="1" applyProtection="0">
      <alignment vertical="top" wrapText="1"/>
    </xf>
    <xf numFmtId="49" fontId="15" fillId="7" borderId="6" applyNumberFormat="1" applyFont="1" applyFill="1" applyBorder="1" applyAlignment="1" applyProtection="0">
      <alignment vertical="top" wrapText="1"/>
    </xf>
    <xf numFmtId="4" fontId="2" fillId="4" borderId="1" applyNumberFormat="1" applyFont="1" applyFill="1" applyBorder="1" applyAlignment="1" applyProtection="0">
      <alignment vertical="top" wrapText="1"/>
    </xf>
    <xf numFmtId="67" fontId="2" borderId="1" applyNumberFormat="1" applyFont="1" applyFill="0" applyBorder="1" applyAlignment="1" applyProtection="0">
      <alignment vertical="top" wrapText="1"/>
    </xf>
    <xf numFmtId="68" fontId="2" borderId="1" applyNumberFormat="1" applyFont="1" applyFill="0" applyBorder="1" applyAlignment="1" applyProtection="0">
      <alignment vertical="top" wrapText="1"/>
    </xf>
    <xf numFmtId="0" fontId="15" fillId="8" borderId="1" applyNumberFormat="0" applyFont="1" applyFill="1" applyBorder="1" applyAlignment="1" applyProtection="0">
      <alignment vertical="top" wrapText="1"/>
    </xf>
    <xf numFmtId="49" fontId="2" fillId="4" borderId="6" applyNumberFormat="1" applyFont="1" applyFill="1" applyBorder="1" applyAlignment="1" applyProtection="0">
      <alignment vertical="top" wrapText="1"/>
    </xf>
    <xf numFmtId="0" fontId="2" fillId="5" borderId="1" applyNumberFormat="1" applyFont="1" applyFill="1" applyBorder="1" applyAlignment="1" applyProtection="0">
      <alignment horizontal="justify" vertical="top" wrapText="1"/>
    </xf>
    <xf numFmtId="69" fontId="2" fillId="5" borderId="1" applyNumberFormat="1" applyFont="1" applyFill="1" applyBorder="1" applyAlignment="1" applyProtection="0">
      <alignment vertical="top" wrapText="1"/>
    </xf>
    <xf numFmtId="0" fontId="2" borderId="1" applyNumberFormat="1" applyFont="1" applyFill="0" applyBorder="1" applyAlignment="1" applyProtection="0">
      <alignment horizontal="justify" vertical="top" wrapText="1"/>
    </xf>
    <xf numFmtId="69" fontId="2" borderId="1" applyNumberFormat="1" applyFont="1" applyFill="0" applyBorder="1" applyAlignment="1" applyProtection="0">
      <alignment vertical="top" wrapText="1"/>
    </xf>
    <xf numFmtId="0" fontId="15" fillId="4" borderId="2" applyNumberFormat="0" applyFont="1" applyFill="1" applyBorder="1" applyAlignment="1" applyProtection="0">
      <alignment vertical="top" wrapText="1"/>
    </xf>
    <xf numFmtId="0" fontId="16" fillId="4" borderId="8" applyNumberFormat="0" applyFont="1" applyFill="1" applyBorder="1" applyAlignment="1" applyProtection="0">
      <alignment vertical="top" wrapText="1"/>
    </xf>
    <xf numFmtId="0" fontId="2" borderId="9" applyNumberFormat="0" applyFont="1" applyFill="0" applyBorder="1" applyAlignment="1" applyProtection="0">
      <alignment vertical="top" wrapText="1"/>
    </xf>
    <xf numFmtId="0" fontId="2" borderId="2" applyNumberFormat="1" applyFont="1" applyFill="0" applyBorder="1" applyAlignment="1" applyProtection="0">
      <alignment vertical="top" wrapText="1"/>
    </xf>
    <xf numFmtId="4" fontId="2" borderId="2" applyNumberFormat="1" applyFont="1" applyFill="0" applyBorder="1" applyAlignment="1" applyProtection="0">
      <alignment vertical="top" wrapText="1"/>
    </xf>
    <xf numFmtId="0" fontId="2" borderId="2" applyNumberFormat="0" applyFont="1" applyFill="0" applyBorder="1" applyAlignment="1" applyProtection="0">
      <alignment vertical="top" wrapText="1"/>
    </xf>
    <xf numFmtId="3" fontId="2" borderId="2" applyNumberFormat="1" applyFont="1" applyFill="0" applyBorder="1" applyAlignment="1" applyProtection="0">
      <alignment vertical="top" wrapText="1"/>
    </xf>
    <xf numFmtId="4" fontId="17" fillId="4" borderId="2" applyNumberFormat="1" applyFont="1" applyFill="1" applyBorder="1" applyAlignment="1" applyProtection="0">
      <alignment vertical="top" wrapText="1" readingOrder="1"/>
    </xf>
    <xf numFmtId="49" fontId="2" borderId="2" applyNumberFormat="1" applyFont="1" applyFill="0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justify" vertical="top" wrapText="1"/>
    </xf>
    <xf numFmtId="60" fontId="2" borderId="2" applyNumberFormat="1" applyFont="1" applyFill="0" applyBorder="1" applyAlignment="1" applyProtection="0">
      <alignment vertical="top" wrapText="1"/>
    </xf>
    <xf numFmtId="49" fontId="2" fillId="4" borderId="2" applyNumberFormat="1" applyFont="1" applyFill="1" applyBorder="1" applyAlignment="1" applyProtection="0">
      <alignment vertical="top" wrapText="1"/>
    </xf>
    <xf numFmtId="0" fontId="2" borderId="2" applyNumberFormat="0" applyFont="1" applyFill="0" applyBorder="1" applyAlignment="1" applyProtection="0">
      <alignment vertical="top"/>
    </xf>
    <xf numFmtId="0" fontId="6" borderId="2" applyNumberFormat="0" applyFont="1" applyFill="0" applyBorder="1" applyAlignment="1" applyProtection="0">
      <alignment vertical="top" wrapText="1"/>
    </xf>
    <xf numFmtId="0" fontId="15" fillId="4" borderId="3" applyNumberFormat="1" applyFont="1" applyFill="1" applyBorder="1" applyAlignment="1" applyProtection="0">
      <alignment vertical="top" wrapText="1"/>
    </xf>
    <xf numFmtId="0" fontId="16" fillId="4" borderId="3" applyNumberFormat="0" applyFont="1" applyFill="1" applyBorder="1" applyAlignment="1" applyProtection="0">
      <alignment vertical="top" wrapText="1"/>
    </xf>
    <xf numFmtId="0" fontId="16" fillId="4" borderId="3" applyNumberFormat="1" applyFont="1" applyFill="1" applyBorder="1" applyAlignment="1" applyProtection="0">
      <alignment vertical="top" wrapText="1"/>
    </xf>
    <xf numFmtId="3" fontId="16" borderId="3" applyNumberFormat="1" applyFont="1" applyFill="0" applyBorder="1" applyAlignment="1" applyProtection="0">
      <alignment vertical="top" wrapText="1"/>
    </xf>
    <xf numFmtId="49" fontId="16" borderId="3" applyNumberFormat="1" applyFont="1" applyFill="0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horizontal="justify" vertical="top" wrapText="1"/>
    </xf>
    <xf numFmtId="0" fontId="16" borderId="3" applyNumberFormat="0" applyFont="1" applyFill="0" applyBorder="1" applyAlignment="1" applyProtection="0">
      <alignment vertical="top" wrapText="1"/>
    </xf>
    <xf numFmtId="60" fontId="16" fillId="4" borderId="3" applyNumberFormat="1" applyFont="1" applyFill="1" applyBorder="1" applyAlignment="1" applyProtection="0">
      <alignment vertical="top" wrapText="1"/>
    </xf>
    <xf numFmtId="49" fontId="16" fillId="4" borderId="3" applyNumberFormat="1" applyFont="1" applyFill="1" applyBorder="1" applyAlignment="1" applyProtection="0">
      <alignment vertical="top" wrapText="1"/>
    </xf>
    <xf numFmtId="0" fontId="16" borderId="3" applyNumberFormat="0" applyFont="1" applyFill="0" applyBorder="1" applyAlignment="1" applyProtection="0">
      <alignment vertical="top"/>
    </xf>
    <xf numFmtId="3" fontId="16" fillId="4" borderId="3" applyNumberFormat="1" applyFont="1" applyFill="1" applyBorder="1" applyAlignment="1" applyProtection="0">
      <alignment vertical="top" wrapText="1"/>
    </xf>
    <xf numFmtId="3" fontId="16" fillId="4" borderId="1" applyNumberFormat="1" applyFont="1" applyFill="1" applyBorder="1" applyAlignment="1" applyProtection="0">
      <alignment vertical="top" wrapText="1"/>
    </xf>
    <xf numFmtId="64" fontId="16" borderId="1" applyNumberFormat="1" applyFont="1" applyFill="0" applyBorder="1" applyAlignment="1" applyProtection="0">
      <alignment vertical="top" wrapText="1"/>
    </xf>
    <xf numFmtId="62" fontId="16" borderId="1" applyNumberFormat="1" applyFont="1" applyFill="0" applyBorder="1" applyAlignment="1" applyProtection="0">
      <alignment vertical="top" wrapText="1"/>
    </xf>
    <xf numFmtId="0" fontId="16" borderId="1" applyNumberFormat="0" applyFont="1" applyFill="0" applyBorder="1" applyAlignment="1" applyProtection="0">
      <alignment vertical="top" wrapText="1"/>
    </xf>
    <xf numFmtId="3" fontId="16" borderId="1" applyNumberFormat="1" applyFont="1" applyFill="0" applyBorder="1" applyAlignment="1" applyProtection="0">
      <alignment vertical="top" wrapText="1"/>
    </xf>
    <xf numFmtId="60" fontId="16" fillId="4" borderId="1" applyNumberFormat="1" applyFont="1" applyFill="1" applyBorder="1" applyAlignment="1" applyProtection="0">
      <alignment vertical="top" wrapText="1"/>
    </xf>
    <xf numFmtId="49" fontId="16" borderId="1" applyNumberFormat="1" applyFont="1" applyFill="0" applyBorder="1" applyAlignment="1" applyProtection="0">
      <alignment vertical="top" wrapText="1"/>
    </xf>
    <xf numFmtId="0" fontId="16" borderId="1" applyNumberFormat="0" applyFont="1" applyFill="0" applyBorder="1" applyAlignment="1" applyProtection="0">
      <alignment vertical="top"/>
    </xf>
    <xf numFmtId="0" fontId="16" fillId="4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31"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3"/>
        </patternFill>
      </fill>
    </dxf>
    <dxf>
      <font>
        <color rgb="ff000000"/>
      </font>
      <fill>
        <patternFill patternType="solid">
          <fgColor indexed="11"/>
          <bgColor indexed="19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  <dxf>
      <font>
        <color rgb="ff000000"/>
      </font>
      <fill>
        <patternFill patternType="solid">
          <fgColor indexed="11"/>
          <bgColor indexed="1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3b2de"/>
      <rgbColor rgb="ffbfbfbf"/>
      <rgbColor rgb="00000000"/>
      <rgbColor rgb="e5ff9781"/>
      <rgbColor rgb="e5ffd38a"/>
      <rgbColor rgb="ffffdf7f"/>
      <rgbColor rgb="ff93c175"/>
      <rgbColor rgb="fffefffe"/>
      <rgbColor rgb="ff3f3f3f"/>
      <rgbColor rgb="ff357ca2"/>
      <rgbColor rgb="e598efea"/>
      <rgbColor rgb="ff333333"/>
      <rgbColor rgb="ffe8eef0"/>
      <rgbColor rgb="ffcc9900"/>
      <rgbColor rgb="fff6be98"/>
      <rgbColor rgb="ffb7d6a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BV290"/>
  <sheetViews>
    <sheetView workbookViewId="0" showGridLines="0" defaultGridColor="1">
      <pane topLeftCell="D5" xSplit="3" ySplit="4" activePane="bottomRight" state="frozen"/>
    </sheetView>
  </sheetViews>
  <sheetFormatPr defaultColWidth="12.5" defaultRowHeight="18" customHeight="1" outlineLevelRow="0" outlineLevelCol="0"/>
  <cols>
    <col min="1" max="1" width="21.375" style="1" customWidth="1"/>
    <col min="2" max="2" width="12.7891" style="1" customWidth="1"/>
    <col min="3" max="3" width="33.6719" style="1" customWidth="1"/>
    <col min="4" max="4" width="28" style="1" customWidth="1"/>
    <col min="5" max="5" width="42.8984" style="1" customWidth="1"/>
    <col min="6" max="6" width="16.7031" style="1" customWidth="1"/>
    <col min="7" max="7" width="9.86719" style="1" customWidth="1"/>
    <col min="8" max="8" width="9.82031" style="1" customWidth="1"/>
    <col min="9" max="9" width="9.28906" style="1" customWidth="1"/>
    <col min="10" max="10" width="14.6484" style="1" customWidth="1"/>
    <col min="11" max="12" width="15" style="1" customWidth="1"/>
    <col min="13" max="13" width="15.5547" style="1" customWidth="1"/>
    <col min="14" max="14" width="21.2891" style="1" customWidth="1"/>
    <col min="15" max="15" width="16.3047" style="1" customWidth="1"/>
    <col min="16" max="17" width="12.5" style="1" customWidth="1"/>
    <col min="18" max="18" width="28.2656" style="1" customWidth="1"/>
    <col min="19" max="20" width="12.5" style="1" customWidth="1"/>
    <col min="21" max="21" width="18.3594" style="1" customWidth="1"/>
    <col min="22" max="22" width="18.3125" style="1" customWidth="1"/>
    <col min="23" max="23" width="14.8984" style="1" customWidth="1"/>
    <col min="24" max="24" width="12.3672" style="1" customWidth="1"/>
    <col min="25" max="25" width="12.5" style="1" customWidth="1"/>
    <col min="26" max="26" width="14.8516" style="1" customWidth="1"/>
    <col min="27" max="27" width="17.6328" style="1" customWidth="1"/>
    <col min="28" max="28" width="15.5781" style="1" customWidth="1"/>
    <col min="29" max="29" width="12.5" style="1" customWidth="1"/>
    <col min="30" max="30" width="19.3516" style="1" customWidth="1"/>
    <col min="31" max="31" width="12.5" style="1" customWidth="1"/>
    <col min="32" max="32" width="16.7266" style="1" customWidth="1"/>
    <col min="33" max="33" width="22.3594" style="1" customWidth="1"/>
    <col min="34" max="35" width="11.7266" style="1" customWidth="1"/>
    <col min="36" max="36" width="13.8594" style="1" customWidth="1"/>
    <col min="37" max="37" width="11.7266" style="1" customWidth="1"/>
    <col min="38" max="38" width="14.7266" style="1" customWidth="1"/>
    <col min="39" max="39" width="9.35156" style="1" customWidth="1"/>
    <col min="40" max="40" width="18.2422" style="1" customWidth="1"/>
    <col min="41" max="41" width="13.3125" style="1" customWidth="1"/>
    <col min="42" max="42" width="19.9453" style="1" customWidth="1"/>
    <col min="43" max="43" width="8.5" style="1" customWidth="1"/>
    <col min="44" max="44" width="20.6484" style="1" customWidth="1"/>
    <col min="45" max="45" width="8.5" style="1" customWidth="1"/>
    <col min="46" max="46" width="18.5391" style="1" customWidth="1"/>
    <col min="47" max="47" width="14.5469" style="1" customWidth="1"/>
    <col min="48" max="48" width="8.5" style="1" customWidth="1"/>
    <col min="49" max="49" width="19.6094" style="1" customWidth="1"/>
    <col min="50" max="50" width="16.4453" style="1" customWidth="1"/>
    <col min="51" max="52" width="8.5" style="1" customWidth="1"/>
    <col min="53" max="53" width="16.7109" style="1" customWidth="1"/>
    <col min="54" max="57" width="8.5" style="1" customWidth="1"/>
    <col min="58" max="58" width="9.67188" style="1" customWidth="1"/>
    <col min="59" max="59" width="10.8516" style="1" customWidth="1"/>
    <col min="60" max="60" width="40.2109" style="1" customWidth="1"/>
    <col min="61" max="61" width="12.5859" style="1" customWidth="1"/>
    <col min="62" max="62" width="17.9688" style="1" customWidth="1"/>
    <col min="63" max="66" width="12.5859" style="1" customWidth="1"/>
    <col min="67" max="67" width="17.6641" style="1" customWidth="1"/>
    <col min="68" max="69" width="19.5938" style="1" customWidth="1"/>
    <col min="70" max="70" width="12.7812" style="1" customWidth="1"/>
    <col min="71" max="72" width="12.0625" style="1" customWidth="1"/>
    <col min="73" max="73" width="50.5312" style="1" customWidth="1"/>
    <col min="74" max="74" width="21.9922" style="1" customWidth="1"/>
    <col min="75" max="16384" width="12.5" style="1" customWidth="1"/>
  </cols>
  <sheetData>
    <row r="1" ht="17" customHeight="1">
      <c r="A1" s="2">
        <v>89</v>
      </c>
      <c r="B1" s="3"/>
      <c r="C1" t="str" s="3">
        <v>Pengawasan Pemb./Peningkatan Jalan Ds Benggaulu cs.</v>
      </c>
      <c r="D1" t="str" s="3">
        <v>Pembangunan Jalan</v>
      </c>
      <c r="E1" t="str" s="3">
        <v>Pengawasan Pemb./Peningkatan Jalan Ds Benggaulu cs.</v>
      </c>
      <c r="F1" s="4">
        <v>0</v>
      </c>
      <c r="G1" s="4">
        <v>0</v>
      </c>
      <c r="H1" s="4">
        <v>0</v>
      </c>
      <c r="I1" s="4">
        <v>0</v>
      </c>
      <c r="J1" s="5">
        <v>68500000</v>
      </c>
      <c r="K1" s="5">
        <v>68490000</v>
      </c>
      <c r="L1" s="5">
        <v>68045508</v>
      </c>
      <c r="M1" s="5">
        <v>68045000</v>
      </c>
      <c r="N1" t="str" s="3">
        <v>6 CV. Asa Karya</v>
      </c>
      <c r="O1" t="str" s="3">
        <v>Hasan, ST</v>
      </c>
      <c r="P1" t="str" s="3">
        <v>Direktur</v>
      </c>
      <c r="Q1" t="str" s="3">
        <v>02.821.676.0-805.000</v>
      </c>
      <c r="R1" t="str" s="3">
        <v>Jl. Andi Pelang Kec. Pasangkayu Kab. Pasangkayu</v>
      </c>
      <c r="S1" s="4">
        <v>24</v>
      </c>
      <c r="T1" s="6">
        <v>44516</v>
      </c>
      <c r="U1" t="str" s="3">
        <v>Muh.Asyurah SH.,MH.,M.Kn</v>
      </c>
      <c r="V1" t="str" s="3">
        <v>130-003-0000255587 Bank Sulselbar</v>
      </c>
      <c r="W1" t="str" s="3">
        <v>CV. Asa Karya</v>
      </c>
      <c r="X1" s="4">
        <v>150</v>
      </c>
      <c r="Y1" t="str" s="3">
        <v>APBD</v>
      </c>
      <c r="Z1" s="7">
        <v>68045000</v>
      </c>
      <c r="AA1" t="str" s="3">
        <v>SPSE</v>
      </c>
      <c r="AB1" s="6">
        <v>45768</v>
      </c>
      <c r="AC1" s="4">
        <v>0</v>
      </c>
      <c r="AD1" t="str" s="3">
        <v>Waktu Penugasan</v>
      </c>
      <c r="AE1" t="str" s="3">
        <v>Konsultansi</v>
      </c>
      <c r="AF1" t="str" s="3">
        <v>1.03.03.2.01.0028 </v>
      </c>
      <c r="AG1" s="8">
        <v>45765</v>
      </c>
      <c r="AH1" s="8">
        <v>45768</v>
      </c>
      <c r="AI1" s="8">
        <v>45768</v>
      </c>
      <c r="AJ1" s="8">
        <v>45768</v>
      </c>
      <c r="AK1" s="8">
        <v>45768</v>
      </c>
      <c r="AL1" s="8">
        <v>45768</v>
      </c>
      <c r="AM1" s="8">
        <v>45768</v>
      </c>
      <c r="AN1" t="str" s="3">
        <v>56527550/BAHPL/2025</v>
      </c>
      <c r="AO1" s="6">
        <v>45853</v>
      </c>
      <c r="AP1" t="str" s="3">
        <v>56527550/PEN/2025</v>
      </c>
      <c r="AQ1" s="6">
        <v>45768</v>
      </c>
      <c r="AR1" t="str" s="3">
        <v>56527550/UMUM/PEJ-PENG/DPUPR/IV/2025</v>
      </c>
      <c r="AS1" s="6">
        <v>45768</v>
      </c>
      <c r="AT1" t="str" s="3">
        <v>56527550/KLAR-NEG/PEJ-PENG/DPUPR/IV/2025</v>
      </c>
      <c r="AU1" s="6">
        <v>45768</v>
      </c>
      <c r="AV1" s="4">
        <v>0</v>
      </c>
      <c r="AW1" t="str" s="9">
        <v>600/56527550/SPK-Konsultansi/PPK/DPUPR</v>
      </c>
      <c r="AX1" t="str" s="9">
        <v>600/56527550/SPMK/PPK/DPUPR</v>
      </c>
      <c r="AY1" s="4">
        <v>0</v>
      </c>
      <c r="AZ1" s="4">
        <v>0</v>
      </c>
      <c r="BA1" s="4">
        <v>0</v>
      </c>
      <c r="BB1" s="4">
        <v>0</v>
      </c>
      <c r="BC1" s="4">
        <v>0</v>
      </c>
      <c r="BD1" s="4">
        <v>0</v>
      </c>
      <c r="BE1" s="4">
        <v>0</v>
      </c>
      <c r="BF1" s="4">
        <v>0</v>
      </c>
      <c r="BG1" s="10">
        <v>6</v>
      </c>
      <c r="BH1" t="str" s="3">
        <v>6 CV. Asa Karya</v>
      </c>
      <c r="BI1" t="str" s="3">
        <v>Pelelangan Umum</v>
      </c>
      <c r="BJ1" t="str" s="3">
        <v>Metode Satu Sampul </v>
      </c>
      <c r="BK1" t="str" s="3">
        <v>Pascakualifikasi</v>
      </c>
      <c r="BL1" t="str" s="3">
        <v>Sistem Gugur</v>
      </c>
      <c r="BM1" s="4">
        <v>0</v>
      </c>
      <c r="BN1" s="4">
        <v>0</v>
      </c>
      <c r="BO1" s="4">
        <v>0</v>
      </c>
      <c r="BP1" s="4">
        <v>0</v>
      </c>
      <c r="BQ1" s="4">
        <v>0</v>
      </c>
      <c r="BR1" t="b" s="4">
        <v>0</v>
      </c>
      <c r="BS1" s="11">
        <v>3402250</v>
      </c>
      <c r="BT1" t="str" s="3">
        <v>SYAMSUNAR, Sp, MM</v>
      </c>
      <c r="BU1" s="4">
        <v>0</v>
      </c>
      <c r="BV1" s="11"/>
    </row>
    <row r="2" ht="17" customHeight="1">
      <c r="A2" s="3"/>
      <c r="B2" s="3"/>
      <c r="C2" s="3"/>
      <c r="D2" s="3"/>
      <c r="E2" s="3"/>
      <c r="F2" s="3"/>
      <c r="G2" s="3"/>
      <c r="H2" s="3"/>
      <c r="I2" s="3"/>
      <c r="J2" t="str" s="12" cm="1">
        <f t="array" ref="J2">IF(ISBLANK(ROUND(VALUE(J1),0)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IF(LEN(ROUND(VALUE(J1),0))&gt;17,LEFT(RIGHT(ROUND(VALUE(J1),0),18),1),"")&amp;IF(LEN(ROUND(VALUE(J1),0))&gt;17,"Ratus ","")&amp;IF(LEN(ROUND(VALUE(J1),0))&gt;16,LEFT(RIGHT(ROUND(VALUE(J1),0),17),1),"")&amp;IF(LEN(ROUND(VALUE(J1),0))&gt;16,"Puluh ","")&amp;IF(LEN(ROUND(VALUE(J1),0))&gt;15,LEFT(RIGHT(ROUND(VALUE(J1),0),16),1),"")&amp;IF(LEN(ROUND(VALUE(J1),0))&gt;15,IF(AND(LEFT(RIGHT(ROUND(VALUE(J1),0),16),1)="0",LEFT(RIGHT(ROUND(VALUE(J1),0),17),1)="0",LEFT(RIGHT(ROUND(VALUE(J1),0),18),1)="0"),"","Kuadrilium "),"")&amp;IF(LEN(ROUND(VALUE(J1),0))&gt;14,LEFT(RIGHT(ROUND(VALUE(J1),0),15),1),"")&amp;IF(LEN(ROUND(VALUE(J1),0))&gt;14,"Ratus ","")&amp;IF(LEN(ROUND(VALUE(J1),0))&gt;13,LEFT(RIGHT(ROUND(VALUE(J1),0),14),1),"")&amp;IF(LEN(ROUND(VALUE(J1),0))&gt;13,"Puluh ","")&amp;IF(LEN(ROUND(VALUE(J1),0))&gt;12,LEFT(RIGHT(ROUND(VALUE(J1),0),13),1),"")&amp;IF(LEN(ROUND(VALUE(J1),0))&gt;12,IF(AND(LEFT(RIGHT(ROUND(VALUE(J1),0),13),1)="0",LEFT(RIGHT(ROUND(VALUE(J1),0),14),1)="0",LEFT(RIGHT(ROUND(VALUE(J1),0),15),1)="0"),"","Triliun "),"")&amp;IF(LEN(ROUND(VALUE(J1),0))&gt;11,LEFT(RIGHT(ROUND(VALUE(J1),0),12),1),"")&amp;IF(LEN(ROUND(VALUE(J1),0))&gt;11,"Ratus ","")&amp;IF(LEN(ROUND(VALUE(J1),0))&gt;10,LEFT(RIGHT(ROUND(VALUE(J1),0),11),1),"")&amp;IF(LEN(ROUND(VALUE(J1),0))&gt;10,"Puluh ","")&amp;IF(LEN(ROUND(VALUE(J1),0))&gt;9,LEFT(RIGHT(ROUND(VALUE(J1),0),10),1),"")&amp;IF(LEN(ROUND(VALUE(J1),0))&gt;9,IF(AND(LEFT(RIGHT(ROUND(VALUE(J1),0),10),1)="0",LEFT(RIGHT(ROUND(VALUE(J1),0),11),1)="0",LEFT(RIGHT(ROUND(VALUE(J1),0),12),1)="0"),"","Milyar "),"")&amp;IF(LEN(ROUND(VALUE(J1),0))&gt;8,LEFT(RIGHT(ROUND(VALUE(J1),0),9),1),"")&amp;IF(LEN(ROUND(VALUE(J1),0))&gt;8,"Ratus ","")&amp;IF(LEN(ROUND(VALUE(J1),0))&gt;7,LEFT(RIGHT(ROUND(VALUE(J1),0),8),1),"")&amp;IF(LEN(ROUND(VALUE(J1),0))&gt;7,"Puluh ","")&amp;IF(LEN(ROUND(VALUE(J1),0))&gt;6,LEFT(RIGHT(ROUND(VALUE(J1),0),7),1),"")&amp;IF(LEN(ROUND(VALUE(J1),0))&gt;6,IF(AND(LEFT(RIGHT(ROUND(VALUE(J1),0),7),1)="0",LEFT(RIGHT(ROUND(VALUE(J1),0),8),1)="0",LEFT(RIGHT(ROUND(VALUE(J1),0),9),1)="0"),"","Juta "),"")&amp;IF(LEN(ROUND(VALUE(J1),0))&gt;5,LEFT(RIGHT(ROUND(VALUE(J1),0),6),1),"")&amp;IF(LEN(ROUND(VALUE(J1),0))&gt;5,"Ratus ","")&amp;IF(LEN(ROUND(VALUE(J1),0))&gt;4,LEFT(RIGHT(ROUND(VALUE(J1),0),5),1),"")&amp;IF(LEN(ROUND(VALUE(J1),0))&gt;4,"Puluh ","")&amp;IF(LEN(ROUND(VALUE(J1),0))&gt;3,LEFT(RIGHT(ROUND(VALUE(J1),0),4),1),"")&amp;IF(LEN(ROUND(VALUE(J1),0))&gt;3,IF(AND(LEFT(RIGHT(ROUND(VALUE(J1),0),4),1)="0",LEFT(RIGHT(ROUND(VALUE(J1),0),5),1)="0",LEFT(RIGHT(ROUND(VALUE(J1),0),6),1)="0"),"","Ribu "),"")&amp;IF(LEN(ROUND(VALUE(J1),0))&gt;2,LEFT(RIGHT(ROUND(VALUE(J1),0),3),1),"")&amp;IF(LEN(ROUND(VALUE(J1),0))&gt;2,"Ratus ","")&amp;IF(LEN(ROUND(VALUE(J1),0))&gt;1,LEFT(RIGHT(ROUND(VALUE(J1),0),2),1),"")&amp;IF(LEN(ROUND(VALUE(J1),0))&gt;1,"Puluh ","")&amp;IF(LEN(ROUND(VALUE(J1),0))&gt;0,LEFT(RIGHT(ROUND(VALUE(J1),0),1),1),""),"0","Nol"),"1","Satu "),"2","Dua "),"3","Tiga "),"4","Empat "),"5","Lima "),"6","Enam "),"7","Tujuh "),"8","Delapan "),"9","Sembilan "),"Satu Puluh","Sepuluh"),"Sepuluh Satu","Sebelas"),"Sepuluh Dua","Dua Belas"),"Sepuluh Tiga","Tiga Belas"),"Sepuluh Empat","Empat Belas"),"Sepuluh Lima","Lima Belas"),"Sepuluh Enam","Enam Belas"),"Sepuluh Tujuh","Tujuh Belas"),"Sepuluh Delapan","Delapan Belas"),"Sepuluh Sembilan","Sembilan Belas"),"NolTriliun","Triliun"),"NolMilyar","Milyar"),"NolJuta","Juta")," Nol Ribu"," Ribu"),"NolRatus",""),"NolPuluh",""),"Satu Ribu","Satu Ribu"),"Satu Ratus","Seratus "),"Nol",""))</f>
        <v>Enam Puluh Delapan Juta Lima Ratus  Ribu   </v>
      </c>
      <c r="K2" t="str" s="12" cm="1">
        <f t="array" ref="K2">IF(ISBLANK(ROUND(VALUE(K1),0)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IF(LEN(ROUND(VALUE(K1),0))&gt;17,LEFT(RIGHT(ROUND(VALUE(K1),0),18),1),"")&amp;IF(LEN(ROUND(VALUE(K1),0))&gt;17,"Ratus ","")&amp;IF(LEN(ROUND(VALUE(K1),0))&gt;16,LEFT(RIGHT(ROUND(VALUE(K1),0),17),1),"")&amp;IF(LEN(ROUND(VALUE(K1),0))&gt;16,"Puluh ","")&amp;IF(LEN(ROUND(VALUE(K1),0))&gt;15,LEFT(RIGHT(ROUND(VALUE(K1),0),16),1),"")&amp;IF(LEN(ROUND(VALUE(K1),0))&gt;15,IF(AND(LEFT(RIGHT(ROUND(VALUE(K1),0),16),1)="0",LEFT(RIGHT(ROUND(VALUE(K1),0),17),1)="0",LEFT(RIGHT(ROUND(VALUE(K1),0),18),1)="0"),"","Kuadrilium "),"")&amp;IF(LEN(ROUND(VALUE(K1),0))&gt;14,LEFT(RIGHT(ROUND(VALUE(K1),0),15),1),"")&amp;IF(LEN(ROUND(VALUE(K1),0))&gt;14,"Ratus ","")&amp;IF(LEN(ROUND(VALUE(K1),0))&gt;13,LEFT(RIGHT(ROUND(VALUE(K1),0),14),1),"")&amp;IF(LEN(ROUND(VALUE(K1),0))&gt;13,"Puluh ","")&amp;IF(LEN(ROUND(VALUE(K1),0))&gt;12,LEFT(RIGHT(ROUND(VALUE(K1),0),13),1),"")&amp;IF(LEN(ROUND(VALUE(K1),0))&gt;12,IF(AND(LEFT(RIGHT(ROUND(VALUE(K1),0),13),1)="0",LEFT(RIGHT(ROUND(VALUE(K1),0),14),1)="0",LEFT(RIGHT(ROUND(VALUE(K1),0),15),1)="0"),"","Triliun "),"")&amp;IF(LEN(ROUND(VALUE(K1),0))&gt;11,LEFT(RIGHT(ROUND(VALUE(K1),0),12),1),"")&amp;IF(LEN(ROUND(VALUE(K1),0))&gt;11,"Ratus ","")&amp;IF(LEN(ROUND(VALUE(K1),0))&gt;10,LEFT(RIGHT(ROUND(VALUE(K1),0),11),1),"")&amp;IF(LEN(ROUND(VALUE(K1),0))&gt;10,"Puluh ","")&amp;IF(LEN(ROUND(VALUE(K1),0))&gt;9,LEFT(RIGHT(ROUND(VALUE(K1),0),10),1),"")&amp;IF(LEN(ROUND(VALUE(K1),0))&gt;9,IF(AND(LEFT(RIGHT(ROUND(VALUE(K1),0),10),1)="0",LEFT(RIGHT(ROUND(VALUE(K1),0),11),1)="0",LEFT(RIGHT(ROUND(VALUE(K1),0),12),1)="0"),"","Milyar "),"")&amp;IF(LEN(ROUND(VALUE(K1),0))&gt;8,LEFT(RIGHT(ROUND(VALUE(K1),0),9),1),"")&amp;IF(LEN(ROUND(VALUE(K1),0))&gt;8,"Ratus ","")&amp;IF(LEN(ROUND(VALUE(K1),0))&gt;7,LEFT(RIGHT(ROUND(VALUE(K1),0),8),1),"")&amp;IF(LEN(ROUND(VALUE(K1),0))&gt;7,"Puluh ","")&amp;IF(LEN(ROUND(VALUE(K1),0))&gt;6,LEFT(RIGHT(ROUND(VALUE(K1),0),7),1),"")&amp;IF(LEN(ROUND(VALUE(K1),0))&gt;6,IF(AND(LEFT(RIGHT(ROUND(VALUE(K1),0),7),1)="0",LEFT(RIGHT(ROUND(VALUE(K1),0),8),1)="0",LEFT(RIGHT(ROUND(VALUE(K1),0),9),1)="0"),"","Juta "),"")&amp;IF(LEN(ROUND(VALUE(K1),0))&gt;5,LEFT(RIGHT(ROUND(VALUE(K1),0),6),1),"")&amp;IF(LEN(ROUND(VALUE(K1),0))&gt;5,"Ratus ","")&amp;IF(LEN(ROUND(VALUE(K1),0))&gt;4,LEFT(RIGHT(ROUND(VALUE(K1),0),5),1),"")&amp;IF(LEN(ROUND(VALUE(K1),0))&gt;4,"Puluh ","")&amp;IF(LEN(ROUND(VALUE(K1),0))&gt;3,LEFT(RIGHT(ROUND(VALUE(K1),0),4),1),"")&amp;IF(LEN(ROUND(VALUE(K1),0))&gt;3,IF(AND(LEFT(RIGHT(ROUND(VALUE(K1),0),4),1)="0",LEFT(RIGHT(ROUND(VALUE(K1),0),5),1)="0",LEFT(RIGHT(ROUND(VALUE(K1),0),6),1)="0"),"","Ribu "),"")&amp;IF(LEN(ROUND(VALUE(K1),0))&gt;2,LEFT(RIGHT(ROUND(VALUE(K1),0),3),1),"")&amp;IF(LEN(ROUND(VALUE(K1),0))&gt;2,"Ratus ","")&amp;IF(LEN(ROUND(VALUE(K1),0))&gt;1,LEFT(RIGHT(ROUND(VALUE(K1),0),2),1),"")&amp;IF(LEN(ROUND(VALUE(K1),0))&gt;1,"Puluh ","")&amp;IF(LEN(ROUND(VALUE(K1),0))&gt;0,LEFT(RIGHT(ROUND(VALUE(K1),0),1),1),""),"0","Nol"),"1","Satu "),"2","Dua "),"3","Tiga "),"4","Empat "),"5","Lima "),"6","Enam "),"7","Tujuh "),"8","Delapan "),"9","Sembilan "),"Satu Puluh","Sepuluh"),"Sepuluh Satu","Sebelas"),"Sepuluh Dua","Dua Belas"),"Sepuluh Tiga","Tiga Belas"),"Sepuluh Empat","Empat Belas"),"Sepuluh Lima","Lima Belas"),"Sepuluh Enam","Enam Belas"),"Sepuluh Tujuh","Tujuh Belas"),"Sepuluh Delapan","Delapan Belas"),"Sepuluh Sembilan","Sembilan Belas"),"NolTriliun","Triliun"),"NolMilyar","Milyar"),"NolJuta","Juta")," Nol Ribu"," Ribu"),"NolRatus",""),"NolPuluh",""),"Satu Ribu","Satu Ribu"),"Satu Ratus","Seratus "),"Nol",""))</f>
        <v>Enam Puluh Delapan Juta Empat Ratus Sembilan Puluh Ribu   </v>
      </c>
      <c r="L2" t="str" s="12" cm="1">
        <f t="array" ref="L2">IF(ISBLANK(ROUND(VALUE(L1),0)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IF(LEN(ROUND(VALUE(L1),0))&gt;17,LEFT(RIGHT(ROUND(VALUE(L1),0),18),1),"")&amp;IF(LEN(ROUND(VALUE(L1),0))&gt;17,"Ratus ","")&amp;IF(LEN(ROUND(VALUE(L1),0))&gt;16,LEFT(RIGHT(ROUND(VALUE(L1),0),17),1),"")&amp;IF(LEN(ROUND(VALUE(L1),0))&gt;16,"Puluh ","")&amp;IF(LEN(ROUND(VALUE(L1),0))&gt;15,LEFT(RIGHT(ROUND(VALUE(L1),0),16),1),"")&amp;IF(LEN(ROUND(VALUE(L1),0))&gt;15,IF(AND(LEFT(RIGHT(ROUND(VALUE(L1),0),16),1)="0",LEFT(RIGHT(ROUND(VALUE(L1),0),17),1)="0",LEFT(RIGHT(ROUND(VALUE(L1),0),18),1)="0"),"","Kuadrilium "),"")&amp;IF(LEN(ROUND(VALUE(L1),0))&gt;14,LEFT(RIGHT(ROUND(VALUE(L1),0),15),1),"")&amp;IF(LEN(ROUND(VALUE(L1),0))&gt;14,"Ratus ","")&amp;IF(LEN(ROUND(VALUE(L1),0))&gt;13,LEFT(RIGHT(ROUND(VALUE(L1),0),14),1),"")&amp;IF(LEN(ROUND(VALUE(L1),0))&gt;13,"Puluh ","")&amp;IF(LEN(ROUND(VALUE(L1),0))&gt;12,LEFT(RIGHT(ROUND(VALUE(L1),0),13),1),"")&amp;IF(LEN(ROUND(VALUE(L1),0))&gt;12,IF(AND(LEFT(RIGHT(ROUND(VALUE(L1),0),13),1)="0",LEFT(RIGHT(ROUND(VALUE(L1),0),14),1)="0",LEFT(RIGHT(ROUND(VALUE(L1),0),15),1)="0"),"","Triliun "),"")&amp;IF(LEN(ROUND(VALUE(L1),0))&gt;11,LEFT(RIGHT(ROUND(VALUE(L1),0),12),1),"")&amp;IF(LEN(ROUND(VALUE(L1),0))&gt;11,"Ratus ","")&amp;IF(LEN(ROUND(VALUE(L1),0))&gt;10,LEFT(RIGHT(ROUND(VALUE(L1),0),11),1),"")&amp;IF(LEN(ROUND(VALUE(L1),0))&gt;10,"Puluh ","")&amp;IF(LEN(ROUND(VALUE(L1),0))&gt;9,LEFT(RIGHT(ROUND(VALUE(L1),0),10),1),"")&amp;IF(LEN(ROUND(VALUE(L1),0))&gt;9,IF(AND(LEFT(RIGHT(ROUND(VALUE(L1),0),10),1)="0",LEFT(RIGHT(ROUND(VALUE(L1),0),11),1)="0",LEFT(RIGHT(ROUND(VALUE(L1),0),12),1)="0"),"","Milyar "),"")&amp;IF(LEN(ROUND(VALUE(L1),0))&gt;8,LEFT(RIGHT(ROUND(VALUE(L1),0),9),1),"")&amp;IF(LEN(ROUND(VALUE(L1),0))&gt;8,"Ratus ","")&amp;IF(LEN(ROUND(VALUE(L1),0))&gt;7,LEFT(RIGHT(ROUND(VALUE(L1),0),8),1),"")&amp;IF(LEN(ROUND(VALUE(L1),0))&gt;7,"Puluh ","")&amp;IF(LEN(ROUND(VALUE(L1),0))&gt;6,LEFT(RIGHT(ROUND(VALUE(L1),0),7),1),"")&amp;IF(LEN(ROUND(VALUE(L1),0))&gt;6,IF(AND(LEFT(RIGHT(ROUND(VALUE(L1),0),7),1)="0",LEFT(RIGHT(ROUND(VALUE(L1),0),8),1)="0",LEFT(RIGHT(ROUND(VALUE(L1),0),9),1)="0"),"","Juta "),"")&amp;IF(LEN(ROUND(VALUE(L1),0))&gt;5,LEFT(RIGHT(ROUND(VALUE(L1),0),6),1),"")&amp;IF(LEN(ROUND(VALUE(L1),0))&gt;5,"Ratus ","")&amp;IF(LEN(ROUND(VALUE(L1),0))&gt;4,LEFT(RIGHT(ROUND(VALUE(L1),0),5),1),"")&amp;IF(LEN(ROUND(VALUE(L1),0))&gt;4,"Puluh ","")&amp;IF(LEN(ROUND(VALUE(L1),0))&gt;3,LEFT(RIGHT(ROUND(VALUE(L1),0),4),1),"")&amp;IF(LEN(ROUND(VALUE(L1),0))&gt;3,IF(AND(LEFT(RIGHT(ROUND(VALUE(L1),0),4),1)="0",LEFT(RIGHT(ROUND(VALUE(L1),0),5),1)="0",LEFT(RIGHT(ROUND(VALUE(L1),0),6),1)="0"),"","Ribu "),"")&amp;IF(LEN(ROUND(VALUE(L1),0))&gt;2,LEFT(RIGHT(ROUND(VALUE(L1),0),3),1),"")&amp;IF(LEN(ROUND(VALUE(L1),0))&gt;2,"Ratus ","")&amp;IF(LEN(ROUND(VALUE(L1),0))&gt;1,LEFT(RIGHT(ROUND(VALUE(L1),0),2),1),"")&amp;IF(LEN(ROUND(VALUE(L1),0))&gt;1,"Puluh ","")&amp;IF(LEN(ROUND(VALUE(L1),0))&gt;0,LEFT(RIGHT(ROUND(VALUE(L1),0),1),1),""),"0","Nol"),"1","Satu "),"2","Dua "),"3","Tiga "),"4","Empat "),"5","Lima "),"6","Enam "),"7","Tujuh "),"8","Delapan "),"9","Sembilan "),"Satu Puluh","Sepuluh"),"Sepuluh Satu","Sebelas"),"Sepuluh Dua","Dua Belas"),"Sepuluh Tiga","Tiga Belas"),"Sepuluh Empat","Empat Belas"),"Sepuluh Lima","Lima Belas"),"Sepuluh Enam","Enam Belas"),"Sepuluh Tujuh","Tujuh Belas"),"Sepuluh Delapan","Delapan Belas"),"Sepuluh Sembilan","Sembilan Belas"),"NolTriliun","Triliun"),"NolMilyar","Milyar"),"NolJuta","Juta")," Nol Ribu"," Ribu"),"NolRatus",""),"NolPuluh",""),"Satu Ribu","Satu Ribu"),"Satu Ratus","Seratus "),"Nol",""))</f>
        <v>Enam Puluh Delapan Juta  Empat Puluh Lima Ribu Lima Ratus  Delapan </v>
      </c>
      <c r="M2" t="str" s="12" cm="1">
        <f t="array" ref="M2">IF(ISBLANK(ROUND(VALUE(M1),0)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IF(LEN(ROUND(VALUE(M1),0))&gt;17,LEFT(RIGHT(ROUND(VALUE(M1),0),18),1),"")&amp;IF(LEN(ROUND(VALUE(M1),0))&gt;17,"Ratus ","")&amp;IF(LEN(ROUND(VALUE(M1),0))&gt;16,LEFT(RIGHT(ROUND(VALUE(M1),0),17),1),"")&amp;IF(LEN(ROUND(VALUE(M1),0))&gt;16,"Puluh ","")&amp;IF(LEN(ROUND(VALUE(M1),0))&gt;15,LEFT(RIGHT(ROUND(VALUE(M1),0),16),1),"")&amp;IF(LEN(ROUND(VALUE(M1),0))&gt;15,IF(AND(LEFT(RIGHT(ROUND(VALUE(M1),0),16),1)="0",LEFT(RIGHT(ROUND(VALUE(M1),0),17),1)="0",LEFT(RIGHT(ROUND(VALUE(M1),0),18),1)="0"),"","Kuadrilium "),"")&amp;IF(LEN(ROUND(VALUE(M1),0))&gt;14,LEFT(RIGHT(ROUND(VALUE(M1),0),15),1),"")&amp;IF(LEN(ROUND(VALUE(M1),0))&gt;14,"Ratus ","")&amp;IF(LEN(ROUND(VALUE(M1),0))&gt;13,LEFT(RIGHT(ROUND(VALUE(M1),0),14),1),"")&amp;IF(LEN(ROUND(VALUE(M1),0))&gt;13,"Puluh ","")&amp;IF(LEN(ROUND(VALUE(M1),0))&gt;12,LEFT(RIGHT(ROUND(VALUE(M1),0),13),1),"")&amp;IF(LEN(ROUND(VALUE(M1),0))&gt;12,IF(AND(LEFT(RIGHT(ROUND(VALUE(M1),0),13),1)="0",LEFT(RIGHT(ROUND(VALUE(M1),0),14),1)="0",LEFT(RIGHT(ROUND(VALUE(M1),0),15),1)="0"),"","Triliun "),"")&amp;IF(LEN(ROUND(VALUE(M1),0))&gt;11,LEFT(RIGHT(ROUND(VALUE(M1),0),12),1),"")&amp;IF(LEN(ROUND(VALUE(M1),0))&gt;11,"Ratus ","")&amp;IF(LEN(ROUND(VALUE(M1),0))&gt;10,LEFT(RIGHT(ROUND(VALUE(M1),0),11),1),"")&amp;IF(LEN(ROUND(VALUE(M1),0))&gt;10,"Puluh ","")&amp;IF(LEN(ROUND(VALUE(M1),0))&gt;9,LEFT(RIGHT(ROUND(VALUE(M1),0),10),1),"")&amp;IF(LEN(ROUND(VALUE(M1),0))&gt;9,IF(AND(LEFT(RIGHT(ROUND(VALUE(M1),0),10),1)="0",LEFT(RIGHT(ROUND(VALUE(M1),0),11),1)="0",LEFT(RIGHT(ROUND(VALUE(M1),0),12),1)="0"),"","Milyar "),"")&amp;IF(LEN(ROUND(VALUE(M1),0))&gt;8,LEFT(RIGHT(ROUND(VALUE(M1),0),9),1),"")&amp;IF(LEN(ROUND(VALUE(M1),0))&gt;8,"Ratus ","")&amp;IF(LEN(ROUND(VALUE(M1),0))&gt;7,LEFT(RIGHT(ROUND(VALUE(M1),0),8),1),"")&amp;IF(LEN(ROUND(VALUE(M1),0))&gt;7,"Puluh ","")&amp;IF(LEN(ROUND(VALUE(M1),0))&gt;6,LEFT(RIGHT(ROUND(VALUE(M1),0),7),1),"")&amp;IF(LEN(ROUND(VALUE(M1),0))&gt;6,IF(AND(LEFT(RIGHT(ROUND(VALUE(M1),0),7),1)="0",LEFT(RIGHT(ROUND(VALUE(M1),0),8),1)="0",LEFT(RIGHT(ROUND(VALUE(M1),0),9),1)="0"),"","Juta "),"")&amp;IF(LEN(ROUND(VALUE(M1),0))&gt;5,LEFT(RIGHT(ROUND(VALUE(M1),0),6),1),"")&amp;IF(LEN(ROUND(VALUE(M1),0))&gt;5,"Ratus ","")&amp;IF(LEN(ROUND(VALUE(M1),0))&gt;4,LEFT(RIGHT(ROUND(VALUE(M1),0),5),1),"")&amp;IF(LEN(ROUND(VALUE(M1),0))&gt;4,"Puluh ","")&amp;IF(LEN(ROUND(VALUE(M1),0))&gt;3,LEFT(RIGHT(ROUND(VALUE(M1),0),4),1),"")&amp;IF(LEN(ROUND(VALUE(M1),0))&gt;3,IF(AND(LEFT(RIGHT(ROUND(VALUE(M1),0),4),1)="0",LEFT(RIGHT(ROUND(VALUE(M1),0),5),1)="0",LEFT(RIGHT(ROUND(VALUE(M1),0),6),1)="0"),"","Ribu "),"")&amp;IF(LEN(ROUND(VALUE(M1),0))&gt;2,LEFT(RIGHT(ROUND(VALUE(M1),0),3),1),"")&amp;IF(LEN(ROUND(VALUE(M1),0))&gt;2,"Ratus ","")&amp;IF(LEN(ROUND(VALUE(M1),0))&gt;1,LEFT(RIGHT(ROUND(VALUE(M1),0),2),1),"")&amp;IF(LEN(ROUND(VALUE(M1),0))&gt;1,"Puluh ","")&amp;IF(LEN(ROUND(VALUE(M1),0))&gt;0,LEFT(RIGHT(ROUND(VALUE(M1),0),1),1),""),"0","Nol"),"1","Satu "),"2","Dua "),"3","Tiga "),"4","Empat "),"5","Lima "),"6","Enam "),"7","Tujuh "),"8","Delapan "),"9","Sembilan "),"Satu Puluh","Sepuluh"),"Sepuluh Satu","Sebelas"),"Sepuluh Dua","Dua Belas"),"Sepuluh Tiga","Tiga Belas"),"Sepuluh Empat","Empat Belas"),"Sepuluh Lima","Lima Belas"),"Sepuluh Enam","Enam Belas"),"Sepuluh Tujuh","Tujuh Belas"),"Sepuluh Delapan","Delapan Belas"),"Sepuluh Sembilan","Sembilan Belas"),"NolTriliun","Triliun"),"NolMilyar","Milyar"),"NolJuta","Juta")," Nol Ribu"," Ribu"),"NolRatus",""),"NolPuluh",""),"Satu Ribu","Satu Ribu"),"Satu Ratus","Seratus "),"Nol",""))</f>
        <v>Enam Puluh Delapan Juta  Empat Puluh Lima Ribu   </v>
      </c>
      <c r="N2" s="3"/>
      <c r="O2" s="3"/>
      <c r="P2" s="13"/>
      <c r="Q2" s="13"/>
      <c r="R2" s="13"/>
      <c r="S2" s="13"/>
      <c r="T2" s="13"/>
      <c r="U2" s="13"/>
      <c r="V2" s="13"/>
      <c r="W2" s="14" cm="1">
        <f t="array" ref="W2">X$1-1+AM$1</f>
        <v>45917</v>
      </c>
      <c r="X2" t="str" s="12" cm="1">
        <f t="array" ref="X2">IF(ISBLANK(ROUND(VALUE(X1),0)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IF(LEN(ROUND(VALUE(X1),0))&gt;17,LEFT(RIGHT(ROUND(VALUE(X1),0),18),1),"")&amp;IF(LEN(ROUND(VALUE(X1),0))&gt;17,"Ratus ","")&amp;IF(LEN(ROUND(VALUE(X1),0))&gt;16,LEFT(RIGHT(ROUND(VALUE(X1),0),17),1),"")&amp;IF(LEN(ROUND(VALUE(X1),0))&gt;16,"Puluh ","")&amp;IF(LEN(ROUND(VALUE(X1),0))&gt;15,LEFT(RIGHT(ROUND(VALUE(X1),0),16),1),"")&amp;IF(LEN(ROUND(VALUE(X1),0))&gt;15,IF(AND(LEFT(RIGHT(ROUND(VALUE(X1),0),16),1)="0",LEFT(RIGHT(ROUND(VALUE(X1),0),17),1)="0",LEFT(RIGHT(ROUND(VALUE(X1),0),18),1)="0"),"","Kuadrilium "),"")&amp;IF(LEN(ROUND(VALUE(X1),0))&gt;14,LEFT(RIGHT(ROUND(VALUE(X1),0),15),1),"")&amp;IF(LEN(ROUND(VALUE(X1),0))&gt;14,"Ratus ","")&amp;IF(LEN(ROUND(VALUE(X1),0))&gt;13,LEFT(RIGHT(ROUND(VALUE(X1),0),14),1),"")&amp;IF(LEN(ROUND(VALUE(X1),0))&gt;13,"Puluh ","")&amp;IF(LEN(ROUND(VALUE(X1),0))&gt;12,LEFT(RIGHT(ROUND(VALUE(X1),0),13),1),"")&amp;IF(LEN(ROUND(VALUE(X1),0))&gt;12,IF(AND(LEFT(RIGHT(ROUND(VALUE(X1),0),13),1)="0",LEFT(RIGHT(ROUND(VALUE(X1),0),14),1)="0",LEFT(RIGHT(ROUND(VALUE(X1),0),15),1)="0"),"","Triliun "),"")&amp;IF(LEN(ROUND(VALUE(X1),0))&gt;11,LEFT(RIGHT(ROUND(VALUE(X1),0),12),1),"")&amp;IF(LEN(ROUND(VALUE(X1),0))&gt;11,"Ratus ","")&amp;IF(LEN(ROUND(VALUE(X1),0))&gt;10,LEFT(RIGHT(ROUND(VALUE(X1),0),11),1),"")&amp;IF(LEN(ROUND(VALUE(X1),0))&gt;10,"Puluh ","")&amp;IF(LEN(ROUND(VALUE(X1),0))&gt;9,LEFT(RIGHT(ROUND(VALUE(X1),0),10),1),"")&amp;IF(LEN(ROUND(VALUE(X1),0))&gt;9,IF(AND(LEFT(RIGHT(ROUND(VALUE(X1),0),10),1)="0",LEFT(RIGHT(ROUND(VALUE(X1),0),11),1)="0",LEFT(RIGHT(ROUND(VALUE(X1),0),12),1)="0"),"","Milyar "),"")&amp;IF(LEN(ROUND(VALUE(X1),0))&gt;8,LEFT(RIGHT(ROUND(VALUE(X1),0),9),1),"")&amp;IF(LEN(ROUND(VALUE(X1),0))&gt;8,"Ratus ","")&amp;IF(LEN(ROUND(VALUE(X1),0))&gt;7,LEFT(RIGHT(ROUND(VALUE(X1),0),8),1),"")&amp;IF(LEN(ROUND(VALUE(X1),0))&gt;7,"Puluh ","")&amp;IF(LEN(ROUND(VALUE(X1),0))&gt;6,LEFT(RIGHT(ROUND(VALUE(X1),0),7),1),"")&amp;IF(LEN(ROUND(VALUE(X1),0))&gt;6,IF(AND(LEFT(RIGHT(ROUND(VALUE(X1),0),7),1)="0",LEFT(RIGHT(ROUND(VALUE(X1),0),8),1)="0",LEFT(RIGHT(ROUND(VALUE(X1),0),9),1)="0"),"","Juta "),"")&amp;IF(LEN(ROUND(VALUE(X1),0))&gt;5,LEFT(RIGHT(ROUND(VALUE(X1),0),6),1),"")&amp;IF(LEN(ROUND(VALUE(X1),0))&gt;5,"Ratus ","")&amp;IF(LEN(ROUND(VALUE(X1),0))&gt;4,LEFT(RIGHT(ROUND(VALUE(X1),0),5),1),"")&amp;IF(LEN(ROUND(VALUE(X1),0))&gt;4,"Puluh ","")&amp;IF(LEN(ROUND(VALUE(X1),0))&gt;3,LEFT(RIGHT(ROUND(VALUE(X1),0),4),1),"")&amp;IF(LEN(ROUND(VALUE(X1),0))&gt;3,IF(AND(LEFT(RIGHT(ROUND(VALUE(X1),0),4),1)="0",LEFT(RIGHT(ROUND(VALUE(X1),0),5),1)="0",LEFT(RIGHT(ROUND(VALUE(X1),0),6),1)="0"),"","Ribu "),"")&amp;IF(LEN(ROUND(VALUE(X1),0))&gt;2,LEFT(RIGHT(ROUND(VALUE(X1),0),3),1),"")&amp;IF(LEN(ROUND(VALUE(X1),0))&gt;2,"Ratus ","")&amp;IF(LEN(ROUND(VALUE(X1),0))&gt;1,LEFT(RIGHT(ROUND(VALUE(X1),0),2),1),"")&amp;IF(LEN(ROUND(VALUE(X1),0))&gt;1,"Puluh ","")&amp;IF(LEN(ROUND(VALUE(X1),0))&gt;0,LEFT(RIGHT(ROUND(VALUE(X1),0),1),1),""),"0","Nol"),"1","Satu "),"2","Dua "),"3","Tiga "),"4","Empat "),"5","Lima "),"6","Enam "),"7","Tujuh "),"8","Delapan "),"9","Sembilan "),"Satu Puluh","Sepuluh"),"Sepuluh Satu","Sebelas"),"Sepuluh Dua","Dua Belas"),"Sepuluh Tiga","Tiga Belas"),"Sepuluh Empat","Empat Belas"),"Sepuluh Lima","Lima Belas"),"Sepuluh Enam","Enam Belas"),"Sepuluh Tujuh","Tujuh Belas"),"Sepuluh Delapan","Delapan Belas"),"Sepuluh Sembilan","Sembilan Belas"),"NolTriliun","Triliun"),"NolMilyar","Milyar"),"NolJuta","Juta")," Nol Ribu"," Ribu"),"NolRatus",""),"NolPuluh",""),"Satu Ribu","Seribu "),"Satu Ratus","Seratus "),"Nol",""))</f>
        <v>Seratus  Lima Puluh </v>
      </c>
      <c r="Y2" s="13"/>
      <c r="Z2" t="str" s="12" cm="1">
        <f t="array" ref="Z2">IF(ISBLANK(ROUND(VALUE(Z1),0)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IF(LEN(ROUND(VALUE(Z1),0))&gt;17,LEFT(RIGHT(ROUND(VALUE(Z1),0),18),1),"")&amp;IF(LEN(ROUND(VALUE(Z1),0))&gt;17,"Ratus ","")&amp;IF(LEN(ROUND(VALUE(Z1),0))&gt;16,LEFT(RIGHT(ROUND(VALUE(Z1),0),17),1),"")&amp;IF(LEN(ROUND(VALUE(Z1),0))&gt;16,"Puluh ","")&amp;IF(LEN(ROUND(VALUE(Z1),0))&gt;15,LEFT(RIGHT(ROUND(VALUE(Z1),0),16),1),"")&amp;IF(LEN(ROUND(VALUE(Z1),0))&gt;15,IF(AND(LEFT(RIGHT(ROUND(VALUE(Z1),0),16),1)="0",LEFT(RIGHT(ROUND(VALUE(Z1),0),17),1)="0",LEFT(RIGHT(ROUND(VALUE(Z1),0),18),1)="0"),"","Kuadrilium "),"")&amp;IF(LEN(ROUND(VALUE(Z1),0))&gt;14,LEFT(RIGHT(ROUND(VALUE(Z1),0),15),1),"")&amp;IF(LEN(ROUND(VALUE(Z1),0))&gt;14,"Ratus ","")&amp;IF(LEN(ROUND(VALUE(Z1),0))&gt;13,LEFT(RIGHT(ROUND(VALUE(Z1),0),14),1),"")&amp;IF(LEN(ROUND(VALUE(Z1),0))&gt;13,"Puluh ","")&amp;IF(LEN(ROUND(VALUE(Z1),0))&gt;12,LEFT(RIGHT(ROUND(VALUE(Z1),0),13),1),"")&amp;IF(LEN(ROUND(VALUE(Z1),0))&gt;12,IF(AND(LEFT(RIGHT(ROUND(VALUE(Z1),0),13),1)="0",LEFT(RIGHT(ROUND(VALUE(Z1),0),14),1)="0",LEFT(RIGHT(ROUND(VALUE(Z1),0),15),1)="0"),"","Triliun "),"")&amp;IF(LEN(ROUND(VALUE(Z1),0))&gt;11,LEFT(RIGHT(ROUND(VALUE(Z1),0),12),1),"")&amp;IF(LEN(ROUND(VALUE(Z1),0))&gt;11,"Ratus ","")&amp;IF(LEN(ROUND(VALUE(Z1),0))&gt;10,LEFT(RIGHT(ROUND(VALUE(Z1),0),11),1),"")&amp;IF(LEN(ROUND(VALUE(Z1),0))&gt;10,"Puluh ","")&amp;IF(LEN(ROUND(VALUE(Z1),0))&gt;9,LEFT(RIGHT(ROUND(VALUE(Z1),0),10),1),"")&amp;IF(LEN(ROUND(VALUE(Z1),0))&gt;9,IF(AND(LEFT(RIGHT(ROUND(VALUE(Z1),0),10),1)="0",LEFT(RIGHT(ROUND(VALUE(Z1),0),11),1)="0",LEFT(RIGHT(ROUND(VALUE(Z1),0),12),1)="0"),"","Milyar "),"")&amp;IF(LEN(ROUND(VALUE(Z1),0))&gt;8,LEFT(RIGHT(ROUND(VALUE(Z1),0),9),1),"")&amp;IF(LEN(ROUND(VALUE(Z1),0))&gt;8,"Ratus ","")&amp;IF(LEN(ROUND(VALUE(Z1),0))&gt;7,LEFT(RIGHT(ROUND(VALUE(Z1),0),8),1),"")&amp;IF(LEN(ROUND(VALUE(Z1),0))&gt;7,"Puluh ","")&amp;IF(LEN(ROUND(VALUE(Z1),0))&gt;6,LEFT(RIGHT(ROUND(VALUE(Z1),0),7),1),"")&amp;IF(LEN(ROUND(VALUE(Z1),0))&gt;6,IF(AND(LEFT(RIGHT(ROUND(VALUE(Z1),0),7),1)="0",LEFT(RIGHT(ROUND(VALUE(Z1),0),8),1)="0",LEFT(RIGHT(ROUND(VALUE(Z1),0),9),1)="0"),"","Juta "),"")&amp;IF(LEN(ROUND(VALUE(Z1),0))&gt;5,LEFT(RIGHT(ROUND(VALUE(Z1),0),6),1),"")&amp;IF(LEN(ROUND(VALUE(Z1),0))&gt;5,"Ratus ","")&amp;IF(LEN(ROUND(VALUE(Z1),0))&gt;4,LEFT(RIGHT(ROUND(VALUE(Z1),0),5),1),"")&amp;IF(LEN(ROUND(VALUE(Z1),0))&gt;4,"Puluh ","")&amp;IF(LEN(ROUND(VALUE(Z1),0))&gt;3,LEFT(RIGHT(ROUND(VALUE(Z1),0),4),1),"")&amp;IF(LEN(ROUND(VALUE(Z1),0))&gt;3,IF(AND(LEFT(RIGHT(ROUND(VALUE(Z1),0),4),1)="0",LEFT(RIGHT(ROUND(VALUE(Z1),0),5),1)="0",LEFT(RIGHT(ROUND(VALUE(Z1),0),6),1)="0"),"","Ribu "),"")&amp;IF(LEN(ROUND(VALUE(Z1),0))&gt;2,LEFT(RIGHT(ROUND(VALUE(Z1),0),3),1),"")&amp;IF(LEN(ROUND(VALUE(Z1),0))&gt;2,"Ratus ","")&amp;IF(LEN(ROUND(VALUE(Z1),0))&gt;1,LEFT(RIGHT(ROUND(VALUE(Z1),0),2),1),"")&amp;IF(LEN(ROUND(VALUE(Z1),0))&gt;1,"Puluh ","")&amp;IF(LEN(ROUND(VALUE(Z1),0))&gt;0,LEFT(RIGHT(ROUND(VALUE(Z1),0),1),1),""),"0","Nol"),"1","Satu "),"2","Dua "),"3","Tiga "),"4","Empat "),"5","Lima "),"6","Enam "),"7","Tujuh "),"8","Delapan "),"9","Sembilan "),"Satu Puluh","Sepuluh"),"Sepuluh Satu","Sebelas"),"Sepuluh Dua","Dua Belas"),"Sepuluh Tiga","Tiga Belas"),"Sepuluh Empat","Empat Belas"),"Sepuluh Lima","Lima Belas"),"Sepuluh Enam","Enam Belas"),"Sepuluh Tujuh","Tujuh Belas"),"Sepuluh Delapan","Delapan Belas"),"Sepuluh Sembilan","Sembilan Belas"),"NolTriliun","Triliun"),"NolMilyar","Milyar"),"NolJuta","Juta")," Nol Ribu"," Ribu"),"NolRatus",""),"NolPuluh",""),"Satu Ribu","Seribu "),"Satu Ratus","Seratus "),"Nol",""))</f>
        <v>Enam Puluh Delapan Juta  Empat Puluh Lima Ribu   </v>
      </c>
      <c r="AA2" s="13"/>
      <c r="AB2" s="13"/>
      <c r="AC2" t="str" s="12" cm="1">
        <f t="array" ref="AC2">IF(ISBLANK(ROUND(VALUE(AC1),0)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IF(LEN(ROUND(VALUE(AC1),0))&gt;17,LEFT(RIGHT(ROUND(VALUE(AC1),0),18),1),"")&amp;IF(LEN(ROUND(VALUE(AC1),0))&gt;17,"Ratus ","")&amp;IF(LEN(ROUND(VALUE(AC1),0))&gt;16,LEFT(RIGHT(ROUND(VALUE(AC1),0),17),1),"")&amp;IF(LEN(ROUND(VALUE(AC1),0))&gt;16,"Puluh ","")&amp;IF(LEN(ROUND(VALUE(AC1),0))&gt;15,LEFT(RIGHT(ROUND(VALUE(AC1),0),16),1),"")&amp;IF(LEN(ROUND(VALUE(AC1),0))&gt;15,IF(AND(LEFT(RIGHT(ROUND(VALUE(AC1),0),16),1)="0",LEFT(RIGHT(ROUND(VALUE(AC1),0),17),1)="0",LEFT(RIGHT(ROUND(VALUE(AC1),0),18),1)="0"),"","Kuadrilium "),"")&amp;IF(LEN(ROUND(VALUE(AC1),0))&gt;14,LEFT(RIGHT(ROUND(VALUE(AC1),0),15),1),"")&amp;IF(LEN(ROUND(VALUE(AC1),0))&gt;14,"Ratus ","")&amp;IF(LEN(ROUND(VALUE(AC1),0))&gt;13,LEFT(RIGHT(ROUND(VALUE(AC1),0),14),1),"")&amp;IF(LEN(ROUND(VALUE(AC1),0))&gt;13,"Puluh ","")&amp;IF(LEN(ROUND(VALUE(AC1),0))&gt;12,LEFT(RIGHT(ROUND(VALUE(AC1),0),13),1),"")&amp;IF(LEN(ROUND(VALUE(AC1),0))&gt;12,IF(AND(LEFT(RIGHT(ROUND(VALUE(AC1),0),13),1)="0",LEFT(RIGHT(ROUND(VALUE(AC1),0),14),1)="0",LEFT(RIGHT(ROUND(VALUE(AC1),0),15),1)="0"),"","Triliun "),"")&amp;IF(LEN(ROUND(VALUE(AC1),0))&gt;11,LEFT(RIGHT(ROUND(VALUE(AC1),0),12),1),"")&amp;IF(LEN(ROUND(VALUE(AC1),0))&gt;11,"Ratus ","")&amp;IF(LEN(ROUND(VALUE(AC1),0))&gt;10,LEFT(RIGHT(ROUND(VALUE(AC1),0),11),1),"")&amp;IF(LEN(ROUND(VALUE(AC1),0))&gt;10,"Puluh ","")&amp;IF(LEN(ROUND(VALUE(AC1),0))&gt;9,LEFT(RIGHT(ROUND(VALUE(AC1),0),10),1),"")&amp;IF(LEN(ROUND(VALUE(AC1),0))&gt;9,IF(AND(LEFT(RIGHT(ROUND(VALUE(AC1),0),10),1)="0",LEFT(RIGHT(ROUND(VALUE(AC1),0),11),1)="0",LEFT(RIGHT(ROUND(VALUE(AC1),0),12),1)="0"),"","Milyar "),"")&amp;IF(LEN(ROUND(VALUE(AC1),0))&gt;8,LEFT(RIGHT(ROUND(VALUE(AC1),0),9),1),"")&amp;IF(LEN(ROUND(VALUE(AC1),0))&gt;8,"Ratus ","")&amp;IF(LEN(ROUND(VALUE(AC1),0))&gt;7,LEFT(RIGHT(ROUND(VALUE(AC1),0),8),1),"")&amp;IF(LEN(ROUND(VALUE(AC1),0))&gt;7,"Puluh ","")&amp;IF(LEN(ROUND(VALUE(AC1),0))&gt;6,LEFT(RIGHT(ROUND(VALUE(AC1),0),7),1),"")&amp;IF(LEN(ROUND(VALUE(AC1),0))&gt;6,IF(AND(LEFT(RIGHT(ROUND(VALUE(AC1),0),7),1)="0",LEFT(RIGHT(ROUND(VALUE(AC1),0),8),1)="0",LEFT(RIGHT(ROUND(VALUE(AC1),0),9),1)="0"),"","Juta "),"")&amp;IF(LEN(ROUND(VALUE(AC1),0))&gt;5,LEFT(RIGHT(ROUND(VALUE(AC1),0),6),1),"")&amp;IF(LEN(ROUND(VALUE(AC1),0))&gt;5,"Ratus ","")&amp;IF(LEN(ROUND(VALUE(AC1),0))&gt;4,LEFT(RIGHT(ROUND(VALUE(AC1),0),5),1),"")&amp;IF(LEN(ROUND(VALUE(AC1),0))&gt;4,"Puluh ","")&amp;IF(LEN(ROUND(VALUE(AC1),0))&gt;3,LEFT(RIGHT(ROUND(VALUE(AC1),0),4),1),"")&amp;IF(LEN(ROUND(VALUE(AC1),0))&gt;3,IF(AND(LEFT(RIGHT(ROUND(VALUE(AC1),0),4),1)="0",LEFT(RIGHT(ROUND(VALUE(AC1),0),5),1)="0",LEFT(RIGHT(ROUND(VALUE(AC1),0),6),1)="0"),"","Ribu "),"")&amp;IF(LEN(ROUND(VALUE(AC1),0))&gt;2,LEFT(RIGHT(ROUND(VALUE(AC1),0),3),1),"")&amp;IF(LEN(ROUND(VALUE(AC1),0))&gt;2,"Ratus ","")&amp;IF(LEN(ROUND(VALUE(AC1),0))&gt;1,LEFT(RIGHT(ROUND(VALUE(AC1),0),2),1),"")&amp;IF(LEN(ROUND(VALUE(AC1),0))&gt;1,"Puluh ","")&amp;IF(LEN(ROUND(VALUE(AC1),0))&gt;0,LEFT(RIGHT(ROUND(VALUE(AC1),0),1),1),""),"0","Nol"),"1","Satu "),"2","Dua "),"3","Tiga "),"4","Empat "),"5","Lima "),"6","Enam "),"7","Tujuh "),"8","Delapan "),"9","Sembilan "),"Satu Puluh","Sepuluh"),"Sepuluh Satu","Sebelas"),"Sepuluh Dua","Dua Belas"),"Sepuluh Tiga","Tiga Belas"),"Sepuluh Empat","Empat Belas"),"Sepuluh Lima","Lima Belas"),"Sepuluh Enam","Enam Belas"),"Sepuluh Tujuh","Tujuh Belas"),"Sepuluh Delapan","Delapan Belas"),"Sepuluh Sembilan","Sembilan Belas"),"NolTriliun","Triliun"),"NolMilyar","Milyar"),"NolJuta","Juta")," Nol Ribu"," Ribu"),"NolRatus",""),"NolPuluh",""),"Satu Ribu","Seribu "),"Satu Ratus","Seratus "),"Nol",""))</f>
      </c>
      <c r="AD2" s="13"/>
      <c r="AE2" s="13"/>
      <c r="AF2" s="13"/>
      <c r="AG2" s="8"/>
      <c r="AH2" s="8"/>
      <c r="AI2" s="8"/>
      <c r="AJ2" s="15" cm="1">
        <f t="array" ref="AJ2">HOUR(AJ$1)</f>
        <v>0</v>
      </c>
      <c r="AK2" s="8"/>
      <c r="AL2" s="8"/>
      <c r="AM2" s="8"/>
      <c r="AN2" s="13"/>
      <c r="AO2" s="13"/>
      <c r="AP2" s="13"/>
      <c r="AQ2" s="13"/>
      <c r="AR2" s="13"/>
      <c r="AS2" s="13"/>
      <c r="AT2" s="13"/>
      <c r="AU2" s="13"/>
      <c r="AV2" s="13"/>
      <c r="AW2" s="16"/>
      <c r="AX2" s="16"/>
      <c r="AY2" s="13"/>
      <c r="AZ2" s="13"/>
      <c r="BA2" s="13"/>
      <c r="BB2" s="13"/>
      <c r="BC2" s="13"/>
      <c r="BD2" s="13"/>
      <c r="BE2" s="13"/>
      <c r="BF2" s="13"/>
      <c r="BG2" s="17"/>
      <c r="BH2" s="13"/>
      <c r="BI2" s="13"/>
      <c r="BJ2" s="13"/>
      <c r="BK2" s="13"/>
      <c r="BL2" s="13"/>
      <c r="BM2" s="13"/>
      <c r="BN2" s="13"/>
      <c r="BO2" s="3"/>
      <c r="BP2" s="3"/>
      <c r="BQ2" s="3"/>
      <c r="BR2" s="3"/>
      <c r="BS2" t="str" s="12" cm="1">
        <f t="array" ref="BS2">IF(ISBLANK(ROUND(VALUE(BS1),0)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IF(LEN(ROUND(VALUE(BS1),0))&gt;17,LEFT(RIGHT(ROUND(VALUE(BS1),0),18),1),"")&amp;IF(LEN(ROUND(VALUE(BS1),0))&gt;17,"Ratus ","")&amp;IF(LEN(ROUND(VALUE(BS1),0))&gt;16,LEFT(RIGHT(ROUND(VALUE(BS1),0),17),1),"")&amp;IF(LEN(ROUND(VALUE(BS1),0))&gt;16,"Puluh ","")&amp;IF(LEN(ROUND(VALUE(BS1),0))&gt;15,LEFT(RIGHT(ROUND(VALUE(BS1),0),16),1),"")&amp;IF(LEN(ROUND(VALUE(BS1),0))&gt;15,IF(AND(LEFT(RIGHT(ROUND(VALUE(BS1),0),16),1)="0",LEFT(RIGHT(ROUND(VALUE(BS1),0),17),1)="0",LEFT(RIGHT(ROUND(VALUE(BS1),0),18),1)="0"),"","Kuadrilium "),"")&amp;IF(LEN(ROUND(VALUE(BS1),0))&gt;14,LEFT(RIGHT(ROUND(VALUE(BS1),0),15),1),"")&amp;IF(LEN(ROUND(VALUE(BS1),0))&gt;14,"Ratus ","")&amp;IF(LEN(ROUND(VALUE(BS1),0))&gt;13,LEFT(RIGHT(ROUND(VALUE(BS1),0),14),1),"")&amp;IF(LEN(ROUND(VALUE(BS1),0))&gt;13,"Puluh ","")&amp;IF(LEN(ROUND(VALUE(BS1),0))&gt;12,LEFT(RIGHT(ROUND(VALUE(BS1),0),13),1),"")&amp;IF(LEN(ROUND(VALUE(BS1),0))&gt;12,IF(AND(LEFT(RIGHT(ROUND(VALUE(BS1),0),13),1)="0",LEFT(RIGHT(ROUND(VALUE(BS1),0),14),1)="0",LEFT(RIGHT(ROUND(VALUE(BS1),0),15),1)="0"),"","Triliun "),"")&amp;IF(LEN(ROUND(VALUE(BS1),0))&gt;11,LEFT(RIGHT(ROUND(VALUE(BS1),0),12),1),"")&amp;IF(LEN(ROUND(VALUE(BS1),0))&gt;11,"Ratus ","")&amp;IF(LEN(ROUND(VALUE(BS1),0))&gt;10,LEFT(RIGHT(ROUND(VALUE(BS1),0),11),1),"")&amp;IF(LEN(ROUND(VALUE(BS1),0))&gt;10,"Puluh ","")&amp;IF(LEN(ROUND(VALUE(BS1),0))&gt;9,LEFT(RIGHT(ROUND(VALUE(BS1),0),10),1),"")&amp;IF(LEN(ROUND(VALUE(BS1),0))&gt;9,IF(AND(LEFT(RIGHT(ROUND(VALUE(BS1),0),10),1)="0",LEFT(RIGHT(ROUND(VALUE(BS1),0),11),1)="0",LEFT(RIGHT(ROUND(VALUE(BS1),0),12),1)="0"),"","Milyar "),"")&amp;IF(LEN(ROUND(VALUE(BS1),0))&gt;8,LEFT(RIGHT(ROUND(VALUE(BS1),0),9),1),"")&amp;IF(LEN(ROUND(VALUE(BS1),0))&gt;8,"Ratus ","")&amp;IF(LEN(ROUND(VALUE(BS1),0))&gt;7,LEFT(RIGHT(ROUND(VALUE(BS1),0),8),1),"")&amp;IF(LEN(ROUND(VALUE(BS1),0))&gt;7,"Puluh ","")&amp;IF(LEN(ROUND(VALUE(BS1),0))&gt;6,LEFT(RIGHT(ROUND(VALUE(BS1),0),7),1),"")&amp;IF(LEN(ROUND(VALUE(BS1),0))&gt;6,IF(AND(LEFT(RIGHT(ROUND(VALUE(BS1),0),7),1)="0",LEFT(RIGHT(ROUND(VALUE(BS1),0),8),1)="0",LEFT(RIGHT(ROUND(VALUE(BS1),0),9),1)="0"),"","Juta "),"")&amp;IF(LEN(ROUND(VALUE(BS1),0))&gt;5,LEFT(RIGHT(ROUND(VALUE(BS1),0),6),1),"")&amp;IF(LEN(ROUND(VALUE(BS1),0))&gt;5,"Ratus ","")&amp;IF(LEN(ROUND(VALUE(BS1),0))&gt;4,LEFT(RIGHT(ROUND(VALUE(BS1),0),5),1),"")&amp;IF(LEN(ROUND(VALUE(BS1),0))&gt;4,"Puluh ","")&amp;IF(LEN(ROUND(VALUE(BS1),0))&gt;3,LEFT(RIGHT(ROUND(VALUE(BS1),0),4),1),"")&amp;IF(LEN(ROUND(VALUE(BS1),0))&gt;3,IF(AND(LEFT(RIGHT(ROUND(VALUE(BS1),0),4),1)="0",LEFT(RIGHT(ROUND(VALUE(BS1),0),5),1)="0",LEFT(RIGHT(ROUND(VALUE(BS1),0),6),1)="0"),"","Ribu "),"")&amp;IF(LEN(ROUND(VALUE(BS1),0))&gt;2,LEFT(RIGHT(ROUND(VALUE(BS1),0),3),1),"")&amp;IF(LEN(ROUND(VALUE(BS1),0))&gt;2,"Ratus ","")&amp;IF(LEN(ROUND(VALUE(BS1),0))&gt;1,LEFT(RIGHT(ROUND(VALUE(BS1),0),2),1),"")&amp;IF(LEN(ROUND(VALUE(BS1),0))&gt;1,"Puluh ","")&amp;IF(LEN(ROUND(VALUE(BS1),0))&gt;0,LEFT(RIGHT(ROUND(VALUE(BS1),0),1),1),""),"0","Nol"),"1","Satu "),"2","Dua "),"3","Tiga "),"4","Empat "),"5","Lima "),"6","Enam "),"7","Tujuh "),"8","Delapan "),"9","Sembilan "),"Satu Puluh","Sepuluh"),"Sepuluh Satu","Sebelas"),"Sepuluh Dua","Dua Belas"),"Sepuluh Tiga","Tiga Belas"),"Sepuluh Empat","Empat Belas"),"Sepuluh Lima","Lima Belas"),"Sepuluh Enam","Enam Belas"),"Sepuluh Tujuh","Tujuh Belas"),"Sepuluh Delapan","Delapan Belas"),"Sepuluh Sembilan","Sembilan Belas"),"NolTriliun","Triliun"),"NolMilyar","Milyar"),"NolJuta","Juta")," Nol Ribu"," Ribu"),"NolRatus",""),"NolPuluh",""),"Satu Ribu","Seribu "),"Satu Ratus","Seratus "),"Nol",""))</f>
        <v>Tiga Juta Empat Ratus  Dua Ribu Dua Ratus Lima Puluh </v>
      </c>
      <c r="BT2" s="3"/>
      <c r="BU2" s="3"/>
      <c r="BV2" s="11"/>
    </row>
    <row r="3" ht="17" customHeight="1">
      <c r="A3" s="18" cm="1">
        <f t="array" ref="A3">$B187</f>
        <v>56527550</v>
      </c>
      <c r="B3" s="19">
        <v>1</v>
      </c>
      <c r="C3" s="19" cm="1">
        <f t="array" ref="C3">B3+1</f>
        <v>2</v>
      </c>
      <c r="D3" s="19" cm="1">
        <f t="array" ref="D3">C3+1</f>
        <v>3</v>
      </c>
      <c r="E3" s="19" cm="1">
        <f t="array" ref="E3">D3+1</f>
        <v>4</v>
      </c>
      <c r="F3" s="19" cm="1">
        <f t="array" ref="F3">E3+1</f>
        <v>5</v>
      </c>
      <c r="G3" s="19" cm="1">
        <f t="array" ref="G3">E3+1</f>
        <v>5</v>
      </c>
      <c r="H3" s="19" cm="1">
        <f t="array" ref="H3">G3+1</f>
        <v>6</v>
      </c>
      <c r="I3" s="19" cm="1">
        <f t="array" ref="I3">H3+1</f>
        <v>7</v>
      </c>
      <c r="J3" s="19" cm="1">
        <f t="array" ref="J3">I3+1</f>
        <v>8</v>
      </c>
      <c r="K3" s="19" cm="1">
        <f t="array" ref="K3">J3+1</f>
        <v>9</v>
      </c>
      <c r="L3" s="19" cm="1">
        <f t="array" ref="L3">K3+1</f>
        <v>10</v>
      </c>
      <c r="M3" s="20" cm="1">
        <f t="array" ref="M3">L3+1</f>
        <v>11</v>
      </c>
      <c r="N3" s="20" cm="1">
        <f t="array" ref="N3">M3+1</f>
        <v>12</v>
      </c>
      <c r="O3" s="20" cm="1">
        <f t="array" ref="O3">N3+1</f>
        <v>13</v>
      </c>
      <c r="P3" s="21" cm="1">
        <f t="array" ref="P3">O3+1</f>
        <v>14</v>
      </c>
      <c r="Q3" s="21" cm="1">
        <f t="array" ref="Q3">P3+1</f>
        <v>15</v>
      </c>
      <c r="R3" s="21" cm="1">
        <f t="array" ref="R3">Q3+1</f>
        <v>16</v>
      </c>
      <c r="S3" s="21" cm="1">
        <f t="array" ref="S3">R3+1</f>
        <v>17</v>
      </c>
      <c r="T3" s="21" cm="1">
        <f t="array" ref="T3">S3+1</f>
        <v>18</v>
      </c>
      <c r="U3" s="21" cm="1">
        <f t="array" ref="U3">T3+1</f>
        <v>19</v>
      </c>
      <c r="V3" s="21" cm="1">
        <f t="array" ref="V3">U3+1</f>
        <v>20</v>
      </c>
      <c r="W3" s="21" cm="1">
        <f t="array" ref="W3">V3+1</f>
        <v>21</v>
      </c>
      <c r="X3" s="21" cm="1">
        <f t="array" ref="X3">W3+1</f>
        <v>22</v>
      </c>
      <c r="Y3" s="21" cm="1">
        <f t="array" ref="Y3">X3+1</f>
        <v>23</v>
      </c>
      <c r="Z3" s="21" cm="1">
        <f t="array" ref="Z3">Y3+1</f>
        <v>24</v>
      </c>
      <c r="AA3" s="21" cm="1">
        <f t="array" ref="AA3">Z3+1</f>
        <v>25</v>
      </c>
      <c r="AB3" s="21" cm="1">
        <f t="array" ref="AB3">AA3+1</f>
        <v>26</v>
      </c>
      <c r="AC3" s="21" cm="1">
        <f t="array" ref="AC3">AB3+1</f>
        <v>27</v>
      </c>
      <c r="AD3" s="21" cm="1">
        <f t="array" ref="AD3">AC3+1</f>
        <v>28</v>
      </c>
      <c r="AE3" s="21" cm="1">
        <f t="array" ref="AE3">AD3+1</f>
        <v>29</v>
      </c>
      <c r="AF3" s="21" cm="1">
        <f t="array" ref="AF3">AE3+1</f>
        <v>30</v>
      </c>
      <c r="AG3" s="21" cm="1">
        <f t="array" ref="AG3">AF3+1</f>
        <v>31</v>
      </c>
      <c r="AH3" s="21" cm="1">
        <f t="array" ref="AH3">AG3+1</f>
        <v>32</v>
      </c>
      <c r="AI3" s="22"/>
      <c r="AJ3" t="str" s="23" cm="1">
        <f t="array" ref="AJ3">IF(ISBLANK(ROUND(VALUE(AJ2),0)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IF(LEN(ROUND(VALUE(AJ2),0))&gt;17,LEFT(RIGHT(ROUND(VALUE(AJ2),0),18),1),"")&amp;IF(LEN(ROUND(VALUE(AJ2),0))&gt;17,"Ratus ","")&amp;IF(LEN(ROUND(VALUE(AJ2),0))&gt;16,LEFT(RIGHT(ROUND(VALUE(AJ2),0),17),1),"")&amp;IF(LEN(ROUND(VALUE(AJ2),0))&gt;16,"Puluh ","")&amp;IF(LEN(ROUND(VALUE(AJ2),0))&gt;15,LEFT(RIGHT(ROUND(VALUE(AJ2),0),16),1),"")&amp;IF(LEN(ROUND(VALUE(AJ2),0))&gt;15,IF(AND(LEFT(RIGHT(ROUND(VALUE(AJ2),0),16),1)="0",LEFT(RIGHT(ROUND(VALUE(AJ2),0),17),1)="0",LEFT(RIGHT(ROUND(VALUE(AJ2),0),18),1)="0"),"","Kuadrilium "),"")&amp;IF(LEN(ROUND(VALUE(AJ2),0))&gt;14,LEFT(RIGHT(ROUND(VALUE(AJ2),0),15),1),"")&amp;IF(LEN(ROUND(VALUE(AJ2),0))&gt;14,"Ratus ","")&amp;IF(LEN(ROUND(VALUE(AJ2),0))&gt;13,LEFT(RIGHT(ROUND(VALUE(AJ2),0),14),1),"")&amp;IF(LEN(ROUND(VALUE(AJ2),0))&gt;13,"Puluh ","")&amp;IF(LEN(ROUND(VALUE(AJ2),0))&gt;12,LEFT(RIGHT(ROUND(VALUE(AJ2),0),13),1),"")&amp;IF(LEN(ROUND(VALUE(AJ2),0))&gt;12,IF(AND(LEFT(RIGHT(ROUND(VALUE(AJ2),0),13),1)="0",LEFT(RIGHT(ROUND(VALUE(AJ2),0),14),1)="0",LEFT(RIGHT(ROUND(VALUE(AJ2),0),15),1)="0"),"","Triliun "),"")&amp;IF(LEN(ROUND(VALUE(AJ2),0))&gt;11,LEFT(RIGHT(ROUND(VALUE(AJ2),0),12),1),"")&amp;IF(LEN(ROUND(VALUE(AJ2),0))&gt;11,"Ratus ","")&amp;IF(LEN(ROUND(VALUE(AJ2),0))&gt;10,LEFT(RIGHT(ROUND(VALUE(AJ2),0),11),1),"")&amp;IF(LEN(ROUND(VALUE(AJ2),0))&gt;10,"Puluh ","")&amp;IF(LEN(ROUND(VALUE(AJ2),0))&gt;9,LEFT(RIGHT(ROUND(VALUE(AJ2),0),10),1),"")&amp;IF(LEN(ROUND(VALUE(AJ2),0))&gt;9,IF(AND(LEFT(RIGHT(ROUND(VALUE(AJ2),0),10),1)="0",LEFT(RIGHT(ROUND(VALUE(AJ2),0),11),1)="0",LEFT(RIGHT(ROUND(VALUE(AJ2),0),12),1)="0"),"","Milyar "),"")&amp;IF(LEN(ROUND(VALUE(AJ2),0))&gt;8,LEFT(RIGHT(ROUND(VALUE(AJ2),0),9),1),"")&amp;IF(LEN(ROUND(VALUE(AJ2),0))&gt;8,"Ratus ","")&amp;IF(LEN(ROUND(VALUE(AJ2),0))&gt;7,LEFT(RIGHT(ROUND(VALUE(AJ2),0),8),1),"")&amp;IF(LEN(ROUND(VALUE(AJ2),0))&gt;7,"Puluh ","")&amp;IF(LEN(ROUND(VALUE(AJ2),0))&gt;6,LEFT(RIGHT(ROUND(VALUE(AJ2),0),7),1),"")&amp;IF(LEN(ROUND(VALUE(AJ2),0))&gt;6,IF(AND(LEFT(RIGHT(ROUND(VALUE(AJ2),0),7),1)="0",LEFT(RIGHT(ROUND(VALUE(AJ2),0),8),1)="0",LEFT(RIGHT(ROUND(VALUE(AJ2),0),9),1)="0"),"","Juta "),"")&amp;IF(LEN(ROUND(VALUE(AJ2),0))&gt;5,LEFT(RIGHT(ROUND(VALUE(AJ2),0),6),1),"")&amp;IF(LEN(ROUND(VALUE(AJ2),0))&gt;5,"Ratus ","")&amp;IF(LEN(ROUND(VALUE(AJ2),0))&gt;4,LEFT(RIGHT(ROUND(VALUE(AJ2),0),5),1),"")&amp;IF(LEN(ROUND(VALUE(AJ2),0))&gt;4,"Puluh ","")&amp;IF(LEN(ROUND(VALUE(AJ2),0))&gt;3,LEFT(RIGHT(ROUND(VALUE(AJ2),0),4),1),"")&amp;IF(LEN(ROUND(VALUE(AJ2),0))&gt;3,IF(AND(LEFT(RIGHT(ROUND(VALUE(AJ2),0),4),1)="0",LEFT(RIGHT(ROUND(VALUE(AJ2),0),5),1)="0",LEFT(RIGHT(ROUND(VALUE(AJ2),0),6),1)="0"),"","Ribu "),"")&amp;IF(LEN(ROUND(VALUE(AJ2),0))&gt;2,LEFT(RIGHT(ROUND(VALUE(AJ2),0),3),1),"")&amp;IF(LEN(ROUND(VALUE(AJ2),0))&gt;2,"Ratus ","")&amp;IF(LEN(ROUND(VALUE(AJ2),0))&gt;1,LEFT(RIGHT(ROUND(VALUE(AJ2),0),2),1),"")&amp;IF(LEN(ROUND(VALUE(AJ2),0))&gt;1,"Puluh ","")&amp;IF(LEN(ROUND(VALUE(AJ2),0))&gt;0,LEFT(RIGHT(ROUND(VALUE(AJ2),0),1),1),""),"0","Nol"),"1","Satu "),"2","Dua "),"3","Tiga "),"4","Empat "),"5","Lima "),"6","Enam "),"7","Tujuh "),"8","Delapan "),"9","Sembilan "),"Satu Puluh","Sepuluh"),"Sepuluh Satu","Sebelas"),"Sepuluh Dua","Dua Belas"),"Sepuluh Tiga","Tiga Belas"),"Sepuluh Empat","Empat Belas"),"Sepuluh Lima","Lima Belas"),"Sepuluh Enam","Enam Belas"),"Sepuluh Tujuh","Tujuh Belas"),"Sepuluh Delapan","Delapan Belas"),"Sepuluh Sembilan","Sembilan Belas"),"NolTriliun","Triliun"),"NolMilyar","Milyar"),"NolJuta","Juta")," Nol Ribu"," Ribu"),"NolRatus",""),"NolPuluh",""),"Satu Ribu","Seribu "),"Satu Ratus","Seratus "),"Nol",""))</f>
      </c>
      <c r="AK3" s="21" cm="1">
        <f t="array" ref="AK3">AF3+1</f>
        <v>31</v>
      </c>
      <c r="AL3" s="21" cm="1">
        <f t="array" ref="AL3">AK3+1</f>
        <v>32</v>
      </c>
      <c r="AM3" s="21" cm="1">
        <f t="array" ref="AM3">AL3+1</f>
        <v>33</v>
      </c>
      <c r="AN3" s="21" cm="1">
        <f t="array" ref="AN3">AM3+1</f>
        <v>34</v>
      </c>
      <c r="AO3" s="21" cm="1">
        <f t="array" ref="AO3">AN3+1</f>
        <v>35</v>
      </c>
      <c r="AP3" s="21" cm="1">
        <f t="array" ref="AP3">AO3+1</f>
        <v>36</v>
      </c>
      <c r="AQ3" s="21" cm="1">
        <f t="array" ref="AQ3">AP3+1</f>
        <v>37</v>
      </c>
      <c r="AR3" s="21" cm="1">
        <f t="array" ref="AR3">AQ3+1</f>
        <v>38</v>
      </c>
      <c r="AS3" s="21" cm="1">
        <f t="array" ref="AS3">AR3+1</f>
        <v>39</v>
      </c>
      <c r="AT3" s="21" cm="1">
        <f t="array" ref="AT3">AS3+1</f>
        <v>40</v>
      </c>
      <c r="AU3" s="21" cm="1">
        <f t="array" ref="AU3">AT3+1</f>
        <v>41</v>
      </c>
      <c r="AV3" s="21" cm="1">
        <f t="array" ref="AV3">AU3+1</f>
        <v>42</v>
      </c>
      <c r="AW3" s="24" cm="1">
        <f t="array" ref="AW3">AV3+1</f>
        <v>43</v>
      </c>
      <c r="AX3" s="24" cm="1">
        <f t="array" ref="AX3">AW3+1</f>
        <v>44</v>
      </c>
      <c r="AY3" s="21" cm="1">
        <f t="array" ref="AY3">AX3+1</f>
        <v>45</v>
      </c>
      <c r="AZ3" s="21" cm="1">
        <f t="array" ref="AZ3">AY3+1</f>
        <v>46</v>
      </c>
      <c r="BA3" s="21" cm="1">
        <f t="array" ref="BA3">AZ3+1</f>
        <v>47</v>
      </c>
      <c r="BB3" s="21" cm="1">
        <f t="array" ref="BB3">BA3+1</f>
        <v>48</v>
      </c>
      <c r="BC3" s="21" cm="1">
        <f t="array" ref="BC3">BB3+1</f>
        <v>49</v>
      </c>
      <c r="BD3" s="21" cm="1">
        <f t="array" ref="BD3">BC3+1</f>
        <v>50</v>
      </c>
      <c r="BE3" s="21" cm="1">
        <f t="array" ref="BE3">BD3+1</f>
        <v>51</v>
      </c>
      <c r="BF3" s="21" cm="1">
        <f t="array" ref="BF3">BE3+1</f>
        <v>52</v>
      </c>
      <c r="BG3" s="25" cm="1">
        <f t="array" ref="BG3">BF3+1</f>
        <v>53</v>
      </c>
      <c r="BH3" s="21" cm="1">
        <f t="array" ref="BH3">BG3+1</f>
        <v>54</v>
      </c>
      <c r="BI3" s="21" cm="1">
        <f t="array" ref="BI3">BH3+1</f>
        <v>55</v>
      </c>
      <c r="BJ3" s="21" cm="1">
        <f t="array" ref="BJ3">BI3+1</f>
        <v>56</v>
      </c>
      <c r="BK3" s="21" cm="1">
        <f t="array" ref="BK3">BJ3+1</f>
        <v>57</v>
      </c>
      <c r="BL3" s="21" cm="1">
        <f t="array" ref="BL3">BK3+1</f>
        <v>58</v>
      </c>
      <c r="BM3" s="21" cm="1">
        <f t="array" ref="BM3">BL3+1</f>
        <v>59</v>
      </c>
      <c r="BN3" s="21" cm="1">
        <f t="array" ref="BN3">BM3+1</f>
        <v>60</v>
      </c>
      <c r="BO3" s="20" cm="1">
        <f t="array" ref="BO3">BN3+1</f>
        <v>61</v>
      </c>
      <c r="BP3" s="20" cm="1">
        <f t="array" ref="BP3">BO3+1</f>
        <v>62</v>
      </c>
      <c r="BQ3" s="20" cm="1">
        <f t="array" ref="BQ3">BP3+1</f>
        <v>63</v>
      </c>
      <c r="BR3" s="20" cm="1">
        <f t="array" ref="BR3">BQ3+1</f>
        <v>64</v>
      </c>
      <c r="BS3" s="20" cm="1">
        <f t="array" ref="BS3">BQ3+1</f>
        <v>64</v>
      </c>
      <c r="BT3" s="20" cm="1">
        <f t="array" ref="BT3">BR3+1</f>
        <v>65</v>
      </c>
      <c r="BU3" s="20" cm="1">
        <f t="array" ref="BU3">BR3+1</f>
        <v>65</v>
      </c>
      <c r="BV3" s="20"/>
    </row>
    <row r="4" ht="36" customHeight="1">
      <c r="A4" s="26"/>
      <c r="B4" t="s" s="27">
        <v>32</v>
      </c>
      <c r="C4" t="s" s="27">
        <v>33</v>
      </c>
      <c r="D4" t="s" s="27">
        <v>34</v>
      </c>
      <c r="E4" t="s" s="27">
        <v>35</v>
      </c>
      <c r="F4" t="s" s="27">
        <v>36</v>
      </c>
      <c r="G4" t="s" s="27">
        <v>37</v>
      </c>
      <c r="H4" t="s" s="27">
        <v>38</v>
      </c>
      <c r="I4" t="s" s="27">
        <v>39</v>
      </c>
      <c r="J4" t="s" s="27">
        <v>40</v>
      </c>
      <c r="K4" t="s" s="27">
        <v>41</v>
      </c>
      <c r="L4" t="s" s="27">
        <v>42</v>
      </c>
      <c r="M4" t="s" s="27">
        <v>43</v>
      </c>
      <c r="N4" t="s" s="27">
        <v>44</v>
      </c>
      <c r="O4" t="s" s="27">
        <v>4</v>
      </c>
      <c r="P4" t="s" s="28">
        <v>45</v>
      </c>
      <c r="Q4" t="s" s="28">
        <v>46</v>
      </c>
      <c r="R4" t="s" s="28">
        <v>47</v>
      </c>
      <c r="S4" t="s" s="28">
        <v>48</v>
      </c>
      <c r="T4" t="s" s="28">
        <v>49</v>
      </c>
      <c r="U4" t="s" s="28">
        <v>50</v>
      </c>
      <c r="V4" t="s" s="28">
        <v>51</v>
      </c>
      <c r="W4" t="s" s="28">
        <v>52</v>
      </c>
      <c r="X4" t="s" s="28">
        <v>53</v>
      </c>
      <c r="Y4" t="s" s="28">
        <v>54</v>
      </c>
      <c r="Z4" t="s" s="28">
        <v>55</v>
      </c>
      <c r="AA4" t="s" s="28">
        <v>56</v>
      </c>
      <c r="AB4" t="s" s="28">
        <v>57</v>
      </c>
      <c r="AC4" t="s" s="28">
        <v>58</v>
      </c>
      <c r="AD4" t="s" s="28">
        <v>59</v>
      </c>
      <c r="AE4" t="s" s="28">
        <v>60</v>
      </c>
      <c r="AF4" t="s" s="28">
        <v>61</v>
      </c>
      <c r="AG4" t="s" s="28">
        <v>62</v>
      </c>
      <c r="AH4" t="s" s="28">
        <v>63</v>
      </c>
      <c r="AI4" t="s" s="28">
        <v>64</v>
      </c>
      <c r="AJ4" t="s" s="28">
        <v>65</v>
      </c>
      <c r="AK4" t="s" s="28">
        <v>66</v>
      </c>
      <c r="AL4" t="s" s="28">
        <v>67</v>
      </c>
      <c r="AM4" t="s" s="28">
        <v>68</v>
      </c>
      <c r="AN4" t="s" s="28">
        <v>69</v>
      </c>
      <c r="AO4" t="s" s="28">
        <v>70</v>
      </c>
      <c r="AP4" t="s" s="28">
        <v>71</v>
      </c>
      <c r="AQ4" t="s" s="28">
        <v>72</v>
      </c>
      <c r="AR4" t="s" s="28">
        <v>73</v>
      </c>
      <c r="AS4" t="s" s="28">
        <v>74</v>
      </c>
      <c r="AT4" t="s" s="28">
        <v>75</v>
      </c>
      <c r="AU4" t="s" s="28">
        <v>76</v>
      </c>
      <c r="AV4" t="s" s="28">
        <v>77</v>
      </c>
      <c r="AW4" t="s" s="29">
        <v>78</v>
      </c>
      <c r="AX4" t="s" s="29">
        <v>79</v>
      </c>
      <c r="AY4" t="s" s="28">
        <v>80</v>
      </c>
      <c r="AZ4" s="30"/>
      <c r="BA4" t="s" s="28">
        <v>81</v>
      </c>
      <c r="BB4" t="s" s="28">
        <v>82</v>
      </c>
      <c r="BC4" s="30"/>
      <c r="BD4" s="30"/>
      <c r="BE4" t="s" s="28">
        <v>83</v>
      </c>
      <c r="BF4" s="30"/>
      <c r="BG4" t="s" s="31">
        <v>84</v>
      </c>
      <c r="BH4" s="32"/>
      <c r="BI4" t="s" s="27">
        <v>85</v>
      </c>
      <c r="BJ4" t="s" s="27">
        <v>86</v>
      </c>
      <c r="BK4" t="s" s="27">
        <v>87</v>
      </c>
      <c r="BL4" t="s" s="27">
        <v>88</v>
      </c>
      <c r="BM4" s="32"/>
      <c r="BN4" s="32"/>
      <c r="BO4" t="s" s="27">
        <v>89</v>
      </c>
      <c r="BP4" t="s" s="27">
        <v>90</v>
      </c>
      <c r="BQ4" t="s" s="27">
        <v>91</v>
      </c>
      <c r="BR4" t="s" s="27">
        <v>92</v>
      </c>
      <c r="BS4" t="s" s="27">
        <v>93</v>
      </c>
      <c r="BT4" t="s" s="27">
        <v>94</v>
      </c>
      <c r="BU4" t="s" s="27">
        <v>95</v>
      </c>
      <c r="BV4" s="33"/>
    </row>
    <row r="5" ht="20.5" customHeight="1">
      <c r="A5" s="34"/>
      <c r="B5" s="34"/>
      <c r="C5" s="35"/>
      <c r="D5" s="36"/>
      <c r="E5" s="37"/>
      <c r="F5" s="38"/>
      <c r="G5" s="37"/>
      <c r="H5" s="37"/>
      <c r="I5" s="37"/>
      <c r="J5" s="39"/>
      <c r="K5" s="39"/>
      <c r="L5" s="40"/>
      <c r="M5" s="39"/>
      <c r="N5" s="37"/>
      <c r="O5" s="41"/>
      <c r="P5" s="37"/>
      <c r="Q5" s="37"/>
      <c r="R5" s="37"/>
      <c r="S5" s="37"/>
      <c r="T5" s="37"/>
      <c r="U5" s="37"/>
      <c r="V5" s="37"/>
      <c r="W5" s="37"/>
      <c r="X5" s="37"/>
      <c r="Y5" s="37"/>
      <c r="Z5" s="39"/>
      <c r="AA5" s="37"/>
      <c r="AB5" s="42"/>
      <c r="AC5" s="37"/>
      <c r="AD5" s="43"/>
      <c r="AE5" s="43"/>
      <c r="AF5" s="37"/>
      <c r="AG5" s="42"/>
      <c r="AH5" s="42"/>
      <c r="AI5" s="42"/>
      <c r="AJ5" s="42"/>
      <c r="AK5" s="42"/>
      <c r="AL5" s="42"/>
      <c r="AM5" s="42"/>
      <c r="AN5" s="37"/>
      <c r="AO5" s="37"/>
      <c r="AP5" s="37"/>
      <c r="AQ5" s="37"/>
      <c r="AR5" s="37"/>
      <c r="AS5" s="37"/>
      <c r="AT5" s="44"/>
      <c r="AU5" s="37"/>
      <c r="AV5" s="37"/>
      <c r="AW5" s="45"/>
      <c r="AX5" s="45"/>
      <c r="AY5" s="37"/>
      <c r="AZ5" s="37"/>
      <c r="BA5" s="37"/>
      <c r="BB5" s="37"/>
      <c r="BC5" s="37"/>
      <c r="BD5" s="37"/>
      <c r="BE5" s="37"/>
      <c r="BF5" s="37"/>
      <c r="BG5" s="46"/>
      <c r="BH5" s="37"/>
      <c r="BI5" s="43"/>
      <c r="BJ5" s="43"/>
      <c r="BK5" s="43"/>
      <c r="BL5" s="43"/>
      <c r="BM5" s="37"/>
      <c r="BN5" s="37"/>
      <c r="BO5" s="37"/>
      <c r="BP5" s="37"/>
      <c r="BQ5" s="37"/>
      <c r="BR5" s="37"/>
      <c r="BS5" s="37"/>
      <c r="BT5" s="37"/>
      <c r="BU5" s="37"/>
      <c r="BV5" s="39"/>
    </row>
    <row r="6" ht="36.25" customHeight="1">
      <c r="A6" s="47"/>
      <c r="B6" s="48">
        <v>56625531</v>
      </c>
      <c r="C6" t="s" s="49">
        <v>96</v>
      </c>
      <c r="D6" t="s" s="50">
        <v>97</v>
      </c>
      <c r="E6" t="str" s="51" cm="1">
        <f t="array" ref="E6">$C6</f>
        <v>Normalisasi Sungai/Saluran Taranja </v>
      </c>
      <c r="F6" s="52"/>
      <c r="G6" s="51"/>
      <c r="H6" s="51"/>
      <c r="I6" s="53"/>
      <c r="J6" s="54">
        <v>195000000</v>
      </c>
      <c r="K6" s="55">
        <v>194858476.44</v>
      </c>
      <c r="L6" s="56">
        <v>194820645.26</v>
      </c>
      <c r="M6" s="54">
        <v>194820000</v>
      </c>
      <c r="N6" t="s" s="57">
        <v>98</v>
      </c>
      <c r="O6" t="s" s="58">
        <v>99</v>
      </c>
      <c r="P6" t="s" s="57">
        <v>4</v>
      </c>
      <c r="Q6" t="s" s="57">
        <v>100</v>
      </c>
      <c r="R6" t="s" s="57">
        <v>101</v>
      </c>
      <c r="S6" t="s" s="57">
        <v>102</v>
      </c>
      <c r="T6" s="59">
        <v>43979</v>
      </c>
      <c r="U6" t="s" s="57">
        <v>103</v>
      </c>
      <c r="V6" t="s" s="57">
        <v>104</v>
      </c>
      <c r="W6" t="s" s="57">
        <v>105</v>
      </c>
      <c r="X6" s="60">
        <v>90</v>
      </c>
      <c r="Y6" t="s" s="57">
        <v>10</v>
      </c>
      <c r="Z6" s="54" cm="1">
        <f t="array" ref="Z6">M6</f>
        <v>194820000</v>
      </c>
      <c r="AA6" t="s" s="57">
        <v>11</v>
      </c>
      <c r="AB6" s="61" cm="1">
        <f t="array" ref="AB6">AH6</f>
        <v>45692</v>
      </c>
      <c r="AC6" s="60">
        <v>180</v>
      </c>
      <c r="AD6" t="s" s="57">
        <v>106</v>
      </c>
      <c r="AE6" t="s" s="57">
        <v>107</v>
      </c>
      <c r="AF6" t="s" s="57">
        <v>108</v>
      </c>
      <c r="AG6" s="61">
        <v>45691</v>
      </c>
      <c r="AH6" s="61">
        <v>45692</v>
      </c>
      <c r="AI6" s="61">
        <v>45692</v>
      </c>
      <c r="AJ6" s="61">
        <v>45692</v>
      </c>
      <c r="AK6" s="61">
        <v>45692</v>
      </c>
      <c r="AL6" s="61">
        <v>45692</v>
      </c>
      <c r="AM6" s="61">
        <v>45692</v>
      </c>
      <c r="AN6" t="s" s="57">
        <v>109</v>
      </c>
      <c r="AO6" s="61" cm="1">
        <f t="array" ref="AO6">AJ6</f>
        <v>45692</v>
      </c>
      <c r="AP6" t="s" s="57">
        <v>110</v>
      </c>
      <c r="AQ6" s="61" cm="1">
        <f t="array" ref="AQ6">AJ6</f>
        <v>45692</v>
      </c>
      <c r="AR6" t="s" s="57">
        <v>111</v>
      </c>
      <c r="AS6" s="61" cm="1">
        <f t="array" ref="AS6">AJ6</f>
        <v>45692</v>
      </c>
      <c r="AT6" t="s" s="62">
        <v>112</v>
      </c>
      <c r="AU6" s="61" cm="1">
        <f t="array" ref="AU6">AJ6</f>
        <v>45692</v>
      </c>
      <c r="AV6" s="51"/>
      <c r="AW6" t="str" s="63" cm="1">
        <f t="array" ref="AW6">"600/"&amp;$B6&amp;"/"&amp;IF(AND($AE6="Konsultansi",M6&lt;=100000000),"SPK",IF(AND($AE6="Konsultansi",M6&gt;100000000),"Kont",IF(AND($AE6&lt;&gt;"Konsultansi",M6&lt;=200000000),"SPK","Kont")))&amp;"-"&amp;AE6&amp;"/PPK/DPUPR"</f>
        <v>600/56625531/SPK-Konstruksi/PPK/DPUPR</v>
      </c>
      <c r="AX6" t="str" s="63" cm="1">
        <f t="array" ref="AX6">"600/"&amp;$B6&amp;"/SPMK/PPK/DPUPR"</f>
        <v>600/56625531/SPMK/PPK/DPUPR</v>
      </c>
      <c r="AY6" s="51"/>
      <c r="AZ6" s="51"/>
      <c r="BA6" s="51"/>
      <c r="BB6" s="51"/>
      <c r="BC6" s="51"/>
      <c r="BD6" s="51"/>
      <c r="BE6" s="51"/>
      <c r="BF6" s="51"/>
      <c r="BG6" s="64">
        <v>15</v>
      </c>
      <c r="BH6" t="s" s="57">
        <v>98</v>
      </c>
      <c r="BI6" t="s" s="57">
        <v>21</v>
      </c>
      <c r="BJ6" t="s" s="57">
        <v>22</v>
      </c>
      <c r="BK6" t="s" s="57">
        <v>23</v>
      </c>
      <c r="BL6" t="s" s="57">
        <v>24</v>
      </c>
      <c r="BM6" s="51"/>
      <c r="BN6" s="51"/>
      <c r="BO6" s="51"/>
      <c r="BP6" s="51"/>
      <c r="BQ6" s="51"/>
      <c r="BR6" t="b" s="60">
        <v>0</v>
      </c>
      <c r="BS6" s="54" cm="1">
        <f t="array" ref="BS6">IF(M6&lt;=0.8*K6,5%*K6,M6*5%)</f>
        <v>9741000</v>
      </c>
      <c r="BT6" t="s" s="57">
        <v>115</v>
      </c>
      <c r="BU6" s="51"/>
      <c r="BV6" s="54" cm="1">
        <f t="array" ref="BV6">J6-M6</f>
        <v>180000</v>
      </c>
    </row>
    <row r="7" ht="20.25" customHeight="1">
      <c r="A7" s="47"/>
      <c r="B7" s="47"/>
      <c r="C7" s="65"/>
      <c r="D7" s="66"/>
      <c r="E7" s="67"/>
      <c r="F7" s="68"/>
      <c r="G7" s="67"/>
      <c r="H7" s="67"/>
      <c r="I7" s="67"/>
      <c r="J7" s="69"/>
      <c r="K7" s="69"/>
      <c r="L7" s="56"/>
      <c r="M7" s="69"/>
      <c r="N7" s="67"/>
      <c r="O7" s="70"/>
      <c r="P7" s="67"/>
      <c r="Q7" s="67"/>
      <c r="R7" s="67"/>
      <c r="S7" s="67"/>
      <c r="T7" s="67"/>
      <c r="U7" s="67"/>
      <c r="V7" s="67"/>
      <c r="W7" s="67"/>
      <c r="X7" s="67"/>
      <c r="Y7" s="67"/>
      <c r="Z7" s="69"/>
      <c r="AA7" s="67"/>
      <c r="AB7" s="71"/>
      <c r="AC7" s="67"/>
      <c r="AD7" s="72"/>
      <c r="AE7" s="72"/>
      <c r="AF7" s="67"/>
      <c r="AG7" s="71"/>
      <c r="AH7" s="71"/>
      <c r="AI7" s="71"/>
      <c r="AJ7" s="71"/>
      <c r="AK7" s="71"/>
      <c r="AL7" s="71"/>
      <c r="AM7" s="71"/>
      <c r="AN7" s="67"/>
      <c r="AO7" s="67"/>
      <c r="AP7" s="67"/>
      <c r="AQ7" s="67"/>
      <c r="AR7" s="67"/>
      <c r="AS7" s="67"/>
      <c r="AT7" s="73"/>
      <c r="AU7" s="67"/>
      <c r="AV7" s="67"/>
      <c r="AW7" s="74"/>
      <c r="AX7" s="74"/>
      <c r="AY7" s="67"/>
      <c r="AZ7" s="67"/>
      <c r="BA7" s="67"/>
      <c r="BB7" s="67"/>
      <c r="BC7" s="67"/>
      <c r="BD7" s="67"/>
      <c r="BE7" s="67"/>
      <c r="BF7" s="67"/>
      <c r="BG7" s="75"/>
      <c r="BH7" s="67"/>
      <c r="BI7" s="72"/>
      <c r="BJ7" s="72"/>
      <c r="BK7" s="72"/>
      <c r="BL7" s="72"/>
      <c r="BM7" s="67"/>
      <c r="BN7" s="67"/>
      <c r="BO7" s="67"/>
      <c r="BP7" s="67"/>
      <c r="BQ7" s="67"/>
      <c r="BR7" s="67"/>
      <c r="BS7" s="67"/>
      <c r="BT7" s="67"/>
      <c r="BU7" s="67"/>
      <c r="BV7" s="69"/>
    </row>
    <row r="8" ht="36.25" customHeight="1">
      <c r="A8" s="47"/>
      <c r="B8" s="48">
        <v>56645531</v>
      </c>
      <c r="C8" t="s" s="49">
        <v>116</v>
      </c>
      <c r="D8" t="s" s="50">
        <v>97</v>
      </c>
      <c r="E8" t="str" s="51" cm="1">
        <f t="array" ref="E8">$C8</f>
        <v>Normalisasi sungai/saluran Tinapu</v>
      </c>
      <c r="F8" s="52"/>
      <c r="G8" s="51"/>
      <c r="H8" s="51"/>
      <c r="I8" s="53"/>
      <c r="J8" s="54">
        <v>195000000</v>
      </c>
      <c r="K8" s="55">
        <v>194745487.32</v>
      </c>
      <c r="L8" s="56">
        <v>194708091.85</v>
      </c>
      <c r="M8" s="54">
        <v>194708000</v>
      </c>
      <c r="N8" t="s" s="57">
        <v>117</v>
      </c>
      <c r="O8" t="s" s="58">
        <v>118</v>
      </c>
      <c r="P8" t="s" s="57">
        <v>4</v>
      </c>
      <c r="Q8" t="s" s="57">
        <v>119</v>
      </c>
      <c r="R8" t="s" s="57">
        <v>120</v>
      </c>
      <c r="S8" s="60">
        <v>42</v>
      </c>
      <c r="T8" s="61">
        <v>44404</v>
      </c>
      <c r="U8" t="s" s="57">
        <v>121</v>
      </c>
      <c r="V8" t="s" s="57">
        <v>122</v>
      </c>
      <c r="W8" t="s" s="57">
        <v>123</v>
      </c>
      <c r="X8" s="60">
        <v>90</v>
      </c>
      <c r="Y8" t="s" s="57">
        <v>10</v>
      </c>
      <c r="Z8" s="54" cm="1">
        <f t="array" ref="Z8">M8</f>
        <v>194708000</v>
      </c>
      <c r="AA8" t="s" s="57">
        <v>11</v>
      </c>
      <c r="AB8" s="61" cm="1">
        <f t="array" ref="AB8">AH8</f>
        <v>45692</v>
      </c>
      <c r="AC8" s="60">
        <v>180</v>
      </c>
      <c r="AD8" t="s" s="57">
        <v>106</v>
      </c>
      <c r="AE8" t="s" s="57">
        <v>107</v>
      </c>
      <c r="AF8" t="s" s="57">
        <v>108</v>
      </c>
      <c r="AG8" s="61">
        <v>45691</v>
      </c>
      <c r="AH8" s="61">
        <v>45692</v>
      </c>
      <c r="AI8" s="61">
        <v>45692</v>
      </c>
      <c r="AJ8" s="61">
        <v>45692</v>
      </c>
      <c r="AK8" s="61">
        <v>45692</v>
      </c>
      <c r="AL8" s="61">
        <v>45692</v>
      </c>
      <c r="AM8" s="61">
        <v>45692</v>
      </c>
      <c r="AN8" t="s" s="57">
        <v>124</v>
      </c>
      <c r="AO8" s="61" cm="1">
        <f t="array" ref="AO8">AJ8</f>
        <v>45692</v>
      </c>
      <c r="AP8" t="s" s="57">
        <v>125</v>
      </c>
      <c r="AQ8" s="61" cm="1">
        <f t="array" ref="AQ8">AJ8</f>
        <v>45692</v>
      </c>
      <c r="AR8" t="s" s="57">
        <v>126</v>
      </c>
      <c r="AS8" s="61" cm="1">
        <f t="array" ref="AS8">AJ8</f>
        <v>45692</v>
      </c>
      <c r="AT8" t="s" s="62">
        <v>127</v>
      </c>
      <c r="AU8" s="61" cm="1">
        <f t="array" ref="AU8">AJ8</f>
        <v>45692</v>
      </c>
      <c r="AV8" s="51"/>
      <c r="AW8" t="str" s="63" cm="1">
        <f t="array" ref="AW8">"600/"&amp;$B8&amp;"/"&amp;IF(AND($AE8="Konsultansi",M8&lt;=100000000),"SPK",IF(AND($AE8="Konsultansi",M8&gt;100000000),"Kont",IF(AND($AE8&lt;&gt;"Konsultansi",M8&lt;=200000000),"SPK","Kont")))&amp;"-"&amp;AE8&amp;"/PPK/DPUPR"</f>
        <v>600/56645531/SPK-Konstruksi/PPK/DPUPR</v>
      </c>
      <c r="AX8" t="str" s="63" cm="1">
        <f t="array" ref="AX8">"600/"&amp;$B8&amp;"/SPMK/PPK/DPUPR"</f>
        <v>600/56645531/SPMK/PPK/DPUPR</v>
      </c>
      <c r="AY8" s="51"/>
      <c r="AZ8" s="51"/>
      <c r="BA8" s="51"/>
      <c r="BB8" s="51"/>
      <c r="BC8" s="51"/>
      <c r="BD8" s="51"/>
      <c r="BE8" s="51"/>
      <c r="BF8" s="51"/>
      <c r="BG8" s="64">
        <v>22</v>
      </c>
      <c r="BH8" t="s" s="57">
        <v>117</v>
      </c>
      <c r="BI8" t="s" s="57">
        <v>21</v>
      </c>
      <c r="BJ8" t="s" s="57">
        <v>22</v>
      </c>
      <c r="BK8" t="s" s="57">
        <v>23</v>
      </c>
      <c r="BL8" t="s" s="57">
        <v>24</v>
      </c>
      <c r="BM8" s="51"/>
      <c r="BN8" s="51"/>
      <c r="BO8" s="51"/>
      <c r="BP8" s="51"/>
      <c r="BQ8" s="51"/>
      <c r="BR8" t="b" s="60">
        <v>0</v>
      </c>
      <c r="BS8" s="54" cm="1">
        <f t="array" ref="BS8">IF(M8&lt;=0.8*K8,5%*K8,M8*5%)</f>
        <v>9735400</v>
      </c>
      <c r="BT8" t="s" s="57">
        <v>115</v>
      </c>
      <c r="BU8" s="51"/>
      <c r="BV8" s="54" cm="1">
        <f t="array" ref="BV8">J8-M8</f>
        <v>292000</v>
      </c>
    </row>
    <row r="9" ht="36.25" customHeight="1">
      <c r="A9" s="47"/>
      <c r="B9" s="48">
        <v>56679531</v>
      </c>
      <c r="C9" t="s" s="49">
        <v>130</v>
      </c>
      <c r="D9" t="s" s="76">
        <v>97</v>
      </c>
      <c r="E9" t="str" s="67" cm="1">
        <f t="array" ref="E9">$C9</f>
        <v>Normalisasi Sungai/Saluran Dalam Kota Pasangkayu </v>
      </c>
      <c r="F9" s="68"/>
      <c r="G9" s="67"/>
      <c r="H9" s="67"/>
      <c r="I9" s="53"/>
      <c r="J9" s="69">
        <v>200000000</v>
      </c>
      <c r="K9" s="77">
        <v>199767648.08</v>
      </c>
      <c r="L9" s="56">
        <v>199709643.75</v>
      </c>
      <c r="M9" s="69">
        <v>199709000</v>
      </c>
      <c r="N9" t="s" s="72">
        <v>131</v>
      </c>
      <c r="O9" t="s" s="78">
        <v>132</v>
      </c>
      <c r="P9" t="s" s="72">
        <v>4</v>
      </c>
      <c r="Q9" t="s" s="72">
        <v>133</v>
      </c>
      <c r="R9" t="s" s="72">
        <v>134</v>
      </c>
      <c r="S9" s="79">
        <v>35</v>
      </c>
      <c r="T9" s="71">
        <v>41715</v>
      </c>
      <c r="U9" t="s" s="72">
        <v>135</v>
      </c>
      <c r="V9" t="s" s="72">
        <v>136</v>
      </c>
      <c r="W9" t="s" s="72">
        <v>137</v>
      </c>
      <c r="X9" s="79">
        <v>90</v>
      </c>
      <c r="Y9" t="s" s="72">
        <v>10</v>
      </c>
      <c r="Z9" s="69" cm="1">
        <f t="array" ref="Z9">M9</f>
        <v>199709000</v>
      </c>
      <c r="AA9" t="s" s="72">
        <v>11</v>
      </c>
      <c r="AB9" s="71" cm="1">
        <f t="array" ref="AB9">AH9</f>
        <v>45692</v>
      </c>
      <c r="AC9" s="79">
        <v>180</v>
      </c>
      <c r="AD9" t="s" s="72">
        <v>106</v>
      </c>
      <c r="AE9" t="s" s="72">
        <v>107</v>
      </c>
      <c r="AF9" t="s" s="72">
        <v>108</v>
      </c>
      <c r="AG9" s="71">
        <v>45691</v>
      </c>
      <c r="AH9" s="71">
        <v>45692</v>
      </c>
      <c r="AI9" s="71">
        <v>45692</v>
      </c>
      <c r="AJ9" s="71">
        <v>45692</v>
      </c>
      <c r="AK9" s="71">
        <v>45692</v>
      </c>
      <c r="AL9" s="71">
        <v>45692</v>
      </c>
      <c r="AM9" s="71">
        <v>45692</v>
      </c>
      <c r="AN9" t="s" s="72">
        <v>138</v>
      </c>
      <c r="AO9" s="71" cm="1">
        <f t="array" ref="AO9">AJ9</f>
        <v>45692</v>
      </c>
      <c r="AP9" t="s" s="72">
        <v>139</v>
      </c>
      <c r="AQ9" s="71" cm="1">
        <f t="array" ref="AQ9">AJ9</f>
        <v>45692</v>
      </c>
      <c r="AR9" t="s" s="72">
        <v>140</v>
      </c>
      <c r="AS9" s="71" cm="1">
        <f t="array" ref="AS9">AJ9</f>
        <v>45692</v>
      </c>
      <c r="AT9" t="s" s="62">
        <v>141</v>
      </c>
      <c r="AU9" s="71" cm="1">
        <f t="array" ref="AU9">AJ9</f>
        <v>45692</v>
      </c>
      <c r="AV9" s="67"/>
      <c r="AW9" t="str" s="74" cm="1">
        <f t="array" ref="AW9">"600/"&amp;$B9&amp;"/"&amp;IF(AND($AE9="Konsultansi",M9&lt;=100000000),"SPK",IF(AND($AE9="Konsultansi",M9&gt;100000000),"Kont",IF(AND($AE9&lt;&gt;"Konsultansi",M9&lt;=200000000),"SPK","Kont")))&amp;"-"&amp;AE9&amp;"/PPK/DPUPR"</f>
        <v>600/56679531/SPK-Konstruksi/PPK/DPUPR</v>
      </c>
      <c r="AX9" t="str" s="74" cm="1">
        <f t="array" ref="AX9">"600/"&amp;$B9&amp;"/SPMK/PPK/DPUPR"</f>
        <v>600/56679531/SPMK/PPK/DPUPR</v>
      </c>
      <c r="AY9" s="67"/>
      <c r="AZ9" s="67"/>
      <c r="BA9" s="67"/>
      <c r="BB9" s="67"/>
      <c r="BC9" s="67"/>
      <c r="BD9" s="67"/>
      <c r="BE9" s="67"/>
      <c r="BF9" s="67"/>
      <c r="BG9" s="80">
        <v>190</v>
      </c>
      <c r="BH9" t="s" s="72">
        <v>131</v>
      </c>
      <c r="BI9" t="s" s="72">
        <v>21</v>
      </c>
      <c r="BJ9" t="s" s="72">
        <v>22</v>
      </c>
      <c r="BK9" t="s" s="72">
        <v>23</v>
      </c>
      <c r="BL9" t="s" s="72">
        <v>24</v>
      </c>
      <c r="BM9" s="67"/>
      <c r="BN9" s="67"/>
      <c r="BO9" s="67"/>
      <c r="BP9" s="67"/>
      <c r="BQ9" s="67"/>
      <c r="BR9" t="b" s="79">
        <v>0</v>
      </c>
      <c r="BS9" s="69" cm="1">
        <f t="array" ref="BS9">IF(M9&lt;=0.8*K9,5%*K9,M9*5%)</f>
        <v>9985450</v>
      </c>
      <c r="BT9" t="s" s="72">
        <v>115</v>
      </c>
      <c r="BU9" s="67"/>
      <c r="BV9" s="69" cm="1">
        <f t="array" ref="BV9">J9-M9</f>
        <v>291000</v>
      </c>
    </row>
    <row r="10" ht="36.25" customHeight="1">
      <c r="A10" s="47"/>
      <c r="B10" s="48">
        <v>56695031</v>
      </c>
      <c r="C10" t="s" s="49">
        <v>144</v>
      </c>
      <c r="D10" t="s" s="50">
        <v>97</v>
      </c>
      <c r="E10" t="str" s="51" cm="1">
        <f t="array" ref="E10">$C10</f>
        <v>Normalisasi Sungai/Saluran Dusun Tura Desa Karya Bersama </v>
      </c>
      <c r="F10" s="52"/>
      <c r="G10" s="51"/>
      <c r="H10" s="51"/>
      <c r="I10" s="53"/>
      <c r="J10" s="54">
        <v>195000000</v>
      </c>
      <c r="K10" s="55">
        <v>194866865.16</v>
      </c>
      <c r="L10" s="56">
        <v>194726966.79</v>
      </c>
      <c r="M10" s="54">
        <v>194726000</v>
      </c>
      <c r="N10" t="s" s="57">
        <v>145</v>
      </c>
      <c r="O10" t="s" s="58">
        <v>146</v>
      </c>
      <c r="P10" t="s" s="57">
        <v>4</v>
      </c>
      <c r="Q10" t="s" s="57">
        <v>147</v>
      </c>
      <c r="R10" t="s" s="57">
        <v>101</v>
      </c>
      <c r="S10" t="s" s="57">
        <v>148</v>
      </c>
      <c r="T10" s="61">
        <v>44987</v>
      </c>
      <c r="U10" t="s" s="57">
        <v>149</v>
      </c>
      <c r="V10" t="s" s="57">
        <v>150</v>
      </c>
      <c r="W10" t="s" s="57">
        <v>151</v>
      </c>
      <c r="X10" s="60">
        <v>90</v>
      </c>
      <c r="Y10" t="s" s="57">
        <v>10</v>
      </c>
      <c r="Z10" s="54" cm="1">
        <f t="array" ref="Z10">M10</f>
        <v>194726000</v>
      </c>
      <c r="AA10" t="s" s="57">
        <v>11</v>
      </c>
      <c r="AB10" s="61" cm="1">
        <f t="array" ref="AB10">AH10</f>
        <v>45692</v>
      </c>
      <c r="AC10" s="60">
        <v>180</v>
      </c>
      <c r="AD10" t="s" s="57">
        <v>106</v>
      </c>
      <c r="AE10" t="s" s="57">
        <v>107</v>
      </c>
      <c r="AF10" t="s" s="57">
        <v>108</v>
      </c>
      <c r="AG10" s="61">
        <v>45691</v>
      </c>
      <c r="AH10" s="61">
        <v>45692</v>
      </c>
      <c r="AI10" s="61">
        <v>45692</v>
      </c>
      <c r="AJ10" s="61">
        <v>45692</v>
      </c>
      <c r="AK10" s="61">
        <v>45692</v>
      </c>
      <c r="AL10" s="61">
        <v>45692</v>
      </c>
      <c r="AM10" s="61">
        <v>45692</v>
      </c>
      <c r="AN10" t="s" s="57">
        <v>152</v>
      </c>
      <c r="AO10" s="61" cm="1">
        <f t="array" ref="AO10">AJ10</f>
        <v>45692</v>
      </c>
      <c r="AP10" t="s" s="57">
        <v>153</v>
      </c>
      <c r="AQ10" s="61" cm="1">
        <f t="array" ref="AQ10">AJ10</f>
        <v>45692</v>
      </c>
      <c r="AR10" t="s" s="57">
        <v>154</v>
      </c>
      <c r="AS10" s="61" cm="1">
        <f t="array" ref="AS10">AJ10</f>
        <v>45692</v>
      </c>
      <c r="AT10" t="s" s="62">
        <v>155</v>
      </c>
      <c r="AU10" s="61" cm="1">
        <f t="array" ref="AU10">AJ10</f>
        <v>45692</v>
      </c>
      <c r="AV10" s="51"/>
      <c r="AW10" t="str" s="63" cm="1">
        <f t="array" ref="AW10">"600/"&amp;$B10&amp;"/"&amp;IF(AND($AE10="Konsultansi",M10&lt;=100000000),"SPK",IF(AND($AE10="Konsultansi",M10&gt;100000000),"Kont",IF(AND($AE10&lt;&gt;"Konsultansi",M10&lt;=200000000),"SPK","Kont")))&amp;"-"&amp;AE10&amp;"/PPK/DPUPR"</f>
        <v>600/56695031/SPK-Konstruksi/PPK/DPUPR</v>
      </c>
      <c r="AX10" t="str" s="63" cm="1">
        <f t="array" ref="AX10">"600/"&amp;$B10&amp;"/SPMK/PPK/DPUPR"</f>
        <v>600/56695031/SPMK/PPK/DPUPR</v>
      </c>
      <c r="AY10" s="51"/>
      <c r="AZ10" s="51"/>
      <c r="BA10" s="51"/>
      <c r="BB10" s="51"/>
      <c r="BC10" s="51"/>
      <c r="BD10" s="51"/>
      <c r="BE10" s="51"/>
      <c r="BF10" s="51"/>
      <c r="BG10" s="64">
        <v>18</v>
      </c>
      <c r="BH10" t="s" s="57">
        <v>145</v>
      </c>
      <c r="BI10" t="s" s="57">
        <v>21</v>
      </c>
      <c r="BJ10" t="s" s="57">
        <v>22</v>
      </c>
      <c r="BK10" t="s" s="57">
        <v>23</v>
      </c>
      <c r="BL10" t="s" s="57">
        <v>24</v>
      </c>
      <c r="BM10" s="51"/>
      <c r="BN10" s="51"/>
      <c r="BO10" s="51"/>
      <c r="BP10" s="51"/>
      <c r="BQ10" s="51"/>
      <c r="BR10" t="b" s="60">
        <v>0</v>
      </c>
      <c r="BS10" s="54" cm="1">
        <f t="array" ref="BS10">IF(M10&lt;=0.8*K10,5%*K10,M10*5%)</f>
        <v>9736300</v>
      </c>
      <c r="BT10" t="s" s="57">
        <v>115</v>
      </c>
      <c r="BU10" s="51"/>
      <c r="BV10" s="54" cm="1">
        <f t="array" ref="BV10">J10-M10</f>
        <v>274000</v>
      </c>
    </row>
    <row r="11" ht="36.25" customHeight="1">
      <c r="A11" s="47"/>
      <c r="B11" s="48">
        <v>56695463</v>
      </c>
      <c r="C11" t="s" s="49">
        <v>158</v>
      </c>
      <c r="D11" t="s" s="76">
        <v>97</v>
      </c>
      <c r="E11" t="str" s="67" cm="1">
        <f t="array" ref="E11">$C11</f>
        <v>Pengawasan Saluran Pembuang Dalam Kota Pasangkayu cs </v>
      </c>
      <c r="F11" s="68"/>
      <c r="G11" s="67"/>
      <c r="H11" s="67"/>
      <c r="I11" s="67"/>
      <c r="J11" s="69">
        <v>15000000</v>
      </c>
      <c r="K11" s="69">
        <v>14989000</v>
      </c>
      <c r="L11" s="56">
        <v>14850540</v>
      </c>
      <c r="M11" s="69">
        <v>14850000</v>
      </c>
      <c r="N11" t="s" s="72">
        <v>159</v>
      </c>
      <c r="O11" t="s" s="78">
        <v>160</v>
      </c>
      <c r="P11" t="s" s="72">
        <v>4</v>
      </c>
      <c r="Q11" t="s" s="72">
        <v>161</v>
      </c>
      <c r="R11" t="s" s="72">
        <v>162</v>
      </c>
      <c r="S11" t="s" s="72">
        <v>163</v>
      </c>
      <c r="T11" s="71">
        <v>45446</v>
      </c>
      <c r="U11" t="s" s="72">
        <v>164</v>
      </c>
      <c r="V11" t="s" s="72">
        <v>165</v>
      </c>
      <c r="W11" t="s" s="72">
        <v>166</v>
      </c>
      <c r="X11" s="79">
        <v>90</v>
      </c>
      <c r="Y11" t="s" s="72">
        <v>10</v>
      </c>
      <c r="Z11" s="69" cm="1">
        <f t="array" ref="Z11">M11</f>
        <v>14850000</v>
      </c>
      <c r="AA11" t="s" s="72">
        <v>11</v>
      </c>
      <c r="AB11" s="71" cm="1">
        <f t="array" ref="AB11">AH11</f>
        <v>45692</v>
      </c>
      <c r="AC11" s="79">
        <v>180</v>
      </c>
      <c r="AD11" t="s" s="72">
        <v>106</v>
      </c>
      <c r="AE11" t="s" s="72">
        <v>107</v>
      </c>
      <c r="AF11" t="s" s="72">
        <v>108</v>
      </c>
      <c r="AG11" s="71">
        <v>45691</v>
      </c>
      <c r="AH11" s="71">
        <v>45692</v>
      </c>
      <c r="AI11" s="71">
        <v>45692</v>
      </c>
      <c r="AJ11" s="71">
        <v>45692</v>
      </c>
      <c r="AK11" s="71">
        <v>45692</v>
      </c>
      <c r="AL11" s="71">
        <v>45692</v>
      </c>
      <c r="AM11" s="71">
        <v>45692</v>
      </c>
      <c r="AN11" t="s" s="72">
        <v>167</v>
      </c>
      <c r="AO11" s="71" cm="1">
        <f t="array" ref="AO11">AJ11</f>
        <v>45692</v>
      </c>
      <c r="AP11" t="s" s="72">
        <v>168</v>
      </c>
      <c r="AQ11" s="71" cm="1">
        <f t="array" ref="AQ11">AJ11</f>
        <v>45692</v>
      </c>
      <c r="AR11" t="s" s="72">
        <v>169</v>
      </c>
      <c r="AS11" s="71" cm="1">
        <f t="array" ref="AS11">AJ11</f>
        <v>45692</v>
      </c>
      <c r="AT11" t="s" s="62">
        <v>170</v>
      </c>
      <c r="AU11" s="71" cm="1">
        <f t="array" ref="AU11">AJ11</f>
        <v>45692</v>
      </c>
      <c r="AV11" s="67"/>
      <c r="AW11" t="str" s="74" cm="1">
        <f t="array" ref="AW11">"600/"&amp;$B11&amp;"/"&amp;IF(AND($AE11="Konsultansi",M11&lt;=100000000),"SPK",IF(AND($AE11="Konsultansi",M11&gt;100000000),"Kont",IF(AND($AE11&lt;&gt;"Konsultansi",M11&lt;=200000000),"SPK","Kont")))&amp;"-"&amp;AE11&amp;"/PPK/DPUPR"</f>
        <v>600/56695463/SPK-Konstruksi/PPK/DPUPR</v>
      </c>
      <c r="AX11" t="str" s="74" cm="1">
        <f t="array" ref="AX11">"600/"&amp;$B11&amp;"/SPMK/PPK/DPUPR"</f>
        <v>600/56695463/SPMK/PPK/DPUPR</v>
      </c>
      <c r="AY11" s="67"/>
      <c r="AZ11" s="67"/>
      <c r="BA11" s="67"/>
      <c r="BB11" s="67"/>
      <c r="BC11" s="67"/>
      <c r="BD11" s="67"/>
      <c r="BE11" s="67"/>
      <c r="BF11" s="67"/>
      <c r="BG11" s="80">
        <v>245</v>
      </c>
      <c r="BH11" t="s" s="72">
        <v>159</v>
      </c>
      <c r="BI11" t="s" s="72">
        <v>173</v>
      </c>
      <c r="BJ11" t="s" s="72">
        <v>22</v>
      </c>
      <c r="BK11" t="s" s="72">
        <v>23</v>
      </c>
      <c r="BL11" t="s" s="72">
        <v>24</v>
      </c>
      <c r="BM11" s="67"/>
      <c r="BN11" s="67"/>
      <c r="BO11" s="67"/>
      <c r="BP11" s="67"/>
      <c r="BQ11" s="67"/>
      <c r="BR11" s="67"/>
      <c r="BS11" s="67"/>
      <c r="BT11" s="67"/>
      <c r="BU11" s="67"/>
      <c r="BV11" s="69"/>
    </row>
    <row r="12" ht="20.25" customHeight="1">
      <c r="A12" s="81"/>
      <c r="B12" s="81"/>
      <c r="C12" s="65"/>
      <c r="D12" s="82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</row>
    <row r="13" ht="20.25" customHeight="1">
      <c r="A13" s="47"/>
      <c r="B13" s="47"/>
      <c r="C13" s="65"/>
      <c r="D13" s="66"/>
      <c r="E13" s="67"/>
      <c r="F13" s="67"/>
      <c r="G13" s="67"/>
      <c r="H13" s="67"/>
      <c r="I13" s="67"/>
      <c r="J13" s="67"/>
      <c r="K13" s="69"/>
      <c r="L13" s="56"/>
      <c r="M13" s="69"/>
      <c r="N13" s="67"/>
      <c r="O13" s="70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9"/>
      <c r="AA13" s="67"/>
      <c r="AB13" s="71"/>
      <c r="AC13" s="67"/>
      <c r="AD13" s="72"/>
      <c r="AE13" s="72"/>
      <c r="AF13" s="67"/>
      <c r="AG13" s="71"/>
      <c r="AH13" s="71"/>
      <c r="AI13" s="71"/>
      <c r="AJ13" s="71"/>
      <c r="AK13" s="71"/>
      <c r="AL13" s="71"/>
      <c r="AM13" s="71"/>
      <c r="AN13" s="67"/>
      <c r="AO13" s="67"/>
      <c r="AP13" s="67"/>
      <c r="AQ13" s="67"/>
      <c r="AR13" s="67"/>
      <c r="AS13" s="67"/>
      <c r="AT13" s="73"/>
      <c r="AU13" s="67"/>
      <c r="AV13" s="67"/>
      <c r="AW13" s="74"/>
      <c r="AX13" s="74"/>
      <c r="AY13" s="67"/>
      <c r="AZ13" s="67"/>
      <c r="BA13" s="67"/>
      <c r="BB13" s="67"/>
      <c r="BC13" s="67"/>
      <c r="BD13" s="67"/>
      <c r="BE13" s="67"/>
      <c r="BF13" s="67"/>
      <c r="BG13" s="75"/>
      <c r="BH13" s="67"/>
      <c r="BI13" s="72"/>
      <c r="BJ13" s="72"/>
      <c r="BK13" s="72"/>
      <c r="BL13" s="72"/>
      <c r="BM13" s="67"/>
      <c r="BN13" s="67"/>
      <c r="BO13" s="67"/>
      <c r="BP13" s="67"/>
      <c r="BQ13" s="67"/>
      <c r="BR13" s="67"/>
      <c r="BS13" s="67"/>
      <c r="BT13" s="67"/>
      <c r="BU13" s="67"/>
      <c r="BV13" s="69"/>
    </row>
    <row r="14" ht="20.25" customHeight="1">
      <c r="A14" s="47"/>
      <c r="B14" s="47"/>
      <c r="C14" s="65"/>
      <c r="D14" s="82"/>
      <c r="E14" s="51"/>
      <c r="F14" s="51"/>
      <c r="G14" s="51"/>
      <c r="H14" s="51"/>
      <c r="I14" s="51"/>
      <c r="J14" s="51"/>
      <c r="K14" s="54"/>
      <c r="L14" s="56"/>
      <c r="M14" s="54"/>
      <c r="N14" s="51"/>
      <c r="O14" s="83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4"/>
      <c r="AA14" s="51"/>
      <c r="AB14" s="61"/>
      <c r="AC14" s="51"/>
      <c r="AD14" s="57"/>
      <c r="AE14" s="57"/>
      <c r="AF14" s="51"/>
      <c r="AG14" s="61"/>
      <c r="AH14" s="61"/>
      <c r="AI14" s="61"/>
      <c r="AJ14" s="61"/>
      <c r="AK14" s="61"/>
      <c r="AL14" s="61"/>
      <c r="AM14" s="61"/>
      <c r="AN14" s="51"/>
      <c r="AO14" s="51"/>
      <c r="AP14" s="51"/>
      <c r="AQ14" s="51"/>
      <c r="AR14" s="51"/>
      <c r="AS14" s="51"/>
      <c r="AT14" s="73"/>
      <c r="AU14" s="51"/>
      <c r="AV14" s="51"/>
      <c r="AW14" s="63"/>
      <c r="AX14" s="63"/>
      <c r="AY14" s="51"/>
      <c r="AZ14" s="51"/>
      <c r="BA14" s="51"/>
      <c r="BB14" s="51"/>
      <c r="BC14" s="51"/>
      <c r="BD14" s="51"/>
      <c r="BE14" s="51"/>
      <c r="BF14" s="51"/>
      <c r="BG14" s="84"/>
      <c r="BH14" s="51"/>
      <c r="BI14" s="57"/>
      <c r="BJ14" s="57"/>
      <c r="BK14" s="57"/>
      <c r="BL14" s="57"/>
      <c r="BM14" s="51"/>
      <c r="BN14" s="51"/>
      <c r="BO14" s="51"/>
      <c r="BP14" s="51"/>
      <c r="BQ14" s="51"/>
      <c r="BR14" s="51"/>
      <c r="BS14" s="51"/>
      <c r="BT14" s="51"/>
      <c r="BU14" s="51"/>
      <c r="BV14" s="54"/>
    </row>
    <row r="15" ht="20.25" customHeight="1">
      <c r="A15" s="47"/>
      <c r="B15" s="47"/>
      <c r="C15" s="65"/>
      <c r="D15" s="66"/>
      <c r="E15" s="67"/>
      <c r="F15" s="67"/>
      <c r="G15" s="67"/>
      <c r="H15" s="67"/>
      <c r="I15" s="67"/>
      <c r="J15" s="67"/>
      <c r="K15" s="69"/>
      <c r="L15" s="56"/>
      <c r="M15" s="69"/>
      <c r="N15" s="67"/>
      <c r="O15" s="70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9"/>
      <c r="AA15" s="67"/>
      <c r="AB15" s="71"/>
      <c r="AC15" s="67"/>
      <c r="AD15" s="72"/>
      <c r="AE15" s="72"/>
      <c r="AF15" s="67"/>
      <c r="AG15" s="71"/>
      <c r="AH15" s="71"/>
      <c r="AI15" s="71"/>
      <c r="AJ15" s="71"/>
      <c r="AK15" s="71"/>
      <c r="AL15" s="71"/>
      <c r="AM15" s="71"/>
      <c r="AN15" s="67"/>
      <c r="AO15" s="67"/>
      <c r="AP15" s="67"/>
      <c r="AQ15" s="67"/>
      <c r="AR15" s="67"/>
      <c r="AS15" s="67"/>
      <c r="AT15" s="73"/>
      <c r="AU15" s="67"/>
      <c r="AV15" s="67"/>
      <c r="AW15" s="74"/>
      <c r="AX15" s="74"/>
      <c r="AY15" s="67"/>
      <c r="AZ15" s="67"/>
      <c r="BA15" s="67"/>
      <c r="BB15" s="67"/>
      <c r="BC15" s="67"/>
      <c r="BD15" s="67"/>
      <c r="BE15" s="67"/>
      <c r="BF15" s="67"/>
      <c r="BG15" s="75"/>
      <c r="BH15" s="67"/>
      <c r="BI15" s="72"/>
      <c r="BJ15" s="72"/>
      <c r="BK15" s="72"/>
      <c r="BL15" s="72"/>
      <c r="BM15" s="67"/>
      <c r="BN15" s="67"/>
      <c r="BO15" s="67"/>
      <c r="BP15" s="67"/>
      <c r="BQ15" s="67"/>
      <c r="BR15" s="67"/>
      <c r="BS15" s="67"/>
      <c r="BT15" s="67"/>
      <c r="BU15" s="67"/>
      <c r="BV15" s="69"/>
    </row>
    <row r="16" ht="20.25" customHeight="1">
      <c r="A16" s="47"/>
      <c r="B16" s="47"/>
      <c r="C16" s="65"/>
      <c r="D16" s="82"/>
      <c r="E16" s="51"/>
      <c r="F16" s="51"/>
      <c r="G16" s="51"/>
      <c r="H16" s="51"/>
      <c r="I16" s="51"/>
      <c r="J16" s="51"/>
      <c r="K16" s="54"/>
      <c r="L16" s="56"/>
      <c r="M16" s="54"/>
      <c r="N16" s="51"/>
      <c r="O16" s="8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4"/>
      <c r="AA16" s="51"/>
      <c r="AB16" s="61"/>
      <c r="AC16" s="51"/>
      <c r="AD16" s="57"/>
      <c r="AE16" s="57"/>
      <c r="AF16" s="51"/>
      <c r="AG16" s="61"/>
      <c r="AH16" s="61"/>
      <c r="AI16" s="61"/>
      <c r="AJ16" s="61"/>
      <c r="AK16" s="61"/>
      <c r="AL16" s="61"/>
      <c r="AM16" s="61"/>
      <c r="AN16" s="51"/>
      <c r="AO16" s="51"/>
      <c r="AP16" s="51"/>
      <c r="AQ16" s="51"/>
      <c r="AR16" s="51"/>
      <c r="AS16" s="51"/>
      <c r="AT16" s="73"/>
      <c r="AU16" s="51"/>
      <c r="AV16" s="51"/>
      <c r="AW16" s="63"/>
      <c r="AX16" s="63"/>
      <c r="AY16" s="51"/>
      <c r="AZ16" s="51"/>
      <c r="BA16" s="51"/>
      <c r="BB16" s="51"/>
      <c r="BC16" s="51"/>
      <c r="BD16" s="51"/>
      <c r="BE16" s="51"/>
      <c r="BF16" s="51"/>
      <c r="BG16" s="84"/>
      <c r="BH16" s="51"/>
      <c r="BI16" s="57"/>
      <c r="BJ16" s="57"/>
      <c r="BK16" s="57"/>
      <c r="BL16" s="57"/>
      <c r="BM16" s="51"/>
      <c r="BN16" s="51"/>
      <c r="BO16" s="51"/>
      <c r="BP16" s="51"/>
      <c r="BQ16" s="51"/>
      <c r="BR16" s="51"/>
      <c r="BS16" s="51"/>
      <c r="BT16" s="51"/>
      <c r="BU16" s="51"/>
      <c r="BV16" s="54"/>
    </row>
    <row r="17" ht="20.25" customHeight="1">
      <c r="A17" s="47"/>
      <c r="B17" s="47"/>
      <c r="C17" s="65"/>
      <c r="D17" s="85"/>
      <c r="E17" s="67"/>
      <c r="F17" s="68"/>
      <c r="G17" s="67"/>
      <c r="H17" s="67"/>
      <c r="I17" s="67"/>
      <c r="J17" s="69"/>
      <c r="K17" s="69"/>
      <c r="L17" s="56"/>
      <c r="M17" s="69"/>
      <c r="N17" s="67"/>
      <c r="O17" s="70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9"/>
      <c r="AA17" s="67"/>
      <c r="AB17" s="71"/>
      <c r="AC17" s="67"/>
      <c r="AD17" s="72"/>
      <c r="AE17" s="72"/>
      <c r="AF17" s="67"/>
      <c r="AG17" s="71"/>
      <c r="AH17" s="71"/>
      <c r="AI17" s="71"/>
      <c r="AJ17" s="71"/>
      <c r="AK17" s="71"/>
      <c r="AL17" s="71"/>
      <c r="AM17" s="71"/>
      <c r="AN17" s="67"/>
      <c r="AO17" s="67"/>
      <c r="AP17" s="67"/>
      <c r="AQ17" s="67"/>
      <c r="AR17" s="67"/>
      <c r="AS17" s="67"/>
      <c r="AT17" s="73"/>
      <c r="AU17" s="67"/>
      <c r="AV17" s="67"/>
      <c r="AW17" s="74"/>
      <c r="AX17" s="74"/>
      <c r="AY17" s="67"/>
      <c r="AZ17" s="67"/>
      <c r="BA17" s="67"/>
      <c r="BB17" s="67"/>
      <c r="BC17" s="67"/>
      <c r="BD17" s="67"/>
      <c r="BE17" s="67"/>
      <c r="BF17" s="67"/>
      <c r="BG17" s="75"/>
      <c r="BH17" s="67"/>
      <c r="BI17" s="72"/>
      <c r="BJ17" s="72"/>
      <c r="BK17" s="72"/>
      <c r="BL17" s="72"/>
      <c r="BM17" s="67"/>
      <c r="BN17" s="67"/>
      <c r="BO17" s="67"/>
      <c r="BP17" s="67"/>
      <c r="BQ17" s="67"/>
      <c r="BR17" s="67"/>
      <c r="BS17" s="67"/>
      <c r="BT17" s="67"/>
      <c r="BU17" s="67"/>
      <c r="BV17" s="69"/>
    </row>
    <row r="18" ht="20.25" customHeight="1">
      <c r="A18" s="47"/>
      <c r="B18" s="47"/>
      <c r="C18" s="65"/>
      <c r="D18" s="86"/>
      <c r="E18" s="51"/>
      <c r="F18" s="52"/>
      <c r="G18" s="51"/>
      <c r="H18" s="51"/>
      <c r="I18" s="51"/>
      <c r="J18" s="54"/>
      <c r="K18" s="54"/>
      <c r="L18" s="56"/>
      <c r="M18" s="54"/>
      <c r="N18" s="51"/>
      <c r="O18" s="83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4"/>
      <c r="AA18" s="51"/>
      <c r="AB18" s="61"/>
      <c r="AC18" s="51"/>
      <c r="AD18" s="57"/>
      <c r="AE18" s="57"/>
      <c r="AF18" s="51"/>
      <c r="AG18" s="61"/>
      <c r="AH18" s="61"/>
      <c r="AI18" s="61"/>
      <c r="AJ18" s="61"/>
      <c r="AK18" s="61"/>
      <c r="AL18" s="61"/>
      <c r="AM18" s="61"/>
      <c r="AN18" s="51"/>
      <c r="AO18" s="51"/>
      <c r="AP18" s="51"/>
      <c r="AQ18" s="51"/>
      <c r="AR18" s="51"/>
      <c r="AS18" s="51"/>
      <c r="AT18" s="73"/>
      <c r="AU18" s="51"/>
      <c r="AV18" s="51"/>
      <c r="AW18" s="63"/>
      <c r="AX18" s="63"/>
      <c r="AY18" s="51"/>
      <c r="AZ18" s="51"/>
      <c r="BA18" s="51"/>
      <c r="BB18" s="51"/>
      <c r="BC18" s="51"/>
      <c r="BD18" s="51"/>
      <c r="BE18" s="51"/>
      <c r="BF18" s="51"/>
      <c r="BG18" s="84"/>
      <c r="BH18" s="51"/>
      <c r="BI18" s="57"/>
      <c r="BJ18" s="57"/>
      <c r="BK18" s="57"/>
      <c r="BL18" s="57"/>
      <c r="BM18" s="51"/>
      <c r="BN18" s="51"/>
      <c r="BO18" s="51"/>
      <c r="BP18" s="51"/>
      <c r="BQ18" s="51"/>
      <c r="BR18" s="51"/>
      <c r="BS18" s="51"/>
      <c r="BT18" s="51"/>
      <c r="BU18" s="51"/>
      <c r="BV18" s="54"/>
    </row>
    <row r="19" ht="20.25" customHeight="1">
      <c r="A19" s="47"/>
      <c r="B19" s="47"/>
      <c r="C19" s="65"/>
      <c r="D19" s="85"/>
      <c r="E19" s="67"/>
      <c r="F19" s="68"/>
      <c r="G19" s="67"/>
      <c r="H19" s="67"/>
      <c r="I19" s="67"/>
      <c r="J19" s="69"/>
      <c r="K19" s="69"/>
      <c r="L19" s="56"/>
      <c r="M19" s="69"/>
      <c r="N19" s="67"/>
      <c r="O19" s="70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9"/>
      <c r="AA19" s="67"/>
      <c r="AB19" s="71"/>
      <c r="AC19" s="67"/>
      <c r="AD19" s="72"/>
      <c r="AE19" s="72"/>
      <c r="AF19" s="67"/>
      <c r="AG19" s="71"/>
      <c r="AH19" s="71"/>
      <c r="AI19" s="71"/>
      <c r="AJ19" s="71"/>
      <c r="AK19" s="71"/>
      <c r="AL19" s="71"/>
      <c r="AM19" s="71"/>
      <c r="AN19" s="67"/>
      <c r="AO19" s="67"/>
      <c r="AP19" s="67"/>
      <c r="AQ19" s="67"/>
      <c r="AR19" s="67"/>
      <c r="AS19" s="67"/>
      <c r="AT19" s="73"/>
      <c r="AU19" s="67"/>
      <c r="AV19" s="67"/>
      <c r="AW19" s="74"/>
      <c r="AX19" s="74"/>
      <c r="AY19" s="67"/>
      <c r="AZ19" s="67"/>
      <c r="BA19" s="67"/>
      <c r="BB19" s="67"/>
      <c r="BC19" s="67"/>
      <c r="BD19" s="67"/>
      <c r="BE19" s="67"/>
      <c r="BF19" s="67"/>
      <c r="BG19" s="75"/>
      <c r="BH19" s="67"/>
      <c r="BI19" s="72"/>
      <c r="BJ19" s="72"/>
      <c r="BK19" s="72"/>
      <c r="BL19" s="72"/>
      <c r="BM19" s="67"/>
      <c r="BN19" s="67"/>
      <c r="BO19" s="67"/>
      <c r="BP19" s="67"/>
      <c r="BQ19" s="67"/>
      <c r="BR19" s="67"/>
      <c r="BS19" s="67"/>
      <c r="BT19" s="67"/>
      <c r="BU19" s="67"/>
      <c r="BV19" s="69"/>
    </row>
    <row r="20" ht="20.25" customHeight="1">
      <c r="A20" s="47"/>
      <c r="B20" s="47"/>
      <c r="C20" s="65"/>
      <c r="D20" s="86"/>
      <c r="E20" s="51"/>
      <c r="F20" s="52"/>
      <c r="G20" s="51"/>
      <c r="H20" s="51"/>
      <c r="I20" s="51"/>
      <c r="J20" s="54"/>
      <c r="K20" s="54"/>
      <c r="L20" s="56"/>
      <c r="M20" s="54"/>
      <c r="N20" s="51"/>
      <c r="O20" s="83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4"/>
      <c r="AA20" s="51"/>
      <c r="AB20" s="61"/>
      <c r="AC20" s="51"/>
      <c r="AD20" s="57"/>
      <c r="AE20" s="57"/>
      <c r="AF20" s="51"/>
      <c r="AG20" s="61"/>
      <c r="AH20" s="61"/>
      <c r="AI20" s="61"/>
      <c r="AJ20" s="61"/>
      <c r="AK20" s="61"/>
      <c r="AL20" s="61"/>
      <c r="AM20" s="61"/>
      <c r="AN20" s="51"/>
      <c r="AO20" s="51"/>
      <c r="AP20" s="51"/>
      <c r="AQ20" s="51"/>
      <c r="AR20" s="51"/>
      <c r="AS20" s="51"/>
      <c r="AT20" s="73"/>
      <c r="AU20" s="51"/>
      <c r="AV20" s="51"/>
      <c r="AW20" s="63"/>
      <c r="AX20" s="63"/>
      <c r="AY20" s="51"/>
      <c r="AZ20" s="51"/>
      <c r="BA20" s="51"/>
      <c r="BB20" s="51"/>
      <c r="BC20" s="51"/>
      <c r="BD20" s="51"/>
      <c r="BE20" s="51"/>
      <c r="BF20" s="51"/>
      <c r="BG20" s="84"/>
      <c r="BH20" s="51"/>
      <c r="BI20" s="57"/>
      <c r="BJ20" s="57"/>
      <c r="BK20" s="57"/>
      <c r="BL20" s="57"/>
      <c r="BM20" s="51"/>
      <c r="BN20" s="51"/>
      <c r="BO20" s="51"/>
      <c r="BP20" s="51"/>
      <c r="BQ20" s="51"/>
      <c r="BR20" s="51"/>
      <c r="BS20" s="51"/>
      <c r="BT20" s="51"/>
      <c r="BU20" s="51"/>
      <c r="BV20" s="54"/>
    </row>
    <row r="21" ht="20.25" customHeight="1">
      <c r="A21" s="47"/>
      <c r="B21" s="47"/>
      <c r="C21" s="65"/>
      <c r="D21" s="85"/>
      <c r="E21" s="67"/>
      <c r="F21" s="68"/>
      <c r="G21" s="67"/>
      <c r="H21" s="67"/>
      <c r="I21" s="67"/>
      <c r="J21" s="69"/>
      <c r="K21" s="69"/>
      <c r="L21" s="56"/>
      <c r="M21" s="69"/>
      <c r="N21" s="67"/>
      <c r="O21" s="70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9"/>
      <c r="AA21" s="67"/>
      <c r="AB21" s="71"/>
      <c r="AC21" s="67"/>
      <c r="AD21" s="72"/>
      <c r="AE21" s="72"/>
      <c r="AF21" s="67"/>
      <c r="AG21" s="71"/>
      <c r="AH21" s="71"/>
      <c r="AI21" s="71"/>
      <c r="AJ21" s="71"/>
      <c r="AK21" s="71"/>
      <c r="AL21" s="71"/>
      <c r="AM21" s="71"/>
      <c r="AN21" s="67"/>
      <c r="AO21" s="67"/>
      <c r="AP21" s="67"/>
      <c r="AQ21" s="67"/>
      <c r="AR21" s="67"/>
      <c r="AS21" s="67"/>
      <c r="AT21" s="73"/>
      <c r="AU21" s="67"/>
      <c r="AV21" s="67"/>
      <c r="AW21" s="74"/>
      <c r="AX21" s="74"/>
      <c r="AY21" s="67"/>
      <c r="AZ21" s="67"/>
      <c r="BA21" s="67"/>
      <c r="BB21" s="67"/>
      <c r="BC21" s="67"/>
      <c r="BD21" s="67"/>
      <c r="BE21" s="67"/>
      <c r="BF21" s="67"/>
      <c r="BG21" s="75"/>
      <c r="BH21" s="67"/>
      <c r="BI21" s="72"/>
      <c r="BJ21" s="72"/>
      <c r="BK21" s="72"/>
      <c r="BL21" s="72"/>
      <c r="BM21" s="67"/>
      <c r="BN21" s="67"/>
      <c r="BO21" s="67"/>
      <c r="BP21" s="67"/>
      <c r="BQ21" s="67"/>
      <c r="BR21" s="67"/>
      <c r="BS21" s="67"/>
      <c r="BT21" s="67"/>
      <c r="BU21" s="67"/>
      <c r="BV21" s="69"/>
    </row>
    <row r="22" ht="20.25" customHeight="1">
      <c r="A22" s="47"/>
      <c r="B22" s="47"/>
      <c r="C22" s="65"/>
      <c r="D22" s="86"/>
      <c r="E22" s="51"/>
      <c r="F22" s="52"/>
      <c r="G22" s="51"/>
      <c r="H22" s="51"/>
      <c r="I22" s="51"/>
      <c r="J22" s="54"/>
      <c r="K22" s="54"/>
      <c r="L22" s="56"/>
      <c r="M22" s="54"/>
      <c r="N22" s="51"/>
      <c r="O22" s="83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4"/>
      <c r="AA22" s="51"/>
      <c r="AB22" s="61"/>
      <c r="AC22" s="51"/>
      <c r="AD22" s="57"/>
      <c r="AE22" s="57"/>
      <c r="AF22" s="51"/>
      <c r="AG22" s="61"/>
      <c r="AH22" s="61"/>
      <c r="AI22" s="61"/>
      <c r="AJ22" s="61"/>
      <c r="AK22" s="61"/>
      <c r="AL22" s="61"/>
      <c r="AM22" s="61"/>
      <c r="AN22" s="51"/>
      <c r="AO22" s="51"/>
      <c r="AP22" s="51"/>
      <c r="AQ22" s="51"/>
      <c r="AR22" s="51"/>
      <c r="AS22" s="51"/>
      <c r="AT22" s="73"/>
      <c r="AU22" s="51"/>
      <c r="AV22" s="51"/>
      <c r="AW22" s="63"/>
      <c r="AX22" s="63"/>
      <c r="AY22" s="51"/>
      <c r="AZ22" s="51"/>
      <c r="BA22" s="51"/>
      <c r="BB22" s="51"/>
      <c r="BC22" s="51"/>
      <c r="BD22" s="51"/>
      <c r="BE22" s="51"/>
      <c r="BF22" s="51"/>
      <c r="BG22" s="84"/>
      <c r="BH22" s="51"/>
      <c r="BI22" s="57"/>
      <c r="BJ22" s="57"/>
      <c r="BK22" s="57"/>
      <c r="BL22" s="57"/>
      <c r="BM22" s="51"/>
      <c r="BN22" s="51"/>
      <c r="BO22" s="51"/>
      <c r="BP22" s="51"/>
      <c r="BQ22" s="51"/>
      <c r="BR22" s="51"/>
      <c r="BS22" s="51"/>
      <c r="BT22" s="51"/>
      <c r="BU22" s="51"/>
      <c r="BV22" s="54"/>
    </row>
    <row r="23" ht="20.25" customHeight="1">
      <c r="A23" s="47"/>
      <c r="B23" s="47"/>
      <c r="C23" s="65"/>
      <c r="D23" s="85"/>
      <c r="E23" s="67"/>
      <c r="F23" s="68"/>
      <c r="G23" s="67"/>
      <c r="H23" s="67"/>
      <c r="I23" s="67"/>
      <c r="J23" s="69"/>
      <c r="K23" s="69"/>
      <c r="L23" s="56"/>
      <c r="M23" s="69"/>
      <c r="N23" s="67"/>
      <c r="O23" s="70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9"/>
      <c r="AA23" s="67"/>
      <c r="AB23" s="71"/>
      <c r="AC23" s="67"/>
      <c r="AD23" s="72"/>
      <c r="AE23" s="72"/>
      <c r="AF23" s="67"/>
      <c r="AG23" s="71"/>
      <c r="AH23" s="71"/>
      <c r="AI23" s="71"/>
      <c r="AJ23" s="71"/>
      <c r="AK23" s="71"/>
      <c r="AL23" s="71"/>
      <c r="AM23" s="71"/>
      <c r="AN23" s="67"/>
      <c r="AO23" s="67"/>
      <c r="AP23" s="67"/>
      <c r="AQ23" s="67"/>
      <c r="AR23" s="67"/>
      <c r="AS23" s="67"/>
      <c r="AT23" s="73"/>
      <c r="AU23" s="67"/>
      <c r="AV23" s="67"/>
      <c r="AW23" s="74"/>
      <c r="AX23" s="74"/>
      <c r="AY23" s="67"/>
      <c r="AZ23" s="67"/>
      <c r="BA23" s="67"/>
      <c r="BB23" s="67"/>
      <c r="BC23" s="67"/>
      <c r="BD23" s="67"/>
      <c r="BE23" s="67"/>
      <c r="BF23" s="67"/>
      <c r="BG23" s="75"/>
      <c r="BH23" s="67"/>
      <c r="BI23" s="72"/>
      <c r="BJ23" s="72"/>
      <c r="BK23" s="72"/>
      <c r="BL23" s="72"/>
      <c r="BM23" s="67"/>
      <c r="BN23" s="67"/>
      <c r="BO23" s="67"/>
      <c r="BP23" s="67"/>
      <c r="BQ23" s="67"/>
      <c r="BR23" s="67"/>
      <c r="BS23" s="67"/>
      <c r="BT23" s="67"/>
      <c r="BU23" s="67"/>
      <c r="BV23" s="69"/>
    </row>
    <row r="24" ht="20.25" customHeight="1">
      <c r="A24" s="47"/>
      <c r="B24" s="47"/>
      <c r="C24" s="65"/>
      <c r="D24" s="86"/>
      <c r="E24" s="51"/>
      <c r="F24" s="52"/>
      <c r="G24" s="51"/>
      <c r="H24" s="51"/>
      <c r="I24" s="51"/>
      <c r="J24" s="54"/>
      <c r="K24" s="54"/>
      <c r="L24" s="56"/>
      <c r="M24" s="54"/>
      <c r="N24" s="51"/>
      <c r="O24" s="83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4"/>
      <c r="AA24" s="51"/>
      <c r="AB24" s="61"/>
      <c r="AC24" s="51"/>
      <c r="AD24" s="57"/>
      <c r="AE24" s="57"/>
      <c r="AF24" s="51"/>
      <c r="AG24" s="61"/>
      <c r="AH24" s="61"/>
      <c r="AI24" s="61"/>
      <c r="AJ24" s="61"/>
      <c r="AK24" s="61"/>
      <c r="AL24" s="61"/>
      <c r="AM24" s="61"/>
      <c r="AN24" s="51"/>
      <c r="AO24" s="51"/>
      <c r="AP24" s="51"/>
      <c r="AQ24" s="51"/>
      <c r="AR24" s="51"/>
      <c r="AS24" s="51"/>
      <c r="AT24" s="73"/>
      <c r="AU24" s="51"/>
      <c r="AV24" s="51"/>
      <c r="AW24" s="63"/>
      <c r="AX24" s="63"/>
      <c r="AY24" s="51"/>
      <c r="AZ24" s="51"/>
      <c r="BA24" s="51"/>
      <c r="BB24" s="51"/>
      <c r="BC24" s="51"/>
      <c r="BD24" s="51"/>
      <c r="BE24" s="51"/>
      <c r="BF24" s="51"/>
      <c r="BG24" s="84"/>
      <c r="BH24" s="51"/>
      <c r="BI24" s="57"/>
      <c r="BJ24" s="57"/>
      <c r="BK24" s="57"/>
      <c r="BL24" s="57"/>
      <c r="BM24" s="51"/>
      <c r="BN24" s="51"/>
      <c r="BO24" s="51"/>
      <c r="BP24" s="51"/>
      <c r="BQ24" s="51"/>
      <c r="BR24" s="51"/>
      <c r="BS24" s="51"/>
      <c r="BT24" s="51"/>
      <c r="BU24" s="51"/>
      <c r="BV24" s="54"/>
    </row>
    <row r="25" ht="20.25" customHeight="1">
      <c r="A25" s="47"/>
      <c r="B25" s="47"/>
      <c r="C25" s="65"/>
      <c r="D25" s="85"/>
      <c r="E25" s="67"/>
      <c r="F25" s="68"/>
      <c r="G25" s="67"/>
      <c r="H25" s="67"/>
      <c r="I25" s="67"/>
      <c r="J25" s="69"/>
      <c r="K25" s="69"/>
      <c r="L25" s="56"/>
      <c r="M25" s="69"/>
      <c r="N25" s="67"/>
      <c r="O25" s="70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9"/>
      <c r="AA25" s="67"/>
      <c r="AB25" s="71"/>
      <c r="AC25" s="67"/>
      <c r="AD25" s="72"/>
      <c r="AE25" s="72"/>
      <c r="AF25" s="67"/>
      <c r="AG25" s="71"/>
      <c r="AH25" s="71"/>
      <c r="AI25" s="71"/>
      <c r="AJ25" s="71"/>
      <c r="AK25" s="71"/>
      <c r="AL25" s="71"/>
      <c r="AM25" s="71"/>
      <c r="AN25" s="67"/>
      <c r="AO25" s="67"/>
      <c r="AP25" s="67"/>
      <c r="AQ25" s="67"/>
      <c r="AR25" s="67"/>
      <c r="AS25" s="67"/>
      <c r="AT25" s="73"/>
      <c r="AU25" s="67"/>
      <c r="AV25" s="67"/>
      <c r="AW25" s="74"/>
      <c r="AX25" s="74"/>
      <c r="AY25" s="67"/>
      <c r="AZ25" s="67"/>
      <c r="BA25" s="67"/>
      <c r="BB25" s="67"/>
      <c r="BC25" s="67"/>
      <c r="BD25" s="67"/>
      <c r="BE25" s="67"/>
      <c r="BF25" s="67"/>
      <c r="BG25" s="75"/>
      <c r="BH25" s="67"/>
      <c r="BI25" s="72"/>
      <c r="BJ25" s="72"/>
      <c r="BK25" s="72"/>
      <c r="BL25" s="72"/>
      <c r="BM25" s="67"/>
      <c r="BN25" s="67"/>
      <c r="BO25" s="67"/>
      <c r="BP25" s="67"/>
      <c r="BQ25" s="67"/>
      <c r="BR25" s="67"/>
      <c r="BS25" s="67"/>
      <c r="BT25" s="67"/>
      <c r="BU25" s="67"/>
      <c r="BV25" s="69"/>
    </row>
    <row r="26" ht="20.25" customHeight="1">
      <c r="A26" s="47"/>
      <c r="B26" s="47"/>
      <c r="C26" s="65"/>
      <c r="D26" s="86"/>
      <c r="E26" s="51"/>
      <c r="F26" s="52"/>
      <c r="G26" s="51"/>
      <c r="H26" s="51"/>
      <c r="I26" s="51"/>
      <c r="J26" s="54"/>
      <c r="K26" s="54"/>
      <c r="L26" s="56"/>
      <c r="M26" s="54"/>
      <c r="N26" s="51"/>
      <c r="O26" s="8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4"/>
      <c r="AA26" s="51"/>
      <c r="AB26" s="61"/>
      <c r="AC26" s="51"/>
      <c r="AD26" s="57"/>
      <c r="AE26" s="57"/>
      <c r="AF26" s="51"/>
      <c r="AG26" s="61"/>
      <c r="AH26" s="61"/>
      <c r="AI26" s="61"/>
      <c r="AJ26" s="61"/>
      <c r="AK26" s="61"/>
      <c r="AL26" s="61"/>
      <c r="AM26" s="61"/>
      <c r="AN26" s="51"/>
      <c r="AO26" s="51"/>
      <c r="AP26" s="51"/>
      <c r="AQ26" s="51"/>
      <c r="AR26" s="51"/>
      <c r="AS26" s="51"/>
      <c r="AT26" s="73"/>
      <c r="AU26" s="51"/>
      <c r="AV26" s="51"/>
      <c r="AW26" s="63"/>
      <c r="AX26" s="63"/>
      <c r="AY26" s="51"/>
      <c r="AZ26" s="51"/>
      <c r="BA26" s="51"/>
      <c r="BB26" s="51"/>
      <c r="BC26" s="51"/>
      <c r="BD26" s="51"/>
      <c r="BE26" s="51"/>
      <c r="BF26" s="51"/>
      <c r="BG26" s="84"/>
      <c r="BH26" s="51"/>
      <c r="BI26" s="57"/>
      <c r="BJ26" s="57"/>
      <c r="BK26" s="57"/>
      <c r="BL26" s="57"/>
      <c r="BM26" s="51"/>
      <c r="BN26" s="51"/>
      <c r="BO26" s="51"/>
      <c r="BP26" s="51"/>
      <c r="BQ26" s="51"/>
      <c r="BR26" s="51"/>
      <c r="BS26" s="51"/>
      <c r="BT26" s="51"/>
      <c r="BU26" s="51"/>
      <c r="BV26" s="54"/>
    </row>
    <row r="27" ht="20.25" customHeight="1">
      <c r="A27" s="47"/>
      <c r="B27" s="47"/>
      <c r="C27" s="65"/>
      <c r="D27" s="85"/>
      <c r="E27" s="67"/>
      <c r="F27" s="68"/>
      <c r="G27" s="67"/>
      <c r="H27" s="67"/>
      <c r="I27" s="67"/>
      <c r="J27" s="69"/>
      <c r="K27" s="69"/>
      <c r="L27" s="56"/>
      <c r="M27" s="69"/>
      <c r="N27" s="67"/>
      <c r="O27" s="70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9"/>
      <c r="AA27" s="67"/>
      <c r="AB27" s="71"/>
      <c r="AC27" s="67"/>
      <c r="AD27" s="72"/>
      <c r="AE27" s="72"/>
      <c r="AF27" s="67"/>
      <c r="AG27" s="71"/>
      <c r="AH27" s="71"/>
      <c r="AI27" s="71"/>
      <c r="AJ27" s="71"/>
      <c r="AK27" s="71"/>
      <c r="AL27" s="71"/>
      <c r="AM27" s="71"/>
      <c r="AN27" s="67"/>
      <c r="AO27" s="67"/>
      <c r="AP27" s="67"/>
      <c r="AQ27" s="67"/>
      <c r="AR27" s="67"/>
      <c r="AS27" s="67"/>
      <c r="AT27" s="73"/>
      <c r="AU27" s="67"/>
      <c r="AV27" s="67"/>
      <c r="AW27" s="74"/>
      <c r="AX27" s="74"/>
      <c r="AY27" s="67"/>
      <c r="AZ27" s="67"/>
      <c r="BA27" s="67"/>
      <c r="BB27" s="67"/>
      <c r="BC27" s="67"/>
      <c r="BD27" s="67"/>
      <c r="BE27" s="67"/>
      <c r="BF27" s="67"/>
      <c r="BG27" s="75"/>
      <c r="BH27" s="67"/>
      <c r="BI27" s="72"/>
      <c r="BJ27" s="72"/>
      <c r="BK27" s="72"/>
      <c r="BL27" s="72"/>
      <c r="BM27" s="67"/>
      <c r="BN27" s="67"/>
      <c r="BO27" s="67"/>
      <c r="BP27" s="67"/>
      <c r="BQ27" s="67"/>
      <c r="BR27" s="67"/>
      <c r="BS27" s="67"/>
      <c r="BT27" s="67"/>
      <c r="BU27" s="67"/>
      <c r="BV27" s="69"/>
    </row>
    <row r="28" ht="20.25" customHeight="1">
      <c r="A28" s="47"/>
      <c r="B28" s="47"/>
      <c r="C28" s="65"/>
      <c r="D28" s="86"/>
      <c r="E28" s="51"/>
      <c r="F28" s="52"/>
      <c r="G28" s="51"/>
      <c r="H28" s="51"/>
      <c r="I28" s="51"/>
      <c r="J28" s="54"/>
      <c r="K28" s="54"/>
      <c r="L28" s="56"/>
      <c r="M28" s="54"/>
      <c r="N28" s="51"/>
      <c r="O28" s="8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4"/>
      <c r="AA28" s="51"/>
      <c r="AB28" s="61"/>
      <c r="AC28" s="51"/>
      <c r="AD28" s="57"/>
      <c r="AE28" s="57"/>
      <c r="AF28" s="51"/>
      <c r="AG28" s="61"/>
      <c r="AH28" s="61"/>
      <c r="AI28" s="61"/>
      <c r="AJ28" s="61"/>
      <c r="AK28" s="61"/>
      <c r="AL28" s="61"/>
      <c r="AM28" s="61"/>
      <c r="AN28" s="51"/>
      <c r="AO28" s="51"/>
      <c r="AP28" s="51"/>
      <c r="AQ28" s="51"/>
      <c r="AR28" s="51"/>
      <c r="AS28" s="51"/>
      <c r="AT28" s="73"/>
      <c r="AU28" s="51"/>
      <c r="AV28" s="51"/>
      <c r="AW28" s="63"/>
      <c r="AX28" s="63"/>
      <c r="AY28" s="51"/>
      <c r="AZ28" s="51"/>
      <c r="BA28" s="51"/>
      <c r="BB28" s="51"/>
      <c r="BC28" s="51"/>
      <c r="BD28" s="51"/>
      <c r="BE28" s="51"/>
      <c r="BF28" s="51"/>
      <c r="BG28" s="84"/>
      <c r="BH28" s="51"/>
      <c r="BI28" s="57"/>
      <c r="BJ28" s="57"/>
      <c r="BK28" s="57"/>
      <c r="BL28" s="57"/>
      <c r="BM28" s="51"/>
      <c r="BN28" s="51"/>
      <c r="BO28" s="51"/>
      <c r="BP28" s="51"/>
      <c r="BQ28" s="51"/>
      <c r="BR28" s="51"/>
      <c r="BS28" s="51"/>
      <c r="BT28" s="51"/>
      <c r="BU28" s="51"/>
      <c r="BV28" s="54"/>
    </row>
    <row r="29" ht="20.25" customHeight="1">
      <c r="A29" s="47"/>
      <c r="B29" s="47"/>
      <c r="C29" s="65"/>
      <c r="D29" s="85"/>
      <c r="E29" s="67"/>
      <c r="F29" s="68"/>
      <c r="G29" s="67"/>
      <c r="H29" s="67"/>
      <c r="I29" s="67"/>
      <c r="J29" s="69"/>
      <c r="K29" s="69"/>
      <c r="L29" s="56"/>
      <c r="M29" s="69"/>
      <c r="N29" s="67"/>
      <c r="O29" s="70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9"/>
      <c r="AA29" s="67"/>
      <c r="AB29" s="71"/>
      <c r="AC29" s="67"/>
      <c r="AD29" s="72"/>
      <c r="AE29" s="72"/>
      <c r="AF29" s="67"/>
      <c r="AG29" s="71"/>
      <c r="AH29" s="71"/>
      <c r="AI29" s="71"/>
      <c r="AJ29" s="71"/>
      <c r="AK29" s="71"/>
      <c r="AL29" s="71"/>
      <c r="AM29" s="71"/>
      <c r="AN29" s="67"/>
      <c r="AO29" s="67"/>
      <c r="AP29" s="67"/>
      <c r="AQ29" s="67"/>
      <c r="AR29" s="67"/>
      <c r="AS29" s="67"/>
      <c r="AT29" s="73"/>
      <c r="AU29" s="67"/>
      <c r="AV29" s="67"/>
      <c r="AW29" s="74"/>
      <c r="AX29" s="74"/>
      <c r="AY29" s="67"/>
      <c r="AZ29" s="67"/>
      <c r="BA29" s="67"/>
      <c r="BB29" s="67"/>
      <c r="BC29" s="67"/>
      <c r="BD29" s="67"/>
      <c r="BE29" s="67"/>
      <c r="BF29" s="67"/>
      <c r="BG29" s="75"/>
      <c r="BH29" s="67"/>
      <c r="BI29" s="72"/>
      <c r="BJ29" s="72"/>
      <c r="BK29" s="72"/>
      <c r="BL29" s="72"/>
      <c r="BM29" s="67"/>
      <c r="BN29" s="67"/>
      <c r="BO29" s="67"/>
      <c r="BP29" s="67"/>
      <c r="BQ29" s="67"/>
      <c r="BR29" s="67"/>
      <c r="BS29" s="67"/>
      <c r="BT29" s="67"/>
      <c r="BU29" s="67"/>
      <c r="BV29" s="69"/>
    </row>
    <row r="30" ht="20.25" customHeight="1">
      <c r="A30" s="47"/>
      <c r="B30" s="47"/>
      <c r="C30" s="65"/>
      <c r="D30" s="86"/>
      <c r="E30" s="51"/>
      <c r="F30" s="52"/>
      <c r="G30" s="51"/>
      <c r="H30" s="51"/>
      <c r="I30" s="51"/>
      <c r="J30" s="54"/>
      <c r="K30" s="54"/>
      <c r="L30" s="56"/>
      <c r="M30" s="54"/>
      <c r="N30" s="51"/>
      <c r="O30" s="83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4"/>
      <c r="AA30" s="51"/>
      <c r="AB30" s="61"/>
      <c r="AC30" s="51"/>
      <c r="AD30" s="57"/>
      <c r="AE30" s="57"/>
      <c r="AF30" s="51"/>
      <c r="AG30" s="61"/>
      <c r="AH30" s="61"/>
      <c r="AI30" s="61"/>
      <c r="AJ30" s="61"/>
      <c r="AK30" s="61"/>
      <c r="AL30" s="61"/>
      <c r="AM30" s="61"/>
      <c r="AN30" s="51"/>
      <c r="AO30" s="51"/>
      <c r="AP30" s="51"/>
      <c r="AQ30" s="51"/>
      <c r="AR30" s="51"/>
      <c r="AS30" s="51"/>
      <c r="AT30" s="73"/>
      <c r="AU30" s="51"/>
      <c r="AV30" s="51"/>
      <c r="AW30" s="63"/>
      <c r="AX30" s="63"/>
      <c r="AY30" s="51"/>
      <c r="AZ30" s="51"/>
      <c r="BA30" s="51"/>
      <c r="BB30" s="51"/>
      <c r="BC30" s="51"/>
      <c r="BD30" s="51"/>
      <c r="BE30" s="51"/>
      <c r="BF30" s="51"/>
      <c r="BG30" s="84"/>
      <c r="BH30" s="51"/>
      <c r="BI30" s="57"/>
      <c r="BJ30" s="57"/>
      <c r="BK30" s="57"/>
      <c r="BL30" s="57"/>
      <c r="BM30" s="51"/>
      <c r="BN30" s="51"/>
      <c r="BO30" s="51"/>
      <c r="BP30" s="51"/>
      <c r="BQ30" s="51"/>
      <c r="BR30" s="51"/>
      <c r="BS30" s="51"/>
      <c r="BT30" s="51"/>
      <c r="BU30" s="51"/>
      <c r="BV30" s="54"/>
    </row>
    <row r="31" ht="20.25" customHeight="1">
      <c r="A31" s="47"/>
      <c r="B31" s="47"/>
      <c r="C31" s="65"/>
      <c r="D31" s="85"/>
      <c r="E31" s="67"/>
      <c r="F31" s="68"/>
      <c r="G31" s="67"/>
      <c r="H31" s="67"/>
      <c r="I31" s="67"/>
      <c r="J31" s="69"/>
      <c r="K31" s="69"/>
      <c r="L31" s="56"/>
      <c r="M31" s="69"/>
      <c r="N31" s="67"/>
      <c r="O31" s="70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9"/>
      <c r="AA31" s="67"/>
      <c r="AB31" s="71"/>
      <c r="AC31" s="67"/>
      <c r="AD31" s="72"/>
      <c r="AE31" s="72"/>
      <c r="AF31" s="67"/>
      <c r="AG31" s="71"/>
      <c r="AH31" s="71"/>
      <c r="AI31" s="71"/>
      <c r="AJ31" s="71"/>
      <c r="AK31" s="71"/>
      <c r="AL31" s="71"/>
      <c r="AM31" s="71"/>
      <c r="AN31" s="67"/>
      <c r="AO31" s="67"/>
      <c r="AP31" s="67"/>
      <c r="AQ31" s="67"/>
      <c r="AR31" s="67"/>
      <c r="AS31" s="67"/>
      <c r="AT31" s="73"/>
      <c r="AU31" s="67"/>
      <c r="AV31" s="67"/>
      <c r="AW31" s="74"/>
      <c r="AX31" s="74"/>
      <c r="AY31" s="67"/>
      <c r="AZ31" s="67"/>
      <c r="BA31" s="67"/>
      <c r="BB31" s="67"/>
      <c r="BC31" s="67"/>
      <c r="BD31" s="67"/>
      <c r="BE31" s="67"/>
      <c r="BF31" s="67"/>
      <c r="BG31" s="75"/>
      <c r="BH31" s="67"/>
      <c r="BI31" s="72"/>
      <c r="BJ31" s="72"/>
      <c r="BK31" s="72"/>
      <c r="BL31" s="72"/>
      <c r="BM31" s="67"/>
      <c r="BN31" s="67"/>
      <c r="BO31" s="67"/>
      <c r="BP31" s="67"/>
      <c r="BQ31" s="67"/>
      <c r="BR31" s="67"/>
      <c r="BS31" s="67"/>
      <c r="BT31" s="67"/>
      <c r="BU31" s="67"/>
      <c r="BV31" s="69"/>
    </row>
    <row r="32" ht="20.25" customHeight="1">
      <c r="A32" s="47"/>
      <c r="B32" s="47"/>
      <c r="C32" s="65"/>
      <c r="D32" s="82"/>
      <c r="E32" s="51"/>
      <c r="F32" s="52"/>
      <c r="G32" s="51"/>
      <c r="H32" s="51"/>
      <c r="I32" s="51"/>
      <c r="J32" s="54"/>
      <c r="K32" s="54"/>
      <c r="L32" s="56"/>
      <c r="M32" s="54"/>
      <c r="N32" s="51"/>
      <c r="O32" s="8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4"/>
      <c r="AA32" s="51"/>
      <c r="AB32" s="61"/>
      <c r="AC32" s="51"/>
      <c r="AD32" s="57"/>
      <c r="AE32" s="57"/>
      <c r="AF32" s="51"/>
      <c r="AG32" s="61"/>
      <c r="AH32" s="61"/>
      <c r="AI32" s="61"/>
      <c r="AJ32" s="61"/>
      <c r="AK32" s="61"/>
      <c r="AL32" s="61"/>
      <c r="AM32" s="61"/>
      <c r="AN32" s="51"/>
      <c r="AO32" s="51"/>
      <c r="AP32" s="51"/>
      <c r="AQ32" s="51"/>
      <c r="AR32" s="51"/>
      <c r="AS32" s="51"/>
      <c r="AT32" s="73"/>
      <c r="AU32" s="51"/>
      <c r="AV32" s="51"/>
      <c r="AW32" s="63"/>
      <c r="AX32" s="63"/>
      <c r="AY32" s="51"/>
      <c r="AZ32" s="51"/>
      <c r="BA32" s="51"/>
      <c r="BB32" s="51"/>
      <c r="BC32" s="51"/>
      <c r="BD32" s="51"/>
      <c r="BE32" s="51"/>
      <c r="BF32" s="51"/>
      <c r="BG32" s="84"/>
      <c r="BH32" s="51"/>
      <c r="BI32" s="57"/>
      <c r="BJ32" s="57"/>
      <c r="BK32" s="57"/>
      <c r="BL32" s="57"/>
      <c r="BM32" s="51"/>
      <c r="BN32" s="51"/>
      <c r="BO32" s="51"/>
      <c r="BP32" s="51"/>
      <c r="BQ32" s="51"/>
      <c r="BR32" s="51"/>
      <c r="BS32" s="51"/>
      <c r="BT32" s="51"/>
      <c r="BU32" s="51"/>
      <c r="BV32" s="54"/>
    </row>
    <row r="33" ht="20.25" customHeight="1">
      <c r="A33" s="47"/>
      <c r="B33" s="47"/>
      <c r="C33" s="65"/>
      <c r="D33" s="66"/>
      <c r="E33" s="67"/>
      <c r="F33" s="68"/>
      <c r="G33" s="67"/>
      <c r="H33" s="67"/>
      <c r="I33" s="67"/>
      <c r="J33" s="69"/>
      <c r="K33" s="69"/>
      <c r="L33" s="56"/>
      <c r="M33" s="69"/>
      <c r="N33" s="67"/>
      <c r="O33" s="70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9"/>
      <c r="AA33" s="67"/>
      <c r="AB33" s="71"/>
      <c r="AC33" s="67"/>
      <c r="AD33" s="72"/>
      <c r="AE33" s="72"/>
      <c r="AF33" s="67"/>
      <c r="AG33" s="71"/>
      <c r="AH33" s="71"/>
      <c r="AI33" s="71"/>
      <c r="AJ33" s="71"/>
      <c r="AK33" s="71"/>
      <c r="AL33" s="71"/>
      <c r="AM33" s="71"/>
      <c r="AN33" s="67"/>
      <c r="AO33" s="67"/>
      <c r="AP33" s="67"/>
      <c r="AQ33" s="67"/>
      <c r="AR33" s="67"/>
      <c r="AS33" s="67"/>
      <c r="AT33" s="73"/>
      <c r="AU33" s="67"/>
      <c r="AV33" s="67"/>
      <c r="AW33" s="74"/>
      <c r="AX33" s="74"/>
      <c r="AY33" s="67"/>
      <c r="AZ33" s="67"/>
      <c r="BA33" s="67"/>
      <c r="BB33" s="67"/>
      <c r="BC33" s="67"/>
      <c r="BD33" s="67"/>
      <c r="BE33" s="67"/>
      <c r="BF33" s="67"/>
      <c r="BG33" s="75"/>
      <c r="BH33" s="67"/>
      <c r="BI33" s="72"/>
      <c r="BJ33" s="72"/>
      <c r="BK33" s="72"/>
      <c r="BL33" s="72"/>
      <c r="BM33" s="67"/>
      <c r="BN33" s="67"/>
      <c r="BO33" s="67"/>
      <c r="BP33" s="67"/>
      <c r="BQ33" s="67"/>
      <c r="BR33" s="67"/>
      <c r="BS33" s="67"/>
      <c r="BT33" s="67"/>
      <c r="BU33" s="67"/>
      <c r="BV33" s="69"/>
    </row>
    <row r="34" ht="20.25" customHeight="1">
      <c r="A34" s="47"/>
      <c r="B34" s="47"/>
      <c r="C34" s="65"/>
      <c r="D34" s="82"/>
      <c r="E34" s="51"/>
      <c r="F34" s="52"/>
      <c r="G34" s="51"/>
      <c r="H34" s="51"/>
      <c r="I34" s="51"/>
      <c r="J34" s="54"/>
      <c r="K34" s="54"/>
      <c r="L34" s="56"/>
      <c r="M34" s="54"/>
      <c r="N34" s="51"/>
      <c r="O34" s="83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4"/>
      <c r="AA34" s="51"/>
      <c r="AB34" s="61"/>
      <c r="AC34" s="51"/>
      <c r="AD34" s="57"/>
      <c r="AE34" s="57"/>
      <c r="AF34" s="51"/>
      <c r="AG34" s="61"/>
      <c r="AH34" s="61"/>
      <c r="AI34" s="61"/>
      <c r="AJ34" s="61"/>
      <c r="AK34" s="61"/>
      <c r="AL34" s="61"/>
      <c r="AM34" s="61"/>
      <c r="AN34" s="51"/>
      <c r="AO34" s="51"/>
      <c r="AP34" s="51"/>
      <c r="AQ34" s="51"/>
      <c r="AR34" s="51"/>
      <c r="AS34" s="51"/>
      <c r="AT34" s="73"/>
      <c r="AU34" s="51"/>
      <c r="AV34" s="51"/>
      <c r="AW34" s="63"/>
      <c r="AX34" s="63"/>
      <c r="AY34" s="51"/>
      <c r="AZ34" s="51"/>
      <c r="BA34" s="51"/>
      <c r="BB34" s="51"/>
      <c r="BC34" s="51"/>
      <c r="BD34" s="51"/>
      <c r="BE34" s="51"/>
      <c r="BF34" s="51"/>
      <c r="BG34" s="84"/>
      <c r="BH34" s="51"/>
      <c r="BI34" s="57"/>
      <c r="BJ34" s="57"/>
      <c r="BK34" s="57"/>
      <c r="BL34" s="57"/>
      <c r="BM34" s="51"/>
      <c r="BN34" s="51"/>
      <c r="BO34" s="51"/>
      <c r="BP34" s="51"/>
      <c r="BQ34" s="51"/>
      <c r="BR34" s="51"/>
      <c r="BS34" s="51"/>
      <c r="BT34" s="51"/>
      <c r="BU34" s="51"/>
      <c r="BV34" s="54"/>
    </row>
    <row r="35" ht="20.25" customHeight="1">
      <c r="A35" s="47"/>
      <c r="B35" s="47"/>
      <c r="C35" s="65"/>
      <c r="D35" s="85"/>
      <c r="E35" s="67"/>
      <c r="F35" s="68"/>
      <c r="G35" s="67"/>
      <c r="H35" s="67"/>
      <c r="I35" s="67"/>
      <c r="J35" s="69"/>
      <c r="K35" s="69"/>
      <c r="L35" s="56"/>
      <c r="M35" s="69"/>
      <c r="N35" s="67"/>
      <c r="O35" s="70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9"/>
      <c r="AA35" s="67"/>
      <c r="AB35" s="71"/>
      <c r="AC35" s="67"/>
      <c r="AD35" s="72"/>
      <c r="AE35" s="72"/>
      <c r="AF35" s="67"/>
      <c r="AG35" s="71"/>
      <c r="AH35" s="71"/>
      <c r="AI35" s="71"/>
      <c r="AJ35" s="71"/>
      <c r="AK35" s="71"/>
      <c r="AL35" s="71"/>
      <c r="AM35" s="71"/>
      <c r="AN35" s="67"/>
      <c r="AO35" s="67"/>
      <c r="AP35" s="67"/>
      <c r="AQ35" s="67"/>
      <c r="AR35" s="67"/>
      <c r="AS35" s="67"/>
      <c r="AT35" s="73"/>
      <c r="AU35" s="67"/>
      <c r="AV35" s="67"/>
      <c r="AW35" s="74"/>
      <c r="AX35" s="74"/>
      <c r="AY35" s="67"/>
      <c r="AZ35" s="67"/>
      <c r="BA35" s="67"/>
      <c r="BB35" s="67"/>
      <c r="BC35" s="67"/>
      <c r="BD35" s="67"/>
      <c r="BE35" s="67"/>
      <c r="BF35" s="67"/>
      <c r="BG35" s="75"/>
      <c r="BH35" s="67"/>
      <c r="BI35" s="72"/>
      <c r="BJ35" s="72"/>
      <c r="BK35" s="72"/>
      <c r="BL35" s="72"/>
      <c r="BM35" s="67"/>
      <c r="BN35" s="67"/>
      <c r="BO35" s="67"/>
      <c r="BP35" s="67"/>
      <c r="BQ35" s="67"/>
      <c r="BR35" s="67"/>
      <c r="BS35" s="67"/>
      <c r="BT35" s="67"/>
      <c r="BU35" s="67"/>
      <c r="BV35" s="69"/>
    </row>
    <row r="36" ht="20.25" customHeight="1">
      <c r="A36" s="47"/>
      <c r="B36" s="47"/>
      <c r="C36" s="65"/>
      <c r="D36" s="86"/>
      <c r="E36" s="51"/>
      <c r="F36" s="52"/>
      <c r="G36" s="51"/>
      <c r="H36" s="51"/>
      <c r="I36" s="51"/>
      <c r="J36" s="54"/>
      <c r="K36" s="54"/>
      <c r="L36" s="56"/>
      <c r="M36" s="54"/>
      <c r="N36" s="51"/>
      <c r="O36" s="83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4"/>
      <c r="AA36" s="51"/>
      <c r="AB36" s="61"/>
      <c r="AC36" s="51"/>
      <c r="AD36" s="57"/>
      <c r="AE36" s="57"/>
      <c r="AF36" s="51"/>
      <c r="AG36" s="61"/>
      <c r="AH36" s="61"/>
      <c r="AI36" s="61"/>
      <c r="AJ36" s="61"/>
      <c r="AK36" s="61"/>
      <c r="AL36" s="61"/>
      <c r="AM36" s="61"/>
      <c r="AN36" s="51"/>
      <c r="AO36" s="51"/>
      <c r="AP36" s="51"/>
      <c r="AQ36" s="51"/>
      <c r="AR36" s="51"/>
      <c r="AS36" s="51"/>
      <c r="AT36" s="73"/>
      <c r="AU36" s="51"/>
      <c r="AV36" s="51"/>
      <c r="AW36" s="63"/>
      <c r="AX36" s="63"/>
      <c r="AY36" s="51"/>
      <c r="AZ36" s="51"/>
      <c r="BA36" s="51"/>
      <c r="BB36" s="51"/>
      <c r="BC36" s="51"/>
      <c r="BD36" s="51"/>
      <c r="BE36" s="51"/>
      <c r="BF36" s="51"/>
      <c r="BG36" s="84"/>
      <c r="BH36" s="51"/>
      <c r="BI36" s="57"/>
      <c r="BJ36" s="57"/>
      <c r="BK36" s="57"/>
      <c r="BL36" s="57"/>
      <c r="BM36" s="51"/>
      <c r="BN36" s="51"/>
      <c r="BO36" s="51"/>
      <c r="BP36" s="51"/>
      <c r="BQ36" s="51"/>
      <c r="BR36" s="51"/>
      <c r="BS36" s="51"/>
      <c r="BT36" s="51"/>
      <c r="BU36" s="51"/>
      <c r="BV36" s="54"/>
    </row>
    <row r="37" ht="20.25" customHeight="1">
      <c r="A37" s="47"/>
      <c r="B37" s="47"/>
      <c r="C37" s="65"/>
      <c r="D37" s="66"/>
      <c r="E37" s="67"/>
      <c r="F37" s="68"/>
      <c r="G37" s="67"/>
      <c r="H37" s="67"/>
      <c r="I37" s="67"/>
      <c r="J37" s="69"/>
      <c r="K37" s="69"/>
      <c r="L37" s="56"/>
      <c r="M37" s="69"/>
      <c r="N37" s="67"/>
      <c r="O37" s="70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9"/>
      <c r="AA37" s="67"/>
      <c r="AB37" s="71"/>
      <c r="AC37" s="67"/>
      <c r="AD37" s="72"/>
      <c r="AE37" s="72"/>
      <c r="AF37" s="67"/>
      <c r="AG37" s="71"/>
      <c r="AH37" s="71"/>
      <c r="AI37" s="71"/>
      <c r="AJ37" s="71"/>
      <c r="AK37" s="71"/>
      <c r="AL37" s="71"/>
      <c r="AM37" s="71"/>
      <c r="AN37" s="67"/>
      <c r="AO37" s="67"/>
      <c r="AP37" s="67"/>
      <c r="AQ37" s="67"/>
      <c r="AR37" s="67"/>
      <c r="AS37" s="67"/>
      <c r="AT37" s="73"/>
      <c r="AU37" s="67"/>
      <c r="AV37" s="67"/>
      <c r="AW37" s="74"/>
      <c r="AX37" s="74"/>
      <c r="AY37" s="67"/>
      <c r="AZ37" s="67"/>
      <c r="BA37" s="67"/>
      <c r="BB37" s="67"/>
      <c r="BC37" s="67"/>
      <c r="BD37" s="67"/>
      <c r="BE37" s="67"/>
      <c r="BF37" s="67"/>
      <c r="BG37" s="75"/>
      <c r="BH37" s="67"/>
      <c r="BI37" s="72"/>
      <c r="BJ37" s="72"/>
      <c r="BK37" s="72"/>
      <c r="BL37" s="72"/>
      <c r="BM37" s="67"/>
      <c r="BN37" s="67"/>
      <c r="BO37" s="67"/>
      <c r="BP37" s="67"/>
      <c r="BQ37" s="67"/>
      <c r="BR37" s="67"/>
      <c r="BS37" s="67"/>
      <c r="BT37" s="67"/>
      <c r="BU37" s="67"/>
      <c r="BV37" s="69"/>
    </row>
    <row r="38" ht="24.25" customHeight="1">
      <c r="A38" s="47"/>
      <c r="B38" s="48">
        <v>34</v>
      </c>
      <c r="C38" s="65"/>
      <c r="D38" s="82"/>
      <c r="E38" s="60" cm="1">
        <f t="array" ref="E38">$C38</f>
        <v>0</v>
      </c>
      <c r="F38" s="52"/>
      <c r="G38" s="51"/>
      <c r="H38" s="51"/>
      <c r="I38" s="51"/>
      <c r="J38" s="54"/>
      <c r="K38" s="54"/>
      <c r="L38" s="56"/>
      <c r="M38" s="54"/>
      <c r="N38" t="s" s="57">
        <v>174</v>
      </c>
      <c r="O38" t="s" s="58">
        <v>174</v>
      </c>
      <c r="P38" t="s" s="57">
        <v>174</v>
      </c>
      <c r="Q38" t="s" s="57">
        <v>174</v>
      </c>
      <c r="R38" t="s" s="57">
        <v>174</v>
      </c>
      <c r="S38" t="s" s="57">
        <v>174</v>
      </c>
      <c r="T38" t="s" s="57">
        <v>174</v>
      </c>
      <c r="U38" t="s" s="57">
        <v>174</v>
      </c>
      <c r="V38" t="s" s="57">
        <v>174</v>
      </c>
      <c r="W38" t="s" s="57">
        <v>174</v>
      </c>
      <c r="X38" s="51"/>
      <c r="Y38" s="51"/>
      <c r="Z38" s="54" cm="1">
        <f t="array" ref="Z38">M38</f>
        <v>0</v>
      </c>
      <c r="AA38" s="51"/>
      <c r="AB38" s="61" cm="1">
        <f t="array" ref="AB38">AH38</f>
      </c>
      <c r="AC38" s="51"/>
      <c r="AD38" s="51"/>
      <c r="AE38" t="s" s="57">
        <v>175</v>
      </c>
      <c r="AF38" s="51"/>
      <c r="AG38" s="61"/>
      <c r="AH38" s="61"/>
      <c r="AI38" s="61"/>
      <c r="AJ38" s="61"/>
      <c r="AK38" s="61"/>
      <c r="AL38" s="61"/>
      <c r="AM38" s="61"/>
      <c r="AN38" t="s" s="57">
        <v>176</v>
      </c>
      <c r="AO38" s="51" cm="1">
        <f t="array" ref="AO38">AJ38</f>
      </c>
      <c r="AP38" t="s" s="57">
        <v>177</v>
      </c>
      <c r="AQ38" s="51" cm="1">
        <f t="array" ref="AQ38">AJ38</f>
      </c>
      <c r="AR38" t="s" s="57">
        <v>178</v>
      </c>
      <c r="AS38" s="51" cm="1">
        <f t="array" ref="AS38">AJ38</f>
      </c>
      <c r="AT38" t="s" s="62">
        <v>179</v>
      </c>
      <c r="AU38" s="51" cm="1">
        <f t="array" ref="AU38">AJ38</f>
      </c>
      <c r="AV38" s="51"/>
      <c r="AW38" t="str" s="63" cm="1">
        <f t="array" ref="AW38">"600/"&amp;$B38&amp;"/"&amp;IF(AND($AE38="Konsultansi",M38&lt;=100000000),"SPK",IF(AND($AE38="Konsultansi",M38&gt;100000000),"Kont",IF(AND($AE38&lt;&gt;"Konsultansi",M38&lt;=200000000),"SPK","Kont")))&amp;"-"&amp;AE38&amp;"/PPK/DPUPR"</f>
        <v>600/34/SPK-Barang/PPK/DPUPR</v>
      </c>
      <c r="AX38" t="str" s="63" cm="1">
        <f t="array" ref="AX38">"600/"&amp;$B38&amp;"/SPMK/PPK/DPUPR"</f>
        <v>600/34/SPMK/PPK/DPUPR</v>
      </c>
      <c r="AY38" s="51"/>
      <c r="AZ38" s="51"/>
      <c r="BA38" s="51"/>
      <c r="BB38" s="51"/>
      <c r="BC38" s="51"/>
      <c r="BD38" s="51"/>
      <c r="BE38" s="51"/>
      <c r="BF38" s="51"/>
      <c r="BG38" s="84"/>
      <c r="BH38" t="s" s="57">
        <v>182</v>
      </c>
      <c r="BI38" t="s" s="57">
        <v>21</v>
      </c>
      <c r="BJ38" t="s" s="57">
        <v>22</v>
      </c>
      <c r="BK38" t="s" s="57">
        <v>23</v>
      </c>
      <c r="BL38" t="s" s="57">
        <v>24</v>
      </c>
      <c r="BM38" s="51"/>
      <c r="BN38" s="51"/>
      <c r="BO38" s="51"/>
      <c r="BP38" s="51"/>
      <c r="BQ38" s="51"/>
      <c r="BR38" t="b" s="60">
        <v>0</v>
      </c>
      <c r="BS38" s="54" cm="1">
        <f t="array" ref="BS38">IF(M38&lt;=0.8*K38,5%*K38,M38*5%)</f>
        <v>0</v>
      </c>
      <c r="BT38" t="s" s="57">
        <v>183</v>
      </c>
      <c r="BU38" s="51"/>
      <c r="BV38" s="54" cm="1">
        <f t="array" ref="BV38">J38-M38</f>
        <v>0</v>
      </c>
    </row>
    <row r="39" ht="36.25" customHeight="1">
      <c r="A39" s="47"/>
      <c r="B39" s="48">
        <v>56625341</v>
      </c>
      <c r="C39" t="s" s="49">
        <v>184</v>
      </c>
      <c r="D39" t="s" s="87">
        <v>1</v>
      </c>
      <c r="E39" t="str" s="67" cm="1">
        <f t="array" ref="E39">$C39</f>
        <v>Stock Design Peningkatan jalan Kabupaten I</v>
      </c>
      <c r="F39" s="68"/>
      <c r="G39" s="67"/>
      <c r="H39" s="67"/>
      <c r="I39" s="67"/>
      <c r="J39" s="69">
        <v>100000000</v>
      </c>
      <c r="K39" s="77">
        <v>99995438.16</v>
      </c>
      <c r="L39" s="56">
        <v>99960264</v>
      </c>
      <c r="M39" s="69">
        <v>99960000</v>
      </c>
      <c r="N39" t="s" s="72">
        <v>185</v>
      </c>
      <c r="O39" t="s" s="78">
        <v>186</v>
      </c>
      <c r="P39" t="s" s="72">
        <v>4</v>
      </c>
      <c r="Q39" t="s" s="72">
        <v>187</v>
      </c>
      <c r="R39" t="s" s="72">
        <v>188</v>
      </c>
      <c r="S39" s="79">
        <v>23</v>
      </c>
      <c r="T39" s="71">
        <v>44495</v>
      </c>
      <c r="U39" t="s" s="72">
        <v>189</v>
      </c>
      <c r="V39" t="s" s="72">
        <v>190</v>
      </c>
      <c r="W39" t="s" s="72">
        <v>191</v>
      </c>
      <c r="X39" s="79">
        <v>30</v>
      </c>
      <c r="Y39" t="s" s="72">
        <v>10</v>
      </c>
      <c r="Z39" s="69" cm="1">
        <f t="array" ref="Z39">M39</f>
        <v>99960000</v>
      </c>
      <c r="AA39" t="s" s="72">
        <v>11</v>
      </c>
      <c r="AB39" s="71" cm="1">
        <f t="array" ref="AB39">AH39</f>
        <v>45692</v>
      </c>
      <c r="AC39" s="67"/>
      <c r="AD39" t="s" s="72">
        <v>192</v>
      </c>
      <c r="AE39" t="s" s="72">
        <v>13</v>
      </c>
      <c r="AF39" t="s" s="72">
        <v>108</v>
      </c>
      <c r="AG39" s="71">
        <v>45691</v>
      </c>
      <c r="AH39" s="71">
        <v>45692</v>
      </c>
      <c r="AI39" s="71">
        <v>45692</v>
      </c>
      <c r="AJ39" s="71">
        <v>45692</v>
      </c>
      <c r="AK39" s="71">
        <v>45692</v>
      </c>
      <c r="AL39" s="71">
        <v>45692</v>
      </c>
      <c r="AM39" s="71">
        <v>45692</v>
      </c>
      <c r="AN39" t="s" s="72">
        <v>193</v>
      </c>
      <c r="AO39" s="71" cm="1">
        <f t="array" ref="AO39">AJ39</f>
        <v>45692</v>
      </c>
      <c r="AP39" t="s" s="72">
        <v>194</v>
      </c>
      <c r="AQ39" s="71" cm="1">
        <f t="array" ref="AQ39">AJ39</f>
        <v>45692</v>
      </c>
      <c r="AR39" t="s" s="72">
        <v>195</v>
      </c>
      <c r="AS39" s="71" cm="1">
        <f t="array" ref="AS39">AJ39</f>
        <v>45692</v>
      </c>
      <c r="AT39" t="s" s="62">
        <v>196</v>
      </c>
      <c r="AU39" s="71" cm="1">
        <f t="array" ref="AU39">AJ39</f>
        <v>45692</v>
      </c>
      <c r="AV39" s="67"/>
      <c r="AW39" t="str" s="74" cm="1">
        <f t="array" ref="AW39">"600/"&amp;$B39&amp;"/"&amp;IF(AND($AE39="Konsultansi",M39&lt;=100000000),"SPK",IF(AND($AE39="Konsultansi",M39&gt;100000000),"Kont",IF(AND($AE39&lt;&gt;"Konsultansi",M39&lt;=200000000),"SPK","Kont")))&amp;"-"&amp;AE39&amp;"/PPK/DPUPR"</f>
        <v>600/56625341/SPK-Konsultansi/PPK/DPUPR</v>
      </c>
      <c r="AX39" t="str" s="74" cm="1">
        <f t="array" ref="AX39">"600/"&amp;$B39&amp;"/SPMK/PPK/DPUPR"</f>
        <v>600/56625341/SPMK/PPK/DPUPR</v>
      </c>
      <c r="AY39" s="67"/>
      <c r="AZ39" s="67"/>
      <c r="BA39" s="67"/>
      <c r="BB39" s="67"/>
      <c r="BC39" s="67"/>
      <c r="BD39" s="67"/>
      <c r="BE39" s="67"/>
      <c r="BF39" s="67"/>
      <c r="BG39" s="80">
        <v>223</v>
      </c>
      <c r="BH39" t="s" s="72">
        <v>185</v>
      </c>
      <c r="BI39" t="s" s="72">
        <v>21</v>
      </c>
      <c r="BJ39" t="s" s="72">
        <v>22</v>
      </c>
      <c r="BK39" t="s" s="72">
        <v>23</v>
      </c>
      <c r="BL39" t="s" s="72">
        <v>24</v>
      </c>
      <c r="BM39" s="67"/>
      <c r="BN39" s="67"/>
      <c r="BO39" s="67"/>
      <c r="BP39" s="67"/>
      <c r="BQ39" s="67"/>
      <c r="BR39" t="b" s="79">
        <v>0</v>
      </c>
      <c r="BS39" s="69" cm="1">
        <f t="array" ref="BS39">IF(M39&lt;=0.8*K39,5%*K39,M39*5%)</f>
        <v>4998000</v>
      </c>
      <c r="BT39" t="s" s="72">
        <v>25</v>
      </c>
      <c r="BU39" s="67"/>
      <c r="BV39" s="69" cm="1">
        <f t="array" ref="BV39">J39-M39</f>
        <v>40000</v>
      </c>
    </row>
    <row r="40" ht="36.25" customHeight="1">
      <c r="A40" s="47"/>
      <c r="B40" s="48">
        <v>56625335</v>
      </c>
      <c r="C40" t="s" s="49">
        <v>199</v>
      </c>
      <c r="D40" t="s" s="88">
        <v>1</v>
      </c>
      <c r="E40" t="str" s="51" cm="1">
        <f t="array" ref="E40">$C40</f>
        <v>Stock Design Peningkatan jalan Kabupaten II</v>
      </c>
      <c r="F40" s="52"/>
      <c r="G40" s="51"/>
      <c r="H40" s="51"/>
      <c r="I40" s="51"/>
      <c r="J40" s="54">
        <v>100000000</v>
      </c>
      <c r="K40" s="55">
        <v>99995438.16</v>
      </c>
      <c r="L40" s="56">
        <v>99954750</v>
      </c>
      <c r="M40" s="54">
        <v>99954000</v>
      </c>
      <c r="N40" t="s" s="57">
        <v>185</v>
      </c>
      <c r="O40" t="s" s="58">
        <v>186</v>
      </c>
      <c r="P40" t="s" s="57">
        <v>4</v>
      </c>
      <c r="Q40" t="s" s="57">
        <v>187</v>
      </c>
      <c r="R40" t="s" s="57">
        <v>188</v>
      </c>
      <c r="S40" s="60">
        <v>23</v>
      </c>
      <c r="T40" s="61">
        <v>44495</v>
      </c>
      <c r="U40" t="s" s="57">
        <v>189</v>
      </c>
      <c r="V40" t="s" s="57">
        <v>190</v>
      </c>
      <c r="W40" t="s" s="57">
        <v>191</v>
      </c>
      <c r="X40" s="60">
        <v>30</v>
      </c>
      <c r="Y40" t="s" s="57">
        <v>10</v>
      </c>
      <c r="Z40" s="54" cm="1">
        <f t="array" ref="Z40">M40</f>
        <v>99954000</v>
      </c>
      <c r="AA40" t="s" s="57">
        <v>11</v>
      </c>
      <c r="AB40" s="61" cm="1">
        <f t="array" ref="AB40">AH40</f>
        <v>45692</v>
      </c>
      <c r="AC40" s="51"/>
      <c r="AD40" t="s" s="57">
        <v>192</v>
      </c>
      <c r="AE40" t="s" s="57">
        <v>13</v>
      </c>
      <c r="AF40" t="s" s="57">
        <v>108</v>
      </c>
      <c r="AG40" s="61">
        <v>45691</v>
      </c>
      <c r="AH40" s="61">
        <v>45692</v>
      </c>
      <c r="AI40" s="61">
        <v>45692</v>
      </c>
      <c r="AJ40" s="61">
        <v>45692</v>
      </c>
      <c r="AK40" s="61">
        <v>45692</v>
      </c>
      <c r="AL40" s="61">
        <v>45692</v>
      </c>
      <c r="AM40" s="61">
        <v>45692</v>
      </c>
      <c r="AN40" t="s" s="57">
        <v>200</v>
      </c>
      <c r="AO40" s="61" cm="1">
        <f t="array" ref="AO40">AJ40</f>
        <v>45692</v>
      </c>
      <c r="AP40" t="s" s="57">
        <v>201</v>
      </c>
      <c r="AQ40" s="61" cm="1">
        <f t="array" ref="AQ40">AJ40</f>
        <v>45692</v>
      </c>
      <c r="AR40" t="s" s="57">
        <v>202</v>
      </c>
      <c r="AS40" s="61" cm="1">
        <f t="array" ref="AS40">AJ40</f>
        <v>45692</v>
      </c>
      <c r="AT40" t="s" s="62">
        <v>203</v>
      </c>
      <c r="AU40" s="61" cm="1">
        <f t="array" ref="AU40">AJ40</f>
        <v>45692</v>
      </c>
      <c r="AV40" s="51"/>
      <c r="AW40" t="str" s="63" cm="1">
        <f t="array" ref="AW40">"600/"&amp;$B40&amp;"/"&amp;IF(AND($AE40="Konsultansi",M40&lt;=100000000),"SPK",IF(AND($AE40="Konsultansi",M40&gt;100000000),"Kont",IF(AND($AE40&lt;&gt;"Konsultansi",M40&lt;=200000000),"SPK","Kont")))&amp;"-"&amp;AE40&amp;"/PPK/DPUPR"</f>
        <v>600/56625335/SPK-Konsultansi/PPK/DPUPR</v>
      </c>
      <c r="AX40" t="str" s="63" cm="1">
        <f t="array" ref="AX40">"600/"&amp;$B40&amp;"/SPMK/PPK/DPUPR"</f>
        <v>600/56625335/SPMK/PPK/DPUPR</v>
      </c>
      <c r="AY40" s="51"/>
      <c r="AZ40" s="51"/>
      <c r="BA40" s="51"/>
      <c r="BB40" s="51"/>
      <c r="BC40" s="51"/>
      <c r="BD40" s="51"/>
      <c r="BE40" s="51"/>
      <c r="BF40" s="51"/>
      <c r="BG40" s="64">
        <v>223</v>
      </c>
      <c r="BH40" t="s" s="57">
        <v>185</v>
      </c>
      <c r="BI40" t="s" s="57">
        <v>21</v>
      </c>
      <c r="BJ40" t="s" s="57">
        <v>22</v>
      </c>
      <c r="BK40" t="s" s="57">
        <v>23</v>
      </c>
      <c r="BL40" t="s" s="57">
        <v>24</v>
      </c>
      <c r="BM40" s="51"/>
      <c r="BN40" s="51"/>
      <c r="BO40" s="51"/>
      <c r="BP40" s="51"/>
      <c r="BQ40" s="51"/>
      <c r="BR40" t="b" s="60">
        <v>0</v>
      </c>
      <c r="BS40" s="54" cm="1">
        <f t="array" ref="BS40">IF(M40&lt;=0.8*K40,5%*K40,M40*5%)</f>
        <v>4997700</v>
      </c>
      <c r="BT40" t="s" s="57">
        <v>25</v>
      </c>
      <c r="BU40" s="51"/>
      <c r="BV40" s="54" cm="1">
        <f t="array" ref="BV40">J40-M40</f>
        <v>46000</v>
      </c>
    </row>
    <row r="41" ht="36.25" customHeight="1">
      <c r="A41" s="47"/>
      <c r="B41" s="48">
        <v>56625336</v>
      </c>
      <c r="C41" t="s" s="49">
        <v>206</v>
      </c>
      <c r="D41" t="s" s="87">
        <v>1</v>
      </c>
      <c r="E41" t="str" s="67" cm="1">
        <f t="array" ref="E41">$C41</f>
        <v>Stock Design Peningkatan jalan Kabupaten III</v>
      </c>
      <c r="F41" s="68"/>
      <c r="G41" s="67"/>
      <c r="H41" s="67"/>
      <c r="I41" s="67"/>
      <c r="J41" s="69">
        <v>100000000</v>
      </c>
      <c r="K41" s="77">
        <v>99995438.16</v>
      </c>
      <c r="L41" s="56">
        <v>99944690.40000001</v>
      </c>
      <c r="M41" s="69">
        <v>99944000</v>
      </c>
      <c r="N41" t="s" s="72">
        <v>185</v>
      </c>
      <c r="O41" t="s" s="78">
        <v>186</v>
      </c>
      <c r="P41" t="s" s="72">
        <v>4</v>
      </c>
      <c r="Q41" t="s" s="72">
        <v>187</v>
      </c>
      <c r="R41" t="s" s="72">
        <v>188</v>
      </c>
      <c r="S41" s="79">
        <v>23</v>
      </c>
      <c r="T41" s="71">
        <v>44495</v>
      </c>
      <c r="U41" t="s" s="72">
        <v>189</v>
      </c>
      <c r="V41" t="s" s="72">
        <v>190</v>
      </c>
      <c r="W41" t="s" s="72">
        <v>191</v>
      </c>
      <c r="X41" s="79">
        <v>30</v>
      </c>
      <c r="Y41" t="s" s="72">
        <v>10</v>
      </c>
      <c r="Z41" s="69" cm="1">
        <f t="array" ref="Z41">M41</f>
        <v>99944000</v>
      </c>
      <c r="AA41" t="s" s="72">
        <v>11</v>
      </c>
      <c r="AB41" s="71" cm="1">
        <f t="array" ref="AB41">AH41</f>
        <v>45692</v>
      </c>
      <c r="AC41" s="67"/>
      <c r="AD41" t="s" s="72">
        <v>192</v>
      </c>
      <c r="AE41" t="s" s="72">
        <v>13</v>
      </c>
      <c r="AF41" t="s" s="72">
        <v>108</v>
      </c>
      <c r="AG41" s="71">
        <v>45691</v>
      </c>
      <c r="AH41" s="71">
        <v>45692</v>
      </c>
      <c r="AI41" s="71">
        <v>45692</v>
      </c>
      <c r="AJ41" s="71">
        <v>45692</v>
      </c>
      <c r="AK41" s="71">
        <v>45692</v>
      </c>
      <c r="AL41" s="71">
        <v>45692</v>
      </c>
      <c r="AM41" s="71">
        <v>45692</v>
      </c>
      <c r="AN41" t="s" s="72">
        <v>207</v>
      </c>
      <c r="AO41" s="71" cm="1">
        <f t="array" ref="AO41">AJ41</f>
        <v>45692</v>
      </c>
      <c r="AP41" t="s" s="72">
        <v>208</v>
      </c>
      <c r="AQ41" s="71" cm="1">
        <f t="array" ref="AQ41">AJ41</f>
        <v>45692</v>
      </c>
      <c r="AR41" t="s" s="72">
        <v>209</v>
      </c>
      <c r="AS41" s="71" cm="1">
        <f t="array" ref="AS41">AJ41</f>
        <v>45692</v>
      </c>
      <c r="AT41" t="s" s="62">
        <v>210</v>
      </c>
      <c r="AU41" s="71" cm="1">
        <f t="array" ref="AU41">AJ41</f>
        <v>45692</v>
      </c>
      <c r="AV41" s="67"/>
      <c r="AW41" t="str" s="74" cm="1">
        <f t="array" ref="AW41">"600/"&amp;$B41&amp;"/"&amp;IF(AND($AE41="Konsultansi",M41&lt;=100000000),"SPK",IF(AND($AE41="Konsultansi",M41&gt;100000000),"Kont",IF(AND($AE41&lt;&gt;"Konsultansi",M41&lt;=200000000),"SPK","Kont")))&amp;"-"&amp;AE41&amp;"/PPK/DPUPR"</f>
        <v>600/56625336/SPK-Konsultansi/PPK/DPUPR</v>
      </c>
      <c r="AX41" t="str" s="74" cm="1">
        <f t="array" ref="AX41">"600/"&amp;$B41&amp;"/SPMK/PPK/DPUPR"</f>
        <v>600/56625336/SPMK/PPK/DPUPR</v>
      </c>
      <c r="AY41" s="67"/>
      <c r="AZ41" s="67"/>
      <c r="BA41" s="67"/>
      <c r="BB41" s="67"/>
      <c r="BC41" s="67"/>
      <c r="BD41" s="67"/>
      <c r="BE41" s="67"/>
      <c r="BF41" s="67"/>
      <c r="BG41" s="80">
        <v>223</v>
      </c>
      <c r="BH41" t="s" s="72">
        <v>185</v>
      </c>
      <c r="BI41" t="s" s="72">
        <v>21</v>
      </c>
      <c r="BJ41" t="s" s="72">
        <v>22</v>
      </c>
      <c r="BK41" t="s" s="72">
        <v>23</v>
      </c>
      <c r="BL41" t="s" s="72">
        <v>24</v>
      </c>
      <c r="BM41" s="67"/>
      <c r="BN41" s="67"/>
      <c r="BO41" s="67"/>
      <c r="BP41" s="67"/>
      <c r="BQ41" s="67"/>
      <c r="BR41" t="b" s="79">
        <v>0</v>
      </c>
      <c r="BS41" s="69" cm="1">
        <f t="array" ref="BS41">IF(M41&lt;=0.8*K41,5%*K41,M41*5%)</f>
        <v>4997200</v>
      </c>
      <c r="BT41" t="s" s="72">
        <v>25</v>
      </c>
      <c r="BU41" s="67"/>
      <c r="BV41" s="69" cm="1">
        <f t="array" ref="BV41">J41-M41</f>
        <v>56000</v>
      </c>
    </row>
    <row r="42" ht="36.25" customHeight="1">
      <c r="A42" s="47"/>
      <c r="B42" s="48">
        <v>56625337</v>
      </c>
      <c r="C42" t="s" s="49">
        <v>213</v>
      </c>
      <c r="D42" t="s" s="88">
        <v>1</v>
      </c>
      <c r="E42" t="str" s="51" cm="1">
        <f t="array" ref="E42">$C42</f>
        <v>Stock Design Peningkatan jalan Kabupaten IV</v>
      </c>
      <c r="F42" s="52"/>
      <c r="G42" s="51"/>
      <c r="H42" s="51"/>
      <c r="I42" s="51"/>
      <c r="J42" s="54">
        <v>100000000</v>
      </c>
      <c r="K42" s="55">
        <v>99995438.16</v>
      </c>
      <c r="L42" s="56">
        <v>99893520</v>
      </c>
      <c r="M42" s="54">
        <v>99893000</v>
      </c>
      <c r="N42" t="s" s="57">
        <v>214</v>
      </c>
      <c r="O42" t="s" s="58">
        <v>215</v>
      </c>
      <c r="P42" t="s" s="57">
        <v>4</v>
      </c>
      <c r="Q42" t="s" s="57">
        <v>216</v>
      </c>
      <c r="R42" t="s" s="57">
        <v>217</v>
      </c>
      <c r="S42" t="s" s="57">
        <v>218</v>
      </c>
      <c r="T42" s="61">
        <v>45366</v>
      </c>
      <c r="U42" t="s" s="57">
        <v>219</v>
      </c>
      <c r="V42" t="s" s="57">
        <v>220</v>
      </c>
      <c r="W42" t="s" s="57">
        <v>221</v>
      </c>
      <c r="X42" s="60">
        <v>30</v>
      </c>
      <c r="Y42" t="s" s="57">
        <v>10</v>
      </c>
      <c r="Z42" s="54" cm="1">
        <f t="array" ref="Z42">M42</f>
        <v>99893000</v>
      </c>
      <c r="AA42" t="s" s="57">
        <v>11</v>
      </c>
      <c r="AB42" s="61" cm="1">
        <f t="array" ref="AB42">AH42</f>
        <v>45692</v>
      </c>
      <c r="AC42" s="51"/>
      <c r="AD42" t="s" s="57">
        <v>192</v>
      </c>
      <c r="AE42" t="s" s="57">
        <v>13</v>
      </c>
      <c r="AF42" t="s" s="57">
        <v>108</v>
      </c>
      <c r="AG42" s="61">
        <v>45691</v>
      </c>
      <c r="AH42" s="61">
        <v>45692</v>
      </c>
      <c r="AI42" s="61">
        <v>45692</v>
      </c>
      <c r="AJ42" s="61">
        <v>45692</v>
      </c>
      <c r="AK42" s="61">
        <v>45692</v>
      </c>
      <c r="AL42" s="61">
        <v>45692</v>
      </c>
      <c r="AM42" s="61">
        <v>45692</v>
      </c>
      <c r="AN42" t="s" s="57">
        <v>222</v>
      </c>
      <c r="AO42" s="61" cm="1">
        <f t="array" ref="AO42">AJ42</f>
        <v>45692</v>
      </c>
      <c r="AP42" t="s" s="57">
        <v>223</v>
      </c>
      <c r="AQ42" s="61" cm="1">
        <f t="array" ref="AQ42">AJ42</f>
        <v>45692</v>
      </c>
      <c r="AR42" t="s" s="57">
        <v>224</v>
      </c>
      <c r="AS42" s="61" cm="1">
        <f t="array" ref="AS42">AJ42</f>
        <v>45692</v>
      </c>
      <c r="AT42" t="s" s="62">
        <v>225</v>
      </c>
      <c r="AU42" s="61" cm="1">
        <f t="array" ref="AU42">AJ42</f>
        <v>45692</v>
      </c>
      <c r="AV42" s="51"/>
      <c r="AW42" t="str" s="63" cm="1">
        <f t="array" ref="AW42">"600/"&amp;$B42&amp;"/"&amp;IF(AND($AE42="Konsultansi",M42&lt;=100000000),"SPK",IF(AND($AE42="Konsultansi",M42&gt;100000000),"Kont",IF(AND($AE42&lt;&gt;"Konsultansi",M42&lt;=200000000),"SPK","Kont")))&amp;"-"&amp;AE42&amp;"/PPK/DPUPR"</f>
        <v>600/56625337/SPK-Konsultansi/PPK/DPUPR</v>
      </c>
      <c r="AX42" t="str" s="63" cm="1">
        <f t="array" ref="AX42">"600/"&amp;$B42&amp;"/SPMK/PPK/DPUPR"</f>
        <v>600/56625337/SPMK/PPK/DPUPR</v>
      </c>
      <c r="AY42" s="51"/>
      <c r="AZ42" s="51"/>
      <c r="BA42" s="51"/>
      <c r="BB42" s="51"/>
      <c r="BC42" s="51"/>
      <c r="BD42" s="51"/>
      <c r="BE42" s="51"/>
      <c r="BF42" s="51"/>
      <c r="BG42" s="64">
        <v>246</v>
      </c>
      <c r="BH42" t="s" s="57">
        <v>214</v>
      </c>
      <c r="BI42" t="s" s="57">
        <v>21</v>
      </c>
      <c r="BJ42" t="s" s="57">
        <v>22</v>
      </c>
      <c r="BK42" t="s" s="57">
        <v>23</v>
      </c>
      <c r="BL42" t="s" s="57">
        <v>24</v>
      </c>
      <c r="BM42" s="51"/>
      <c r="BN42" s="51"/>
      <c r="BO42" s="51"/>
      <c r="BP42" s="51"/>
      <c r="BQ42" s="51"/>
      <c r="BR42" t="b" s="60">
        <v>0</v>
      </c>
      <c r="BS42" s="54" cm="1">
        <f t="array" ref="BS42">IF(M42&lt;=0.8*K42,5%*K42,M42*5%)</f>
        <v>4994650</v>
      </c>
      <c r="BT42" t="s" s="57">
        <v>25</v>
      </c>
      <c r="BU42" s="51"/>
      <c r="BV42" s="54" cm="1">
        <f t="array" ref="BV42">J42-M42</f>
        <v>107000</v>
      </c>
    </row>
    <row r="43" ht="36.25" customHeight="1">
      <c r="A43" s="47"/>
      <c r="B43" s="48">
        <v>56625345</v>
      </c>
      <c r="C43" t="s" s="49">
        <v>228</v>
      </c>
      <c r="D43" t="s" s="87">
        <v>1</v>
      </c>
      <c r="E43" t="str" s="67" cm="1">
        <f t="array" ref="E43">$C43</f>
        <v>Stock Design Peningkatan jalan Kabupaten V</v>
      </c>
      <c r="F43" s="68"/>
      <c r="G43" s="67"/>
      <c r="H43" s="67"/>
      <c r="I43" s="67"/>
      <c r="J43" s="69">
        <v>100000000</v>
      </c>
      <c r="K43" s="77">
        <v>99995438.16</v>
      </c>
      <c r="L43" s="56">
        <v>99837900</v>
      </c>
      <c r="M43" s="69">
        <v>99837000</v>
      </c>
      <c r="N43" t="s" s="72">
        <v>214</v>
      </c>
      <c r="O43" t="s" s="78">
        <v>215</v>
      </c>
      <c r="P43" t="s" s="72">
        <v>4</v>
      </c>
      <c r="Q43" t="s" s="72">
        <v>216</v>
      </c>
      <c r="R43" t="s" s="72">
        <v>217</v>
      </c>
      <c r="S43" t="s" s="72">
        <v>218</v>
      </c>
      <c r="T43" s="71">
        <v>45366</v>
      </c>
      <c r="U43" t="s" s="72">
        <v>219</v>
      </c>
      <c r="V43" t="s" s="72">
        <v>220</v>
      </c>
      <c r="W43" t="s" s="72">
        <v>221</v>
      </c>
      <c r="X43" s="79">
        <v>30</v>
      </c>
      <c r="Y43" t="s" s="72">
        <v>10</v>
      </c>
      <c r="Z43" s="69" cm="1">
        <f t="array" ref="Z43">M43</f>
        <v>99837000</v>
      </c>
      <c r="AA43" t="s" s="72">
        <v>11</v>
      </c>
      <c r="AB43" s="71" cm="1">
        <f t="array" ref="AB43">AH43</f>
        <v>45692</v>
      </c>
      <c r="AC43" s="67"/>
      <c r="AD43" t="s" s="72">
        <v>192</v>
      </c>
      <c r="AE43" t="s" s="72">
        <v>13</v>
      </c>
      <c r="AF43" t="s" s="72">
        <v>108</v>
      </c>
      <c r="AG43" s="71">
        <v>45691</v>
      </c>
      <c r="AH43" s="71">
        <v>45692</v>
      </c>
      <c r="AI43" s="71">
        <v>45692</v>
      </c>
      <c r="AJ43" s="71">
        <v>45692</v>
      </c>
      <c r="AK43" s="71">
        <v>45692</v>
      </c>
      <c r="AL43" s="71">
        <v>45692</v>
      </c>
      <c r="AM43" s="71">
        <v>45692</v>
      </c>
      <c r="AN43" t="s" s="72">
        <v>229</v>
      </c>
      <c r="AO43" s="71" cm="1">
        <f t="array" ref="AO43">AJ43</f>
        <v>45692</v>
      </c>
      <c r="AP43" t="s" s="72">
        <v>230</v>
      </c>
      <c r="AQ43" s="71" cm="1">
        <f t="array" ref="AQ43">AJ43</f>
        <v>45692</v>
      </c>
      <c r="AR43" t="s" s="72">
        <v>231</v>
      </c>
      <c r="AS43" s="71" cm="1">
        <f t="array" ref="AS43">AJ43</f>
        <v>45692</v>
      </c>
      <c r="AT43" t="s" s="62">
        <v>232</v>
      </c>
      <c r="AU43" s="71" cm="1">
        <f t="array" ref="AU43">AJ43</f>
        <v>45692</v>
      </c>
      <c r="AV43" s="67"/>
      <c r="AW43" t="str" s="74" cm="1">
        <f t="array" ref="AW43">"600/"&amp;$B43&amp;"/"&amp;IF(AND($AE43="Konsultansi",M43&lt;=100000000),"SPK",IF(AND($AE43="Konsultansi",M43&gt;100000000),"Kont",IF(AND($AE43&lt;&gt;"Konsultansi",M43&lt;=200000000),"SPK","Kont")))&amp;"-"&amp;AE43&amp;"/PPK/DPUPR"</f>
        <v>600/56625345/SPK-Konsultansi/PPK/DPUPR</v>
      </c>
      <c r="AX43" t="str" s="74" cm="1">
        <f t="array" ref="AX43">"600/"&amp;$B43&amp;"/SPMK/PPK/DPUPR"</f>
        <v>600/56625345/SPMK/PPK/DPUPR</v>
      </c>
      <c r="AY43" s="67"/>
      <c r="AZ43" s="67"/>
      <c r="BA43" s="67"/>
      <c r="BB43" s="67"/>
      <c r="BC43" s="67"/>
      <c r="BD43" s="67"/>
      <c r="BE43" s="67"/>
      <c r="BF43" s="67"/>
      <c r="BG43" s="80">
        <v>246</v>
      </c>
      <c r="BH43" t="s" s="72">
        <v>214</v>
      </c>
      <c r="BI43" t="s" s="72">
        <v>21</v>
      </c>
      <c r="BJ43" t="s" s="72">
        <v>22</v>
      </c>
      <c r="BK43" t="s" s="72">
        <v>23</v>
      </c>
      <c r="BL43" t="s" s="72">
        <v>24</v>
      </c>
      <c r="BM43" s="67"/>
      <c r="BN43" s="67"/>
      <c r="BO43" s="67"/>
      <c r="BP43" s="67"/>
      <c r="BQ43" s="67"/>
      <c r="BR43" t="b" s="79">
        <v>0</v>
      </c>
      <c r="BS43" s="69" cm="1">
        <f t="array" ref="BS43">IF(M43&lt;=0.8*K43,5%*K43,M43*5%)</f>
        <v>4991850</v>
      </c>
      <c r="BT43" t="s" s="72">
        <v>25</v>
      </c>
      <c r="BU43" s="67"/>
      <c r="BV43" s="69" cm="1">
        <f t="array" ref="BV43">J43-M43</f>
        <v>163000</v>
      </c>
    </row>
    <row r="44" ht="36.25" customHeight="1">
      <c r="A44" s="47"/>
      <c r="B44" s="48">
        <v>56625346</v>
      </c>
      <c r="C44" t="s" s="49">
        <v>235</v>
      </c>
      <c r="D44" t="s" s="88">
        <v>1</v>
      </c>
      <c r="E44" t="str" s="51" cm="1">
        <f t="array" ref="E44">$C44</f>
        <v>Stock Design Peningkatan jalan Kabupaten VI</v>
      </c>
      <c r="F44" s="52"/>
      <c r="G44" s="51"/>
      <c r="H44" s="51"/>
      <c r="I44" s="51"/>
      <c r="J44" s="54">
        <v>100000000</v>
      </c>
      <c r="K44" s="55">
        <v>99995438.16</v>
      </c>
      <c r="L44" s="56">
        <v>99949140</v>
      </c>
      <c r="M44" s="54">
        <v>99949000</v>
      </c>
      <c r="N44" t="s" s="57">
        <v>214</v>
      </c>
      <c r="O44" t="s" s="58">
        <v>215</v>
      </c>
      <c r="P44" t="s" s="57">
        <v>4</v>
      </c>
      <c r="Q44" t="s" s="57">
        <v>216</v>
      </c>
      <c r="R44" t="s" s="57">
        <v>217</v>
      </c>
      <c r="S44" t="s" s="57">
        <v>218</v>
      </c>
      <c r="T44" s="61">
        <v>45366</v>
      </c>
      <c r="U44" t="s" s="57">
        <v>219</v>
      </c>
      <c r="V44" t="s" s="57">
        <v>220</v>
      </c>
      <c r="W44" t="s" s="57">
        <v>221</v>
      </c>
      <c r="X44" s="60">
        <v>30</v>
      </c>
      <c r="Y44" t="s" s="57">
        <v>10</v>
      </c>
      <c r="Z44" s="54" cm="1">
        <f t="array" ref="Z44">M44</f>
        <v>99949000</v>
      </c>
      <c r="AA44" t="s" s="57">
        <v>11</v>
      </c>
      <c r="AB44" s="61" cm="1">
        <f t="array" ref="AB44">AH44</f>
        <v>45692</v>
      </c>
      <c r="AC44" s="51"/>
      <c r="AD44" t="s" s="57">
        <v>192</v>
      </c>
      <c r="AE44" t="s" s="57">
        <v>13</v>
      </c>
      <c r="AF44" t="s" s="57">
        <v>108</v>
      </c>
      <c r="AG44" s="61">
        <v>45691</v>
      </c>
      <c r="AH44" s="61">
        <v>45692</v>
      </c>
      <c r="AI44" s="61">
        <v>45692</v>
      </c>
      <c r="AJ44" s="61">
        <v>45692</v>
      </c>
      <c r="AK44" s="61">
        <v>45692</v>
      </c>
      <c r="AL44" s="61">
        <v>45692</v>
      </c>
      <c r="AM44" s="61">
        <v>45692</v>
      </c>
      <c r="AN44" t="s" s="57">
        <v>236</v>
      </c>
      <c r="AO44" s="61" cm="1">
        <f t="array" ref="AO44">AJ44</f>
        <v>45692</v>
      </c>
      <c r="AP44" t="s" s="57">
        <v>237</v>
      </c>
      <c r="AQ44" s="61" cm="1">
        <f t="array" ref="AQ44">AJ44</f>
        <v>45692</v>
      </c>
      <c r="AR44" t="s" s="57">
        <v>238</v>
      </c>
      <c r="AS44" s="61" cm="1">
        <f t="array" ref="AS44">AJ44</f>
        <v>45692</v>
      </c>
      <c r="AT44" t="s" s="62">
        <v>239</v>
      </c>
      <c r="AU44" s="61" cm="1">
        <f t="array" ref="AU44">AJ44</f>
        <v>45692</v>
      </c>
      <c r="AV44" s="51"/>
      <c r="AW44" t="str" s="63" cm="1">
        <f t="array" ref="AW44">"600/"&amp;$B44&amp;"/"&amp;IF(AND($AE44="Konsultansi",M44&lt;=100000000),"SPK",IF(AND($AE44="Konsultansi",M44&gt;100000000),"Kont",IF(AND($AE44&lt;&gt;"Konsultansi",M44&lt;=200000000),"SPK","Kont")))&amp;"-"&amp;AE44&amp;"/PPK/DPUPR"</f>
        <v>600/56625346/SPK-Konsultansi/PPK/DPUPR</v>
      </c>
      <c r="AX44" t="str" s="63" cm="1">
        <f t="array" ref="AX44">"600/"&amp;$B44&amp;"/SPMK/PPK/DPUPR"</f>
        <v>600/56625346/SPMK/PPK/DPUPR</v>
      </c>
      <c r="AY44" s="51"/>
      <c r="AZ44" s="51"/>
      <c r="BA44" s="51"/>
      <c r="BB44" s="51"/>
      <c r="BC44" s="51"/>
      <c r="BD44" s="51"/>
      <c r="BE44" s="51"/>
      <c r="BF44" s="51"/>
      <c r="BG44" s="64">
        <v>246</v>
      </c>
      <c r="BH44" t="s" s="57">
        <v>214</v>
      </c>
      <c r="BI44" t="s" s="57">
        <v>21</v>
      </c>
      <c r="BJ44" t="s" s="57">
        <v>22</v>
      </c>
      <c r="BK44" t="s" s="57">
        <v>23</v>
      </c>
      <c r="BL44" t="s" s="57">
        <v>24</v>
      </c>
      <c r="BM44" s="51"/>
      <c r="BN44" s="51"/>
      <c r="BO44" s="51"/>
      <c r="BP44" s="51"/>
      <c r="BQ44" s="51"/>
      <c r="BR44" t="b" s="60">
        <v>0</v>
      </c>
      <c r="BS44" s="54" cm="1">
        <f t="array" ref="BS44">IF(M44&lt;=0.8*K44,5%*K44,M44*5%)</f>
        <v>4997450</v>
      </c>
      <c r="BT44" t="s" s="57">
        <v>25</v>
      </c>
      <c r="BU44" s="51"/>
      <c r="BV44" s="54" cm="1">
        <f t="array" ref="BV44">J44-M44</f>
        <v>51000</v>
      </c>
    </row>
    <row r="45" ht="36.25" customHeight="1">
      <c r="A45" s="47"/>
      <c r="B45" s="48">
        <v>56625356</v>
      </c>
      <c r="C45" t="s" s="49">
        <v>242</v>
      </c>
      <c r="D45" t="s" s="87">
        <v>1</v>
      </c>
      <c r="E45" t="str" s="67" cm="1">
        <f t="array" ref="E45">$C45</f>
        <v>Stock Design Peningkatan jalan Kabupaten VII</v>
      </c>
      <c r="F45" s="68"/>
      <c r="G45" s="67"/>
      <c r="H45" s="67"/>
      <c r="I45" s="67"/>
      <c r="J45" s="69">
        <v>100000000</v>
      </c>
      <c r="K45" s="77">
        <v>99995438.16</v>
      </c>
      <c r="L45" s="56">
        <v>99893520</v>
      </c>
      <c r="M45" s="69">
        <v>99893000</v>
      </c>
      <c r="N45" t="s" s="72">
        <v>214</v>
      </c>
      <c r="O45" t="s" s="78">
        <v>215</v>
      </c>
      <c r="P45" t="s" s="72">
        <v>4</v>
      </c>
      <c r="Q45" t="s" s="72">
        <v>216</v>
      </c>
      <c r="R45" t="s" s="72">
        <v>217</v>
      </c>
      <c r="S45" t="s" s="72">
        <v>218</v>
      </c>
      <c r="T45" s="71">
        <v>45366</v>
      </c>
      <c r="U45" t="s" s="72">
        <v>219</v>
      </c>
      <c r="V45" t="s" s="72">
        <v>220</v>
      </c>
      <c r="W45" t="s" s="72">
        <v>221</v>
      </c>
      <c r="X45" s="79">
        <v>30</v>
      </c>
      <c r="Y45" t="s" s="72">
        <v>10</v>
      </c>
      <c r="Z45" s="69" cm="1">
        <f t="array" ref="Z45">M45</f>
        <v>99893000</v>
      </c>
      <c r="AA45" t="s" s="72">
        <v>11</v>
      </c>
      <c r="AB45" s="71" cm="1">
        <f t="array" ref="AB45">AH45</f>
        <v>45692</v>
      </c>
      <c r="AC45" s="67"/>
      <c r="AD45" t="s" s="72">
        <v>192</v>
      </c>
      <c r="AE45" t="s" s="72">
        <v>13</v>
      </c>
      <c r="AF45" t="s" s="72">
        <v>108</v>
      </c>
      <c r="AG45" s="71">
        <v>45691</v>
      </c>
      <c r="AH45" s="71">
        <v>45692</v>
      </c>
      <c r="AI45" s="71">
        <v>45692</v>
      </c>
      <c r="AJ45" s="71">
        <v>45692</v>
      </c>
      <c r="AK45" s="71">
        <v>45692</v>
      </c>
      <c r="AL45" s="71">
        <v>45692</v>
      </c>
      <c r="AM45" s="71">
        <v>45692</v>
      </c>
      <c r="AN45" t="s" s="72">
        <v>243</v>
      </c>
      <c r="AO45" s="71" cm="1">
        <f t="array" ref="AO45">AJ45</f>
        <v>45692</v>
      </c>
      <c r="AP45" t="s" s="72">
        <v>244</v>
      </c>
      <c r="AQ45" s="71" cm="1">
        <f t="array" ref="AQ45">AJ45</f>
        <v>45692</v>
      </c>
      <c r="AR45" t="s" s="72">
        <v>245</v>
      </c>
      <c r="AS45" s="71" cm="1">
        <f t="array" ref="AS45">AJ45</f>
        <v>45692</v>
      </c>
      <c r="AT45" t="s" s="62">
        <v>246</v>
      </c>
      <c r="AU45" s="71" cm="1">
        <f t="array" ref="AU45">AJ45</f>
        <v>45692</v>
      </c>
      <c r="AV45" s="67"/>
      <c r="AW45" t="str" s="74" cm="1">
        <f t="array" ref="AW45">"600/"&amp;$B45&amp;"/"&amp;IF(AND($AE45="Konsultansi",M45&lt;=100000000),"SPK",IF(AND($AE45="Konsultansi",M45&gt;100000000),"Kont",IF(AND($AE45&lt;&gt;"Konsultansi",M45&lt;=200000000),"SPK","Kont")))&amp;"-"&amp;AE45&amp;"/PPK/DPUPR"</f>
        <v>600/56625356/SPK-Konsultansi/PPK/DPUPR</v>
      </c>
      <c r="AX45" t="str" s="74" cm="1">
        <f t="array" ref="AX45">"600/"&amp;$B45&amp;"/SPMK/PPK/DPUPR"</f>
        <v>600/56625356/SPMK/PPK/DPUPR</v>
      </c>
      <c r="AY45" s="67"/>
      <c r="AZ45" s="67"/>
      <c r="BA45" s="67"/>
      <c r="BB45" s="67"/>
      <c r="BC45" s="67"/>
      <c r="BD45" s="67"/>
      <c r="BE45" s="67"/>
      <c r="BF45" s="67"/>
      <c r="BG45" s="80">
        <v>246</v>
      </c>
      <c r="BH45" t="s" s="72">
        <v>214</v>
      </c>
      <c r="BI45" t="s" s="72">
        <v>21</v>
      </c>
      <c r="BJ45" t="s" s="72">
        <v>22</v>
      </c>
      <c r="BK45" t="s" s="72">
        <v>23</v>
      </c>
      <c r="BL45" t="s" s="72">
        <v>24</v>
      </c>
      <c r="BM45" s="67"/>
      <c r="BN45" s="67"/>
      <c r="BO45" s="67"/>
      <c r="BP45" s="67"/>
      <c r="BQ45" s="67"/>
      <c r="BR45" t="b" s="79">
        <v>0</v>
      </c>
      <c r="BS45" s="69" cm="1">
        <f t="array" ref="BS45">IF(M45&lt;=0.8*K45,5%*K45,M45*5%)</f>
        <v>4994650</v>
      </c>
      <c r="BT45" t="s" s="72">
        <v>25</v>
      </c>
      <c r="BU45" s="67"/>
      <c r="BV45" s="69" cm="1">
        <f t="array" ref="BV45">J45-M45</f>
        <v>107000</v>
      </c>
    </row>
    <row r="46" ht="36.25" customHeight="1">
      <c r="A46" s="47"/>
      <c r="B46" s="48">
        <v>56625357</v>
      </c>
      <c r="C46" t="s" s="49">
        <v>249</v>
      </c>
      <c r="D46" t="s" s="88">
        <v>1</v>
      </c>
      <c r="E46" t="str" s="51" cm="1">
        <f t="array" ref="E46">$C46</f>
        <v>Stock Design Peningkatan jalan Kabupaten VIII</v>
      </c>
      <c r="F46" s="52"/>
      <c r="G46" s="51"/>
      <c r="H46" s="51"/>
      <c r="I46" s="51"/>
      <c r="J46" s="54">
        <v>100000000</v>
      </c>
      <c r="K46" s="55">
        <v>99995438.16</v>
      </c>
      <c r="L46" s="56">
        <v>99904644</v>
      </c>
      <c r="M46" s="54">
        <v>99904000</v>
      </c>
      <c r="N46" t="s" s="57">
        <v>250</v>
      </c>
      <c r="O46" t="s" s="58">
        <v>251</v>
      </c>
      <c r="P46" t="s" s="57">
        <v>4</v>
      </c>
      <c r="Q46" t="s" s="57">
        <v>252</v>
      </c>
      <c r="R46" t="s" s="57">
        <v>253</v>
      </c>
      <c r="S46" t="s" s="57">
        <v>148</v>
      </c>
      <c r="T46" t="s" s="57">
        <v>254</v>
      </c>
      <c r="U46" t="s" s="57">
        <v>255</v>
      </c>
      <c r="V46" t="s" s="57">
        <v>256</v>
      </c>
      <c r="W46" t="s" s="57">
        <v>257</v>
      </c>
      <c r="X46" s="60">
        <v>30</v>
      </c>
      <c r="Y46" t="s" s="57">
        <v>10</v>
      </c>
      <c r="Z46" s="54" cm="1">
        <f t="array" ref="Z46">M46</f>
        <v>99904000</v>
      </c>
      <c r="AA46" t="s" s="57">
        <v>11</v>
      </c>
      <c r="AB46" s="61" cm="1">
        <f t="array" ref="AB46">AH46</f>
        <v>45692</v>
      </c>
      <c r="AC46" s="51"/>
      <c r="AD46" t="s" s="57">
        <v>192</v>
      </c>
      <c r="AE46" t="s" s="57">
        <v>13</v>
      </c>
      <c r="AF46" t="s" s="57">
        <v>108</v>
      </c>
      <c r="AG46" s="61">
        <v>45691</v>
      </c>
      <c r="AH46" s="61">
        <v>45692</v>
      </c>
      <c r="AI46" s="61">
        <v>45692</v>
      </c>
      <c r="AJ46" s="61">
        <v>45692</v>
      </c>
      <c r="AK46" s="61">
        <v>45692</v>
      </c>
      <c r="AL46" s="61">
        <v>45692</v>
      </c>
      <c r="AM46" s="61">
        <v>45692</v>
      </c>
      <c r="AN46" t="s" s="57">
        <v>258</v>
      </c>
      <c r="AO46" s="61" cm="1">
        <f t="array" ref="AO46">AJ46</f>
        <v>45692</v>
      </c>
      <c r="AP46" t="s" s="57">
        <v>259</v>
      </c>
      <c r="AQ46" s="61" cm="1">
        <f t="array" ref="AQ46">AJ46</f>
        <v>45692</v>
      </c>
      <c r="AR46" t="s" s="57">
        <v>260</v>
      </c>
      <c r="AS46" s="61" cm="1">
        <f t="array" ref="AS46">AJ46</f>
        <v>45692</v>
      </c>
      <c r="AT46" t="s" s="62">
        <v>261</v>
      </c>
      <c r="AU46" s="61" cm="1">
        <f t="array" ref="AU46">AJ46</f>
        <v>45692</v>
      </c>
      <c r="AV46" s="51"/>
      <c r="AW46" t="str" s="63" cm="1">
        <f t="array" ref="AW46">"600/"&amp;$B46&amp;"/"&amp;IF(AND($AE46="Konsultansi",M46&lt;=100000000),"SPK",IF(AND($AE46="Konsultansi",M46&gt;100000000),"Kont",IF(AND($AE46&lt;&gt;"Konsultansi",M46&lt;=200000000),"SPK","Kont")))&amp;"-"&amp;AE46&amp;"/PPK/DPUPR"</f>
        <v>600/56625357/SPK-Konsultansi/PPK/DPUPR</v>
      </c>
      <c r="AX46" t="str" s="63" cm="1">
        <f t="array" ref="AX46">"600/"&amp;$B46&amp;"/SPMK/PPK/DPUPR"</f>
        <v>600/56625357/SPMK/PPK/DPUPR</v>
      </c>
      <c r="AY46" s="51"/>
      <c r="AZ46" s="51"/>
      <c r="BA46" s="51"/>
      <c r="BB46" s="51"/>
      <c r="BC46" s="51"/>
      <c r="BD46" s="51"/>
      <c r="BE46" s="51"/>
      <c r="BF46" s="51"/>
      <c r="BG46" s="64">
        <v>247</v>
      </c>
      <c r="BH46" t="s" s="57">
        <v>250</v>
      </c>
      <c r="BI46" t="s" s="57">
        <v>21</v>
      </c>
      <c r="BJ46" t="s" s="57">
        <v>22</v>
      </c>
      <c r="BK46" t="s" s="57">
        <v>23</v>
      </c>
      <c r="BL46" t="s" s="57">
        <v>24</v>
      </c>
      <c r="BM46" s="51"/>
      <c r="BN46" s="51"/>
      <c r="BO46" s="51"/>
      <c r="BP46" s="51"/>
      <c r="BQ46" s="51"/>
      <c r="BR46" t="b" s="60">
        <v>0</v>
      </c>
      <c r="BS46" s="54" cm="1">
        <f t="array" ref="BS46">IF(M46&lt;=0.8*K46,5%*K46,M46*5%)</f>
        <v>4995200</v>
      </c>
      <c r="BT46" t="s" s="57">
        <v>25</v>
      </c>
      <c r="BU46" s="51"/>
      <c r="BV46" s="54" cm="1">
        <f t="array" ref="BV46">J46-M46</f>
        <v>96000</v>
      </c>
    </row>
    <row r="47" ht="36.25" customHeight="1">
      <c r="A47" s="47"/>
      <c r="B47" s="48">
        <v>56625360</v>
      </c>
      <c r="C47" t="s" s="49">
        <v>264</v>
      </c>
      <c r="D47" t="s" s="87">
        <v>1</v>
      </c>
      <c r="E47" t="str" s="67" cm="1">
        <f t="array" ref="E47">$C47</f>
        <v>Stock Design Peningkatan jalan Kabupaten IX</v>
      </c>
      <c r="F47" s="68"/>
      <c r="G47" s="67"/>
      <c r="H47" s="67"/>
      <c r="I47" s="67"/>
      <c r="J47" s="69">
        <v>75000000</v>
      </c>
      <c r="K47" s="77">
        <v>74999570.16</v>
      </c>
      <c r="L47" s="56">
        <v>74809456.2</v>
      </c>
      <c r="M47" s="69">
        <v>74809000</v>
      </c>
      <c r="N47" t="s" s="72">
        <v>250</v>
      </c>
      <c r="O47" t="s" s="78">
        <v>251</v>
      </c>
      <c r="P47" t="s" s="72">
        <v>4</v>
      </c>
      <c r="Q47" t="s" s="72">
        <v>252</v>
      </c>
      <c r="R47" t="s" s="72">
        <v>253</v>
      </c>
      <c r="S47" t="s" s="72">
        <v>148</v>
      </c>
      <c r="T47" t="s" s="72">
        <v>254</v>
      </c>
      <c r="U47" t="s" s="72">
        <v>255</v>
      </c>
      <c r="V47" t="s" s="72">
        <v>256</v>
      </c>
      <c r="W47" t="s" s="72">
        <v>257</v>
      </c>
      <c r="X47" s="79">
        <v>30</v>
      </c>
      <c r="Y47" t="s" s="72">
        <v>10</v>
      </c>
      <c r="Z47" s="69" cm="1">
        <f t="array" ref="Z47">M47</f>
        <v>74809000</v>
      </c>
      <c r="AA47" t="s" s="72">
        <v>11</v>
      </c>
      <c r="AB47" s="71" cm="1">
        <f t="array" ref="AB47">AH47</f>
        <v>45692</v>
      </c>
      <c r="AC47" s="67"/>
      <c r="AD47" t="s" s="72">
        <v>192</v>
      </c>
      <c r="AE47" t="s" s="72">
        <v>13</v>
      </c>
      <c r="AF47" t="s" s="72">
        <v>108</v>
      </c>
      <c r="AG47" s="71">
        <v>45691</v>
      </c>
      <c r="AH47" s="71">
        <v>45692</v>
      </c>
      <c r="AI47" s="71">
        <v>45692</v>
      </c>
      <c r="AJ47" s="71">
        <v>45692</v>
      </c>
      <c r="AK47" s="71">
        <v>45692</v>
      </c>
      <c r="AL47" s="71">
        <v>45692</v>
      </c>
      <c r="AM47" s="71">
        <v>45692</v>
      </c>
      <c r="AN47" t="s" s="72">
        <v>265</v>
      </c>
      <c r="AO47" s="71" cm="1">
        <f t="array" ref="AO47">AJ47</f>
        <v>45692</v>
      </c>
      <c r="AP47" t="s" s="72">
        <v>266</v>
      </c>
      <c r="AQ47" s="71" cm="1">
        <f t="array" ref="AQ47">AJ47</f>
        <v>45692</v>
      </c>
      <c r="AR47" t="s" s="72">
        <v>267</v>
      </c>
      <c r="AS47" s="71" cm="1">
        <f t="array" ref="AS47">AJ47</f>
        <v>45692</v>
      </c>
      <c r="AT47" t="s" s="62">
        <v>268</v>
      </c>
      <c r="AU47" s="71" cm="1">
        <f t="array" ref="AU47">AJ47</f>
        <v>45692</v>
      </c>
      <c r="AV47" s="67"/>
      <c r="AW47" t="str" s="74" cm="1">
        <f t="array" ref="AW47">"600/"&amp;$B47&amp;"/"&amp;IF(AND($AE47="Konsultansi",M47&lt;=100000000),"SPK",IF(AND($AE47="Konsultansi",M47&gt;100000000),"Kont",IF(AND($AE47&lt;&gt;"Konsultansi",M47&lt;=200000000),"SPK","Kont")))&amp;"-"&amp;AE47&amp;"/PPK/DPUPR"</f>
        <v>600/56625360/SPK-Konsultansi/PPK/DPUPR</v>
      </c>
      <c r="AX47" t="str" s="74" cm="1">
        <f t="array" ref="AX47">"600/"&amp;$B47&amp;"/SPMK/PPK/DPUPR"</f>
        <v>600/56625360/SPMK/PPK/DPUPR</v>
      </c>
      <c r="AY47" s="67"/>
      <c r="AZ47" s="67"/>
      <c r="BA47" s="67"/>
      <c r="BB47" s="67"/>
      <c r="BC47" s="67"/>
      <c r="BD47" s="67"/>
      <c r="BE47" s="67"/>
      <c r="BF47" s="67"/>
      <c r="BG47" s="80">
        <v>247</v>
      </c>
      <c r="BH47" t="s" s="72">
        <v>250</v>
      </c>
      <c r="BI47" t="s" s="72">
        <v>21</v>
      </c>
      <c r="BJ47" t="s" s="72">
        <v>22</v>
      </c>
      <c r="BK47" t="s" s="72">
        <v>23</v>
      </c>
      <c r="BL47" t="s" s="72">
        <v>24</v>
      </c>
      <c r="BM47" s="67"/>
      <c r="BN47" s="67"/>
      <c r="BO47" s="67"/>
      <c r="BP47" s="67"/>
      <c r="BQ47" s="67"/>
      <c r="BR47" t="b" s="79">
        <v>0</v>
      </c>
      <c r="BS47" s="69" cm="1">
        <f t="array" ref="BS47">IF(M47&lt;=0.8*K47,5%*K47,M47*5%)</f>
        <v>3740450</v>
      </c>
      <c r="BT47" t="s" s="72">
        <v>25</v>
      </c>
      <c r="BU47" s="67"/>
      <c r="BV47" s="69" cm="1">
        <f t="array" ref="BV47">J47-M47</f>
        <v>191000</v>
      </c>
    </row>
    <row r="48" ht="36.25" customHeight="1">
      <c r="A48" s="47"/>
      <c r="B48" s="48">
        <v>56625364</v>
      </c>
      <c r="C48" t="s" s="89">
        <v>271</v>
      </c>
      <c r="D48" t="s" s="88">
        <v>1</v>
      </c>
      <c r="E48" t="str" s="51" cm="1">
        <f t="array" ref="E48">$C48</f>
        <v>Stock Design Peningkatan jalan Kabupaten X</v>
      </c>
      <c r="F48" s="52"/>
      <c r="G48" s="51"/>
      <c r="H48" s="51"/>
      <c r="I48" s="51"/>
      <c r="J48" s="54">
        <v>56862500</v>
      </c>
      <c r="K48" s="55">
        <v>56862170.16</v>
      </c>
      <c r="L48" s="56">
        <v>56660094</v>
      </c>
      <c r="M48" s="54">
        <v>56660000</v>
      </c>
      <c r="N48" t="s" s="57">
        <v>250</v>
      </c>
      <c r="O48" t="s" s="58">
        <v>251</v>
      </c>
      <c r="P48" t="s" s="57">
        <v>4</v>
      </c>
      <c r="Q48" t="s" s="57">
        <v>252</v>
      </c>
      <c r="R48" t="s" s="57">
        <v>253</v>
      </c>
      <c r="S48" t="s" s="57">
        <v>148</v>
      </c>
      <c r="T48" t="s" s="57">
        <v>254</v>
      </c>
      <c r="U48" t="s" s="57">
        <v>255</v>
      </c>
      <c r="V48" t="s" s="57">
        <v>256</v>
      </c>
      <c r="W48" t="s" s="57">
        <v>257</v>
      </c>
      <c r="X48" s="60">
        <v>30</v>
      </c>
      <c r="Y48" t="s" s="57">
        <v>10</v>
      </c>
      <c r="Z48" s="54" cm="1">
        <f t="array" ref="Z48">M48</f>
        <v>56660000</v>
      </c>
      <c r="AA48" t="s" s="57">
        <v>11</v>
      </c>
      <c r="AB48" s="61" cm="1">
        <f t="array" ref="AB48">AH48</f>
        <v>45692</v>
      </c>
      <c r="AC48" s="51"/>
      <c r="AD48" t="s" s="57">
        <v>192</v>
      </c>
      <c r="AE48" t="s" s="57">
        <v>13</v>
      </c>
      <c r="AF48" t="s" s="57">
        <v>108</v>
      </c>
      <c r="AG48" s="61">
        <v>45691</v>
      </c>
      <c r="AH48" s="61">
        <v>45692</v>
      </c>
      <c r="AI48" s="61">
        <v>45692</v>
      </c>
      <c r="AJ48" s="61">
        <v>45692</v>
      </c>
      <c r="AK48" s="61">
        <v>45692</v>
      </c>
      <c r="AL48" s="61">
        <v>45692</v>
      </c>
      <c r="AM48" s="61">
        <v>45692</v>
      </c>
      <c r="AN48" t="s" s="57">
        <v>273</v>
      </c>
      <c r="AO48" s="61" cm="1">
        <f t="array" ref="AO48">AJ48</f>
        <v>45692</v>
      </c>
      <c r="AP48" t="s" s="57">
        <v>274</v>
      </c>
      <c r="AQ48" s="61" cm="1">
        <f t="array" ref="AQ48">AJ48</f>
        <v>45692</v>
      </c>
      <c r="AR48" t="s" s="57">
        <v>275</v>
      </c>
      <c r="AS48" s="61" cm="1">
        <f t="array" ref="AS48">AJ48</f>
        <v>45692</v>
      </c>
      <c r="AT48" t="s" s="62">
        <v>276</v>
      </c>
      <c r="AU48" s="61" cm="1">
        <f t="array" ref="AU48">AJ48</f>
        <v>45692</v>
      </c>
      <c r="AV48" s="51"/>
      <c r="AW48" t="str" s="63" cm="1">
        <f t="array" ref="AW48">"600/"&amp;$B48&amp;"/"&amp;IF(AND($AE48="Konsultansi",M48&lt;=100000000),"SPK",IF(AND($AE48="Konsultansi",M48&gt;100000000),"Kont",IF(AND($AE48&lt;&gt;"Konsultansi",M48&lt;=200000000),"SPK","Kont")))&amp;"-"&amp;AE48&amp;"/PPK/DPUPR"</f>
        <v>600/56625364/SPK-Konsultansi/PPK/DPUPR</v>
      </c>
      <c r="AX48" t="str" s="63" cm="1">
        <f t="array" ref="AX48">"600/"&amp;$B48&amp;"/SPMK/PPK/DPUPR"</f>
        <v>600/56625364/SPMK/PPK/DPUPR</v>
      </c>
      <c r="AY48" s="51"/>
      <c r="AZ48" s="51"/>
      <c r="BA48" s="51"/>
      <c r="BB48" s="51"/>
      <c r="BC48" s="51"/>
      <c r="BD48" s="51"/>
      <c r="BE48" s="51"/>
      <c r="BF48" s="51"/>
      <c r="BG48" s="64">
        <v>247</v>
      </c>
      <c r="BH48" t="s" s="57">
        <v>250</v>
      </c>
      <c r="BI48" t="s" s="57">
        <v>21</v>
      </c>
      <c r="BJ48" t="s" s="57">
        <v>22</v>
      </c>
      <c r="BK48" t="s" s="57">
        <v>23</v>
      </c>
      <c r="BL48" t="s" s="57">
        <v>24</v>
      </c>
      <c r="BM48" s="51"/>
      <c r="BN48" s="51"/>
      <c r="BO48" s="51"/>
      <c r="BP48" s="51"/>
      <c r="BQ48" s="51"/>
      <c r="BR48" t="b" s="60">
        <v>0</v>
      </c>
      <c r="BS48" s="54" cm="1">
        <f t="array" ref="BS48">IF(M48&lt;=0.8*K48,5%*K48,M48*5%)</f>
        <v>2833000</v>
      </c>
      <c r="BT48" t="s" s="57">
        <v>25</v>
      </c>
      <c r="BU48" s="51"/>
      <c r="BV48" s="54" cm="1">
        <f t="array" ref="BV48">J48-M48</f>
        <v>202500</v>
      </c>
    </row>
    <row r="49" ht="36.25" customHeight="1">
      <c r="A49" s="47"/>
      <c r="B49" s="48">
        <v>56625543</v>
      </c>
      <c r="C49" t="s" s="89">
        <v>279</v>
      </c>
      <c r="D49" t="s" s="76">
        <v>280</v>
      </c>
      <c r="E49" t="str" s="67" cm="1">
        <f t="array" ref="E49">$C49</f>
        <v>Stock Design Pemb./Penggantian Jembatan Kabupaten I</v>
      </c>
      <c r="F49" s="68"/>
      <c r="G49" s="67"/>
      <c r="H49" s="67"/>
      <c r="I49" s="67"/>
      <c r="J49" s="69">
        <v>100000000</v>
      </c>
      <c r="K49" s="77">
        <v>99995438.16</v>
      </c>
      <c r="L49" s="56">
        <v>99899082</v>
      </c>
      <c r="M49" s="69">
        <v>99899000</v>
      </c>
      <c r="N49" t="s" s="72">
        <v>250</v>
      </c>
      <c r="O49" t="s" s="78">
        <v>251</v>
      </c>
      <c r="P49" t="s" s="72">
        <v>4</v>
      </c>
      <c r="Q49" t="s" s="72">
        <v>252</v>
      </c>
      <c r="R49" t="s" s="72">
        <v>253</v>
      </c>
      <c r="S49" t="s" s="72">
        <v>148</v>
      </c>
      <c r="T49" t="s" s="72">
        <v>254</v>
      </c>
      <c r="U49" t="s" s="72">
        <v>255</v>
      </c>
      <c r="V49" t="s" s="72">
        <v>256</v>
      </c>
      <c r="W49" t="s" s="72">
        <v>257</v>
      </c>
      <c r="X49" s="79">
        <v>30</v>
      </c>
      <c r="Y49" t="s" s="72">
        <v>10</v>
      </c>
      <c r="Z49" s="69" cm="1">
        <f t="array" ref="Z49">M49</f>
        <v>99899000</v>
      </c>
      <c r="AA49" t="s" s="72">
        <v>11</v>
      </c>
      <c r="AB49" s="71" cm="1">
        <f t="array" ref="AB49">AH49</f>
        <v>45692</v>
      </c>
      <c r="AC49" s="67"/>
      <c r="AD49" t="s" s="72">
        <v>192</v>
      </c>
      <c r="AE49" t="s" s="72">
        <v>13</v>
      </c>
      <c r="AF49" t="s" s="72">
        <v>108</v>
      </c>
      <c r="AG49" s="71">
        <v>45691</v>
      </c>
      <c r="AH49" s="71">
        <v>45692</v>
      </c>
      <c r="AI49" s="71">
        <v>45692</v>
      </c>
      <c r="AJ49" s="71">
        <v>45692</v>
      </c>
      <c r="AK49" s="71">
        <v>45692</v>
      </c>
      <c r="AL49" s="71">
        <v>45692</v>
      </c>
      <c r="AM49" s="71">
        <v>45692</v>
      </c>
      <c r="AN49" t="s" s="72">
        <v>282</v>
      </c>
      <c r="AO49" s="71" cm="1">
        <f t="array" ref="AO49">AJ49</f>
        <v>45692</v>
      </c>
      <c r="AP49" t="s" s="72">
        <v>283</v>
      </c>
      <c r="AQ49" s="71" cm="1">
        <f t="array" ref="AQ49">AJ49</f>
        <v>45692</v>
      </c>
      <c r="AR49" t="s" s="72">
        <v>284</v>
      </c>
      <c r="AS49" s="71" cm="1">
        <f t="array" ref="AS49">AJ49</f>
        <v>45692</v>
      </c>
      <c r="AT49" t="s" s="62">
        <v>285</v>
      </c>
      <c r="AU49" s="71" cm="1">
        <f t="array" ref="AU49">AJ49</f>
        <v>45692</v>
      </c>
      <c r="AV49" s="67"/>
      <c r="AW49" t="str" s="74" cm="1">
        <f t="array" ref="AW49">"600/"&amp;$B49&amp;"/"&amp;IF(AND($AE49="Konsultansi",M49&lt;=100000000),"SPK",IF(AND($AE49="Konsultansi",M49&gt;100000000),"Kont",IF(AND($AE49&lt;&gt;"Konsultansi",M49&lt;=200000000),"SPK","Kont")))&amp;"-"&amp;AE49&amp;"/PPK/DPUPR"</f>
        <v>600/56625543/SPK-Konsultansi/PPK/DPUPR</v>
      </c>
      <c r="AX49" t="str" s="74" cm="1">
        <f t="array" ref="AX49">"600/"&amp;$B49&amp;"/SPMK/PPK/DPUPR"</f>
        <v>600/56625543/SPMK/PPK/DPUPR</v>
      </c>
      <c r="AY49" s="67"/>
      <c r="AZ49" s="67"/>
      <c r="BA49" s="67"/>
      <c r="BB49" s="67"/>
      <c r="BC49" s="67"/>
      <c r="BD49" s="67"/>
      <c r="BE49" s="67"/>
      <c r="BF49" s="67"/>
      <c r="BG49" s="80">
        <v>247</v>
      </c>
      <c r="BH49" t="s" s="72">
        <v>250</v>
      </c>
      <c r="BI49" t="s" s="72">
        <v>21</v>
      </c>
      <c r="BJ49" t="s" s="72">
        <v>22</v>
      </c>
      <c r="BK49" t="s" s="72">
        <v>23</v>
      </c>
      <c r="BL49" t="s" s="72">
        <v>24</v>
      </c>
      <c r="BM49" s="67"/>
      <c r="BN49" s="67"/>
      <c r="BO49" s="67"/>
      <c r="BP49" s="67"/>
      <c r="BQ49" s="67"/>
      <c r="BR49" t="b" s="79">
        <v>0</v>
      </c>
      <c r="BS49" s="69" cm="1">
        <f t="array" ref="BS49">IF(M49&lt;=0.8*K49,5%*K49,M49*5%)</f>
        <v>4994950</v>
      </c>
      <c r="BT49" t="s" s="72">
        <v>288</v>
      </c>
      <c r="BU49" s="67"/>
      <c r="BV49" s="69" cm="1">
        <f t="array" ref="BV49">J49-M49</f>
        <v>101000</v>
      </c>
    </row>
    <row r="50" ht="36.25" customHeight="1">
      <c r="A50" s="47"/>
      <c r="B50" s="48">
        <v>56625544</v>
      </c>
      <c r="C50" t="s" s="89">
        <v>289</v>
      </c>
      <c r="D50" t="s" s="50">
        <v>280</v>
      </c>
      <c r="E50" t="str" s="51" cm="1">
        <f t="array" ref="E50">$C50</f>
        <v>Stock Design Pemb./Penggantian Jembatan Kabupaten II</v>
      </c>
      <c r="F50" s="52"/>
      <c r="G50" s="51"/>
      <c r="H50" s="51"/>
      <c r="I50" s="51"/>
      <c r="J50" s="54">
        <v>100000000</v>
      </c>
      <c r="K50" s="55">
        <v>99995438.16</v>
      </c>
      <c r="L50" s="56">
        <v>99844018.2</v>
      </c>
      <c r="M50" s="54">
        <v>99844000</v>
      </c>
      <c r="N50" t="s" s="57">
        <v>291</v>
      </c>
      <c r="O50" t="s" s="58">
        <v>292</v>
      </c>
      <c r="P50" t="s" s="57">
        <v>4</v>
      </c>
      <c r="Q50" t="s" s="57">
        <v>293</v>
      </c>
      <c r="R50" t="s" s="57">
        <v>294</v>
      </c>
      <c r="S50" t="s" s="57">
        <v>295</v>
      </c>
      <c r="T50" s="61">
        <v>44938</v>
      </c>
      <c r="U50" t="s" s="57">
        <v>296</v>
      </c>
      <c r="V50" t="s" s="57">
        <v>297</v>
      </c>
      <c r="W50" t="s" s="57">
        <v>298</v>
      </c>
      <c r="X50" s="60">
        <v>30</v>
      </c>
      <c r="Y50" t="s" s="57">
        <v>10</v>
      </c>
      <c r="Z50" s="54" cm="1">
        <f t="array" ref="Z50">M50</f>
        <v>99844000</v>
      </c>
      <c r="AA50" t="s" s="57">
        <v>11</v>
      </c>
      <c r="AB50" s="61" cm="1">
        <f t="array" ref="AB50">AH50</f>
        <v>45692</v>
      </c>
      <c r="AC50" s="51"/>
      <c r="AD50" t="s" s="57">
        <v>192</v>
      </c>
      <c r="AE50" t="s" s="57">
        <v>13</v>
      </c>
      <c r="AF50" t="s" s="57">
        <v>108</v>
      </c>
      <c r="AG50" s="61">
        <v>45691</v>
      </c>
      <c r="AH50" s="61">
        <v>45692</v>
      </c>
      <c r="AI50" s="61">
        <v>45692</v>
      </c>
      <c r="AJ50" s="61">
        <v>45692</v>
      </c>
      <c r="AK50" s="61">
        <v>45692</v>
      </c>
      <c r="AL50" s="61">
        <v>45692</v>
      </c>
      <c r="AM50" s="61">
        <v>45692</v>
      </c>
      <c r="AN50" t="s" s="57">
        <v>299</v>
      </c>
      <c r="AO50" s="61" cm="1">
        <f t="array" ref="AO50">AJ50</f>
        <v>45692</v>
      </c>
      <c r="AP50" t="s" s="57">
        <v>300</v>
      </c>
      <c r="AQ50" s="61" cm="1">
        <f t="array" ref="AQ50">AJ50</f>
        <v>45692</v>
      </c>
      <c r="AR50" t="s" s="57">
        <v>301</v>
      </c>
      <c r="AS50" s="61" cm="1">
        <f t="array" ref="AS50">AJ50</f>
        <v>45692</v>
      </c>
      <c r="AT50" t="s" s="62">
        <v>302</v>
      </c>
      <c r="AU50" s="61" cm="1">
        <f t="array" ref="AU50">AJ50</f>
        <v>45692</v>
      </c>
      <c r="AV50" s="51"/>
      <c r="AW50" t="str" s="63" cm="1">
        <f t="array" ref="AW50">"600/"&amp;$B50&amp;"/"&amp;IF(AND($AE50="Konsultansi",M50&lt;=100000000),"SPK",IF(AND($AE50="Konsultansi",M50&gt;100000000),"Kont",IF(AND($AE50&lt;&gt;"Konsultansi",M50&lt;=200000000),"SPK","Kont")))&amp;"-"&amp;AE50&amp;"/PPK/DPUPR"</f>
        <v>600/56625544/SPK-Konsultansi/PPK/DPUPR</v>
      </c>
      <c r="AX50" t="str" s="63" cm="1">
        <f t="array" ref="AX50">"600/"&amp;$B50&amp;"/SPMK/PPK/DPUPR"</f>
        <v>600/56625544/SPMK/PPK/DPUPR</v>
      </c>
      <c r="AY50" s="51"/>
      <c r="AZ50" s="51"/>
      <c r="BA50" s="51"/>
      <c r="BB50" s="51"/>
      <c r="BC50" s="51"/>
      <c r="BD50" s="51"/>
      <c r="BE50" s="51"/>
      <c r="BF50" s="51"/>
      <c r="BG50" s="64">
        <v>248</v>
      </c>
      <c r="BH50" t="s" s="57">
        <v>291</v>
      </c>
      <c r="BI50" t="s" s="57">
        <v>21</v>
      </c>
      <c r="BJ50" t="s" s="57">
        <v>22</v>
      </c>
      <c r="BK50" t="s" s="57">
        <v>23</v>
      </c>
      <c r="BL50" t="s" s="57">
        <v>24</v>
      </c>
      <c r="BM50" s="51"/>
      <c r="BN50" s="51"/>
      <c r="BO50" s="51"/>
      <c r="BP50" s="51"/>
      <c r="BQ50" s="51"/>
      <c r="BR50" t="b" s="60">
        <v>0</v>
      </c>
      <c r="BS50" s="54" cm="1">
        <f t="array" ref="BS50">IF(M50&lt;=0.8*K50,5%*K50,M50*5%)</f>
        <v>4992200</v>
      </c>
      <c r="BT50" t="s" s="57">
        <v>288</v>
      </c>
      <c r="BU50" s="51"/>
      <c r="BV50" s="54" cm="1">
        <f t="array" ref="BV50">J50-M50</f>
        <v>156000</v>
      </c>
    </row>
    <row r="51" ht="36.25" customHeight="1">
      <c r="A51" s="47"/>
      <c r="B51" s="48">
        <v>56625550</v>
      </c>
      <c r="C51" t="s" s="89">
        <v>305</v>
      </c>
      <c r="D51" t="s" s="76">
        <v>280</v>
      </c>
      <c r="E51" t="str" s="67" cm="1">
        <f t="array" ref="E51">$C51</f>
        <v>Stock Design Pemb./Penggantian Jembatan Kabupaten III</v>
      </c>
      <c r="F51" s="68"/>
      <c r="G51" s="67"/>
      <c r="H51" s="67"/>
      <c r="I51" s="67"/>
      <c r="J51" s="69">
        <v>100000000</v>
      </c>
      <c r="K51" s="77">
        <v>99995438.16</v>
      </c>
      <c r="L51" s="56">
        <v>99805084.2</v>
      </c>
      <c r="M51" s="69">
        <v>99805000</v>
      </c>
      <c r="N51" t="s" s="72">
        <v>291</v>
      </c>
      <c r="O51" t="s" s="78">
        <v>292</v>
      </c>
      <c r="P51" t="s" s="72">
        <v>4</v>
      </c>
      <c r="Q51" t="s" s="72">
        <v>293</v>
      </c>
      <c r="R51" t="s" s="72">
        <v>294</v>
      </c>
      <c r="S51" t="s" s="72">
        <v>295</v>
      </c>
      <c r="T51" s="71">
        <v>44938</v>
      </c>
      <c r="U51" t="s" s="72">
        <v>296</v>
      </c>
      <c r="V51" t="s" s="72">
        <v>297</v>
      </c>
      <c r="W51" t="s" s="72">
        <v>298</v>
      </c>
      <c r="X51" s="79">
        <v>30</v>
      </c>
      <c r="Y51" t="s" s="72">
        <v>10</v>
      </c>
      <c r="Z51" s="69" cm="1">
        <f t="array" ref="Z51">M51</f>
        <v>99805000</v>
      </c>
      <c r="AA51" t="s" s="72">
        <v>11</v>
      </c>
      <c r="AB51" s="71" cm="1">
        <f t="array" ref="AB51">AH51</f>
        <v>45692</v>
      </c>
      <c r="AC51" s="67"/>
      <c r="AD51" t="s" s="72">
        <v>192</v>
      </c>
      <c r="AE51" t="s" s="72">
        <v>13</v>
      </c>
      <c r="AF51" t="s" s="72">
        <v>108</v>
      </c>
      <c r="AG51" s="71">
        <v>45691</v>
      </c>
      <c r="AH51" s="71">
        <v>45692</v>
      </c>
      <c r="AI51" s="71">
        <v>45692</v>
      </c>
      <c r="AJ51" s="71">
        <v>45692</v>
      </c>
      <c r="AK51" s="71">
        <v>45692</v>
      </c>
      <c r="AL51" s="71">
        <v>45692</v>
      </c>
      <c r="AM51" s="71">
        <v>45692</v>
      </c>
      <c r="AN51" t="s" s="72">
        <v>307</v>
      </c>
      <c r="AO51" s="71" cm="1">
        <f t="array" ref="AO51">AJ51</f>
        <v>45692</v>
      </c>
      <c r="AP51" t="s" s="72">
        <v>308</v>
      </c>
      <c r="AQ51" s="71" cm="1">
        <f t="array" ref="AQ51">AJ51</f>
        <v>45692</v>
      </c>
      <c r="AR51" t="s" s="72">
        <v>309</v>
      </c>
      <c r="AS51" s="71" cm="1">
        <f t="array" ref="AS51">AJ51</f>
        <v>45692</v>
      </c>
      <c r="AT51" t="s" s="62">
        <v>310</v>
      </c>
      <c r="AU51" s="71" cm="1">
        <f t="array" ref="AU51">AJ51</f>
        <v>45692</v>
      </c>
      <c r="AV51" s="67"/>
      <c r="AW51" t="str" s="74" cm="1">
        <f t="array" ref="AW51">"600/"&amp;$B51&amp;"/"&amp;IF(AND($AE51="Konsultansi",M51&lt;=100000000),"SPK",IF(AND($AE51="Konsultansi",M51&gt;100000000),"Kont",IF(AND($AE51&lt;&gt;"Konsultansi",M51&lt;=200000000),"SPK","Kont")))&amp;"-"&amp;AE51&amp;"/PPK/DPUPR"</f>
        <v>600/56625550/SPK-Konsultansi/PPK/DPUPR</v>
      </c>
      <c r="AX51" t="str" s="74" cm="1">
        <f t="array" ref="AX51">"600/"&amp;$B51&amp;"/SPMK/PPK/DPUPR"</f>
        <v>600/56625550/SPMK/PPK/DPUPR</v>
      </c>
      <c r="AY51" s="67"/>
      <c r="AZ51" s="67"/>
      <c r="BA51" s="67"/>
      <c r="BB51" s="67"/>
      <c r="BC51" s="67"/>
      <c r="BD51" s="67"/>
      <c r="BE51" s="67"/>
      <c r="BF51" s="67"/>
      <c r="BG51" s="80">
        <v>248</v>
      </c>
      <c r="BH51" t="s" s="72">
        <v>291</v>
      </c>
      <c r="BI51" t="s" s="72">
        <v>21</v>
      </c>
      <c r="BJ51" t="s" s="72">
        <v>22</v>
      </c>
      <c r="BK51" t="s" s="72">
        <v>23</v>
      </c>
      <c r="BL51" t="s" s="72">
        <v>24</v>
      </c>
      <c r="BM51" s="67"/>
      <c r="BN51" s="67"/>
      <c r="BO51" s="67"/>
      <c r="BP51" s="67"/>
      <c r="BQ51" s="67"/>
      <c r="BR51" t="b" s="79">
        <v>0</v>
      </c>
      <c r="BS51" s="69" cm="1">
        <f t="array" ref="BS51">IF(M51&lt;=0.8*K51,5%*K51,M51*5%)</f>
        <v>4990250</v>
      </c>
      <c r="BT51" t="s" s="72">
        <v>288</v>
      </c>
      <c r="BU51" s="67"/>
      <c r="BV51" s="69" cm="1">
        <f t="array" ref="BV51">J51-M51</f>
        <v>195000</v>
      </c>
    </row>
    <row r="52" ht="36.25" customHeight="1">
      <c r="A52" s="47"/>
      <c r="B52" s="48">
        <v>56625359</v>
      </c>
      <c r="C52" t="s" s="89">
        <v>313</v>
      </c>
      <c r="D52" t="s" s="88">
        <v>1</v>
      </c>
      <c r="E52" t="str" s="51" cm="1">
        <f t="array" ref="E52">$C52</f>
        <v>Perencanaan Konstruksi (DED) Peningkatan Jalan Kabupaten I cs.</v>
      </c>
      <c r="F52" s="52"/>
      <c r="G52" s="51"/>
      <c r="H52" s="51"/>
      <c r="I52" s="51"/>
      <c r="J52" s="54">
        <v>100000000</v>
      </c>
      <c r="K52" s="55">
        <v>99995438.16</v>
      </c>
      <c r="L52" s="56">
        <v>99805084.2</v>
      </c>
      <c r="M52" s="54">
        <v>99805000</v>
      </c>
      <c r="N52" t="s" s="57">
        <v>291</v>
      </c>
      <c r="O52" t="s" s="58">
        <v>292</v>
      </c>
      <c r="P52" t="s" s="57">
        <v>4</v>
      </c>
      <c r="Q52" t="s" s="57">
        <v>293</v>
      </c>
      <c r="R52" t="s" s="57">
        <v>294</v>
      </c>
      <c r="S52" t="s" s="57">
        <v>295</v>
      </c>
      <c r="T52" s="61">
        <v>44938</v>
      </c>
      <c r="U52" t="s" s="57">
        <v>296</v>
      </c>
      <c r="V52" t="s" s="57">
        <v>297</v>
      </c>
      <c r="W52" t="s" s="57">
        <v>298</v>
      </c>
      <c r="X52" s="60">
        <v>30</v>
      </c>
      <c r="Y52" t="s" s="57">
        <v>10</v>
      </c>
      <c r="Z52" s="54" cm="1">
        <f t="array" ref="Z52">M52</f>
        <v>99805000</v>
      </c>
      <c r="AA52" t="s" s="57">
        <v>11</v>
      </c>
      <c r="AB52" s="61" cm="1">
        <f t="array" ref="AB52">AH52</f>
        <v>45692</v>
      </c>
      <c r="AC52" s="51"/>
      <c r="AD52" t="s" s="57">
        <v>192</v>
      </c>
      <c r="AE52" t="s" s="57">
        <v>13</v>
      </c>
      <c r="AF52" t="s" s="57">
        <v>108</v>
      </c>
      <c r="AG52" s="61">
        <v>45691</v>
      </c>
      <c r="AH52" s="61">
        <v>45692</v>
      </c>
      <c r="AI52" s="61">
        <v>45692</v>
      </c>
      <c r="AJ52" s="61">
        <v>45692</v>
      </c>
      <c r="AK52" s="61">
        <v>45692</v>
      </c>
      <c r="AL52" s="61">
        <v>45692</v>
      </c>
      <c r="AM52" s="61">
        <v>45692</v>
      </c>
      <c r="AN52" t="s" s="57">
        <v>315</v>
      </c>
      <c r="AO52" s="61" cm="1">
        <f t="array" ref="AO52">AJ52</f>
        <v>45692</v>
      </c>
      <c r="AP52" t="s" s="57">
        <v>316</v>
      </c>
      <c r="AQ52" s="61" cm="1">
        <f t="array" ref="AQ52">AJ52</f>
        <v>45692</v>
      </c>
      <c r="AR52" t="s" s="57">
        <v>317</v>
      </c>
      <c r="AS52" s="61" cm="1">
        <f t="array" ref="AS52">AJ52</f>
        <v>45692</v>
      </c>
      <c r="AT52" t="s" s="62">
        <v>318</v>
      </c>
      <c r="AU52" s="61" cm="1">
        <f t="array" ref="AU52">AJ52</f>
        <v>45692</v>
      </c>
      <c r="AV52" s="51"/>
      <c r="AW52" t="str" s="63" cm="1">
        <f t="array" ref="AW52">"600/"&amp;$B52&amp;"/"&amp;IF(AND($AE52="Konsultansi",M52&lt;=100000000),"SPK",IF(AND($AE52="Konsultansi",M52&gt;100000000),"Kont",IF(AND($AE52&lt;&gt;"Konsultansi",M52&lt;=200000000),"SPK","Kont")))&amp;"-"&amp;AE52&amp;"/PPK/DPUPR"</f>
        <v>600/56625359/SPK-Konsultansi/PPK/DPUPR</v>
      </c>
      <c r="AX52" t="str" s="63" cm="1">
        <f t="array" ref="AX52">"600/"&amp;$B52&amp;"/SPMK/PPK/DPUPR"</f>
        <v>600/56625359/SPMK/PPK/DPUPR</v>
      </c>
      <c r="AY52" s="51"/>
      <c r="AZ52" s="51"/>
      <c r="BA52" s="51"/>
      <c r="BB52" s="51"/>
      <c r="BC52" s="51"/>
      <c r="BD52" s="51"/>
      <c r="BE52" s="51"/>
      <c r="BF52" s="51"/>
      <c r="BG52" s="64">
        <v>248</v>
      </c>
      <c r="BH52" t="s" s="57">
        <v>291</v>
      </c>
      <c r="BI52" t="s" s="57">
        <v>21</v>
      </c>
      <c r="BJ52" t="s" s="57">
        <v>22</v>
      </c>
      <c r="BK52" t="s" s="57">
        <v>23</v>
      </c>
      <c r="BL52" t="s" s="57">
        <v>24</v>
      </c>
      <c r="BM52" s="51"/>
      <c r="BN52" s="51"/>
      <c r="BO52" s="51"/>
      <c r="BP52" s="51"/>
      <c r="BQ52" s="51"/>
      <c r="BR52" t="b" s="60">
        <v>0</v>
      </c>
      <c r="BS52" s="54" cm="1">
        <f t="array" ref="BS52">IF(M52&lt;=0.8*K52,5%*K52,M52*5%)</f>
        <v>4990250</v>
      </c>
      <c r="BT52" t="s" s="57">
        <v>25</v>
      </c>
      <c r="BU52" s="51"/>
      <c r="BV52" s="54" cm="1">
        <f t="array" ref="BV52">J52-M52</f>
        <v>195000</v>
      </c>
    </row>
    <row r="53" ht="36.25" customHeight="1">
      <c r="A53" s="47"/>
      <c r="B53" s="48">
        <v>56625361</v>
      </c>
      <c r="C53" t="s" s="89">
        <v>321</v>
      </c>
      <c r="D53" t="s" s="87">
        <v>1</v>
      </c>
      <c r="E53" t="str" s="67" cm="1">
        <f t="array" ref="E53">$C53</f>
        <v>Perencanaan Konstruksi (DED) Peningkatan Jalan Kabupaten II cs.</v>
      </c>
      <c r="F53" s="68"/>
      <c r="G53" s="67"/>
      <c r="H53" s="67"/>
      <c r="I53" s="67"/>
      <c r="J53" s="69">
        <v>100000000</v>
      </c>
      <c r="K53" s="77">
        <v>99995438.16</v>
      </c>
      <c r="L53" s="56">
        <v>99881506.08</v>
      </c>
      <c r="M53" s="69">
        <v>99881000</v>
      </c>
      <c r="N53" t="s" s="72">
        <v>323</v>
      </c>
      <c r="O53" t="s" s="78">
        <v>324</v>
      </c>
      <c r="P53" t="s" s="72">
        <v>4</v>
      </c>
      <c r="Q53" t="s" s="72">
        <v>325</v>
      </c>
      <c r="R53" t="s" s="72">
        <v>326</v>
      </c>
      <c r="S53" t="s" s="72">
        <v>327</v>
      </c>
      <c r="T53" s="71">
        <v>42262</v>
      </c>
      <c r="U53" t="s" s="72">
        <v>328</v>
      </c>
      <c r="V53" t="s" s="72">
        <v>329</v>
      </c>
      <c r="W53" t="s" s="72">
        <v>330</v>
      </c>
      <c r="X53" s="79">
        <v>30</v>
      </c>
      <c r="Y53" t="s" s="72">
        <v>10</v>
      </c>
      <c r="Z53" s="69" cm="1">
        <f t="array" ref="Z53">M53</f>
        <v>99881000</v>
      </c>
      <c r="AA53" t="s" s="72">
        <v>11</v>
      </c>
      <c r="AB53" s="71" cm="1">
        <f t="array" ref="AB53">AH53</f>
        <v>45692</v>
      </c>
      <c r="AC53" s="67"/>
      <c r="AD53" t="s" s="72">
        <v>192</v>
      </c>
      <c r="AE53" t="s" s="72">
        <v>13</v>
      </c>
      <c r="AF53" t="s" s="72">
        <v>108</v>
      </c>
      <c r="AG53" s="71">
        <v>45691</v>
      </c>
      <c r="AH53" s="71">
        <v>45692</v>
      </c>
      <c r="AI53" s="71">
        <v>45692</v>
      </c>
      <c r="AJ53" s="71">
        <v>45692</v>
      </c>
      <c r="AK53" s="71">
        <v>45692</v>
      </c>
      <c r="AL53" s="71">
        <v>45692</v>
      </c>
      <c r="AM53" s="71">
        <v>45692</v>
      </c>
      <c r="AN53" t="s" s="72">
        <v>331</v>
      </c>
      <c r="AO53" s="71" cm="1">
        <f t="array" ref="AO53">AJ53</f>
        <v>45692</v>
      </c>
      <c r="AP53" t="s" s="72">
        <v>332</v>
      </c>
      <c r="AQ53" s="71" cm="1">
        <f t="array" ref="AQ53">AJ53</f>
        <v>45692</v>
      </c>
      <c r="AR53" t="s" s="72">
        <v>333</v>
      </c>
      <c r="AS53" s="71" cm="1">
        <f t="array" ref="AS53">AJ53</f>
        <v>45692</v>
      </c>
      <c r="AT53" t="s" s="62">
        <v>334</v>
      </c>
      <c r="AU53" s="71" cm="1">
        <f t="array" ref="AU53">AJ53</f>
        <v>45692</v>
      </c>
      <c r="AV53" s="67"/>
      <c r="AW53" t="str" s="74" cm="1">
        <f t="array" ref="AW53">"600/"&amp;$B53&amp;"/"&amp;IF(AND($AE53="Konsultansi",M53&lt;=100000000),"SPK",IF(AND($AE53="Konsultansi",M53&gt;100000000),"Kont",IF(AND($AE53&lt;&gt;"Konsultansi",M53&lt;=200000000),"SPK","Kont")))&amp;"-"&amp;AE53&amp;"/PPK/DPUPR"</f>
        <v>600/56625361/SPK-Konsultansi/PPK/DPUPR</v>
      </c>
      <c r="AX53" t="str" s="74" cm="1">
        <f t="array" ref="AX53">"600/"&amp;$B53&amp;"/SPMK/PPK/DPUPR"</f>
        <v>600/56625361/SPMK/PPK/DPUPR</v>
      </c>
      <c r="AY53" s="67"/>
      <c r="AZ53" s="67"/>
      <c r="BA53" s="67"/>
      <c r="BB53" s="67"/>
      <c r="BC53" s="67"/>
      <c r="BD53" s="67"/>
      <c r="BE53" s="67"/>
      <c r="BF53" s="67"/>
      <c r="BG53" s="80">
        <v>249</v>
      </c>
      <c r="BH53" t="s" s="72">
        <v>323</v>
      </c>
      <c r="BI53" t="s" s="72">
        <v>21</v>
      </c>
      <c r="BJ53" t="s" s="72">
        <v>22</v>
      </c>
      <c r="BK53" t="s" s="72">
        <v>23</v>
      </c>
      <c r="BL53" t="s" s="72">
        <v>24</v>
      </c>
      <c r="BM53" s="67"/>
      <c r="BN53" s="67"/>
      <c r="BO53" s="67"/>
      <c r="BP53" s="67"/>
      <c r="BQ53" s="67"/>
      <c r="BR53" t="b" s="79">
        <v>0</v>
      </c>
      <c r="BS53" s="69" cm="1">
        <f t="array" ref="BS53">IF(M53&lt;=0.8*K53,5%*K53,M53*5%)</f>
        <v>4994050</v>
      </c>
      <c r="BT53" t="s" s="72">
        <v>25</v>
      </c>
      <c r="BU53" s="67"/>
      <c r="BV53" s="69" cm="1">
        <f t="array" ref="BV53">J53-M53</f>
        <v>119000</v>
      </c>
    </row>
    <row r="54" ht="36.25" customHeight="1">
      <c r="A54" s="47"/>
      <c r="B54" s="48">
        <v>56625338</v>
      </c>
      <c r="C54" t="s" s="89">
        <v>337</v>
      </c>
      <c r="D54" t="s" s="88">
        <v>1</v>
      </c>
      <c r="E54" t="str" s="51" cm="1">
        <f t="array" ref="E54">$C54</f>
        <v>Perencanaan Konstruksi (DED) Peningkatan Jalan Kabupaten III cs.</v>
      </c>
      <c r="F54" s="52"/>
      <c r="G54" s="51"/>
      <c r="H54" s="51"/>
      <c r="I54" s="51"/>
      <c r="J54" s="54">
        <v>100000000</v>
      </c>
      <c r="K54" s="55">
        <v>99995438.16</v>
      </c>
      <c r="L54" s="56">
        <v>99879392.52</v>
      </c>
      <c r="M54" s="54">
        <v>99879000</v>
      </c>
      <c r="N54" t="s" s="57">
        <v>323</v>
      </c>
      <c r="O54" t="s" s="58">
        <v>324</v>
      </c>
      <c r="P54" t="s" s="57">
        <v>4</v>
      </c>
      <c r="Q54" t="s" s="57">
        <v>325</v>
      </c>
      <c r="R54" t="s" s="57">
        <v>326</v>
      </c>
      <c r="S54" t="s" s="57">
        <v>327</v>
      </c>
      <c r="T54" s="61">
        <v>42262</v>
      </c>
      <c r="U54" t="s" s="57">
        <v>328</v>
      </c>
      <c r="V54" t="s" s="57">
        <v>329</v>
      </c>
      <c r="W54" t="s" s="57">
        <v>330</v>
      </c>
      <c r="X54" s="60">
        <v>30</v>
      </c>
      <c r="Y54" t="s" s="57">
        <v>10</v>
      </c>
      <c r="Z54" s="54" cm="1">
        <f t="array" ref="Z54">M54</f>
        <v>99879000</v>
      </c>
      <c r="AA54" t="s" s="57">
        <v>11</v>
      </c>
      <c r="AB54" s="61" cm="1">
        <f t="array" ref="AB54">AH54</f>
        <v>45692</v>
      </c>
      <c r="AC54" s="51"/>
      <c r="AD54" t="s" s="57">
        <v>192</v>
      </c>
      <c r="AE54" t="s" s="57">
        <v>13</v>
      </c>
      <c r="AF54" t="s" s="57">
        <v>108</v>
      </c>
      <c r="AG54" s="61">
        <v>45691</v>
      </c>
      <c r="AH54" s="61">
        <v>45692</v>
      </c>
      <c r="AI54" s="61">
        <v>45692</v>
      </c>
      <c r="AJ54" s="61">
        <v>45692</v>
      </c>
      <c r="AK54" s="61">
        <v>45692</v>
      </c>
      <c r="AL54" s="61">
        <v>45692</v>
      </c>
      <c r="AM54" s="61">
        <v>45692</v>
      </c>
      <c r="AN54" t="s" s="57">
        <v>339</v>
      </c>
      <c r="AO54" s="61" cm="1">
        <f t="array" ref="AO54">AJ54</f>
        <v>45692</v>
      </c>
      <c r="AP54" t="s" s="57">
        <v>340</v>
      </c>
      <c r="AQ54" s="61" cm="1">
        <f t="array" ref="AQ54">AJ54</f>
        <v>45692</v>
      </c>
      <c r="AR54" t="s" s="57">
        <v>341</v>
      </c>
      <c r="AS54" s="61" cm="1">
        <f t="array" ref="AS54">AJ54</f>
        <v>45692</v>
      </c>
      <c r="AT54" t="s" s="62">
        <v>342</v>
      </c>
      <c r="AU54" s="61" cm="1">
        <f t="array" ref="AU54">AJ54</f>
        <v>45692</v>
      </c>
      <c r="AV54" s="51"/>
      <c r="AW54" t="str" s="63" cm="1">
        <f t="array" ref="AW54">"600/"&amp;$B54&amp;"/"&amp;IF(AND($AE54="Konsultansi",M54&lt;=100000000),"SPK",IF(AND($AE54="Konsultansi",M54&gt;100000000),"Kont",IF(AND($AE54&lt;&gt;"Konsultansi",M54&lt;=200000000),"SPK","Kont")))&amp;"-"&amp;AE54&amp;"/PPK/DPUPR"</f>
        <v>600/56625338/SPK-Konsultansi/PPK/DPUPR</v>
      </c>
      <c r="AX54" t="str" s="63" cm="1">
        <f t="array" ref="AX54">"600/"&amp;$B54&amp;"/SPMK/PPK/DPUPR"</f>
        <v>600/56625338/SPMK/PPK/DPUPR</v>
      </c>
      <c r="AY54" s="51"/>
      <c r="AZ54" s="51"/>
      <c r="BA54" s="51"/>
      <c r="BB54" s="51"/>
      <c r="BC54" s="51"/>
      <c r="BD54" s="51"/>
      <c r="BE54" s="51"/>
      <c r="BF54" s="51"/>
      <c r="BG54" s="64">
        <v>249</v>
      </c>
      <c r="BH54" t="s" s="57">
        <v>323</v>
      </c>
      <c r="BI54" t="s" s="57">
        <v>21</v>
      </c>
      <c r="BJ54" t="s" s="57">
        <v>22</v>
      </c>
      <c r="BK54" t="s" s="57">
        <v>23</v>
      </c>
      <c r="BL54" t="s" s="57">
        <v>24</v>
      </c>
      <c r="BM54" s="51"/>
      <c r="BN54" s="51"/>
      <c r="BO54" s="51"/>
      <c r="BP54" s="51"/>
      <c r="BQ54" s="51"/>
      <c r="BR54" t="b" s="60">
        <v>0</v>
      </c>
      <c r="BS54" s="54" cm="1">
        <f t="array" ref="BS54">IF(M54&lt;=0.8*K54,5%*K54,M54*5%)</f>
        <v>4993950</v>
      </c>
      <c r="BT54" t="s" s="57">
        <v>25</v>
      </c>
      <c r="BU54" s="51"/>
      <c r="BV54" s="54" cm="1">
        <f t="array" ref="BV54">J54-M54</f>
        <v>121000</v>
      </c>
    </row>
    <row r="55" ht="36.25" customHeight="1">
      <c r="A55" s="47"/>
      <c r="B55" s="48">
        <v>56625363</v>
      </c>
      <c r="C55" t="s" s="89">
        <v>345</v>
      </c>
      <c r="D55" t="s" s="87">
        <v>1</v>
      </c>
      <c r="E55" t="str" s="67" cm="1">
        <f t="array" ref="E55">$C55</f>
        <v>Perencanaan Konstruksi (DED) Peningkatan Jalan Kabupaten IV cs.</v>
      </c>
      <c r="F55" s="68"/>
      <c r="G55" s="67"/>
      <c r="H55" s="67"/>
      <c r="I55" s="67"/>
      <c r="J55" s="69">
        <v>100000000</v>
      </c>
      <c r="K55" s="77">
        <v>99995438.16</v>
      </c>
      <c r="L55" s="56">
        <v>99879392.52</v>
      </c>
      <c r="M55" s="69">
        <v>99879000</v>
      </c>
      <c r="N55" t="s" s="72">
        <v>323</v>
      </c>
      <c r="O55" t="s" s="78">
        <v>324</v>
      </c>
      <c r="P55" t="s" s="72">
        <v>4</v>
      </c>
      <c r="Q55" t="s" s="72">
        <v>325</v>
      </c>
      <c r="R55" t="s" s="72">
        <v>326</v>
      </c>
      <c r="S55" t="s" s="72">
        <v>327</v>
      </c>
      <c r="T55" s="71">
        <v>42262</v>
      </c>
      <c r="U55" t="s" s="72">
        <v>328</v>
      </c>
      <c r="V55" t="s" s="72">
        <v>329</v>
      </c>
      <c r="W55" t="s" s="72">
        <v>330</v>
      </c>
      <c r="X55" s="79">
        <v>30</v>
      </c>
      <c r="Y55" t="s" s="72">
        <v>10</v>
      </c>
      <c r="Z55" s="69" cm="1">
        <f t="array" ref="Z55">M55</f>
        <v>99879000</v>
      </c>
      <c r="AA55" t="s" s="72">
        <v>11</v>
      </c>
      <c r="AB55" s="71" cm="1">
        <f t="array" ref="AB55">AH55</f>
        <v>45692</v>
      </c>
      <c r="AC55" s="67"/>
      <c r="AD55" t="s" s="72">
        <v>192</v>
      </c>
      <c r="AE55" t="s" s="72">
        <v>13</v>
      </c>
      <c r="AF55" t="s" s="72">
        <v>108</v>
      </c>
      <c r="AG55" s="71">
        <v>45691</v>
      </c>
      <c r="AH55" s="71">
        <v>45692</v>
      </c>
      <c r="AI55" s="71">
        <v>45692</v>
      </c>
      <c r="AJ55" s="71">
        <v>45692</v>
      </c>
      <c r="AK55" s="71">
        <v>45692</v>
      </c>
      <c r="AL55" s="71">
        <v>45692</v>
      </c>
      <c r="AM55" s="71">
        <v>45692</v>
      </c>
      <c r="AN55" t="s" s="72">
        <v>347</v>
      </c>
      <c r="AO55" s="71" cm="1">
        <f t="array" ref="AO55">AJ55</f>
        <v>45692</v>
      </c>
      <c r="AP55" t="s" s="72">
        <v>348</v>
      </c>
      <c r="AQ55" s="71" cm="1">
        <f t="array" ref="AQ55">AJ55</f>
        <v>45692</v>
      </c>
      <c r="AR55" t="s" s="72">
        <v>349</v>
      </c>
      <c r="AS55" s="71" cm="1">
        <f t="array" ref="AS55">AJ55</f>
        <v>45692</v>
      </c>
      <c r="AT55" t="s" s="62">
        <v>350</v>
      </c>
      <c r="AU55" s="71" cm="1">
        <f t="array" ref="AU55">AJ55</f>
        <v>45692</v>
      </c>
      <c r="AV55" s="67"/>
      <c r="AW55" t="str" s="74" cm="1">
        <f t="array" ref="AW55">"600/"&amp;$B55&amp;"/"&amp;IF(AND($AE55="Konsultansi",M55&lt;=100000000),"SPK",IF(AND($AE55="Konsultansi",M55&gt;100000000),"Kont",IF(AND($AE55&lt;&gt;"Konsultansi",M55&lt;=200000000),"SPK","Kont")))&amp;"-"&amp;AE55&amp;"/PPK/DPUPR"</f>
        <v>600/56625363/SPK-Konsultansi/PPK/DPUPR</v>
      </c>
      <c r="AX55" t="str" s="74" cm="1">
        <f t="array" ref="AX55">"600/"&amp;$B55&amp;"/SPMK/PPK/DPUPR"</f>
        <v>600/56625363/SPMK/PPK/DPUPR</v>
      </c>
      <c r="AY55" s="67"/>
      <c r="AZ55" s="67"/>
      <c r="BA55" s="67"/>
      <c r="BB55" s="67"/>
      <c r="BC55" s="67"/>
      <c r="BD55" s="67"/>
      <c r="BE55" s="67"/>
      <c r="BF55" s="67"/>
      <c r="BG55" s="80">
        <v>249</v>
      </c>
      <c r="BH55" t="s" s="72">
        <v>323</v>
      </c>
      <c r="BI55" t="s" s="72">
        <v>21</v>
      </c>
      <c r="BJ55" t="s" s="72">
        <v>22</v>
      </c>
      <c r="BK55" t="s" s="72">
        <v>23</v>
      </c>
      <c r="BL55" t="s" s="72">
        <v>24</v>
      </c>
      <c r="BM55" s="67"/>
      <c r="BN55" s="67"/>
      <c r="BO55" s="67"/>
      <c r="BP55" s="67"/>
      <c r="BQ55" s="67"/>
      <c r="BR55" t="b" s="79">
        <v>0</v>
      </c>
      <c r="BS55" s="69" cm="1">
        <f t="array" ref="BS55">IF(M55&lt;=0.8*K55,5%*K55,M55*5%)</f>
        <v>4993950</v>
      </c>
      <c r="BT55" t="s" s="72">
        <v>25</v>
      </c>
      <c r="BU55" s="67"/>
      <c r="BV55" s="69" cm="1">
        <f t="array" ref="BV55">J55-M55</f>
        <v>121000</v>
      </c>
    </row>
    <row r="56" ht="48.25" customHeight="1">
      <c r="A56" s="47"/>
      <c r="B56" s="48">
        <v>56625423</v>
      </c>
      <c r="C56" t="s" s="89">
        <v>353</v>
      </c>
      <c r="D56" t="s" s="88">
        <v>1</v>
      </c>
      <c r="E56" t="str" s="51" cm="1">
        <f t="array" ref="E56">$C56</f>
        <v>Pemb. Jalan Tobenge</v>
      </c>
      <c r="F56" s="52"/>
      <c r="G56" s="51"/>
      <c r="H56" s="51"/>
      <c r="I56" s="51"/>
      <c r="J56" s="54">
        <v>200000000</v>
      </c>
      <c r="K56" s="55">
        <v>199752105.94</v>
      </c>
      <c r="L56" s="56">
        <v>199412217.31</v>
      </c>
      <c r="M56" s="54">
        <v>199412000</v>
      </c>
      <c r="N56" t="s" s="57">
        <v>355</v>
      </c>
      <c r="O56" t="s" s="58">
        <v>356</v>
      </c>
      <c r="P56" t="s" s="57">
        <v>4</v>
      </c>
      <c r="Q56" t="s" s="57">
        <v>357</v>
      </c>
      <c r="R56" t="s" s="57">
        <v>358</v>
      </c>
      <c r="S56" s="60">
        <v>171</v>
      </c>
      <c r="T56" s="61">
        <v>45320</v>
      </c>
      <c r="U56" t="s" s="57">
        <v>359</v>
      </c>
      <c r="V56" t="s" s="57">
        <v>360</v>
      </c>
      <c r="W56" t="s" s="57">
        <v>361</v>
      </c>
      <c r="X56" s="60">
        <v>90</v>
      </c>
      <c r="Y56" t="s" s="57">
        <v>10</v>
      </c>
      <c r="Z56" s="54" cm="1">
        <f t="array" ref="Z56">M56</f>
        <v>199412000</v>
      </c>
      <c r="AA56" t="s" s="57">
        <v>11</v>
      </c>
      <c r="AB56" s="61" cm="1">
        <f t="array" ref="AB56">AH56</f>
        <v>45692</v>
      </c>
      <c r="AC56" s="60">
        <v>180</v>
      </c>
      <c r="AD56" t="s" s="57">
        <v>106</v>
      </c>
      <c r="AE56" t="s" s="57">
        <v>107</v>
      </c>
      <c r="AF56" t="s" s="57">
        <v>108</v>
      </c>
      <c r="AG56" s="61">
        <v>45691</v>
      </c>
      <c r="AH56" s="61">
        <v>45692</v>
      </c>
      <c r="AI56" s="61">
        <v>45692</v>
      </c>
      <c r="AJ56" s="61">
        <v>45692</v>
      </c>
      <c r="AK56" s="61">
        <v>45692</v>
      </c>
      <c r="AL56" s="61">
        <v>45692</v>
      </c>
      <c r="AM56" s="61">
        <v>45692</v>
      </c>
      <c r="AN56" t="s" s="57">
        <v>362</v>
      </c>
      <c r="AO56" s="61" cm="1">
        <f t="array" ref="AO56">AJ56</f>
        <v>45692</v>
      </c>
      <c r="AP56" t="s" s="57">
        <v>363</v>
      </c>
      <c r="AQ56" s="61" cm="1">
        <f t="array" ref="AQ56">AJ56</f>
        <v>45692</v>
      </c>
      <c r="AR56" t="s" s="57">
        <v>364</v>
      </c>
      <c r="AS56" s="61" cm="1">
        <f t="array" ref="AS56">AJ56</f>
        <v>45692</v>
      </c>
      <c r="AT56" t="s" s="62">
        <v>365</v>
      </c>
      <c r="AU56" s="61" cm="1">
        <f t="array" ref="AU56">AJ56</f>
        <v>45692</v>
      </c>
      <c r="AV56" s="51"/>
      <c r="AW56" t="str" s="63" cm="1">
        <f t="array" ref="AW56">"600/"&amp;$B56&amp;"/"&amp;IF(AND($AE56="Konsultansi",M56&lt;=100000000),"SPK",IF(AND($AE56="Konsultansi",M56&gt;100000000),"Kont",IF(AND($AE56&lt;&gt;"Konsultansi",M56&lt;=200000000),"SPK","Kont")))&amp;"-"&amp;AE56&amp;"/PPK/DPUPR"</f>
        <v>600/56625423/SPK-Konstruksi/PPK/DPUPR</v>
      </c>
      <c r="AX56" t="str" s="63" cm="1">
        <f t="array" ref="AX56">"600/"&amp;$B56&amp;"/SPMK/PPK/DPUPR"</f>
        <v>600/56625423/SPMK/PPK/DPUPR</v>
      </c>
      <c r="AY56" s="51"/>
      <c r="AZ56" s="51"/>
      <c r="BA56" s="51"/>
      <c r="BB56" s="51"/>
      <c r="BC56" s="51"/>
      <c r="BD56" s="51"/>
      <c r="BE56" s="51"/>
      <c r="BF56" s="51"/>
      <c r="BG56" s="64">
        <v>231</v>
      </c>
      <c r="BH56" t="s" s="57">
        <v>355</v>
      </c>
      <c r="BI56" t="s" s="57">
        <v>21</v>
      </c>
      <c r="BJ56" t="s" s="57">
        <v>22</v>
      </c>
      <c r="BK56" t="s" s="57">
        <v>23</v>
      </c>
      <c r="BL56" t="s" s="57">
        <v>24</v>
      </c>
      <c r="BM56" s="51"/>
      <c r="BN56" s="51"/>
      <c r="BO56" s="51"/>
      <c r="BP56" s="51"/>
      <c r="BQ56" s="51"/>
      <c r="BR56" t="b" s="60">
        <v>0</v>
      </c>
      <c r="BS56" s="54" cm="1">
        <f t="array" ref="BS56">IF(M56&lt;=0.8*K56,5%*K56,M56*5%)</f>
        <v>9970600</v>
      </c>
      <c r="BT56" t="s" s="57">
        <v>25</v>
      </c>
      <c r="BU56" s="51"/>
      <c r="BV56" s="54" cm="1">
        <f t="array" ref="BV56">J56-M56</f>
        <v>588000</v>
      </c>
    </row>
    <row r="57" ht="48.25" customHeight="1">
      <c r="A57" s="47"/>
      <c r="B57" s="48">
        <v>56625424</v>
      </c>
      <c r="C57" t="s" s="89">
        <v>368</v>
      </c>
      <c r="D57" t="s" s="87">
        <v>1</v>
      </c>
      <c r="E57" t="str" s="67" cm="1">
        <f t="array" ref="E57">$C57</f>
        <v>Pemb. Jalan Ompi</v>
      </c>
      <c r="F57" s="68"/>
      <c r="G57" s="67"/>
      <c r="H57" s="67"/>
      <c r="I57" s="67"/>
      <c r="J57" s="69">
        <v>200000000</v>
      </c>
      <c r="K57" s="77">
        <v>199358203.64</v>
      </c>
      <c r="L57" s="56">
        <v>199128463.5</v>
      </c>
      <c r="M57" s="69">
        <v>199128000</v>
      </c>
      <c r="N57" t="s" s="72">
        <v>355</v>
      </c>
      <c r="O57" t="s" s="78">
        <v>356</v>
      </c>
      <c r="P57" t="s" s="72">
        <v>4</v>
      </c>
      <c r="Q57" t="s" s="72">
        <v>357</v>
      </c>
      <c r="R57" t="s" s="72">
        <v>358</v>
      </c>
      <c r="S57" s="79">
        <v>171</v>
      </c>
      <c r="T57" s="71">
        <v>45320</v>
      </c>
      <c r="U57" t="s" s="72">
        <v>359</v>
      </c>
      <c r="V57" t="s" s="72">
        <v>360</v>
      </c>
      <c r="W57" t="s" s="72">
        <v>361</v>
      </c>
      <c r="X57" s="79">
        <v>90</v>
      </c>
      <c r="Y57" t="s" s="72">
        <v>10</v>
      </c>
      <c r="Z57" s="69" cm="1">
        <f t="array" ref="Z57">M57</f>
        <v>199128000</v>
      </c>
      <c r="AA57" t="s" s="72">
        <v>11</v>
      </c>
      <c r="AB57" s="71" cm="1">
        <f t="array" ref="AB57">AH57</f>
        <v>45692</v>
      </c>
      <c r="AC57" s="79">
        <v>180</v>
      </c>
      <c r="AD57" t="s" s="72">
        <v>106</v>
      </c>
      <c r="AE57" t="s" s="72">
        <v>107</v>
      </c>
      <c r="AF57" t="s" s="72">
        <v>108</v>
      </c>
      <c r="AG57" s="71">
        <v>45691</v>
      </c>
      <c r="AH57" s="71">
        <v>45692</v>
      </c>
      <c r="AI57" s="71">
        <v>45692</v>
      </c>
      <c r="AJ57" s="71">
        <v>45692</v>
      </c>
      <c r="AK57" s="71">
        <v>45692</v>
      </c>
      <c r="AL57" s="71">
        <v>45692</v>
      </c>
      <c r="AM57" s="71">
        <v>45692</v>
      </c>
      <c r="AN57" t="s" s="72">
        <v>370</v>
      </c>
      <c r="AO57" s="71" cm="1">
        <f t="array" ref="AO57">AJ57</f>
        <v>45692</v>
      </c>
      <c r="AP57" t="s" s="72">
        <v>371</v>
      </c>
      <c r="AQ57" s="71" cm="1">
        <f t="array" ref="AQ57">AJ57</f>
        <v>45692</v>
      </c>
      <c r="AR57" t="s" s="72">
        <v>372</v>
      </c>
      <c r="AS57" s="71" cm="1">
        <f t="array" ref="AS57">AJ57</f>
        <v>45692</v>
      </c>
      <c r="AT57" t="s" s="62">
        <v>373</v>
      </c>
      <c r="AU57" s="71" cm="1">
        <f t="array" ref="AU57">AJ57</f>
        <v>45692</v>
      </c>
      <c r="AV57" s="67"/>
      <c r="AW57" t="str" s="74" cm="1">
        <f t="array" ref="AW57">"600/"&amp;$B57&amp;"/"&amp;IF(AND($AE57="Konsultansi",M57&lt;=100000000),"SPK",IF(AND($AE57="Konsultansi",M57&gt;100000000),"Kont",IF(AND($AE57&lt;&gt;"Konsultansi",M57&lt;=200000000),"SPK","Kont")))&amp;"-"&amp;AE57&amp;"/PPK/DPUPR"</f>
        <v>600/56625424/SPK-Konstruksi/PPK/DPUPR</v>
      </c>
      <c r="AX57" t="str" s="74" cm="1">
        <f t="array" ref="AX57">"600/"&amp;$B57&amp;"/SPMK/PPK/DPUPR"</f>
        <v>600/56625424/SPMK/PPK/DPUPR</v>
      </c>
      <c r="AY57" s="67"/>
      <c r="AZ57" s="67"/>
      <c r="BA57" s="67"/>
      <c r="BB57" s="67"/>
      <c r="BC57" s="67"/>
      <c r="BD57" s="67"/>
      <c r="BE57" s="67"/>
      <c r="BF57" s="67"/>
      <c r="BG57" s="80">
        <v>231</v>
      </c>
      <c r="BH57" t="s" s="72">
        <v>355</v>
      </c>
      <c r="BI57" t="s" s="72">
        <v>21</v>
      </c>
      <c r="BJ57" t="s" s="72">
        <v>22</v>
      </c>
      <c r="BK57" t="s" s="72">
        <v>23</v>
      </c>
      <c r="BL57" t="s" s="72">
        <v>24</v>
      </c>
      <c r="BM57" s="67"/>
      <c r="BN57" s="67"/>
      <c r="BO57" s="67"/>
      <c r="BP57" s="67"/>
      <c r="BQ57" s="67"/>
      <c r="BR57" t="b" s="79">
        <v>0</v>
      </c>
      <c r="BS57" s="69" cm="1">
        <f t="array" ref="BS57">IF(M57&lt;=0.8*K57,5%*K57,M57*5%)</f>
        <v>9956400</v>
      </c>
      <c r="BT57" t="s" s="72">
        <v>25</v>
      </c>
      <c r="BU57" s="67"/>
      <c r="BV57" s="69" cm="1">
        <f t="array" ref="BV57">J57-M57</f>
        <v>872000</v>
      </c>
    </row>
    <row r="58" ht="48.25" customHeight="1">
      <c r="A58" s="47"/>
      <c r="B58" s="48">
        <v>56625410</v>
      </c>
      <c r="C58" t="s" s="89">
        <v>376</v>
      </c>
      <c r="D58" t="s" s="88">
        <v>1</v>
      </c>
      <c r="E58" t="str" s="51" cm="1">
        <f t="array" ref="E58">$C58</f>
        <v>Pemb. Jalan Masabo</v>
      </c>
      <c r="F58" s="52"/>
      <c r="G58" s="51"/>
      <c r="H58" s="51"/>
      <c r="I58" s="51"/>
      <c r="J58" s="54">
        <v>200000000</v>
      </c>
      <c r="K58" s="55">
        <v>199985291.16</v>
      </c>
      <c r="L58" s="56">
        <v>199745225.23</v>
      </c>
      <c r="M58" s="54">
        <v>199745000</v>
      </c>
      <c r="N58" t="s" s="57">
        <v>355</v>
      </c>
      <c r="O58" t="s" s="58">
        <v>356</v>
      </c>
      <c r="P58" t="s" s="57">
        <v>4</v>
      </c>
      <c r="Q58" t="s" s="57">
        <v>357</v>
      </c>
      <c r="R58" t="s" s="57">
        <v>358</v>
      </c>
      <c r="S58" s="60">
        <v>171</v>
      </c>
      <c r="T58" s="61">
        <v>45320</v>
      </c>
      <c r="U58" t="s" s="57">
        <v>359</v>
      </c>
      <c r="V58" t="s" s="57">
        <v>360</v>
      </c>
      <c r="W58" t="s" s="57">
        <v>361</v>
      </c>
      <c r="X58" s="60">
        <v>90</v>
      </c>
      <c r="Y58" t="s" s="57">
        <v>10</v>
      </c>
      <c r="Z58" s="54" cm="1">
        <f t="array" ref="Z58">M58</f>
        <v>199745000</v>
      </c>
      <c r="AA58" t="s" s="57">
        <v>11</v>
      </c>
      <c r="AB58" s="61" cm="1">
        <f t="array" ref="AB58">AH58</f>
        <v>45692</v>
      </c>
      <c r="AC58" s="60">
        <v>180</v>
      </c>
      <c r="AD58" t="s" s="57">
        <v>106</v>
      </c>
      <c r="AE58" t="s" s="57">
        <v>107</v>
      </c>
      <c r="AF58" t="s" s="57">
        <v>108</v>
      </c>
      <c r="AG58" s="61">
        <v>45691</v>
      </c>
      <c r="AH58" s="61">
        <v>45692</v>
      </c>
      <c r="AI58" s="61">
        <v>45692</v>
      </c>
      <c r="AJ58" s="61">
        <v>45692</v>
      </c>
      <c r="AK58" s="61">
        <v>45692</v>
      </c>
      <c r="AL58" s="61">
        <v>45692</v>
      </c>
      <c r="AM58" s="61">
        <v>45692</v>
      </c>
      <c r="AN58" t="s" s="57">
        <v>378</v>
      </c>
      <c r="AO58" s="61" cm="1">
        <f t="array" ref="AO58">AJ58</f>
        <v>45692</v>
      </c>
      <c r="AP58" t="s" s="57">
        <v>379</v>
      </c>
      <c r="AQ58" s="61" cm="1">
        <f t="array" ref="AQ58">AJ58</f>
        <v>45692</v>
      </c>
      <c r="AR58" t="s" s="57">
        <v>380</v>
      </c>
      <c r="AS58" s="61" cm="1">
        <f t="array" ref="AS58">AJ58</f>
        <v>45692</v>
      </c>
      <c r="AT58" t="s" s="62">
        <v>381</v>
      </c>
      <c r="AU58" s="61" cm="1">
        <f t="array" ref="AU58">AJ58</f>
        <v>45692</v>
      </c>
      <c r="AV58" s="51"/>
      <c r="AW58" t="str" s="63" cm="1">
        <f t="array" ref="AW58">"600/"&amp;$B58&amp;"/"&amp;IF(AND($AE58="Konsultansi",M58&lt;=100000000),"SPK",IF(AND($AE58="Konsultansi",M58&gt;100000000),"Kont",IF(AND($AE58&lt;&gt;"Konsultansi",M58&lt;=200000000),"SPK","Kont")))&amp;"-"&amp;AE58&amp;"/PPK/DPUPR"</f>
        <v>600/56625410/SPK-Konstruksi/PPK/DPUPR</v>
      </c>
      <c r="AX58" t="str" s="63" cm="1">
        <f t="array" ref="AX58">"600/"&amp;$B58&amp;"/SPMK/PPK/DPUPR"</f>
        <v>600/56625410/SPMK/PPK/DPUPR</v>
      </c>
      <c r="AY58" s="51"/>
      <c r="AZ58" s="51"/>
      <c r="BA58" s="51"/>
      <c r="BB58" s="51"/>
      <c r="BC58" s="51"/>
      <c r="BD58" s="51"/>
      <c r="BE58" s="51"/>
      <c r="BF58" s="51"/>
      <c r="BG58" s="64">
        <v>231</v>
      </c>
      <c r="BH58" t="s" s="57">
        <v>355</v>
      </c>
      <c r="BI58" t="s" s="57">
        <v>21</v>
      </c>
      <c r="BJ58" t="s" s="57">
        <v>22</v>
      </c>
      <c r="BK58" t="s" s="57">
        <v>23</v>
      </c>
      <c r="BL58" t="s" s="57">
        <v>24</v>
      </c>
      <c r="BM58" s="51"/>
      <c r="BN58" s="51"/>
      <c r="BO58" s="51"/>
      <c r="BP58" s="51"/>
      <c r="BQ58" s="51"/>
      <c r="BR58" t="b" s="60">
        <v>0</v>
      </c>
      <c r="BS58" s="54" cm="1">
        <f t="array" ref="BS58">IF(M58&lt;=0.8*K58,5%*K58,M58*5%)</f>
        <v>9987250</v>
      </c>
      <c r="BT58" t="s" s="57">
        <v>25</v>
      </c>
      <c r="BU58" s="51"/>
      <c r="BV58" s="54" cm="1">
        <f t="array" ref="BV58">J58-M58</f>
        <v>255000</v>
      </c>
    </row>
    <row r="59" ht="48.25" customHeight="1">
      <c r="A59" s="47"/>
      <c r="B59" s="48">
        <v>56625365</v>
      </c>
      <c r="C59" s="90"/>
      <c r="D59" t="s" s="87">
        <v>1</v>
      </c>
      <c r="E59" s="79" cm="1">
        <f t="array" ref="E59">$C59</f>
        <v>0</v>
      </c>
      <c r="F59" s="68"/>
      <c r="G59" s="67"/>
      <c r="H59" s="67"/>
      <c r="I59" s="67"/>
      <c r="J59" s="69">
        <v>200000000</v>
      </c>
      <c r="K59" s="69"/>
      <c r="L59" s="56"/>
      <c r="M59" s="69"/>
      <c r="N59" t="s" s="72">
        <v>355</v>
      </c>
      <c r="O59" t="s" s="78">
        <v>356</v>
      </c>
      <c r="P59" t="s" s="72">
        <v>4</v>
      </c>
      <c r="Q59" t="s" s="72">
        <v>357</v>
      </c>
      <c r="R59" t="s" s="72">
        <v>358</v>
      </c>
      <c r="S59" s="79">
        <v>171</v>
      </c>
      <c r="T59" s="71">
        <v>45320</v>
      </c>
      <c r="U59" t="s" s="72">
        <v>359</v>
      </c>
      <c r="V59" t="s" s="72">
        <v>360</v>
      </c>
      <c r="W59" t="s" s="72">
        <v>361</v>
      </c>
      <c r="X59" s="79">
        <v>90</v>
      </c>
      <c r="Y59" t="s" s="72">
        <v>10</v>
      </c>
      <c r="Z59" s="69" cm="1">
        <f t="array" ref="Z59">M59</f>
        <v>0</v>
      </c>
      <c r="AA59" t="s" s="72">
        <v>11</v>
      </c>
      <c r="AB59" s="71" cm="1">
        <f t="array" ref="AB59">AH59</f>
        <v>45692</v>
      </c>
      <c r="AC59" s="79">
        <v>180</v>
      </c>
      <c r="AD59" t="s" s="72">
        <v>106</v>
      </c>
      <c r="AE59" t="s" s="72">
        <v>107</v>
      </c>
      <c r="AF59" t="s" s="72">
        <v>108</v>
      </c>
      <c r="AG59" s="71">
        <v>45691</v>
      </c>
      <c r="AH59" s="71">
        <v>45692</v>
      </c>
      <c r="AI59" s="71">
        <v>45692</v>
      </c>
      <c r="AJ59" s="71">
        <v>45692</v>
      </c>
      <c r="AK59" s="71">
        <v>45692</v>
      </c>
      <c r="AL59" s="71">
        <v>45692</v>
      </c>
      <c r="AM59" s="71">
        <v>45692</v>
      </c>
      <c r="AN59" t="s" s="72">
        <v>384</v>
      </c>
      <c r="AO59" s="71" cm="1">
        <f t="array" ref="AO59">AJ59</f>
        <v>45692</v>
      </c>
      <c r="AP59" t="s" s="72">
        <v>385</v>
      </c>
      <c r="AQ59" s="71" cm="1">
        <f t="array" ref="AQ59">AJ59</f>
        <v>45692</v>
      </c>
      <c r="AR59" t="s" s="72">
        <v>386</v>
      </c>
      <c r="AS59" s="71" cm="1">
        <f t="array" ref="AS59">AJ59</f>
        <v>45692</v>
      </c>
      <c r="AT59" t="s" s="62">
        <v>387</v>
      </c>
      <c r="AU59" s="71" cm="1">
        <f t="array" ref="AU59">AJ59</f>
        <v>45692</v>
      </c>
      <c r="AV59" s="67"/>
      <c r="AW59" t="str" s="74" cm="1">
        <f t="array" ref="AW59">"600/"&amp;$B59&amp;"/"&amp;IF(AND($AE59="Konsultansi",M59&lt;=100000000),"SPK",IF(AND($AE59="Konsultansi",M59&gt;100000000),"Kont",IF(AND($AE59&lt;&gt;"Konsultansi",M59&lt;=200000000),"SPK","Kont")))&amp;"-"&amp;AE59&amp;"/PPK/DPUPR"</f>
        <v>600/56625365/SPK-Konstruksi/PPK/DPUPR</v>
      </c>
      <c r="AX59" t="str" s="74" cm="1">
        <f t="array" ref="AX59">"600/"&amp;$B59&amp;"/SPMK/PPK/DPUPR"</f>
        <v>600/56625365/SPMK/PPK/DPUPR</v>
      </c>
      <c r="AY59" s="67"/>
      <c r="AZ59" s="67"/>
      <c r="BA59" s="67"/>
      <c r="BB59" s="67"/>
      <c r="BC59" s="67"/>
      <c r="BD59" s="67"/>
      <c r="BE59" s="67"/>
      <c r="BF59" s="67"/>
      <c r="BG59" s="80">
        <v>231</v>
      </c>
      <c r="BH59" t="s" s="72">
        <v>355</v>
      </c>
      <c r="BI59" t="s" s="72">
        <v>21</v>
      </c>
      <c r="BJ59" t="s" s="72">
        <v>22</v>
      </c>
      <c r="BK59" t="s" s="72">
        <v>23</v>
      </c>
      <c r="BL59" t="s" s="72">
        <v>24</v>
      </c>
      <c r="BM59" s="67"/>
      <c r="BN59" s="67"/>
      <c r="BO59" s="67"/>
      <c r="BP59" s="67"/>
      <c r="BQ59" s="67"/>
      <c r="BR59" t="b" s="79">
        <v>0</v>
      </c>
      <c r="BS59" s="69" cm="1">
        <f t="array" ref="BS59">IF(M59&lt;=0.8*K59,5%*K59,M59*5%)</f>
        <v>0</v>
      </c>
      <c r="BT59" t="s" s="72">
        <v>25</v>
      </c>
      <c r="BU59" s="67"/>
      <c r="BV59" s="69" cm="1">
        <f t="array" ref="BV59">J59-M59</f>
        <v>200000000</v>
      </c>
    </row>
    <row r="60" ht="24.25" customHeight="1">
      <c r="A60" s="47"/>
      <c r="B60" s="47"/>
      <c r="C60" s="90"/>
      <c r="D60" s="82"/>
      <c r="E60" s="60" cm="1">
        <f t="array" ref="E60">$C60</f>
        <v>0</v>
      </c>
      <c r="F60" s="52"/>
      <c r="G60" s="51"/>
      <c r="H60" s="51"/>
      <c r="I60" s="51"/>
      <c r="J60" s="54"/>
      <c r="K60" s="54"/>
      <c r="L60" s="56"/>
      <c r="M60" s="54"/>
      <c r="N60" t="s" s="57">
        <v>174</v>
      </c>
      <c r="O60" t="s" s="58">
        <v>174</v>
      </c>
      <c r="P60" t="s" s="57">
        <v>174</v>
      </c>
      <c r="Q60" t="s" s="57">
        <v>174</v>
      </c>
      <c r="R60" t="s" s="57">
        <v>174</v>
      </c>
      <c r="S60" t="s" s="57">
        <v>174</v>
      </c>
      <c r="T60" t="s" s="57">
        <v>174</v>
      </c>
      <c r="U60" t="s" s="57">
        <v>174</v>
      </c>
      <c r="V60" t="s" s="57">
        <v>174</v>
      </c>
      <c r="W60" t="s" s="57">
        <v>174</v>
      </c>
      <c r="X60" s="51"/>
      <c r="Y60" s="51"/>
      <c r="Z60" s="54" cm="1">
        <f t="array" ref="Z60">M60</f>
        <v>0</v>
      </c>
      <c r="AA60" s="51"/>
      <c r="AB60" s="61" cm="1">
        <f t="array" ref="AB60">AH60</f>
      </c>
      <c r="AC60" s="51"/>
      <c r="AD60" s="51"/>
      <c r="AE60" t="s" s="57">
        <v>175</v>
      </c>
      <c r="AF60" s="51"/>
      <c r="AG60" s="61"/>
      <c r="AH60" s="61"/>
      <c r="AI60" s="61"/>
      <c r="AJ60" s="61"/>
      <c r="AK60" s="61"/>
      <c r="AL60" s="61"/>
      <c r="AM60" s="61"/>
      <c r="AN60" t="s" s="57">
        <v>390</v>
      </c>
      <c r="AO60" s="51" cm="1">
        <f t="array" ref="AO60">AJ60</f>
      </c>
      <c r="AP60" t="s" s="57">
        <v>391</v>
      </c>
      <c r="AQ60" s="51" cm="1">
        <f t="array" ref="AQ60">AJ60</f>
      </c>
      <c r="AR60" t="s" s="57">
        <v>392</v>
      </c>
      <c r="AS60" s="51" cm="1">
        <f t="array" ref="AS60">AJ60</f>
      </c>
      <c r="AT60" t="s" s="62">
        <v>393</v>
      </c>
      <c r="AU60" s="51" cm="1">
        <f t="array" ref="AU60">AJ60</f>
      </c>
      <c r="AV60" s="51"/>
      <c r="AW60" t="str" s="63" cm="1">
        <f t="array" ref="AW60">"600/"&amp;$B60&amp;"/"&amp;IF(AND($AE60="Konsultansi",M60&lt;=100000000),"SPK",IF(AND($AE60="Konsultansi",M60&gt;100000000),"Kont",IF(AND($AE60&lt;&gt;"Konsultansi",M60&lt;=200000000),"SPK","Kont")))&amp;"-"&amp;AE60&amp;"/PPK/DPUPR"</f>
        <v>600//SPK-Barang/PPK/DPUPR</v>
      </c>
      <c r="AX60" t="str" s="63" cm="1">
        <f t="array" ref="AX60">"600/"&amp;$B60&amp;"/SPMK/PPK/DPUPR"</f>
        <v>600//SPMK/PPK/DPUPR</v>
      </c>
      <c r="AY60" s="51"/>
      <c r="AZ60" s="51"/>
      <c r="BA60" s="51"/>
      <c r="BB60" s="51"/>
      <c r="BC60" s="51"/>
      <c r="BD60" s="51"/>
      <c r="BE60" s="51"/>
      <c r="BF60" s="51"/>
      <c r="BG60" s="84"/>
      <c r="BH60" t="s" s="57">
        <v>182</v>
      </c>
      <c r="BI60" t="s" s="57">
        <v>21</v>
      </c>
      <c r="BJ60" t="s" s="57">
        <v>22</v>
      </c>
      <c r="BK60" t="s" s="57">
        <v>23</v>
      </c>
      <c r="BL60" t="s" s="57">
        <v>24</v>
      </c>
      <c r="BM60" s="51"/>
      <c r="BN60" s="51"/>
      <c r="BO60" s="51"/>
      <c r="BP60" s="51"/>
      <c r="BQ60" s="51"/>
      <c r="BR60" t="b" s="60">
        <v>0</v>
      </c>
      <c r="BS60" s="54" cm="1">
        <f t="array" ref="BS60">IF(M60&lt;=0.8*K60,5%*K60,M60*5%)</f>
        <v>0</v>
      </c>
      <c r="BT60" t="s" s="57">
        <v>183</v>
      </c>
      <c r="BU60" s="51"/>
      <c r="BV60" s="54" cm="1">
        <f t="array" ref="BV60">J60-M60</f>
        <v>0</v>
      </c>
    </row>
    <row r="61" ht="36.25" customHeight="1">
      <c r="A61" s="47"/>
      <c r="B61" s="48">
        <v>56625548</v>
      </c>
      <c r="C61" t="s" s="89">
        <v>396</v>
      </c>
      <c r="D61" t="s" s="76">
        <v>280</v>
      </c>
      <c r="E61" t="str" s="67" cm="1">
        <f t="array" ref="E61">$C61</f>
        <v>Pembangunan Jembatan Jalan Trans Sulawesi - Bambaira - Saluwira (DBH) </v>
      </c>
      <c r="F61" s="68"/>
      <c r="G61" s="67"/>
      <c r="H61" s="67"/>
      <c r="I61" s="67"/>
      <c r="J61" s="69">
        <v>2845218400</v>
      </c>
      <c r="K61" s="69">
        <v>2845218400</v>
      </c>
      <c r="L61" s="56">
        <v>2820290568.6</v>
      </c>
      <c r="M61" s="69">
        <v>2815569750</v>
      </c>
      <c r="N61" t="s" s="72">
        <v>145</v>
      </c>
      <c r="O61" t="s" s="78">
        <v>146</v>
      </c>
      <c r="P61" t="s" s="72">
        <v>4</v>
      </c>
      <c r="Q61" t="s" s="72">
        <v>147</v>
      </c>
      <c r="R61" t="s" s="72">
        <v>101</v>
      </c>
      <c r="S61" t="s" s="72">
        <v>148</v>
      </c>
      <c r="T61" s="71">
        <v>44987</v>
      </c>
      <c r="U61" t="s" s="72">
        <v>149</v>
      </c>
      <c r="V61" t="s" s="72">
        <v>150</v>
      </c>
      <c r="W61" t="s" s="72">
        <v>151</v>
      </c>
      <c r="X61" s="79" cm="1">
        <f t="array" ref="X61">30*9</f>
        <v>270</v>
      </c>
      <c r="Y61" t="s" s="72">
        <v>398</v>
      </c>
      <c r="Z61" s="69" cm="1">
        <f t="array" ref="Z61">M61</f>
        <v>2815569750</v>
      </c>
      <c r="AA61" t="s" s="72">
        <v>11</v>
      </c>
      <c r="AB61" s="71">
        <v>45707</v>
      </c>
      <c r="AC61" s="79">
        <v>360</v>
      </c>
      <c r="AD61" t="s" s="72">
        <v>106</v>
      </c>
      <c r="AE61" t="s" s="72">
        <v>107</v>
      </c>
      <c r="AF61" t="s" s="72">
        <v>399</v>
      </c>
      <c r="AG61" s="71">
        <v>45706</v>
      </c>
      <c r="AH61" s="71">
        <v>45707</v>
      </c>
      <c r="AI61" s="71">
        <v>45707</v>
      </c>
      <c r="AJ61" s="71">
        <v>45707</v>
      </c>
      <c r="AK61" s="71">
        <v>45707</v>
      </c>
      <c r="AL61" s="71">
        <v>45707</v>
      </c>
      <c r="AM61" s="71">
        <v>45707</v>
      </c>
      <c r="AN61" t="s" s="72">
        <v>400</v>
      </c>
      <c r="AO61" s="71" cm="1">
        <f t="array" ref="AO61">AJ61</f>
        <v>45707</v>
      </c>
      <c r="AP61" t="s" s="72">
        <v>401</v>
      </c>
      <c r="AQ61" s="71" cm="1">
        <f t="array" ref="AQ61">AJ61</f>
        <v>45707</v>
      </c>
      <c r="AR61" t="s" s="72">
        <v>402</v>
      </c>
      <c r="AS61" s="71" cm="1">
        <f t="array" ref="AS61">AJ61</f>
        <v>45707</v>
      </c>
      <c r="AT61" t="s" s="62">
        <v>403</v>
      </c>
      <c r="AU61" s="71" cm="1">
        <f t="array" ref="AU61">AJ61</f>
        <v>45707</v>
      </c>
      <c r="AV61" s="67"/>
      <c r="AW61" t="str" s="74" cm="1">
        <f t="array" ref="AW61">"600/"&amp;$B61&amp;"/"&amp;IF(AND($AE61="Konsultansi",M61&lt;=100000000),"SPK",IF(AND($AE61="Konsultansi",M61&gt;100000000),"Kont",IF(AND($AE61&lt;&gt;"Konsultansi",M61&lt;=200000000),"SPK","Kont")))&amp;"-"&amp;AE61&amp;"/PPK/DPUPR"</f>
        <v>600/56625548/Kont-Konstruksi/PPK/DPUPR</v>
      </c>
      <c r="AX61" t="str" s="74" cm="1">
        <f t="array" ref="AX61">"600/"&amp;$B61&amp;"/SPMK/PPK/DPUPR"</f>
        <v>600/56625548/SPMK/PPK/DPUPR</v>
      </c>
      <c r="AY61" s="67"/>
      <c r="AZ61" s="67"/>
      <c r="BA61" s="67"/>
      <c r="BB61" s="67"/>
      <c r="BC61" s="67"/>
      <c r="BD61" s="67"/>
      <c r="BE61" s="67"/>
      <c r="BF61" s="67"/>
      <c r="BG61" s="80">
        <v>18</v>
      </c>
      <c r="BH61" t="s" s="72">
        <v>145</v>
      </c>
      <c r="BI61" t="s" s="72">
        <v>21</v>
      </c>
      <c r="BJ61" t="s" s="72">
        <v>22</v>
      </c>
      <c r="BK61" t="s" s="72">
        <v>23</v>
      </c>
      <c r="BL61" t="s" s="72">
        <v>24</v>
      </c>
      <c r="BM61" s="67"/>
      <c r="BN61" s="67"/>
      <c r="BO61" s="67"/>
      <c r="BP61" s="67"/>
      <c r="BQ61" s="67"/>
      <c r="BR61" t="b" s="79">
        <v>0</v>
      </c>
      <c r="BS61" s="91" cm="1">
        <f t="array" ref="BS61">IF(M61&lt;=0.8*K61,5%*K61,M61*5%)</f>
        <v>140778487.5</v>
      </c>
      <c r="BT61" t="s" s="72">
        <v>288</v>
      </c>
      <c r="BU61" s="67"/>
      <c r="BV61" s="69" cm="1">
        <f t="array" ref="BV61">J61-M61</f>
        <v>29648650</v>
      </c>
    </row>
    <row r="62" ht="42.25" customHeight="1">
      <c r="A62" s="47"/>
      <c r="B62" s="48">
        <v>56625549</v>
      </c>
      <c r="C62" t="s" s="89">
        <v>406</v>
      </c>
      <c r="D62" t="s" s="50">
        <v>280</v>
      </c>
      <c r="E62" t="str" s="51" cm="1">
        <f t="array" ref="E62">$C62</f>
        <v>Pengawasan Pembangunan Jembatan Jalan Trans Sulawesi - Bambaira - Saluwira (DBH) </v>
      </c>
      <c r="F62" s="52"/>
      <c r="G62" s="51"/>
      <c r="H62" s="51"/>
      <c r="I62" s="51"/>
      <c r="J62" s="54">
        <v>71000000</v>
      </c>
      <c r="K62" s="54">
        <v>70959000</v>
      </c>
      <c r="L62" s="56">
        <v>70731954</v>
      </c>
      <c r="M62" s="54">
        <v>70731000</v>
      </c>
      <c r="N62" t="s" s="57">
        <v>159</v>
      </c>
      <c r="O62" t="s" s="58">
        <v>160</v>
      </c>
      <c r="P62" t="s" s="57">
        <v>4</v>
      </c>
      <c r="Q62" t="s" s="57">
        <v>161</v>
      </c>
      <c r="R62" t="s" s="57">
        <v>162</v>
      </c>
      <c r="S62" t="s" s="57">
        <v>163</v>
      </c>
      <c r="T62" s="61">
        <v>45446</v>
      </c>
      <c r="U62" t="s" s="57">
        <v>164</v>
      </c>
      <c r="V62" t="s" s="57">
        <v>165</v>
      </c>
      <c r="W62" t="s" s="57">
        <v>166</v>
      </c>
      <c r="X62" s="60" cm="1">
        <f t="array" ref="X62">30*9</f>
        <v>270</v>
      </c>
      <c r="Y62" t="s" s="57">
        <v>398</v>
      </c>
      <c r="Z62" s="54" cm="1">
        <f t="array" ref="Z62">M62</f>
        <v>70731000</v>
      </c>
      <c r="AA62" t="s" s="57">
        <v>11</v>
      </c>
      <c r="AB62" s="61" cm="1">
        <f t="array" ref="AB62">AH62</f>
        <v>45707</v>
      </c>
      <c r="AC62" s="51"/>
      <c r="AD62" t="s" s="57">
        <v>12</v>
      </c>
      <c r="AE62" t="s" s="57">
        <v>13</v>
      </c>
      <c r="AF62" t="s" s="57">
        <v>399</v>
      </c>
      <c r="AG62" s="61">
        <v>45706</v>
      </c>
      <c r="AH62" s="61">
        <v>45707</v>
      </c>
      <c r="AI62" s="61">
        <v>45707</v>
      </c>
      <c r="AJ62" s="61">
        <v>45707</v>
      </c>
      <c r="AK62" s="61">
        <v>45707</v>
      </c>
      <c r="AL62" s="61">
        <v>45707</v>
      </c>
      <c r="AM62" s="61">
        <v>45707</v>
      </c>
      <c r="AN62" t="s" s="57">
        <v>408</v>
      </c>
      <c r="AO62" s="61" cm="1">
        <f t="array" ref="AO62">AJ62</f>
        <v>45707</v>
      </c>
      <c r="AP62" t="s" s="57">
        <v>409</v>
      </c>
      <c r="AQ62" s="61" cm="1">
        <f t="array" ref="AQ62">AJ62</f>
        <v>45707</v>
      </c>
      <c r="AR62" t="s" s="57">
        <v>410</v>
      </c>
      <c r="AS62" s="61" cm="1">
        <f t="array" ref="AS62">AJ62</f>
        <v>45707</v>
      </c>
      <c r="AT62" t="s" s="62">
        <v>411</v>
      </c>
      <c r="AU62" s="61" cm="1">
        <f t="array" ref="AU62">AJ62</f>
        <v>45707</v>
      </c>
      <c r="AV62" s="51"/>
      <c r="AW62" t="str" s="63" cm="1">
        <f t="array" ref="AW62">"600/"&amp;$B62&amp;"/"&amp;IF(AND($AE62="Konsultansi",M62&lt;=100000000),"SPK",IF(AND($AE62="Konsultansi",M62&gt;100000000),"Kont",IF(AND($AE62&lt;&gt;"Konsultansi",M62&lt;=200000000),"SPK","Kont")))&amp;"-"&amp;AE62&amp;"/PPK/DPUPR"</f>
        <v>600/56625549/SPK-Konsultansi/PPK/DPUPR</v>
      </c>
      <c r="AX62" t="str" s="63" cm="1">
        <f t="array" ref="AX62">"600/"&amp;$B62&amp;"/SPMK/PPK/DPUPR"</f>
        <v>600/56625549/SPMK/PPK/DPUPR</v>
      </c>
      <c r="AY62" s="51"/>
      <c r="AZ62" s="51"/>
      <c r="BA62" s="51"/>
      <c r="BB62" s="51"/>
      <c r="BC62" s="51"/>
      <c r="BD62" s="51"/>
      <c r="BE62" s="51"/>
      <c r="BF62" s="51"/>
      <c r="BG62" s="64">
        <v>245</v>
      </c>
      <c r="BH62" t="s" s="57">
        <v>159</v>
      </c>
      <c r="BI62" t="s" s="57">
        <v>21</v>
      </c>
      <c r="BJ62" t="s" s="57">
        <v>22</v>
      </c>
      <c r="BK62" t="s" s="57">
        <v>23</v>
      </c>
      <c r="BL62" t="s" s="57">
        <v>24</v>
      </c>
      <c r="BM62" s="51"/>
      <c r="BN62" s="51"/>
      <c r="BO62" s="51"/>
      <c r="BP62" s="51"/>
      <c r="BQ62" s="51"/>
      <c r="BR62" t="b" s="60">
        <v>0</v>
      </c>
      <c r="BS62" s="54" cm="1">
        <f t="array" ref="BS62">IF(M62&lt;=0.8*K62,5%*K62,M62*5%)</f>
        <v>3536550</v>
      </c>
      <c r="BT62" t="s" s="57">
        <v>288</v>
      </c>
      <c r="BU62" s="51"/>
      <c r="BV62" s="54" cm="1">
        <f t="array" ref="BV62">J62-M62</f>
        <v>269000</v>
      </c>
    </row>
    <row r="63" ht="42.25" customHeight="1">
      <c r="A63" s="47"/>
      <c r="B63" s="48">
        <v>56626941</v>
      </c>
      <c r="C63" t="s" s="89">
        <v>414</v>
      </c>
      <c r="D63" t="s" s="76">
        <v>415</v>
      </c>
      <c r="E63" t="str" s="67" cm="1">
        <f t="array" ref="E63">$C63</f>
        <v>Pengembangan Jaringan Distribusi dan Sambungan Rumah Desa Ompi Kec. Bulutaba (DAK) </v>
      </c>
      <c r="F63" s="68"/>
      <c r="G63" s="67"/>
      <c r="H63" s="67"/>
      <c r="I63" s="67"/>
      <c r="J63" s="69">
        <v>963689000</v>
      </c>
      <c r="K63" s="69">
        <v>963689000</v>
      </c>
      <c r="L63" s="56">
        <v>967318730.04</v>
      </c>
      <c r="M63" s="69">
        <v>950784500</v>
      </c>
      <c r="N63" t="s" s="72">
        <v>417</v>
      </c>
      <c r="O63" t="s" s="78">
        <v>418</v>
      </c>
      <c r="P63" t="s" s="72">
        <v>4</v>
      </c>
      <c r="Q63" t="s" s="72">
        <v>419</v>
      </c>
      <c r="R63" t="s" s="72">
        <v>420</v>
      </c>
      <c r="S63" s="79">
        <v>11</v>
      </c>
      <c r="T63" s="92">
        <v>42508</v>
      </c>
      <c r="U63" t="s" s="72">
        <v>121</v>
      </c>
      <c r="V63" t="s" s="72">
        <v>421</v>
      </c>
      <c r="W63" t="s" s="72">
        <v>422</v>
      </c>
      <c r="X63" s="79">
        <v>280</v>
      </c>
      <c r="Y63" t="s" s="72">
        <v>423</v>
      </c>
      <c r="Z63" s="69" cm="1">
        <f t="array" ref="Z63">M63</f>
        <v>950784500</v>
      </c>
      <c r="AA63" t="s" s="72">
        <v>424</v>
      </c>
      <c r="AB63" s="71" cm="1">
        <f t="array" ref="AB63">AH63</f>
        <v>45716</v>
      </c>
      <c r="AC63" s="79">
        <v>360</v>
      </c>
      <c r="AD63" t="s" s="72">
        <v>106</v>
      </c>
      <c r="AE63" t="s" s="72">
        <v>107</v>
      </c>
      <c r="AF63" t="s" s="72">
        <v>425</v>
      </c>
      <c r="AG63" s="71"/>
      <c r="AH63" s="71">
        <v>45716</v>
      </c>
      <c r="AI63" s="71">
        <v>45716</v>
      </c>
      <c r="AJ63" s="71">
        <v>45716</v>
      </c>
      <c r="AK63" s="71">
        <v>45716</v>
      </c>
      <c r="AL63" s="71">
        <v>45716</v>
      </c>
      <c r="AM63" s="71">
        <v>45716</v>
      </c>
      <c r="AN63" t="s" s="72">
        <v>426</v>
      </c>
      <c r="AO63" s="71" cm="1">
        <f t="array" ref="AO63">AJ63</f>
        <v>45716</v>
      </c>
      <c r="AP63" t="s" s="72">
        <v>427</v>
      </c>
      <c r="AQ63" s="71" cm="1">
        <f t="array" ref="AQ63">AJ63</f>
        <v>45716</v>
      </c>
      <c r="AR63" t="s" s="72">
        <v>428</v>
      </c>
      <c r="AS63" s="71" cm="1">
        <f t="array" ref="AS63">AJ63</f>
        <v>45716</v>
      </c>
      <c r="AT63" t="s" s="62">
        <v>429</v>
      </c>
      <c r="AU63" s="71" cm="1">
        <f t="array" ref="AU63">AJ63</f>
        <v>45716</v>
      </c>
      <c r="AV63" s="67"/>
      <c r="AW63" t="str" s="74" cm="1">
        <f t="array" ref="AW63">"600/"&amp;$B63&amp;"/"&amp;IF(AND($AE63="Konsultansi",M63&lt;=100000000),"SPK",IF(AND($AE63="Konsultansi",M63&gt;100000000),"Kont",IF(AND($AE63&lt;&gt;"Konsultansi",M63&lt;=200000000),"SPK","Kont")))&amp;"-"&amp;AE63&amp;"/PPK/DPUPR"</f>
        <v>600/56626941/Kont-Konstruksi/PPK/DPUPR</v>
      </c>
      <c r="AX63" t="str" s="74" cm="1">
        <f t="array" ref="AX63">"600/"&amp;$B63&amp;"/SPMK/PPK/DPUPR"</f>
        <v>600/56626941/SPMK/PPK/DPUPR</v>
      </c>
      <c r="AY63" s="67"/>
      <c r="AZ63" s="67"/>
      <c r="BA63" s="67"/>
      <c r="BB63" s="67"/>
      <c r="BC63" s="67"/>
      <c r="BD63" s="67"/>
      <c r="BE63" s="67"/>
      <c r="BF63" s="67"/>
      <c r="BG63" s="80">
        <v>72</v>
      </c>
      <c r="BH63" t="s" s="72">
        <v>417</v>
      </c>
      <c r="BI63" t="s" s="72">
        <v>21</v>
      </c>
      <c r="BJ63" t="s" s="72">
        <v>22</v>
      </c>
      <c r="BK63" t="s" s="72">
        <v>23</v>
      </c>
      <c r="BL63" t="s" s="72">
        <v>24</v>
      </c>
      <c r="BM63" s="67"/>
      <c r="BN63" s="67"/>
      <c r="BO63" s="67"/>
      <c r="BP63" s="67"/>
      <c r="BQ63" s="67"/>
      <c r="BR63" t="b" s="79">
        <v>0</v>
      </c>
      <c r="BS63" s="69" cm="1">
        <f t="array" ref="BS63">IF(M63&lt;=0.8*K63,5%*K63,M63*5%)</f>
        <v>47539225</v>
      </c>
      <c r="BT63" t="s" s="72">
        <v>432</v>
      </c>
      <c r="BU63" s="67"/>
      <c r="BV63" s="69" cm="1">
        <f t="array" ref="BV63">J63-M63</f>
        <v>12904500</v>
      </c>
    </row>
    <row r="64" ht="42.25" customHeight="1">
      <c r="A64" s="47"/>
      <c r="B64" s="48">
        <v>56626937</v>
      </c>
      <c r="C64" t="s" s="89">
        <v>433</v>
      </c>
      <c r="D64" t="s" s="50">
        <v>415</v>
      </c>
      <c r="E64" t="str" s="51" cm="1">
        <f t="array" ref="E64">$C64</f>
        <v>Pengembangan Jaringan Distribusi dan Sambungan Rumah Desa Sarjo Kec. Sarjo (DAK) </v>
      </c>
      <c r="F64" s="52"/>
      <c r="G64" s="51"/>
      <c r="H64" s="51"/>
      <c r="I64" s="51"/>
      <c r="J64" s="54">
        <v>933690000</v>
      </c>
      <c r="K64" s="54">
        <v>933690000</v>
      </c>
      <c r="L64" s="56">
        <v>933292050.73</v>
      </c>
      <c r="M64" s="54">
        <v>921293000</v>
      </c>
      <c r="N64" t="s" s="57">
        <v>417</v>
      </c>
      <c r="O64" t="s" s="58">
        <v>418</v>
      </c>
      <c r="P64" t="s" s="57">
        <v>4</v>
      </c>
      <c r="Q64" t="s" s="57">
        <v>419</v>
      </c>
      <c r="R64" t="s" s="57">
        <v>420</v>
      </c>
      <c r="S64" s="60">
        <v>11</v>
      </c>
      <c r="T64" s="59">
        <v>42508</v>
      </c>
      <c r="U64" t="s" s="57">
        <v>121</v>
      </c>
      <c r="V64" t="s" s="57">
        <v>421</v>
      </c>
      <c r="W64" t="s" s="57">
        <v>422</v>
      </c>
      <c r="X64" s="60">
        <v>280</v>
      </c>
      <c r="Y64" t="s" s="57">
        <v>423</v>
      </c>
      <c r="Z64" s="54" cm="1">
        <f t="array" ref="Z64">M64</f>
        <v>921293000</v>
      </c>
      <c r="AA64" t="s" s="57">
        <v>424</v>
      </c>
      <c r="AB64" s="61" cm="1">
        <f t="array" ref="AB64">AH64</f>
        <v>45716</v>
      </c>
      <c r="AC64" s="60">
        <v>360</v>
      </c>
      <c r="AD64" t="s" s="57">
        <v>106</v>
      </c>
      <c r="AE64" t="s" s="57">
        <v>107</v>
      </c>
      <c r="AF64" t="s" s="57">
        <v>425</v>
      </c>
      <c r="AG64" s="61"/>
      <c r="AH64" s="61">
        <v>45716</v>
      </c>
      <c r="AI64" s="61">
        <v>45716</v>
      </c>
      <c r="AJ64" s="61">
        <v>45727</v>
      </c>
      <c r="AK64" s="61">
        <v>45727</v>
      </c>
      <c r="AL64" s="61">
        <v>45728</v>
      </c>
      <c r="AM64" s="61">
        <v>45728</v>
      </c>
      <c r="AN64" t="s" s="57">
        <v>435</v>
      </c>
      <c r="AO64" s="61" cm="1">
        <f t="array" ref="AO64">AJ64</f>
        <v>45727</v>
      </c>
      <c r="AP64" t="s" s="57">
        <v>436</v>
      </c>
      <c r="AQ64" s="61" cm="1">
        <f t="array" ref="AQ64">AJ64</f>
        <v>45727</v>
      </c>
      <c r="AR64" t="s" s="57">
        <v>437</v>
      </c>
      <c r="AS64" s="61" cm="1">
        <f t="array" ref="AS64">AJ64</f>
        <v>45727</v>
      </c>
      <c r="AT64" t="s" s="62">
        <v>438</v>
      </c>
      <c r="AU64" s="61" cm="1">
        <f t="array" ref="AU64">AJ64</f>
        <v>45727</v>
      </c>
      <c r="AV64" s="51"/>
      <c r="AW64" t="str" s="63" cm="1">
        <f t="array" ref="AW64">"600/"&amp;$B64&amp;"/"&amp;IF(AND($AE64="Konsultansi",M64&lt;=100000000),"SPK",IF(AND($AE64="Konsultansi",M64&gt;100000000),"Kont",IF(AND($AE64&lt;&gt;"Konsultansi",M64&lt;=200000000),"SPK","Kont")))&amp;"-"&amp;AE64&amp;"/PPK/DPUPR"</f>
        <v>600/56626937/Kont-Konstruksi/PPK/DPUPR</v>
      </c>
      <c r="AX64" t="str" s="63" cm="1">
        <f t="array" ref="AX64">"600/"&amp;$B64&amp;"/SPMK/PPK/DPUPR"</f>
        <v>600/56626937/SPMK/PPK/DPUPR</v>
      </c>
      <c r="AY64" s="51"/>
      <c r="AZ64" s="51"/>
      <c r="BA64" s="51"/>
      <c r="BB64" s="51"/>
      <c r="BC64" s="51"/>
      <c r="BD64" s="51"/>
      <c r="BE64" s="51"/>
      <c r="BF64" s="51"/>
      <c r="BG64" s="64">
        <v>72</v>
      </c>
      <c r="BH64" t="s" s="57">
        <v>417</v>
      </c>
      <c r="BI64" t="s" s="57">
        <v>21</v>
      </c>
      <c r="BJ64" t="s" s="57">
        <v>22</v>
      </c>
      <c r="BK64" t="s" s="57">
        <v>23</v>
      </c>
      <c r="BL64" t="s" s="57">
        <v>24</v>
      </c>
      <c r="BM64" s="51"/>
      <c r="BN64" s="51"/>
      <c r="BO64" s="51"/>
      <c r="BP64" s="51"/>
      <c r="BQ64" s="51"/>
      <c r="BR64" t="b" s="60">
        <v>0</v>
      </c>
      <c r="BS64" s="54" cm="1">
        <f t="array" ref="BS64">IF(M64&lt;=0.8*K64,5%*K64,M64*5%)</f>
        <v>46064650</v>
      </c>
      <c r="BT64" t="s" s="57">
        <v>432</v>
      </c>
      <c r="BU64" s="51"/>
      <c r="BV64" s="54" cm="1">
        <f t="array" ref="BV64">J64-M64</f>
        <v>12397000</v>
      </c>
    </row>
    <row r="65" ht="42.25" customHeight="1">
      <c r="A65" s="47"/>
      <c r="B65" s="48">
        <v>56626935</v>
      </c>
      <c r="C65" t="s" s="89">
        <v>441</v>
      </c>
      <c r="D65" t="s" s="76">
        <v>415</v>
      </c>
      <c r="E65" t="str" s="67" cm="1">
        <f t="array" ref="E65">$C65</f>
        <v>Pengembangan Jaringan Distribusi dan Sambungan Rumah Desa Polewali Kec. Bambalamotu (DAK) </v>
      </c>
      <c r="F65" s="68"/>
      <c r="G65" s="67"/>
      <c r="H65" s="67"/>
      <c r="I65" s="67"/>
      <c r="J65" s="69">
        <v>1382566000</v>
      </c>
      <c r="K65" s="69">
        <v>1382566000</v>
      </c>
      <c r="L65" s="56">
        <v>1377218397.5</v>
      </c>
      <c r="M65" s="93">
        <v>1373234200</v>
      </c>
      <c r="N65" t="s" s="72">
        <v>145</v>
      </c>
      <c r="O65" t="s" s="78">
        <v>146</v>
      </c>
      <c r="P65" t="s" s="72">
        <v>4</v>
      </c>
      <c r="Q65" t="s" s="72">
        <v>147</v>
      </c>
      <c r="R65" t="s" s="72">
        <v>101</v>
      </c>
      <c r="S65" t="s" s="72">
        <v>148</v>
      </c>
      <c r="T65" s="71">
        <v>44987</v>
      </c>
      <c r="U65" t="s" s="72">
        <v>149</v>
      </c>
      <c r="V65" t="s" s="72">
        <v>150</v>
      </c>
      <c r="W65" t="s" s="72">
        <v>151</v>
      </c>
      <c r="X65" s="79">
        <v>280</v>
      </c>
      <c r="Y65" t="s" s="72">
        <v>423</v>
      </c>
      <c r="Z65" s="69" cm="1">
        <f t="array" ref="Z65">M65</f>
        <v>1373234200</v>
      </c>
      <c r="AA65" t="s" s="72">
        <v>424</v>
      </c>
      <c r="AB65" s="71" cm="1">
        <f t="array" ref="AB65">AH65</f>
        <v>45716</v>
      </c>
      <c r="AC65" s="79">
        <v>360</v>
      </c>
      <c r="AD65" t="s" s="72">
        <v>106</v>
      </c>
      <c r="AE65" t="s" s="72">
        <v>107</v>
      </c>
      <c r="AF65" t="s" s="72">
        <v>425</v>
      </c>
      <c r="AG65" s="71"/>
      <c r="AH65" s="71">
        <v>45716</v>
      </c>
      <c r="AI65" s="71">
        <v>45716</v>
      </c>
      <c r="AJ65" s="71">
        <v>45716</v>
      </c>
      <c r="AK65" s="71">
        <v>45716</v>
      </c>
      <c r="AL65" s="71">
        <v>45716</v>
      </c>
      <c r="AM65" s="71">
        <v>45716</v>
      </c>
      <c r="AN65" t="s" s="72">
        <v>443</v>
      </c>
      <c r="AO65" s="71" cm="1">
        <f t="array" ref="AO65">AJ65</f>
        <v>45716</v>
      </c>
      <c r="AP65" t="s" s="72">
        <v>444</v>
      </c>
      <c r="AQ65" s="71" cm="1">
        <f t="array" ref="AQ65">AJ65</f>
        <v>45716</v>
      </c>
      <c r="AR65" t="s" s="72">
        <v>445</v>
      </c>
      <c r="AS65" s="71" cm="1">
        <f t="array" ref="AS65">AJ65</f>
        <v>45716</v>
      </c>
      <c r="AT65" t="s" s="62">
        <v>446</v>
      </c>
      <c r="AU65" s="71" cm="1">
        <f t="array" ref="AU65">AJ65</f>
        <v>45716</v>
      </c>
      <c r="AV65" s="67"/>
      <c r="AW65" t="str" s="74" cm="1">
        <f t="array" ref="AW65">"600/"&amp;$B65&amp;"/"&amp;IF(AND($AE65="Konsultansi",M65&lt;=100000000),"SPK",IF(AND($AE65="Konsultansi",M65&gt;100000000),"Kont",IF(AND($AE65&lt;&gt;"Konsultansi",M65&lt;=200000000),"SPK","Kont")))&amp;"-"&amp;AE65&amp;"/PPK/DPUPR"</f>
        <v>600/56626935/Kont-Konstruksi/PPK/DPUPR</v>
      </c>
      <c r="AX65" t="str" s="74" cm="1">
        <f t="array" ref="AX65">"600/"&amp;$B65&amp;"/SPMK/PPK/DPUPR"</f>
        <v>600/56626935/SPMK/PPK/DPUPR</v>
      </c>
      <c r="AY65" s="67"/>
      <c r="AZ65" s="67"/>
      <c r="BA65" s="67"/>
      <c r="BB65" s="67"/>
      <c r="BC65" s="67"/>
      <c r="BD65" s="67"/>
      <c r="BE65" s="67"/>
      <c r="BF65" s="67"/>
      <c r="BG65" s="80">
        <v>18</v>
      </c>
      <c r="BH65" t="s" s="72">
        <v>145</v>
      </c>
      <c r="BI65" t="s" s="72">
        <v>21</v>
      </c>
      <c r="BJ65" t="s" s="72">
        <v>22</v>
      </c>
      <c r="BK65" t="s" s="72">
        <v>23</v>
      </c>
      <c r="BL65" t="s" s="72">
        <v>24</v>
      </c>
      <c r="BM65" s="67"/>
      <c r="BN65" s="67"/>
      <c r="BO65" s="67"/>
      <c r="BP65" s="67"/>
      <c r="BQ65" s="67"/>
      <c r="BR65" t="b" s="79">
        <v>0</v>
      </c>
      <c r="BS65" s="69" cm="1">
        <f t="array" ref="BS65">IF(M65&lt;=0.8*K65,5%*K65,M65*5%)</f>
        <v>68661710</v>
      </c>
      <c r="BT65" t="s" s="72">
        <v>432</v>
      </c>
      <c r="BU65" s="67"/>
      <c r="BV65" s="69" cm="1">
        <f t="array" ref="BV65">J65-M65</f>
        <v>9331800</v>
      </c>
    </row>
    <row r="66" ht="42.25" customHeight="1">
      <c r="A66" s="47"/>
      <c r="B66" s="48">
        <v>56626942</v>
      </c>
      <c r="C66" t="s" s="89">
        <v>449</v>
      </c>
      <c r="D66" t="s" s="50">
        <v>415</v>
      </c>
      <c r="E66" t="str" s="51" cm="1">
        <f t="array" ref="E66">$C66</f>
        <v> Pengembangan Jaringan Distribusi dan Sambungan Rumah Desa Bambalamotu Kec. Bambalamotu (DAK) </v>
      </c>
      <c r="F66" s="52"/>
      <c r="G66" s="51"/>
      <c r="H66" s="51"/>
      <c r="I66" s="51"/>
      <c r="J66" s="54">
        <v>1370095000</v>
      </c>
      <c r="K66" s="54">
        <v>1370095000</v>
      </c>
      <c r="L66" s="56">
        <v>1364780215.12</v>
      </c>
      <c r="M66" s="94">
        <v>1362395840.2</v>
      </c>
      <c r="N66" t="s" s="57">
        <v>451</v>
      </c>
      <c r="O66" t="s" s="58">
        <v>452</v>
      </c>
      <c r="P66" t="s" s="57">
        <v>4</v>
      </c>
      <c r="Q66" t="s" s="57">
        <v>453</v>
      </c>
      <c r="R66" t="s" s="57">
        <v>454</v>
      </c>
      <c r="S66" t="s" s="57">
        <v>455</v>
      </c>
      <c r="T66" s="61">
        <v>44630</v>
      </c>
      <c r="U66" t="s" s="57">
        <v>456</v>
      </c>
      <c r="V66" t="s" s="57">
        <v>457</v>
      </c>
      <c r="W66" t="s" s="57">
        <v>458</v>
      </c>
      <c r="X66" s="60">
        <v>280</v>
      </c>
      <c r="Y66" t="s" s="57">
        <v>423</v>
      </c>
      <c r="Z66" s="94" cm="1">
        <f t="array" ref="Z66">M66</f>
        <v>1362395840.2</v>
      </c>
      <c r="AA66" t="s" s="57">
        <v>424</v>
      </c>
      <c r="AB66" s="61" cm="1">
        <f t="array" ref="AB66">AH66</f>
        <v>45716</v>
      </c>
      <c r="AC66" s="60">
        <v>360</v>
      </c>
      <c r="AD66" t="s" s="57">
        <v>106</v>
      </c>
      <c r="AE66" t="s" s="57">
        <v>107</v>
      </c>
      <c r="AF66" t="s" s="57">
        <v>425</v>
      </c>
      <c r="AG66" s="61"/>
      <c r="AH66" s="61">
        <v>45716</v>
      </c>
      <c r="AI66" s="61">
        <v>45716</v>
      </c>
      <c r="AJ66" s="61">
        <v>45716</v>
      </c>
      <c r="AK66" s="61">
        <v>45716</v>
      </c>
      <c r="AL66" s="61">
        <v>45716</v>
      </c>
      <c r="AM66" s="61">
        <v>45716</v>
      </c>
      <c r="AN66" t="s" s="57">
        <v>459</v>
      </c>
      <c r="AO66" s="61" cm="1">
        <f t="array" ref="AO66">AJ66</f>
        <v>45716</v>
      </c>
      <c r="AP66" t="s" s="57">
        <v>460</v>
      </c>
      <c r="AQ66" s="61" cm="1">
        <f t="array" ref="AQ66">AJ66</f>
        <v>45716</v>
      </c>
      <c r="AR66" t="s" s="57">
        <v>461</v>
      </c>
      <c r="AS66" s="61" cm="1">
        <f t="array" ref="AS66">AJ66</f>
        <v>45716</v>
      </c>
      <c r="AT66" t="s" s="62">
        <v>462</v>
      </c>
      <c r="AU66" s="61" cm="1">
        <f t="array" ref="AU66">AJ66</f>
        <v>45716</v>
      </c>
      <c r="AV66" s="51"/>
      <c r="AW66" t="str" s="63" cm="1">
        <f t="array" ref="AW66">"600/"&amp;$B66&amp;"/"&amp;IF(AND($AE66="Konsultansi",M66&lt;=100000000),"SPK",IF(AND($AE66="Konsultansi",M66&gt;100000000),"Kont",IF(AND($AE66&lt;&gt;"Konsultansi",M66&lt;=200000000),"SPK","Kont")))&amp;"-"&amp;AE66&amp;"/PPK/DPUPR"</f>
        <v>600/56626942/Kont-Konstruksi/PPK/DPUPR</v>
      </c>
      <c r="AX66" t="str" s="63" cm="1">
        <f t="array" ref="AX66">"600/"&amp;$B66&amp;"/SPMK/PPK/DPUPR"</f>
        <v>600/56626942/SPMK/PPK/DPUPR</v>
      </c>
      <c r="AY66" s="51"/>
      <c r="AZ66" s="51"/>
      <c r="BA66" s="51"/>
      <c r="BB66" s="51"/>
      <c r="BC66" s="51"/>
      <c r="BD66" s="51"/>
      <c r="BE66" s="51"/>
      <c r="BF66" s="51"/>
      <c r="BG66" s="64">
        <v>20</v>
      </c>
      <c r="BH66" t="s" s="57">
        <v>451</v>
      </c>
      <c r="BI66" t="s" s="57">
        <v>21</v>
      </c>
      <c r="BJ66" t="s" s="57">
        <v>22</v>
      </c>
      <c r="BK66" t="s" s="57">
        <v>23</v>
      </c>
      <c r="BL66" t="s" s="57">
        <v>24</v>
      </c>
      <c r="BM66" s="51"/>
      <c r="BN66" s="51"/>
      <c r="BO66" s="51"/>
      <c r="BP66" s="51"/>
      <c r="BQ66" s="51"/>
      <c r="BR66" t="b" s="60">
        <v>0</v>
      </c>
      <c r="BS66" s="55" cm="1">
        <f t="array" ref="BS66">IF(M66&lt;=0.8*K66,5%*K66,M66*5%)</f>
        <v>68119792.01000001</v>
      </c>
      <c r="BT66" t="s" s="57">
        <v>432</v>
      </c>
      <c r="BU66" s="51"/>
      <c r="BV66" s="94" cm="1">
        <f t="array" ref="BV66">J66-M66</f>
        <v>7699159.8</v>
      </c>
    </row>
    <row r="67" ht="36.25" customHeight="1">
      <c r="A67" s="47"/>
      <c r="B67" s="48">
        <v>56626944</v>
      </c>
      <c r="C67" t="s" s="89">
        <v>465</v>
      </c>
      <c r="D67" t="s" s="76">
        <v>415</v>
      </c>
      <c r="E67" t="str" s="67" cm="1">
        <f t="array" ref="E67">$C67</f>
        <v>Pengawasan Jaringan Perpipaan Air Bersih Sarjo-Polewali-Bambalamotu (DAK)</v>
      </c>
      <c r="F67" s="68"/>
      <c r="G67" s="67"/>
      <c r="H67" s="67"/>
      <c r="I67" s="67"/>
      <c r="J67" s="69">
        <v>75000000</v>
      </c>
      <c r="K67" s="69">
        <v>74998000</v>
      </c>
      <c r="L67" s="56">
        <v>74920356</v>
      </c>
      <c r="M67" s="69">
        <v>74642000</v>
      </c>
      <c r="N67" t="s" s="72">
        <v>467</v>
      </c>
      <c r="O67" t="s" s="78">
        <v>468</v>
      </c>
      <c r="P67" t="s" s="72">
        <v>4</v>
      </c>
      <c r="Q67" t="s" s="72">
        <v>469</v>
      </c>
      <c r="R67" t="s" s="72">
        <v>470</v>
      </c>
      <c r="S67" t="s" s="72">
        <v>471</v>
      </c>
      <c r="T67" t="s" s="72">
        <v>472</v>
      </c>
      <c r="U67" t="s" s="72">
        <v>473</v>
      </c>
      <c r="V67" t="s" s="72">
        <v>474</v>
      </c>
      <c r="W67" t="s" s="72">
        <v>475</v>
      </c>
      <c r="X67" s="79">
        <v>280</v>
      </c>
      <c r="Y67" t="s" s="72">
        <v>423</v>
      </c>
      <c r="Z67" s="69" cm="1">
        <f t="array" ref="Z67">M67</f>
        <v>74642000</v>
      </c>
      <c r="AA67" t="s" s="72">
        <v>11</v>
      </c>
      <c r="AB67" s="71" cm="1">
        <f t="array" ref="AB67">AH67</f>
        <v>45716</v>
      </c>
      <c r="AC67" s="67"/>
      <c r="AD67" t="s" s="72">
        <v>12</v>
      </c>
      <c r="AE67" t="s" s="72">
        <v>13</v>
      </c>
      <c r="AF67" t="s" s="72">
        <v>425</v>
      </c>
      <c r="AG67" s="71">
        <v>45715</v>
      </c>
      <c r="AH67" s="71">
        <v>45716</v>
      </c>
      <c r="AI67" s="71">
        <v>45716</v>
      </c>
      <c r="AJ67" s="71">
        <v>45716</v>
      </c>
      <c r="AK67" s="71">
        <v>45716</v>
      </c>
      <c r="AL67" s="71">
        <v>45716</v>
      </c>
      <c r="AM67" s="71">
        <v>45716</v>
      </c>
      <c r="AN67" t="s" s="72">
        <v>476</v>
      </c>
      <c r="AO67" s="71" cm="1">
        <f t="array" ref="AO67">AJ67</f>
        <v>45716</v>
      </c>
      <c r="AP67" t="s" s="72">
        <v>477</v>
      </c>
      <c r="AQ67" s="71" cm="1">
        <f t="array" ref="AQ67">AJ67</f>
        <v>45716</v>
      </c>
      <c r="AR67" t="s" s="72">
        <v>478</v>
      </c>
      <c r="AS67" s="71" cm="1">
        <f t="array" ref="AS67">AJ67</f>
        <v>45716</v>
      </c>
      <c r="AT67" t="s" s="62">
        <v>479</v>
      </c>
      <c r="AU67" s="71" cm="1">
        <f t="array" ref="AU67">AJ67</f>
        <v>45716</v>
      </c>
      <c r="AV67" s="67"/>
      <c r="AW67" t="str" s="74" cm="1">
        <f t="array" ref="AW67">"600/"&amp;$B67&amp;"/"&amp;IF(AND($AE67="Konsultansi",M67&lt;=100000000),"SPK",IF(AND($AE67="Konsultansi",M67&gt;100000000),"Kont",IF(AND($AE67&lt;&gt;"Konsultansi",M67&lt;=200000000),"SPK","Kont")))&amp;"-"&amp;AE67&amp;"/PPK/DPUPR"</f>
        <v>600/56626944/SPK-Konsultansi/PPK/DPUPR</v>
      </c>
      <c r="AX67" t="str" s="74" cm="1">
        <f t="array" ref="AX67">"600/"&amp;$B67&amp;"/SPMK/PPK/DPUPR"</f>
        <v>600/56626944/SPMK/PPK/DPUPR</v>
      </c>
      <c r="AY67" s="67"/>
      <c r="AZ67" s="67"/>
      <c r="BA67" s="67"/>
      <c r="BB67" s="67"/>
      <c r="BC67" s="67"/>
      <c r="BD67" s="67"/>
      <c r="BE67" s="67"/>
      <c r="BF67" s="67"/>
      <c r="BG67" s="80">
        <v>162</v>
      </c>
      <c r="BH67" t="s" s="72">
        <v>467</v>
      </c>
      <c r="BI67" t="s" s="72">
        <v>21</v>
      </c>
      <c r="BJ67" t="s" s="72">
        <v>22</v>
      </c>
      <c r="BK67" t="s" s="72">
        <v>23</v>
      </c>
      <c r="BL67" t="s" s="72">
        <v>24</v>
      </c>
      <c r="BM67" s="67"/>
      <c r="BN67" s="67"/>
      <c r="BO67" s="67"/>
      <c r="BP67" s="67"/>
      <c r="BQ67" s="67"/>
      <c r="BR67" t="b" s="79">
        <v>0</v>
      </c>
      <c r="BS67" s="69" cm="1">
        <f t="array" ref="BS67">IF(M67&lt;=0.8*K67,5%*K67,M67*5%)</f>
        <v>3732100</v>
      </c>
      <c r="BT67" t="s" s="72">
        <v>432</v>
      </c>
      <c r="BU67" s="67"/>
      <c r="BV67" s="69" cm="1">
        <f t="array" ref="BV67">J67-M67</f>
        <v>358000</v>
      </c>
    </row>
    <row r="68" ht="48.25" customHeight="1">
      <c r="A68" s="47"/>
      <c r="B68" s="48">
        <v>56720180</v>
      </c>
      <c r="C68" t="s" s="89">
        <v>482</v>
      </c>
      <c r="D68" t="s" s="50">
        <v>1</v>
      </c>
      <c r="E68" t="str" s="51" cm="1">
        <f t="array" ref="E68">$C68</f>
        <v>Peningkatan Jalan Gunungsari I </v>
      </c>
      <c r="F68" s="52"/>
      <c r="G68" s="51"/>
      <c r="H68" s="51"/>
      <c r="I68" s="51"/>
      <c r="J68" s="54">
        <v>200000000</v>
      </c>
      <c r="K68" s="55">
        <v>199995838.55</v>
      </c>
      <c r="L68" s="56">
        <v>199636233.76</v>
      </c>
      <c r="M68" s="54">
        <v>199636000</v>
      </c>
      <c r="N68" t="s" s="57">
        <v>484</v>
      </c>
      <c r="O68" t="s" s="58">
        <v>485</v>
      </c>
      <c r="P68" t="s" s="57">
        <v>4</v>
      </c>
      <c r="Q68" t="s" s="57">
        <v>486</v>
      </c>
      <c r="R68" t="s" s="57">
        <v>487</v>
      </c>
      <c r="S68" t="s" s="57">
        <v>488</v>
      </c>
      <c r="T68" s="61">
        <v>43873</v>
      </c>
      <c r="U68" t="s" s="57">
        <v>164</v>
      </c>
      <c r="V68" t="s" s="57">
        <v>489</v>
      </c>
      <c r="W68" t="s" s="57">
        <v>490</v>
      </c>
      <c r="X68" s="60">
        <v>90</v>
      </c>
      <c r="Y68" t="s" s="57">
        <v>10</v>
      </c>
      <c r="Z68" s="54" cm="1">
        <f t="array" ref="Z68">M68</f>
        <v>199636000</v>
      </c>
      <c r="AA68" t="s" s="57">
        <v>11</v>
      </c>
      <c r="AB68" s="61" cm="1">
        <f t="array" ref="AB68">AH68</f>
        <v>45734</v>
      </c>
      <c r="AC68" s="60">
        <v>180</v>
      </c>
      <c r="AD68" t="s" s="57">
        <v>106</v>
      </c>
      <c r="AE68" t="s" s="57">
        <v>107</v>
      </c>
      <c r="AF68" t="s" s="57">
        <v>108</v>
      </c>
      <c r="AG68" s="61">
        <v>45733</v>
      </c>
      <c r="AH68" s="61">
        <v>45734</v>
      </c>
      <c r="AI68" s="61">
        <v>45734</v>
      </c>
      <c r="AJ68" s="61">
        <v>45734</v>
      </c>
      <c r="AK68" s="61">
        <v>45734</v>
      </c>
      <c r="AL68" s="61">
        <v>45734</v>
      </c>
      <c r="AM68" s="61">
        <v>45734</v>
      </c>
      <c r="AN68" t="s" s="57">
        <v>491</v>
      </c>
      <c r="AO68" s="61" cm="1">
        <f t="array" ref="AO68">AJ68</f>
        <v>45734</v>
      </c>
      <c r="AP68" t="s" s="57">
        <v>492</v>
      </c>
      <c r="AQ68" s="61" cm="1">
        <f t="array" ref="AQ68">AJ68</f>
        <v>45734</v>
      </c>
      <c r="AR68" t="s" s="57">
        <v>493</v>
      </c>
      <c r="AS68" s="61" cm="1">
        <f t="array" ref="AS68">AJ68</f>
        <v>45734</v>
      </c>
      <c r="AT68" t="s" s="62">
        <v>494</v>
      </c>
      <c r="AU68" s="61" cm="1">
        <f t="array" ref="AU68">AJ68</f>
        <v>45734</v>
      </c>
      <c r="AV68" s="51"/>
      <c r="AW68" t="str" s="63" cm="1">
        <f t="array" ref="AW68">"600/"&amp;$B68&amp;"/"&amp;IF(AND($AE68="Konsultansi",M68&lt;=100000000),"SPK",IF(AND($AE68="Konsultansi",M68&gt;100000000),"Kont",IF(AND($AE68&lt;&gt;"Konsultansi",M68&lt;=200000000),"SPK","Kont")))&amp;"-"&amp;AE68&amp;"/PPK/DPUPR"</f>
        <v>600/56720180/SPK-Konstruksi/PPK/DPUPR</v>
      </c>
      <c r="AX68" t="str" s="63" cm="1">
        <f t="array" ref="AX68">"600/"&amp;$B68&amp;"/SPMK/PPK/DPUPR"</f>
        <v>600/56720180/SPMK/PPK/DPUPR</v>
      </c>
      <c r="AY68" s="51"/>
      <c r="AZ68" s="51"/>
      <c r="BA68" s="51"/>
      <c r="BB68" s="51"/>
      <c r="BC68" s="51"/>
      <c r="BD68" s="51"/>
      <c r="BE68" s="51"/>
      <c r="BF68" s="51"/>
      <c r="BG68" s="64">
        <v>206</v>
      </c>
      <c r="BH68" t="s" s="57">
        <v>484</v>
      </c>
      <c r="BI68" t="s" s="57">
        <v>21</v>
      </c>
      <c r="BJ68" t="s" s="57">
        <v>22</v>
      </c>
      <c r="BK68" t="s" s="57">
        <v>23</v>
      </c>
      <c r="BL68" t="s" s="57">
        <v>24</v>
      </c>
      <c r="BM68" s="51"/>
      <c r="BN68" s="51"/>
      <c r="BO68" s="51"/>
      <c r="BP68" s="51"/>
      <c r="BQ68" s="51"/>
      <c r="BR68" t="b" s="60">
        <v>0</v>
      </c>
      <c r="BS68" s="54" cm="1">
        <f t="array" ref="BS68">IF(M68&lt;=0.8*K68,5%*K68,M68*5%)</f>
        <v>9981800</v>
      </c>
      <c r="BT68" t="s" s="57">
        <v>25</v>
      </c>
      <c r="BU68" s="51"/>
      <c r="BV68" s="54" cm="1">
        <f t="array" ref="BV68">J68-M68</f>
        <v>364000</v>
      </c>
    </row>
    <row r="69" ht="48.25" customHeight="1">
      <c r="A69" s="47"/>
      <c r="B69" s="48">
        <v>56726170</v>
      </c>
      <c r="C69" t="s" s="89">
        <v>497</v>
      </c>
      <c r="D69" t="s" s="76">
        <v>1</v>
      </c>
      <c r="E69" t="str" s="67" cm="1">
        <f t="array" ref="E69">$C69</f>
        <v>Peningkatan Jalan Gunungsari II </v>
      </c>
      <c r="F69" s="68"/>
      <c r="G69" s="67"/>
      <c r="H69" s="67"/>
      <c r="I69" s="67"/>
      <c r="J69" s="69">
        <v>200000000</v>
      </c>
      <c r="K69" s="77">
        <v>199892017.43</v>
      </c>
      <c r="L69" s="56">
        <v>199518808.46</v>
      </c>
      <c r="M69" s="69">
        <v>199518000</v>
      </c>
      <c r="N69" t="s" s="72">
        <v>484</v>
      </c>
      <c r="O69" t="s" s="78">
        <v>485</v>
      </c>
      <c r="P69" t="s" s="72">
        <v>4</v>
      </c>
      <c r="Q69" t="s" s="72">
        <v>486</v>
      </c>
      <c r="R69" t="s" s="72">
        <v>487</v>
      </c>
      <c r="S69" t="s" s="72">
        <v>488</v>
      </c>
      <c r="T69" s="71">
        <v>43873</v>
      </c>
      <c r="U69" t="s" s="72">
        <v>164</v>
      </c>
      <c r="V69" t="s" s="72">
        <v>489</v>
      </c>
      <c r="W69" t="s" s="72">
        <v>490</v>
      </c>
      <c r="X69" s="79">
        <v>90</v>
      </c>
      <c r="Y69" t="s" s="72">
        <v>10</v>
      </c>
      <c r="Z69" s="69" cm="1">
        <f t="array" ref="Z69">M69</f>
        <v>199518000</v>
      </c>
      <c r="AA69" t="s" s="72">
        <v>11</v>
      </c>
      <c r="AB69" s="71" cm="1">
        <f t="array" ref="AB69">AH69</f>
        <v>45734</v>
      </c>
      <c r="AC69" s="79">
        <v>180</v>
      </c>
      <c r="AD69" t="s" s="72">
        <v>106</v>
      </c>
      <c r="AE69" t="s" s="72">
        <v>107</v>
      </c>
      <c r="AF69" t="s" s="72">
        <v>108</v>
      </c>
      <c r="AG69" s="71">
        <v>45733</v>
      </c>
      <c r="AH69" s="71">
        <v>45734</v>
      </c>
      <c r="AI69" s="71">
        <v>45734</v>
      </c>
      <c r="AJ69" s="71">
        <v>45734</v>
      </c>
      <c r="AK69" s="71">
        <v>45734</v>
      </c>
      <c r="AL69" s="71">
        <v>45734</v>
      </c>
      <c r="AM69" s="71">
        <v>45734</v>
      </c>
      <c r="AN69" t="s" s="72">
        <v>499</v>
      </c>
      <c r="AO69" s="71" cm="1">
        <f t="array" ref="AO69">AJ69</f>
        <v>45734</v>
      </c>
      <c r="AP69" t="s" s="72">
        <v>500</v>
      </c>
      <c r="AQ69" s="71" cm="1">
        <f t="array" ref="AQ69">AJ69</f>
        <v>45734</v>
      </c>
      <c r="AR69" t="s" s="72">
        <v>501</v>
      </c>
      <c r="AS69" s="71" cm="1">
        <f t="array" ref="AS69">AJ69</f>
        <v>45734</v>
      </c>
      <c r="AT69" t="s" s="62">
        <v>502</v>
      </c>
      <c r="AU69" s="71" cm="1">
        <f t="array" ref="AU69">AJ69</f>
        <v>45734</v>
      </c>
      <c r="AV69" s="67"/>
      <c r="AW69" t="str" s="74" cm="1">
        <f t="array" ref="AW69">"600/"&amp;$B69&amp;"/"&amp;IF(AND($AE69="Konsultansi",M69&lt;=100000000),"SPK",IF(AND($AE69="Konsultansi",M69&gt;100000000),"Kont",IF(AND($AE69&lt;&gt;"Konsultansi",M69&lt;=200000000),"SPK","Kont")))&amp;"-"&amp;AE69&amp;"/PPK/DPUPR"</f>
        <v>600/56726170/SPK-Konstruksi/PPK/DPUPR</v>
      </c>
      <c r="AX69" t="str" s="74" cm="1">
        <f t="array" ref="AX69">"600/"&amp;$B69&amp;"/SPMK/PPK/DPUPR"</f>
        <v>600/56726170/SPMK/PPK/DPUPR</v>
      </c>
      <c r="AY69" s="67"/>
      <c r="AZ69" s="67"/>
      <c r="BA69" s="67"/>
      <c r="BB69" s="67"/>
      <c r="BC69" s="67"/>
      <c r="BD69" s="67"/>
      <c r="BE69" s="67"/>
      <c r="BF69" s="67"/>
      <c r="BG69" s="80">
        <v>206</v>
      </c>
      <c r="BH69" t="s" s="72">
        <v>484</v>
      </c>
      <c r="BI69" t="s" s="72">
        <v>21</v>
      </c>
      <c r="BJ69" t="s" s="72">
        <v>22</v>
      </c>
      <c r="BK69" t="s" s="72">
        <v>23</v>
      </c>
      <c r="BL69" t="s" s="72">
        <v>24</v>
      </c>
      <c r="BM69" s="67"/>
      <c r="BN69" s="67"/>
      <c r="BO69" s="67"/>
      <c r="BP69" s="67"/>
      <c r="BQ69" s="67"/>
      <c r="BR69" t="b" s="79">
        <v>0</v>
      </c>
      <c r="BS69" s="69" cm="1">
        <f t="array" ref="BS69">IF(M69&lt;=0.8*K69,5%*K69,M69*5%)</f>
        <v>9975900</v>
      </c>
      <c r="BT69" t="s" s="72">
        <v>25</v>
      </c>
      <c r="BU69" s="67"/>
      <c r="BV69" s="69" cm="1">
        <f t="array" ref="BV69">J69-M69</f>
        <v>482000</v>
      </c>
    </row>
    <row r="70" ht="48.25" customHeight="1">
      <c r="A70" s="47"/>
      <c r="B70" s="48">
        <v>56736140</v>
      </c>
      <c r="C70" t="s" s="89">
        <v>505</v>
      </c>
      <c r="D70" t="s" s="50">
        <v>1</v>
      </c>
      <c r="E70" t="str" s="51" cm="1">
        <f t="array" ref="E70">$C70</f>
        <v>Pemb. Jalan Kanantuo</v>
      </c>
      <c r="F70" s="52"/>
      <c r="G70" s="51"/>
      <c r="H70" s="51"/>
      <c r="I70" s="51"/>
      <c r="J70" s="54">
        <v>200000000</v>
      </c>
      <c r="K70" s="94">
        <v>199787511.6</v>
      </c>
      <c r="L70" s="56">
        <v>199393916.95</v>
      </c>
      <c r="M70" s="54">
        <v>199393000</v>
      </c>
      <c r="N70" t="s" s="57">
        <v>355</v>
      </c>
      <c r="O70" t="s" s="58">
        <v>356</v>
      </c>
      <c r="P70" t="s" s="57">
        <v>4</v>
      </c>
      <c r="Q70" t="s" s="57">
        <v>357</v>
      </c>
      <c r="R70" t="s" s="57">
        <v>358</v>
      </c>
      <c r="S70" s="60">
        <v>171</v>
      </c>
      <c r="T70" s="61">
        <v>45320</v>
      </c>
      <c r="U70" t="s" s="57">
        <v>359</v>
      </c>
      <c r="V70" t="s" s="57">
        <v>360</v>
      </c>
      <c r="W70" t="s" s="57">
        <v>361</v>
      </c>
      <c r="X70" s="60">
        <v>90</v>
      </c>
      <c r="Y70" t="s" s="57">
        <v>10</v>
      </c>
      <c r="Z70" s="54" cm="1">
        <f t="array" ref="Z70">M70</f>
        <v>199393000</v>
      </c>
      <c r="AA70" t="s" s="57">
        <v>11</v>
      </c>
      <c r="AB70" s="61" cm="1">
        <f t="array" ref="AB70">AH70</f>
        <v>45734</v>
      </c>
      <c r="AC70" s="60">
        <v>180</v>
      </c>
      <c r="AD70" t="s" s="57">
        <v>106</v>
      </c>
      <c r="AE70" t="s" s="57">
        <v>107</v>
      </c>
      <c r="AF70" t="s" s="57">
        <v>108</v>
      </c>
      <c r="AG70" s="61">
        <v>45733</v>
      </c>
      <c r="AH70" s="61">
        <v>45734</v>
      </c>
      <c r="AI70" s="61">
        <v>45734</v>
      </c>
      <c r="AJ70" s="61">
        <v>45734</v>
      </c>
      <c r="AK70" s="61">
        <v>45734</v>
      </c>
      <c r="AL70" s="61">
        <v>45734</v>
      </c>
      <c r="AM70" s="61">
        <v>45734</v>
      </c>
      <c r="AN70" t="s" s="57">
        <v>507</v>
      </c>
      <c r="AO70" s="61" cm="1">
        <f t="array" ref="AO70">AJ70</f>
        <v>45734</v>
      </c>
      <c r="AP70" t="s" s="57">
        <v>508</v>
      </c>
      <c r="AQ70" s="61" cm="1">
        <f t="array" ref="AQ70">AJ70</f>
        <v>45734</v>
      </c>
      <c r="AR70" t="s" s="57">
        <v>509</v>
      </c>
      <c r="AS70" s="61" cm="1">
        <f t="array" ref="AS70">AJ70</f>
        <v>45734</v>
      </c>
      <c r="AT70" t="s" s="62">
        <v>510</v>
      </c>
      <c r="AU70" s="61" cm="1">
        <f t="array" ref="AU70">AJ70</f>
        <v>45734</v>
      </c>
      <c r="AV70" s="51"/>
      <c r="AW70" t="str" s="63" cm="1">
        <f t="array" ref="AW70">"600/"&amp;$B70&amp;"/"&amp;IF(AND($AE70="Konsultansi",M70&lt;=100000000),"SPK",IF(AND($AE70="Konsultansi",M70&gt;100000000),"Kont",IF(AND($AE70&lt;&gt;"Konsultansi",M70&lt;=200000000),"SPK","Kont")))&amp;"-"&amp;AE70&amp;"/PPK/DPUPR"</f>
        <v>600/56736140/SPK-Konstruksi/PPK/DPUPR</v>
      </c>
      <c r="AX70" t="str" s="63" cm="1">
        <f t="array" ref="AX70">"600/"&amp;$B70&amp;"/SPMK/PPK/DPUPR"</f>
        <v>600/56736140/SPMK/PPK/DPUPR</v>
      </c>
      <c r="AY70" s="51"/>
      <c r="AZ70" s="51"/>
      <c r="BA70" s="51"/>
      <c r="BB70" s="51"/>
      <c r="BC70" s="51"/>
      <c r="BD70" s="51"/>
      <c r="BE70" s="51"/>
      <c r="BF70" s="51"/>
      <c r="BG70" s="64">
        <v>231</v>
      </c>
      <c r="BH70" t="s" s="57">
        <v>355</v>
      </c>
      <c r="BI70" t="s" s="57">
        <v>21</v>
      </c>
      <c r="BJ70" t="s" s="57">
        <v>22</v>
      </c>
      <c r="BK70" t="s" s="57">
        <v>23</v>
      </c>
      <c r="BL70" t="s" s="57">
        <v>24</v>
      </c>
      <c r="BM70" s="51"/>
      <c r="BN70" s="51"/>
      <c r="BO70" s="51"/>
      <c r="BP70" s="51"/>
      <c r="BQ70" s="51"/>
      <c r="BR70" t="b" s="60">
        <v>0</v>
      </c>
      <c r="BS70" s="54" cm="1">
        <f t="array" ref="BS70">IF(M70&lt;=0.8*K70,5%*K70,M70*5%)</f>
        <v>9969650</v>
      </c>
      <c r="BT70" t="s" s="57">
        <v>25</v>
      </c>
      <c r="BU70" s="51"/>
      <c r="BV70" s="54" cm="1">
        <f t="array" ref="BV70">J70-M70</f>
        <v>607000</v>
      </c>
    </row>
    <row r="71" ht="36.25" customHeight="1">
      <c r="A71" s="47"/>
      <c r="B71" s="48">
        <v>56830180</v>
      </c>
      <c r="C71" t="s" s="89">
        <v>513</v>
      </c>
      <c r="D71" t="s" s="76">
        <v>1</v>
      </c>
      <c r="E71" t="str" s="67" cm="1">
        <f t="array" ref="E71">$C71</f>
        <v>Peningkatan Jalan Muhijrah Desa Pakawa </v>
      </c>
      <c r="F71" s="68"/>
      <c r="G71" s="67"/>
      <c r="H71" s="67"/>
      <c r="I71" s="67"/>
      <c r="J71" s="69">
        <v>200000000</v>
      </c>
      <c r="K71" s="69">
        <v>199999000</v>
      </c>
      <c r="L71" s="56">
        <v>199666691.73</v>
      </c>
      <c r="M71" s="69">
        <v>199666000</v>
      </c>
      <c r="N71" t="s" s="72">
        <v>515</v>
      </c>
      <c r="O71" t="s" s="78">
        <v>516</v>
      </c>
      <c r="P71" t="s" s="72">
        <v>4</v>
      </c>
      <c r="Q71" t="s" s="72">
        <v>517</v>
      </c>
      <c r="R71" t="s" s="72">
        <v>518</v>
      </c>
      <c r="S71" t="s" s="72">
        <v>519</v>
      </c>
      <c r="T71" s="71">
        <v>44356</v>
      </c>
      <c r="U71" t="s" s="72">
        <v>149</v>
      </c>
      <c r="V71" t="s" s="72">
        <v>520</v>
      </c>
      <c r="W71" t="s" s="72">
        <v>521</v>
      </c>
      <c r="X71" s="79">
        <v>90</v>
      </c>
      <c r="Y71" t="s" s="72">
        <v>10</v>
      </c>
      <c r="Z71" s="69" cm="1">
        <f t="array" ref="Z71">M71</f>
        <v>199666000</v>
      </c>
      <c r="AA71" t="s" s="72">
        <v>11</v>
      </c>
      <c r="AB71" s="71" cm="1">
        <f t="array" ref="AB71">AH71</f>
        <v>45734</v>
      </c>
      <c r="AC71" s="79">
        <v>180</v>
      </c>
      <c r="AD71" t="s" s="72">
        <v>106</v>
      </c>
      <c r="AE71" t="s" s="72">
        <v>107</v>
      </c>
      <c r="AF71" t="s" s="72">
        <v>108</v>
      </c>
      <c r="AG71" s="71">
        <v>45733</v>
      </c>
      <c r="AH71" s="71">
        <v>45734</v>
      </c>
      <c r="AI71" s="71">
        <v>45734</v>
      </c>
      <c r="AJ71" s="71">
        <v>45734</v>
      </c>
      <c r="AK71" s="71">
        <v>45734</v>
      </c>
      <c r="AL71" s="71">
        <v>45734</v>
      </c>
      <c r="AM71" s="71">
        <v>45734</v>
      </c>
      <c r="AN71" t="s" s="72">
        <v>522</v>
      </c>
      <c r="AO71" s="71" cm="1">
        <f t="array" ref="AO71">AJ71</f>
        <v>45734</v>
      </c>
      <c r="AP71" t="s" s="72">
        <v>523</v>
      </c>
      <c r="AQ71" s="71" cm="1">
        <f t="array" ref="AQ71">AJ71</f>
        <v>45734</v>
      </c>
      <c r="AR71" t="s" s="72">
        <v>524</v>
      </c>
      <c r="AS71" s="71" cm="1">
        <f t="array" ref="AS71">AJ71</f>
        <v>45734</v>
      </c>
      <c r="AT71" t="s" s="62">
        <v>525</v>
      </c>
      <c r="AU71" s="71" cm="1">
        <f t="array" ref="AU71">AJ71</f>
        <v>45734</v>
      </c>
      <c r="AV71" s="67"/>
      <c r="AW71" t="str" s="74" cm="1">
        <f t="array" ref="AW71">"600/"&amp;$B71&amp;"/"&amp;IF(AND($AE71="Konsultansi",M71&lt;=100000000),"SPK",IF(AND($AE71="Konsultansi",M71&gt;100000000),"Kont",IF(AND($AE71&lt;&gt;"Konsultansi",M71&lt;=200000000),"SPK","Kont")))&amp;"-"&amp;AE71&amp;"/PPK/DPUPR"</f>
        <v>600/56830180/SPK-Konstruksi/PPK/DPUPR</v>
      </c>
      <c r="AX71" t="str" s="74" cm="1">
        <f t="array" ref="AX71">"600/"&amp;$B71&amp;"/SPMK/PPK/DPUPR"</f>
        <v>600/56830180/SPMK/PPK/DPUPR</v>
      </c>
      <c r="AY71" s="67"/>
      <c r="AZ71" s="67"/>
      <c r="BA71" s="67"/>
      <c r="BB71" s="67"/>
      <c r="BC71" s="67"/>
      <c r="BD71" s="67"/>
      <c r="BE71" s="67"/>
      <c r="BF71" s="67"/>
      <c r="BG71" s="80">
        <v>147</v>
      </c>
      <c r="BH71" t="s" s="72">
        <v>515</v>
      </c>
      <c r="BI71" t="s" s="72">
        <v>21</v>
      </c>
      <c r="BJ71" t="s" s="72">
        <v>22</v>
      </c>
      <c r="BK71" t="s" s="72">
        <v>23</v>
      </c>
      <c r="BL71" t="s" s="72">
        <v>24</v>
      </c>
      <c r="BM71" s="67"/>
      <c r="BN71" s="67"/>
      <c r="BO71" s="67"/>
      <c r="BP71" s="67"/>
      <c r="BQ71" s="67"/>
      <c r="BR71" t="b" s="79">
        <v>0</v>
      </c>
      <c r="BS71" s="69" cm="1">
        <f t="array" ref="BS71">IF(M71&lt;=0.8*K71,5%*K71,M71*5%)</f>
        <v>9983300</v>
      </c>
      <c r="BT71" t="s" s="72">
        <v>25</v>
      </c>
      <c r="BU71" s="67"/>
      <c r="BV71" s="69" cm="1">
        <f t="array" ref="BV71">J71-M71</f>
        <v>334000</v>
      </c>
    </row>
    <row r="72" ht="36.25" customHeight="1">
      <c r="A72" s="47"/>
      <c r="B72" s="48">
        <v>58426875</v>
      </c>
      <c r="C72" t="s" s="89">
        <v>528</v>
      </c>
      <c r="D72" t="s" s="50">
        <v>1</v>
      </c>
      <c r="E72" t="str" s="51" cm="1">
        <f t="array" ref="E72">$C72</f>
        <v>Penigkatan Jalan Balanti Agri </v>
      </c>
      <c r="F72" s="52"/>
      <c r="G72" s="51"/>
      <c r="H72" s="51"/>
      <c r="I72" s="51"/>
      <c r="J72" s="54">
        <v>200000000</v>
      </c>
      <c r="K72" s="54">
        <v>199969000</v>
      </c>
      <c r="L72" s="56">
        <v>199714818.51</v>
      </c>
      <c r="M72" s="54">
        <v>199714000</v>
      </c>
      <c r="N72" t="s" s="57">
        <v>530</v>
      </c>
      <c r="O72" t="s" s="58">
        <v>531</v>
      </c>
      <c r="P72" t="s" s="57">
        <v>4</v>
      </c>
      <c r="Q72" t="s" s="57">
        <v>532</v>
      </c>
      <c r="R72" t="s" s="57">
        <v>533</v>
      </c>
      <c r="S72" s="95">
        <v>43101</v>
      </c>
      <c r="T72" s="61">
        <v>43411</v>
      </c>
      <c r="U72" t="s" s="57">
        <v>149</v>
      </c>
      <c r="V72" t="s" s="57">
        <v>534</v>
      </c>
      <c r="W72" t="s" s="57">
        <v>535</v>
      </c>
      <c r="X72" s="60">
        <v>90</v>
      </c>
      <c r="Y72" t="s" s="57">
        <v>10</v>
      </c>
      <c r="Z72" s="54" cm="1">
        <f t="array" ref="Z72">M72</f>
        <v>199714000</v>
      </c>
      <c r="AA72" t="s" s="57">
        <v>11</v>
      </c>
      <c r="AB72" s="61" cm="1">
        <f t="array" ref="AB72">AH72</f>
        <v>45734</v>
      </c>
      <c r="AC72" s="60">
        <v>180</v>
      </c>
      <c r="AD72" t="s" s="57">
        <v>106</v>
      </c>
      <c r="AE72" t="s" s="57">
        <v>107</v>
      </c>
      <c r="AF72" t="s" s="57">
        <v>108</v>
      </c>
      <c r="AG72" s="61">
        <v>45733</v>
      </c>
      <c r="AH72" s="61">
        <v>45734</v>
      </c>
      <c r="AI72" s="61">
        <v>45734</v>
      </c>
      <c r="AJ72" s="61">
        <v>45734</v>
      </c>
      <c r="AK72" s="61">
        <v>45734</v>
      </c>
      <c r="AL72" s="61">
        <v>45734</v>
      </c>
      <c r="AM72" s="61">
        <v>45734</v>
      </c>
      <c r="AN72" t="s" s="57">
        <v>536</v>
      </c>
      <c r="AO72" s="61" cm="1">
        <f t="array" ref="AO72">AJ72</f>
        <v>45734</v>
      </c>
      <c r="AP72" t="s" s="57">
        <v>537</v>
      </c>
      <c r="AQ72" s="61" cm="1">
        <f t="array" ref="AQ72">AJ72</f>
        <v>45734</v>
      </c>
      <c r="AR72" t="s" s="57">
        <v>538</v>
      </c>
      <c r="AS72" s="61" cm="1">
        <f t="array" ref="AS72">AJ72</f>
        <v>45734</v>
      </c>
      <c r="AT72" t="s" s="62">
        <v>539</v>
      </c>
      <c r="AU72" s="61" cm="1">
        <f t="array" ref="AU72">AJ72</f>
        <v>45734</v>
      </c>
      <c r="AV72" s="51"/>
      <c r="AW72" t="str" s="63" cm="1">
        <f t="array" ref="AW72">"600/"&amp;$B72&amp;"/"&amp;IF(AND($AE72="Konsultansi",M72&lt;=100000000),"SPK",IF(AND($AE72="Konsultansi",M72&gt;100000000),"Kont",IF(AND($AE72&lt;&gt;"Konsultansi",M72&lt;=200000000),"SPK","Kont")))&amp;"-"&amp;AE72&amp;"/PPK/DPUPR"</f>
        <v>600/58426875/SPK-Konstruksi/PPK/DPUPR</v>
      </c>
      <c r="AX72" t="str" s="63" cm="1">
        <f t="array" ref="AX72">"600/"&amp;$B72&amp;"/SPMK/PPK/DPUPR"</f>
        <v>600/58426875/SPMK/PPK/DPUPR</v>
      </c>
      <c r="AY72" s="51"/>
      <c r="AZ72" s="51"/>
      <c r="BA72" s="51"/>
      <c r="BB72" s="51"/>
      <c r="BC72" s="51"/>
      <c r="BD72" s="51"/>
      <c r="BE72" s="51"/>
      <c r="BF72" s="51"/>
      <c r="BG72" s="64">
        <v>172</v>
      </c>
      <c r="BH72" t="s" s="57">
        <v>530</v>
      </c>
      <c r="BI72" t="s" s="57">
        <v>21</v>
      </c>
      <c r="BJ72" t="s" s="57">
        <v>22</v>
      </c>
      <c r="BK72" t="s" s="57">
        <v>23</v>
      </c>
      <c r="BL72" t="s" s="57">
        <v>24</v>
      </c>
      <c r="BM72" s="51"/>
      <c r="BN72" s="51"/>
      <c r="BO72" s="51"/>
      <c r="BP72" s="51"/>
      <c r="BQ72" s="51"/>
      <c r="BR72" t="b" s="60">
        <v>0</v>
      </c>
      <c r="BS72" s="54" cm="1">
        <f t="array" ref="BS72">IF(M72&lt;=0.8*K72,5%*K72,M72*5%)</f>
        <v>9985700</v>
      </c>
      <c r="BT72" t="s" s="57">
        <v>25</v>
      </c>
      <c r="BU72" s="51"/>
      <c r="BV72" s="54" cm="1">
        <f t="array" ref="BV72">J72-M72</f>
        <v>286000</v>
      </c>
    </row>
    <row r="73" ht="36.25" customHeight="1">
      <c r="A73" s="47"/>
      <c r="B73" s="48">
        <v>58432539</v>
      </c>
      <c r="C73" t="s" s="89">
        <v>542</v>
      </c>
      <c r="D73" t="s" s="76">
        <v>280</v>
      </c>
      <c r="E73" t="str" s="67" cm="1">
        <f t="array" ref="E73">$C73</f>
        <v>Pemb. Box Culvert Dsn Silaja </v>
      </c>
      <c r="F73" s="68"/>
      <c r="G73" s="67"/>
      <c r="H73" s="67"/>
      <c r="I73" s="67"/>
      <c r="J73" s="69">
        <v>200000000</v>
      </c>
      <c r="K73" s="77">
        <v>199619994.82</v>
      </c>
      <c r="L73" s="56">
        <v>199302020</v>
      </c>
      <c r="M73" s="69">
        <v>199302000</v>
      </c>
      <c r="N73" t="s" s="72">
        <v>515</v>
      </c>
      <c r="O73" t="s" s="78">
        <v>516</v>
      </c>
      <c r="P73" t="s" s="72">
        <v>4</v>
      </c>
      <c r="Q73" t="s" s="72">
        <v>517</v>
      </c>
      <c r="R73" t="s" s="72">
        <v>518</v>
      </c>
      <c r="S73" t="s" s="72">
        <v>519</v>
      </c>
      <c r="T73" s="71">
        <v>44356</v>
      </c>
      <c r="U73" t="s" s="72">
        <v>149</v>
      </c>
      <c r="V73" t="s" s="72">
        <v>520</v>
      </c>
      <c r="W73" t="s" s="72">
        <v>521</v>
      </c>
      <c r="X73" s="79">
        <v>90</v>
      </c>
      <c r="Y73" t="s" s="72">
        <v>10</v>
      </c>
      <c r="Z73" s="69" cm="1">
        <f t="array" ref="Z73">M73</f>
        <v>199302000</v>
      </c>
      <c r="AA73" t="s" s="72">
        <v>11</v>
      </c>
      <c r="AB73" s="71" cm="1">
        <f t="array" ref="AB73">AH73</f>
        <v>45734</v>
      </c>
      <c r="AC73" s="79">
        <v>180</v>
      </c>
      <c r="AD73" t="s" s="72">
        <v>106</v>
      </c>
      <c r="AE73" t="s" s="72">
        <v>107</v>
      </c>
      <c r="AF73" t="s" s="72">
        <v>399</v>
      </c>
      <c r="AG73" s="71">
        <v>45733</v>
      </c>
      <c r="AH73" s="71">
        <v>45734</v>
      </c>
      <c r="AI73" s="71">
        <v>45734</v>
      </c>
      <c r="AJ73" s="71">
        <v>45734</v>
      </c>
      <c r="AK73" s="71">
        <v>45734</v>
      </c>
      <c r="AL73" s="71">
        <v>45734</v>
      </c>
      <c r="AM73" s="71">
        <v>45734</v>
      </c>
      <c r="AN73" t="s" s="72">
        <v>544</v>
      </c>
      <c r="AO73" s="71" cm="1">
        <f t="array" ref="AO73">AJ73</f>
        <v>45734</v>
      </c>
      <c r="AP73" t="s" s="72">
        <v>545</v>
      </c>
      <c r="AQ73" s="71" cm="1">
        <f t="array" ref="AQ73">AJ73</f>
        <v>45734</v>
      </c>
      <c r="AR73" t="s" s="72">
        <v>546</v>
      </c>
      <c r="AS73" s="71" cm="1">
        <f t="array" ref="AS73">AJ73</f>
        <v>45734</v>
      </c>
      <c r="AT73" t="s" s="62">
        <v>547</v>
      </c>
      <c r="AU73" s="71" cm="1">
        <f t="array" ref="AU73">AJ73</f>
        <v>45734</v>
      </c>
      <c r="AV73" s="67"/>
      <c r="AW73" t="str" s="74" cm="1">
        <f t="array" ref="AW73">"600/"&amp;$B73&amp;"/"&amp;IF(AND($AE73="Konsultansi",M73&lt;=100000000),"SPK",IF(AND($AE73="Konsultansi",M73&gt;100000000),"Kont",IF(AND($AE73&lt;&gt;"Konsultansi",M73&lt;=200000000),"SPK","Kont")))&amp;"-"&amp;AE73&amp;"/PPK/DPUPR"</f>
        <v>600/58432539/SPK-Konstruksi/PPK/DPUPR</v>
      </c>
      <c r="AX73" t="str" s="74" cm="1">
        <f t="array" ref="AX73">"600/"&amp;$B73&amp;"/SPMK/PPK/DPUPR"</f>
        <v>600/58432539/SPMK/PPK/DPUPR</v>
      </c>
      <c r="AY73" s="67"/>
      <c r="AZ73" s="67"/>
      <c r="BA73" s="67"/>
      <c r="BB73" s="67"/>
      <c r="BC73" s="67"/>
      <c r="BD73" s="67"/>
      <c r="BE73" s="67"/>
      <c r="BF73" s="67"/>
      <c r="BG73" s="80">
        <v>147</v>
      </c>
      <c r="BH73" t="s" s="72">
        <v>515</v>
      </c>
      <c r="BI73" t="s" s="72">
        <v>21</v>
      </c>
      <c r="BJ73" t="s" s="72">
        <v>22</v>
      </c>
      <c r="BK73" t="s" s="72">
        <v>23</v>
      </c>
      <c r="BL73" t="s" s="72">
        <v>24</v>
      </c>
      <c r="BM73" s="67"/>
      <c r="BN73" s="67"/>
      <c r="BO73" s="67"/>
      <c r="BP73" s="67"/>
      <c r="BQ73" s="67"/>
      <c r="BR73" t="b" s="79">
        <v>0</v>
      </c>
      <c r="BS73" s="69" cm="1">
        <f t="array" ref="BS73">IF(M73&lt;=0.8*K73,5%*K73,M73*5%)</f>
        <v>9965100</v>
      </c>
      <c r="BT73" t="s" s="72">
        <v>288</v>
      </c>
      <c r="BU73" s="67"/>
      <c r="BV73" s="69" cm="1">
        <f t="array" ref="BV73">J73-M73</f>
        <v>698000</v>
      </c>
    </row>
    <row r="74" ht="48.25" customHeight="1">
      <c r="A74" s="47"/>
      <c r="B74" s="48">
        <v>58426938</v>
      </c>
      <c r="C74" t="s" s="89">
        <v>550</v>
      </c>
      <c r="D74" t="s" s="50">
        <v>1</v>
      </c>
      <c r="E74" t="str" s="51" cm="1">
        <f t="array" ref="E74">$C74</f>
        <v>Pemb. Jalan Teranja Ds Ako </v>
      </c>
      <c r="F74" s="52"/>
      <c r="G74" s="51"/>
      <c r="H74" s="51"/>
      <c r="I74" s="51"/>
      <c r="J74" s="54">
        <v>200000000</v>
      </c>
      <c r="K74" s="54">
        <v>199779000</v>
      </c>
      <c r="L74" s="56">
        <v>199383198.39</v>
      </c>
      <c r="M74" s="54">
        <v>199383000</v>
      </c>
      <c r="N74" t="s" s="57">
        <v>355</v>
      </c>
      <c r="O74" t="s" s="58">
        <v>356</v>
      </c>
      <c r="P74" t="s" s="57">
        <v>4</v>
      </c>
      <c r="Q74" t="s" s="57">
        <v>357</v>
      </c>
      <c r="R74" t="s" s="57">
        <v>358</v>
      </c>
      <c r="S74" s="60">
        <v>171</v>
      </c>
      <c r="T74" s="61">
        <v>45320</v>
      </c>
      <c r="U74" t="s" s="57">
        <v>359</v>
      </c>
      <c r="V74" t="s" s="57">
        <v>360</v>
      </c>
      <c r="W74" t="s" s="57">
        <v>361</v>
      </c>
      <c r="X74" s="60">
        <v>90</v>
      </c>
      <c r="Y74" t="s" s="57">
        <v>10</v>
      </c>
      <c r="Z74" s="54" cm="1">
        <f t="array" ref="Z74">M74</f>
        <v>199383000</v>
      </c>
      <c r="AA74" t="s" s="57">
        <v>11</v>
      </c>
      <c r="AB74" s="61" cm="1">
        <f t="array" ref="AB74">AH74</f>
        <v>45734</v>
      </c>
      <c r="AC74" s="60">
        <v>180</v>
      </c>
      <c r="AD74" t="s" s="57">
        <v>106</v>
      </c>
      <c r="AE74" t="s" s="57">
        <v>107</v>
      </c>
      <c r="AF74" t="s" s="57">
        <v>108</v>
      </c>
      <c r="AG74" s="61">
        <v>45733</v>
      </c>
      <c r="AH74" s="61">
        <v>45734</v>
      </c>
      <c r="AI74" s="61">
        <v>45734</v>
      </c>
      <c r="AJ74" s="61">
        <v>45734</v>
      </c>
      <c r="AK74" s="61">
        <v>45734</v>
      </c>
      <c r="AL74" s="61">
        <v>45734</v>
      </c>
      <c r="AM74" s="61">
        <v>45734</v>
      </c>
      <c r="AN74" t="s" s="57">
        <v>552</v>
      </c>
      <c r="AO74" s="61" cm="1">
        <f t="array" ref="AO74">AJ74</f>
        <v>45734</v>
      </c>
      <c r="AP74" t="s" s="57">
        <v>553</v>
      </c>
      <c r="AQ74" s="61" cm="1">
        <f t="array" ref="AQ74">AJ74</f>
        <v>45734</v>
      </c>
      <c r="AR74" t="s" s="57">
        <v>554</v>
      </c>
      <c r="AS74" s="61" cm="1">
        <f t="array" ref="AS74">AJ74</f>
        <v>45734</v>
      </c>
      <c r="AT74" t="s" s="62">
        <v>555</v>
      </c>
      <c r="AU74" s="61" cm="1">
        <f t="array" ref="AU74">AJ74</f>
        <v>45734</v>
      </c>
      <c r="AV74" s="51"/>
      <c r="AW74" t="str" s="63" cm="1">
        <f t="array" ref="AW74">"600/"&amp;$B74&amp;"/"&amp;IF(AND($AE74="Konsultansi",M74&lt;=100000000),"SPK",IF(AND($AE74="Konsultansi",M74&gt;100000000),"Kont",IF(AND($AE74&lt;&gt;"Konsultansi",M74&lt;=200000000),"SPK","Kont")))&amp;"-"&amp;AE74&amp;"/PPK/DPUPR"</f>
        <v>600/58426938/SPK-Konstruksi/PPK/DPUPR</v>
      </c>
      <c r="AX74" t="str" s="63" cm="1">
        <f t="array" ref="AX74">"600/"&amp;$B74&amp;"/SPMK/PPK/DPUPR"</f>
        <v>600/58426938/SPMK/PPK/DPUPR</v>
      </c>
      <c r="AY74" s="51"/>
      <c r="AZ74" s="51"/>
      <c r="BA74" s="51"/>
      <c r="BB74" s="51"/>
      <c r="BC74" s="51"/>
      <c r="BD74" s="51"/>
      <c r="BE74" s="51"/>
      <c r="BF74" s="51"/>
      <c r="BG74" s="64">
        <v>231</v>
      </c>
      <c r="BH74" t="s" s="57">
        <v>355</v>
      </c>
      <c r="BI74" t="s" s="57">
        <v>21</v>
      </c>
      <c r="BJ74" t="s" s="57">
        <v>22</v>
      </c>
      <c r="BK74" t="s" s="57">
        <v>23</v>
      </c>
      <c r="BL74" t="s" s="57">
        <v>24</v>
      </c>
      <c r="BM74" s="51"/>
      <c r="BN74" s="51"/>
      <c r="BO74" s="51"/>
      <c r="BP74" s="51"/>
      <c r="BQ74" s="51"/>
      <c r="BR74" t="b" s="60">
        <v>0</v>
      </c>
      <c r="BS74" s="54" cm="1">
        <f t="array" ref="BS74">IF(M74&lt;=0.8*K74,5%*K74,M74*5%)</f>
        <v>9969150</v>
      </c>
      <c r="BT74" t="s" s="57">
        <v>25</v>
      </c>
      <c r="BU74" s="51"/>
      <c r="BV74" s="54" cm="1">
        <f t="array" ref="BV74">J74-M74</f>
        <v>617000</v>
      </c>
    </row>
    <row r="75" ht="36.25" customHeight="1">
      <c r="A75" s="47"/>
      <c r="B75" s="48">
        <v>58427415</v>
      </c>
      <c r="C75" t="s" s="89">
        <v>558</v>
      </c>
      <c r="D75" t="s" s="76">
        <v>1</v>
      </c>
      <c r="E75" t="str" s="67" cm="1">
        <f t="array" ref="E75">$C75</f>
        <v>Peningkatan Jalan Bambaira </v>
      </c>
      <c r="F75" s="68"/>
      <c r="G75" s="67"/>
      <c r="H75" s="67"/>
      <c r="I75" s="67"/>
      <c r="J75" s="69">
        <v>100000000</v>
      </c>
      <c r="K75" s="69">
        <v>99900000</v>
      </c>
      <c r="L75" s="56">
        <v>99609223.95</v>
      </c>
      <c r="M75" s="69">
        <v>99609000</v>
      </c>
      <c r="N75" t="s" s="72">
        <v>515</v>
      </c>
      <c r="O75" t="s" s="78">
        <v>516</v>
      </c>
      <c r="P75" t="s" s="72">
        <v>4</v>
      </c>
      <c r="Q75" t="s" s="72">
        <v>517</v>
      </c>
      <c r="R75" t="s" s="72">
        <v>518</v>
      </c>
      <c r="S75" t="s" s="72">
        <v>519</v>
      </c>
      <c r="T75" s="71">
        <v>44356</v>
      </c>
      <c r="U75" t="s" s="72">
        <v>149</v>
      </c>
      <c r="V75" t="s" s="72">
        <v>520</v>
      </c>
      <c r="W75" t="s" s="72">
        <v>521</v>
      </c>
      <c r="X75" s="79">
        <v>90</v>
      </c>
      <c r="Y75" t="s" s="72">
        <v>10</v>
      </c>
      <c r="Z75" s="69" cm="1">
        <f t="array" ref="Z75">M75</f>
        <v>99609000</v>
      </c>
      <c r="AA75" t="s" s="72">
        <v>11</v>
      </c>
      <c r="AB75" s="71" cm="1">
        <f t="array" ref="AB75">AH75</f>
        <v>45734</v>
      </c>
      <c r="AC75" s="79">
        <v>180</v>
      </c>
      <c r="AD75" t="s" s="72">
        <v>106</v>
      </c>
      <c r="AE75" t="s" s="72">
        <v>107</v>
      </c>
      <c r="AF75" t="s" s="72">
        <v>108</v>
      </c>
      <c r="AG75" s="71">
        <v>45733</v>
      </c>
      <c r="AH75" s="71">
        <v>45734</v>
      </c>
      <c r="AI75" s="71">
        <v>45734</v>
      </c>
      <c r="AJ75" s="71">
        <v>45734</v>
      </c>
      <c r="AK75" s="71">
        <v>45734</v>
      </c>
      <c r="AL75" s="71">
        <v>45734</v>
      </c>
      <c r="AM75" s="71">
        <v>45734</v>
      </c>
      <c r="AN75" t="s" s="72">
        <v>560</v>
      </c>
      <c r="AO75" s="71" cm="1">
        <f t="array" ref="AO75">AJ75</f>
        <v>45734</v>
      </c>
      <c r="AP75" t="s" s="72">
        <v>561</v>
      </c>
      <c r="AQ75" s="71" cm="1">
        <f t="array" ref="AQ75">AJ75</f>
        <v>45734</v>
      </c>
      <c r="AR75" t="s" s="72">
        <v>562</v>
      </c>
      <c r="AS75" s="71" cm="1">
        <f t="array" ref="AS75">AJ75</f>
        <v>45734</v>
      </c>
      <c r="AT75" t="s" s="62">
        <v>563</v>
      </c>
      <c r="AU75" s="71" cm="1">
        <f t="array" ref="AU75">AJ75</f>
        <v>45734</v>
      </c>
      <c r="AV75" s="67"/>
      <c r="AW75" t="str" s="74" cm="1">
        <f t="array" ref="AW75">"600/"&amp;$B75&amp;"/"&amp;IF(AND($AE75="Konsultansi",M75&lt;=100000000),"SPK",IF(AND($AE75="Konsultansi",M75&gt;100000000),"Kont",IF(AND($AE75&lt;&gt;"Konsultansi",M75&lt;=200000000),"SPK","Kont")))&amp;"-"&amp;AE75&amp;"/PPK/DPUPR"</f>
        <v>600/58427415/SPK-Konstruksi/PPK/DPUPR</v>
      </c>
      <c r="AX75" t="str" s="74" cm="1">
        <f t="array" ref="AX75">"600/"&amp;$B75&amp;"/SPMK/PPK/DPUPR"</f>
        <v>600/58427415/SPMK/PPK/DPUPR</v>
      </c>
      <c r="AY75" s="67"/>
      <c r="AZ75" s="67"/>
      <c r="BA75" s="67"/>
      <c r="BB75" s="67"/>
      <c r="BC75" s="67"/>
      <c r="BD75" s="67"/>
      <c r="BE75" s="67"/>
      <c r="BF75" s="67"/>
      <c r="BG75" s="80">
        <v>147</v>
      </c>
      <c r="BH75" t="s" s="72">
        <v>515</v>
      </c>
      <c r="BI75" t="s" s="72">
        <v>21</v>
      </c>
      <c r="BJ75" t="s" s="72">
        <v>22</v>
      </c>
      <c r="BK75" t="s" s="72">
        <v>23</v>
      </c>
      <c r="BL75" t="s" s="72">
        <v>24</v>
      </c>
      <c r="BM75" s="67"/>
      <c r="BN75" s="67"/>
      <c r="BO75" s="67"/>
      <c r="BP75" s="67"/>
      <c r="BQ75" s="67"/>
      <c r="BR75" t="b" s="79">
        <v>0</v>
      </c>
      <c r="BS75" s="69" cm="1">
        <f t="array" ref="BS75">IF(M75&lt;=0.8*K75,5%*K75,M75*5%)</f>
        <v>4980450</v>
      </c>
      <c r="BT75" t="s" s="72">
        <v>25</v>
      </c>
      <c r="BU75" s="67"/>
      <c r="BV75" s="69" cm="1">
        <f t="array" ref="BV75">J75-M75</f>
        <v>391000</v>
      </c>
    </row>
    <row r="76" ht="36.25" customHeight="1">
      <c r="A76" s="47"/>
      <c r="B76" s="48">
        <v>58427515</v>
      </c>
      <c r="C76" t="s" s="89">
        <v>566</v>
      </c>
      <c r="D76" t="s" s="50">
        <v>1</v>
      </c>
      <c r="E76" t="str" s="51" cm="1">
        <f t="array" ref="E76">$C76</f>
        <v>Peningkatan Jalan Teranggi </v>
      </c>
      <c r="F76" s="52"/>
      <c r="G76" s="51"/>
      <c r="H76" s="51"/>
      <c r="I76" s="51"/>
      <c r="J76" s="54">
        <v>200000000</v>
      </c>
      <c r="K76" s="54">
        <v>198962000</v>
      </c>
      <c r="L76" s="56">
        <v>198442699.93</v>
      </c>
      <c r="M76" s="54">
        <v>198442000</v>
      </c>
      <c r="N76" t="s" s="57">
        <v>530</v>
      </c>
      <c r="O76" t="s" s="58">
        <v>531</v>
      </c>
      <c r="P76" t="s" s="57">
        <v>4</v>
      </c>
      <c r="Q76" t="s" s="57">
        <v>532</v>
      </c>
      <c r="R76" t="s" s="57">
        <v>533</v>
      </c>
      <c r="S76" s="95">
        <v>43101</v>
      </c>
      <c r="T76" s="61">
        <v>43411</v>
      </c>
      <c r="U76" t="s" s="57">
        <v>149</v>
      </c>
      <c r="V76" t="s" s="57">
        <v>534</v>
      </c>
      <c r="W76" t="s" s="57">
        <v>535</v>
      </c>
      <c r="X76" s="60">
        <v>90</v>
      </c>
      <c r="Y76" t="s" s="57">
        <v>10</v>
      </c>
      <c r="Z76" s="54" cm="1">
        <f t="array" ref="Z76">M76</f>
        <v>198442000</v>
      </c>
      <c r="AA76" t="s" s="57">
        <v>11</v>
      </c>
      <c r="AB76" s="61" cm="1">
        <f t="array" ref="AB76">AH76</f>
        <v>45734</v>
      </c>
      <c r="AC76" s="60">
        <v>180</v>
      </c>
      <c r="AD76" t="s" s="57">
        <v>106</v>
      </c>
      <c r="AE76" t="s" s="57">
        <v>107</v>
      </c>
      <c r="AF76" t="s" s="57">
        <v>108</v>
      </c>
      <c r="AG76" s="61">
        <v>45733</v>
      </c>
      <c r="AH76" s="61">
        <v>45734</v>
      </c>
      <c r="AI76" s="61">
        <v>45734</v>
      </c>
      <c r="AJ76" s="61">
        <v>45734</v>
      </c>
      <c r="AK76" s="61">
        <v>45734</v>
      </c>
      <c r="AL76" s="61">
        <v>45734</v>
      </c>
      <c r="AM76" s="61">
        <v>45734</v>
      </c>
      <c r="AN76" t="s" s="57">
        <v>568</v>
      </c>
      <c r="AO76" s="61" cm="1">
        <f t="array" ref="AO76">AJ76</f>
        <v>45734</v>
      </c>
      <c r="AP76" t="s" s="57">
        <v>569</v>
      </c>
      <c r="AQ76" s="61" cm="1">
        <f t="array" ref="AQ76">AJ76</f>
        <v>45734</v>
      </c>
      <c r="AR76" t="s" s="57">
        <v>570</v>
      </c>
      <c r="AS76" s="61" cm="1">
        <f t="array" ref="AS76">AJ76</f>
        <v>45734</v>
      </c>
      <c r="AT76" t="s" s="62">
        <v>571</v>
      </c>
      <c r="AU76" s="61" cm="1">
        <f t="array" ref="AU76">AJ76</f>
        <v>45734</v>
      </c>
      <c r="AV76" s="51"/>
      <c r="AW76" t="str" s="63" cm="1">
        <f t="array" ref="AW76">"600/"&amp;$B76&amp;"/"&amp;IF(AND($AE76="Konsultansi",M76&lt;=100000000),"SPK",IF(AND($AE76="Konsultansi",M76&gt;100000000),"Kont",IF(AND($AE76&lt;&gt;"Konsultansi",M76&lt;=200000000),"SPK","Kont")))&amp;"-"&amp;AE76&amp;"/PPK/DPUPR"</f>
        <v>600/58427515/SPK-Konstruksi/PPK/DPUPR</v>
      </c>
      <c r="AX76" t="str" s="63" cm="1">
        <f t="array" ref="AX76">"600/"&amp;$B76&amp;"/SPMK/PPK/DPUPR"</f>
        <v>600/58427515/SPMK/PPK/DPUPR</v>
      </c>
      <c r="AY76" s="51"/>
      <c r="AZ76" s="51"/>
      <c r="BA76" s="51"/>
      <c r="BB76" s="51"/>
      <c r="BC76" s="51"/>
      <c r="BD76" s="51"/>
      <c r="BE76" s="51"/>
      <c r="BF76" s="51"/>
      <c r="BG76" s="64">
        <v>172</v>
      </c>
      <c r="BH76" t="s" s="57">
        <v>530</v>
      </c>
      <c r="BI76" t="s" s="57">
        <v>21</v>
      </c>
      <c r="BJ76" t="s" s="57">
        <v>22</v>
      </c>
      <c r="BK76" t="s" s="57">
        <v>23</v>
      </c>
      <c r="BL76" t="s" s="57">
        <v>24</v>
      </c>
      <c r="BM76" s="51"/>
      <c r="BN76" s="51"/>
      <c r="BO76" s="51"/>
      <c r="BP76" s="51"/>
      <c r="BQ76" s="51"/>
      <c r="BR76" t="b" s="60">
        <v>0</v>
      </c>
      <c r="BS76" s="54" cm="1">
        <f t="array" ref="BS76">IF(M76&lt;=0.8*K76,5%*K76,M76*5%)</f>
        <v>9922100</v>
      </c>
      <c r="BT76" t="s" s="57">
        <v>25</v>
      </c>
      <c r="BU76" s="51"/>
      <c r="BV76" s="54" cm="1">
        <f t="array" ref="BV76">J76-M76</f>
        <v>1558000</v>
      </c>
    </row>
    <row r="77" ht="48.25" customHeight="1">
      <c r="A77" s="47"/>
      <c r="B77" s="48">
        <v>58427544</v>
      </c>
      <c r="C77" t="s" s="89">
        <v>574</v>
      </c>
      <c r="D77" t="s" s="76">
        <v>1</v>
      </c>
      <c r="E77" t="str" s="67" cm="1">
        <f t="array" ref="E77">$C77</f>
        <v>Peningkatan Jalan Bambaira I</v>
      </c>
      <c r="F77" s="68"/>
      <c r="G77" s="67"/>
      <c r="H77" s="67"/>
      <c r="I77" s="67"/>
      <c r="J77" s="69">
        <v>200000000</v>
      </c>
      <c r="K77" s="69">
        <v>199527000</v>
      </c>
      <c r="L77" s="56">
        <v>199099456.73</v>
      </c>
      <c r="M77" s="69">
        <v>199099000</v>
      </c>
      <c r="N77" t="s" s="72">
        <v>355</v>
      </c>
      <c r="O77" t="s" s="78">
        <v>356</v>
      </c>
      <c r="P77" t="s" s="72">
        <v>4</v>
      </c>
      <c r="Q77" t="s" s="72">
        <v>357</v>
      </c>
      <c r="R77" t="s" s="72">
        <v>358</v>
      </c>
      <c r="S77" s="79">
        <v>171</v>
      </c>
      <c r="T77" s="71">
        <v>45320</v>
      </c>
      <c r="U77" t="s" s="72">
        <v>359</v>
      </c>
      <c r="V77" t="s" s="72">
        <v>360</v>
      </c>
      <c r="W77" t="s" s="72">
        <v>361</v>
      </c>
      <c r="X77" s="79">
        <v>90</v>
      </c>
      <c r="Y77" t="s" s="72">
        <v>10</v>
      </c>
      <c r="Z77" s="69" cm="1">
        <f t="array" ref="Z77">M77</f>
        <v>199099000</v>
      </c>
      <c r="AA77" t="s" s="72">
        <v>11</v>
      </c>
      <c r="AB77" s="71" cm="1">
        <f t="array" ref="AB77">AH77</f>
        <v>45734</v>
      </c>
      <c r="AC77" s="79">
        <v>180</v>
      </c>
      <c r="AD77" t="s" s="72">
        <v>106</v>
      </c>
      <c r="AE77" t="s" s="72">
        <v>107</v>
      </c>
      <c r="AF77" t="s" s="72">
        <v>108</v>
      </c>
      <c r="AG77" s="71">
        <v>45733</v>
      </c>
      <c r="AH77" s="71">
        <v>45734</v>
      </c>
      <c r="AI77" s="71">
        <v>45734</v>
      </c>
      <c r="AJ77" s="71">
        <v>45734</v>
      </c>
      <c r="AK77" s="71">
        <v>45734</v>
      </c>
      <c r="AL77" s="71">
        <v>45734</v>
      </c>
      <c r="AM77" s="71">
        <v>45734</v>
      </c>
      <c r="AN77" t="s" s="72">
        <v>576</v>
      </c>
      <c r="AO77" s="71" cm="1">
        <f t="array" ref="AO77">AJ77</f>
        <v>45734</v>
      </c>
      <c r="AP77" t="s" s="72">
        <v>577</v>
      </c>
      <c r="AQ77" s="71" cm="1">
        <f t="array" ref="AQ77">AJ77</f>
        <v>45734</v>
      </c>
      <c r="AR77" t="s" s="72">
        <v>578</v>
      </c>
      <c r="AS77" s="71" cm="1">
        <f t="array" ref="AS77">AJ77</f>
        <v>45734</v>
      </c>
      <c r="AT77" t="s" s="62">
        <v>579</v>
      </c>
      <c r="AU77" s="71" cm="1">
        <f t="array" ref="AU77">AJ77</f>
        <v>45734</v>
      </c>
      <c r="AV77" s="67"/>
      <c r="AW77" t="str" s="74" cm="1">
        <f t="array" ref="AW77">"600/"&amp;$B77&amp;"/"&amp;IF(AND($AE77="Konsultansi",M77&lt;=100000000),"SPK",IF(AND($AE77="Konsultansi",M77&gt;100000000),"Kont",IF(AND($AE77&lt;&gt;"Konsultansi",M77&lt;=200000000),"SPK","Kont")))&amp;"-"&amp;AE77&amp;"/PPK/DPUPR"</f>
        <v>600/58427544/SPK-Konstruksi/PPK/DPUPR</v>
      </c>
      <c r="AX77" t="str" s="74" cm="1">
        <f t="array" ref="AX77">"600/"&amp;$B77&amp;"/SPMK/PPK/DPUPR"</f>
        <v>600/58427544/SPMK/PPK/DPUPR</v>
      </c>
      <c r="AY77" s="67"/>
      <c r="AZ77" s="67"/>
      <c r="BA77" s="67"/>
      <c r="BB77" s="67"/>
      <c r="BC77" s="67"/>
      <c r="BD77" s="67"/>
      <c r="BE77" s="67"/>
      <c r="BF77" s="67"/>
      <c r="BG77" s="80">
        <v>231</v>
      </c>
      <c r="BH77" t="s" s="72">
        <v>355</v>
      </c>
      <c r="BI77" t="s" s="72">
        <v>21</v>
      </c>
      <c r="BJ77" t="s" s="72">
        <v>22</v>
      </c>
      <c r="BK77" t="s" s="72">
        <v>23</v>
      </c>
      <c r="BL77" t="s" s="72">
        <v>24</v>
      </c>
      <c r="BM77" s="67"/>
      <c r="BN77" s="67"/>
      <c r="BO77" s="67"/>
      <c r="BP77" s="67"/>
      <c r="BQ77" s="67"/>
      <c r="BR77" t="b" s="79">
        <v>0</v>
      </c>
      <c r="BS77" s="69" cm="1">
        <f t="array" ref="BS77">IF(M77&lt;=0.8*K77,5%*K77,M77*5%)</f>
        <v>9954950</v>
      </c>
      <c r="BT77" t="s" s="72">
        <v>25</v>
      </c>
      <c r="BU77" s="67"/>
      <c r="BV77" s="69" cm="1">
        <f t="array" ref="BV77">J77-M77</f>
        <v>901000</v>
      </c>
    </row>
    <row r="78" ht="36.25" customHeight="1">
      <c r="A78" s="47"/>
      <c r="B78" s="48">
        <v>58427572</v>
      </c>
      <c r="C78" t="s" s="89">
        <v>582</v>
      </c>
      <c r="D78" t="s" s="50">
        <v>1</v>
      </c>
      <c r="E78" t="str" s="51" cm="1">
        <f t="array" ref="E78">$C78</f>
        <v>Pemb./Peningkatan Jalan Dusun Bambatunu Desa Kalukunangka </v>
      </c>
      <c r="F78" s="52"/>
      <c r="G78" s="51"/>
      <c r="H78" s="51"/>
      <c r="I78" s="51"/>
      <c r="J78" s="54">
        <v>200000000</v>
      </c>
      <c r="K78" s="54">
        <v>199999000</v>
      </c>
      <c r="L78" s="56">
        <v>199102498.52</v>
      </c>
      <c r="M78" s="54">
        <v>199102000</v>
      </c>
      <c r="N78" t="s" s="57">
        <v>530</v>
      </c>
      <c r="O78" t="s" s="58">
        <v>531</v>
      </c>
      <c r="P78" t="s" s="57">
        <v>4</v>
      </c>
      <c r="Q78" t="s" s="57">
        <v>532</v>
      </c>
      <c r="R78" t="s" s="57">
        <v>533</v>
      </c>
      <c r="S78" s="95">
        <v>43101</v>
      </c>
      <c r="T78" s="61">
        <v>43411</v>
      </c>
      <c r="U78" t="s" s="57">
        <v>149</v>
      </c>
      <c r="V78" t="s" s="57">
        <v>534</v>
      </c>
      <c r="W78" t="s" s="57">
        <v>535</v>
      </c>
      <c r="X78" s="60">
        <v>90</v>
      </c>
      <c r="Y78" t="s" s="57">
        <v>10</v>
      </c>
      <c r="Z78" s="54" cm="1">
        <f t="array" ref="Z78">M78</f>
        <v>199102000</v>
      </c>
      <c r="AA78" t="s" s="57">
        <v>11</v>
      </c>
      <c r="AB78" s="61" cm="1">
        <f t="array" ref="AB78">AH78</f>
        <v>45734</v>
      </c>
      <c r="AC78" s="60">
        <v>180</v>
      </c>
      <c r="AD78" t="s" s="57">
        <v>106</v>
      </c>
      <c r="AE78" t="s" s="57">
        <v>107</v>
      </c>
      <c r="AF78" t="s" s="57">
        <v>108</v>
      </c>
      <c r="AG78" s="61">
        <v>45733</v>
      </c>
      <c r="AH78" s="61">
        <v>45734</v>
      </c>
      <c r="AI78" s="61">
        <v>45734</v>
      </c>
      <c r="AJ78" s="61">
        <v>45734</v>
      </c>
      <c r="AK78" s="61">
        <v>45734</v>
      </c>
      <c r="AL78" s="61">
        <v>45734</v>
      </c>
      <c r="AM78" s="61">
        <v>45734</v>
      </c>
      <c r="AN78" t="s" s="57">
        <v>584</v>
      </c>
      <c r="AO78" s="61" cm="1">
        <f t="array" ref="AO78">AJ78</f>
        <v>45734</v>
      </c>
      <c r="AP78" t="s" s="57">
        <v>585</v>
      </c>
      <c r="AQ78" s="61" cm="1">
        <f t="array" ref="AQ78">AJ78</f>
        <v>45734</v>
      </c>
      <c r="AR78" t="s" s="57">
        <v>586</v>
      </c>
      <c r="AS78" s="61" cm="1">
        <f t="array" ref="AS78">AJ78</f>
        <v>45734</v>
      </c>
      <c r="AT78" t="s" s="62">
        <v>587</v>
      </c>
      <c r="AU78" s="61" cm="1">
        <f t="array" ref="AU78">AJ78</f>
        <v>45734</v>
      </c>
      <c r="AV78" s="51"/>
      <c r="AW78" t="str" s="63" cm="1">
        <f t="array" ref="AW78">"600/"&amp;$B78&amp;"/"&amp;IF(AND($AE78="Konsultansi",M78&lt;=100000000),"SPK",IF(AND($AE78="Konsultansi",M78&gt;100000000),"Kont",IF(AND($AE78&lt;&gt;"Konsultansi",M78&lt;=200000000),"SPK","Kont")))&amp;"-"&amp;AE78&amp;"/PPK/DPUPR"</f>
        <v>600/58427572/SPK-Konstruksi/PPK/DPUPR</v>
      </c>
      <c r="AX78" t="str" s="63" cm="1">
        <f t="array" ref="AX78">"600/"&amp;$B78&amp;"/SPMK/PPK/DPUPR"</f>
        <v>600/58427572/SPMK/PPK/DPUPR</v>
      </c>
      <c r="AY78" s="51"/>
      <c r="AZ78" s="51"/>
      <c r="BA78" s="51"/>
      <c r="BB78" s="51"/>
      <c r="BC78" s="51"/>
      <c r="BD78" s="51"/>
      <c r="BE78" s="51"/>
      <c r="BF78" s="51"/>
      <c r="BG78" s="64">
        <v>172</v>
      </c>
      <c r="BH78" t="s" s="57">
        <v>530</v>
      </c>
      <c r="BI78" t="s" s="57">
        <v>21</v>
      </c>
      <c r="BJ78" t="s" s="57">
        <v>22</v>
      </c>
      <c r="BK78" t="s" s="57">
        <v>23</v>
      </c>
      <c r="BL78" t="s" s="57">
        <v>24</v>
      </c>
      <c r="BM78" s="51"/>
      <c r="BN78" s="51"/>
      <c r="BO78" s="51"/>
      <c r="BP78" s="51"/>
      <c r="BQ78" s="51"/>
      <c r="BR78" t="b" s="60">
        <v>0</v>
      </c>
      <c r="BS78" s="54" cm="1">
        <f t="array" ref="BS78">IF(M78&lt;=0.8*K78,5%*K78,M78*5%)</f>
        <v>9955100</v>
      </c>
      <c r="BT78" t="s" s="57">
        <v>25</v>
      </c>
      <c r="BU78" s="51"/>
      <c r="BV78" s="54" cm="1">
        <f t="array" ref="BV78">J78-M78</f>
        <v>898000</v>
      </c>
    </row>
    <row r="79" ht="36.25" customHeight="1">
      <c r="A79" s="47"/>
      <c r="B79" s="48">
        <v>58427606</v>
      </c>
      <c r="C79" t="s" s="89">
        <v>590</v>
      </c>
      <c r="D79" t="s" s="76">
        <v>1</v>
      </c>
      <c r="E79" t="str" s="67" cm="1">
        <f t="array" ref="E79">$C79</f>
        <v>Pemb./Peningkatan Jalan Dusun Harapan</v>
      </c>
      <c r="F79" s="68"/>
      <c r="G79" s="67"/>
      <c r="H79" s="67"/>
      <c r="I79" s="67"/>
      <c r="J79" s="69">
        <v>200000000</v>
      </c>
      <c r="K79" s="69">
        <v>200000000</v>
      </c>
      <c r="L79" s="56">
        <v>199590803.06</v>
      </c>
      <c r="M79" s="69">
        <v>199590000</v>
      </c>
      <c r="N79" t="s" s="72">
        <v>530</v>
      </c>
      <c r="O79" t="s" s="78">
        <v>531</v>
      </c>
      <c r="P79" t="s" s="72">
        <v>4</v>
      </c>
      <c r="Q79" t="s" s="72">
        <v>532</v>
      </c>
      <c r="R79" t="s" s="72">
        <v>533</v>
      </c>
      <c r="S79" s="96">
        <v>43101</v>
      </c>
      <c r="T79" s="71">
        <v>43411</v>
      </c>
      <c r="U79" t="s" s="72">
        <v>149</v>
      </c>
      <c r="V79" t="s" s="72">
        <v>534</v>
      </c>
      <c r="W79" t="s" s="72">
        <v>535</v>
      </c>
      <c r="X79" s="79">
        <v>90</v>
      </c>
      <c r="Y79" t="s" s="72">
        <v>10</v>
      </c>
      <c r="Z79" s="69" cm="1">
        <f t="array" ref="Z79">M79</f>
        <v>199590000</v>
      </c>
      <c r="AA79" t="s" s="72">
        <v>11</v>
      </c>
      <c r="AB79" s="71" cm="1">
        <f t="array" ref="AB79">AH79</f>
        <v>45734</v>
      </c>
      <c r="AC79" s="79">
        <v>180</v>
      </c>
      <c r="AD79" t="s" s="72">
        <v>106</v>
      </c>
      <c r="AE79" t="s" s="72">
        <v>107</v>
      </c>
      <c r="AF79" t="s" s="72">
        <v>108</v>
      </c>
      <c r="AG79" s="71">
        <v>45733</v>
      </c>
      <c r="AH79" s="71">
        <v>45734</v>
      </c>
      <c r="AI79" s="71">
        <v>45734</v>
      </c>
      <c r="AJ79" s="71">
        <v>45734</v>
      </c>
      <c r="AK79" s="71">
        <v>45734</v>
      </c>
      <c r="AL79" s="71">
        <v>45734</v>
      </c>
      <c r="AM79" s="71">
        <v>45734</v>
      </c>
      <c r="AN79" t="s" s="72">
        <v>592</v>
      </c>
      <c r="AO79" s="71" cm="1">
        <f t="array" ref="AO79">AJ79</f>
        <v>45734</v>
      </c>
      <c r="AP79" t="s" s="72">
        <v>593</v>
      </c>
      <c r="AQ79" s="71" cm="1">
        <f t="array" ref="AQ79">AJ79</f>
        <v>45734</v>
      </c>
      <c r="AR79" t="s" s="72">
        <v>594</v>
      </c>
      <c r="AS79" s="71" cm="1">
        <f t="array" ref="AS79">AJ79</f>
        <v>45734</v>
      </c>
      <c r="AT79" t="s" s="62">
        <v>595</v>
      </c>
      <c r="AU79" s="71" cm="1">
        <f t="array" ref="AU79">AJ79</f>
        <v>45734</v>
      </c>
      <c r="AV79" s="67"/>
      <c r="AW79" t="str" s="74" cm="1">
        <f t="array" ref="AW79">"600/"&amp;$B79&amp;"/"&amp;IF(AND($AE79="Konsultansi",M79&lt;=100000000),"SPK",IF(AND($AE79="Konsultansi",M79&gt;100000000),"Kont",IF(AND($AE79&lt;&gt;"Konsultansi",M79&lt;=200000000),"SPK","Kont")))&amp;"-"&amp;AE79&amp;"/PPK/DPUPR"</f>
        <v>600/58427606/SPK-Konstruksi/PPK/DPUPR</v>
      </c>
      <c r="AX79" t="str" s="74" cm="1">
        <f t="array" ref="AX79">"600/"&amp;$B79&amp;"/SPMK/PPK/DPUPR"</f>
        <v>600/58427606/SPMK/PPK/DPUPR</v>
      </c>
      <c r="AY79" s="67"/>
      <c r="AZ79" s="67"/>
      <c r="BA79" s="67"/>
      <c r="BB79" s="67"/>
      <c r="BC79" s="67"/>
      <c r="BD79" s="67"/>
      <c r="BE79" s="67"/>
      <c r="BF79" s="67"/>
      <c r="BG79" s="80">
        <v>172</v>
      </c>
      <c r="BH79" t="s" s="72">
        <v>530</v>
      </c>
      <c r="BI79" t="s" s="72">
        <v>21</v>
      </c>
      <c r="BJ79" t="s" s="72">
        <v>22</v>
      </c>
      <c r="BK79" t="s" s="72">
        <v>23</v>
      </c>
      <c r="BL79" t="s" s="72">
        <v>24</v>
      </c>
      <c r="BM79" s="67"/>
      <c r="BN79" s="67"/>
      <c r="BO79" s="67"/>
      <c r="BP79" s="67"/>
      <c r="BQ79" s="67"/>
      <c r="BR79" t="b" s="79">
        <v>0</v>
      </c>
      <c r="BS79" s="69" cm="1">
        <f t="array" ref="BS79">IF(M79&lt;=0.8*K79,5%*K79,M79*5%)</f>
        <v>9979500</v>
      </c>
      <c r="BT79" t="s" s="72">
        <v>25</v>
      </c>
      <c r="BU79" s="67"/>
      <c r="BV79" s="69" cm="1">
        <f t="array" ref="BV79">J79-M79</f>
        <v>410000</v>
      </c>
    </row>
    <row r="80" ht="36.25" customHeight="1">
      <c r="A80" s="47"/>
      <c r="B80" s="48">
        <v>58427675</v>
      </c>
      <c r="C80" t="s" s="89">
        <v>598</v>
      </c>
      <c r="D80" t="s" s="50">
        <v>1</v>
      </c>
      <c r="E80" t="str" s="51" cm="1">
        <f t="array" ref="E80">$C80</f>
        <v>Pemb./Peningkatan Jalan Bambamone I </v>
      </c>
      <c r="F80" s="52"/>
      <c r="G80" s="51"/>
      <c r="H80" s="51"/>
      <c r="I80" s="51"/>
      <c r="J80" s="54">
        <v>200000000</v>
      </c>
      <c r="K80" s="54">
        <v>199295000</v>
      </c>
      <c r="L80" s="56">
        <v>199130220.48</v>
      </c>
      <c r="M80" s="54">
        <v>199130000</v>
      </c>
      <c r="N80" t="s" s="57">
        <v>530</v>
      </c>
      <c r="O80" t="s" s="58">
        <v>531</v>
      </c>
      <c r="P80" t="s" s="57">
        <v>4</v>
      </c>
      <c r="Q80" t="s" s="57">
        <v>532</v>
      </c>
      <c r="R80" t="s" s="57">
        <v>533</v>
      </c>
      <c r="S80" s="95">
        <v>43101</v>
      </c>
      <c r="T80" s="61">
        <v>43411</v>
      </c>
      <c r="U80" t="s" s="57">
        <v>149</v>
      </c>
      <c r="V80" t="s" s="57">
        <v>534</v>
      </c>
      <c r="W80" t="s" s="57">
        <v>535</v>
      </c>
      <c r="X80" s="60">
        <v>90</v>
      </c>
      <c r="Y80" t="s" s="57">
        <v>10</v>
      </c>
      <c r="Z80" s="54" cm="1">
        <f t="array" ref="Z80">M80</f>
        <v>199130000</v>
      </c>
      <c r="AA80" t="s" s="57">
        <v>11</v>
      </c>
      <c r="AB80" s="61" cm="1">
        <f t="array" ref="AB80">AH80</f>
        <v>45734</v>
      </c>
      <c r="AC80" s="60">
        <v>180</v>
      </c>
      <c r="AD80" t="s" s="57">
        <v>106</v>
      </c>
      <c r="AE80" t="s" s="57">
        <v>107</v>
      </c>
      <c r="AF80" t="s" s="57">
        <v>108</v>
      </c>
      <c r="AG80" s="61">
        <v>45733</v>
      </c>
      <c r="AH80" s="61">
        <v>45734</v>
      </c>
      <c r="AI80" s="61">
        <v>45734</v>
      </c>
      <c r="AJ80" s="61">
        <v>45734</v>
      </c>
      <c r="AK80" s="61">
        <v>45734</v>
      </c>
      <c r="AL80" s="61">
        <v>45734</v>
      </c>
      <c r="AM80" s="61">
        <v>45734</v>
      </c>
      <c r="AN80" t="s" s="57">
        <v>600</v>
      </c>
      <c r="AO80" s="61" cm="1">
        <f t="array" ref="AO80">AJ80</f>
        <v>45734</v>
      </c>
      <c r="AP80" t="s" s="57">
        <v>601</v>
      </c>
      <c r="AQ80" s="61" cm="1">
        <f t="array" ref="AQ80">AJ80</f>
        <v>45734</v>
      </c>
      <c r="AR80" t="s" s="57">
        <v>602</v>
      </c>
      <c r="AS80" s="61" cm="1">
        <f t="array" ref="AS80">AJ80</f>
        <v>45734</v>
      </c>
      <c r="AT80" t="s" s="62">
        <v>603</v>
      </c>
      <c r="AU80" s="61" cm="1">
        <f t="array" ref="AU80">AJ80</f>
        <v>45734</v>
      </c>
      <c r="AV80" s="51"/>
      <c r="AW80" t="str" s="63" cm="1">
        <f t="array" ref="AW80">"600/"&amp;$B80&amp;"/"&amp;IF(AND($AE80="Konsultansi",M80&lt;=100000000),"SPK",IF(AND($AE80="Konsultansi",M80&gt;100000000),"Kont",IF(AND($AE80&lt;&gt;"Konsultansi",M80&lt;=200000000),"SPK","Kont")))&amp;"-"&amp;AE80&amp;"/PPK/DPUPR"</f>
        <v>600/58427675/SPK-Konstruksi/PPK/DPUPR</v>
      </c>
      <c r="AX80" t="str" s="63" cm="1">
        <f t="array" ref="AX80">"600/"&amp;$B80&amp;"/SPMK/PPK/DPUPR"</f>
        <v>600/58427675/SPMK/PPK/DPUPR</v>
      </c>
      <c r="AY80" s="51"/>
      <c r="AZ80" s="51"/>
      <c r="BA80" s="51"/>
      <c r="BB80" s="51"/>
      <c r="BC80" s="51"/>
      <c r="BD80" s="51"/>
      <c r="BE80" s="51"/>
      <c r="BF80" s="51"/>
      <c r="BG80" s="64">
        <v>172</v>
      </c>
      <c r="BH80" t="s" s="57">
        <v>530</v>
      </c>
      <c r="BI80" t="s" s="57">
        <v>21</v>
      </c>
      <c r="BJ80" t="s" s="57">
        <v>22</v>
      </c>
      <c r="BK80" t="s" s="57">
        <v>23</v>
      </c>
      <c r="BL80" t="s" s="57">
        <v>24</v>
      </c>
      <c r="BM80" s="51"/>
      <c r="BN80" s="51"/>
      <c r="BO80" s="51"/>
      <c r="BP80" s="51"/>
      <c r="BQ80" s="51"/>
      <c r="BR80" t="b" s="60">
        <v>0</v>
      </c>
      <c r="BS80" s="54" cm="1">
        <f t="array" ref="BS80">IF(M80&lt;=0.8*K80,5%*K80,M80*5%)</f>
        <v>9956500</v>
      </c>
      <c r="BT80" t="s" s="57">
        <v>25</v>
      </c>
      <c r="BU80" s="51"/>
      <c r="BV80" s="54" cm="1">
        <f t="array" ref="BV80">J80-M80</f>
        <v>870000</v>
      </c>
    </row>
    <row r="81" ht="36.25" customHeight="1">
      <c r="A81" s="47"/>
      <c r="B81" s="48">
        <v>58429903</v>
      </c>
      <c r="C81" t="s" s="89">
        <v>606</v>
      </c>
      <c r="D81" t="s" s="76">
        <v>1</v>
      </c>
      <c r="E81" t="str" s="67" cm="1">
        <f t="array" ref="E81">$C81</f>
        <v>Peningkatan Jalan Bambamone II</v>
      </c>
      <c r="F81" s="68"/>
      <c r="G81" s="67"/>
      <c r="H81" s="67"/>
      <c r="I81" s="67"/>
      <c r="J81" s="69">
        <v>200000000</v>
      </c>
      <c r="K81" s="69">
        <v>199745000</v>
      </c>
      <c r="L81" s="56">
        <v>199660061.46</v>
      </c>
      <c r="M81" s="69">
        <v>199660000</v>
      </c>
      <c r="N81" t="s" s="72">
        <v>608</v>
      </c>
      <c r="O81" t="s" s="78">
        <v>609</v>
      </c>
      <c r="P81" t="s" s="72">
        <v>4</v>
      </c>
      <c r="Q81" t="s" s="72">
        <v>610</v>
      </c>
      <c r="R81" t="s" s="72">
        <v>611</v>
      </c>
      <c r="S81" s="79">
        <v>189</v>
      </c>
      <c r="T81" s="71">
        <v>45322</v>
      </c>
      <c r="U81" t="s" s="72">
        <v>612</v>
      </c>
      <c r="V81" t="s" s="72">
        <v>613</v>
      </c>
      <c r="W81" t="s" s="72">
        <v>614</v>
      </c>
      <c r="X81" s="79">
        <v>90</v>
      </c>
      <c r="Y81" t="s" s="72">
        <v>10</v>
      </c>
      <c r="Z81" s="69" cm="1">
        <f t="array" ref="Z81">M81</f>
        <v>199660000</v>
      </c>
      <c r="AA81" t="s" s="72">
        <v>11</v>
      </c>
      <c r="AB81" s="71" cm="1">
        <f t="array" ref="AB81">AH81</f>
        <v>45734</v>
      </c>
      <c r="AC81" s="79">
        <v>180</v>
      </c>
      <c r="AD81" t="s" s="72">
        <v>106</v>
      </c>
      <c r="AE81" t="s" s="72">
        <v>107</v>
      </c>
      <c r="AF81" t="s" s="72">
        <v>108</v>
      </c>
      <c r="AG81" s="71">
        <v>45733</v>
      </c>
      <c r="AH81" s="71">
        <v>45734</v>
      </c>
      <c r="AI81" s="71">
        <v>45734</v>
      </c>
      <c r="AJ81" s="71">
        <v>45734</v>
      </c>
      <c r="AK81" s="71">
        <v>45734</v>
      </c>
      <c r="AL81" s="71">
        <v>45734</v>
      </c>
      <c r="AM81" s="71">
        <v>45734</v>
      </c>
      <c r="AN81" t="s" s="72">
        <v>615</v>
      </c>
      <c r="AO81" s="71" cm="1">
        <f t="array" ref="AO81">AJ81</f>
        <v>45734</v>
      </c>
      <c r="AP81" t="s" s="72">
        <v>616</v>
      </c>
      <c r="AQ81" s="71" cm="1">
        <f t="array" ref="AQ81">AJ81</f>
        <v>45734</v>
      </c>
      <c r="AR81" t="s" s="72">
        <v>617</v>
      </c>
      <c r="AS81" s="71" cm="1">
        <f t="array" ref="AS81">AJ81</f>
        <v>45734</v>
      </c>
      <c r="AT81" t="s" s="62">
        <v>618</v>
      </c>
      <c r="AU81" s="71" cm="1">
        <f t="array" ref="AU81">AJ81</f>
        <v>45734</v>
      </c>
      <c r="AV81" s="67"/>
      <c r="AW81" t="str" s="74" cm="1">
        <f t="array" ref="AW81">"600/"&amp;$B81&amp;"/"&amp;IF(AND($AE81="Konsultansi",M81&lt;=100000000),"SPK",IF(AND($AE81="Konsultansi",M81&gt;100000000),"Kont",IF(AND($AE81&lt;&gt;"Konsultansi",M81&lt;=200000000),"SPK","Kont")))&amp;"-"&amp;AE81&amp;"/PPK/DPUPR"</f>
        <v>600/58429903/SPK-Konstruksi/PPK/DPUPR</v>
      </c>
      <c r="AX81" t="str" s="74" cm="1">
        <f t="array" ref="AX81">"600/"&amp;$B81&amp;"/SPMK/PPK/DPUPR"</f>
        <v>600/58429903/SPMK/PPK/DPUPR</v>
      </c>
      <c r="AY81" s="67"/>
      <c r="AZ81" s="67"/>
      <c r="BA81" s="67"/>
      <c r="BB81" s="67"/>
      <c r="BC81" s="67"/>
      <c r="BD81" s="67"/>
      <c r="BE81" s="67"/>
      <c r="BF81" s="67"/>
      <c r="BG81" s="80">
        <v>229</v>
      </c>
      <c r="BH81" t="s" s="72">
        <v>608</v>
      </c>
      <c r="BI81" t="s" s="72">
        <v>21</v>
      </c>
      <c r="BJ81" t="s" s="72">
        <v>22</v>
      </c>
      <c r="BK81" t="s" s="72">
        <v>23</v>
      </c>
      <c r="BL81" t="s" s="72">
        <v>24</v>
      </c>
      <c r="BM81" s="67"/>
      <c r="BN81" s="67"/>
      <c r="BO81" s="67"/>
      <c r="BP81" s="67"/>
      <c r="BQ81" s="67"/>
      <c r="BR81" t="b" s="79">
        <v>0</v>
      </c>
      <c r="BS81" s="69" cm="1">
        <f t="array" ref="BS81">IF(M81&lt;=0.8*K81,5%*K81,M81*5%)</f>
        <v>9983000</v>
      </c>
      <c r="BT81" t="s" s="72">
        <v>25</v>
      </c>
      <c r="BU81" s="67"/>
      <c r="BV81" s="69" cm="1">
        <f t="array" ref="BV81">J81-M81</f>
        <v>340000</v>
      </c>
    </row>
    <row r="82" ht="48.25" customHeight="1">
      <c r="A82" s="47"/>
      <c r="B82" s="48">
        <v>58429955</v>
      </c>
      <c r="C82" t="s" s="89">
        <v>621</v>
      </c>
      <c r="D82" t="s" s="50">
        <v>1</v>
      </c>
      <c r="E82" t="str" s="51" cm="1">
        <f t="array" ref="E82">$C82</f>
        <v>Pemb. Dsn Purnama Baru Ds Kalola </v>
      </c>
      <c r="F82" s="52"/>
      <c r="G82" s="51"/>
      <c r="H82" s="51"/>
      <c r="I82" s="51"/>
      <c r="J82" s="54">
        <v>200000000</v>
      </c>
      <c r="K82" s="54">
        <v>199799000</v>
      </c>
      <c r="L82" s="56">
        <v>199290207.24</v>
      </c>
      <c r="M82" s="54">
        <v>199290000</v>
      </c>
      <c r="N82" t="s" s="57">
        <v>355</v>
      </c>
      <c r="O82" t="s" s="58">
        <v>356</v>
      </c>
      <c r="P82" t="s" s="57">
        <v>4</v>
      </c>
      <c r="Q82" t="s" s="57">
        <v>357</v>
      </c>
      <c r="R82" t="s" s="57">
        <v>358</v>
      </c>
      <c r="S82" s="60">
        <v>171</v>
      </c>
      <c r="T82" s="61">
        <v>45320</v>
      </c>
      <c r="U82" t="s" s="57">
        <v>359</v>
      </c>
      <c r="V82" t="s" s="57">
        <v>360</v>
      </c>
      <c r="W82" t="s" s="57">
        <v>361</v>
      </c>
      <c r="X82" s="60">
        <v>90</v>
      </c>
      <c r="Y82" t="s" s="57">
        <v>10</v>
      </c>
      <c r="Z82" s="54" cm="1">
        <f t="array" ref="Z82">M82</f>
        <v>199290000</v>
      </c>
      <c r="AA82" t="s" s="57">
        <v>11</v>
      </c>
      <c r="AB82" s="61" cm="1">
        <f t="array" ref="AB82">AH82</f>
        <v>45734</v>
      </c>
      <c r="AC82" s="60">
        <v>180</v>
      </c>
      <c r="AD82" t="s" s="57">
        <v>106</v>
      </c>
      <c r="AE82" t="s" s="57">
        <v>107</v>
      </c>
      <c r="AF82" t="s" s="57">
        <v>108</v>
      </c>
      <c r="AG82" s="61">
        <v>45733</v>
      </c>
      <c r="AH82" s="61">
        <v>45734</v>
      </c>
      <c r="AI82" s="61">
        <v>45734</v>
      </c>
      <c r="AJ82" s="61">
        <v>45734</v>
      </c>
      <c r="AK82" s="61">
        <v>45734</v>
      </c>
      <c r="AL82" s="61">
        <v>45734</v>
      </c>
      <c r="AM82" s="61">
        <v>45734</v>
      </c>
      <c r="AN82" t="s" s="57">
        <v>623</v>
      </c>
      <c r="AO82" s="61" cm="1">
        <f t="array" ref="AO82">AJ82</f>
        <v>45734</v>
      </c>
      <c r="AP82" t="s" s="57">
        <v>624</v>
      </c>
      <c r="AQ82" s="61" cm="1">
        <f t="array" ref="AQ82">AJ82</f>
        <v>45734</v>
      </c>
      <c r="AR82" t="s" s="57">
        <v>625</v>
      </c>
      <c r="AS82" s="61" cm="1">
        <f t="array" ref="AS82">AJ82</f>
        <v>45734</v>
      </c>
      <c r="AT82" t="s" s="62">
        <v>626</v>
      </c>
      <c r="AU82" s="61" cm="1">
        <f t="array" ref="AU82">AJ82</f>
        <v>45734</v>
      </c>
      <c r="AV82" s="51"/>
      <c r="AW82" t="str" s="63" cm="1">
        <f t="array" ref="AW82">"600/"&amp;$B82&amp;"/"&amp;IF(AND($AE82="Konsultansi",M82&lt;=100000000),"SPK",IF(AND($AE82="Konsultansi",M82&gt;100000000),"Kont",IF(AND($AE82&lt;&gt;"Konsultansi",M82&lt;=200000000),"SPK","Kont")))&amp;"-"&amp;AE82&amp;"/PPK/DPUPR"</f>
        <v>600/58429955/SPK-Konstruksi/PPK/DPUPR</v>
      </c>
      <c r="AX82" t="str" s="63" cm="1">
        <f t="array" ref="AX82">"600/"&amp;$B82&amp;"/SPMK/PPK/DPUPR"</f>
        <v>600/58429955/SPMK/PPK/DPUPR</v>
      </c>
      <c r="AY82" s="51"/>
      <c r="AZ82" s="51"/>
      <c r="BA82" s="51"/>
      <c r="BB82" s="51"/>
      <c r="BC82" s="51"/>
      <c r="BD82" s="51"/>
      <c r="BE82" s="51"/>
      <c r="BF82" s="51"/>
      <c r="BG82" s="64">
        <v>231</v>
      </c>
      <c r="BH82" t="s" s="57">
        <v>355</v>
      </c>
      <c r="BI82" t="s" s="57">
        <v>21</v>
      </c>
      <c r="BJ82" t="s" s="57">
        <v>22</v>
      </c>
      <c r="BK82" t="s" s="57">
        <v>23</v>
      </c>
      <c r="BL82" t="s" s="57">
        <v>24</v>
      </c>
      <c r="BM82" s="51"/>
      <c r="BN82" s="51"/>
      <c r="BO82" s="51"/>
      <c r="BP82" s="51"/>
      <c r="BQ82" s="51"/>
      <c r="BR82" t="b" s="60">
        <v>0</v>
      </c>
      <c r="BS82" s="54" cm="1">
        <f t="array" ref="BS82">IF(M82&lt;=0.8*K82,5%*K82,M82*5%)</f>
        <v>9964500</v>
      </c>
      <c r="BT82" t="s" s="57">
        <v>25</v>
      </c>
      <c r="BU82" s="51"/>
      <c r="BV82" s="54" cm="1">
        <f t="array" ref="BV82">J82-M82</f>
        <v>710000</v>
      </c>
    </row>
    <row r="83" ht="48.25" customHeight="1">
      <c r="A83" s="47"/>
      <c r="B83" s="48">
        <v>58430016</v>
      </c>
      <c r="C83" t="s" s="89">
        <v>629</v>
      </c>
      <c r="D83" t="s" s="76">
        <v>1</v>
      </c>
      <c r="E83" t="str" s="67" cm="1">
        <f t="array" ref="E83">$C83</f>
        <v>Pemb. Jalan Ds Benggaulu Kanan Tuo </v>
      </c>
      <c r="F83" s="68"/>
      <c r="G83" s="67"/>
      <c r="H83" s="67"/>
      <c r="I83" s="67"/>
      <c r="J83" s="69">
        <v>200000000</v>
      </c>
      <c r="K83" s="77">
        <v>199872711.01</v>
      </c>
      <c r="L83" s="56">
        <v>199343532.13</v>
      </c>
      <c r="M83" s="69">
        <v>199343000</v>
      </c>
      <c r="N83" t="s" s="72">
        <v>355</v>
      </c>
      <c r="O83" t="s" s="78">
        <v>356</v>
      </c>
      <c r="P83" t="s" s="72">
        <v>4</v>
      </c>
      <c r="Q83" t="s" s="72">
        <v>357</v>
      </c>
      <c r="R83" t="s" s="72">
        <v>358</v>
      </c>
      <c r="S83" s="79">
        <v>171</v>
      </c>
      <c r="T83" s="71">
        <v>45320</v>
      </c>
      <c r="U83" t="s" s="72">
        <v>359</v>
      </c>
      <c r="V83" t="s" s="72">
        <v>360</v>
      </c>
      <c r="W83" t="s" s="72">
        <v>361</v>
      </c>
      <c r="X83" s="79">
        <v>90</v>
      </c>
      <c r="Y83" t="s" s="72">
        <v>10</v>
      </c>
      <c r="Z83" s="69" cm="1">
        <f t="array" ref="Z83">M83</f>
        <v>199343000</v>
      </c>
      <c r="AA83" t="s" s="72">
        <v>11</v>
      </c>
      <c r="AB83" s="71" cm="1">
        <f t="array" ref="AB83">AH83</f>
        <v>45734</v>
      </c>
      <c r="AC83" s="79">
        <v>180</v>
      </c>
      <c r="AD83" t="s" s="72">
        <v>106</v>
      </c>
      <c r="AE83" t="s" s="72">
        <v>107</v>
      </c>
      <c r="AF83" t="s" s="72">
        <v>108</v>
      </c>
      <c r="AG83" s="71">
        <v>45733</v>
      </c>
      <c r="AH83" s="71">
        <v>45734</v>
      </c>
      <c r="AI83" s="71">
        <v>45734</v>
      </c>
      <c r="AJ83" s="71">
        <v>45734</v>
      </c>
      <c r="AK83" s="71">
        <v>45734</v>
      </c>
      <c r="AL83" s="71">
        <v>45734</v>
      </c>
      <c r="AM83" s="71">
        <v>45734</v>
      </c>
      <c r="AN83" t="s" s="72">
        <v>631</v>
      </c>
      <c r="AO83" s="71" cm="1">
        <f t="array" ref="AO83">AJ83</f>
        <v>45734</v>
      </c>
      <c r="AP83" t="s" s="72">
        <v>632</v>
      </c>
      <c r="AQ83" s="71" cm="1">
        <f t="array" ref="AQ83">AJ83</f>
        <v>45734</v>
      </c>
      <c r="AR83" t="s" s="72">
        <v>633</v>
      </c>
      <c r="AS83" s="71" cm="1">
        <f t="array" ref="AS83">AJ83</f>
        <v>45734</v>
      </c>
      <c r="AT83" t="s" s="62">
        <v>634</v>
      </c>
      <c r="AU83" s="71" cm="1">
        <f t="array" ref="AU83">AJ83</f>
        <v>45734</v>
      </c>
      <c r="AV83" s="67"/>
      <c r="AW83" t="str" s="74" cm="1">
        <f t="array" ref="AW83">"600/"&amp;$B83&amp;"/"&amp;IF(AND($AE83="Konsultansi",M83&lt;=100000000),"SPK",IF(AND($AE83="Konsultansi",M83&gt;100000000),"Kont",IF(AND($AE83&lt;&gt;"Konsultansi",M83&lt;=200000000),"SPK","Kont")))&amp;"-"&amp;AE83&amp;"/PPK/DPUPR"</f>
        <v>600/58430016/SPK-Konstruksi/PPK/DPUPR</v>
      </c>
      <c r="AX83" t="str" s="74" cm="1">
        <f t="array" ref="AX83">"600/"&amp;$B83&amp;"/SPMK/PPK/DPUPR"</f>
        <v>600/58430016/SPMK/PPK/DPUPR</v>
      </c>
      <c r="AY83" s="67"/>
      <c r="AZ83" s="67"/>
      <c r="BA83" s="67"/>
      <c r="BB83" s="67"/>
      <c r="BC83" s="67"/>
      <c r="BD83" s="67"/>
      <c r="BE83" s="67"/>
      <c r="BF83" s="67"/>
      <c r="BG83" s="80">
        <v>231</v>
      </c>
      <c r="BH83" t="s" s="72">
        <v>355</v>
      </c>
      <c r="BI83" t="s" s="72">
        <v>21</v>
      </c>
      <c r="BJ83" t="s" s="72">
        <v>22</v>
      </c>
      <c r="BK83" t="s" s="72">
        <v>23</v>
      </c>
      <c r="BL83" t="s" s="72">
        <v>24</v>
      </c>
      <c r="BM83" s="67"/>
      <c r="BN83" s="67"/>
      <c r="BO83" s="67"/>
      <c r="BP83" s="67"/>
      <c r="BQ83" s="67"/>
      <c r="BR83" t="b" s="79">
        <v>0</v>
      </c>
      <c r="BS83" s="69" cm="1">
        <f t="array" ref="BS83">IF(M83&lt;=0.8*K83,5%*K83,M83*5%)</f>
        <v>9967150</v>
      </c>
      <c r="BT83" t="s" s="72">
        <v>25</v>
      </c>
      <c r="BU83" s="67"/>
      <c r="BV83" s="69" cm="1">
        <f t="array" ref="BV83">J83-M83</f>
        <v>657000</v>
      </c>
    </row>
    <row r="84" ht="36.25" customHeight="1">
      <c r="A84" s="47"/>
      <c r="B84" s="48">
        <v>58430076</v>
      </c>
      <c r="C84" t="s" s="89">
        <v>637</v>
      </c>
      <c r="D84" t="s" s="50">
        <v>1</v>
      </c>
      <c r="E84" t="str" s="51" cm="1">
        <f t="array" ref="E84">$C84</f>
        <v>Peningkatan Jalan Salonggabo I</v>
      </c>
      <c r="F84" s="52"/>
      <c r="G84" s="51"/>
      <c r="H84" s="51"/>
      <c r="I84" s="51"/>
      <c r="J84" s="54">
        <v>200000000</v>
      </c>
      <c r="K84" s="54">
        <v>200000000</v>
      </c>
      <c r="L84" s="56">
        <v>199559247.68</v>
      </c>
      <c r="M84" s="54">
        <v>199559000</v>
      </c>
      <c r="N84" t="s" s="57">
        <v>515</v>
      </c>
      <c r="O84" t="s" s="58">
        <v>516</v>
      </c>
      <c r="P84" t="s" s="57">
        <v>4</v>
      </c>
      <c r="Q84" t="s" s="57">
        <v>517</v>
      </c>
      <c r="R84" t="s" s="57">
        <v>518</v>
      </c>
      <c r="S84" t="s" s="57">
        <v>519</v>
      </c>
      <c r="T84" s="61">
        <v>44356</v>
      </c>
      <c r="U84" t="s" s="57">
        <v>149</v>
      </c>
      <c r="V84" t="s" s="57">
        <v>520</v>
      </c>
      <c r="W84" t="s" s="57">
        <v>521</v>
      </c>
      <c r="X84" s="60">
        <v>90</v>
      </c>
      <c r="Y84" t="s" s="57">
        <v>10</v>
      </c>
      <c r="Z84" s="54" cm="1">
        <f t="array" ref="Z84">M84</f>
        <v>199559000</v>
      </c>
      <c r="AA84" t="s" s="57">
        <v>11</v>
      </c>
      <c r="AB84" s="61" cm="1">
        <f t="array" ref="AB84">AH84</f>
        <v>45734</v>
      </c>
      <c r="AC84" s="60">
        <v>180</v>
      </c>
      <c r="AD84" t="s" s="57">
        <v>106</v>
      </c>
      <c r="AE84" t="s" s="57">
        <v>107</v>
      </c>
      <c r="AF84" t="s" s="57">
        <v>108</v>
      </c>
      <c r="AG84" s="61">
        <v>45733</v>
      </c>
      <c r="AH84" s="61">
        <v>45734</v>
      </c>
      <c r="AI84" s="61">
        <v>45734</v>
      </c>
      <c r="AJ84" s="61">
        <v>45734</v>
      </c>
      <c r="AK84" s="61">
        <v>45734</v>
      </c>
      <c r="AL84" s="61">
        <v>45734</v>
      </c>
      <c r="AM84" s="61">
        <v>45734</v>
      </c>
      <c r="AN84" t="s" s="57">
        <v>639</v>
      </c>
      <c r="AO84" s="61" cm="1">
        <f t="array" ref="AO84">AJ84</f>
        <v>45734</v>
      </c>
      <c r="AP84" t="s" s="57">
        <v>640</v>
      </c>
      <c r="AQ84" s="61" cm="1">
        <f t="array" ref="AQ84">AJ84</f>
        <v>45734</v>
      </c>
      <c r="AR84" t="s" s="57">
        <v>641</v>
      </c>
      <c r="AS84" s="61" cm="1">
        <f t="array" ref="AS84">AJ84</f>
        <v>45734</v>
      </c>
      <c r="AT84" t="s" s="62">
        <v>642</v>
      </c>
      <c r="AU84" s="61" cm="1">
        <f t="array" ref="AU84">AJ84</f>
        <v>45734</v>
      </c>
      <c r="AV84" s="51"/>
      <c r="AW84" t="str" s="63" cm="1">
        <f t="array" ref="AW84">"600/"&amp;$B84&amp;"/"&amp;IF(AND($AE84="Konsultansi",M84&lt;=100000000),"SPK",IF(AND($AE84="Konsultansi",M84&gt;100000000),"Kont",IF(AND($AE84&lt;&gt;"Konsultansi",M84&lt;=200000000),"SPK","Kont")))&amp;"-"&amp;AE84&amp;"/PPK/DPUPR"</f>
        <v>600/58430076/SPK-Konstruksi/PPK/DPUPR</v>
      </c>
      <c r="AX84" t="str" s="63" cm="1">
        <f t="array" ref="AX84">"600/"&amp;$B84&amp;"/SPMK/PPK/DPUPR"</f>
        <v>600/58430076/SPMK/PPK/DPUPR</v>
      </c>
      <c r="AY84" s="51"/>
      <c r="AZ84" s="51"/>
      <c r="BA84" s="51"/>
      <c r="BB84" s="51"/>
      <c r="BC84" s="51"/>
      <c r="BD84" s="51"/>
      <c r="BE84" s="51"/>
      <c r="BF84" s="51"/>
      <c r="BG84" s="64">
        <v>147</v>
      </c>
      <c r="BH84" t="s" s="57">
        <v>515</v>
      </c>
      <c r="BI84" t="s" s="57">
        <v>21</v>
      </c>
      <c r="BJ84" t="s" s="57">
        <v>22</v>
      </c>
      <c r="BK84" t="s" s="57">
        <v>23</v>
      </c>
      <c r="BL84" t="s" s="57">
        <v>24</v>
      </c>
      <c r="BM84" s="51"/>
      <c r="BN84" s="51"/>
      <c r="BO84" s="51"/>
      <c r="BP84" s="51"/>
      <c r="BQ84" s="51"/>
      <c r="BR84" t="b" s="60">
        <v>0</v>
      </c>
      <c r="BS84" s="54" cm="1">
        <f t="array" ref="BS84">IF(M84&lt;=0.8*K84,5%*K84,M84*5%)</f>
        <v>9977950</v>
      </c>
      <c r="BT84" t="s" s="57">
        <v>25</v>
      </c>
      <c r="BU84" s="51"/>
      <c r="BV84" s="54" cm="1">
        <f t="array" ref="BV84">J84-M84</f>
        <v>441000</v>
      </c>
    </row>
    <row r="85" ht="36.25" customHeight="1">
      <c r="A85" s="47"/>
      <c r="B85" s="48">
        <v>58430153</v>
      </c>
      <c r="C85" t="s" s="89">
        <v>645</v>
      </c>
      <c r="D85" t="s" s="76">
        <v>1</v>
      </c>
      <c r="E85" t="str" s="67" cm="1">
        <f t="array" ref="E85">$C85</f>
        <v>Pemb. Jalan Salubulu Pasangkayu</v>
      </c>
      <c r="F85" s="68"/>
      <c r="G85" s="67"/>
      <c r="H85" s="67"/>
      <c r="I85" s="67"/>
      <c r="J85" s="69">
        <v>200000000</v>
      </c>
      <c r="K85" s="69">
        <v>199902000</v>
      </c>
      <c r="L85" s="56">
        <v>199348216.95</v>
      </c>
      <c r="M85" s="69">
        <v>199348000</v>
      </c>
      <c r="N85" t="s" s="72">
        <v>515</v>
      </c>
      <c r="O85" t="s" s="78">
        <v>516</v>
      </c>
      <c r="P85" t="s" s="72">
        <v>4</v>
      </c>
      <c r="Q85" t="s" s="72">
        <v>517</v>
      </c>
      <c r="R85" t="s" s="72">
        <v>518</v>
      </c>
      <c r="S85" t="s" s="72">
        <v>519</v>
      </c>
      <c r="T85" s="71">
        <v>44356</v>
      </c>
      <c r="U85" t="s" s="72">
        <v>149</v>
      </c>
      <c r="V85" t="s" s="72">
        <v>520</v>
      </c>
      <c r="W85" t="s" s="72">
        <v>521</v>
      </c>
      <c r="X85" s="79">
        <v>90</v>
      </c>
      <c r="Y85" t="s" s="72">
        <v>10</v>
      </c>
      <c r="Z85" s="69" cm="1">
        <f t="array" ref="Z85">M85</f>
        <v>199348000</v>
      </c>
      <c r="AA85" t="s" s="72">
        <v>11</v>
      </c>
      <c r="AB85" s="71" cm="1">
        <f t="array" ref="AB85">AH85</f>
        <v>45734</v>
      </c>
      <c r="AC85" s="79">
        <v>180</v>
      </c>
      <c r="AD85" t="s" s="72">
        <v>106</v>
      </c>
      <c r="AE85" t="s" s="72">
        <v>107</v>
      </c>
      <c r="AF85" t="s" s="72">
        <v>108</v>
      </c>
      <c r="AG85" s="71">
        <v>45733</v>
      </c>
      <c r="AH85" s="71">
        <v>45734</v>
      </c>
      <c r="AI85" s="71">
        <v>45734</v>
      </c>
      <c r="AJ85" s="71">
        <v>45734</v>
      </c>
      <c r="AK85" s="71">
        <v>45734</v>
      </c>
      <c r="AL85" s="71">
        <v>45734</v>
      </c>
      <c r="AM85" s="71">
        <v>45734</v>
      </c>
      <c r="AN85" t="s" s="72">
        <v>647</v>
      </c>
      <c r="AO85" s="71" cm="1">
        <f t="array" ref="AO85">AJ85</f>
        <v>45734</v>
      </c>
      <c r="AP85" t="s" s="72">
        <v>648</v>
      </c>
      <c r="AQ85" s="71" cm="1">
        <f t="array" ref="AQ85">AJ85</f>
        <v>45734</v>
      </c>
      <c r="AR85" t="s" s="72">
        <v>649</v>
      </c>
      <c r="AS85" s="71" cm="1">
        <f t="array" ref="AS85">AJ85</f>
        <v>45734</v>
      </c>
      <c r="AT85" t="s" s="62">
        <v>650</v>
      </c>
      <c r="AU85" s="71" cm="1">
        <f t="array" ref="AU85">AJ85</f>
        <v>45734</v>
      </c>
      <c r="AV85" s="67"/>
      <c r="AW85" t="str" s="74" cm="1">
        <f t="array" ref="AW85">"600/"&amp;$B85&amp;"/"&amp;IF(AND($AE85="Konsultansi",M85&lt;=100000000),"SPK",IF(AND($AE85="Konsultansi",M85&gt;100000000),"Kont",IF(AND($AE85&lt;&gt;"Konsultansi",M85&lt;=200000000),"SPK","Kont")))&amp;"-"&amp;AE85&amp;"/PPK/DPUPR"</f>
        <v>600/58430153/SPK-Konstruksi/PPK/DPUPR</v>
      </c>
      <c r="AX85" t="str" s="74" cm="1">
        <f t="array" ref="AX85">"600/"&amp;$B85&amp;"/SPMK/PPK/DPUPR"</f>
        <v>600/58430153/SPMK/PPK/DPUPR</v>
      </c>
      <c r="AY85" s="67"/>
      <c r="AZ85" s="67"/>
      <c r="BA85" s="67"/>
      <c r="BB85" s="67"/>
      <c r="BC85" s="67"/>
      <c r="BD85" s="67"/>
      <c r="BE85" s="67"/>
      <c r="BF85" s="67"/>
      <c r="BG85" s="80">
        <v>147</v>
      </c>
      <c r="BH85" t="s" s="72">
        <v>515</v>
      </c>
      <c r="BI85" t="s" s="72">
        <v>21</v>
      </c>
      <c r="BJ85" t="s" s="72">
        <v>22</v>
      </c>
      <c r="BK85" t="s" s="72">
        <v>23</v>
      </c>
      <c r="BL85" t="s" s="72">
        <v>24</v>
      </c>
      <c r="BM85" s="67"/>
      <c r="BN85" s="67"/>
      <c r="BO85" s="67"/>
      <c r="BP85" s="67"/>
      <c r="BQ85" s="67"/>
      <c r="BR85" t="b" s="79">
        <v>0</v>
      </c>
      <c r="BS85" s="69" cm="1">
        <f t="array" ref="BS85">IF(M85&lt;=0.8*K85,5%*K85,M85*5%)</f>
        <v>9967400</v>
      </c>
      <c r="BT85" t="s" s="72">
        <v>25</v>
      </c>
      <c r="BU85" s="67"/>
      <c r="BV85" s="69" cm="1">
        <f t="array" ref="BV85">J85-M85</f>
        <v>652000</v>
      </c>
    </row>
    <row r="86" ht="60.25" customHeight="1">
      <c r="A86" s="47"/>
      <c r="B86" s="48">
        <v>58430203</v>
      </c>
      <c r="C86" t="s" s="89">
        <v>653</v>
      </c>
      <c r="D86" t="s" s="50">
        <v>1</v>
      </c>
      <c r="E86" t="str" s="51" cm="1">
        <f t="array" ref="E86">$C86</f>
        <v>Peningkatan Jalan Tobengo</v>
      </c>
      <c r="F86" s="52"/>
      <c r="G86" s="51"/>
      <c r="H86" s="51"/>
      <c r="I86" s="51"/>
      <c r="J86" s="54">
        <v>200000000</v>
      </c>
      <c r="K86" s="54">
        <v>200000000</v>
      </c>
      <c r="L86" s="56">
        <v>199885168.91</v>
      </c>
      <c r="M86" s="54">
        <v>199885000</v>
      </c>
      <c r="N86" t="s" s="57">
        <v>655</v>
      </c>
      <c r="O86" t="s" s="58">
        <v>656</v>
      </c>
      <c r="P86" t="s" s="57">
        <v>4</v>
      </c>
      <c r="Q86" t="s" s="57">
        <v>657</v>
      </c>
      <c r="R86" t="s" s="57">
        <v>658</v>
      </c>
      <c r="S86" s="60">
        <v>46</v>
      </c>
      <c r="T86" s="61">
        <v>45310</v>
      </c>
      <c r="U86" t="s" s="57">
        <v>296</v>
      </c>
      <c r="V86" t="s" s="57">
        <v>659</v>
      </c>
      <c r="W86" t="s" s="57">
        <v>660</v>
      </c>
      <c r="X86" s="60">
        <v>90</v>
      </c>
      <c r="Y86" t="s" s="57">
        <v>10</v>
      </c>
      <c r="Z86" s="54" cm="1">
        <f t="array" ref="Z86">M86</f>
        <v>199885000</v>
      </c>
      <c r="AA86" t="s" s="57">
        <v>11</v>
      </c>
      <c r="AB86" s="61" cm="1">
        <f t="array" ref="AB86">AH86</f>
        <v>45734</v>
      </c>
      <c r="AC86" s="60">
        <v>180</v>
      </c>
      <c r="AD86" t="s" s="57">
        <v>106</v>
      </c>
      <c r="AE86" t="s" s="57">
        <v>107</v>
      </c>
      <c r="AF86" t="s" s="57">
        <v>108</v>
      </c>
      <c r="AG86" s="61">
        <v>45733</v>
      </c>
      <c r="AH86" s="61">
        <v>45734</v>
      </c>
      <c r="AI86" s="61">
        <v>45734</v>
      </c>
      <c r="AJ86" s="61">
        <v>45734</v>
      </c>
      <c r="AK86" s="61">
        <v>45734</v>
      </c>
      <c r="AL86" s="61">
        <v>45734</v>
      </c>
      <c r="AM86" s="61">
        <v>45734</v>
      </c>
      <c r="AN86" t="s" s="57">
        <v>661</v>
      </c>
      <c r="AO86" s="61" cm="1">
        <f t="array" ref="AO86">AJ86</f>
        <v>45734</v>
      </c>
      <c r="AP86" t="s" s="57">
        <v>662</v>
      </c>
      <c r="AQ86" s="61" cm="1">
        <f t="array" ref="AQ86">AJ86</f>
        <v>45734</v>
      </c>
      <c r="AR86" t="s" s="57">
        <v>663</v>
      </c>
      <c r="AS86" s="61" cm="1">
        <f t="array" ref="AS86">AJ86</f>
        <v>45734</v>
      </c>
      <c r="AT86" t="s" s="62">
        <v>664</v>
      </c>
      <c r="AU86" s="61" cm="1">
        <f t="array" ref="AU86">AJ86</f>
        <v>45734</v>
      </c>
      <c r="AV86" s="51"/>
      <c r="AW86" t="str" s="63" cm="1">
        <f t="array" ref="AW86">"600/"&amp;$B86&amp;"/"&amp;IF(AND($AE86="Konsultansi",M86&lt;=100000000),"SPK",IF(AND($AE86="Konsultansi",M86&gt;100000000),"Kont",IF(AND($AE86&lt;&gt;"Konsultansi",M86&lt;=200000000),"SPK","Kont")))&amp;"-"&amp;AE86&amp;"/PPK/DPUPR"</f>
        <v>600/58430203/SPK-Konstruksi/PPK/DPUPR</v>
      </c>
      <c r="AX86" t="str" s="63" cm="1">
        <f t="array" ref="AX86">"600/"&amp;$B86&amp;"/SPMK/PPK/DPUPR"</f>
        <v>600/58430203/SPMK/PPK/DPUPR</v>
      </c>
      <c r="AY86" s="51"/>
      <c r="AZ86" s="51"/>
      <c r="BA86" s="51"/>
      <c r="BB86" s="51"/>
      <c r="BC86" s="51"/>
      <c r="BD86" s="51"/>
      <c r="BE86" s="51"/>
      <c r="BF86" s="51"/>
      <c r="BG86" s="64">
        <v>238</v>
      </c>
      <c r="BH86" t="s" s="57">
        <v>655</v>
      </c>
      <c r="BI86" t="s" s="57">
        <v>21</v>
      </c>
      <c r="BJ86" t="s" s="57">
        <v>22</v>
      </c>
      <c r="BK86" t="s" s="57">
        <v>23</v>
      </c>
      <c r="BL86" t="s" s="57">
        <v>24</v>
      </c>
      <c r="BM86" s="51"/>
      <c r="BN86" s="51"/>
      <c r="BO86" s="51"/>
      <c r="BP86" s="51"/>
      <c r="BQ86" s="51"/>
      <c r="BR86" t="b" s="60">
        <v>0</v>
      </c>
      <c r="BS86" s="54" cm="1">
        <f t="array" ref="BS86">IF(M86&lt;=0.8*K86,5%*K86,M86*5%)</f>
        <v>9994250</v>
      </c>
      <c r="BT86" t="s" s="57">
        <v>25</v>
      </c>
      <c r="BU86" s="51"/>
      <c r="BV86" s="54" cm="1">
        <f t="array" ref="BV86">J86-M86</f>
        <v>115000</v>
      </c>
    </row>
    <row r="87" ht="60.25" customHeight="1">
      <c r="A87" s="47"/>
      <c r="B87" s="48">
        <v>58430311</v>
      </c>
      <c r="C87" t="s" s="89">
        <v>667</v>
      </c>
      <c r="D87" t="s" s="76">
        <v>1</v>
      </c>
      <c r="E87" t="str" s="67" cm="1">
        <f t="array" ref="E87">$C87</f>
        <v>Peningkatan Jalan Bambamone - Mandar II </v>
      </c>
      <c r="F87" s="68"/>
      <c r="G87" s="67"/>
      <c r="H87" s="67"/>
      <c r="I87" s="67"/>
      <c r="J87" s="69">
        <v>200000000</v>
      </c>
      <c r="K87" s="69">
        <v>200000000</v>
      </c>
      <c r="L87" s="56">
        <v>199634200.82</v>
      </c>
      <c r="M87" s="69">
        <v>199634000</v>
      </c>
      <c r="N87" t="s" s="72">
        <v>655</v>
      </c>
      <c r="O87" t="s" s="78">
        <v>656</v>
      </c>
      <c r="P87" t="s" s="72">
        <v>4</v>
      </c>
      <c r="Q87" t="s" s="72">
        <v>657</v>
      </c>
      <c r="R87" t="s" s="72">
        <v>658</v>
      </c>
      <c r="S87" s="79">
        <v>46</v>
      </c>
      <c r="T87" s="71">
        <v>45310</v>
      </c>
      <c r="U87" t="s" s="72">
        <v>296</v>
      </c>
      <c r="V87" t="s" s="72">
        <v>659</v>
      </c>
      <c r="W87" t="s" s="72">
        <v>660</v>
      </c>
      <c r="X87" s="79">
        <v>90</v>
      </c>
      <c r="Y87" t="s" s="72">
        <v>10</v>
      </c>
      <c r="Z87" s="69" cm="1">
        <f t="array" ref="Z87">M87</f>
        <v>199634000</v>
      </c>
      <c r="AA87" t="s" s="72">
        <v>11</v>
      </c>
      <c r="AB87" s="71" cm="1">
        <f t="array" ref="AB87">AH87</f>
        <v>45734</v>
      </c>
      <c r="AC87" s="79">
        <v>180</v>
      </c>
      <c r="AD87" t="s" s="72">
        <v>106</v>
      </c>
      <c r="AE87" t="s" s="72">
        <v>107</v>
      </c>
      <c r="AF87" t="s" s="72">
        <v>108</v>
      </c>
      <c r="AG87" s="71">
        <v>45733</v>
      </c>
      <c r="AH87" s="71">
        <v>45734</v>
      </c>
      <c r="AI87" s="71">
        <v>45734</v>
      </c>
      <c r="AJ87" s="71">
        <v>45734</v>
      </c>
      <c r="AK87" s="71">
        <v>45734</v>
      </c>
      <c r="AL87" s="71">
        <v>45734</v>
      </c>
      <c r="AM87" s="71">
        <v>45734</v>
      </c>
      <c r="AN87" t="s" s="72">
        <v>669</v>
      </c>
      <c r="AO87" s="71" cm="1">
        <f t="array" ref="AO87">AJ87</f>
        <v>45734</v>
      </c>
      <c r="AP87" t="s" s="72">
        <v>670</v>
      </c>
      <c r="AQ87" s="71" cm="1">
        <f t="array" ref="AQ87">AJ87</f>
        <v>45734</v>
      </c>
      <c r="AR87" t="s" s="72">
        <v>671</v>
      </c>
      <c r="AS87" s="71" cm="1">
        <f t="array" ref="AS87">AJ87</f>
        <v>45734</v>
      </c>
      <c r="AT87" t="s" s="62">
        <v>672</v>
      </c>
      <c r="AU87" s="71" cm="1">
        <f t="array" ref="AU87">AJ87</f>
        <v>45734</v>
      </c>
      <c r="AV87" s="67"/>
      <c r="AW87" t="str" s="74" cm="1">
        <f t="array" ref="AW87">"600/"&amp;$B87&amp;"/"&amp;IF(AND($AE87="Konsultansi",M87&lt;=100000000),"SPK",IF(AND($AE87="Konsultansi",M87&gt;100000000),"Kont",IF(AND($AE87&lt;&gt;"Konsultansi",M87&lt;=200000000),"SPK","Kont")))&amp;"-"&amp;AE87&amp;"/PPK/DPUPR"</f>
        <v>600/58430311/SPK-Konstruksi/PPK/DPUPR</v>
      </c>
      <c r="AX87" t="str" s="74" cm="1">
        <f t="array" ref="AX87">"600/"&amp;$B87&amp;"/SPMK/PPK/DPUPR"</f>
        <v>600/58430311/SPMK/PPK/DPUPR</v>
      </c>
      <c r="AY87" s="67"/>
      <c r="AZ87" s="67"/>
      <c r="BA87" s="67"/>
      <c r="BB87" s="67"/>
      <c r="BC87" s="67"/>
      <c r="BD87" s="67"/>
      <c r="BE87" s="67"/>
      <c r="BF87" s="67"/>
      <c r="BG87" s="80">
        <v>238</v>
      </c>
      <c r="BH87" t="s" s="72">
        <v>655</v>
      </c>
      <c r="BI87" t="s" s="72">
        <v>21</v>
      </c>
      <c r="BJ87" t="s" s="72">
        <v>22</v>
      </c>
      <c r="BK87" t="s" s="72">
        <v>23</v>
      </c>
      <c r="BL87" t="s" s="72">
        <v>24</v>
      </c>
      <c r="BM87" s="67"/>
      <c r="BN87" s="67"/>
      <c r="BO87" s="67"/>
      <c r="BP87" s="67"/>
      <c r="BQ87" s="67"/>
      <c r="BR87" t="b" s="79">
        <v>0</v>
      </c>
      <c r="BS87" s="69" cm="1">
        <f t="array" ref="BS87">IF(M87&lt;=0.8*K87,5%*K87,M87*5%)</f>
        <v>9981700</v>
      </c>
      <c r="BT87" t="s" s="72">
        <v>25</v>
      </c>
      <c r="BU87" s="67"/>
      <c r="BV87" s="69" cm="1">
        <f t="array" ref="BV87">J87-M87</f>
        <v>366000</v>
      </c>
    </row>
    <row r="88" ht="48.25" customHeight="1">
      <c r="A88" s="47"/>
      <c r="B88" s="48">
        <v>58430355</v>
      </c>
      <c r="C88" t="s" s="89">
        <v>675</v>
      </c>
      <c r="D88" t="s" s="50">
        <v>1</v>
      </c>
      <c r="E88" t="str" s="51" cm="1">
        <f t="array" ref="E88">$C88</f>
        <v>Pemb. Jalan Gunung Sari - Petunggu </v>
      </c>
      <c r="F88" s="52"/>
      <c r="G88" s="51"/>
      <c r="H88" s="51"/>
      <c r="I88" s="51"/>
      <c r="J88" s="54">
        <v>200000000</v>
      </c>
      <c r="K88" s="54">
        <v>199720000</v>
      </c>
      <c r="L88" s="56">
        <v>199523174.17</v>
      </c>
      <c r="M88" s="54">
        <v>199523000</v>
      </c>
      <c r="N88" t="s" s="57">
        <v>484</v>
      </c>
      <c r="O88" t="s" s="58">
        <v>485</v>
      </c>
      <c r="P88" t="s" s="57">
        <v>4</v>
      </c>
      <c r="Q88" t="s" s="57">
        <v>486</v>
      </c>
      <c r="R88" t="s" s="57">
        <v>487</v>
      </c>
      <c r="S88" t="s" s="57">
        <v>488</v>
      </c>
      <c r="T88" s="61">
        <v>43873</v>
      </c>
      <c r="U88" t="s" s="57">
        <v>164</v>
      </c>
      <c r="V88" t="s" s="57">
        <v>489</v>
      </c>
      <c r="W88" t="s" s="57">
        <v>490</v>
      </c>
      <c r="X88" s="60">
        <v>90</v>
      </c>
      <c r="Y88" t="s" s="57">
        <v>10</v>
      </c>
      <c r="Z88" s="54" cm="1">
        <f t="array" ref="Z88">M88</f>
        <v>199523000</v>
      </c>
      <c r="AA88" t="s" s="57">
        <v>11</v>
      </c>
      <c r="AB88" s="61" cm="1">
        <f t="array" ref="AB88">AH88</f>
        <v>45734</v>
      </c>
      <c r="AC88" s="60">
        <v>180</v>
      </c>
      <c r="AD88" t="s" s="57">
        <v>106</v>
      </c>
      <c r="AE88" t="s" s="57">
        <v>107</v>
      </c>
      <c r="AF88" t="s" s="57">
        <v>108</v>
      </c>
      <c r="AG88" s="61">
        <v>45733</v>
      </c>
      <c r="AH88" s="61">
        <v>45734</v>
      </c>
      <c r="AI88" s="61">
        <v>45734</v>
      </c>
      <c r="AJ88" s="61">
        <v>45734</v>
      </c>
      <c r="AK88" s="61">
        <v>45734</v>
      </c>
      <c r="AL88" s="61">
        <v>45734</v>
      </c>
      <c r="AM88" s="61">
        <v>45734</v>
      </c>
      <c r="AN88" t="s" s="57">
        <v>677</v>
      </c>
      <c r="AO88" s="61" cm="1">
        <f t="array" ref="AO88">AJ88</f>
        <v>45734</v>
      </c>
      <c r="AP88" t="s" s="57">
        <v>678</v>
      </c>
      <c r="AQ88" s="61" cm="1">
        <f t="array" ref="AQ88">AJ88</f>
        <v>45734</v>
      </c>
      <c r="AR88" t="s" s="57">
        <v>679</v>
      </c>
      <c r="AS88" s="61" cm="1">
        <f t="array" ref="AS88">AJ88</f>
        <v>45734</v>
      </c>
      <c r="AT88" t="s" s="62">
        <v>680</v>
      </c>
      <c r="AU88" s="61" cm="1">
        <f t="array" ref="AU88">AJ88</f>
        <v>45734</v>
      </c>
      <c r="AV88" s="51"/>
      <c r="AW88" t="str" s="63" cm="1">
        <f t="array" ref="AW88">"600/"&amp;$B88&amp;"/"&amp;IF(AND($AE88="Konsultansi",M88&lt;=100000000),"SPK",IF(AND($AE88="Konsultansi",M88&gt;100000000),"Kont",IF(AND($AE88&lt;&gt;"Konsultansi",M88&lt;=200000000),"SPK","Kont")))&amp;"-"&amp;AE88&amp;"/PPK/DPUPR"</f>
        <v>600/58430355/SPK-Konstruksi/PPK/DPUPR</v>
      </c>
      <c r="AX88" t="str" s="63" cm="1">
        <f t="array" ref="AX88">"600/"&amp;$B88&amp;"/SPMK/PPK/DPUPR"</f>
        <v>600/58430355/SPMK/PPK/DPUPR</v>
      </c>
      <c r="AY88" s="51"/>
      <c r="AZ88" s="51"/>
      <c r="BA88" s="51"/>
      <c r="BB88" s="51"/>
      <c r="BC88" s="51"/>
      <c r="BD88" s="51"/>
      <c r="BE88" s="51"/>
      <c r="BF88" s="51"/>
      <c r="BG88" s="64">
        <v>206</v>
      </c>
      <c r="BH88" t="s" s="57">
        <v>484</v>
      </c>
      <c r="BI88" t="s" s="57">
        <v>21</v>
      </c>
      <c r="BJ88" t="s" s="57">
        <v>22</v>
      </c>
      <c r="BK88" t="s" s="57">
        <v>23</v>
      </c>
      <c r="BL88" t="s" s="57">
        <v>24</v>
      </c>
      <c r="BM88" s="51"/>
      <c r="BN88" s="51"/>
      <c r="BO88" s="51"/>
      <c r="BP88" s="51"/>
      <c r="BQ88" s="51"/>
      <c r="BR88" t="b" s="60">
        <v>0</v>
      </c>
      <c r="BS88" s="54" cm="1">
        <f t="array" ref="BS88">IF(M88&lt;=0.8*K88,5%*K88,M88*5%)</f>
        <v>9976150</v>
      </c>
      <c r="BT88" t="s" s="57">
        <v>25</v>
      </c>
      <c r="BU88" s="51"/>
      <c r="BV88" s="54" cm="1">
        <f t="array" ref="BV88">J88-M88</f>
        <v>477000</v>
      </c>
    </row>
    <row r="89" ht="60.25" customHeight="1">
      <c r="A89" s="47"/>
      <c r="B89" s="48">
        <v>58430404</v>
      </c>
      <c r="C89" t="s" s="89">
        <v>683</v>
      </c>
      <c r="D89" t="s" s="76">
        <v>1</v>
      </c>
      <c r="E89" t="str" s="67" cm="1">
        <f t="array" ref="E89">$C89</f>
        <v>Peningkatan Jalan Dusun Lameambo Singgani </v>
      </c>
      <c r="F89" s="68"/>
      <c r="G89" s="67"/>
      <c r="H89" s="67"/>
      <c r="I89" s="67"/>
      <c r="J89" s="69">
        <v>200000000</v>
      </c>
      <c r="K89" s="69">
        <v>200000000</v>
      </c>
      <c r="L89" s="56">
        <v>199695836.56</v>
      </c>
      <c r="M89" s="69">
        <v>199695000</v>
      </c>
      <c r="N89" t="s" s="72">
        <v>655</v>
      </c>
      <c r="O89" t="s" s="78">
        <v>656</v>
      </c>
      <c r="P89" t="s" s="72">
        <v>4</v>
      </c>
      <c r="Q89" t="s" s="72">
        <v>657</v>
      </c>
      <c r="R89" t="s" s="72">
        <v>658</v>
      </c>
      <c r="S89" s="79">
        <v>46</v>
      </c>
      <c r="T89" s="71">
        <v>45310</v>
      </c>
      <c r="U89" t="s" s="72">
        <v>296</v>
      </c>
      <c r="V89" t="s" s="72">
        <v>659</v>
      </c>
      <c r="W89" t="s" s="72">
        <v>660</v>
      </c>
      <c r="X89" s="79">
        <v>90</v>
      </c>
      <c r="Y89" t="s" s="72">
        <v>10</v>
      </c>
      <c r="Z89" s="69" cm="1">
        <f t="array" ref="Z89">M89</f>
        <v>199695000</v>
      </c>
      <c r="AA89" t="s" s="72">
        <v>11</v>
      </c>
      <c r="AB89" s="71" cm="1">
        <f t="array" ref="AB89">AH89</f>
        <v>45734</v>
      </c>
      <c r="AC89" s="79">
        <v>180</v>
      </c>
      <c r="AD89" t="s" s="72">
        <v>106</v>
      </c>
      <c r="AE89" t="s" s="72">
        <v>107</v>
      </c>
      <c r="AF89" t="s" s="72">
        <v>108</v>
      </c>
      <c r="AG89" s="71">
        <v>45733</v>
      </c>
      <c r="AH89" s="71">
        <v>45734</v>
      </c>
      <c r="AI89" s="71">
        <v>45734</v>
      </c>
      <c r="AJ89" s="71">
        <v>45734</v>
      </c>
      <c r="AK89" s="71">
        <v>45734</v>
      </c>
      <c r="AL89" s="71">
        <v>45734</v>
      </c>
      <c r="AM89" s="71">
        <v>45734</v>
      </c>
      <c r="AN89" t="s" s="72">
        <v>685</v>
      </c>
      <c r="AO89" s="71" cm="1">
        <f t="array" ref="AO89">AJ89</f>
        <v>45734</v>
      </c>
      <c r="AP89" t="s" s="72">
        <v>686</v>
      </c>
      <c r="AQ89" s="71" cm="1">
        <f t="array" ref="AQ89">AJ89</f>
        <v>45734</v>
      </c>
      <c r="AR89" t="s" s="72">
        <v>687</v>
      </c>
      <c r="AS89" s="71" cm="1">
        <f t="array" ref="AS89">AJ89</f>
        <v>45734</v>
      </c>
      <c r="AT89" t="s" s="62">
        <v>688</v>
      </c>
      <c r="AU89" s="71" cm="1">
        <f t="array" ref="AU89">AJ89</f>
        <v>45734</v>
      </c>
      <c r="AV89" s="67"/>
      <c r="AW89" t="str" s="74" cm="1">
        <f t="array" ref="AW89">"600/"&amp;$B89&amp;"/"&amp;IF(AND($AE89="Konsultansi",M89&lt;=100000000),"SPK",IF(AND($AE89="Konsultansi",M89&gt;100000000),"Kont",IF(AND($AE89&lt;&gt;"Konsultansi",M89&lt;=200000000),"SPK","Kont")))&amp;"-"&amp;AE89&amp;"/PPK/DPUPR"</f>
        <v>600/58430404/SPK-Konstruksi/PPK/DPUPR</v>
      </c>
      <c r="AX89" t="str" s="74" cm="1">
        <f t="array" ref="AX89">"600/"&amp;$B89&amp;"/SPMK/PPK/DPUPR"</f>
        <v>600/58430404/SPMK/PPK/DPUPR</v>
      </c>
      <c r="AY89" s="67"/>
      <c r="AZ89" s="67"/>
      <c r="BA89" s="67"/>
      <c r="BB89" s="67"/>
      <c r="BC89" s="67"/>
      <c r="BD89" s="67"/>
      <c r="BE89" s="67"/>
      <c r="BF89" s="67"/>
      <c r="BG89" s="80">
        <v>238</v>
      </c>
      <c r="BH89" t="s" s="72">
        <v>655</v>
      </c>
      <c r="BI89" t="s" s="72">
        <v>21</v>
      </c>
      <c r="BJ89" t="s" s="72">
        <v>22</v>
      </c>
      <c r="BK89" t="s" s="72">
        <v>23</v>
      </c>
      <c r="BL89" t="s" s="72">
        <v>24</v>
      </c>
      <c r="BM89" s="67"/>
      <c r="BN89" s="67"/>
      <c r="BO89" s="67"/>
      <c r="BP89" s="67"/>
      <c r="BQ89" s="67"/>
      <c r="BR89" t="b" s="79">
        <v>0</v>
      </c>
      <c r="BS89" s="69" cm="1">
        <f t="array" ref="BS89">IF(M89&lt;=0.8*K89,5%*K89,M89*5%)</f>
        <v>9984750</v>
      </c>
      <c r="BT89" t="s" s="72">
        <v>25</v>
      </c>
      <c r="BU89" s="67"/>
      <c r="BV89" s="69" cm="1">
        <f t="array" ref="BV89">J89-M89</f>
        <v>305000</v>
      </c>
    </row>
    <row r="90" ht="60.25" customHeight="1">
      <c r="A90" t="s" s="97">
        <v>691</v>
      </c>
      <c r="B90" s="48">
        <v>58430444</v>
      </c>
      <c r="C90" t="s" s="89">
        <v>692</v>
      </c>
      <c r="D90" t="s" s="50">
        <v>1</v>
      </c>
      <c r="E90" t="str" s="51" cm="1">
        <f t="array" ref="E90">$C90</f>
        <v>Peningkatan Jalan Salonggabo - Morobio</v>
      </c>
      <c r="F90" s="52"/>
      <c r="G90" s="51"/>
      <c r="H90" s="51"/>
      <c r="I90" s="51"/>
      <c r="J90" s="54">
        <v>200000000</v>
      </c>
      <c r="K90" s="54">
        <v>199944000</v>
      </c>
      <c r="L90" s="56">
        <v>199673868.81</v>
      </c>
      <c r="M90" s="54">
        <v>199673000</v>
      </c>
      <c r="N90" t="s" s="57">
        <v>655</v>
      </c>
      <c r="O90" t="s" s="58">
        <v>656</v>
      </c>
      <c r="P90" t="s" s="57">
        <v>4</v>
      </c>
      <c r="Q90" t="s" s="57">
        <v>657</v>
      </c>
      <c r="R90" t="s" s="57">
        <v>658</v>
      </c>
      <c r="S90" s="60">
        <v>46</v>
      </c>
      <c r="T90" s="61">
        <v>45310</v>
      </c>
      <c r="U90" t="s" s="57">
        <v>296</v>
      </c>
      <c r="V90" t="s" s="57">
        <v>659</v>
      </c>
      <c r="W90" t="s" s="57">
        <v>660</v>
      </c>
      <c r="X90" s="60">
        <v>90</v>
      </c>
      <c r="Y90" t="s" s="57">
        <v>10</v>
      </c>
      <c r="Z90" s="54" cm="1">
        <f t="array" ref="Z90">M90</f>
        <v>199673000</v>
      </c>
      <c r="AA90" t="s" s="57">
        <v>11</v>
      </c>
      <c r="AB90" s="61" cm="1">
        <f t="array" ref="AB90">AH90</f>
        <v>45734</v>
      </c>
      <c r="AC90" s="60">
        <v>180</v>
      </c>
      <c r="AD90" t="s" s="57">
        <v>106</v>
      </c>
      <c r="AE90" t="s" s="57">
        <v>107</v>
      </c>
      <c r="AF90" t="s" s="57">
        <v>108</v>
      </c>
      <c r="AG90" s="61">
        <v>45733</v>
      </c>
      <c r="AH90" s="61">
        <v>45734</v>
      </c>
      <c r="AI90" s="61">
        <v>45734</v>
      </c>
      <c r="AJ90" s="61">
        <v>45734</v>
      </c>
      <c r="AK90" s="61">
        <v>45734</v>
      </c>
      <c r="AL90" s="61">
        <v>45734</v>
      </c>
      <c r="AM90" s="61">
        <v>45734</v>
      </c>
      <c r="AN90" t="s" s="57">
        <v>694</v>
      </c>
      <c r="AO90" s="61" cm="1">
        <f t="array" ref="AO90">AJ90</f>
        <v>45734</v>
      </c>
      <c r="AP90" t="s" s="57">
        <v>695</v>
      </c>
      <c r="AQ90" s="61" cm="1">
        <f t="array" ref="AQ90">AJ90</f>
        <v>45734</v>
      </c>
      <c r="AR90" t="s" s="57">
        <v>696</v>
      </c>
      <c r="AS90" s="61" cm="1">
        <f t="array" ref="AS90">AJ90</f>
        <v>45734</v>
      </c>
      <c r="AT90" t="s" s="62">
        <v>697</v>
      </c>
      <c r="AU90" s="61" cm="1">
        <f t="array" ref="AU90">AJ90</f>
        <v>45734</v>
      </c>
      <c r="AV90" s="51"/>
      <c r="AW90" t="str" s="63" cm="1">
        <f t="array" ref="AW90">"600/"&amp;$B90&amp;"/"&amp;IF(AND($AE90="Konsultansi",M90&lt;=100000000),"SPK",IF(AND($AE90="Konsultansi",M90&gt;100000000),"Kont",IF(AND($AE90&lt;&gt;"Konsultansi",M90&lt;=200000000),"SPK","Kont")))&amp;"-"&amp;AE90&amp;"/PPK/DPUPR"</f>
        <v>600/58430444/SPK-Konstruksi/PPK/DPUPR</v>
      </c>
      <c r="AX90" t="str" s="63" cm="1">
        <f t="array" ref="AX90">"600/"&amp;$B90&amp;"/SPMK/PPK/DPUPR"</f>
        <v>600/58430444/SPMK/PPK/DPUPR</v>
      </c>
      <c r="AY90" s="51"/>
      <c r="AZ90" s="51"/>
      <c r="BA90" s="51"/>
      <c r="BB90" s="51"/>
      <c r="BC90" s="51"/>
      <c r="BD90" s="51"/>
      <c r="BE90" s="51"/>
      <c r="BF90" s="51"/>
      <c r="BG90" s="64">
        <v>238</v>
      </c>
      <c r="BH90" t="s" s="57">
        <v>655</v>
      </c>
      <c r="BI90" t="s" s="57">
        <v>21</v>
      </c>
      <c r="BJ90" t="s" s="57">
        <v>22</v>
      </c>
      <c r="BK90" t="s" s="57">
        <v>23</v>
      </c>
      <c r="BL90" t="s" s="57">
        <v>24</v>
      </c>
      <c r="BM90" s="51"/>
      <c r="BN90" s="51"/>
      <c r="BO90" s="51"/>
      <c r="BP90" s="51"/>
      <c r="BQ90" s="51"/>
      <c r="BR90" t="b" s="60">
        <v>0</v>
      </c>
      <c r="BS90" s="54" cm="1">
        <f t="array" ref="BS90">IF(M90&lt;=0.8*K90,5%*K90,M90*5%)</f>
        <v>9983650</v>
      </c>
      <c r="BT90" t="s" s="57">
        <v>25</v>
      </c>
      <c r="BU90" s="51"/>
      <c r="BV90" s="54" cm="1">
        <f t="array" ref="BV90">J90-M90</f>
        <v>327000</v>
      </c>
    </row>
    <row r="91" ht="60.25" customHeight="1">
      <c r="A91" t="s" s="97">
        <v>700</v>
      </c>
      <c r="B91" s="48">
        <v>58430536</v>
      </c>
      <c r="C91" t="s" s="89">
        <v>701</v>
      </c>
      <c r="D91" t="s" s="76">
        <v>1</v>
      </c>
      <c r="E91" t="str" s="67" cm="1">
        <f t="array" ref="E91">$C91</f>
        <v>Peningkatan Jalan/Rabat Beton Pasangkayu </v>
      </c>
      <c r="F91" s="68"/>
      <c r="G91" s="67"/>
      <c r="H91" s="67"/>
      <c r="I91" s="67"/>
      <c r="J91" s="69">
        <v>100000000</v>
      </c>
      <c r="K91" s="69">
        <v>100000000</v>
      </c>
      <c r="L91" s="56">
        <v>99706779.7</v>
      </c>
      <c r="M91" s="69">
        <v>99706000</v>
      </c>
      <c r="N91" t="s" s="72">
        <v>655</v>
      </c>
      <c r="O91" t="s" s="78">
        <v>656</v>
      </c>
      <c r="P91" t="s" s="72">
        <v>4</v>
      </c>
      <c r="Q91" t="s" s="72">
        <v>657</v>
      </c>
      <c r="R91" t="s" s="72">
        <v>658</v>
      </c>
      <c r="S91" s="79">
        <v>46</v>
      </c>
      <c r="T91" s="71">
        <v>45310</v>
      </c>
      <c r="U91" t="s" s="72">
        <v>296</v>
      </c>
      <c r="V91" t="s" s="72">
        <v>659</v>
      </c>
      <c r="W91" t="s" s="72">
        <v>660</v>
      </c>
      <c r="X91" s="79">
        <v>90</v>
      </c>
      <c r="Y91" t="s" s="72">
        <v>10</v>
      </c>
      <c r="Z91" s="69" cm="1">
        <f t="array" ref="Z91">M91</f>
        <v>99706000</v>
      </c>
      <c r="AA91" t="s" s="72">
        <v>11</v>
      </c>
      <c r="AB91" s="71" cm="1">
        <f t="array" ref="AB91">AH91</f>
        <v>45734</v>
      </c>
      <c r="AC91" s="79">
        <v>180</v>
      </c>
      <c r="AD91" t="s" s="72">
        <v>106</v>
      </c>
      <c r="AE91" t="s" s="72">
        <v>107</v>
      </c>
      <c r="AF91" t="s" s="72">
        <v>108</v>
      </c>
      <c r="AG91" s="71">
        <v>45733</v>
      </c>
      <c r="AH91" s="71">
        <v>45734</v>
      </c>
      <c r="AI91" s="71">
        <v>45734</v>
      </c>
      <c r="AJ91" s="71">
        <v>45734</v>
      </c>
      <c r="AK91" s="71">
        <v>45734</v>
      </c>
      <c r="AL91" s="71">
        <v>45734</v>
      </c>
      <c r="AM91" s="71">
        <v>45734</v>
      </c>
      <c r="AN91" t="s" s="72">
        <v>703</v>
      </c>
      <c r="AO91" s="71" cm="1">
        <f t="array" ref="AO91">AJ91</f>
        <v>45734</v>
      </c>
      <c r="AP91" t="s" s="72">
        <v>704</v>
      </c>
      <c r="AQ91" s="71" cm="1">
        <f t="array" ref="AQ91">AJ91</f>
        <v>45734</v>
      </c>
      <c r="AR91" t="s" s="72">
        <v>705</v>
      </c>
      <c r="AS91" s="71" cm="1">
        <f t="array" ref="AS91">AJ91</f>
        <v>45734</v>
      </c>
      <c r="AT91" t="s" s="62">
        <v>706</v>
      </c>
      <c r="AU91" s="71" cm="1">
        <f t="array" ref="AU91">AJ91</f>
        <v>45734</v>
      </c>
      <c r="AV91" s="67"/>
      <c r="AW91" t="str" s="74" cm="1">
        <f t="array" ref="AW91">"600/"&amp;$B91&amp;"/"&amp;IF(AND($AE91="Konsultansi",M91&lt;=100000000),"SPK",IF(AND($AE91="Konsultansi",M91&gt;100000000),"Kont",IF(AND($AE91&lt;&gt;"Konsultansi",M91&lt;=200000000),"SPK","Kont")))&amp;"-"&amp;AE91&amp;"/PPK/DPUPR"</f>
        <v>600/58430536/SPK-Konstruksi/PPK/DPUPR</v>
      </c>
      <c r="AX91" t="str" s="74" cm="1">
        <f t="array" ref="AX91">"600/"&amp;$B91&amp;"/SPMK/PPK/DPUPR"</f>
        <v>600/58430536/SPMK/PPK/DPUPR</v>
      </c>
      <c r="AY91" s="67"/>
      <c r="AZ91" s="67"/>
      <c r="BA91" s="67"/>
      <c r="BB91" s="67"/>
      <c r="BC91" s="67"/>
      <c r="BD91" s="67"/>
      <c r="BE91" s="67"/>
      <c r="BF91" s="67"/>
      <c r="BG91" s="80">
        <v>238</v>
      </c>
      <c r="BH91" t="s" s="72">
        <v>655</v>
      </c>
      <c r="BI91" t="s" s="72">
        <v>21</v>
      </c>
      <c r="BJ91" t="s" s="72">
        <v>22</v>
      </c>
      <c r="BK91" t="s" s="72">
        <v>23</v>
      </c>
      <c r="BL91" t="s" s="72">
        <v>24</v>
      </c>
      <c r="BM91" s="67"/>
      <c r="BN91" s="67"/>
      <c r="BO91" s="67"/>
      <c r="BP91" s="67"/>
      <c r="BQ91" s="67"/>
      <c r="BR91" t="b" s="79">
        <v>0</v>
      </c>
      <c r="BS91" s="69" cm="1">
        <f t="array" ref="BS91">IF(M91&lt;=0.8*K91,5%*K91,M91*5%)</f>
        <v>4985300</v>
      </c>
      <c r="BT91" t="s" s="72">
        <v>25</v>
      </c>
      <c r="BU91" s="67"/>
      <c r="BV91" s="69" cm="1">
        <f t="array" ref="BV91">J91-M91</f>
        <v>294000</v>
      </c>
    </row>
    <row r="92" ht="48.25" customHeight="1">
      <c r="A92" s="47"/>
      <c r="B92" s="48">
        <v>58430653</v>
      </c>
      <c r="C92" t="s" s="89">
        <v>709</v>
      </c>
      <c r="D92" t="s" s="50">
        <v>1</v>
      </c>
      <c r="E92" t="str" s="51" cm="1">
        <f t="array" ref="E92">$C92</f>
        <v>Pemb. Jalan Pasangkayu (Lanjutan) </v>
      </c>
      <c r="F92" s="52"/>
      <c r="G92" s="51"/>
      <c r="H92" s="51"/>
      <c r="I92" s="51"/>
      <c r="J92" s="54">
        <v>200000000</v>
      </c>
      <c r="K92" s="54">
        <v>199989000</v>
      </c>
      <c r="L92" s="56">
        <v>199538485.38</v>
      </c>
      <c r="M92" s="54">
        <v>199538000</v>
      </c>
      <c r="N92" t="s" s="57">
        <v>484</v>
      </c>
      <c r="O92" t="s" s="58">
        <v>485</v>
      </c>
      <c r="P92" t="s" s="57">
        <v>4</v>
      </c>
      <c r="Q92" t="s" s="57">
        <v>486</v>
      </c>
      <c r="R92" t="s" s="57">
        <v>487</v>
      </c>
      <c r="S92" t="s" s="57">
        <v>488</v>
      </c>
      <c r="T92" s="61">
        <v>43873</v>
      </c>
      <c r="U92" t="s" s="57">
        <v>164</v>
      </c>
      <c r="V92" t="s" s="57">
        <v>489</v>
      </c>
      <c r="W92" t="s" s="57">
        <v>490</v>
      </c>
      <c r="X92" s="60">
        <v>90</v>
      </c>
      <c r="Y92" t="s" s="57">
        <v>10</v>
      </c>
      <c r="Z92" s="54" cm="1">
        <f t="array" ref="Z92">M92</f>
        <v>199538000</v>
      </c>
      <c r="AA92" t="s" s="57">
        <v>11</v>
      </c>
      <c r="AB92" s="61" cm="1">
        <f t="array" ref="AB92">AH92</f>
        <v>45734</v>
      </c>
      <c r="AC92" s="60">
        <v>180</v>
      </c>
      <c r="AD92" t="s" s="57">
        <v>106</v>
      </c>
      <c r="AE92" t="s" s="57">
        <v>107</v>
      </c>
      <c r="AF92" t="s" s="57">
        <v>108</v>
      </c>
      <c r="AG92" s="61">
        <v>45733</v>
      </c>
      <c r="AH92" s="61">
        <v>45734</v>
      </c>
      <c r="AI92" s="61">
        <v>45734</v>
      </c>
      <c r="AJ92" s="61">
        <v>45734</v>
      </c>
      <c r="AK92" s="61">
        <v>45734</v>
      </c>
      <c r="AL92" s="61">
        <v>45734</v>
      </c>
      <c r="AM92" s="61">
        <v>45734</v>
      </c>
      <c r="AN92" t="s" s="57">
        <v>711</v>
      </c>
      <c r="AO92" s="61" cm="1">
        <f t="array" ref="AO92">AJ92</f>
        <v>45734</v>
      </c>
      <c r="AP92" t="s" s="57">
        <v>712</v>
      </c>
      <c r="AQ92" s="61" cm="1">
        <f t="array" ref="AQ92">AJ92</f>
        <v>45734</v>
      </c>
      <c r="AR92" t="s" s="57">
        <v>713</v>
      </c>
      <c r="AS92" s="61" cm="1">
        <f t="array" ref="AS92">AJ92</f>
        <v>45734</v>
      </c>
      <c r="AT92" t="s" s="62">
        <v>714</v>
      </c>
      <c r="AU92" s="61" cm="1">
        <f t="array" ref="AU92">AJ92</f>
        <v>45734</v>
      </c>
      <c r="AV92" s="51"/>
      <c r="AW92" t="str" s="63" cm="1">
        <f t="array" ref="AW92">"600/"&amp;$B92&amp;"/"&amp;IF(AND($AE92="Konsultansi",M92&lt;=100000000),"SPK",IF(AND($AE92="Konsultansi",M92&gt;100000000),"Kont",IF(AND($AE92&lt;&gt;"Konsultansi",M92&lt;=200000000),"SPK","Kont")))&amp;"-"&amp;AE92&amp;"/PPK/DPUPR"</f>
        <v>600/58430653/SPK-Konstruksi/PPK/DPUPR</v>
      </c>
      <c r="AX92" t="str" s="63" cm="1">
        <f t="array" ref="AX92">"600/"&amp;$B92&amp;"/SPMK/PPK/DPUPR"</f>
        <v>600/58430653/SPMK/PPK/DPUPR</v>
      </c>
      <c r="AY92" s="51"/>
      <c r="AZ92" s="51"/>
      <c r="BA92" s="51"/>
      <c r="BB92" s="51"/>
      <c r="BC92" s="51"/>
      <c r="BD92" s="51"/>
      <c r="BE92" s="51"/>
      <c r="BF92" s="51"/>
      <c r="BG92" s="64">
        <v>206</v>
      </c>
      <c r="BH92" t="s" s="57">
        <v>484</v>
      </c>
      <c r="BI92" t="s" s="57">
        <v>21</v>
      </c>
      <c r="BJ92" t="s" s="57">
        <v>22</v>
      </c>
      <c r="BK92" t="s" s="57">
        <v>23</v>
      </c>
      <c r="BL92" t="s" s="57">
        <v>24</v>
      </c>
      <c r="BM92" s="51"/>
      <c r="BN92" s="51"/>
      <c r="BO92" s="51"/>
      <c r="BP92" s="51"/>
      <c r="BQ92" s="51"/>
      <c r="BR92" t="b" s="60">
        <v>0</v>
      </c>
      <c r="BS92" s="54" cm="1">
        <f t="array" ref="BS92">IF(M92&lt;=0.8*K92,5%*K92,M92*5%)</f>
        <v>9976900</v>
      </c>
      <c r="BT92" t="s" s="57">
        <v>25</v>
      </c>
      <c r="BU92" s="51"/>
      <c r="BV92" s="54" cm="1">
        <f t="array" ref="BV92">J92-M92</f>
        <v>462000</v>
      </c>
    </row>
    <row r="93" ht="48.25" customHeight="1">
      <c r="A93" s="47"/>
      <c r="B93" s="48">
        <v>58430780</v>
      </c>
      <c r="C93" t="s" s="89">
        <v>717</v>
      </c>
      <c r="D93" t="s" s="76">
        <v>1</v>
      </c>
      <c r="E93" t="str" s="67" cm="1">
        <f t="array" ref="E93">$C93</f>
        <v>Peningkatan Jalan Mandar II - Maisia </v>
      </c>
      <c r="F93" s="68"/>
      <c r="G93" s="67"/>
      <c r="H93" s="67"/>
      <c r="I93" s="67"/>
      <c r="J93" s="69">
        <v>200000000</v>
      </c>
      <c r="K93" s="69">
        <v>200000000</v>
      </c>
      <c r="L93" s="56">
        <v>199029197.36</v>
      </c>
      <c r="M93" s="69">
        <v>199029000</v>
      </c>
      <c r="N93" t="s" s="72">
        <v>484</v>
      </c>
      <c r="O93" t="s" s="78">
        <v>485</v>
      </c>
      <c r="P93" t="s" s="72">
        <v>4</v>
      </c>
      <c r="Q93" t="s" s="72">
        <v>486</v>
      </c>
      <c r="R93" t="s" s="72">
        <v>487</v>
      </c>
      <c r="S93" t="s" s="72">
        <v>488</v>
      </c>
      <c r="T93" s="71">
        <v>43873</v>
      </c>
      <c r="U93" t="s" s="72">
        <v>164</v>
      </c>
      <c r="V93" t="s" s="72">
        <v>489</v>
      </c>
      <c r="W93" t="s" s="72">
        <v>490</v>
      </c>
      <c r="X93" s="79">
        <v>90</v>
      </c>
      <c r="Y93" t="s" s="72">
        <v>10</v>
      </c>
      <c r="Z93" s="69" cm="1">
        <f t="array" ref="Z93">M93</f>
        <v>199029000</v>
      </c>
      <c r="AA93" t="s" s="72">
        <v>11</v>
      </c>
      <c r="AB93" s="71" cm="1">
        <f t="array" ref="AB93">AH93</f>
        <v>45734</v>
      </c>
      <c r="AC93" s="79">
        <v>180</v>
      </c>
      <c r="AD93" t="s" s="72">
        <v>106</v>
      </c>
      <c r="AE93" t="s" s="72">
        <v>107</v>
      </c>
      <c r="AF93" t="s" s="72">
        <v>108</v>
      </c>
      <c r="AG93" s="71">
        <v>45733</v>
      </c>
      <c r="AH93" s="71">
        <v>45734</v>
      </c>
      <c r="AI93" s="71">
        <v>45734</v>
      </c>
      <c r="AJ93" s="71">
        <v>45734</v>
      </c>
      <c r="AK93" s="71">
        <v>45734</v>
      </c>
      <c r="AL93" s="71">
        <v>45734</v>
      </c>
      <c r="AM93" s="71">
        <v>45734</v>
      </c>
      <c r="AN93" t="s" s="72">
        <v>719</v>
      </c>
      <c r="AO93" s="71" cm="1">
        <f t="array" ref="AO93">AJ93</f>
        <v>45734</v>
      </c>
      <c r="AP93" t="s" s="72">
        <v>720</v>
      </c>
      <c r="AQ93" s="71" cm="1">
        <f t="array" ref="AQ93">AJ93</f>
        <v>45734</v>
      </c>
      <c r="AR93" t="s" s="72">
        <v>721</v>
      </c>
      <c r="AS93" s="71" cm="1">
        <f t="array" ref="AS93">AJ93</f>
        <v>45734</v>
      </c>
      <c r="AT93" t="s" s="62">
        <v>722</v>
      </c>
      <c r="AU93" s="71" cm="1">
        <f t="array" ref="AU93">AJ93</f>
        <v>45734</v>
      </c>
      <c r="AV93" s="67"/>
      <c r="AW93" t="str" s="74" cm="1">
        <f t="array" ref="AW93">"600/"&amp;$B93&amp;"/"&amp;IF(AND($AE93="Konsultansi",M93&lt;=100000000),"SPK",IF(AND($AE93="Konsultansi",M93&gt;100000000),"Kont",IF(AND($AE93&lt;&gt;"Konsultansi",M93&lt;=200000000),"SPK","Kont")))&amp;"-"&amp;AE93&amp;"/PPK/DPUPR"</f>
        <v>600/58430780/SPK-Konstruksi/PPK/DPUPR</v>
      </c>
      <c r="AX93" t="str" s="74" cm="1">
        <f t="array" ref="AX93">"600/"&amp;$B93&amp;"/SPMK/PPK/DPUPR"</f>
        <v>600/58430780/SPMK/PPK/DPUPR</v>
      </c>
      <c r="AY93" s="67"/>
      <c r="AZ93" s="67"/>
      <c r="BA93" s="67"/>
      <c r="BB93" s="67"/>
      <c r="BC93" s="67"/>
      <c r="BD93" s="67"/>
      <c r="BE93" s="67"/>
      <c r="BF93" s="67"/>
      <c r="BG93" s="80">
        <v>206</v>
      </c>
      <c r="BH93" t="s" s="72">
        <v>484</v>
      </c>
      <c r="BI93" t="s" s="72">
        <v>21</v>
      </c>
      <c r="BJ93" t="s" s="72">
        <v>22</v>
      </c>
      <c r="BK93" t="s" s="72">
        <v>23</v>
      </c>
      <c r="BL93" t="s" s="72">
        <v>24</v>
      </c>
      <c r="BM93" s="67"/>
      <c r="BN93" s="67"/>
      <c r="BO93" s="67"/>
      <c r="BP93" s="67"/>
      <c r="BQ93" s="67"/>
      <c r="BR93" t="b" s="79">
        <v>0</v>
      </c>
      <c r="BS93" s="69" cm="1">
        <f t="array" ref="BS93">IF(M93&lt;=0.8*K93,5%*K93,M93*5%)</f>
        <v>9951450</v>
      </c>
      <c r="BT93" t="s" s="72">
        <v>25</v>
      </c>
      <c r="BU93" s="67"/>
      <c r="BV93" s="69" cm="1">
        <f t="array" ref="BV93">J93-M93</f>
        <v>971000</v>
      </c>
    </row>
    <row r="94" ht="72.25" customHeight="1">
      <c r="A94" s="47"/>
      <c r="B94" s="48">
        <v>56625267</v>
      </c>
      <c r="C94" t="s" s="89">
        <v>725</v>
      </c>
      <c r="D94" t="s" s="50">
        <v>726</v>
      </c>
      <c r="E94" t="str" s="51" cm="1">
        <f t="array" ref="E94">$C94</f>
        <v>Perenc. Rehabilitasi/Pemeliharaan Rumah Jabatan Bupati </v>
      </c>
      <c r="F94" s="52"/>
      <c r="G94" s="51"/>
      <c r="H94" s="51"/>
      <c r="I94" s="51"/>
      <c r="J94" s="54">
        <v>37500000</v>
      </c>
      <c r="K94" s="54">
        <v>37499000</v>
      </c>
      <c r="L94" s="56">
        <v>37442605.32</v>
      </c>
      <c r="M94" s="54">
        <v>37442000</v>
      </c>
      <c r="N94" t="s" s="57">
        <v>728</v>
      </c>
      <c r="O94" t="s" s="58">
        <v>729</v>
      </c>
      <c r="P94" t="s" s="57">
        <v>4</v>
      </c>
      <c r="Q94" t="s" s="57">
        <v>730</v>
      </c>
      <c r="R94" t="s" s="57">
        <v>731</v>
      </c>
      <c r="S94" t="s" s="57">
        <v>148</v>
      </c>
      <c r="T94" s="61">
        <v>45302</v>
      </c>
      <c r="U94" t="s" s="57">
        <v>732</v>
      </c>
      <c r="V94" t="s" s="57">
        <v>733</v>
      </c>
      <c r="W94" t="s" s="57">
        <v>734</v>
      </c>
      <c r="X94" s="60">
        <v>30</v>
      </c>
      <c r="Y94" t="s" s="57">
        <v>10</v>
      </c>
      <c r="Z94" s="54" cm="1">
        <f t="array" ref="Z94">M94</f>
        <v>37442000</v>
      </c>
      <c r="AA94" t="s" s="57">
        <v>11</v>
      </c>
      <c r="AB94" s="61" cm="1">
        <f t="array" ref="AB94">AH94</f>
        <v>45734</v>
      </c>
      <c r="AC94" s="51"/>
      <c r="AD94" t="s" s="57">
        <v>192</v>
      </c>
      <c r="AE94" t="s" s="57">
        <v>13</v>
      </c>
      <c r="AF94" t="s" s="57">
        <v>735</v>
      </c>
      <c r="AG94" s="61">
        <v>45733</v>
      </c>
      <c r="AH94" s="61">
        <v>45734</v>
      </c>
      <c r="AI94" s="61">
        <v>45734</v>
      </c>
      <c r="AJ94" s="61">
        <v>45734</v>
      </c>
      <c r="AK94" s="61">
        <v>45734</v>
      </c>
      <c r="AL94" s="61">
        <v>45734</v>
      </c>
      <c r="AM94" s="61">
        <v>45734</v>
      </c>
      <c r="AN94" t="s" s="57">
        <v>736</v>
      </c>
      <c r="AO94" s="61" cm="1">
        <f t="array" ref="AO94">AJ94</f>
        <v>45734</v>
      </c>
      <c r="AP94" t="s" s="57">
        <v>737</v>
      </c>
      <c r="AQ94" s="61" cm="1">
        <f t="array" ref="AQ94">AJ94</f>
        <v>45734</v>
      </c>
      <c r="AR94" t="s" s="57">
        <v>738</v>
      </c>
      <c r="AS94" s="61" cm="1">
        <f t="array" ref="AS94">AJ94</f>
        <v>45734</v>
      </c>
      <c r="AT94" t="s" s="62">
        <v>739</v>
      </c>
      <c r="AU94" s="61" cm="1">
        <f t="array" ref="AU94">AJ94</f>
        <v>45734</v>
      </c>
      <c r="AV94" s="51"/>
      <c r="AW94" t="str" s="63" cm="1">
        <f t="array" ref="AW94">"600/"&amp;$B94&amp;"/"&amp;IF(AND($AE94="Konsultansi",M94&lt;=100000000),"SPK",IF(AND($AE94="Konsultansi",M94&gt;100000000),"Kont",IF(AND($AE94&lt;&gt;"Konsultansi",M94&lt;=200000000),"SPK","Kont")))&amp;"-"&amp;AE94&amp;"/PPK/DPUPR"</f>
        <v>600/56625267/SPK-Konsultansi/PPK/DPUPR</v>
      </c>
      <c r="AX94" t="str" s="63" cm="1">
        <f t="array" ref="AX94">"600/"&amp;$B94&amp;"/SPMK/PPK/DPUPR"</f>
        <v>600/56625267/SPMK/PPK/DPUPR</v>
      </c>
      <c r="AY94" s="51"/>
      <c r="AZ94" s="51"/>
      <c r="BA94" s="51"/>
      <c r="BB94" s="51"/>
      <c r="BC94" s="51"/>
      <c r="BD94" s="51"/>
      <c r="BE94" s="51"/>
      <c r="BF94" s="51"/>
      <c r="BG94" s="64">
        <v>255</v>
      </c>
      <c r="BH94" t="s" s="57">
        <v>728</v>
      </c>
      <c r="BI94" t="s" s="57">
        <v>21</v>
      </c>
      <c r="BJ94" t="s" s="57">
        <v>22</v>
      </c>
      <c r="BK94" t="s" s="57">
        <v>23</v>
      </c>
      <c r="BL94" t="s" s="57">
        <v>24</v>
      </c>
      <c r="BM94" s="51"/>
      <c r="BN94" s="51"/>
      <c r="BO94" s="51"/>
      <c r="BP94" s="51"/>
      <c r="BQ94" s="51"/>
      <c r="BR94" t="b" s="60">
        <v>0</v>
      </c>
      <c r="BS94" s="54" cm="1">
        <f t="array" ref="BS94">IF(M94&lt;=0.8*K94,5%*K94,M94*5%)</f>
        <v>1872100</v>
      </c>
      <c r="BT94" t="s" s="57">
        <v>432</v>
      </c>
      <c r="BU94" s="51"/>
      <c r="BV94" s="54" cm="1">
        <f t="array" ref="BV94">J94-M94</f>
        <v>58000</v>
      </c>
    </row>
    <row r="95" ht="60.25" customHeight="1">
      <c r="A95" s="47"/>
      <c r="B95" s="48">
        <v>56632498</v>
      </c>
      <c r="C95" t="s" s="89">
        <v>742</v>
      </c>
      <c r="D95" t="s" s="76">
        <v>280</v>
      </c>
      <c r="E95" t="str" s="67" cm="1">
        <f t="array" ref="E95">$C95</f>
        <v>Stock Desain Jemb./Box Culvert Kab. Pasangkayu I </v>
      </c>
      <c r="F95" s="68"/>
      <c r="G95" s="67"/>
      <c r="H95" s="67"/>
      <c r="I95" s="67"/>
      <c r="J95" s="69">
        <v>100000000</v>
      </c>
      <c r="K95" s="77">
        <v>99995438.16</v>
      </c>
      <c r="L95" s="56">
        <v>99872384.40000001</v>
      </c>
      <c r="M95" s="69">
        <v>99872000</v>
      </c>
      <c r="N95" t="s" s="72">
        <v>744</v>
      </c>
      <c r="O95" t="s" s="78">
        <v>745</v>
      </c>
      <c r="P95" t="s" s="72">
        <v>4</v>
      </c>
      <c r="Q95" t="s" s="72">
        <v>746</v>
      </c>
      <c r="R95" t="s" s="72">
        <v>747</v>
      </c>
      <c r="S95" t="s" s="72">
        <v>748</v>
      </c>
      <c r="T95" s="71">
        <v>45670</v>
      </c>
      <c r="U95" t="s" s="72">
        <v>749</v>
      </c>
      <c r="V95" t="s" s="72">
        <v>750</v>
      </c>
      <c r="W95" t="s" s="72">
        <v>751</v>
      </c>
      <c r="X95" s="79">
        <v>30</v>
      </c>
      <c r="Y95" t="s" s="72">
        <v>10</v>
      </c>
      <c r="Z95" s="69" cm="1">
        <f t="array" ref="Z95">M95</f>
        <v>99872000</v>
      </c>
      <c r="AA95" t="s" s="72">
        <v>11</v>
      </c>
      <c r="AB95" s="71" cm="1">
        <f t="array" ref="AB95">AH95</f>
        <v>45734</v>
      </c>
      <c r="AC95" s="67"/>
      <c r="AD95" t="s" s="72">
        <v>192</v>
      </c>
      <c r="AE95" t="s" s="72">
        <v>13</v>
      </c>
      <c r="AF95" t="s" s="72">
        <v>399</v>
      </c>
      <c r="AG95" s="71">
        <v>45733</v>
      </c>
      <c r="AH95" s="71">
        <v>45734</v>
      </c>
      <c r="AI95" s="71">
        <v>45734</v>
      </c>
      <c r="AJ95" s="71">
        <v>45734</v>
      </c>
      <c r="AK95" s="71">
        <v>45734</v>
      </c>
      <c r="AL95" s="71">
        <v>45734</v>
      </c>
      <c r="AM95" s="71">
        <v>45734</v>
      </c>
      <c r="AN95" t="s" s="72">
        <v>752</v>
      </c>
      <c r="AO95" s="71" cm="1">
        <f t="array" ref="AO95">AJ95</f>
        <v>45734</v>
      </c>
      <c r="AP95" t="s" s="72">
        <v>753</v>
      </c>
      <c r="AQ95" s="71" cm="1">
        <f t="array" ref="AQ95">AJ95</f>
        <v>45734</v>
      </c>
      <c r="AR95" t="s" s="72">
        <v>754</v>
      </c>
      <c r="AS95" s="71" cm="1">
        <f t="array" ref="AS95">AJ95</f>
        <v>45734</v>
      </c>
      <c r="AT95" t="s" s="62">
        <v>755</v>
      </c>
      <c r="AU95" s="71" cm="1">
        <f t="array" ref="AU95">AJ95</f>
        <v>45734</v>
      </c>
      <c r="AV95" s="67"/>
      <c r="AW95" t="str" s="74" cm="1">
        <f t="array" ref="AW95">"600/"&amp;$B95&amp;"/"&amp;IF(AND($AE95="Konsultansi",M95&lt;=100000000),"SPK",IF(AND($AE95="Konsultansi",M95&gt;100000000),"Kont",IF(AND($AE95&lt;&gt;"Konsultansi",M95&lt;=200000000),"SPK","Kont")))&amp;"-"&amp;AE95&amp;"/PPK/DPUPR"</f>
        <v>600/56632498/SPK-Konsultansi/PPK/DPUPR</v>
      </c>
      <c r="AX95" t="str" s="74" cm="1">
        <f t="array" ref="AX95">"600/"&amp;$B95&amp;"/SPMK/PPK/DPUPR"</f>
        <v>600/56632498/SPMK/PPK/DPUPR</v>
      </c>
      <c r="AY95" s="67"/>
      <c r="AZ95" s="67"/>
      <c r="BA95" s="67"/>
      <c r="BB95" s="67"/>
      <c r="BC95" s="67"/>
      <c r="BD95" s="67"/>
      <c r="BE95" s="67"/>
      <c r="BF95" s="67"/>
      <c r="BG95" s="80">
        <v>250</v>
      </c>
      <c r="BH95" t="s" s="72">
        <v>744</v>
      </c>
      <c r="BI95" t="s" s="72">
        <v>21</v>
      </c>
      <c r="BJ95" t="s" s="72">
        <v>22</v>
      </c>
      <c r="BK95" t="s" s="72">
        <v>23</v>
      </c>
      <c r="BL95" t="s" s="72">
        <v>24</v>
      </c>
      <c r="BM95" s="67"/>
      <c r="BN95" s="67"/>
      <c r="BO95" s="67"/>
      <c r="BP95" s="67"/>
      <c r="BQ95" s="67"/>
      <c r="BR95" t="b" s="79">
        <v>0</v>
      </c>
      <c r="BS95" s="69" cm="1">
        <f t="array" ref="BS95">IF(M95&lt;=0.8*K95,5%*K95,M95*5%)</f>
        <v>4993600</v>
      </c>
      <c r="BT95" t="s" s="72">
        <v>288</v>
      </c>
      <c r="BU95" s="67"/>
      <c r="BV95" s="69" cm="1">
        <f t="array" ref="BV95">J95-M95</f>
        <v>128000</v>
      </c>
    </row>
    <row r="96" ht="60.25" customHeight="1">
      <c r="A96" s="47"/>
      <c r="B96" s="48">
        <v>56741416</v>
      </c>
      <c r="C96" t="s" s="89">
        <v>758</v>
      </c>
      <c r="D96" t="s" s="50">
        <v>280</v>
      </c>
      <c r="E96" t="str" s="51" cm="1">
        <f t="array" ref="E96">$C96</f>
        <v>Stock Desain Jemb./Box Culvert Kab. Pasangkayu II </v>
      </c>
      <c r="F96" s="52"/>
      <c r="G96" s="51"/>
      <c r="H96" s="51"/>
      <c r="I96" s="51"/>
      <c r="J96" s="54">
        <v>100000000</v>
      </c>
      <c r="K96" s="55">
        <v>99995438.16</v>
      </c>
      <c r="L96" s="56">
        <v>99816764.40000001</v>
      </c>
      <c r="M96" s="54">
        <v>99816000</v>
      </c>
      <c r="N96" t="s" s="57">
        <v>744</v>
      </c>
      <c r="O96" t="s" s="58">
        <v>745</v>
      </c>
      <c r="P96" t="s" s="57">
        <v>4</v>
      </c>
      <c r="Q96" t="s" s="57">
        <v>746</v>
      </c>
      <c r="R96" t="s" s="57">
        <v>747</v>
      </c>
      <c r="S96" t="s" s="57">
        <v>748</v>
      </c>
      <c r="T96" s="61">
        <v>45670</v>
      </c>
      <c r="U96" t="s" s="57">
        <v>749</v>
      </c>
      <c r="V96" t="s" s="57">
        <v>750</v>
      </c>
      <c r="W96" t="s" s="57">
        <v>751</v>
      </c>
      <c r="X96" s="60">
        <v>30</v>
      </c>
      <c r="Y96" t="s" s="57">
        <v>10</v>
      </c>
      <c r="Z96" s="54" cm="1">
        <f t="array" ref="Z96">M96</f>
        <v>99816000</v>
      </c>
      <c r="AA96" t="s" s="57">
        <v>11</v>
      </c>
      <c r="AB96" s="61" cm="1">
        <f t="array" ref="AB96">AH96</f>
        <v>45734</v>
      </c>
      <c r="AC96" s="51"/>
      <c r="AD96" t="s" s="57">
        <v>192</v>
      </c>
      <c r="AE96" t="s" s="57">
        <v>13</v>
      </c>
      <c r="AF96" t="s" s="57">
        <v>399</v>
      </c>
      <c r="AG96" s="61">
        <v>45733</v>
      </c>
      <c r="AH96" s="61">
        <v>45734</v>
      </c>
      <c r="AI96" s="61">
        <v>45734</v>
      </c>
      <c r="AJ96" s="61">
        <v>45734</v>
      </c>
      <c r="AK96" s="61">
        <v>45734</v>
      </c>
      <c r="AL96" s="61">
        <v>45734</v>
      </c>
      <c r="AM96" s="61">
        <v>45734</v>
      </c>
      <c r="AN96" t="s" s="57">
        <v>760</v>
      </c>
      <c r="AO96" s="61" cm="1">
        <f t="array" ref="AO96">AJ96</f>
        <v>45734</v>
      </c>
      <c r="AP96" t="s" s="57">
        <v>761</v>
      </c>
      <c r="AQ96" s="61" cm="1">
        <f t="array" ref="AQ96">AJ96</f>
        <v>45734</v>
      </c>
      <c r="AR96" t="s" s="57">
        <v>762</v>
      </c>
      <c r="AS96" s="61" cm="1">
        <f t="array" ref="AS96">AJ96</f>
        <v>45734</v>
      </c>
      <c r="AT96" t="s" s="62">
        <v>763</v>
      </c>
      <c r="AU96" s="61" cm="1">
        <f t="array" ref="AU96">AJ96</f>
        <v>45734</v>
      </c>
      <c r="AV96" s="51"/>
      <c r="AW96" t="str" s="63" cm="1">
        <f t="array" ref="AW96">"600/"&amp;$B96&amp;"/"&amp;IF(AND($AE96="Konsultansi",M96&lt;=100000000),"SPK",IF(AND($AE96="Konsultansi",M96&gt;100000000),"Kont",IF(AND($AE96&lt;&gt;"Konsultansi",M96&lt;=200000000),"SPK","Kont")))&amp;"-"&amp;AE96&amp;"/PPK/DPUPR"</f>
        <v>600/56741416/SPK-Konsultansi/PPK/DPUPR</v>
      </c>
      <c r="AX96" t="str" s="63" cm="1">
        <f t="array" ref="AX96">"600/"&amp;$B96&amp;"/SPMK/PPK/DPUPR"</f>
        <v>600/56741416/SPMK/PPK/DPUPR</v>
      </c>
      <c r="AY96" s="51"/>
      <c r="AZ96" s="51"/>
      <c r="BA96" s="51"/>
      <c r="BB96" s="51"/>
      <c r="BC96" s="51"/>
      <c r="BD96" s="51"/>
      <c r="BE96" s="51"/>
      <c r="BF96" s="51"/>
      <c r="BG96" s="64">
        <v>250</v>
      </c>
      <c r="BH96" t="s" s="57">
        <v>744</v>
      </c>
      <c r="BI96" t="s" s="57">
        <v>21</v>
      </c>
      <c r="BJ96" t="s" s="57">
        <v>22</v>
      </c>
      <c r="BK96" t="s" s="57">
        <v>23</v>
      </c>
      <c r="BL96" t="s" s="57">
        <v>24</v>
      </c>
      <c r="BM96" s="51"/>
      <c r="BN96" s="51"/>
      <c r="BO96" s="51"/>
      <c r="BP96" s="51"/>
      <c r="BQ96" s="51"/>
      <c r="BR96" t="b" s="60">
        <v>0</v>
      </c>
      <c r="BS96" s="54" cm="1">
        <f t="array" ref="BS96">IF(M96&lt;=0.8*K96,5%*K96,M96*5%)</f>
        <v>4990800</v>
      </c>
      <c r="BT96" t="s" s="57">
        <v>288</v>
      </c>
      <c r="BU96" s="51"/>
      <c r="BV96" s="54" cm="1">
        <f t="array" ref="BV96">J96-M96</f>
        <v>184000</v>
      </c>
    </row>
    <row r="97" ht="36.25" customHeight="1">
      <c r="A97" s="47"/>
      <c r="B97" s="48">
        <v>56584477</v>
      </c>
      <c r="C97" t="s" s="89">
        <v>766</v>
      </c>
      <c r="D97" t="s" s="76">
        <v>1</v>
      </c>
      <c r="E97" t="str" s="67" cm="1">
        <f t="array" ref="E97">$C97</f>
        <v>Stock Desain Jalan Rabat Beton Pasangkayu I</v>
      </c>
      <c r="F97" s="68"/>
      <c r="G97" s="67"/>
      <c r="H97" s="67"/>
      <c r="I97" s="67"/>
      <c r="J97" s="69">
        <v>100000000</v>
      </c>
      <c r="K97" s="77">
        <v>99995193.36</v>
      </c>
      <c r="L97" s="56">
        <v>99872718.12</v>
      </c>
      <c r="M97" s="69">
        <v>99872000</v>
      </c>
      <c r="N97" t="s" s="72">
        <v>250</v>
      </c>
      <c r="O97" t="s" s="78">
        <v>251</v>
      </c>
      <c r="P97" t="s" s="72">
        <v>4</v>
      </c>
      <c r="Q97" t="s" s="72">
        <v>252</v>
      </c>
      <c r="R97" t="s" s="72">
        <v>253</v>
      </c>
      <c r="S97" t="s" s="72">
        <v>148</v>
      </c>
      <c r="T97" t="s" s="72">
        <v>254</v>
      </c>
      <c r="U97" t="s" s="72">
        <v>255</v>
      </c>
      <c r="V97" t="s" s="72">
        <v>256</v>
      </c>
      <c r="W97" t="s" s="72">
        <v>257</v>
      </c>
      <c r="X97" s="79">
        <v>30</v>
      </c>
      <c r="Y97" t="s" s="72">
        <v>10</v>
      </c>
      <c r="Z97" s="69" cm="1">
        <f t="array" ref="Z97">M97</f>
        <v>99872000</v>
      </c>
      <c r="AA97" t="s" s="72">
        <v>11</v>
      </c>
      <c r="AB97" s="71" cm="1">
        <f t="array" ref="AB97">AH97</f>
        <v>45734</v>
      </c>
      <c r="AC97" s="67"/>
      <c r="AD97" t="s" s="72">
        <v>192</v>
      </c>
      <c r="AE97" t="s" s="72">
        <v>13</v>
      </c>
      <c r="AF97" t="s" s="72">
        <v>108</v>
      </c>
      <c r="AG97" s="71">
        <v>45733</v>
      </c>
      <c r="AH97" s="71">
        <v>45734</v>
      </c>
      <c r="AI97" s="71">
        <v>45734</v>
      </c>
      <c r="AJ97" s="71">
        <v>45734</v>
      </c>
      <c r="AK97" s="71">
        <v>45734</v>
      </c>
      <c r="AL97" s="71">
        <v>45734</v>
      </c>
      <c r="AM97" s="71">
        <v>45734</v>
      </c>
      <c r="AN97" t="s" s="72">
        <v>768</v>
      </c>
      <c r="AO97" s="71" cm="1">
        <f t="array" ref="AO97">AJ97</f>
        <v>45734</v>
      </c>
      <c r="AP97" t="s" s="72">
        <v>769</v>
      </c>
      <c r="AQ97" s="71" cm="1">
        <f t="array" ref="AQ97">AJ97</f>
        <v>45734</v>
      </c>
      <c r="AR97" t="s" s="72">
        <v>770</v>
      </c>
      <c r="AS97" s="71" cm="1">
        <f t="array" ref="AS97">AJ97</f>
        <v>45734</v>
      </c>
      <c r="AT97" t="s" s="62">
        <v>771</v>
      </c>
      <c r="AU97" s="71" cm="1">
        <f t="array" ref="AU97">AJ97</f>
        <v>45734</v>
      </c>
      <c r="AV97" s="67"/>
      <c r="AW97" t="str" s="74" cm="1">
        <f t="array" ref="AW97">"600/"&amp;$B97&amp;"/"&amp;IF(AND($AE97="Konsultansi",M97&lt;=100000000),"SPK",IF(AND($AE97="Konsultansi",M97&gt;100000000),"Kont",IF(AND($AE97&lt;&gt;"Konsultansi",M97&lt;=200000000),"SPK","Kont")))&amp;"-"&amp;AE97&amp;"/PPK/DPUPR"</f>
        <v>600/56584477/SPK-Konsultansi/PPK/DPUPR</v>
      </c>
      <c r="AX97" t="str" s="74" cm="1">
        <f t="array" ref="AX97">"600/"&amp;$B97&amp;"/SPMK/PPK/DPUPR"</f>
        <v>600/56584477/SPMK/PPK/DPUPR</v>
      </c>
      <c r="AY97" s="67"/>
      <c r="AZ97" s="67"/>
      <c r="BA97" s="67"/>
      <c r="BB97" s="67"/>
      <c r="BC97" s="67"/>
      <c r="BD97" s="67"/>
      <c r="BE97" s="67"/>
      <c r="BF97" s="67"/>
      <c r="BG97" s="80">
        <v>247</v>
      </c>
      <c r="BH97" t="s" s="72">
        <v>250</v>
      </c>
      <c r="BI97" t="s" s="72">
        <v>21</v>
      </c>
      <c r="BJ97" t="s" s="72">
        <v>22</v>
      </c>
      <c r="BK97" t="s" s="72">
        <v>23</v>
      </c>
      <c r="BL97" t="s" s="72">
        <v>24</v>
      </c>
      <c r="BM97" s="67"/>
      <c r="BN97" s="67"/>
      <c r="BO97" s="67"/>
      <c r="BP97" s="67"/>
      <c r="BQ97" s="67"/>
      <c r="BR97" t="b" s="79">
        <v>0</v>
      </c>
      <c r="BS97" s="69" cm="1">
        <f t="array" ref="BS97">IF(M97&lt;=0.8*K97,5%*K97,M97*5%)</f>
        <v>4993600</v>
      </c>
      <c r="BT97" t="s" s="72">
        <v>25</v>
      </c>
      <c r="BU97" s="67"/>
      <c r="BV97" s="69" cm="1">
        <f t="array" ref="BV97">J97-M97</f>
        <v>128000</v>
      </c>
    </row>
    <row r="98" ht="36.25" customHeight="1">
      <c r="A98" s="47"/>
      <c r="B98" s="48">
        <v>56951433</v>
      </c>
      <c r="C98" t="s" s="89">
        <v>774</v>
      </c>
      <c r="D98" t="s" s="50">
        <v>1</v>
      </c>
      <c r="E98" t="str" s="51" cm="1">
        <f t="array" ref="E98">$C98</f>
        <v>Stock Desain Jalan Rabat Beton Pasangkayu II</v>
      </c>
      <c r="F98" s="52"/>
      <c r="G98" s="51"/>
      <c r="H98" s="51"/>
      <c r="I98" s="51"/>
      <c r="J98" s="54">
        <v>100000000</v>
      </c>
      <c r="K98" s="55">
        <v>99995193.36</v>
      </c>
      <c r="L98" s="56">
        <v>99805084.2</v>
      </c>
      <c r="M98" s="54">
        <v>99805000</v>
      </c>
      <c r="N98" t="s" s="57">
        <v>250</v>
      </c>
      <c r="O98" t="s" s="58">
        <v>251</v>
      </c>
      <c r="P98" t="s" s="57">
        <v>4</v>
      </c>
      <c r="Q98" t="s" s="57">
        <v>252</v>
      </c>
      <c r="R98" t="s" s="57">
        <v>253</v>
      </c>
      <c r="S98" t="s" s="57">
        <v>148</v>
      </c>
      <c r="T98" t="s" s="57">
        <v>254</v>
      </c>
      <c r="U98" t="s" s="57">
        <v>255</v>
      </c>
      <c r="V98" t="s" s="57">
        <v>256</v>
      </c>
      <c r="W98" t="s" s="57">
        <v>257</v>
      </c>
      <c r="X98" s="60">
        <v>30</v>
      </c>
      <c r="Y98" t="s" s="57">
        <v>10</v>
      </c>
      <c r="Z98" s="54" cm="1">
        <f t="array" ref="Z98">M98</f>
        <v>99805000</v>
      </c>
      <c r="AA98" t="s" s="57">
        <v>11</v>
      </c>
      <c r="AB98" s="61" cm="1">
        <f t="array" ref="AB98">AH98</f>
        <v>45734</v>
      </c>
      <c r="AC98" s="51"/>
      <c r="AD98" t="s" s="57">
        <v>192</v>
      </c>
      <c r="AE98" t="s" s="57">
        <v>13</v>
      </c>
      <c r="AF98" t="s" s="57">
        <v>108</v>
      </c>
      <c r="AG98" s="61">
        <v>45733</v>
      </c>
      <c r="AH98" s="61">
        <v>45734</v>
      </c>
      <c r="AI98" s="61">
        <v>45734</v>
      </c>
      <c r="AJ98" s="61">
        <v>45734</v>
      </c>
      <c r="AK98" s="61">
        <v>45734</v>
      </c>
      <c r="AL98" s="61">
        <v>45734</v>
      </c>
      <c r="AM98" s="61">
        <v>45734</v>
      </c>
      <c r="AN98" t="s" s="57">
        <v>776</v>
      </c>
      <c r="AO98" s="61" cm="1">
        <f t="array" ref="AO98">AJ98</f>
        <v>45734</v>
      </c>
      <c r="AP98" t="s" s="57">
        <v>777</v>
      </c>
      <c r="AQ98" s="61" cm="1">
        <f t="array" ref="AQ98">AJ98</f>
        <v>45734</v>
      </c>
      <c r="AR98" t="s" s="57">
        <v>778</v>
      </c>
      <c r="AS98" s="61" cm="1">
        <f t="array" ref="AS98">AJ98</f>
        <v>45734</v>
      </c>
      <c r="AT98" t="s" s="62">
        <v>779</v>
      </c>
      <c r="AU98" s="61" cm="1">
        <f t="array" ref="AU98">AJ98</f>
        <v>45734</v>
      </c>
      <c r="AV98" s="51"/>
      <c r="AW98" t="str" s="63" cm="1">
        <f t="array" ref="AW98">"600/"&amp;$B98&amp;"/"&amp;IF(AND($AE98="Konsultansi",M98&lt;=100000000),"SPK",IF(AND($AE98="Konsultansi",M98&gt;100000000),"Kont",IF(AND($AE98&lt;&gt;"Konsultansi",M98&lt;=200000000),"SPK","Kont")))&amp;"-"&amp;AE98&amp;"/PPK/DPUPR"</f>
        <v>600/56951433/SPK-Konsultansi/PPK/DPUPR</v>
      </c>
      <c r="AX98" t="str" s="63" cm="1">
        <f t="array" ref="AX98">"600/"&amp;$B98&amp;"/SPMK/PPK/DPUPR"</f>
        <v>600/56951433/SPMK/PPK/DPUPR</v>
      </c>
      <c r="AY98" s="51"/>
      <c r="AZ98" s="51"/>
      <c r="BA98" s="51"/>
      <c r="BB98" s="51"/>
      <c r="BC98" s="51"/>
      <c r="BD98" s="51"/>
      <c r="BE98" s="51"/>
      <c r="BF98" s="51"/>
      <c r="BG98" s="64">
        <v>247</v>
      </c>
      <c r="BH98" t="s" s="57">
        <v>250</v>
      </c>
      <c r="BI98" t="s" s="57">
        <v>21</v>
      </c>
      <c r="BJ98" t="s" s="57">
        <v>22</v>
      </c>
      <c r="BK98" t="s" s="57">
        <v>23</v>
      </c>
      <c r="BL98" t="s" s="57">
        <v>24</v>
      </c>
      <c r="BM98" s="51"/>
      <c r="BN98" s="51"/>
      <c r="BO98" s="51"/>
      <c r="BP98" s="51"/>
      <c r="BQ98" s="51"/>
      <c r="BR98" t="b" s="60">
        <v>0</v>
      </c>
      <c r="BS98" s="54" cm="1">
        <f t="array" ref="BS98">IF(M98&lt;=0.8*K98,5%*K98,M98*5%)</f>
        <v>4990250</v>
      </c>
      <c r="BT98" t="s" s="57">
        <v>25</v>
      </c>
      <c r="BU98" s="51"/>
      <c r="BV98" s="54" cm="1">
        <f t="array" ref="BV98">J98-M98</f>
        <v>195000</v>
      </c>
    </row>
    <row r="99" ht="36.25" customHeight="1">
      <c r="A99" s="47"/>
      <c r="B99" s="48">
        <v>56422813</v>
      </c>
      <c r="C99" t="s" s="89">
        <v>782</v>
      </c>
      <c r="D99" t="s" s="76">
        <v>1</v>
      </c>
      <c r="E99" t="str" s="67" cm="1">
        <f t="array" ref="E99">$C99</f>
        <v>Stock Desain Jalan Rabat Beton Pasangkayu III</v>
      </c>
      <c r="F99" s="68"/>
      <c r="G99" s="67"/>
      <c r="H99" s="67"/>
      <c r="I99" s="67"/>
      <c r="J99" s="69">
        <v>100000000</v>
      </c>
      <c r="K99" s="77">
        <v>99995193.36</v>
      </c>
      <c r="L99" s="56">
        <v>99816208.2</v>
      </c>
      <c r="M99" s="69">
        <v>99816000</v>
      </c>
      <c r="N99" t="s" s="72">
        <v>250</v>
      </c>
      <c r="O99" t="s" s="78">
        <v>251</v>
      </c>
      <c r="P99" t="s" s="72">
        <v>4</v>
      </c>
      <c r="Q99" t="s" s="72">
        <v>252</v>
      </c>
      <c r="R99" t="s" s="72">
        <v>253</v>
      </c>
      <c r="S99" t="s" s="72">
        <v>148</v>
      </c>
      <c r="T99" t="s" s="72">
        <v>254</v>
      </c>
      <c r="U99" t="s" s="72">
        <v>255</v>
      </c>
      <c r="V99" t="s" s="72">
        <v>256</v>
      </c>
      <c r="W99" t="s" s="72">
        <v>257</v>
      </c>
      <c r="X99" s="79">
        <v>30</v>
      </c>
      <c r="Y99" t="s" s="72">
        <v>10</v>
      </c>
      <c r="Z99" s="69" cm="1">
        <f t="array" ref="Z99">M99</f>
        <v>99816000</v>
      </c>
      <c r="AA99" t="s" s="72">
        <v>11</v>
      </c>
      <c r="AB99" s="71" cm="1">
        <f t="array" ref="AB99">AH99</f>
        <v>45734</v>
      </c>
      <c r="AC99" s="67"/>
      <c r="AD99" t="s" s="72">
        <v>192</v>
      </c>
      <c r="AE99" t="s" s="72">
        <v>13</v>
      </c>
      <c r="AF99" t="s" s="72">
        <v>108</v>
      </c>
      <c r="AG99" s="71">
        <v>45733</v>
      </c>
      <c r="AH99" s="71">
        <v>45734</v>
      </c>
      <c r="AI99" s="71">
        <v>45734</v>
      </c>
      <c r="AJ99" s="71">
        <v>45734</v>
      </c>
      <c r="AK99" s="71">
        <v>45734</v>
      </c>
      <c r="AL99" s="71">
        <v>45734</v>
      </c>
      <c r="AM99" s="71">
        <v>45734</v>
      </c>
      <c r="AN99" t="s" s="72">
        <v>784</v>
      </c>
      <c r="AO99" s="71" cm="1">
        <f t="array" ref="AO99">AJ99</f>
        <v>45734</v>
      </c>
      <c r="AP99" t="s" s="72">
        <v>785</v>
      </c>
      <c r="AQ99" s="71" cm="1">
        <f t="array" ref="AQ99">AJ99</f>
        <v>45734</v>
      </c>
      <c r="AR99" t="s" s="72">
        <v>786</v>
      </c>
      <c r="AS99" s="71" cm="1">
        <f t="array" ref="AS99">AJ99</f>
        <v>45734</v>
      </c>
      <c r="AT99" t="s" s="62">
        <v>787</v>
      </c>
      <c r="AU99" s="71" cm="1">
        <f t="array" ref="AU99">AJ99</f>
        <v>45734</v>
      </c>
      <c r="AV99" s="67"/>
      <c r="AW99" t="str" s="74" cm="1">
        <f t="array" ref="AW99">"600/"&amp;$B99&amp;"/"&amp;IF(AND($AE99="Konsultansi",M99&lt;=100000000),"SPK",IF(AND($AE99="Konsultansi",M99&gt;100000000),"Kont",IF(AND($AE99&lt;&gt;"Konsultansi",M99&lt;=200000000),"SPK","Kont")))&amp;"-"&amp;AE99&amp;"/PPK/DPUPR"</f>
        <v>600/56422813/SPK-Konsultansi/PPK/DPUPR</v>
      </c>
      <c r="AX99" t="str" s="74" cm="1">
        <f t="array" ref="AX99">"600/"&amp;$B99&amp;"/SPMK/PPK/DPUPR"</f>
        <v>600/56422813/SPMK/PPK/DPUPR</v>
      </c>
      <c r="AY99" s="67"/>
      <c r="AZ99" s="67"/>
      <c r="BA99" s="67"/>
      <c r="BB99" s="67"/>
      <c r="BC99" s="67"/>
      <c r="BD99" s="67"/>
      <c r="BE99" s="67"/>
      <c r="BF99" s="67"/>
      <c r="BG99" s="80">
        <v>247</v>
      </c>
      <c r="BH99" t="s" s="72">
        <v>250</v>
      </c>
      <c r="BI99" t="s" s="72">
        <v>21</v>
      </c>
      <c r="BJ99" t="s" s="72">
        <v>22</v>
      </c>
      <c r="BK99" t="s" s="72">
        <v>23</v>
      </c>
      <c r="BL99" t="s" s="72">
        <v>24</v>
      </c>
      <c r="BM99" s="67"/>
      <c r="BN99" s="67"/>
      <c r="BO99" s="67"/>
      <c r="BP99" s="67"/>
      <c r="BQ99" s="67"/>
      <c r="BR99" t="b" s="79">
        <v>0</v>
      </c>
      <c r="BS99" s="69" cm="1">
        <f t="array" ref="BS99">IF(M99&lt;=0.8*K99,5%*K99,M99*5%)</f>
        <v>4990800</v>
      </c>
      <c r="BT99" t="s" s="72">
        <v>25</v>
      </c>
      <c r="BU99" s="67"/>
      <c r="BV99" s="69" cm="1">
        <f t="array" ref="BV99">J99-M99</f>
        <v>184000</v>
      </c>
    </row>
    <row r="100" ht="24.25" customHeight="1">
      <c r="A100" s="47"/>
      <c r="B100" s="47"/>
      <c r="C100" s="90"/>
      <c r="D100" s="82"/>
      <c r="E100" s="60" cm="1">
        <f t="array" ref="E100">$C100</f>
        <v>0</v>
      </c>
      <c r="F100" s="52"/>
      <c r="G100" s="51"/>
      <c r="H100" s="51"/>
      <c r="I100" s="51"/>
      <c r="J100" s="54"/>
      <c r="K100" s="54"/>
      <c r="L100" s="56"/>
      <c r="M100" s="54"/>
      <c r="N100" t="s" s="57">
        <v>174</v>
      </c>
      <c r="O100" t="s" s="58">
        <v>174</v>
      </c>
      <c r="P100" t="s" s="57">
        <v>174</v>
      </c>
      <c r="Q100" t="s" s="57">
        <v>174</v>
      </c>
      <c r="R100" t="s" s="57">
        <v>174</v>
      </c>
      <c r="S100" t="s" s="57">
        <v>174</v>
      </c>
      <c r="T100" t="s" s="57">
        <v>174</v>
      </c>
      <c r="U100" t="s" s="57">
        <v>174</v>
      </c>
      <c r="V100" t="s" s="57">
        <v>174</v>
      </c>
      <c r="W100" t="s" s="57">
        <v>174</v>
      </c>
      <c r="X100" s="51"/>
      <c r="Y100" s="51"/>
      <c r="Z100" s="54" cm="1">
        <f t="array" ref="Z100">M100</f>
        <v>0</v>
      </c>
      <c r="AA100" s="51"/>
      <c r="AB100" s="61" cm="1">
        <f t="array" ref="AB100">AH100</f>
      </c>
      <c r="AC100" s="51"/>
      <c r="AD100" s="51"/>
      <c r="AE100" t="s" s="57">
        <v>175</v>
      </c>
      <c r="AF100" s="51"/>
      <c r="AG100" s="61"/>
      <c r="AH100" s="61"/>
      <c r="AI100" s="61"/>
      <c r="AJ100" s="61"/>
      <c r="AK100" s="61"/>
      <c r="AL100" s="61"/>
      <c r="AM100" s="61"/>
      <c r="AN100" t="s" s="57">
        <v>390</v>
      </c>
      <c r="AO100" s="51" cm="1">
        <f t="array" ref="AO100">AJ100</f>
      </c>
      <c r="AP100" t="s" s="57">
        <v>391</v>
      </c>
      <c r="AQ100" s="51" cm="1">
        <f t="array" ref="AQ100">AJ100</f>
      </c>
      <c r="AR100" t="s" s="57">
        <v>392</v>
      </c>
      <c r="AS100" s="51" cm="1">
        <f t="array" ref="AS100">AJ100</f>
      </c>
      <c r="AT100" t="s" s="62">
        <v>393</v>
      </c>
      <c r="AU100" s="51" cm="1">
        <f t="array" ref="AU100">AJ100</f>
      </c>
      <c r="AV100" s="51"/>
      <c r="AW100" t="str" s="63" cm="1">
        <f t="array" ref="AW100">"600/"&amp;$B100&amp;"/"&amp;IF(AND($AE100="Konsultansi",M100&lt;=100000000),"SPK",IF(AND($AE100="Konsultansi",M100&gt;100000000),"Kont",IF(AND($AE100&lt;&gt;"Konsultansi",M100&lt;=200000000),"SPK","Kont")))&amp;"-"&amp;AE100&amp;"/PPK/DPUPR"</f>
        <v>600//SPK-Barang/PPK/DPUPR</v>
      </c>
      <c r="AX100" t="str" s="63" cm="1">
        <f t="array" ref="AX100">"600/"&amp;$B100&amp;"/SPMK/PPK/DPUPR"</f>
        <v>600//SPMK/PPK/DPUPR</v>
      </c>
      <c r="AY100" s="51"/>
      <c r="AZ100" s="51"/>
      <c r="BA100" s="51"/>
      <c r="BB100" s="51"/>
      <c r="BC100" s="51"/>
      <c r="BD100" s="51"/>
      <c r="BE100" s="51"/>
      <c r="BF100" s="51"/>
      <c r="BG100" s="84"/>
      <c r="BH100" t="s" s="57">
        <v>182</v>
      </c>
      <c r="BI100" t="s" s="57">
        <v>21</v>
      </c>
      <c r="BJ100" t="s" s="57">
        <v>22</v>
      </c>
      <c r="BK100" t="s" s="57">
        <v>23</v>
      </c>
      <c r="BL100" t="s" s="57">
        <v>24</v>
      </c>
      <c r="BM100" s="51"/>
      <c r="BN100" s="51"/>
      <c r="BO100" s="51"/>
      <c r="BP100" s="51"/>
      <c r="BQ100" s="51"/>
      <c r="BR100" t="b" s="60">
        <v>0</v>
      </c>
      <c r="BS100" s="54" cm="1">
        <f t="array" ref="BS100">IF(M100&lt;=0.8*K100,5%*K100,M100*5%)</f>
        <v>0</v>
      </c>
      <c r="BT100" t="s" s="57">
        <v>183</v>
      </c>
      <c r="BU100" s="51"/>
      <c r="BV100" s="54" cm="1">
        <f t="array" ref="BV100">J100-M100</f>
        <v>0</v>
      </c>
    </row>
    <row r="101" ht="36.25" customHeight="1">
      <c r="A101" s="47"/>
      <c r="B101" s="48">
        <v>58431349</v>
      </c>
      <c r="C101" t="s" s="89">
        <v>790</v>
      </c>
      <c r="D101" t="s" s="76">
        <v>1</v>
      </c>
      <c r="E101" t="str" s="67" cm="1">
        <f t="array" ref="E101">$C101</f>
        <v>Pengawasan Peningkatan Jalan Gunungsari I cs. </v>
      </c>
      <c r="F101" s="68"/>
      <c r="G101" s="67"/>
      <c r="H101" s="67"/>
      <c r="I101" s="67"/>
      <c r="J101" s="69">
        <v>50000000</v>
      </c>
      <c r="K101" s="69">
        <v>49969000</v>
      </c>
      <c r="L101" s="56">
        <v>49891140</v>
      </c>
      <c r="M101" s="69">
        <v>49390000</v>
      </c>
      <c r="N101" t="s" s="72">
        <v>214</v>
      </c>
      <c r="O101" t="s" s="78">
        <v>215</v>
      </c>
      <c r="P101" t="s" s="72">
        <v>4</v>
      </c>
      <c r="Q101" t="s" s="72">
        <v>216</v>
      </c>
      <c r="R101" t="s" s="72">
        <v>217</v>
      </c>
      <c r="S101" t="s" s="72">
        <v>218</v>
      </c>
      <c r="T101" s="71">
        <v>45366</v>
      </c>
      <c r="U101" t="s" s="72">
        <v>219</v>
      </c>
      <c r="V101" t="s" s="72">
        <v>220</v>
      </c>
      <c r="W101" t="s" s="72">
        <v>221</v>
      </c>
      <c r="X101" s="79" cm="1">
        <f t="array" ref="X101">3*30</f>
        <v>90</v>
      </c>
      <c r="Y101" t="s" s="72">
        <v>10</v>
      </c>
      <c r="Z101" s="69" cm="1">
        <f t="array" ref="Z101">M101</f>
        <v>49390000</v>
      </c>
      <c r="AA101" t="s" s="72">
        <v>11</v>
      </c>
      <c r="AB101" s="71" cm="1">
        <f t="array" ref="AB101">AH101</f>
        <v>45734</v>
      </c>
      <c r="AC101" s="67"/>
      <c r="AD101" t="s" s="72">
        <v>12</v>
      </c>
      <c r="AE101" t="s" s="72">
        <v>13</v>
      </c>
      <c r="AF101" t="s" s="72">
        <v>108</v>
      </c>
      <c r="AG101" s="71">
        <v>45733</v>
      </c>
      <c r="AH101" s="71">
        <v>45734</v>
      </c>
      <c r="AI101" s="71">
        <v>45734</v>
      </c>
      <c r="AJ101" s="71">
        <v>45734</v>
      </c>
      <c r="AK101" s="71">
        <v>45734</v>
      </c>
      <c r="AL101" s="71">
        <v>45734</v>
      </c>
      <c r="AM101" s="71">
        <v>45734</v>
      </c>
      <c r="AN101" t="s" s="72">
        <v>792</v>
      </c>
      <c r="AO101" s="71" cm="1">
        <f t="array" ref="AO101">AJ101</f>
        <v>45734</v>
      </c>
      <c r="AP101" t="s" s="72">
        <v>793</v>
      </c>
      <c r="AQ101" s="71" cm="1">
        <f t="array" ref="AQ101">AJ101</f>
        <v>45734</v>
      </c>
      <c r="AR101" t="s" s="72">
        <v>794</v>
      </c>
      <c r="AS101" s="71" cm="1">
        <f t="array" ref="AS101">AJ101</f>
        <v>45734</v>
      </c>
      <c r="AT101" t="s" s="62">
        <v>795</v>
      </c>
      <c r="AU101" s="71" cm="1">
        <f t="array" ref="AU101">AJ101</f>
        <v>45734</v>
      </c>
      <c r="AV101" s="67"/>
      <c r="AW101" t="str" s="74" cm="1">
        <f t="array" ref="AW101">"600/"&amp;$B101&amp;"/"&amp;IF(AND($AE101="Konsultansi",M101&lt;=100000000),"SPK",IF(AND($AE101="Konsultansi",M101&gt;100000000),"Kont",IF(AND($AE101&lt;&gt;"Konsultansi",M101&lt;=200000000),"SPK","Kont")))&amp;"-"&amp;AE101&amp;"/PPK/DPUPR"</f>
        <v>600/58431349/SPK-Konsultansi/PPK/DPUPR</v>
      </c>
      <c r="AX101" t="str" s="74" cm="1">
        <f t="array" ref="AX101">"600/"&amp;$B101&amp;"/SPMK/PPK/DPUPR"</f>
        <v>600/58431349/SPMK/PPK/DPUPR</v>
      </c>
      <c r="AY101" s="67"/>
      <c r="AZ101" s="67"/>
      <c r="BA101" s="67"/>
      <c r="BB101" s="67"/>
      <c r="BC101" s="67"/>
      <c r="BD101" s="67"/>
      <c r="BE101" s="67"/>
      <c r="BF101" s="67"/>
      <c r="BG101" s="80">
        <v>246</v>
      </c>
      <c r="BH101" t="s" s="72">
        <v>214</v>
      </c>
      <c r="BI101" t="s" s="72">
        <v>21</v>
      </c>
      <c r="BJ101" t="s" s="72">
        <v>22</v>
      </c>
      <c r="BK101" t="s" s="72">
        <v>23</v>
      </c>
      <c r="BL101" t="s" s="72">
        <v>24</v>
      </c>
      <c r="BM101" s="67"/>
      <c r="BN101" s="67"/>
      <c r="BO101" s="67"/>
      <c r="BP101" s="67"/>
      <c r="BQ101" s="67"/>
      <c r="BR101" t="b" s="79">
        <v>0</v>
      </c>
      <c r="BS101" s="69" cm="1">
        <f t="array" ref="BS101">IF(M101&lt;=0.8*K101,5%*K101,M101*5%)</f>
        <v>2469500</v>
      </c>
      <c r="BT101" t="s" s="72">
        <v>25</v>
      </c>
      <c r="BU101" s="67"/>
      <c r="BV101" s="69" cm="1">
        <f t="array" ref="BV101">J101-M101</f>
        <v>610000</v>
      </c>
    </row>
    <row r="102" ht="24.25" customHeight="1">
      <c r="A102" s="47"/>
      <c r="B102" s="47"/>
      <c r="C102" s="90"/>
      <c r="D102" s="82"/>
      <c r="E102" s="60" cm="1">
        <f t="array" ref="E102">$C102</f>
        <v>0</v>
      </c>
      <c r="F102" s="52"/>
      <c r="G102" s="51"/>
      <c r="H102" s="51"/>
      <c r="I102" s="51"/>
      <c r="J102" s="54"/>
      <c r="K102" s="54"/>
      <c r="L102" s="56"/>
      <c r="M102" s="54"/>
      <c r="N102" t="s" s="57">
        <v>174</v>
      </c>
      <c r="O102" t="s" s="58">
        <v>174</v>
      </c>
      <c r="P102" t="s" s="57">
        <v>174</v>
      </c>
      <c r="Q102" t="s" s="57">
        <v>174</v>
      </c>
      <c r="R102" t="s" s="57">
        <v>174</v>
      </c>
      <c r="S102" t="s" s="57">
        <v>174</v>
      </c>
      <c r="T102" t="s" s="57">
        <v>174</v>
      </c>
      <c r="U102" t="s" s="57">
        <v>174</v>
      </c>
      <c r="V102" t="s" s="57">
        <v>174</v>
      </c>
      <c r="W102" t="s" s="57">
        <v>174</v>
      </c>
      <c r="X102" s="51"/>
      <c r="Y102" s="51"/>
      <c r="Z102" s="54" cm="1">
        <f t="array" ref="Z102">M102</f>
        <v>0</v>
      </c>
      <c r="AA102" s="51"/>
      <c r="AB102" s="61" cm="1">
        <f t="array" ref="AB102">AH102</f>
      </c>
      <c r="AC102" s="51"/>
      <c r="AD102" s="51"/>
      <c r="AE102" t="s" s="57">
        <v>175</v>
      </c>
      <c r="AF102" s="51"/>
      <c r="AG102" s="61"/>
      <c r="AH102" s="61"/>
      <c r="AI102" s="61"/>
      <c r="AJ102" s="61"/>
      <c r="AK102" s="61"/>
      <c r="AL102" s="61"/>
      <c r="AM102" s="61"/>
      <c r="AN102" t="s" s="57">
        <v>390</v>
      </c>
      <c r="AO102" s="51" cm="1">
        <f t="array" ref="AO102">AJ102</f>
      </c>
      <c r="AP102" t="s" s="57">
        <v>391</v>
      </c>
      <c r="AQ102" s="51" cm="1">
        <f t="array" ref="AQ102">AJ102</f>
      </c>
      <c r="AR102" t="s" s="57">
        <v>392</v>
      </c>
      <c r="AS102" s="51" cm="1">
        <f t="array" ref="AS102">AJ102</f>
      </c>
      <c r="AT102" t="s" s="62">
        <v>393</v>
      </c>
      <c r="AU102" s="51" cm="1">
        <f t="array" ref="AU102">AJ102</f>
      </c>
      <c r="AV102" s="51"/>
      <c r="AW102" t="str" s="63" cm="1">
        <f t="array" ref="AW102">"600/"&amp;$B102&amp;"/"&amp;IF(AND($AE102="Konsultansi",M102&lt;=100000000),"SPK",IF(AND($AE102="Konsultansi",M102&gt;100000000),"Kont",IF(AND($AE102&lt;&gt;"Konsultansi",M102&lt;=200000000),"SPK","Kont")))&amp;"-"&amp;AE102&amp;"/PPK/DPUPR"</f>
        <v>600//SPK-Barang/PPK/DPUPR</v>
      </c>
      <c r="AX102" t="str" s="63" cm="1">
        <f t="array" ref="AX102">"600/"&amp;$B102&amp;"/SPMK/PPK/DPUPR"</f>
        <v>600//SPMK/PPK/DPUPR</v>
      </c>
      <c r="AY102" s="51"/>
      <c r="AZ102" s="51"/>
      <c r="BA102" s="51"/>
      <c r="BB102" s="51"/>
      <c r="BC102" s="51"/>
      <c r="BD102" s="51"/>
      <c r="BE102" s="51"/>
      <c r="BF102" s="51"/>
      <c r="BG102" s="84"/>
      <c r="BH102" t="s" s="57">
        <v>182</v>
      </c>
      <c r="BI102" t="s" s="57">
        <v>21</v>
      </c>
      <c r="BJ102" t="s" s="57">
        <v>22</v>
      </c>
      <c r="BK102" t="s" s="57">
        <v>23</v>
      </c>
      <c r="BL102" t="s" s="57">
        <v>24</v>
      </c>
      <c r="BM102" s="51"/>
      <c r="BN102" s="51"/>
      <c r="BO102" s="51"/>
      <c r="BP102" s="51"/>
      <c r="BQ102" s="51"/>
      <c r="BR102" t="b" s="60">
        <v>0</v>
      </c>
      <c r="BS102" s="54" cm="1">
        <f t="array" ref="BS102">IF(M102&lt;=0.8*K102,5%*K102,M102*5%)</f>
        <v>0</v>
      </c>
      <c r="BT102" t="s" s="57">
        <v>183</v>
      </c>
      <c r="BU102" s="51"/>
      <c r="BV102" s="54" cm="1">
        <f t="array" ref="BV102">J102-M102</f>
        <v>0</v>
      </c>
    </row>
    <row r="103" ht="72.25" customHeight="1">
      <c r="A103" s="47"/>
      <c r="B103" s="48">
        <v>58432795</v>
      </c>
      <c r="C103" t="s" s="89">
        <v>798</v>
      </c>
      <c r="D103" t="s" s="76">
        <v>726</v>
      </c>
      <c r="E103" t="str" s="67" cm="1">
        <f t="array" ref="E103">$C103</f>
        <v>Pemeliharaan Landscape Kota Pasangkayu </v>
      </c>
      <c r="F103" s="68"/>
      <c r="G103" s="67"/>
      <c r="H103" s="67"/>
      <c r="I103" s="67"/>
      <c r="J103" s="69">
        <v>200000000</v>
      </c>
      <c r="K103" s="69">
        <v>200000000</v>
      </c>
      <c r="L103" s="56">
        <v>199011263.93</v>
      </c>
      <c r="M103" s="69">
        <v>199011000</v>
      </c>
      <c r="N103" t="s" s="72">
        <v>800</v>
      </c>
      <c r="O103" t="s" s="78">
        <v>801</v>
      </c>
      <c r="P103" t="s" s="72">
        <v>4</v>
      </c>
      <c r="Q103" t="s" s="72">
        <v>802</v>
      </c>
      <c r="R103" t="s" s="72">
        <v>803</v>
      </c>
      <c r="S103" s="79">
        <v>61</v>
      </c>
      <c r="T103" s="71">
        <v>43736</v>
      </c>
      <c r="U103" t="s" s="72">
        <v>804</v>
      </c>
      <c r="V103" t="s" s="72">
        <v>805</v>
      </c>
      <c r="W103" t="s" s="72">
        <v>806</v>
      </c>
      <c r="X103" s="79">
        <v>90</v>
      </c>
      <c r="Y103" t="s" s="72">
        <v>10</v>
      </c>
      <c r="Z103" s="69" cm="1">
        <f t="array" ref="Z103">M103</f>
        <v>199011000</v>
      </c>
      <c r="AA103" t="s" s="72">
        <v>11</v>
      </c>
      <c r="AB103" s="71" cm="1">
        <f t="array" ref="AB103">AH103</f>
        <v>45761</v>
      </c>
      <c r="AC103" s="79">
        <v>180</v>
      </c>
      <c r="AD103" t="s" s="72">
        <v>106</v>
      </c>
      <c r="AE103" t="s" s="72">
        <v>107</v>
      </c>
      <c r="AF103" t="s" s="72">
        <v>108</v>
      </c>
      <c r="AG103" s="71">
        <v>45758</v>
      </c>
      <c r="AH103" s="71">
        <v>45761</v>
      </c>
      <c r="AI103" s="71">
        <v>45761</v>
      </c>
      <c r="AJ103" s="71">
        <v>45761</v>
      </c>
      <c r="AK103" s="71">
        <v>45761</v>
      </c>
      <c r="AL103" s="71">
        <v>45761</v>
      </c>
      <c r="AM103" s="71">
        <v>45761</v>
      </c>
      <c r="AN103" t="s" s="72">
        <v>807</v>
      </c>
      <c r="AO103" s="71" cm="1">
        <f t="array" ref="AO103">AJ103</f>
        <v>45761</v>
      </c>
      <c r="AP103" t="s" s="72">
        <v>808</v>
      </c>
      <c r="AQ103" s="71" cm="1">
        <f t="array" ref="AQ103">AJ103</f>
        <v>45761</v>
      </c>
      <c r="AR103" t="s" s="72">
        <v>809</v>
      </c>
      <c r="AS103" s="71" cm="1">
        <f t="array" ref="AS103">AJ103</f>
        <v>45761</v>
      </c>
      <c r="AT103" t="s" s="62">
        <v>810</v>
      </c>
      <c r="AU103" s="71" cm="1">
        <f t="array" ref="AU103">AJ103</f>
        <v>45761</v>
      </c>
      <c r="AV103" s="67"/>
      <c r="AW103" t="str" s="74" cm="1">
        <f t="array" ref="AW103">"600/"&amp;$B103&amp;"/"&amp;IF(AND($AE103="Konsultansi",M103&lt;=100000000),"SPK",IF(AND($AE103="Konsultansi",M103&gt;100000000),"Kont",IF(AND($AE103&lt;&gt;"Konsultansi",M103&lt;=200000000),"SPK","Kont")))&amp;"-"&amp;AE103&amp;"/PPK/DPUPR"</f>
        <v>600/58432795/SPK-Konstruksi/PPK/DPUPR</v>
      </c>
      <c r="AX103" t="str" s="74" cm="1">
        <f t="array" ref="AX103">"600/"&amp;$B103&amp;"/SPMK/PPK/DPUPR"</f>
        <v>600/58432795/SPMK/PPK/DPUPR</v>
      </c>
      <c r="AY103" s="67"/>
      <c r="AZ103" s="67"/>
      <c r="BA103" s="67"/>
      <c r="BB103" s="67"/>
      <c r="BC103" s="67"/>
      <c r="BD103" s="67"/>
      <c r="BE103" s="67"/>
      <c r="BF103" s="67"/>
      <c r="BG103" s="80">
        <v>256</v>
      </c>
      <c r="BH103" t="s" s="72">
        <v>800</v>
      </c>
      <c r="BI103" t="s" s="72">
        <v>21</v>
      </c>
      <c r="BJ103" t="s" s="72">
        <v>22</v>
      </c>
      <c r="BK103" t="s" s="72">
        <v>23</v>
      </c>
      <c r="BL103" t="s" s="72">
        <v>24</v>
      </c>
      <c r="BM103" s="67"/>
      <c r="BN103" s="67"/>
      <c r="BO103" s="67"/>
      <c r="BP103" s="67"/>
      <c r="BQ103" s="67"/>
      <c r="BR103" t="b" s="79">
        <v>0</v>
      </c>
      <c r="BS103" s="69" cm="1">
        <f t="array" ref="BS103">IF(M103&lt;=0.8*K103,5%*K103,M103*5%)</f>
        <v>9950550</v>
      </c>
      <c r="BT103" t="s" s="72">
        <v>432</v>
      </c>
      <c r="BU103" s="67"/>
      <c r="BV103" s="69" cm="1">
        <f t="array" ref="BV103">J103-M103</f>
        <v>989000</v>
      </c>
    </row>
    <row r="104" ht="36.25" customHeight="1">
      <c r="A104" t="s" s="97">
        <v>691</v>
      </c>
      <c r="B104" s="48">
        <v>58431386</v>
      </c>
      <c r="C104" t="s" s="89">
        <v>813</v>
      </c>
      <c r="D104" t="s" s="50">
        <v>1</v>
      </c>
      <c r="E104" t="str" s="51" cm="1">
        <f t="array" ref="E104">$C104</f>
        <v>Peningkatan Jalan (Rabat Beton) Kota Pasangkayu I </v>
      </c>
      <c r="F104" s="52"/>
      <c r="G104" s="51"/>
      <c r="H104" s="51"/>
      <c r="I104" s="51"/>
      <c r="J104" s="54">
        <v>200000000</v>
      </c>
      <c r="K104" s="54">
        <v>199996500</v>
      </c>
      <c r="L104" s="56">
        <v>199706056.79</v>
      </c>
      <c r="M104" s="54">
        <v>199706000</v>
      </c>
      <c r="N104" t="s" s="57">
        <v>608</v>
      </c>
      <c r="O104" t="s" s="58">
        <v>609</v>
      </c>
      <c r="P104" t="s" s="57">
        <v>4</v>
      </c>
      <c r="Q104" t="s" s="57">
        <v>610</v>
      </c>
      <c r="R104" t="s" s="57">
        <v>611</v>
      </c>
      <c r="S104" s="60">
        <v>189</v>
      </c>
      <c r="T104" s="61">
        <v>45322</v>
      </c>
      <c r="U104" t="s" s="57">
        <v>612</v>
      </c>
      <c r="V104" t="s" s="57">
        <v>613</v>
      </c>
      <c r="W104" t="s" s="57">
        <v>614</v>
      </c>
      <c r="X104" s="60">
        <v>90</v>
      </c>
      <c r="Y104" t="s" s="57">
        <v>10</v>
      </c>
      <c r="Z104" s="54" cm="1">
        <f t="array" ref="Z104">M104</f>
        <v>199706000</v>
      </c>
      <c r="AA104" t="s" s="57">
        <v>11</v>
      </c>
      <c r="AB104" s="61" cm="1">
        <f t="array" ref="AB104">AH104</f>
        <v>45761</v>
      </c>
      <c r="AC104" s="60">
        <v>180</v>
      </c>
      <c r="AD104" t="s" s="57">
        <v>106</v>
      </c>
      <c r="AE104" t="s" s="57">
        <v>107</v>
      </c>
      <c r="AF104" t="s" s="57">
        <v>108</v>
      </c>
      <c r="AG104" s="61">
        <v>45758</v>
      </c>
      <c r="AH104" s="61">
        <v>45761</v>
      </c>
      <c r="AI104" s="61">
        <v>45761</v>
      </c>
      <c r="AJ104" s="61">
        <v>45761</v>
      </c>
      <c r="AK104" s="61">
        <v>45761</v>
      </c>
      <c r="AL104" s="61">
        <v>45761</v>
      </c>
      <c r="AM104" s="61">
        <v>45761</v>
      </c>
      <c r="AN104" t="s" s="57">
        <v>815</v>
      </c>
      <c r="AO104" s="61" cm="1">
        <f t="array" ref="AO104">AJ104</f>
        <v>45761</v>
      </c>
      <c r="AP104" t="s" s="57">
        <v>816</v>
      </c>
      <c r="AQ104" s="61" cm="1">
        <f t="array" ref="AQ104">AJ104</f>
        <v>45761</v>
      </c>
      <c r="AR104" t="s" s="57">
        <v>817</v>
      </c>
      <c r="AS104" s="61" cm="1">
        <f t="array" ref="AS104">AJ104</f>
        <v>45761</v>
      </c>
      <c r="AT104" t="s" s="62">
        <v>818</v>
      </c>
      <c r="AU104" s="61" cm="1">
        <f t="array" ref="AU104">AJ104</f>
        <v>45761</v>
      </c>
      <c r="AV104" s="51"/>
      <c r="AW104" t="str" s="63" cm="1">
        <f t="array" ref="AW104">"600/"&amp;$B104&amp;"/"&amp;IF(AND($AE104="Konsultansi",M104&lt;=100000000),"SPK",IF(AND($AE104="Konsultansi",M104&gt;100000000),"Kont",IF(AND($AE104&lt;&gt;"Konsultansi",M104&lt;=200000000),"SPK","Kont")))&amp;"-"&amp;AE104&amp;"/PPK/DPUPR"</f>
        <v>600/58431386/SPK-Konstruksi/PPK/DPUPR</v>
      </c>
      <c r="AX104" t="str" s="63" cm="1">
        <f t="array" ref="AX104">"600/"&amp;$B104&amp;"/SPMK/PPK/DPUPR"</f>
        <v>600/58431386/SPMK/PPK/DPUPR</v>
      </c>
      <c r="AY104" s="51"/>
      <c r="AZ104" s="51"/>
      <c r="BA104" s="51"/>
      <c r="BB104" s="51"/>
      <c r="BC104" s="51"/>
      <c r="BD104" s="51"/>
      <c r="BE104" s="51"/>
      <c r="BF104" s="51"/>
      <c r="BG104" s="64">
        <v>229</v>
      </c>
      <c r="BH104" t="s" s="57">
        <v>608</v>
      </c>
      <c r="BI104" t="s" s="57">
        <v>21</v>
      </c>
      <c r="BJ104" t="s" s="57">
        <v>22</v>
      </c>
      <c r="BK104" t="s" s="57">
        <v>23</v>
      </c>
      <c r="BL104" t="s" s="57">
        <v>24</v>
      </c>
      <c r="BM104" s="51"/>
      <c r="BN104" s="51"/>
      <c r="BO104" s="51"/>
      <c r="BP104" s="51"/>
      <c r="BQ104" s="51"/>
      <c r="BR104" t="b" s="60">
        <v>0</v>
      </c>
      <c r="BS104" s="54" cm="1">
        <f t="array" ref="BS104">IF(M104&lt;=0.8*K104,5%*K104,M104*5%)</f>
        <v>9985300</v>
      </c>
      <c r="BT104" t="s" s="57">
        <v>25</v>
      </c>
      <c r="BU104" s="51"/>
      <c r="BV104" s="54" cm="1">
        <f t="array" ref="BV104">J104-M104</f>
        <v>294000</v>
      </c>
    </row>
    <row r="105" ht="36.25" customHeight="1">
      <c r="A105" t="s" s="97">
        <v>691</v>
      </c>
      <c r="B105" s="48">
        <v>58431402</v>
      </c>
      <c r="C105" t="s" s="89">
        <v>821</v>
      </c>
      <c r="D105" t="s" s="76">
        <v>1</v>
      </c>
      <c r="E105" t="str" s="67" cm="1">
        <f t="array" ref="E105">$C105</f>
        <v>Peningkatan Jalan (Rabat Beton) Kota Pasangkayu II </v>
      </c>
      <c r="F105" s="68"/>
      <c r="G105" s="67"/>
      <c r="H105" s="67"/>
      <c r="I105" s="67"/>
      <c r="J105" s="69">
        <v>200000000</v>
      </c>
      <c r="K105" s="69">
        <v>199996500</v>
      </c>
      <c r="L105" s="56">
        <v>199453783.58</v>
      </c>
      <c r="M105" s="69">
        <v>199453000</v>
      </c>
      <c r="N105" t="s" s="72">
        <v>823</v>
      </c>
      <c r="O105" t="s" s="78">
        <v>824</v>
      </c>
      <c r="P105" t="s" s="72">
        <v>4</v>
      </c>
      <c r="Q105" t="s" s="72">
        <v>825</v>
      </c>
      <c r="R105" t="s" s="72">
        <v>826</v>
      </c>
      <c r="S105" t="s" s="72">
        <v>748</v>
      </c>
      <c r="T105" s="71">
        <v>45145</v>
      </c>
      <c r="U105" t="s" s="72">
        <v>827</v>
      </c>
      <c r="V105" t="s" s="72">
        <v>828</v>
      </c>
      <c r="W105" t="s" s="72">
        <v>829</v>
      </c>
      <c r="X105" s="79">
        <v>90</v>
      </c>
      <c r="Y105" t="s" s="72">
        <v>10</v>
      </c>
      <c r="Z105" s="69" cm="1">
        <f t="array" ref="Z105">M105</f>
        <v>199453000</v>
      </c>
      <c r="AA105" t="s" s="72">
        <v>11</v>
      </c>
      <c r="AB105" s="71" cm="1">
        <f t="array" ref="AB105">AH105</f>
        <v>45761</v>
      </c>
      <c r="AC105" s="79">
        <v>180</v>
      </c>
      <c r="AD105" t="s" s="72">
        <v>106</v>
      </c>
      <c r="AE105" t="s" s="72">
        <v>107</v>
      </c>
      <c r="AF105" t="s" s="72">
        <v>108</v>
      </c>
      <c r="AG105" s="71">
        <v>45758</v>
      </c>
      <c r="AH105" s="71">
        <v>45761</v>
      </c>
      <c r="AI105" s="71">
        <v>45761</v>
      </c>
      <c r="AJ105" s="71">
        <v>45761</v>
      </c>
      <c r="AK105" s="71">
        <v>45761</v>
      </c>
      <c r="AL105" s="71">
        <v>45761</v>
      </c>
      <c r="AM105" s="71">
        <v>45761</v>
      </c>
      <c r="AN105" t="s" s="72">
        <v>830</v>
      </c>
      <c r="AO105" s="71" cm="1">
        <f t="array" ref="AO105">AJ105</f>
        <v>45761</v>
      </c>
      <c r="AP105" t="s" s="72">
        <v>831</v>
      </c>
      <c r="AQ105" s="71" cm="1">
        <f t="array" ref="AQ105">AJ105</f>
        <v>45761</v>
      </c>
      <c r="AR105" t="s" s="72">
        <v>832</v>
      </c>
      <c r="AS105" s="71" cm="1">
        <f t="array" ref="AS105">AJ105</f>
        <v>45761</v>
      </c>
      <c r="AT105" t="s" s="62">
        <v>833</v>
      </c>
      <c r="AU105" s="71" cm="1">
        <f t="array" ref="AU105">AJ105</f>
        <v>45761</v>
      </c>
      <c r="AV105" s="67"/>
      <c r="AW105" t="str" s="74" cm="1">
        <f t="array" ref="AW105">"600/"&amp;$B105&amp;"/"&amp;IF(AND($AE105="Konsultansi",M105&lt;=100000000),"SPK",IF(AND($AE105="Konsultansi",M105&gt;100000000),"Kont",IF(AND($AE105&lt;&gt;"Konsultansi",M105&lt;=200000000),"SPK","Kont")))&amp;"-"&amp;AE105&amp;"/PPK/DPUPR"</f>
        <v>600/58431402/SPK-Konstruksi/PPK/DPUPR</v>
      </c>
      <c r="AX105" t="str" s="74" cm="1">
        <f t="array" ref="AX105">"600/"&amp;$B105&amp;"/SPMK/PPK/DPUPR"</f>
        <v>600/58431402/SPMK/PPK/DPUPR</v>
      </c>
      <c r="AY105" s="67"/>
      <c r="AZ105" s="67"/>
      <c r="BA105" s="67"/>
      <c r="BB105" s="67"/>
      <c r="BC105" s="67"/>
      <c r="BD105" s="67"/>
      <c r="BE105" s="67"/>
      <c r="BF105" s="67"/>
      <c r="BG105" s="80">
        <v>209</v>
      </c>
      <c r="BH105" t="s" s="72">
        <v>823</v>
      </c>
      <c r="BI105" t="s" s="72">
        <v>21</v>
      </c>
      <c r="BJ105" t="s" s="72">
        <v>22</v>
      </c>
      <c r="BK105" t="s" s="72">
        <v>23</v>
      </c>
      <c r="BL105" t="s" s="72">
        <v>24</v>
      </c>
      <c r="BM105" s="67"/>
      <c r="BN105" s="67"/>
      <c r="BO105" s="67"/>
      <c r="BP105" s="67"/>
      <c r="BQ105" s="67"/>
      <c r="BR105" t="b" s="79">
        <v>0</v>
      </c>
      <c r="BS105" s="69" cm="1">
        <f t="array" ref="BS105">IF(M105&lt;=0.8*K105,5%*K105,M105*5%)</f>
        <v>9972650</v>
      </c>
      <c r="BT105" t="s" s="72">
        <v>25</v>
      </c>
      <c r="BU105" s="67"/>
      <c r="BV105" s="69" cm="1">
        <f t="array" ref="BV105">J105-M105</f>
        <v>547000</v>
      </c>
    </row>
    <row r="106" ht="24.25" customHeight="1">
      <c r="A106" s="47"/>
      <c r="B106" s="47"/>
      <c r="C106" s="90"/>
      <c r="D106" s="82"/>
      <c r="E106" s="60" cm="1">
        <f t="array" ref="E106">$C106</f>
        <v>0</v>
      </c>
      <c r="F106" s="52"/>
      <c r="G106" s="51"/>
      <c r="H106" s="51"/>
      <c r="I106" s="51"/>
      <c r="J106" s="54"/>
      <c r="K106" s="54"/>
      <c r="L106" s="56"/>
      <c r="M106" s="54"/>
      <c r="N106" t="s" s="57">
        <v>174</v>
      </c>
      <c r="O106" t="s" s="58">
        <v>174</v>
      </c>
      <c r="P106" t="s" s="57">
        <v>174</v>
      </c>
      <c r="Q106" t="s" s="57">
        <v>174</v>
      </c>
      <c r="R106" t="s" s="57">
        <v>174</v>
      </c>
      <c r="S106" t="s" s="57">
        <v>174</v>
      </c>
      <c r="T106" t="s" s="57">
        <v>174</v>
      </c>
      <c r="U106" t="s" s="57">
        <v>174</v>
      </c>
      <c r="V106" t="s" s="57">
        <v>174</v>
      </c>
      <c r="W106" t="s" s="57">
        <v>174</v>
      </c>
      <c r="X106" s="51"/>
      <c r="Y106" s="51"/>
      <c r="Z106" s="54" cm="1">
        <f t="array" ref="Z106">M106</f>
        <v>0</v>
      </c>
      <c r="AA106" s="51"/>
      <c r="AB106" s="61" cm="1">
        <f t="array" ref="AB106">AH106</f>
      </c>
      <c r="AC106" s="51"/>
      <c r="AD106" s="51"/>
      <c r="AE106" t="s" s="57">
        <v>175</v>
      </c>
      <c r="AF106" s="51"/>
      <c r="AG106" s="61"/>
      <c r="AH106" s="61"/>
      <c r="AI106" s="61"/>
      <c r="AJ106" s="61"/>
      <c r="AK106" s="61"/>
      <c r="AL106" s="61"/>
      <c r="AM106" s="61"/>
      <c r="AN106" t="s" s="57">
        <v>390</v>
      </c>
      <c r="AO106" s="51" cm="1">
        <f t="array" ref="AO106">AJ106</f>
      </c>
      <c r="AP106" t="s" s="57">
        <v>391</v>
      </c>
      <c r="AQ106" s="51" cm="1">
        <f t="array" ref="AQ106">AJ106</f>
      </c>
      <c r="AR106" t="s" s="57">
        <v>392</v>
      </c>
      <c r="AS106" s="51" cm="1">
        <f t="array" ref="AS106">AJ106</f>
      </c>
      <c r="AT106" t="s" s="62">
        <v>393</v>
      </c>
      <c r="AU106" s="51" cm="1">
        <f t="array" ref="AU106">AJ106</f>
      </c>
      <c r="AV106" s="51"/>
      <c r="AW106" t="str" s="63" cm="1">
        <f t="array" ref="AW106">"600/"&amp;$B106&amp;"/"&amp;IF(AND($AE106="Konsultansi",M106&lt;=100000000),"SPK",IF(AND($AE106="Konsultansi",M106&gt;100000000),"Kont",IF(AND($AE106&lt;&gt;"Konsultansi",M106&lt;=200000000),"SPK","Kont")))&amp;"-"&amp;AE106&amp;"/PPK/DPUPR"</f>
        <v>600//SPK-Barang/PPK/DPUPR</v>
      </c>
      <c r="AX106" t="str" s="63" cm="1">
        <f t="array" ref="AX106">"600/"&amp;$B106&amp;"/SPMK/PPK/DPUPR"</f>
        <v>600//SPMK/PPK/DPUPR</v>
      </c>
      <c r="AY106" s="51"/>
      <c r="AZ106" s="51"/>
      <c r="BA106" s="51"/>
      <c r="BB106" s="51"/>
      <c r="BC106" s="51"/>
      <c r="BD106" s="51"/>
      <c r="BE106" s="51"/>
      <c r="BF106" s="51"/>
      <c r="BG106" s="84"/>
      <c r="BH106" t="s" s="57">
        <v>182</v>
      </c>
      <c r="BI106" t="s" s="57">
        <v>21</v>
      </c>
      <c r="BJ106" t="s" s="57">
        <v>22</v>
      </c>
      <c r="BK106" t="s" s="57">
        <v>23</v>
      </c>
      <c r="BL106" t="s" s="57">
        <v>24</v>
      </c>
      <c r="BM106" s="51"/>
      <c r="BN106" s="51"/>
      <c r="BO106" s="51"/>
      <c r="BP106" s="51"/>
      <c r="BQ106" s="51"/>
      <c r="BR106" t="b" s="60">
        <v>0</v>
      </c>
      <c r="BS106" s="54" cm="1">
        <f t="array" ref="BS106">IF(M106&lt;=0.8*K106,5%*K106,M106*5%)</f>
        <v>0</v>
      </c>
      <c r="BT106" t="s" s="57">
        <v>183</v>
      </c>
      <c r="BU106" s="51"/>
      <c r="BV106" s="54" cm="1">
        <f t="array" ref="BV106">J106-M106</f>
        <v>0</v>
      </c>
    </row>
    <row r="107" ht="24.25" customHeight="1">
      <c r="A107" s="47"/>
      <c r="B107" s="47"/>
      <c r="C107" s="90"/>
      <c r="D107" s="66"/>
      <c r="E107" s="79" cm="1">
        <f t="array" ref="E107">$C107</f>
        <v>0</v>
      </c>
      <c r="F107" s="68"/>
      <c r="G107" s="67"/>
      <c r="H107" s="67"/>
      <c r="I107" s="67"/>
      <c r="J107" s="69"/>
      <c r="K107" s="69"/>
      <c r="L107" s="56"/>
      <c r="M107" s="69"/>
      <c r="N107" t="s" s="72">
        <v>174</v>
      </c>
      <c r="O107" t="s" s="78">
        <v>174</v>
      </c>
      <c r="P107" t="s" s="72">
        <v>174</v>
      </c>
      <c r="Q107" t="s" s="72">
        <v>174</v>
      </c>
      <c r="R107" t="s" s="72">
        <v>174</v>
      </c>
      <c r="S107" t="s" s="72">
        <v>174</v>
      </c>
      <c r="T107" t="s" s="72">
        <v>174</v>
      </c>
      <c r="U107" t="s" s="72">
        <v>174</v>
      </c>
      <c r="V107" t="s" s="72">
        <v>174</v>
      </c>
      <c r="W107" t="s" s="72">
        <v>174</v>
      </c>
      <c r="X107" s="67"/>
      <c r="Y107" s="67"/>
      <c r="Z107" s="69" cm="1">
        <f t="array" ref="Z107">M107</f>
        <v>0</v>
      </c>
      <c r="AA107" s="67"/>
      <c r="AB107" s="71" cm="1">
        <f t="array" ref="AB107">AH107</f>
      </c>
      <c r="AC107" s="67"/>
      <c r="AD107" s="67"/>
      <c r="AE107" t="s" s="72">
        <v>175</v>
      </c>
      <c r="AF107" s="67"/>
      <c r="AG107" s="71"/>
      <c r="AH107" s="71"/>
      <c r="AI107" s="71"/>
      <c r="AJ107" s="71"/>
      <c r="AK107" s="71"/>
      <c r="AL107" s="71"/>
      <c r="AM107" s="71"/>
      <c r="AN107" t="s" s="72">
        <v>390</v>
      </c>
      <c r="AO107" s="67" cm="1">
        <f t="array" ref="AO107">AJ107</f>
      </c>
      <c r="AP107" t="s" s="72">
        <v>391</v>
      </c>
      <c r="AQ107" s="67" cm="1">
        <f t="array" ref="AQ107">AJ107</f>
      </c>
      <c r="AR107" t="s" s="72">
        <v>392</v>
      </c>
      <c r="AS107" s="67" cm="1">
        <f t="array" ref="AS107">AJ107</f>
      </c>
      <c r="AT107" t="s" s="62">
        <v>393</v>
      </c>
      <c r="AU107" s="67" cm="1">
        <f t="array" ref="AU107">AJ107</f>
      </c>
      <c r="AV107" s="67"/>
      <c r="AW107" t="str" s="74" cm="1">
        <f t="array" ref="AW107">"600/"&amp;$B107&amp;"/"&amp;IF(AND($AE107="Konsultansi",M107&lt;=100000000),"SPK",IF(AND($AE107="Konsultansi",M107&gt;100000000),"Kont",IF(AND($AE107&lt;&gt;"Konsultansi",M107&lt;=200000000),"SPK","Kont")))&amp;"-"&amp;AE107&amp;"/PPK/DPUPR"</f>
        <v>600//SPK-Barang/PPK/DPUPR</v>
      </c>
      <c r="AX107" t="str" s="74" cm="1">
        <f t="array" ref="AX107">"600/"&amp;$B107&amp;"/SPMK/PPK/DPUPR"</f>
        <v>600//SPMK/PPK/DPUPR</v>
      </c>
      <c r="AY107" s="67"/>
      <c r="AZ107" s="67"/>
      <c r="BA107" s="67"/>
      <c r="BB107" s="67"/>
      <c r="BC107" s="67"/>
      <c r="BD107" s="67"/>
      <c r="BE107" s="67"/>
      <c r="BF107" s="67"/>
      <c r="BG107" s="75"/>
      <c r="BH107" t="s" s="72">
        <v>182</v>
      </c>
      <c r="BI107" t="s" s="72">
        <v>21</v>
      </c>
      <c r="BJ107" t="s" s="72">
        <v>22</v>
      </c>
      <c r="BK107" t="s" s="72">
        <v>23</v>
      </c>
      <c r="BL107" t="s" s="72">
        <v>24</v>
      </c>
      <c r="BM107" s="67"/>
      <c r="BN107" s="67"/>
      <c r="BO107" s="67"/>
      <c r="BP107" s="67"/>
      <c r="BQ107" s="67"/>
      <c r="BR107" t="b" s="79">
        <v>0</v>
      </c>
      <c r="BS107" s="69" cm="1">
        <f t="array" ref="BS107">IF(M107&lt;=0.8*K107,5%*K107,M107*5%)</f>
        <v>0</v>
      </c>
      <c r="BT107" t="s" s="72">
        <v>183</v>
      </c>
      <c r="BU107" s="67"/>
      <c r="BV107" s="69" cm="1">
        <f t="array" ref="BV107">J107-M107</f>
        <v>0</v>
      </c>
    </row>
    <row r="108" ht="24.25" customHeight="1">
      <c r="A108" s="47"/>
      <c r="B108" s="47"/>
      <c r="C108" s="90"/>
      <c r="D108" s="82"/>
      <c r="E108" s="60" cm="1">
        <f t="array" ref="E108">$C108</f>
        <v>0</v>
      </c>
      <c r="F108" s="52"/>
      <c r="G108" s="51"/>
      <c r="H108" s="51"/>
      <c r="I108" s="51"/>
      <c r="J108" s="54"/>
      <c r="K108" s="54"/>
      <c r="L108" s="56"/>
      <c r="M108" s="54"/>
      <c r="N108" t="s" s="57">
        <v>174</v>
      </c>
      <c r="O108" t="s" s="58">
        <v>174</v>
      </c>
      <c r="P108" t="s" s="57">
        <v>174</v>
      </c>
      <c r="Q108" t="s" s="57">
        <v>174</v>
      </c>
      <c r="R108" t="s" s="57">
        <v>174</v>
      </c>
      <c r="S108" t="s" s="57">
        <v>174</v>
      </c>
      <c r="T108" t="s" s="57">
        <v>174</v>
      </c>
      <c r="U108" t="s" s="57">
        <v>174</v>
      </c>
      <c r="V108" t="s" s="57">
        <v>174</v>
      </c>
      <c r="W108" t="s" s="57">
        <v>174</v>
      </c>
      <c r="X108" s="51"/>
      <c r="Y108" s="51"/>
      <c r="Z108" s="54" cm="1">
        <f t="array" ref="Z108">M108</f>
        <v>0</v>
      </c>
      <c r="AA108" s="51"/>
      <c r="AB108" s="61" cm="1">
        <f t="array" ref="AB108">AH108</f>
      </c>
      <c r="AC108" s="51"/>
      <c r="AD108" s="51"/>
      <c r="AE108" t="s" s="57">
        <v>175</v>
      </c>
      <c r="AF108" s="51"/>
      <c r="AG108" s="61"/>
      <c r="AH108" s="61"/>
      <c r="AI108" s="61"/>
      <c r="AJ108" s="61"/>
      <c r="AK108" s="61"/>
      <c r="AL108" s="61"/>
      <c r="AM108" s="61"/>
      <c r="AN108" t="s" s="57">
        <v>390</v>
      </c>
      <c r="AO108" s="51" cm="1">
        <f t="array" ref="AO108">AJ108</f>
      </c>
      <c r="AP108" t="s" s="57">
        <v>391</v>
      </c>
      <c r="AQ108" s="51" cm="1">
        <f t="array" ref="AQ108">AJ108</f>
      </c>
      <c r="AR108" t="s" s="57">
        <v>392</v>
      </c>
      <c r="AS108" s="51" cm="1">
        <f t="array" ref="AS108">AJ108</f>
      </c>
      <c r="AT108" t="s" s="62">
        <v>393</v>
      </c>
      <c r="AU108" s="51" cm="1">
        <f t="array" ref="AU108">AJ108</f>
      </c>
      <c r="AV108" s="51"/>
      <c r="AW108" t="str" s="63" cm="1">
        <f t="array" ref="AW108">"600/"&amp;$B108&amp;"/"&amp;IF(AND($AE108="Konsultansi",M108&lt;=100000000),"SPK",IF(AND($AE108="Konsultansi",M108&gt;100000000),"Kont",IF(AND($AE108&lt;&gt;"Konsultansi",M108&lt;=200000000),"SPK","Kont")))&amp;"-"&amp;AE108&amp;"/PPK/DPUPR"</f>
        <v>600//SPK-Barang/PPK/DPUPR</v>
      </c>
      <c r="AX108" t="str" s="63" cm="1">
        <f t="array" ref="AX108">"600/"&amp;$B108&amp;"/SPMK/PPK/DPUPR"</f>
        <v>600//SPMK/PPK/DPUPR</v>
      </c>
      <c r="AY108" s="51"/>
      <c r="AZ108" s="51"/>
      <c r="BA108" s="51"/>
      <c r="BB108" s="51"/>
      <c r="BC108" s="51"/>
      <c r="BD108" s="51"/>
      <c r="BE108" s="51"/>
      <c r="BF108" s="51"/>
      <c r="BG108" s="84"/>
      <c r="BH108" t="s" s="57">
        <v>182</v>
      </c>
      <c r="BI108" t="s" s="57">
        <v>21</v>
      </c>
      <c r="BJ108" t="s" s="57">
        <v>22</v>
      </c>
      <c r="BK108" t="s" s="57">
        <v>23</v>
      </c>
      <c r="BL108" t="s" s="57">
        <v>24</v>
      </c>
      <c r="BM108" s="51"/>
      <c r="BN108" s="51"/>
      <c r="BO108" s="51"/>
      <c r="BP108" s="51"/>
      <c r="BQ108" s="51"/>
      <c r="BR108" t="b" s="60">
        <v>0</v>
      </c>
      <c r="BS108" s="54" cm="1">
        <f t="array" ref="BS108">IF(M108&lt;=0.8*K108,5%*K108,M108*5%)</f>
        <v>0</v>
      </c>
      <c r="BT108" t="s" s="57">
        <v>183</v>
      </c>
      <c r="BU108" s="51"/>
      <c r="BV108" s="54" cm="1">
        <f t="array" ref="BV108">J108-M108</f>
        <v>0</v>
      </c>
    </row>
    <row r="109" ht="36.25" customHeight="1">
      <c r="A109" s="47"/>
      <c r="B109" s="48">
        <v>58432943</v>
      </c>
      <c r="C109" t="s" s="89">
        <v>836</v>
      </c>
      <c r="D109" t="s" s="76">
        <v>415</v>
      </c>
      <c r="E109" t="str" s="67" cm="1">
        <f t="array" ref="E109">$C109</f>
        <v>Pengawasan Pembangunan air bersih Saptanajaya (lanjutan) </v>
      </c>
      <c r="F109" s="68"/>
      <c r="G109" s="67"/>
      <c r="H109" s="67"/>
      <c r="I109" s="67"/>
      <c r="J109" s="69">
        <v>5000000</v>
      </c>
      <c r="K109" s="69"/>
      <c r="L109" s="56"/>
      <c r="M109" s="69"/>
      <c r="N109" t="s" s="72">
        <v>174</v>
      </c>
      <c r="O109" t="s" s="78">
        <v>174</v>
      </c>
      <c r="P109" t="s" s="72">
        <v>174</v>
      </c>
      <c r="Q109" t="s" s="72">
        <v>174</v>
      </c>
      <c r="R109" t="s" s="72">
        <v>174</v>
      </c>
      <c r="S109" t="s" s="72">
        <v>174</v>
      </c>
      <c r="T109" t="s" s="72">
        <v>174</v>
      </c>
      <c r="U109" t="s" s="72">
        <v>174</v>
      </c>
      <c r="V109" t="s" s="72">
        <v>174</v>
      </c>
      <c r="W109" t="s" s="72">
        <v>174</v>
      </c>
      <c r="X109" s="67"/>
      <c r="Y109" s="67"/>
      <c r="Z109" s="69" cm="1">
        <f t="array" ref="Z109">M109</f>
        <v>0</v>
      </c>
      <c r="AA109" s="67"/>
      <c r="AB109" s="71" cm="1">
        <f t="array" ref="AB109">AH109</f>
      </c>
      <c r="AC109" s="67"/>
      <c r="AD109" t="s" s="72">
        <v>106</v>
      </c>
      <c r="AE109" t="s" s="72">
        <v>107</v>
      </c>
      <c r="AF109" t="s" s="72">
        <v>425</v>
      </c>
      <c r="AG109" s="71"/>
      <c r="AH109" s="71"/>
      <c r="AI109" s="71"/>
      <c r="AJ109" s="71"/>
      <c r="AK109" s="71"/>
      <c r="AL109" s="71"/>
      <c r="AM109" s="71"/>
      <c r="AN109" t="s" s="72">
        <v>838</v>
      </c>
      <c r="AO109" s="67" cm="1">
        <f t="array" ref="AO109">AJ109</f>
      </c>
      <c r="AP109" t="s" s="72">
        <v>839</v>
      </c>
      <c r="AQ109" s="67" cm="1">
        <f t="array" ref="AQ109">AJ109</f>
      </c>
      <c r="AR109" t="s" s="72">
        <v>840</v>
      </c>
      <c r="AS109" s="67" cm="1">
        <f t="array" ref="AS109">AJ109</f>
      </c>
      <c r="AT109" t="s" s="62">
        <v>841</v>
      </c>
      <c r="AU109" s="67" cm="1">
        <f t="array" ref="AU109">AJ109</f>
      </c>
      <c r="AV109" s="67"/>
      <c r="AW109" t="str" s="74" cm="1">
        <f t="array" ref="AW109">"600/"&amp;$B109&amp;"/"&amp;IF(AND($AE109="Konsultansi",M109&lt;=100000000),"SPK",IF(AND($AE109="Konsultansi",M109&gt;100000000),"Kont",IF(AND($AE109&lt;&gt;"Konsultansi",M109&lt;=200000000),"SPK","Kont")))&amp;"-"&amp;AE109&amp;"/PPK/DPUPR"</f>
        <v>600/58432943/SPK-Konstruksi/PPK/DPUPR</v>
      </c>
      <c r="AX109" t="str" s="74" cm="1">
        <f t="array" ref="AX109">"600/"&amp;$B109&amp;"/SPMK/PPK/DPUPR"</f>
        <v>600/58432943/SPMK/PPK/DPUPR</v>
      </c>
      <c r="AY109" s="67"/>
      <c r="AZ109" s="67"/>
      <c r="BA109" s="67"/>
      <c r="BB109" s="67"/>
      <c r="BC109" s="67"/>
      <c r="BD109" s="67"/>
      <c r="BE109" s="67"/>
      <c r="BF109" s="67"/>
      <c r="BG109" s="75"/>
      <c r="BH109" t="s" s="72">
        <v>182</v>
      </c>
      <c r="BI109" t="s" s="72">
        <v>21</v>
      </c>
      <c r="BJ109" t="s" s="72">
        <v>22</v>
      </c>
      <c r="BK109" t="s" s="72">
        <v>23</v>
      </c>
      <c r="BL109" t="s" s="72">
        <v>24</v>
      </c>
      <c r="BM109" s="67"/>
      <c r="BN109" s="67"/>
      <c r="BO109" s="67"/>
      <c r="BP109" s="67"/>
      <c r="BQ109" s="67"/>
      <c r="BR109" t="b" s="79">
        <v>0</v>
      </c>
      <c r="BS109" s="69" cm="1">
        <f t="array" ref="BS109">IF(M109&lt;=0.8*K109,5%*K109,M109*5%)</f>
        <v>0</v>
      </c>
      <c r="BT109" t="s" s="72">
        <v>432</v>
      </c>
      <c r="BU109" s="67"/>
      <c r="BV109" s="69" cm="1">
        <f t="array" ref="BV109">J109-M109</f>
        <v>5000000</v>
      </c>
    </row>
    <row r="110" ht="72.25" customHeight="1">
      <c r="A110" s="47"/>
      <c r="B110" s="48">
        <v>58432803</v>
      </c>
      <c r="C110" t="s" s="89">
        <v>844</v>
      </c>
      <c r="D110" t="s" s="50">
        <v>726</v>
      </c>
      <c r="E110" t="str" s="51" cm="1">
        <f t="array" ref="E110">$C103</f>
        <v>Pemeliharaan Landscape Kota Pasangkayu </v>
      </c>
      <c r="F110" s="52"/>
      <c r="G110" s="51"/>
      <c r="H110" s="51"/>
      <c r="I110" s="51"/>
      <c r="J110" s="54">
        <v>5000000</v>
      </c>
      <c r="K110" s="54"/>
      <c r="L110" s="56"/>
      <c r="M110" s="54"/>
      <c r="N110" t="s" s="57">
        <v>174</v>
      </c>
      <c r="O110" t="s" s="58">
        <v>174</v>
      </c>
      <c r="P110" t="s" s="57">
        <v>174</v>
      </c>
      <c r="Q110" t="s" s="57">
        <v>174</v>
      </c>
      <c r="R110" t="s" s="57">
        <v>174</v>
      </c>
      <c r="S110" t="s" s="57">
        <v>174</v>
      </c>
      <c r="T110" t="s" s="57">
        <v>174</v>
      </c>
      <c r="U110" t="s" s="57">
        <v>174</v>
      </c>
      <c r="V110" t="s" s="57">
        <v>174</v>
      </c>
      <c r="W110" t="s" s="57">
        <v>174</v>
      </c>
      <c r="X110" s="51"/>
      <c r="Y110" s="51"/>
      <c r="Z110" s="54" cm="1">
        <f t="array" ref="Z110">M110</f>
        <v>0</v>
      </c>
      <c r="AA110" s="51"/>
      <c r="AB110" s="61" cm="1">
        <f t="array" ref="AB110">AH110</f>
      </c>
      <c r="AC110" s="51"/>
      <c r="AD110" s="51"/>
      <c r="AE110" t="s" s="57">
        <v>175</v>
      </c>
      <c r="AF110" s="51"/>
      <c r="AG110" s="61"/>
      <c r="AH110" s="61"/>
      <c r="AI110" s="61"/>
      <c r="AJ110" s="61"/>
      <c r="AK110" s="61"/>
      <c r="AL110" s="61"/>
      <c r="AM110" s="61"/>
      <c r="AN110" t="s" s="57">
        <v>845</v>
      </c>
      <c r="AO110" s="51" cm="1">
        <f t="array" ref="AO110">AJ110</f>
      </c>
      <c r="AP110" t="s" s="57">
        <v>846</v>
      </c>
      <c r="AQ110" s="51" cm="1">
        <f t="array" ref="AQ110">AJ110</f>
      </c>
      <c r="AR110" t="s" s="57">
        <v>847</v>
      </c>
      <c r="AS110" s="51" cm="1">
        <f t="array" ref="AS110">AJ110</f>
      </c>
      <c r="AT110" t="s" s="62">
        <v>848</v>
      </c>
      <c r="AU110" s="51" cm="1">
        <f t="array" ref="AU110">AJ110</f>
      </c>
      <c r="AV110" s="51"/>
      <c r="AW110" t="str" s="63" cm="1">
        <f t="array" ref="AW110">"600/"&amp;$B110&amp;"/"&amp;IF(AND($AE110="Konsultansi",M110&lt;=100000000),"SPK",IF(AND($AE110="Konsultansi",M110&gt;100000000),"Kont",IF(AND($AE110&lt;&gt;"Konsultansi",M110&lt;=200000000),"SPK","Kont")))&amp;"-"&amp;AE110&amp;"/PPK/DPUPR"</f>
        <v>600/58432803/SPK-Barang/PPK/DPUPR</v>
      </c>
      <c r="AX110" t="str" s="63" cm="1">
        <f t="array" ref="AX110">"600/"&amp;$B110&amp;"/SPMK/PPK/DPUPR"</f>
        <v>600/58432803/SPMK/PPK/DPUPR</v>
      </c>
      <c r="AY110" s="51"/>
      <c r="AZ110" s="51"/>
      <c r="BA110" s="51"/>
      <c r="BB110" s="51"/>
      <c r="BC110" s="51"/>
      <c r="BD110" s="51"/>
      <c r="BE110" s="51"/>
      <c r="BF110" s="51"/>
      <c r="BG110" s="84"/>
      <c r="BH110" t="s" s="57">
        <v>182</v>
      </c>
      <c r="BI110" t="s" s="57">
        <v>21</v>
      </c>
      <c r="BJ110" t="s" s="57">
        <v>22</v>
      </c>
      <c r="BK110" t="s" s="57">
        <v>23</v>
      </c>
      <c r="BL110" t="s" s="57">
        <v>24</v>
      </c>
      <c r="BM110" s="51"/>
      <c r="BN110" s="51"/>
      <c r="BO110" s="51"/>
      <c r="BP110" s="51"/>
      <c r="BQ110" s="51"/>
      <c r="BR110" t="b" s="60">
        <v>0</v>
      </c>
      <c r="BS110" s="54" cm="1">
        <f t="array" ref="BS110">IF(M110&lt;=0.8*K110,5%*K110,M110*5%)</f>
        <v>0</v>
      </c>
      <c r="BT110" t="s" s="57">
        <v>432</v>
      </c>
      <c r="BU110" s="51"/>
      <c r="BV110" s="54" cm="1">
        <f t="array" ref="BV110">J110-M110</f>
        <v>5000000</v>
      </c>
    </row>
    <row r="111" ht="24.25" customHeight="1">
      <c r="A111" s="47"/>
      <c r="B111" s="47"/>
      <c r="C111" s="90"/>
      <c r="D111" s="66"/>
      <c r="E111" t="str" s="67" cm="1">
        <f t="array" ref="E111">$C110</f>
        <v>Pengawasan Pemeliharaan Landscape Kota Pasangkayu </v>
      </c>
      <c r="F111" s="68"/>
      <c r="G111" s="67"/>
      <c r="H111" s="67"/>
      <c r="I111" s="67"/>
      <c r="J111" s="69"/>
      <c r="K111" s="69"/>
      <c r="L111" s="56"/>
      <c r="M111" s="69"/>
      <c r="N111" t="s" s="72">
        <v>174</v>
      </c>
      <c r="O111" t="s" s="78">
        <v>174</v>
      </c>
      <c r="P111" t="s" s="72">
        <v>174</v>
      </c>
      <c r="Q111" t="s" s="72">
        <v>174</v>
      </c>
      <c r="R111" t="s" s="72">
        <v>174</v>
      </c>
      <c r="S111" t="s" s="72">
        <v>174</v>
      </c>
      <c r="T111" t="s" s="72">
        <v>174</v>
      </c>
      <c r="U111" t="s" s="72">
        <v>174</v>
      </c>
      <c r="V111" t="s" s="72">
        <v>174</v>
      </c>
      <c r="W111" t="s" s="72">
        <v>174</v>
      </c>
      <c r="X111" s="67"/>
      <c r="Y111" s="67"/>
      <c r="Z111" s="69" cm="1">
        <f t="array" ref="Z111">M111</f>
        <v>0</v>
      </c>
      <c r="AA111" s="67"/>
      <c r="AB111" s="71" cm="1">
        <f t="array" ref="AB111">AH111</f>
      </c>
      <c r="AC111" s="67"/>
      <c r="AD111" s="67"/>
      <c r="AE111" t="s" s="72">
        <v>175</v>
      </c>
      <c r="AF111" s="67"/>
      <c r="AG111" s="71"/>
      <c r="AH111" s="71"/>
      <c r="AI111" s="71"/>
      <c r="AJ111" s="71"/>
      <c r="AK111" s="71"/>
      <c r="AL111" s="71"/>
      <c r="AM111" s="71"/>
      <c r="AN111" t="s" s="72">
        <v>390</v>
      </c>
      <c r="AO111" s="67" cm="1">
        <f t="array" ref="AO111">AJ111</f>
      </c>
      <c r="AP111" t="s" s="72">
        <v>391</v>
      </c>
      <c r="AQ111" s="67" cm="1">
        <f t="array" ref="AQ111">AJ111</f>
      </c>
      <c r="AR111" t="s" s="72">
        <v>392</v>
      </c>
      <c r="AS111" s="67" cm="1">
        <f t="array" ref="AS111">AJ111</f>
      </c>
      <c r="AT111" t="s" s="62">
        <v>393</v>
      </c>
      <c r="AU111" s="67" cm="1">
        <f t="array" ref="AU111">AJ111</f>
      </c>
      <c r="AV111" s="67"/>
      <c r="AW111" t="str" s="74" cm="1">
        <f t="array" ref="AW111">"600/"&amp;$B111&amp;"/"&amp;IF(AND($AE111="Konsultansi",M111&lt;=100000000),"SPK",IF(AND($AE111="Konsultansi",M111&gt;100000000),"Kont",IF(AND($AE111&lt;&gt;"Konsultansi",M111&lt;=200000000),"SPK","Kont")))&amp;"-"&amp;AE111&amp;"/PPK/DPUPR"</f>
        <v>600//SPK-Barang/PPK/DPUPR</v>
      </c>
      <c r="AX111" t="str" s="74" cm="1">
        <f t="array" ref="AX111">"600/"&amp;$B111&amp;"/SPMK/PPK/DPUPR"</f>
        <v>600//SPMK/PPK/DPUPR</v>
      </c>
      <c r="AY111" s="67"/>
      <c r="AZ111" s="67"/>
      <c r="BA111" s="67"/>
      <c r="BB111" s="67"/>
      <c r="BC111" s="67"/>
      <c r="BD111" s="67"/>
      <c r="BE111" s="67"/>
      <c r="BF111" s="67"/>
      <c r="BG111" s="75"/>
      <c r="BH111" t="s" s="72">
        <v>182</v>
      </c>
      <c r="BI111" t="s" s="72">
        <v>21</v>
      </c>
      <c r="BJ111" t="s" s="72">
        <v>22</v>
      </c>
      <c r="BK111" t="s" s="72">
        <v>23</v>
      </c>
      <c r="BL111" t="s" s="72">
        <v>24</v>
      </c>
      <c r="BM111" s="67"/>
      <c r="BN111" s="67"/>
      <c r="BO111" s="67"/>
      <c r="BP111" s="67"/>
      <c r="BQ111" s="67"/>
      <c r="BR111" t="b" s="79">
        <v>0</v>
      </c>
      <c r="BS111" s="69" cm="1">
        <f t="array" ref="BS111">IF(M111&lt;=0.8*K111,5%*K111,M111*5%)</f>
        <v>0</v>
      </c>
      <c r="BT111" t="s" s="72">
        <v>183</v>
      </c>
      <c r="BU111" s="67"/>
      <c r="BV111" s="69" cm="1">
        <f t="array" ref="BV111">J111-M111</f>
        <v>0</v>
      </c>
    </row>
    <row r="112" ht="60.25" customHeight="1">
      <c r="A112" s="47"/>
      <c r="B112" s="48">
        <v>59741216</v>
      </c>
      <c r="C112" t="s" s="89">
        <v>852</v>
      </c>
      <c r="D112" t="s" s="50">
        <v>853</v>
      </c>
      <c r="E112" t="str" s="51" cm="1">
        <f t="array" ref="E112">$C112</f>
        <v>Belanja Pemeliharaan Alat Besar-Alat Besar Darat-Alat Besar Darat Lainnya </v>
      </c>
      <c r="F112" s="52"/>
      <c r="G112" s="51"/>
      <c r="H112" s="51"/>
      <c r="I112" s="51"/>
      <c r="J112" s="54">
        <v>185000000</v>
      </c>
      <c r="K112" s="54">
        <v>184999000</v>
      </c>
      <c r="L112" s="56">
        <v>184944499.99</v>
      </c>
      <c r="M112" s="54">
        <v>184944000</v>
      </c>
      <c r="N112" t="s" s="57">
        <v>655</v>
      </c>
      <c r="O112" t="s" s="58">
        <v>656</v>
      </c>
      <c r="P112" t="s" s="57">
        <v>4</v>
      </c>
      <c r="Q112" t="s" s="57">
        <v>657</v>
      </c>
      <c r="R112" t="s" s="57">
        <v>658</v>
      </c>
      <c r="S112" s="60">
        <v>46</v>
      </c>
      <c r="T112" s="61">
        <v>45310</v>
      </c>
      <c r="U112" t="s" s="57">
        <v>296</v>
      </c>
      <c r="V112" t="s" s="57">
        <v>659</v>
      </c>
      <c r="W112" t="s" s="57">
        <v>660</v>
      </c>
      <c r="X112" s="60">
        <v>280</v>
      </c>
      <c r="Y112" t="s" s="57">
        <v>10</v>
      </c>
      <c r="Z112" s="54" cm="1">
        <f t="array" ref="Z112">M112</f>
        <v>184944000</v>
      </c>
      <c r="AA112" t="s" s="57">
        <v>11</v>
      </c>
      <c r="AB112" s="61" cm="1">
        <f t="array" ref="AB112">AH112</f>
        <v>45740</v>
      </c>
      <c r="AC112" s="60">
        <v>180</v>
      </c>
      <c r="AD112" t="s" s="57">
        <v>106</v>
      </c>
      <c r="AE112" t="s" s="57">
        <v>175</v>
      </c>
      <c r="AF112" t="s" s="57">
        <v>855</v>
      </c>
      <c r="AG112" s="61">
        <v>45740</v>
      </c>
      <c r="AH112" s="61">
        <v>45740</v>
      </c>
      <c r="AI112" s="61">
        <v>45740</v>
      </c>
      <c r="AJ112" s="61">
        <v>45740</v>
      </c>
      <c r="AK112" s="61">
        <v>45740</v>
      </c>
      <c r="AL112" s="61">
        <v>45740</v>
      </c>
      <c r="AM112" s="61">
        <v>45740</v>
      </c>
      <c r="AN112" t="s" s="57">
        <v>856</v>
      </c>
      <c r="AO112" s="61" cm="1">
        <f t="array" ref="AO112">AJ112</f>
        <v>45740</v>
      </c>
      <c r="AP112" t="s" s="57">
        <v>857</v>
      </c>
      <c r="AQ112" s="61" cm="1">
        <f t="array" ref="AQ112">AJ112</f>
        <v>45740</v>
      </c>
      <c r="AR112" t="s" s="57">
        <v>858</v>
      </c>
      <c r="AS112" s="61" cm="1">
        <f t="array" ref="AS112">AJ112</f>
        <v>45740</v>
      </c>
      <c r="AT112" t="s" s="62">
        <v>859</v>
      </c>
      <c r="AU112" s="61" cm="1">
        <f t="array" ref="AU112">AJ112</f>
        <v>45740</v>
      </c>
      <c r="AV112" s="51"/>
      <c r="AW112" t="str" s="63" cm="1">
        <f t="array" ref="AW112">"600/"&amp;$B112&amp;"/"&amp;IF(AND($AE112="Konsultansi",M112&lt;=100000000),"SPK",IF(AND($AE112="Konsultansi",M112&gt;100000000),"Kont",IF(AND($AE112&lt;&gt;"Konsultansi",M112&lt;=200000000),"SPK","Kont")))&amp;"-"&amp;AE112&amp;"/PPK/DPUPR"</f>
        <v>600/59741216/SPK-Barang/PPK/DPUPR</v>
      </c>
      <c r="AX112" t="str" s="63" cm="1">
        <f t="array" ref="AX112">"600/"&amp;$B112&amp;"/SPMK/PPK/DPUPR"</f>
        <v>600/59741216/SPMK/PPK/DPUPR</v>
      </c>
      <c r="AY112" s="51"/>
      <c r="AZ112" s="51"/>
      <c r="BA112" s="51"/>
      <c r="BB112" s="51"/>
      <c r="BC112" s="51"/>
      <c r="BD112" s="51"/>
      <c r="BE112" s="51"/>
      <c r="BF112" s="51"/>
      <c r="BG112" s="64">
        <v>238</v>
      </c>
      <c r="BH112" t="s" s="57">
        <v>655</v>
      </c>
      <c r="BI112" t="s" s="57">
        <v>21</v>
      </c>
      <c r="BJ112" t="s" s="57">
        <v>22</v>
      </c>
      <c r="BK112" t="s" s="57">
        <v>23</v>
      </c>
      <c r="BL112" t="s" s="57">
        <v>24</v>
      </c>
      <c r="BM112" s="51"/>
      <c r="BN112" s="51"/>
      <c r="BO112" s="51"/>
      <c r="BP112" s="51"/>
      <c r="BQ112" s="51"/>
      <c r="BR112" t="b" s="60">
        <v>0</v>
      </c>
      <c r="BS112" s="54" cm="1">
        <f t="array" ref="BS112">IF(M112&lt;=0.8*K112,5%*K112,M112*5%)</f>
        <v>9247200</v>
      </c>
      <c r="BT112" t="s" s="57">
        <v>862</v>
      </c>
      <c r="BU112" s="51"/>
      <c r="BV112" s="54" cm="1">
        <f t="array" ref="BV112">J112-M112</f>
        <v>56000</v>
      </c>
    </row>
    <row r="113" ht="24.25" customHeight="1">
      <c r="A113" s="47"/>
      <c r="B113" s="47"/>
      <c r="C113" s="90"/>
      <c r="D113" s="66"/>
      <c r="E113" s="79" cm="1">
        <f t="array" ref="E113">$C113</f>
        <v>0</v>
      </c>
      <c r="F113" s="68"/>
      <c r="G113" s="67"/>
      <c r="H113" s="67"/>
      <c r="I113" s="67"/>
      <c r="J113" s="69"/>
      <c r="K113" s="69"/>
      <c r="L113" s="56"/>
      <c r="M113" s="69"/>
      <c r="N113" t="s" s="72">
        <v>174</v>
      </c>
      <c r="O113" t="s" s="78">
        <v>174</v>
      </c>
      <c r="P113" t="s" s="72">
        <v>174</v>
      </c>
      <c r="Q113" t="s" s="72">
        <v>174</v>
      </c>
      <c r="R113" t="s" s="72">
        <v>174</v>
      </c>
      <c r="S113" t="s" s="72">
        <v>174</v>
      </c>
      <c r="T113" t="s" s="72">
        <v>174</v>
      </c>
      <c r="U113" t="s" s="72">
        <v>174</v>
      </c>
      <c r="V113" t="s" s="72">
        <v>174</v>
      </c>
      <c r="W113" t="s" s="72">
        <v>174</v>
      </c>
      <c r="X113" s="67"/>
      <c r="Y113" s="67"/>
      <c r="Z113" s="69" cm="1">
        <f t="array" ref="Z113">M113</f>
        <v>0</v>
      </c>
      <c r="AA113" s="67"/>
      <c r="AB113" s="71" cm="1">
        <f t="array" ref="AB113">AH113</f>
      </c>
      <c r="AC113" s="67"/>
      <c r="AD113" s="67"/>
      <c r="AE113" t="s" s="72">
        <v>175</v>
      </c>
      <c r="AF113" s="67"/>
      <c r="AG113" s="71"/>
      <c r="AH113" s="71"/>
      <c r="AI113" s="71"/>
      <c r="AJ113" s="71"/>
      <c r="AK113" s="71"/>
      <c r="AL113" s="71"/>
      <c r="AM113" s="71"/>
      <c r="AN113" t="s" s="72">
        <v>390</v>
      </c>
      <c r="AO113" s="67" cm="1">
        <f t="array" ref="AO113">AJ113</f>
      </c>
      <c r="AP113" t="s" s="72">
        <v>391</v>
      </c>
      <c r="AQ113" s="67" cm="1">
        <f t="array" ref="AQ113">AJ113</f>
      </c>
      <c r="AR113" t="s" s="72">
        <v>392</v>
      </c>
      <c r="AS113" s="67" cm="1">
        <f t="array" ref="AS113">AJ113</f>
      </c>
      <c r="AT113" t="s" s="62">
        <v>393</v>
      </c>
      <c r="AU113" s="67" cm="1">
        <f t="array" ref="AU113">AJ113</f>
      </c>
      <c r="AV113" s="67"/>
      <c r="AW113" t="str" s="74" cm="1">
        <f t="array" ref="AW113">"600/"&amp;$B113&amp;"/"&amp;IF(AND($AE113="Konsultansi",M113&lt;=100000000),"SPK",IF(AND($AE113="Konsultansi",M113&gt;100000000),"Kont",IF(AND($AE113&lt;&gt;"Konsultansi",M113&lt;=200000000),"SPK","Kont")))&amp;"-"&amp;AE113&amp;"/PPK/DPUPR"</f>
        <v>600//SPK-Barang/PPK/DPUPR</v>
      </c>
      <c r="AX113" t="str" s="74" cm="1">
        <f t="array" ref="AX113">"600/"&amp;$B113&amp;"/SPMK/PPK/DPUPR"</f>
        <v>600//SPMK/PPK/DPUPR</v>
      </c>
      <c r="AY113" s="67"/>
      <c r="AZ113" s="67"/>
      <c r="BA113" s="67"/>
      <c r="BB113" s="67"/>
      <c r="BC113" s="67"/>
      <c r="BD113" s="67"/>
      <c r="BE113" s="67"/>
      <c r="BF113" s="67"/>
      <c r="BG113" s="75"/>
      <c r="BH113" t="s" s="72">
        <v>182</v>
      </c>
      <c r="BI113" t="s" s="72">
        <v>21</v>
      </c>
      <c r="BJ113" t="s" s="72">
        <v>22</v>
      </c>
      <c r="BK113" t="s" s="72">
        <v>23</v>
      </c>
      <c r="BL113" t="s" s="72">
        <v>24</v>
      </c>
      <c r="BM113" s="67"/>
      <c r="BN113" s="67"/>
      <c r="BO113" s="67"/>
      <c r="BP113" s="67"/>
      <c r="BQ113" s="67"/>
      <c r="BR113" t="b" s="79">
        <v>0</v>
      </c>
      <c r="BS113" s="69" cm="1">
        <f t="array" ref="BS113">IF(M113&lt;=0.8*K113,5%*K113,M113*5%)</f>
        <v>0</v>
      </c>
      <c r="BT113" t="s" s="72">
        <v>183</v>
      </c>
      <c r="BU113" s="67"/>
      <c r="BV113" s="69" cm="1">
        <f t="array" ref="BV113">J113-M113</f>
        <v>0</v>
      </c>
    </row>
    <row r="114" ht="60.25" customHeight="1">
      <c r="A114" s="47"/>
      <c r="B114" s="48">
        <v>59011497</v>
      </c>
      <c r="C114" t="s" s="89">
        <v>863</v>
      </c>
      <c r="D114" t="s" s="50">
        <v>280</v>
      </c>
      <c r="E114" t="str" s="51" cm="1">
        <f t="array" ref="E114">$C114</f>
        <v>Stock Design Box Culvert Kab. Pasangkayu I </v>
      </c>
      <c r="F114" s="52"/>
      <c r="G114" s="51"/>
      <c r="H114" s="51"/>
      <c r="I114" s="51"/>
      <c r="J114" s="54">
        <v>100000000</v>
      </c>
      <c r="K114" s="54">
        <v>99995000</v>
      </c>
      <c r="L114" s="56">
        <v>99876834</v>
      </c>
      <c r="M114" s="54">
        <v>99876000</v>
      </c>
      <c r="N114" t="s" s="57">
        <v>744</v>
      </c>
      <c r="O114" t="s" s="58">
        <v>745</v>
      </c>
      <c r="P114" t="s" s="57">
        <v>4</v>
      </c>
      <c r="Q114" t="s" s="57">
        <v>746</v>
      </c>
      <c r="R114" t="s" s="57">
        <v>747</v>
      </c>
      <c r="S114" t="s" s="57">
        <v>748</v>
      </c>
      <c r="T114" s="61">
        <v>45670</v>
      </c>
      <c r="U114" t="s" s="57">
        <v>749</v>
      </c>
      <c r="V114" t="s" s="57">
        <v>750</v>
      </c>
      <c r="W114" t="s" s="57">
        <v>751</v>
      </c>
      <c r="X114" s="60">
        <v>30</v>
      </c>
      <c r="Y114" t="s" s="57">
        <v>10</v>
      </c>
      <c r="Z114" s="54" cm="1">
        <f t="array" ref="Z114">M114</f>
        <v>99876000</v>
      </c>
      <c r="AA114" t="s" s="57">
        <v>11</v>
      </c>
      <c r="AB114" s="61" cm="1">
        <f t="array" ref="AB114">AH114</f>
        <v>45768</v>
      </c>
      <c r="AC114" s="51"/>
      <c r="AD114" t="s" s="57">
        <v>192</v>
      </c>
      <c r="AE114" t="s" s="57">
        <v>13</v>
      </c>
      <c r="AF114" t="s" s="57">
        <v>399</v>
      </c>
      <c r="AG114" s="61">
        <v>45765</v>
      </c>
      <c r="AH114" s="61">
        <v>45768</v>
      </c>
      <c r="AI114" s="61">
        <v>45768</v>
      </c>
      <c r="AJ114" s="61">
        <v>45768</v>
      </c>
      <c r="AK114" s="61">
        <v>45768</v>
      </c>
      <c r="AL114" s="61">
        <v>45768</v>
      </c>
      <c r="AM114" s="61">
        <v>45768</v>
      </c>
      <c r="AN114" t="s" s="57">
        <v>865</v>
      </c>
      <c r="AO114" s="61" cm="1">
        <f t="array" ref="AO114">AJ114</f>
        <v>45768</v>
      </c>
      <c r="AP114" t="s" s="57">
        <v>866</v>
      </c>
      <c r="AQ114" s="61" cm="1">
        <f t="array" ref="AQ114">AJ114</f>
        <v>45768</v>
      </c>
      <c r="AR114" t="s" s="57">
        <v>867</v>
      </c>
      <c r="AS114" s="61" cm="1">
        <f t="array" ref="AS114">AJ114</f>
        <v>45768</v>
      </c>
      <c r="AT114" t="s" s="62">
        <v>868</v>
      </c>
      <c r="AU114" s="61" cm="1">
        <f t="array" ref="AU114">AJ114</f>
        <v>45768</v>
      </c>
      <c r="AV114" s="51"/>
      <c r="AW114" t="str" s="63" cm="1">
        <f t="array" ref="AW114">"600/"&amp;$B114&amp;"/"&amp;IF(AND($AE114="Konsultansi",M114&lt;=100000000),"SPK",IF(AND($AE114="Konsultansi",M114&gt;100000000),"Kont",IF(AND($AE114&lt;&gt;"Konsultansi",M114&lt;=200000000),"SPK","Kont")))&amp;"-"&amp;AE114&amp;"/PPK/DPUPR"</f>
        <v>600/59011497/SPK-Konsultansi/PPK/DPUPR</v>
      </c>
      <c r="AX114" t="str" s="63" cm="1">
        <f t="array" ref="AX114">"600/"&amp;$B114&amp;"/SPMK/PPK/DPUPR"</f>
        <v>600/59011497/SPMK/PPK/DPUPR</v>
      </c>
      <c r="AY114" s="51"/>
      <c r="AZ114" s="51"/>
      <c r="BA114" s="51"/>
      <c r="BB114" s="51"/>
      <c r="BC114" s="51"/>
      <c r="BD114" s="51"/>
      <c r="BE114" s="51"/>
      <c r="BF114" s="51"/>
      <c r="BG114" s="64">
        <v>250</v>
      </c>
      <c r="BH114" t="s" s="57">
        <v>744</v>
      </c>
      <c r="BI114" t="s" s="57">
        <v>21</v>
      </c>
      <c r="BJ114" t="s" s="57">
        <v>22</v>
      </c>
      <c r="BK114" t="s" s="57">
        <v>23</v>
      </c>
      <c r="BL114" t="s" s="57">
        <v>24</v>
      </c>
      <c r="BM114" s="51"/>
      <c r="BN114" s="51"/>
      <c r="BO114" s="51"/>
      <c r="BP114" s="51"/>
      <c r="BQ114" s="51"/>
      <c r="BR114" t="b" s="60">
        <v>0</v>
      </c>
      <c r="BS114" s="54" cm="1">
        <f t="array" ref="BS114">IF(M114&lt;=0.8*K114,5%*K114,M114*5%)</f>
        <v>4993800</v>
      </c>
      <c r="BT114" t="s" s="57">
        <v>288</v>
      </c>
      <c r="BU114" s="51"/>
      <c r="BV114" s="54" cm="1">
        <f t="array" ref="BV114">J114-M114</f>
        <v>124000</v>
      </c>
    </row>
    <row r="115" ht="60.25" customHeight="1">
      <c r="A115" s="47"/>
      <c r="B115" s="48">
        <v>59011519</v>
      </c>
      <c r="C115" t="s" s="89">
        <v>871</v>
      </c>
      <c r="D115" t="s" s="76">
        <v>280</v>
      </c>
      <c r="E115" t="str" s="67" cm="1">
        <f t="array" ref="E115">$C115</f>
        <v>Stock Design Box Culvert Kab. Pasangkayu II </v>
      </c>
      <c r="F115" s="68"/>
      <c r="G115" s="67"/>
      <c r="H115" s="67"/>
      <c r="I115" s="67"/>
      <c r="J115" s="69">
        <v>100000000</v>
      </c>
      <c r="K115" s="69">
        <v>99995000</v>
      </c>
      <c r="L115" s="56">
        <v>99837900</v>
      </c>
      <c r="M115" s="69">
        <v>99837000</v>
      </c>
      <c r="N115" t="s" s="72">
        <v>744</v>
      </c>
      <c r="O115" t="s" s="78">
        <v>745</v>
      </c>
      <c r="P115" t="s" s="72">
        <v>4</v>
      </c>
      <c r="Q115" t="s" s="72">
        <v>746</v>
      </c>
      <c r="R115" t="s" s="72">
        <v>747</v>
      </c>
      <c r="S115" t="s" s="72">
        <v>748</v>
      </c>
      <c r="T115" s="71">
        <v>45670</v>
      </c>
      <c r="U115" t="s" s="72">
        <v>749</v>
      </c>
      <c r="V115" t="s" s="72">
        <v>750</v>
      </c>
      <c r="W115" t="s" s="72">
        <v>751</v>
      </c>
      <c r="X115" s="79">
        <v>30</v>
      </c>
      <c r="Y115" t="s" s="72">
        <v>10</v>
      </c>
      <c r="Z115" s="69" cm="1">
        <f t="array" ref="Z115">M115</f>
        <v>99837000</v>
      </c>
      <c r="AA115" t="s" s="72">
        <v>11</v>
      </c>
      <c r="AB115" s="71" cm="1">
        <f t="array" ref="AB115">AH115</f>
        <v>45768</v>
      </c>
      <c r="AC115" s="67"/>
      <c r="AD115" t="s" s="72">
        <v>192</v>
      </c>
      <c r="AE115" t="s" s="72">
        <v>13</v>
      </c>
      <c r="AF115" t="s" s="72">
        <v>399</v>
      </c>
      <c r="AG115" s="71">
        <v>45765</v>
      </c>
      <c r="AH115" s="71">
        <v>45768</v>
      </c>
      <c r="AI115" s="71">
        <v>45768</v>
      </c>
      <c r="AJ115" s="71">
        <v>45768</v>
      </c>
      <c r="AK115" s="71">
        <v>45768</v>
      </c>
      <c r="AL115" s="71">
        <v>45768</v>
      </c>
      <c r="AM115" s="71">
        <v>45768</v>
      </c>
      <c r="AN115" t="s" s="72">
        <v>873</v>
      </c>
      <c r="AO115" s="71" cm="1">
        <f t="array" ref="AO115">AJ115</f>
        <v>45768</v>
      </c>
      <c r="AP115" t="s" s="72">
        <v>874</v>
      </c>
      <c r="AQ115" s="71" cm="1">
        <f t="array" ref="AQ115">AJ115</f>
        <v>45768</v>
      </c>
      <c r="AR115" t="s" s="72">
        <v>875</v>
      </c>
      <c r="AS115" s="71" cm="1">
        <f t="array" ref="AS115">AJ115</f>
        <v>45768</v>
      </c>
      <c r="AT115" t="s" s="62">
        <v>876</v>
      </c>
      <c r="AU115" s="71" cm="1">
        <f t="array" ref="AU115">AJ115</f>
        <v>45768</v>
      </c>
      <c r="AV115" s="67"/>
      <c r="AW115" t="str" s="74" cm="1">
        <f t="array" ref="AW115">"600/"&amp;$B115&amp;"/"&amp;IF(AND($AE115="Konsultansi",M115&lt;=100000000),"SPK",IF(AND($AE115="Konsultansi",M115&gt;100000000),"Kont",IF(AND($AE115&lt;&gt;"Konsultansi",M115&lt;=200000000),"SPK","Kont")))&amp;"-"&amp;AE115&amp;"/PPK/DPUPR"</f>
        <v>600/59011519/SPK-Konsultansi/PPK/DPUPR</v>
      </c>
      <c r="AX115" t="str" s="74" cm="1">
        <f t="array" ref="AX115">"600/"&amp;$B115&amp;"/SPMK/PPK/DPUPR"</f>
        <v>600/59011519/SPMK/PPK/DPUPR</v>
      </c>
      <c r="AY115" s="67"/>
      <c r="AZ115" s="67"/>
      <c r="BA115" s="67"/>
      <c r="BB115" s="67"/>
      <c r="BC115" s="67"/>
      <c r="BD115" s="67"/>
      <c r="BE115" s="67"/>
      <c r="BF115" s="67"/>
      <c r="BG115" s="80">
        <v>250</v>
      </c>
      <c r="BH115" t="s" s="72">
        <v>744</v>
      </c>
      <c r="BI115" t="s" s="72">
        <v>21</v>
      </c>
      <c r="BJ115" t="s" s="72">
        <v>22</v>
      </c>
      <c r="BK115" t="s" s="72">
        <v>23</v>
      </c>
      <c r="BL115" t="s" s="72">
        <v>24</v>
      </c>
      <c r="BM115" s="67"/>
      <c r="BN115" s="67"/>
      <c r="BO115" s="67"/>
      <c r="BP115" s="67"/>
      <c r="BQ115" s="67"/>
      <c r="BR115" t="b" s="79">
        <v>0</v>
      </c>
      <c r="BS115" s="69" cm="1">
        <f t="array" ref="BS115">IF(M115&lt;=0.8*K115,5%*K115,M115*5%)</f>
        <v>4991850</v>
      </c>
      <c r="BT115" t="s" s="72">
        <v>288</v>
      </c>
      <c r="BU115" s="67"/>
      <c r="BV115" s="69" cm="1">
        <f t="array" ref="BV115">J115-M115</f>
        <v>163000</v>
      </c>
    </row>
    <row r="116" ht="60.25" customHeight="1">
      <c r="A116" s="47"/>
      <c r="B116" s="48">
        <v>56625371</v>
      </c>
      <c r="C116" t="s" s="89">
        <v>879</v>
      </c>
      <c r="D116" t="s" s="50">
        <v>1</v>
      </c>
      <c r="E116" t="str" s="51" cm="1">
        <f t="array" ref="E116">$C116</f>
        <v>Stock Design Pemb/Peningkatan Jalan Kab. Pasangkayu I </v>
      </c>
      <c r="F116" s="52"/>
      <c r="G116" s="51"/>
      <c r="H116" s="51"/>
      <c r="I116" s="51"/>
      <c r="J116" s="54">
        <v>100000000</v>
      </c>
      <c r="K116" s="54">
        <v>99995000</v>
      </c>
      <c r="L116" s="56">
        <v>99826776</v>
      </c>
      <c r="M116" s="54">
        <v>99826000</v>
      </c>
      <c r="N116" t="s" s="57">
        <v>744</v>
      </c>
      <c r="O116" t="s" s="58">
        <v>745</v>
      </c>
      <c r="P116" t="s" s="57">
        <v>4</v>
      </c>
      <c r="Q116" t="s" s="57">
        <v>746</v>
      </c>
      <c r="R116" t="s" s="57">
        <v>747</v>
      </c>
      <c r="S116" t="s" s="57">
        <v>748</v>
      </c>
      <c r="T116" s="61">
        <v>45670</v>
      </c>
      <c r="U116" t="s" s="57">
        <v>749</v>
      </c>
      <c r="V116" t="s" s="57">
        <v>750</v>
      </c>
      <c r="W116" t="s" s="57">
        <v>751</v>
      </c>
      <c r="X116" s="60">
        <v>30</v>
      </c>
      <c r="Y116" t="s" s="57">
        <v>10</v>
      </c>
      <c r="Z116" s="54" cm="1">
        <f t="array" ref="Z116">M116</f>
        <v>99826000</v>
      </c>
      <c r="AA116" t="s" s="57">
        <v>11</v>
      </c>
      <c r="AB116" s="61" cm="1">
        <f t="array" ref="AB116">AH116</f>
        <v>45768</v>
      </c>
      <c r="AC116" s="51"/>
      <c r="AD116" t="s" s="57">
        <v>192</v>
      </c>
      <c r="AE116" t="s" s="57">
        <v>13</v>
      </c>
      <c r="AF116" t="s" s="57">
        <v>108</v>
      </c>
      <c r="AG116" s="61">
        <v>45765</v>
      </c>
      <c r="AH116" s="61">
        <v>45768</v>
      </c>
      <c r="AI116" s="61">
        <v>45768</v>
      </c>
      <c r="AJ116" s="61">
        <v>45768</v>
      </c>
      <c r="AK116" s="61">
        <v>45768</v>
      </c>
      <c r="AL116" s="61">
        <v>45768</v>
      </c>
      <c r="AM116" s="61">
        <v>45768</v>
      </c>
      <c r="AN116" t="s" s="57">
        <v>881</v>
      </c>
      <c r="AO116" s="61" cm="1">
        <f t="array" ref="AO116">AJ116</f>
        <v>45768</v>
      </c>
      <c r="AP116" t="s" s="57">
        <v>882</v>
      </c>
      <c r="AQ116" s="61" cm="1">
        <f t="array" ref="AQ116">AJ116</f>
        <v>45768</v>
      </c>
      <c r="AR116" t="s" s="57">
        <v>883</v>
      </c>
      <c r="AS116" s="61" cm="1">
        <f t="array" ref="AS116">AJ116</f>
        <v>45768</v>
      </c>
      <c r="AT116" t="s" s="62">
        <v>884</v>
      </c>
      <c r="AU116" s="61" cm="1">
        <f t="array" ref="AU116">AJ116</f>
        <v>45768</v>
      </c>
      <c r="AV116" s="51"/>
      <c r="AW116" t="str" s="63" cm="1">
        <f t="array" ref="AW116">"600/"&amp;$B116&amp;"/"&amp;IF(AND($AE116="Konsultansi",M116&lt;=100000000),"SPK",IF(AND($AE116="Konsultansi",M116&gt;100000000),"Kont",IF(AND($AE116&lt;&gt;"Konsultansi",M116&lt;=200000000),"SPK","Kont")))&amp;"-"&amp;AE116&amp;"/PPK/DPUPR"</f>
        <v>600/56625371/SPK-Konsultansi/PPK/DPUPR</v>
      </c>
      <c r="AX116" t="str" s="63" cm="1">
        <f t="array" ref="AX116">"600/"&amp;$B116&amp;"/SPMK/PPK/DPUPR"</f>
        <v>600/56625371/SPMK/PPK/DPUPR</v>
      </c>
      <c r="AY116" s="51"/>
      <c r="AZ116" s="51"/>
      <c r="BA116" s="51"/>
      <c r="BB116" s="51"/>
      <c r="BC116" s="51"/>
      <c r="BD116" s="51"/>
      <c r="BE116" s="51"/>
      <c r="BF116" s="51"/>
      <c r="BG116" s="64">
        <v>250</v>
      </c>
      <c r="BH116" t="s" s="57">
        <v>744</v>
      </c>
      <c r="BI116" t="s" s="57">
        <v>21</v>
      </c>
      <c r="BJ116" t="s" s="57">
        <v>22</v>
      </c>
      <c r="BK116" t="s" s="57">
        <v>23</v>
      </c>
      <c r="BL116" t="s" s="57">
        <v>24</v>
      </c>
      <c r="BM116" s="51"/>
      <c r="BN116" s="51"/>
      <c r="BO116" s="51"/>
      <c r="BP116" s="51"/>
      <c r="BQ116" s="51"/>
      <c r="BR116" t="b" s="60">
        <v>0</v>
      </c>
      <c r="BS116" s="54" cm="1">
        <f t="array" ref="BS116">IF(M116&lt;=0.8*K116,5%*K116,M116*5%)</f>
        <v>4991300</v>
      </c>
      <c r="BT116" t="s" s="57">
        <v>25</v>
      </c>
      <c r="BU116" s="51"/>
      <c r="BV116" s="54" cm="1">
        <f t="array" ref="BV116">J116-M116</f>
        <v>174000</v>
      </c>
    </row>
    <row r="117" ht="60.25" customHeight="1">
      <c r="A117" s="47"/>
      <c r="B117" s="48">
        <v>56625372</v>
      </c>
      <c r="C117" t="s" s="89">
        <v>887</v>
      </c>
      <c r="D117" t="s" s="76">
        <v>1</v>
      </c>
      <c r="E117" t="str" s="67" cm="1">
        <f t="array" ref="E117">$C117</f>
        <v>Stock Design Pemb/Peningkatan Jalan Kab. Pasangkayu II </v>
      </c>
      <c r="F117" s="68"/>
      <c r="G117" s="67"/>
      <c r="H117" s="67"/>
      <c r="I117" s="67"/>
      <c r="J117" s="69">
        <v>100000000</v>
      </c>
      <c r="K117" s="69">
        <v>99995000</v>
      </c>
      <c r="L117" s="56">
        <v>99849024</v>
      </c>
      <c r="M117" s="69">
        <v>99849000</v>
      </c>
      <c r="N117" t="s" s="72">
        <v>744</v>
      </c>
      <c r="O117" t="s" s="78">
        <v>745</v>
      </c>
      <c r="P117" t="s" s="72">
        <v>4</v>
      </c>
      <c r="Q117" t="s" s="72">
        <v>746</v>
      </c>
      <c r="R117" t="s" s="72">
        <v>747</v>
      </c>
      <c r="S117" t="s" s="72">
        <v>748</v>
      </c>
      <c r="T117" s="71">
        <v>45670</v>
      </c>
      <c r="U117" t="s" s="72">
        <v>749</v>
      </c>
      <c r="V117" t="s" s="72">
        <v>750</v>
      </c>
      <c r="W117" t="s" s="72">
        <v>751</v>
      </c>
      <c r="X117" s="79">
        <v>30</v>
      </c>
      <c r="Y117" t="s" s="72">
        <v>10</v>
      </c>
      <c r="Z117" s="69" cm="1">
        <f t="array" ref="Z117">M117</f>
        <v>99849000</v>
      </c>
      <c r="AA117" t="s" s="72">
        <v>11</v>
      </c>
      <c r="AB117" s="71" cm="1">
        <f t="array" ref="AB117">AH117</f>
        <v>45761</v>
      </c>
      <c r="AC117" s="67"/>
      <c r="AD117" t="s" s="72">
        <v>192</v>
      </c>
      <c r="AE117" t="s" s="72">
        <v>13</v>
      </c>
      <c r="AF117" t="s" s="72">
        <v>108</v>
      </c>
      <c r="AG117" s="71">
        <v>45758</v>
      </c>
      <c r="AH117" s="71">
        <v>45761</v>
      </c>
      <c r="AI117" s="71">
        <v>45761</v>
      </c>
      <c r="AJ117" s="71">
        <v>45761</v>
      </c>
      <c r="AK117" s="71">
        <v>45761</v>
      </c>
      <c r="AL117" s="71">
        <v>45761</v>
      </c>
      <c r="AM117" s="71">
        <v>45761</v>
      </c>
      <c r="AN117" t="s" s="72">
        <v>889</v>
      </c>
      <c r="AO117" s="71" cm="1">
        <f t="array" ref="AO117">AJ117</f>
        <v>45761</v>
      </c>
      <c r="AP117" t="s" s="72">
        <v>890</v>
      </c>
      <c r="AQ117" s="71" cm="1">
        <f t="array" ref="AQ117">AJ117</f>
        <v>45761</v>
      </c>
      <c r="AR117" t="s" s="72">
        <v>891</v>
      </c>
      <c r="AS117" s="71" cm="1">
        <f t="array" ref="AS117">AJ117</f>
        <v>45761</v>
      </c>
      <c r="AT117" t="s" s="62">
        <v>892</v>
      </c>
      <c r="AU117" s="71" cm="1">
        <f t="array" ref="AU117">AJ117</f>
        <v>45761</v>
      </c>
      <c r="AV117" s="67"/>
      <c r="AW117" t="str" s="74" cm="1">
        <f t="array" ref="AW117">"600/"&amp;$B117&amp;"/"&amp;IF(AND($AE117="Konsultansi",M117&lt;=100000000),"SPK",IF(AND($AE117="Konsultansi",M117&gt;100000000),"Kont",IF(AND($AE117&lt;&gt;"Konsultansi",M117&lt;=200000000),"SPK","Kont")))&amp;"-"&amp;AE117&amp;"/PPK/DPUPR"</f>
        <v>600/56625372/SPK-Konsultansi/PPK/DPUPR</v>
      </c>
      <c r="AX117" t="str" s="74" cm="1">
        <f t="array" ref="AX117">"600/"&amp;$B117&amp;"/SPMK/PPK/DPUPR"</f>
        <v>600/56625372/SPMK/PPK/DPUPR</v>
      </c>
      <c r="AY117" s="67"/>
      <c r="AZ117" s="67"/>
      <c r="BA117" s="67"/>
      <c r="BB117" s="67"/>
      <c r="BC117" s="67"/>
      <c r="BD117" s="67"/>
      <c r="BE117" s="67"/>
      <c r="BF117" s="67"/>
      <c r="BG117" s="80">
        <v>250</v>
      </c>
      <c r="BH117" t="s" s="72">
        <v>744</v>
      </c>
      <c r="BI117" t="s" s="72">
        <v>21</v>
      </c>
      <c r="BJ117" t="s" s="72">
        <v>22</v>
      </c>
      <c r="BK117" t="s" s="72">
        <v>23</v>
      </c>
      <c r="BL117" t="s" s="72">
        <v>24</v>
      </c>
      <c r="BM117" s="67"/>
      <c r="BN117" s="67"/>
      <c r="BO117" s="67"/>
      <c r="BP117" s="67"/>
      <c r="BQ117" s="67"/>
      <c r="BR117" t="b" s="79">
        <v>0</v>
      </c>
      <c r="BS117" s="69" cm="1">
        <f t="array" ref="BS117">IF(M117&lt;=0.8*K117,5%*K117,M117*5%)</f>
        <v>4992450</v>
      </c>
      <c r="BT117" t="s" s="72">
        <v>25</v>
      </c>
      <c r="BU117" s="67"/>
      <c r="BV117" s="69" cm="1">
        <f t="array" ref="BV117">J117-M117</f>
        <v>151000</v>
      </c>
    </row>
    <row r="118" ht="36.25" customHeight="1">
      <c r="A118" s="47"/>
      <c r="B118" s="48">
        <v>56625339</v>
      </c>
      <c r="C118" t="s" s="89">
        <v>895</v>
      </c>
      <c r="D118" t="s" s="50">
        <v>1</v>
      </c>
      <c r="E118" t="str" s="51" cm="1">
        <f t="array" ref="E118">$C118</f>
        <v>Stock Design Pemb/Peningkatan Jalan Kab. Pasangkayu III </v>
      </c>
      <c r="F118" s="52"/>
      <c r="G118" s="51"/>
      <c r="H118" s="51"/>
      <c r="I118" s="51"/>
      <c r="J118" s="54">
        <v>100000000</v>
      </c>
      <c r="K118" s="54">
        <v>99995000</v>
      </c>
      <c r="L118" s="56">
        <v>99843462</v>
      </c>
      <c r="M118" s="54">
        <v>99843000</v>
      </c>
      <c r="N118" t="s" s="57">
        <v>250</v>
      </c>
      <c r="O118" t="s" s="58">
        <v>251</v>
      </c>
      <c r="P118" t="s" s="57">
        <v>4</v>
      </c>
      <c r="Q118" t="s" s="57">
        <v>252</v>
      </c>
      <c r="R118" t="s" s="57">
        <v>253</v>
      </c>
      <c r="S118" t="s" s="57">
        <v>148</v>
      </c>
      <c r="T118" t="s" s="57">
        <v>254</v>
      </c>
      <c r="U118" t="s" s="57">
        <v>255</v>
      </c>
      <c r="V118" t="s" s="57">
        <v>256</v>
      </c>
      <c r="W118" t="s" s="57">
        <v>257</v>
      </c>
      <c r="X118" s="60">
        <v>30</v>
      </c>
      <c r="Y118" t="s" s="57">
        <v>10</v>
      </c>
      <c r="Z118" s="54" cm="1">
        <f t="array" ref="Z118">M118</f>
        <v>99843000</v>
      </c>
      <c r="AA118" t="s" s="57">
        <v>11</v>
      </c>
      <c r="AB118" s="61" cm="1">
        <f t="array" ref="AB118">AH118</f>
        <v>45761</v>
      </c>
      <c r="AC118" s="51"/>
      <c r="AD118" t="s" s="57">
        <v>192</v>
      </c>
      <c r="AE118" t="s" s="57">
        <v>13</v>
      </c>
      <c r="AF118" t="s" s="57">
        <v>108</v>
      </c>
      <c r="AG118" s="61">
        <v>45765</v>
      </c>
      <c r="AH118" s="61">
        <v>45761</v>
      </c>
      <c r="AI118" s="61">
        <v>45761</v>
      </c>
      <c r="AJ118" s="61">
        <v>45761</v>
      </c>
      <c r="AK118" s="61">
        <v>45761</v>
      </c>
      <c r="AL118" s="61">
        <v>45761</v>
      </c>
      <c r="AM118" s="61">
        <v>45761</v>
      </c>
      <c r="AN118" t="s" s="57">
        <v>897</v>
      </c>
      <c r="AO118" s="61" cm="1">
        <f t="array" ref="AO118">AJ118</f>
        <v>45761</v>
      </c>
      <c r="AP118" t="s" s="57">
        <v>898</v>
      </c>
      <c r="AQ118" s="61" cm="1">
        <f t="array" ref="AQ118">AJ118</f>
        <v>45761</v>
      </c>
      <c r="AR118" t="s" s="57">
        <v>899</v>
      </c>
      <c r="AS118" s="61" cm="1">
        <f t="array" ref="AS118">AJ118</f>
        <v>45761</v>
      </c>
      <c r="AT118" t="s" s="62">
        <v>900</v>
      </c>
      <c r="AU118" s="61" cm="1">
        <f t="array" ref="AU118">AJ118</f>
        <v>45761</v>
      </c>
      <c r="AV118" s="51"/>
      <c r="AW118" t="str" s="63" cm="1">
        <f t="array" ref="AW118">"600/"&amp;$B118&amp;"/"&amp;IF(AND($AE118="Konsultansi",M118&lt;=100000000),"SPK",IF(AND($AE118="Konsultansi",M118&gt;100000000),"Kont",IF(AND($AE118&lt;&gt;"Konsultansi",M118&lt;=200000000),"SPK","Kont")))&amp;"-"&amp;AE118&amp;"/PPK/DPUPR"</f>
        <v>600/56625339/SPK-Konsultansi/PPK/DPUPR</v>
      </c>
      <c r="AX118" t="str" s="63" cm="1">
        <f t="array" ref="AX118">"600/"&amp;$B118&amp;"/SPMK/PPK/DPUPR"</f>
        <v>600/56625339/SPMK/PPK/DPUPR</v>
      </c>
      <c r="AY118" s="51"/>
      <c r="AZ118" s="51"/>
      <c r="BA118" s="51"/>
      <c r="BB118" s="51"/>
      <c r="BC118" s="51"/>
      <c r="BD118" s="51"/>
      <c r="BE118" s="51"/>
      <c r="BF118" s="51"/>
      <c r="BG118" s="64">
        <v>247</v>
      </c>
      <c r="BH118" t="s" s="57">
        <v>250</v>
      </c>
      <c r="BI118" t="s" s="57">
        <v>21</v>
      </c>
      <c r="BJ118" t="s" s="57">
        <v>22</v>
      </c>
      <c r="BK118" t="s" s="57">
        <v>23</v>
      </c>
      <c r="BL118" t="s" s="57">
        <v>24</v>
      </c>
      <c r="BM118" s="51"/>
      <c r="BN118" s="51"/>
      <c r="BO118" s="51"/>
      <c r="BP118" s="51"/>
      <c r="BQ118" s="51"/>
      <c r="BR118" t="b" s="60">
        <v>0</v>
      </c>
      <c r="BS118" s="54" cm="1">
        <f t="array" ref="BS118">IF(M118&lt;=0.8*K118,5%*K118,M118*5%)</f>
        <v>4992150</v>
      </c>
      <c r="BT118" t="s" s="57">
        <v>25</v>
      </c>
      <c r="BU118" s="51"/>
      <c r="BV118" s="54" cm="1">
        <f t="array" ref="BV118">J118-M118</f>
        <v>157000</v>
      </c>
    </row>
    <row r="119" ht="36.25" customHeight="1">
      <c r="A119" s="47"/>
      <c r="B119" s="48">
        <v>56625374</v>
      </c>
      <c r="C119" t="s" s="89">
        <v>903</v>
      </c>
      <c r="D119" t="s" s="76">
        <v>1</v>
      </c>
      <c r="E119" t="str" s="67" cm="1">
        <f t="array" ref="E119">$C119</f>
        <v>Stock Design Pemb/Peningkatan Jalan Kab. Pasangkayu IV </v>
      </c>
      <c r="F119" s="68"/>
      <c r="G119" s="67"/>
      <c r="H119" s="67"/>
      <c r="I119" s="67"/>
      <c r="J119" s="69">
        <v>100000000</v>
      </c>
      <c r="K119" s="69">
        <v>99995000</v>
      </c>
      <c r="L119" s="56">
        <v>99843462</v>
      </c>
      <c r="M119" s="69">
        <v>99843000</v>
      </c>
      <c r="N119" t="s" s="72">
        <v>250</v>
      </c>
      <c r="O119" t="s" s="78">
        <v>251</v>
      </c>
      <c r="P119" t="s" s="72">
        <v>4</v>
      </c>
      <c r="Q119" t="s" s="72">
        <v>252</v>
      </c>
      <c r="R119" t="s" s="72">
        <v>253</v>
      </c>
      <c r="S119" t="s" s="72">
        <v>148</v>
      </c>
      <c r="T119" t="s" s="72">
        <v>254</v>
      </c>
      <c r="U119" t="s" s="72">
        <v>255</v>
      </c>
      <c r="V119" t="s" s="72">
        <v>256</v>
      </c>
      <c r="W119" t="s" s="72">
        <v>257</v>
      </c>
      <c r="X119" s="79">
        <v>30</v>
      </c>
      <c r="Y119" t="s" s="72">
        <v>10</v>
      </c>
      <c r="Z119" s="69" cm="1">
        <f t="array" ref="Z119">M119</f>
        <v>99843000</v>
      </c>
      <c r="AA119" t="s" s="72">
        <v>11</v>
      </c>
      <c r="AB119" s="71" cm="1">
        <f t="array" ref="AB119">AH119</f>
        <v>45761</v>
      </c>
      <c r="AC119" s="67"/>
      <c r="AD119" t="s" s="72">
        <v>192</v>
      </c>
      <c r="AE119" t="s" s="72">
        <v>13</v>
      </c>
      <c r="AF119" t="s" s="72">
        <v>108</v>
      </c>
      <c r="AG119" s="71">
        <v>45765</v>
      </c>
      <c r="AH119" s="71">
        <v>45761</v>
      </c>
      <c r="AI119" s="71">
        <v>45761</v>
      </c>
      <c r="AJ119" s="71">
        <v>45761</v>
      </c>
      <c r="AK119" s="71">
        <v>45761</v>
      </c>
      <c r="AL119" s="71">
        <v>45761</v>
      </c>
      <c r="AM119" s="71">
        <v>45761</v>
      </c>
      <c r="AN119" t="s" s="72">
        <v>905</v>
      </c>
      <c r="AO119" s="71" cm="1">
        <f t="array" ref="AO119">AJ119</f>
        <v>45761</v>
      </c>
      <c r="AP119" t="s" s="72">
        <v>906</v>
      </c>
      <c r="AQ119" s="71" cm="1">
        <f t="array" ref="AQ119">AJ119</f>
        <v>45761</v>
      </c>
      <c r="AR119" t="s" s="72">
        <v>907</v>
      </c>
      <c r="AS119" s="71" cm="1">
        <f t="array" ref="AS119">AJ119</f>
        <v>45761</v>
      </c>
      <c r="AT119" t="s" s="62">
        <v>908</v>
      </c>
      <c r="AU119" s="71" cm="1">
        <f t="array" ref="AU119">AJ119</f>
        <v>45761</v>
      </c>
      <c r="AV119" s="67"/>
      <c r="AW119" t="str" s="74" cm="1">
        <f t="array" ref="AW119">"600/"&amp;$B119&amp;"/"&amp;IF(AND($AE119="Konsultansi",M119&lt;=100000000),"SPK",IF(AND($AE119="Konsultansi",M119&gt;100000000),"Kont",IF(AND($AE119&lt;&gt;"Konsultansi",M119&lt;=200000000),"SPK","Kont")))&amp;"-"&amp;AE119&amp;"/PPK/DPUPR"</f>
        <v>600/56625374/SPK-Konsultansi/PPK/DPUPR</v>
      </c>
      <c r="AX119" t="str" s="74" cm="1">
        <f t="array" ref="AX119">"600/"&amp;$B119&amp;"/SPMK/PPK/DPUPR"</f>
        <v>600/56625374/SPMK/PPK/DPUPR</v>
      </c>
      <c r="AY119" s="67"/>
      <c r="AZ119" s="67"/>
      <c r="BA119" s="67"/>
      <c r="BB119" s="67"/>
      <c r="BC119" s="67"/>
      <c r="BD119" s="67"/>
      <c r="BE119" s="67"/>
      <c r="BF119" s="67"/>
      <c r="BG119" s="80">
        <v>247</v>
      </c>
      <c r="BH119" t="s" s="72">
        <v>250</v>
      </c>
      <c r="BI119" t="s" s="72">
        <v>21</v>
      </c>
      <c r="BJ119" t="s" s="72">
        <v>22</v>
      </c>
      <c r="BK119" t="s" s="72">
        <v>23</v>
      </c>
      <c r="BL119" t="s" s="72">
        <v>24</v>
      </c>
      <c r="BM119" s="67"/>
      <c r="BN119" s="67"/>
      <c r="BO119" s="67"/>
      <c r="BP119" s="67"/>
      <c r="BQ119" s="67"/>
      <c r="BR119" t="b" s="79">
        <v>0</v>
      </c>
      <c r="BS119" s="69" cm="1">
        <f t="array" ref="BS119">IF(M119&lt;=0.8*K119,5%*K119,M119*5%)</f>
        <v>4992150</v>
      </c>
      <c r="BT119" t="s" s="72">
        <v>25</v>
      </c>
      <c r="BU119" s="67"/>
      <c r="BV119" s="69" cm="1">
        <f t="array" ref="BV119">J119-M119</f>
        <v>157000</v>
      </c>
    </row>
    <row r="120" ht="24.25" customHeight="1">
      <c r="A120" s="47"/>
      <c r="B120" s="47"/>
      <c r="C120" s="90"/>
      <c r="D120" s="82"/>
      <c r="E120" s="60" cm="1">
        <f t="array" ref="E120">$C120</f>
        <v>0</v>
      </c>
      <c r="F120" s="52"/>
      <c r="G120" s="51"/>
      <c r="H120" s="51"/>
      <c r="I120" s="51"/>
      <c r="J120" s="54"/>
      <c r="K120" s="54"/>
      <c r="L120" s="56"/>
      <c r="M120" s="54"/>
      <c r="N120" t="s" s="57">
        <v>174</v>
      </c>
      <c r="O120" t="s" s="58">
        <v>174</v>
      </c>
      <c r="P120" t="s" s="57">
        <v>174</v>
      </c>
      <c r="Q120" t="s" s="57">
        <v>174</v>
      </c>
      <c r="R120" t="s" s="57">
        <v>174</v>
      </c>
      <c r="S120" t="s" s="57">
        <v>174</v>
      </c>
      <c r="T120" t="s" s="57">
        <v>174</v>
      </c>
      <c r="U120" t="s" s="57">
        <v>174</v>
      </c>
      <c r="V120" t="s" s="57">
        <v>174</v>
      </c>
      <c r="W120" t="s" s="57">
        <v>174</v>
      </c>
      <c r="X120" s="51"/>
      <c r="Y120" s="51"/>
      <c r="Z120" s="54" cm="1">
        <f t="array" ref="Z120">M120</f>
        <v>0</v>
      </c>
      <c r="AA120" s="51"/>
      <c r="AB120" s="61" cm="1">
        <f t="array" ref="AB120">AH120</f>
      </c>
      <c r="AC120" s="51"/>
      <c r="AD120" s="51"/>
      <c r="AE120" t="s" s="57">
        <v>175</v>
      </c>
      <c r="AF120" s="51"/>
      <c r="AG120" s="61"/>
      <c r="AH120" s="61"/>
      <c r="AI120" s="61"/>
      <c r="AJ120" s="61"/>
      <c r="AK120" s="61"/>
      <c r="AL120" s="61"/>
      <c r="AM120" s="61"/>
      <c r="AN120" t="s" s="57">
        <v>390</v>
      </c>
      <c r="AO120" s="51" cm="1">
        <f t="array" ref="AO120">AJ120</f>
      </c>
      <c r="AP120" t="s" s="57">
        <v>391</v>
      </c>
      <c r="AQ120" s="51" cm="1">
        <f t="array" ref="AQ120">AJ120</f>
      </c>
      <c r="AR120" t="s" s="57">
        <v>392</v>
      </c>
      <c r="AS120" s="51" cm="1">
        <f t="array" ref="AS120">AJ120</f>
      </c>
      <c r="AT120" t="s" s="62">
        <v>393</v>
      </c>
      <c r="AU120" s="51" cm="1">
        <f t="array" ref="AU120">AJ120</f>
      </c>
      <c r="AV120" s="51"/>
      <c r="AW120" t="str" s="63" cm="1">
        <f t="array" ref="AW120">"600/"&amp;$B120&amp;"/"&amp;IF(AND($AE120="Konsultansi",M120&lt;=100000000),"SPK",IF(AND($AE120="Konsultansi",M120&gt;100000000),"Kont",IF(AND($AE120&lt;&gt;"Konsultansi",M120&lt;=200000000),"SPK","Kont")))&amp;"-"&amp;AE120&amp;"/PPK/DPUPR"</f>
        <v>600//SPK-Barang/PPK/DPUPR</v>
      </c>
      <c r="AX120" t="str" s="63" cm="1">
        <f t="array" ref="AX120">"600/"&amp;$B120&amp;"/SPMK/PPK/DPUPR"</f>
        <v>600//SPMK/PPK/DPUPR</v>
      </c>
      <c r="AY120" s="51"/>
      <c r="AZ120" s="51"/>
      <c r="BA120" s="51"/>
      <c r="BB120" s="51"/>
      <c r="BC120" s="51"/>
      <c r="BD120" s="51"/>
      <c r="BE120" s="51"/>
      <c r="BF120" s="51"/>
      <c r="BG120" s="84"/>
      <c r="BH120" t="s" s="57">
        <v>182</v>
      </c>
      <c r="BI120" t="s" s="57">
        <v>21</v>
      </c>
      <c r="BJ120" t="s" s="57">
        <v>22</v>
      </c>
      <c r="BK120" t="s" s="57">
        <v>23</v>
      </c>
      <c r="BL120" t="s" s="57">
        <v>24</v>
      </c>
      <c r="BM120" s="51"/>
      <c r="BN120" s="51"/>
      <c r="BO120" s="51"/>
      <c r="BP120" s="51"/>
      <c r="BQ120" s="51"/>
      <c r="BR120" t="b" s="60">
        <v>0</v>
      </c>
      <c r="BS120" s="54" cm="1">
        <f t="array" ref="BS120">IF(M120&lt;=0.8*K120,5%*K120,M120*5%)</f>
        <v>0</v>
      </c>
      <c r="BT120" t="s" s="57">
        <v>183</v>
      </c>
      <c r="BU120" s="51"/>
      <c r="BV120" s="54" cm="1">
        <f t="array" ref="BV120">J120-M120</f>
        <v>0</v>
      </c>
    </row>
    <row r="121" ht="36.25" customHeight="1">
      <c r="A121" s="47"/>
      <c r="B121" s="48">
        <v>59032270</v>
      </c>
      <c r="C121" t="s" s="89">
        <v>911</v>
      </c>
      <c r="D121" t="s" s="76">
        <v>1</v>
      </c>
      <c r="E121" t="str" s="67" cm="1">
        <f t="array" ref="E121">$C121</f>
        <v>Pengawasan Peningkatan Jalan Desa Sarudu cs.</v>
      </c>
      <c r="F121" s="68"/>
      <c r="G121" s="67"/>
      <c r="H121" s="67"/>
      <c r="I121" s="67"/>
      <c r="J121" s="69">
        <v>50000000</v>
      </c>
      <c r="K121" s="69">
        <v>49991000</v>
      </c>
      <c r="L121" s="56">
        <v>49852206</v>
      </c>
      <c r="M121" s="69">
        <v>49852000</v>
      </c>
      <c r="N121" t="s" s="72">
        <v>159</v>
      </c>
      <c r="O121" t="s" s="78">
        <v>160</v>
      </c>
      <c r="P121" t="s" s="72">
        <v>4</v>
      </c>
      <c r="Q121" t="s" s="72">
        <v>161</v>
      </c>
      <c r="R121" t="s" s="72">
        <v>162</v>
      </c>
      <c r="S121" t="s" s="72">
        <v>163</v>
      </c>
      <c r="T121" s="71">
        <v>45446</v>
      </c>
      <c r="U121" t="s" s="72">
        <v>164</v>
      </c>
      <c r="V121" t="s" s="72">
        <v>165</v>
      </c>
      <c r="W121" t="s" s="72">
        <v>166</v>
      </c>
      <c r="X121" s="79">
        <v>90</v>
      </c>
      <c r="Y121" t="s" s="72">
        <v>10</v>
      </c>
      <c r="Z121" s="69" cm="1">
        <f t="array" ref="Z121">M121</f>
        <v>49852000</v>
      </c>
      <c r="AA121" t="s" s="72">
        <v>11</v>
      </c>
      <c r="AB121" s="71" cm="1">
        <f t="array" ref="AB121">AH121</f>
        <v>45768</v>
      </c>
      <c r="AC121" s="67"/>
      <c r="AD121" t="s" s="72">
        <v>12</v>
      </c>
      <c r="AE121" t="s" s="72">
        <v>13</v>
      </c>
      <c r="AF121" t="s" s="72">
        <v>108</v>
      </c>
      <c r="AG121" s="71">
        <v>45765</v>
      </c>
      <c r="AH121" s="71">
        <v>45768</v>
      </c>
      <c r="AI121" s="71">
        <v>45768</v>
      </c>
      <c r="AJ121" s="71">
        <v>45768</v>
      </c>
      <c r="AK121" s="71">
        <v>45768</v>
      </c>
      <c r="AL121" s="71">
        <v>45768</v>
      </c>
      <c r="AM121" s="71">
        <v>45768</v>
      </c>
      <c r="AN121" t="s" s="72">
        <v>913</v>
      </c>
      <c r="AO121" s="71" cm="1">
        <f t="array" ref="AO121">AJ121</f>
        <v>45768</v>
      </c>
      <c r="AP121" t="s" s="72">
        <v>914</v>
      </c>
      <c r="AQ121" s="71" cm="1">
        <f t="array" ref="AQ121">AJ121</f>
        <v>45768</v>
      </c>
      <c r="AR121" t="s" s="72">
        <v>915</v>
      </c>
      <c r="AS121" s="71" cm="1">
        <f t="array" ref="AS121">AJ121</f>
        <v>45768</v>
      </c>
      <c r="AT121" t="s" s="62">
        <v>916</v>
      </c>
      <c r="AU121" s="71" cm="1">
        <f t="array" ref="AU121">AJ121</f>
        <v>45768</v>
      </c>
      <c r="AV121" s="67"/>
      <c r="AW121" t="str" s="74" cm="1">
        <f t="array" ref="AW121">"600/"&amp;$B121&amp;"/"&amp;IF(AND($AE121="Konsultansi",M121&lt;=100000000),"SPK",IF(AND($AE121="Konsultansi",M121&gt;100000000),"Kont",IF(AND($AE121&lt;&gt;"Konsultansi",M121&lt;=200000000),"SPK","Kont")))&amp;"-"&amp;AE121&amp;"/PPK/DPUPR"</f>
        <v>600/59032270/SPK-Konsultansi/PPK/DPUPR</v>
      </c>
      <c r="AX121" t="str" s="74" cm="1">
        <f t="array" ref="AX121">"600/"&amp;$B121&amp;"/SPMK/PPK/DPUPR"</f>
        <v>600/59032270/SPMK/PPK/DPUPR</v>
      </c>
      <c r="AY121" s="67"/>
      <c r="AZ121" s="67"/>
      <c r="BA121" s="67"/>
      <c r="BB121" s="67"/>
      <c r="BC121" s="67"/>
      <c r="BD121" s="67"/>
      <c r="BE121" s="67"/>
      <c r="BF121" s="67"/>
      <c r="BG121" s="80">
        <v>245</v>
      </c>
      <c r="BH121" t="s" s="72">
        <v>159</v>
      </c>
      <c r="BI121" t="s" s="72">
        <v>21</v>
      </c>
      <c r="BJ121" t="s" s="72">
        <v>22</v>
      </c>
      <c r="BK121" t="s" s="72">
        <v>23</v>
      </c>
      <c r="BL121" t="s" s="72">
        <v>24</v>
      </c>
      <c r="BM121" s="67"/>
      <c r="BN121" s="67"/>
      <c r="BO121" s="67"/>
      <c r="BP121" s="67"/>
      <c r="BQ121" s="67"/>
      <c r="BR121" t="b" s="79">
        <v>0</v>
      </c>
      <c r="BS121" s="69" cm="1">
        <f t="array" ref="BS121">IF(M121&lt;=0.8*K121,5%*K121,M121*5%)</f>
        <v>2492600</v>
      </c>
      <c r="BT121" t="s" s="72">
        <v>25</v>
      </c>
      <c r="BU121" s="67"/>
      <c r="BV121" s="69" cm="1">
        <f t="array" ref="BV121">J121-M121</f>
        <v>148000</v>
      </c>
    </row>
    <row r="122" ht="36.25" customHeight="1">
      <c r="A122" s="47"/>
      <c r="B122" s="48">
        <v>56625355</v>
      </c>
      <c r="C122" t="s" s="89">
        <v>919</v>
      </c>
      <c r="D122" t="s" s="50">
        <v>1</v>
      </c>
      <c r="E122" t="str" s="51" cm="1">
        <f t="array" ref="E122">$C122</f>
        <v>Peningkatan Jalan Desa Sarudu</v>
      </c>
      <c r="F122" s="52"/>
      <c r="G122" s="51"/>
      <c r="H122" s="51"/>
      <c r="I122" s="51"/>
      <c r="J122" s="54">
        <v>185000000</v>
      </c>
      <c r="K122" s="54">
        <v>184770000</v>
      </c>
      <c r="L122" s="56">
        <v>184159810.7</v>
      </c>
      <c r="M122" s="54">
        <v>184159000</v>
      </c>
      <c r="N122" t="s" s="57">
        <v>417</v>
      </c>
      <c r="O122" t="s" s="58">
        <v>418</v>
      </c>
      <c r="P122" t="s" s="57">
        <v>4</v>
      </c>
      <c r="Q122" t="s" s="57">
        <v>419</v>
      </c>
      <c r="R122" t="s" s="57">
        <v>420</v>
      </c>
      <c r="S122" s="60">
        <v>11</v>
      </c>
      <c r="T122" s="59">
        <v>42508</v>
      </c>
      <c r="U122" t="s" s="57">
        <v>121</v>
      </c>
      <c r="V122" t="s" s="57">
        <v>421</v>
      </c>
      <c r="W122" t="s" s="57">
        <v>422</v>
      </c>
      <c r="X122" s="60">
        <v>90</v>
      </c>
      <c r="Y122" t="s" s="57">
        <v>10</v>
      </c>
      <c r="Z122" s="54" cm="1">
        <f t="array" ref="Z122">M122</f>
        <v>184159000</v>
      </c>
      <c r="AA122" t="s" s="57">
        <v>11</v>
      </c>
      <c r="AB122" s="61" cm="1">
        <f t="array" ref="AB122">AH122</f>
        <v>45768</v>
      </c>
      <c r="AC122" s="60">
        <v>180</v>
      </c>
      <c r="AD122" t="s" s="57">
        <v>106</v>
      </c>
      <c r="AE122" t="s" s="57">
        <v>107</v>
      </c>
      <c r="AF122" t="s" s="57">
        <v>108</v>
      </c>
      <c r="AG122" s="61">
        <v>45765</v>
      </c>
      <c r="AH122" s="61">
        <v>45768</v>
      </c>
      <c r="AI122" s="61">
        <v>45768</v>
      </c>
      <c r="AJ122" s="61">
        <v>45768</v>
      </c>
      <c r="AK122" s="61">
        <v>45768</v>
      </c>
      <c r="AL122" s="61">
        <v>45768</v>
      </c>
      <c r="AM122" s="61">
        <v>45768</v>
      </c>
      <c r="AN122" t="s" s="57">
        <v>921</v>
      </c>
      <c r="AO122" s="61" cm="1">
        <f t="array" ref="AO122">AJ122</f>
        <v>45768</v>
      </c>
      <c r="AP122" t="s" s="57">
        <v>922</v>
      </c>
      <c r="AQ122" s="61" cm="1">
        <f t="array" ref="AQ122">AJ122</f>
        <v>45768</v>
      </c>
      <c r="AR122" t="s" s="57">
        <v>923</v>
      </c>
      <c r="AS122" s="61" cm="1">
        <f t="array" ref="AS122">AJ122</f>
        <v>45768</v>
      </c>
      <c r="AT122" t="s" s="62">
        <v>924</v>
      </c>
      <c r="AU122" s="61" cm="1">
        <f t="array" ref="AU122">AJ122</f>
        <v>45768</v>
      </c>
      <c r="AV122" s="51"/>
      <c r="AW122" t="str" s="63" cm="1">
        <f t="array" ref="AW122">"600/"&amp;$B122&amp;"/"&amp;IF(AND($AE122="Konsultansi",M122&lt;=100000000),"SPK",IF(AND($AE122="Konsultansi",M122&gt;100000000),"Kont",IF(AND($AE122&lt;&gt;"Konsultansi",M122&lt;=200000000),"SPK","Kont")))&amp;"-"&amp;AE122&amp;"/PPK/DPUPR"</f>
        <v>600/56625355/SPK-Konstruksi/PPK/DPUPR</v>
      </c>
      <c r="AX122" t="str" s="63" cm="1">
        <f t="array" ref="AX122">"600/"&amp;$B122&amp;"/SPMK/PPK/DPUPR"</f>
        <v>600/56625355/SPMK/PPK/DPUPR</v>
      </c>
      <c r="AY122" s="51"/>
      <c r="AZ122" s="51"/>
      <c r="BA122" s="51"/>
      <c r="BB122" s="51"/>
      <c r="BC122" s="51"/>
      <c r="BD122" s="51"/>
      <c r="BE122" s="51"/>
      <c r="BF122" s="51"/>
      <c r="BG122" s="64">
        <v>72</v>
      </c>
      <c r="BH122" t="s" s="57">
        <v>417</v>
      </c>
      <c r="BI122" t="s" s="57">
        <v>21</v>
      </c>
      <c r="BJ122" t="s" s="57">
        <v>22</v>
      </c>
      <c r="BK122" t="s" s="57">
        <v>23</v>
      </c>
      <c r="BL122" t="s" s="57">
        <v>24</v>
      </c>
      <c r="BM122" s="51"/>
      <c r="BN122" s="51"/>
      <c r="BO122" s="51"/>
      <c r="BP122" s="51"/>
      <c r="BQ122" s="51"/>
      <c r="BR122" t="b" s="60">
        <v>0</v>
      </c>
      <c r="BS122" s="54" cm="1">
        <f t="array" ref="BS122">IF(M122&lt;=0.8*K122,5%*K122,M122*5%)</f>
        <v>9207950</v>
      </c>
      <c r="BT122" t="s" s="57">
        <v>25</v>
      </c>
      <c r="BU122" s="51"/>
      <c r="BV122" s="54" cm="1">
        <f t="array" ref="BV122">J122-M122</f>
        <v>841000</v>
      </c>
    </row>
    <row r="123" ht="36.25" customHeight="1">
      <c r="A123" s="47"/>
      <c r="B123" s="48">
        <v>59032193</v>
      </c>
      <c r="C123" t="s" s="89">
        <v>927</v>
      </c>
      <c r="D123" t="s" s="76">
        <v>1</v>
      </c>
      <c r="E123" t="str" s="67" cm="1">
        <f t="array" ref="E123">$C123</f>
        <v>Peningkatan Jalan Jembatan Gantung Motu + Lantai Jembatan</v>
      </c>
      <c r="F123" s="68"/>
      <c r="G123" s="67"/>
      <c r="H123" s="67"/>
      <c r="I123" s="67"/>
      <c r="J123" s="69">
        <v>185000000</v>
      </c>
      <c r="K123" s="69">
        <v>184998000</v>
      </c>
      <c r="L123" s="56">
        <v>184665817.41</v>
      </c>
      <c r="M123" s="69">
        <v>184665000</v>
      </c>
      <c r="N123" t="s" s="72">
        <v>417</v>
      </c>
      <c r="O123" t="s" s="78">
        <v>418</v>
      </c>
      <c r="P123" t="s" s="72">
        <v>4</v>
      </c>
      <c r="Q123" t="s" s="72">
        <v>419</v>
      </c>
      <c r="R123" t="s" s="72">
        <v>420</v>
      </c>
      <c r="S123" s="79">
        <v>11</v>
      </c>
      <c r="T123" s="92">
        <v>42508</v>
      </c>
      <c r="U123" t="s" s="72">
        <v>121</v>
      </c>
      <c r="V123" t="s" s="72">
        <v>421</v>
      </c>
      <c r="W123" t="s" s="72">
        <v>422</v>
      </c>
      <c r="X123" s="79">
        <v>90</v>
      </c>
      <c r="Y123" t="s" s="72">
        <v>10</v>
      </c>
      <c r="Z123" s="69" cm="1">
        <f t="array" ref="Z123">M123</f>
        <v>184665000</v>
      </c>
      <c r="AA123" t="s" s="72">
        <v>11</v>
      </c>
      <c r="AB123" s="71" cm="1">
        <f t="array" ref="AB123">AH123</f>
        <v>45768</v>
      </c>
      <c r="AC123" s="79">
        <v>180</v>
      </c>
      <c r="AD123" t="s" s="72">
        <v>106</v>
      </c>
      <c r="AE123" t="s" s="72">
        <v>107</v>
      </c>
      <c r="AF123" t="s" s="72">
        <v>108</v>
      </c>
      <c r="AG123" s="71">
        <v>45765</v>
      </c>
      <c r="AH123" s="71">
        <v>45768</v>
      </c>
      <c r="AI123" s="71">
        <v>45768</v>
      </c>
      <c r="AJ123" s="71">
        <v>45768</v>
      </c>
      <c r="AK123" s="71">
        <v>45768</v>
      </c>
      <c r="AL123" s="71">
        <v>45768</v>
      </c>
      <c r="AM123" s="71">
        <v>45768</v>
      </c>
      <c r="AN123" t="s" s="72">
        <v>929</v>
      </c>
      <c r="AO123" s="71" cm="1">
        <f t="array" ref="AO123">AJ123</f>
        <v>45768</v>
      </c>
      <c r="AP123" t="s" s="72">
        <v>930</v>
      </c>
      <c r="AQ123" s="71" cm="1">
        <f t="array" ref="AQ123">AJ123</f>
        <v>45768</v>
      </c>
      <c r="AR123" t="s" s="72">
        <v>931</v>
      </c>
      <c r="AS123" s="71" cm="1">
        <f t="array" ref="AS123">AJ123</f>
        <v>45768</v>
      </c>
      <c r="AT123" t="s" s="62">
        <v>932</v>
      </c>
      <c r="AU123" s="71" cm="1">
        <f t="array" ref="AU123">AJ123</f>
        <v>45768</v>
      </c>
      <c r="AV123" s="67"/>
      <c r="AW123" t="str" s="74" cm="1">
        <f t="array" ref="AW123">"600/"&amp;$B123&amp;"/"&amp;IF(AND($AE123="Konsultansi",M123&lt;=100000000),"SPK",IF(AND($AE123="Konsultansi",M123&gt;100000000),"Kont",IF(AND($AE123&lt;&gt;"Konsultansi",M123&lt;=200000000),"SPK","Kont")))&amp;"-"&amp;AE123&amp;"/PPK/DPUPR"</f>
        <v>600/59032193/SPK-Konstruksi/PPK/DPUPR</v>
      </c>
      <c r="AX123" t="str" s="74" cm="1">
        <f t="array" ref="AX123">"600/"&amp;$B123&amp;"/SPMK/PPK/DPUPR"</f>
        <v>600/59032193/SPMK/PPK/DPUPR</v>
      </c>
      <c r="AY123" s="67"/>
      <c r="AZ123" s="67"/>
      <c r="BA123" s="67"/>
      <c r="BB123" s="67"/>
      <c r="BC123" s="67"/>
      <c r="BD123" s="67"/>
      <c r="BE123" s="67"/>
      <c r="BF123" s="67"/>
      <c r="BG123" s="80">
        <v>72</v>
      </c>
      <c r="BH123" t="s" s="72">
        <v>417</v>
      </c>
      <c r="BI123" t="s" s="72">
        <v>21</v>
      </c>
      <c r="BJ123" t="s" s="72">
        <v>22</v>
      </c>
      <c r="BK123" t="s" s="72">
        <v>23</v>
      </c>
      <c r="BL123" t="s" s="72">
        <v>24</v>
      </c>
      <c r="BM123" s="67"/>
      <c r="BN123" s="67"/>
      <c r="BO123" s="67"/>
      <c r="BP123" s="67"/>
      <c r="BQ123" s="67"/>
      <c r="BR123" t="b" s="79">
        <v>0</v>
      </c>
      <c r="BS123" s="69" cm="1">
        <f t="array" ref="BS123">IF(M123&lt;=0.8*K123,5%*K123,M123*5%)</f>
        <v>9233250</v>
      </c>
      <c r="BT123" t="s" s="72">
        <v>25</v>
      </c>
      <c r="BU123" s="67"/>
      <c r="BV123" s="69" cm="1">
        <f t="array" ref="BV123">J123-M123</f>
        <v>335000</v>
      </c>
    </row>
    <row r="124" ht="36.25" customHeight="1">
      <c r="A124" s="47"/>
      <c r="B124" s="48">
        <v>59032196</v>
      </c>
      <c r="C124" t="s" s="89">
        <v>935</v>
      </c>
      <c r="D124" t="s" s="50">
        <v>1</v>
      </c>
      <c r="E124" t="str" s="51" cm="1">
        <f t="array" ref="E124">$C124</f>
        <v>Peningkatan Jalan Toleburi Desa Gunungsari</v>
      </c>
      <c r="F124" s="52"/>
      <c r="G124" s="51"/>
      <c r="H124" s="51"/>
      <c r="I124" s="51"/>
      <c r="J124" s="54">
        <v>185000000</v>
      </c>
      <c r="K124" s="54">
        <v>184775000</v>
      </c>
      <c r="L124" s="56">
        <v>184412427.92</v>
      </c>
      <c r="M124" s="54">
        <v>184412000</v>
      </c>
      <c r="N124" t="s" s="57">
        <v>937</v>
      </c>
      <c r="O124" t="s" s="58">
        <v>938</v>
      </c>
      <c r="P124" t="s" s="57">
        <v>4</v>
      </c>
      <c r="Q124" t="s" s="57">
        <v>939</v>
      </c>
      <c r="R124" t="s" s="57">
        <v>101</v>
      </c>
      <c r="S124" t="s" s="57">
        <v>748</v>
      </c>
      <c r="T124" s="61">
        <v>40634</v>
      </c>
      <c r="U124" t="s" s="57">
        <v>940</v>
      </c>
      <c r="V124" t="s" s="57">
        <v>941</v>
      </c>
      <c r="W124" t="s" s="57">
        <v>942</v>
      </c>
      <c r="X124" s="60">
        <v>90</v>
      </c>
      <c r="Y124" t="s" s="57">
        <v>10</v>
      </c>
      <c r="Z124" s="54" cm="1">
        <f t="array" ref="Z124">M124</f>
        <v>184412000</v>
      </c>
      <c r="AA124" t="s" s="57">
        <v>11</v>
      </c>
      <c r="AB124" s="61" cm="1">
        <f t="array" ref="AB124">AH124</f>
        <v>45768</v>
      </c>
      <c r="AC124" s="60">
        <v>180</v>
      </c>
      <c r="AD124" t="s" s="57">
        <v>106</v>
      </c>
      <c r="AE124" t="s" s="57">
        <v>107</v>
      </c>
      <c r="AF124" t="s" s="57">
        <v>108</v>
      </c>
      <c r="AG124" s="61">
        <v>45765</v>
      </c>
      <c r="AH124" s="61">
        <v>45768</v>
      </c>
      <c r="AI124" s="61">
        <v>45768</v>
      </c>
      <c r="AJ124" s="61">
        <v>45768</v>
      </c>
      <c r="AK124" s="61">
        <v>45768</v>
      </c>
      <c r="AL124" s="61">
        <v>45768</v>
      </c>
      <c r="AM124" s="61">
        <v>45768</v>
      </c>
      <c r="AN124" t="s" s="57">
        <v>943</v>
      </c>
      <c r="AO124" s="61" cm="1">
        <f t="array" ref="AO124">AJ124</f>
        <v>45768</v>
      </c>
      <c r="AP124" t="s" s="57">
        <v>944</v>
      </c>
      <c r="AQ124" s="61" cm="1">
        <f t="array" ref="AQ124">AJ124</f>
        <v>45768</v>
      </c>
      <c r="AR124" t="s" s="57">
        <v>945</v>
      </c>
      <c r="AS124" s="61" cm="1">
        <f t="array" ref="AS124">AJ124</f>
        <v>45768</v>
      </c>
      <c r="AT124" t="s" s="62">
        <v>946</v>
      </c>
      <c r="AU124" s="61" cm="1">
        <f t="array" ref="AU124">AJ124</f>
        <v>45768</v>
      </c>
      <c r="AV124" s="51"/>
      <c r="AW124" t="str" s="63" cm="1">
        <f t="array" ref="AW124">"600/"&amp;$B124&amp;"/"&amp;IF(AND($AE124="Konsultansi",M124&lt;=100000000),"SPK",IF(AND($AE124="Konsultansi",M124&gt;100000000),"Kont",IF(AND($AE124&lt;&gt;"Konsultansi",M124&lt;=200000000),"SPK","Kont")))&amp;"-"&amp;AE124&amp;"/PPK/DPUPR"</f>
        <v>600/59032196/SPK-Konstruksi/PPK/DPUPR</v>
      </c>
      <c r="AX124" t="str" s="63" cm="1">
        <f t="array" ref="AX124">"600/"&amp;$B124&amp;"/SPMK/PPK/DPUPR"</f>
        <v>600/59032196/SPMK/PPK/DPUPR</v>
      </c>
      <c r="AY124" s="51"/>
      <c r="AZ124" s="51"/>
      <c r="BA124" s="51"/>
      <c r="BB124" s="51"/>
      <c r="BC124" s="51"/>
      <c r="BD124" s="51"/>
      <c r="BE124" s="51"/>
      <c r="BF124" s="51"/>
      <c r="BG124" s="64">
        <v>19</v>
      </c>
      <c r="BH124" t="s" s="57">
        <v>937</v>
      </c>
      <c r="BI124" t="s" s="57">
        <v>21</v>
      </c>
      <c r="BJ124" t="s" s="57">
        <v>22</v>
      </c>
      <c r="BK124" t="s" s="57">
        <v>23</v>
      </c>
      <c r="BL124" t="s" s="57">
        <v>24</v>
      </c>
      <c r="BM124" s="51"/>
      <c r="BN124" s="51"/>
      <c r="BO124" s="51"/>
      <c r="BP124" s="51"/>
      <c r="BQ124" s="51"/>
      <c r="BR124" t="b" s="60">
        <v>0</v>
      </c>
      <c r="BS124" s="54" cm="1">
        <f t="array" ref="BS124">IF(M124&lt;=0.8*K124,5%*K124,M124*5%)</f>
        <v>9220600</v>
      </c>
      <c r="BT124" t="s" s="57">
        <v>25</v>
      </c>
      <c r="BU124" s="51"/>
      <c r="BV124" s="54" cm="1">
        <f t="array" ref="BV124">J124-M124</f>
        <v>588000</v>
      </c>
    </row>
    <row r="125" ht="36.25" customHeight="1">
      <c r="A125" s="47"/>
      <c r="B125" s="48">
        <v>56625417</v>
      </c>
      <c r="C125" t="s" s="89">
        <v>949</v>
      </c>
      <c r="D125" t="s" s="76">
        <v>1</v>
      </c>
      <c r="E125" t="str" s="67" cm="1">
        <f t="array" ref="E125">$C125</f>
        <v>Peningkatan Jalan Antai</v>
      </c>
      <c r="F125" s="68"/>
      <c r="G125" s="67"/>
      <c r="H125" s="67"/>
      <c r="I125" s="67"/>
      <c r="J125" s="69">
        <v>185000000</v>
      </c>
      <c r="K125" s="69">
        <v>184986000</v>
      </c>
      <c r="L125" s="56">
        <v>184415811.32</v>
      </c>
      <c r="M125" s="69">
        <v>184415000</v>
      </c>
      <c r="N125" t="s" s="72">
        <v>937</v>
      </c>
      <c r="O125" t="s" s="78">
        <v>938</v>
      </c>
      <c r="P125" t="s" s="72">
        <v>4</v>
      </c>
      <c r="Q125" t="s" s="72">
        <v>939</v>
      </c>
      <c r="R125" t="s" s="72">
        <v>101</v>
      </c>
      <c r="S125" t="s" s="72">
        <v>748</v>
      </c>
      <c r="T125" s="71">
        <v>40634</v>
      </c>
      <c r="U125" t="s" s="72">
        <v>940</v>
      </c>
      <c r="V125" t="s" s="72">
        <v>941</v>
      </c>
      <c r="W125" t="s" s="72">
        <v>942</v>
      </c>
      <c r="X125" s="79">
        <v>90</v>
      </c>
      <c r="Y125" t="s" s="72">
        <v>10</v>
      </c>
      <c r="Z125" s="69" cm="1">
        <f t="array" ref="Z125">M125</f>
        <v>184415000</v>
      </c>
      <c r="AA125" t="s" s="72">
        <v>11</v>
      </c>
      <c r="AB125" s="71" cm="1">
        <f t="array" ref="AB125">AH125</f>
        <v>45768</v>
      </c>
      <c r="AC125" s="79">
        <v>180</v>
      </c>
      <c r="AD125" t="s" s="72">
        <v>106</v>
      </c>
      <c r="AE125" t="s" s="72">
        <v>107</v>
      </c>
      <c r="AF125" t="s" s="72">
        <v>108</v>
      </c>
      <c r="AG125" s="71">
        <v>45765</v>
      </c>
      <c r="AH125" s="71">
        <v>45768</v>
      </c>
      <c r="AI125" s="71">
        <v>45768</v>
      </c>
      <c r="AJ125" s="71">
        <v>45768</v>
      </c>
      <c r="AK125" s="71">
        <v>45768</v>
      </c>
      <c r="AL125" s="71">
        <v>45768</v>
      </c>
      <c r="AM125" s="71">
        <v>45768</v>
      </c>
      <c r="AN125" t="s" s="72">
        <v>951</v>
      </c>
      <c r="AO125" s="71" cm="1">
        <f t="array" ref="AO125">AJ125</f>
        <v>45768</v>
      </c>
      <c r="AP125" t="s" s="72">
        <v>952</v>
      </c>
      <c r="AQ125" s="71" cm="1">
        <f t="array" ref="AQ125">AJ125</f>
        <v>45768</v>
      </c>
      <c r="AR125" t="s" s="72">
        <v>953</v>
      </c>
      <c r="AS125" s="71" cm="1">
        <f t="array" ref="AS125">AJ125</f>
        <v>45768</v>
      </c>
      <c r="AT125" t="s" s="62">
        <v>954</v>
      </c>
      <c r="AU125" s="71" cm="1">
        <f t="array" ref="AU125">AJ125</f>
        <v>45768</v>
      </c>
      <c r="AV125" s="67"/>
      <c r="AW125" t="str" s="74" cm="1">
        <f t="array" ref="AW125">"600/"&amp;$B125&amp;"/"&amp;IF(AND($AE125="Konsultansi",M125&lt;=100000000),"SPK",IF(AND($AE125="Konsultansi",M125&gt;100000000),"Kont",IF(AND($AE125&lt;&gt;"Konsultansi",M125&lt;=200000000),"SPK","Kont")))&amp;"-"&amp;AE125&amp;"/PPK/DPUPR"</f>
        <v>600/56625417/SPK-Konstruksi/PPK/DPUPR</v>
      </c>
      <c r="AX125" t="str" s="74" cm="1">
        <f t="array" ref="AX125">"600/"&amp;$B125&amp;"/SPMK/PPK/DPUPR"</f>
        <v>600/56625417/SPMK/PPK/DPUPR</v>
      </c>
      <c r="AY125" s="67"/>
      <c r="AZ125" s="67"/>
      <c r="BA125" s="67"/>
      <c r="BB125" s="67"/>
      <c r="BC125" s="67"/>
      <c r="BD125" s="67"/>
      <c r="BE125" s="67"/>
      <c r="BF125" s="67"/>
      <c r="BG125" s="80">
        <v>19</v>
      </c>
      <c r="BH125" t="s" s="72">
        <v>937</v>
      </c>
      <c r="BI125" t="s" s="72">
        <v>21</v>
      </c>
      <c r="BJ125" t="s" s="72">
        <v>22</v>
      </c>
      <c r="BK125" t="s" s="72">
        <v>23</v>
      </c>
      <c r="BL125" t="s" s="72">
        <v>24</v>
      </c>
      <c r="BM125" s="67"/>
      <c r="BN125" s="67"/>
      <c r="BO125" s="67"/>
      <c r="BP125" s="67"/>
      <c r="BQ125" s="67"/>
      <c r="BR125" t="b" s="79">
        <v>0</v>
      </c>
      <c r="BS125" s="69" cm="1">
        <f t="array" ref="BS125">IF(M125&lt;=0.8*K125,5%*K125,M125*5%)</f>
        <v>9220750</v>
      </c>
      <c r="BT125" t="s" s="72">
        <v>25</v>
      </c>
      <c r="BU125" s="67"/>
      <c r="BV125" s="69" cm="1">
        <f t="array" ref="BV125">J125-M125</f>
        <v>585000</v>
      </c>
    </row>
    <row r="126" ht="36.25" customHeight="1">
      <c r="A126" s="47"/>
      <c r="B126" s="48">
        <v>59032203</v>
      </c>
      <c r="C126" t="s" s="89">
        <v>957</v>
      </c>
      <c r="D126" t="s" s="50">
        <v>1</v>
      </c>
      <c r="E126" t="str" s="51" cm="1">
        <f t="array" ref="E126">$C126</f>
        <v>Peningkatan Jalan Ds. Gunungsari</v>
      </c>
      <c r="F126" s="52"/>
      <c r="G126" s="51"/>
      <c r="H126" s="51"/>
      <c r="I126" s="51"/>
      <c r="J126" s="54">
        <v>185000000</v>
      </c>
      <c r="K126" s="54">
        <v>184857000</v>
      </c>
      <c r="L126" s="56">
        <v>184722693.43</v>
      </c>
      <c r="M126" s="54">
        <v>184722000</v>
      </c>
      <c r="N126" t="s" s="57">
        <v>98</v>
      </c>
      <c r="O126" t="s" s="58">
        <v>99</v>
      </c>
      <c r="P126" t="s" s="57">
        <v>4</v>
      </c>
      <c r="Q126" t="s" s="57">
        <v>100</v>
      </c>
      <c r="R126" t="s" s="57">
        <v>101</v>
      </c>
      <c r="S126" t="s" s="57">
        <v>102</v>
      </c>
      <c r="T126" s="59">
        <v>43979</v>
      </c>
      <c r="U126" t="s" s="57">
        <v>103</v>
      </c>
      <c r="V126" t="s" s="57">
        <v>104</v>
      </c>
      <c r="W126" t="s" s="57">
        <v>105</v>
      </c>
      <c r="X126" s="60">
        <v>90</v>
      </c>
      <c r="Y126" t="s" s="57">
        <v>10</v>
      </c>
      <c r="Z126" s="54" cm="1">
        <f t="array" ref="Z126">M126</f>
        <v>184722000</v>
      </c>
      <c r="AA126" t="s" s="57">
        <v>11</v>
      </c>
      <c r="AB126" s="61" cm="1">
        <f t="array" ref="AB126">AH126</f>
        <v>45768</v>
      </c>
      <c r="AC126" s="60">
        <v>180</v>
      </c>
      <c r="AD126" t="s" s="57">
        <v>106</v>
      </c>
      <c r="AE126" t="s" s="57">
        <v>107</v>
      </c>
      <c r="AF126" t="s" s="57">
        <v>108</v>
      </c>
      <c r="AG126" s="61">
        <v>45765</v>
      </c>
      <c r="AH126" s="61">
        <v>45768</v>
      </c>
      <c r="AI126" s="61">
        <v>45768</v>
      </c>
      <c r="AJ126" s="61">
        <v>45768</v>
      </c>
      <c r="AK126" s="61">
        <v>45768</v>
      </c>
      <c r="AL126" s="61">
        <v>45768</v>
      </c>
      <c r="AM126" s="61">
        <v>45768</v>
      </c>
      <c r="AN126" t="s" s="57">
        <v>959</v>
      </c>
      <c r="AO126" s="61" cm="1">
        <f t="array" ref="AO126">AJ126</f>
        <v>45768</v>
      </c>
      <c r="AP126" t="s" s="57">
        <v>960</v>
      </c>
      <c r="AQ126" s="61" cm="1">
        <f t="array" ref="AQ126">AJ126</f>
        <v>45768</v>
      </c>
      <c r="AR126" t="s" s="57">
        <v>961</v>
      </c>
      <c r="AS126" s="61" cm="1">
        <f t="array" ref="AS126">AJ126</f>
        <v>45768</v>
      </c>
      <c r="AT126" t="s" s="62">
        <v>962</v>
      </c>
      <c r="AU126" s="61" cm="1">
        <f t="array" ref="AU126">AJ126</f>
        <v>45768</v>
      </c>
      <c r="AV126" s="51"/>
      <c r="AW126" t="str" s="63" cm="1">
        <f t="array" ref="AW126">"600/"&amp;$B126&amp;"/"&amp;IF(AND($AE126="Konsultansi",M126&lt;=100000000),"SPK",IF(AND($AE126="Konsultansi",M126&gt;100000000),"Kont",IF(AND($AE126&lt;&gt;"Konsultansi",M126&lt;=200000000),"SPK","Kont")))&amp;"-"&amp;AE126&amp;"/PPK/DPUPR"</f>
        <v>600/59032203/SPK-Konstruksi/PPK/DPUPR</v>
      </c>
      <c r="AX126" t="str" s="63" cm="1">
        <f t="array" ref="AX126">"600/"&amp;$B126&amp;"/SPMK/PPK/DPUPR"</f>
        <v>600/59032203/SPMK/PPK/DPUPR</v>
      </c>
      <c r="AY126" s="51"/>
      <c r="AZ126" s="51"/>
      <c r="BA126" s="51"/>
      <c r="BB126" s="51"/>
      <c r="BC126" s="51"/>
      <c r="BD126" s="51"/>
      <c r="BE126" s="51"/>
      <c r="BF126" s="51"/>
      <c r="BG126" s="64">
        <v>15</v>
      </c>
      <c r="BH126" t="s" s="57">
        <v>98</v>
      </c>
      <c r="BI126" t="s" s="57">
        <v>21</v>
      </c>
      <c r="BJ126" t="s" s="57">
        <v>22</v>
      </c>
      <c r="BK126" t="s" s="57">
        <v>23</v>
      </c>
      <c r="BL126" t="s" s="57">
        <v>24</v>
      </c>
      <c r="BM126" s="51"/>
      <c r="BN126" s="51"/>
      <c r="BO126" s="51"/>
      <c r="BP126" s="51"/>
      <c r="BQ126" s="51"/>
      <c r="BR126" t="b" s="60">
        <v>0</v>
      </c>
      <c r="BS126" s="54" cm="1">
        <f t="array" ref="BS126">IF(M126&lt;=0.8*K126,5%*K126,M126*5%)</f>
        <v>9236100</v>
      </c>
      <c r="BT126" t="s" s="57">
        <v>25</v>
      </c>
      <c r="BU126" s="51"/>
      <c r="BV126" s="54" cm="1">
        <f t="array" ref="BV126">J126-M126</f>
        <v>278000</v>
      </c>
    </row>
    <row r="127" ht="36.25" customHeight="1">
      <c r="A127" s="47"/>
      <c r="B127" s="48">
        <v>56625379</v>
      </c>
      <c r="C127" t="s" s="89">
        <v>965</v>
      </c>
      <c r="D127" t="s" s="76">
        <v>1</v>
      </c>
      <c r="E127" t="str" s="67" cm="1">
        <f t="array" ref="E127">$C127</f>
        <v>Peningkatan Jalan Gunungsari - Bambamone</v>
      </c>
      <c r="F127" s="68"/>
      <c r="G127" s="67"/>
      <c r="H127" s="67"/>
      <c r="I127" s="67"/>
      <c r="J127" s="69">
        <v>185000000</v>
      </c>
      <c r="K127" s="69">
        <v>184992000</v>
      </c>
      <c r="L127" s="56">
        <v>184090206.92</v>
      </c>
      <c r="M127" s="69">
        <v>184090000</v>
      </c>
      <c r="N127" t="s" s="72">
        <v>98</v>
      </c>
      <c r="O127" t="s" s="78">
        <v>99</v>
      </c>
      <c r="P127" t="s" s="72">
        <v>4</v>
      </c>
      <c r="Q127" t="s" s="72">
        <v>100</v>
      </c>
      <c r="R127" t="s" s="72">
        <v>101</v>
      </c>
      <c r="S127" t="s" s="72">
        <v>102</v>
      </c>
      <c r="T127" s="92">
        <v>43979</v>
      </c>
      <c r="U127" t="s" s="72">
        <v>103</v>
      </c>
      <c r="V127" t="s" s="72">
        <v>104</v>
      </c>
      <c r="W127" t="s" s="72">
        <v>105</v>
      </c>
      <c r="X127" s="79">
        <v>90</v>
      </c>
      <c r="Y127" t="s" s="72">
        <v>10</v>
      </c>
      <c r="Z127" s="69" cm="1">
        <f t="array" ref="Z127">M127</f>
        <v>184090000</v>
      </c>
      <c r="AA127" t="s" s="72">
        <v>11</v>
      </c>
      <c r="AB127" s="71" cm="1">
        <f t="array" ref="AB127">AH127</f>
        <v>45768</v>
      </c>
      <c r="AC127" s="79">
        <v>180</v>
      </c>
      <c r="AD127" t="s" s="72">
        <v>106</v>
      </c>
      <c r="AE127" t="s" s="72">
        <v>107</v>
      </c>
      <c r="AF127" t="s" s="72">
        <v>108</v>
      </c>
      <c r="AG127" s="71">
        <v>45765</v>
      </c>
      <c r="AH127" s="71">
        <v>45768</v>
      </c>
      <c r="AI127" s="71">
        <v>45768</v>
      </c>
      <c r="AJ127" s="71">
        <v>45768</v>
      </c>
      <c r="AK127" s="71">
        <v>45768</v>
      </c>
      <c r="AL127" s="71">
        <v>45768</v>
      </c>
      <c r="AM127" s="71">
        <v>45768</v>
      </c>
      <c r="AN127" t="s" s="72">
        <v>967</v>
      </c>
      <c r="AO127" s="71" cm="1">
        <f t="array" ref="AO127">AJ127</f>
        <v>45768</v>
      </c>
      <c r="AP127" t="s" s="72">
        <v>968</v>
      </c>
      <c r="AQ127" s="71" cm="1">
        <f t="array" ref="AQ127">AJ127</f>
        <v>45768</v>
      </c>
      <c r="AR127" t="s" s="72">
        <v>969</v>
      </c>
      <c r="AS127" s="71" cm="1">
        <f t="array" ref="AS127">AJ127</f>
        <v>45768</v>
      </c>
      <c r="AT127" t="s" s="62">
        <v>970</v>
      </c>
      <c r="AU127" s="71" cm="1">
        <f t="array" ref="AU127">AJ127</f>
        <v>45768</v>
      </c>
      <c r="AV127" s="67"/>
      <c r="AW127" t="str" s="74" cm="1">
        <f t="array" ref="AW127">"600/"&amp;$B127&amp;"/"&amp;IF(AND($AE127="Konsultansi",M127&lt;=100000000),"SPK",IF(AND($AE127="Konsultansi",M127&gt;100000000),"Kont",IF(AND($AE127&lt;&gt;"Konsultansi",M127&lt;=200000000),"SPK","Kont")))&amp;"-"&amp;AE127&amp;"/PPK/DPUPR"</f>
        <v>600/56625379/SPK-Konstruksi/PPK/DPUPR</v>
      </c>
      <c r="AX127" t="str" s="74" cm="1">
        <f t="array" ref="AX127">"600/"&amp;$B127&amp;"/SPMK/PPK/DPUPR"</f>
        <v>600/56625379/SPMK/PPK/DPUPR</v>
      </c>
      <c r="AY127" s="67"/>
      <c r="AZ127" s="67"/>
      <c r="BA127" s="67"/>
      <c r="BB127" s="67"/>
      <c r="BC127" s="67"/>
      <c r="BD127" s="67"/>
      <c r="BE127" s="67"/>
      <c r="BF127" s="67"/>
      <c r="BG127" s="80">
        <v>15</v>
      </c>
      <c r="BH127" t="s" s="72">
        <v>98</v>
      </c>
      <c r="BI127" t="s" s="72">
        <v>21</v>
      </c>
      <c r="BJ127" t="s" s="72">
        <v>22</v>
      </c>
      <c r="BK127" t="s" s="72">
        <v>23</v>
      </c>
      <c r="BL127" t="s" s="72">
        <v>24</v>
      </c>
      <c r="BM127" s="67"/>
      <c r="BN127" s="67"/>
      <c r="BO127" s="67"/>
      <c r="BP127" s="67"/>
      <c r="BQ127" s="67"/>
      <c r="BR127" t="b" s="79">
        <v>0</v>
      </c>
      <c r="BS127" s="69" cm="1">
        <f t="array" ref="BS127">IF(M127&lt;=0.8*K127,5%*K127,M127*5%)</f>
        <v>9204500</v>
      </c>
      <c r="BT127" t="s" s="72">
        <v>25</v>
      </c>
      <c r="BU127" s="67"/>
      <c r="BV127" s="69" cm="1">
        <f t="array" ref="BV127">J127-M127</f>
        <v>910000</v>
      </c>
    </row>
    <row r="128" ht="36.25" customHeight="1">
      <c r="A128" s="47"/>
      <c r="B128" s="48">
        <v>59032255</v>
      </c>
      <c r="C128" t="s" s="89">
        <v>973</v>
      </c>
      <c r="D128" t="s" s="50">
        <v>1</v>
      </c>
      <c r="E128" t="str" s="51" cm="1">
        <f t="array" ref="E128">$C128</f>
        <v>Peningkatan Jalan Dsn. Masillu - Ako</v>
      </c>
      <c r="F128" s="52"/>
      <c r="G128" s="51"/>
      <c r="H128" s="51"/>
      <c r="I128" s="51"/>
      <c r="J128" s="54">
        <v>185000000</v>
      </c>
      <c r="K128" s="54">
        <v>184710000</v>
      </c>
      <c r="L128" s="56">
        <v>184294921.13</v>
      </c>
      <c r="M128" s="54">
        <v>184294000</v>
      </c>
      <c r="N128" t="s" s="57">
        <v>117</v>
      </c>
      <c r="O128" t="s" s="58">
        <v>118</v>
      </c>
      <c r="P128" t="s" s="57">
        <v>4</v>
      </c>
      <c r="Q128" t="s" s="57">
        <v>119</v>
      </c>
      <c r="R128" t="s" s="57">
        <v>120</v>
      </c>
      <c r="S128" s="60">
        <v>42</v>
      </c>
      <c r="T128" s="61">
        <v>44404</v>
      </c>
      <c r="U128" t="s" s="57">
        <v>121</v>
      </c>
      <c r="V128" t="s" s="57">
        <v>122</v>
      </c>
      <c r="W128" t="s" s="57">
        <v>123</v>
      </c>
      <c r="X128" s="60">
        <v>90</v>
      </c>
      <c r="Y128" t="s" s="57">
        <v>10</v>
      </c>
      <c r="Z128" s="54" cm="1">
        <f t="array" ref="Z128">M128</f>
        <v>184294000</v>
      </c>
      <c r="AA128" t="s" s="57">
        <v>11</v>
      </c>
      <c r="AB128" s="61" cm="1">
        <f t="array" ref="AB128">AH128</f>
        <v>45768</v>
      </c>
      <c r="AC128" s="60">
        <v>180</v>
      </c>
      <c r="AD128" t="s" s="57">
        <v>106</v>
      </c>
      <c r="AE128" t="s" s="57">
        <v>107</v>
      </c>
      <c r="AF128" t="s" s="57">
        <v>108</v>
      </c>
      <c r="AG128" s="61">
        <v>45765</v>
      </c>
      <c r="AH128" s="61">
        <v>45768</v>
      </c>
      <c r="AI128" s="61">
        <v>45768</v>
      </c>
      <c r="AJ128" s="61">
        <v>45768</v>
      </c>
      <c r="AK128" s="61">
        <v>45768</v>
      </c>
      <c r="AL128" s="61">
        <v>45768</v>
      </c>
      <c r="AM128" s="61">
        <v>45768</v>
      </c>
      <c r="AN128" t="s" s="57">
        <v>975</v>
      </c>
      <c r="AO128" s="61" cm="1">
        <f t="array" ref="AO128">AJ128</f>
        <v>45768</v>
      </c>
      <c r="AP128" t="s" s="57">
        <v>976</v>
      </c>
      <c r="AQ128" s="61" cm="1">
        <f t="array" ref="AQ128">AJ128</f>
        <v>45768</v>
      </c>
      <c r="AR128" t="s" s="57">
        <v>977</v>
      </c>
      <c r="AS128" s="61" cm="1">
        <f t="array" ref="AS128">AJ128</f>
        <v>45768</v>
      </c>
      <c r="AT128" t="s" s="62">
        <v>978</v>
      </c>
      <c r="AU128" s="61" cm="1">
        <f t="array" ref="AU128">AJ128</f>
        <v>45768</v>
      </c>
      <c r="AV128" s="51"/>
      <c r="AW128" t="str" s="63" cm="1">
        <f t="array" ref="AW128">"600/"&amp;$B128&amp;"/"&amp;IF(AND($AE128="Konsultansi",M128&lt;=100000000),"SPK",IF(AND($AE128="Konsultansi",M128&gt;100000000),"Kont",IF(AND($AE128&lt;&gt;"Konsultansi",M128&lt;=200000000),"SPK","Kont")))&amp;"-"&amp;AE128&amp;"/PPK/DPUPR"</f>
        <v>600/59032255/SPK-Konstruksi/PPK/DPUPR</v>
      </c>
      <c r="AX128" t="str" s="63" cm="1">
        <f t="array" ref="AX128">"600/"&amp;$B128&amp;"/SPMK/PPK/DPUPR"</f>
        <v>600/59032255/SPMK/PPK/DPUPR</v>
      </c>
      <c r="AY128" s="51"/>
      <c r="AZ128" s="51"/>
      <c r="BA128" s="51"/>
      <c r="BB128" s="51"/>
      <c r="BC128" s="51"/>
      <c r="BD128" s="51"/>
      <c r="BE128" s="51"/>
      <c r="BF128" s="51"/>
      <c r="BG128" s="64">
        <v>22</v>
      </c>
      <c r="BH128" t="s" s="57">
        <v>117</v>
      </c>
      <c r="BI128" t="s" s="57">
        <v>21</v>
      </c>
      <c r="BJ128" t="s" s="57">
        <v>22</v>
      </c>
      <c r="BK128" t="s" s="57">
        <v>23</v>
      </c>
      <c r="BL128" t="s" s="57">
        <v>24</v>
      </c>
      <c r="BM128" s="51"/>
      <c r="BN128" s="51"/>
      <c r="BO128" s="51"/>
      <c r="BP128" s="51"/>
      <c r="BQ128" s="51"/>
      <c r="BR128" t="b" s="60">
        <v>0</v>
      </c>
      <c r="BS128" s="54" cm="1">
        <f t="array" ref="BS128">IF(M128&lt;=0.8*K128,5%*K128,M128*5%)</f>
        <v>9214700</v>
      </c>
      <c r="BT128" t="s" s="57">
        <v>25</v>
      </c>
      <c r="BU128" s="51"/>
      <c r="BV128" s="54" cm="1">
        <f t="array" ref="BV128">J128-M128</f>
        <v>706000</v>
      </c>
    </row>
    <row r="129" ht="36.25" customHeight="1">
      <c r="A129" s="47"/>
      <c r="B129" s="48">
        <v>59032260</v>
      </c>
      <c r="C129" t="s" s="89">
        <v>981</v>
      </c>
      <c r="D129" t="s" s="76">
        <v>1</v>
      </c>
      <c r="E129" t="str" s="67" cm="1">
        <f t="array" ref="E129">$C129</f>
        <v>Peningkatan Jalan Poros Mandar II</v>
      </c>
      <c r="F129" s="68"/>
      <c r="G129" s="67"/>
      <c r="H129" s="67"/>
      <c r="I129" s="67"/>
      <c r="J129" s="69">
        <v>185000000</v>
      </c>
      <c r="K129" s="69">
        <v>184982000</v>
      </c>
      <c r="L129" s="56">
        <v>184829701.87</v>
      </c>
      <c r="M129" s="69">
        <v>184829000</v>
      </c>
      <c r="N129" t="s" s="72">
        <v>117</v>
      </c>
      <c r="O129" t="s" s="78">
        <v>118</v>
      </c>
      <c r="P129" t="s" s="72">
        <v>4</v>
      </c>
      <c r="Q129" t="s" s="72">
        <v>119</v>
      </c>
      <c r="R129" t="s" s="72">
        <v>120</v>
      </c>
      <c r="S129" s="79">
        <v>42</v>
      </c>
      <c r="T129" s="71">
        <v>44404</v>
      </c>
      <c r="U129" t="s" s="72">
        <v>121</v>
      </c>
      <c r="V129" t="s" s="72">
        <v>122</v>
      </c>
      <c r="W129" t="s" s="72">
        <v>123</v>
      </c>
      <c r="X129" s="79">
        <v>90</v>
      </c>
      <c r="Y129" t="s" s="72">
        <v>10</v>
      </c>
      <c r="Z129" s="69" cm="1">
        <f t="array" ref="Z129">M129</f>
        <v>184829000</v>
      </c>
      <c r="AA129" t="s" s="72">
        <v>11</v>
      </c>
      <c r="AB129" s="71" cm="1">
        <f t="array" ref="AB129">AH129</f>
        <v>45768</v>
      </c>
      <c r="AC129" s="79">
        <v>180</v>
      </c>
      <c r="AD129" t="s" s="72">
        <v>106</v>
      </c>
      <c r="AE129" t="s" s="72">
        <v>107</v>
      </c>
      <c r="AF129" t="s" s="72">
        <v>108</v>
      </c>
      <c r="AG129" s="71">
        <v>45765</v>
      </c>
      <c r="AH129" s="71">
        <v>45768</v>
      </c>
      <c r="AI129" s="71">
        <v>45768</v>
      </c>
      <c r="AJ129" s="71">
        <v>45768</v>
      </c>
      <c r="AK129" s="71">
        <v>45768</v>
      </c>
      <c r="AL129" s="71">
        <v>45768</v>
      </c>
      <c r="AM129" s="71">
        <v>45768</v>
      </c>
      <c r="AN129" t="s" s="72">
        <v>983</v>
      </c>
      <c r="AO129" s="71" cm="1">
        <f t="array" ref="AO129">AJ129</f>
        <v>45768</v>
      </c>
      <c r="AP129" t="s" s="72">
        <v>984</v>
      </c>
      <c r="AQ129" s="71" cm="1">
        <f t="array" ref="AQ129">AJ129</f>
        <v>45768</v>
      </c>
      <c r="AR129" t="s" s="72">
        <v>985</v>
      </c>
      <c r="AS129" s="71" cm="1">
        <f t="array" ref="AS129">AJ129</f>
        <v>45768</v>
      </c>
      <c r="AT129" t="s" s="62">
        <v>986</v>
      </c>
      <c r="AU129" s="71" cm="1">
        <f t="array" ref="AU129">AJ129</f>
        <v>45768</v>
      </c>
      <c r="AV129" s="67"/>
      <c r="AW129" t="str" s="74" cm="1">
        <f t="array" ref="AW129">"600/"&amp;$B129&amp;"/"&amp;IF(AND($AE129="Konsultansi",M129&lt;=100000000),"SPK",IF(AND($AE129="Konsultansi",M129&gt;100000000),"Kont",IF(AND($AE129&lt;&gt;"Konsultansi",M129&lt;=200000000),"SPK","Kont")))&amp;"-"&amp;AE129&amp;"/PPK/DPUPR"</f>
        <v>600/59032260/SPK-Konstruksi/PPK/DPUPR</v>
      </c>
      <c r="AX129" t="str" s="74" cm="1">
        <f t="array" ref="AX129">"600/"&amp;$B129&amp;"/SPMK/PPK/DPUPR"</f>
        <v>600/59032260/SPMK/PPK/DPUPR</v>
      </c>
      <c r="AY129" s="67"/>
      <c r="AZ129" s="67"/>
      <c r="BA129" s="67"/>
      <c r="BB129" s="67"/>
      <c r="BC129" s="67"/>
      <c r="BD129" s="67"/>
      <c r="BE129" s="67"/>
      <c r="BF129" s="67"/>
      <c r="BG129" s="80">
        <v>22</v>
      </c>
      <c r="BH129" t="s" s="72">
        <v>117</v>
      </c>
      <c r="BI129" t="s" s="72">
        <v>21</v>
      </c>
      <c r="BJ129" t="s" s="72">
        <v>22</v>
      </c>
      <c r="BK129" t="s" s="72">
        <v>23</v>
      </c>
      <c r="BL129" t="s" s="72">
        <v>24</v>
      </c>
      <c r="BM129" s="67"/>
      <c r="BN129" s="67"/>
      <c r="BO129" s="67"/>
      <c r="BP129" s="67"/>
      <c r="BQ129" s="67"/>
      <c r="BR129" t="b" s="79">
        <v>0</v>
      </c>
      <c r="BS129" s="69" cm="1">
        <f t="array" ref="BS129">IF(M129&lt;=0.8*K129,5%*K129,M129*5%)</f>
        <v>9241450</v>
      </c>
      <c r="BT129" t="s" s="72">
        <v>25</v>
      </c>
      <c r="BU129" s="67"/>
      <c r="BV129" s="69" cm="1">
        <f t="array" ref="BV129">J129-M129</f>
        <v>171000</v>
      </c>
    </row>
    <row r="130" ht="24.25" customHeight="1">
      <c r="A130" s="47"/>
      <c r="B130" s="47"/>
      <c r="C130" s="90"/>
      <c r="D130" t="s" s="50">
        <v>1</v>
      </c>
      <c r="E130" s="60" cm="1">
        <f t="array" ref="E130">$C130</f>
        <v>0</v>
      </c>
      <c r="F130" s="52"/>
      <c r="G130" s="51"/>
      <c r="H130" s="51"/>
      <c r="I130" s="51"/>
      <c r="J130" s="54"/>
      <c r="K130" s="54"/>
      <c r="L130" s="56"/>
      <c r="M130" s="54"/>
      <c r="N130" t="s" s="57">
        <v>174</v>
      </c>
      <c r="O130" t="s" s="58">
        <v>174</v>
      </c>
      <c r="P130" t="s" s="57">
        <v>174</v>
      </c>
      <c r="Q130" t="s" s="57">
        <v>174</v>
      </c>
      <c r="R130" t="s" s="57">
        <v>174</v>
      </c>
      <c r="S130" t="s" s="57">
        <v>174</v>
      </c>
      <c r="T130" t="s" s="57">
        <v>174</v>
      </c>
      <c r="U130" t="s" s="57">
        <v>174</v>
      </c>
      <c r="V130" t="s" s="57">
        <v>174</v>
      </c>
      <c r="W130" t="s" s="57">
        <v>174</v>
      </c>
      <c r="X130" s="60">
        <v>90</v>
      </c>
      <c r="Y130" t="s" s="57">
        <v>10</v>
      </c>
      <c r="Z130" s="54" cm="1">
        <f t="array" ref="Z130">M130</f>
        <v>0</v>
      </c>
      <c r="AA130" t="s" s="57">
        <v>11</v>
      </c>
      <c r="AB130" s="61" cm="1">
        <f t="array" ref="AB130">AH130</f>
        <v>45768</v>
      </c>
      <c r="AC130" s="60">
        <v>180</v>
      </c>
      <c r="AD130" t="s" s="57">
        <v>12</v>
      </c>
      <c r="AE130" t="s" s="57">
        <v>13</v>
      </c>
      <c r="AF130" t="s" s="57">
        <v>108</v>
      </c>
      <c r="AG130" s="61">
        <v>45765</v>
      </c>
      <c r="AH130" s="61">
        <v>45768</v>
      </c>
      <c r="AI130" s="61">
        <v>45768</v>
      </c>
      <c r="AJ130" s="61">
        <v>45768</v>
      </c>
      <c r="AK130" s="61">
        <v>45768</v>
      </c>
      <c r="AL130" s="61">
        <v>45768</v>
      </c>
      <c r="AM130" s="61">
        <v>45768</v>
      </c>
      <c r="AN130" t="s" s="57">
        <v>390</v>
      </c>
      <c r="AO130" s="61" cm="1">
        <f t="array" ref="AO130">AJ130</f>
        <v>45768</v>
      </c>
      <c r="AP130" t="s" s="57">
        <v>391</v>
      </c>
      <c r="AQ130" s="61" cm="1">
        <f t="array" ref="AQ130">AJ130</f>
        <v>45768</v>
      </c>
      <c r="AR130" t="s" s="57">
        <v>989</v>
      </c>
      <c r="AS130" s="61" cm="1">
        <f t="array" ref="AS130">AJ130</f>
        <v>45768</v>
      </c>
      <c r="AT130" t="s" s="62">
        <v>990</v>
      </c>
      <c r="AU130" s="61" cm="1">
        <f t="array" ref="AU130">AJ130</f>
        <v>45768</v>
      </c>
      <c r="AV130" s="51"/>
      <c r="AW130" t="str" s="63" cm="1">
        <f t="array" ref="AW130">"600/"&amp;$B130&amp;"/"&amp;IF(AND($AE130="Konsultansi",M130&lt;=100000000),"SPK",IF(AND($AE130="Konsultansi",M130&gt;100000000),"Kont",IF(AND($AE130&lt;&gt;"Konsultansi",M130&lt;=200000000),"SPK","Kont")))&amp;"-"&amp;AE130&amp;"/PPK/DPUPR"</f>
        <v>600//SPK-Konsultansi/PPK/DPUPR</v>
      </c>
      <c r="AX130" t="str" s="63" cm="1">
        <f t="array" ref="AX130">"600/"&amp;$B130&amp;"/SPMK/PPK/DPUPR"</f>
        <v>600//SPMK/PPK/DPUPR</v>
      </c>
      <c r="AY130" s="51"/>
      <c r="AZ130" s="51"/>
      <c r="BA130" s="51"/>
      <c r="BB130" s="51"/>
      <c r="BC130" s="51"/>
      <c r="BD130" s="51"/>
      <c r="BE130" s="51"/>
      <c r="BF130" s="51"/>
      <c r="BG130" s="84"/>
      <c r="BH130" t="s" s="57">
        <v>182</v>
      </c>
      <c r="BI130" t="s" s="57">
        <v>21</v>
      </c>
      <c r="BJ130" t="s" s="57">
        <v>22</v>
      </c>
      <c r="BK130" t="s" s="57">
        <v>23</v>
      </c>
      <c r="BL130" t="s" s="57">
        <v>24</v>
      </c>
      <c r="BM130" s="51"/>
      <c r="BN130" s="51"/>
      <c r="BO130" s="51"/>
      <c r="BP130" s="51"/>
      <c r="BQ130" s="51"/>
      <c r="BR130" t="b" s="60">
        <v>0</v>
      </c>
      <c r="BS130" s="54" cm="1">
        <f t="array" ref="BS130">IF(M130&lt;=0.8*K130,5%*K130,M130*5%)</f>
        <v>0</v>
      </c>
      <c r="BT130" t="s" s="57">
        <v>25</v>
      </c>
      <c r="BU130" s="51"/>
      <c r="BV130" s="54" cm="1">
        <f t="array" ref="BV130">J130-M130</f>
        <v>0</v>
      </c>
    </row>
    <row r="131" ht="36.25" customHeight="1">
      <c r="A131" s="47"/>
      <c r="B131" s="48">
        <v>56625535</v>
      </c>
      <c r="C131" t="s" s="89">
        <v>992</v>
      </c>
      <c r="D131" t="s" s="76">
        <v>280</v>
      </c>
      <c r="E131" t="str" s="67" cm="1">
        <f t="array" ref="E131">$C131</f>
        <v>Pemb. Proteksi Jembatan Antai</v>
      </c>
      <c r="F131" s="68"/>
      <c r="G131" s="67"/>
      <c r="H131" s="67"/>
      <c r="I131" s="67"/>
      <c r="J131" s="69">
        <v>195000000</v>
      </c>
      <c r="K131" s="69">
        <v>194063000</v>
      </c>
      <c r="L131" s="56">
        <v>193453151.37</v>
      </c>
      <c r="M131" s="69">
        <v>193453000</v>
      </c>
      <c r="N131" t="s" s="72">
        <v>451</v>
      </c>
      <c r="O131" t="s" s="78">
        <v>452</v>
      </c>
      <c r="P131" t="s" s="72">
        <v>4</v>
      </c>
      <c r="Q131" t="s" s="72">
        <v>453</v>
      </c>
      <c r="R131" t="s" s="72">
        <v>454</v>
      </c>
      <c r="S131" t="s" s="72">
        <v>455</v>
      </c>
      <c r="T131" s="71">
        <v>44630</v>
      </c>
      <c r="U131" t="s" s="72">
        <v>456</v>
      </c>
      <c r="V131" t="s" s="72">
        <v>457</v>
      </c>
      <c r="W131" t="s" s="72">
        <v>458</v>
      </c>
      <c r="X131" s="79">
        <v>90</v>
      </c>
      <c r="Y131" t="s" s="72">
        <v>10</v>
      </c>
      <c r="Z131" s="69" cm="1">
        <f t="array" ref="Z131">M131</f>
        <v>193453000</v>
      </c>
      <c r="AA131" t="s" s="72">
        <v>11</v>
      </c>
      <c r="AB131" s="71" cm="1">
        <f t="array" ref="AB131">AH131</f>
        <v>45768</v>
      </c>
      <c r="AC131" s="79">
        <v>180</v>
      </c>
      <c r="AD131" t="s" s="72">
        <v>106</v>
      </c>
      <c r="AE131" t="s" s="72">
        <v>107</v>
      </c>
      <c r="AF131" t="s" s="72">
        <v>399</v>
      </c>
      <c r="AG131" s="71">
        <v>45765</v>
      </c>
      <c r="AH131" s="71">
        <v>45768</v>
      </c>
      <c r="AI131" s="71">
        <v>45768</v>
      </c>
      <c r="AJ131" s="71">
        <v>45768</v>
      </c>
      <c r="AK131" s="71">
        <v>45768</v>
      </c>
      <c r="AL131" s="71">
        <v>45768</v>
      </c>
      <c r="AM131" s="71">
        <v>45768</v>
      </c>
      <c r="AN131" t="s" s="72">
        <v>994</v>
      </c>
      <c r="AO131" s="71" cm="1">
        <f t="array" ref="AO131">AJ131</f>
        <v>45768</v>
      </c>
      <c r="AP131" t="s" s="72">
        <v>995</v>
      </c>
      <c r="AQ131" s="71" cm="1">
        <f t="array" ref="AQ131">AJ131</f>
        <v>45768</v>
      </c>
      <c r="AR131" t="s" s="72">
        <v>996</v>
      </c>
      <c r="AS131" s="71" cm="1">
        <f t="array" ref="AS131">AJ131</f>
        <v>45768</v>
      </c>
      <c r="AT131" t="s" s="62">
        <v>997</v>
      </c>
      <c r="AU131" s="71" cm="1">
        <f t="array" ref="AU131">AJ131</f>
        <v>45768</v>
      </c>
      <c r="AV131" s="67"/>
      <c r="AW131" t="str" s="74" cm="1">
        <f t="array" ref="AW131">"600/"&amp;$B131&amp;"/"&amp;IF(AND($AE131="Konsultansi",M131&lt;=100000000),"SPK",IF(AND($AE131="Konsultansi",M131&gt;100000000),"Kont",IF(AND($AE131&lt;&gt;"Konsultansi",M131&lt;=200000000),"SPK","Kont")))&amp;"-"&amp;AE131&amp;"/PPK/DPUPR"</f>
        <v>600/56625535/SPK-Konstruksi/PPK/DPUPR</v>
      </c>
      <c r="AX131" t="str" s="74" cm="1">
        <f t="array" ref="AX131">"600/"&amp;$B131&amp;"/SPMK/PPK/DPUPR"</f>
        <v>600/56625535/SPMK/PPK/DPUPR</v>
      </c>
      <c r="AY131" s="67"/>
      <c r="AZ131" s="67"/>
      <c r="BA131" s="67"/>
      <c r="BB131" s="67"/>
      <c r="BC131" s="67"/>
      <c r="BD131" s="67"/>
      <c r="BE131" s="67"/>
      <c r="BF131" s="67"/>
      <c r="BG131" s="80">
        <v>20</v>
      </c>
      <c r="BH131" t="s" s="72">
        <v>451</v>
      </c>
      <c r="BI131" t="s" s="72">
        <v>21</v>
      </c>
      <c r="BJ131" t="s" s="72">
        <v>22</v>
      </c>
      <c r="BK131" t="s" s="72">
        <v>23</v>
      </c>
      <c r="BL131" t="s" s="72">
        <v>24</v>
      </c>
      <c r="BM131" s="67"/>
      <c r="BN131" s="67"/>
      <c r="BO131" s="67"/>
      <c r="BP131" s="67"/>
      <c r="BQ131" s="67"/>
      <c r="BR131" t="b" s="79">
        <v>0</v>
      </c>
      <c r="BS131" s="69" cm="1">
        <f t="array" ref="BS131">IF(M131&lt;=0.8*K131,5%*K131,M131*5%)</f>
        <v>9672650</v>
      </c>
      <c r="BT131" t="s" s="72">
        <v>288</v>
      </c>
      <c r="BU131" s="67"/>
      <c r="BV131" s="69" cm="1">
        <f t="array" ref="BV131">J131-M131</f>
        <v>1547000</v>
      </c>
    </row>
    <row r="132" ht="36.25" customHeight="1">
      <c r="A132" s="47"/>
      <c r="B132" s="48">
        <v>59032344</v>
      </c>
      <c r="C132" t="s" s="89">
        <v>1000</v>
      </c>
      <c r="D132" t="s" s="50">
        <v>97</v>
      </c>
      <c r="E132" t="str" s="51" cm="1">
        <f t="array" ref="E132">$C132</f>
        <v>Pemeliharaan / Normalisasi Sungai / Saluran Martajaya</v>
      </c>
      <c r="F132" s="52"/>
      <c r="G132" s="51"/>
      <c r="H132" s="51"/>
      <c r="I132" s="51"/>
      <c r="J132" s="54">
        <v>180000000</v>
      </c>
      <c r="K132" s="54">
        <v>179547000</v>
      </c>
      <c r="L132" s="56">
        <v>178462975.7</v>
      </c>
      <c r="M132" s="54">
        <v>178462000</v>
      </c>
      <c r="N132" t="s" s="57">
        <v>98</v>
      </c>
      <c r="O132" t="s" s="58">
        <v>99</v>
      </c>
      <c r="P132" t="s" s="57">
        <v>4</v>
      </c>
      <c r="Q132" t="s" s="57">
        <v>100</v>
      </c>
      <c r="R132" t="s" s="57">
        <v>101</v>
      </c>
      <c r="S132" t="s" s="57">
        <v>102</v>
      </c>
      <c r="T132" s="59">
        <v>43979</v>
      </c>
      <c r="U132" t="s" s="57">
        <v>103</v>
      </c>
      <c r="V132" t="s" s="57">
        <v>104</v>
      </c>
      <c r="W132" t="s" s="57">
        <v>105</v>
      </c>
      <c r="X132" s="60">
        <v>90</v>
      </c>
      <c r="Y132" t="s" s="57">
        <v>10</v>
      </c>
      <c r="Z132" s="54" cm="1">
        <f t="array" ref="Z132">M132</f>
        <v>178462000</v>
      </c>
      <c r="AA132" t="s" s="57">
        <v>11</v>
      </c>
      <c r="AB132" s="61" cm="1">
        <f t="array" ref="AB132">AH132</f>
        <v>45768</v>
      </c>
      <c r="AC132" s="60">
        <v>180</v>
      </c>
      <c r="AD132" t="s" s="57">
        <v>106</v>
      </c>
      <c r="AE132" t="s" s="57">
        <v>107</v>
      </c>
      <c r="AF132" t="s" s="57">
        <v>1002</v>
      </c>
      <c r="AG132" s="61">
        <v>45765</v>
      </c>
      <c r="AH132" s="61">
        <v>45768</v>
      </c>
      <c r="AI132" s="61">
        <v>45768</v>
      </c>
      <c r="AJ132" s="61">
        <v>45768</v>
      </c>
      <c r="AK132" s="61">
        <v>45768</v>
      </c>
      <c r="AL132" s="61">
        <v>45768</v>
      </c>
      <c r="AM132" s="61">
        <v>45768</v>
      </c>
      <c r="AN132" t="s" s="57">
        <v>1003</v>
      </c>
      <c r="AO132" s="61" cm="1">
        <f t="array" ref="AO132">AJ132</f>
        <v>45768</v>
      </c>
      <c r="AP132" t="s" s="57">
        <v>1004</v>
      </c>
      <c r="AQ132" s="61" cm="1">
        <f t="array" ref="AQ132">AJ132</f>
        <v>45768</v>
      </c>
      <c r="AR132" t="s" s="57">
        <v>1005</v>
      </c>
      <c r="AS132" s="61" cm="1">
        <f t="array" ref="AS132">AJ132</f>
        <v>45768</v>
      </c>
      <c r="AT132" t="s" s="62">
        <v>1006</v>
      </c>
      <c r="AU132" s="61" cm="1">
        <f t="array" ref="AU132">AJ132</f>
        <v>45768</v>
      </c>
      <c r="AV132" s="51"/>
      <c r="AW132" t="str" s="63" cm="1">
        <f t="array" ref="AW132">"600/"&amp;$B132&amp;"/"&amp;IF(AND($AE132="Konsultansi",M132&lt;=100000000),"SPK",IF(AND($AE132="Konsultansi",M132&gt;100000000),"Kont",IF(AND($AE132&lt;&gt;"Konsultansi",M132&lt;=200000000),"SPK","Kont")))&amp;"-"&amp;AE132&amp;"/PPK/DPUPR"</f>
        <v>600/59032344/SPK-Konstruksi/PPK/DPUPR</v>
      </c>
      <c r="AX132" t="str" s="63" cm="1">
        <f t="array" ref="AX132">"600/"&amp;$B132&amp;"/SPMK/PPK/DPUPR"</f>
        <v>600/59032344/SPMK/PPK/DPUPR</v>
      </c>
      <c r="AY132" s="51"/>
      <c r="AZ132" s="51"/>
      <c r="BA132" s="51"/>
      <c r="BB132" s="51"/>
      <c r="BC132" s="51"/>
      <c r="BD132" s="51"/>
      <c r="BE132" s="51"/>
      <c r="BF132" s="51"/>
      <c r="BG132" s="64">
        <v>15</v>
      </c>
      <c r="BH132" t="s" s="57">
        <v>98</v>
      </c>
      <c r="BI132" t="s" s="57">
        <v>21</v>
      </c>
      <c r="BJ132" t="s" s="57">
        <v>22</v>
      </c>
      <c r="BK132" t="s" s="57">
        <v>23</v>
      </c>
      <c r="BL132" t="s" s="57">
        <v>24</v>
      </c>
      <c r="BM132" s="51"/>
      <c r="BN132" s="51"/>
      <c r="BO132" s="51"/>
      <c r="BP132" s="51"/>
      <c r="BQ132" s="51"/>
      <c r="BR132" t="b" s="60">
        <v>0</v>
      </c>
      <c r="BS132" s="54" cm="1">
        <f t="array" ref="BS132">IF(M132&lt;=0.8*K132,5%*K132,M132*5%)</f>
        <v>8923100</v>
      </c>
      <c r="BT132" t="s" s="57">
        <v>115</v>
      </c>
      <c r="BU132" s="51"/>
      <c r="BV132" s="54" cm="1">
        <f t="array" ref="BV132">J132-M132</f>
        <v>1538000</v>
      </c>
    </row>
    <row r="133" ht="36.25" customHeight="1">
      <c r="A133" s="47"/>
      <c r="B133" s="48">
        <v>59032356</v>
      </c>
      <c r="C133" t="s" s="89">
        <v>1009</v>
      </c>
      <c r="D133" t="s" s="76">
        <v>97</v>
      </c>
      <c r="E133" t="str" s="67" cm="1">
        <f t="array" ref="E133">$C133</f>
        <v>Pengawasan Normalisasi Sungai / Saluran Martajaya cs</v>
      </c>
      <c r="F133" s="68"/>
      <c r="G133" s="67"/>
      <c r="H133" s="67"/>
      <c r="I133" s="67"/>
      <c r="J133" s="69">
        <v>20000000</v>
      </c>
      <c r="K133" s="69">
        <v>19989000</v>
      </c>
      <c r="L133" s="56">
        <v>19578240</v>
      </c>
      <c r="M133" s="69">
        <v>19578000</v>
      </c>
      <c r="N133" t="s" s="72">
        <v>159</v>
      </c>
      <c r="O133" t="s" s="78">
        <v>160</v>
      </c>
      <c r="P133" t="s" s="72">
        <v>4</v>
      </c>
      <c r="Q133" t="s" s="72">
        <v>161</v>
      </c>
      <c r="R133" t="s" s="72">
        <v>162</v>
      </c>
      <c r="S133" t="s" s="72">
        <v>163</v>
      </c>
      <c r="T133" s="71">
        <v>45446</v>
      </c>
      <c r="U133" t="s" s="72">
        <v>164</v>
      </c>
      <c r="V133" t="s" s="72">
        <v>165</v>
      </c>
      <c r="W133" t="s" s="72">
        <v>166</v>
      </c>
      <c r="X133" s="79">
        <v>90</v>
      </c>
      <c r="Y133" t="s" s="72">
        <v>10</v>
      </c>
      <c r="Z133" s="69" cm="1">
        <f t="array" ref="Z133">M133</f>
        <v>19578000</v>
      </c>
      <c r="AA133" t="s" s="72">
        <v>11</v>
      </c>
      <c r="AB133" s="71" cm="1">
        <f t="array" ref="AB133">AH133</f>
        <v>45768</v>
      </c>
      <c r="AC133" s="79">
        <v>180</v>
      </c>
      <c r="AD133" t="s" s="72">
        <v>12</v>
      </c>
      <c r="AE133" t="s" s="72">
        <v>13</v>
      </c>
      <c r="AF133" t="s" s="72">
        <v>1002</v>
      </c>
      <c r="AG133" s="71">
        <v>45765</v>
      </c>
      <c r="AH133" s="71">
        <v>45768</v>
      </c>
      <c r="AI133" s="71">
        <v>45768</v>
      </c>
      <c r="AJ133" s="71">
        <v>45768</v>
      </c>
      <c r="AK133" s="71">
        <v>45768</v>
      </c>
      <c r="AL133" s="71">
        <v>45768</v>
      </c>
      <c r="AM133" s="71">
        <v>45768</v>
      </c>
      <c r="AN133" t="s" s="72">
        <v>1011</v>
      </c>
      <c r="AO133" s="71" cm="1">
        <f t="array" ref="AO133">AJ133</f>
        <v>45768</v>
      </c>
      <c r="AP133" t="s" s="72">
        <v>1012</v>
      </c>
      <c r="AQ133" s="71" cm="1">
        <f t="array" ref="AQ133">AJ133</f>
        <v>45768</v>
      </c>
      <c r="AR133" t="s" s="72">
        <v>1013</v>
      </c>
      <c r="AS133" s="71" cm="1">
        <f t="array" ref="AS133">AJ133</f>
        <v>45768</v>
      </c>
      <c r="AT133" t="s" s="62">
        <v>1014</v>
      </c>
      <c r="AU133" s="71" cm="1">
        <f t="array" ref="AU133">AJ133</f>
        <v>45768</v>
      </c>
      <c r="AV133" s="67"/>
      <c r="AW133" t="str" s="74" cm="1">
        <f t="array" ref="AW133">"600/"&amp;$B133&amp;"/"&amp;IF(AND($AE133="Konsultansi",M133&lt;=100000000),"SPK",IF(AND($AE133="Konsultansi",M133&gt;100000000),"Kont",IF(AND($AE133&lt;&gt;"Konsultansi",M133&lt;=200000000),"SPK","Kont")))&amp;"-"&amp;AE133&amp;"/PPK/DPUPR"</f>
        <v>600/59032356/SPK-Konsultansi/PPK/DPUPR</v>
      </c>
      <c r="AX133" t="str" s="74" cm="1">
        <f t="array" ref="AX133">"600/"&amp;$B133&amp;"/SPMK/PPK/DPUPR"</f>
        <v>600/59032356/SPMK/PPK/DPUPR</v>
      </c>
      <c r="AY133" s="67"/>
      <c r="AZ133" s="67"/>
      <c r="BA133" s="67"/>
      <c r="BB133" s="67"/>
      <c r="BC133" s="67"/>
      <c r="BD133" s="67"/>
      <c r="BE133" s="67"/>
      <c r="BF133" s="67"/>
      <c r="BG133" s="80">
        <v>245</v>
      </c>
      <c r="BH133" t="s" s="72">
        <v>159</v>
      </c>
      <c r="BI133" t="s" s="72">
        <v>21</v>
      </c>
      <c r="BJ133" t="s" s="72">
        <v>22</v>
      </c>
      <c r="BK133" t="s" s="72">
        <v>23</v>
      </c>
      <c r="BL133" t="s" s="72">
        <v>24</v>
      </c>
      <c r="BM133" s="67"/>
      <c r="BN133" s="67"/>
      <c r="BO133" s="67"/>
      <c r="BP133" s="67"/>
      <c r="BQ133" s="67"/>
      <c r="BR133" t="b" s="79">
        <v>0</v>
      </c>
      <c r="BS133" s="69" cm="1">
        <f t="array" ref="BS133">IF(M133&lt;=0.8*K133,5%*K133,M133*5%)</f>
        <v>978900</v>
      </c>
      <c r="BT133" t="s" s="72">
        <v>115</v>
      </c>
      <c r="BU133" s="67"/>
      <c r="BV133" s="69" cm="1">
        <f t="array" ref="BV133">J133-M133</f>
        <v>422000</v>
      </c>
    </row>
    <row r="134" ht="36.25" customHeight="1">
      <c r="A134" s="47"/>
      <c r="B134" s="48">
        <v>59032309</v>
      </c>
      <c r="C134" t="s" s="89">
        <v>1017</v>
      </c>
      <c r="D134" t="s" s="50">
        <v>280</v>
      </c>
      <c r="E134" t="str" s="51" cm="1">
        <f t="array" ref="E134">$C134</f>
        <v>Pemb. Box Culvert Jalan Harimau Pasangkayu</v>
      </c>
      <c r="F134" s="52"/>
      <c r="G134" s="51"/>
      <c r="H134" s="51"/>
      <c r="I134" s="51"/>
      <c r="J134" s="54">
        <v>75000000</v>
      </c>
      <c r="K134" s="54">
        <v>74999000</v>
      </c>
      <c r="L134" s="56">
        <v>74557876.97</v>
      </c>
      <c r="M134" s="54">
        <v>74557000</v>
      </c>
      <c r="N134" t="s" s="57">
        <v>98</v>
      </c>
      <c r="O134" t="s" s="58">
        <v>99</v>
      </c>
      <c r="P134" t="s" s="57">
        <v>4</v>
      </c>
      <c r="Q134" t="s" s="57">
        <v>100</v>
      </c>
      <c r="R134" t="s" s="57">
        <v>101</v>
      </c>
      <c r="S134" t="s" s="57">
        <v>102</v>
      </c>
      <c r="T134" s="59">
        <v>43979</v>
      </c>
      <c r="U134" t="s" s="57">
        <v>103</v>
      </c>
      <c r="V134" t="s" s="57">
        <v>104</v>
      </c>
      <c r="W134" t="s" s="57">
        <v>105</v>
      </c>
      <c r="X134" s="60">
        <v>90</v>
      </c>
      <c r="Y134" t="s" s="57">
        <v>10</v>
      </c>
      <c r="Z134" s="54" cm="1">
        <f t="array" ref="Z134">M134</f>
        <v>74557000</v>
      </c>
      <c r="AA134" t="s" s="57">
        <v>11</v>
      </c>
      <c r="AB134" s="61" cm="1">
        <f t="array" ref="AB134">AH134</f>
        <v>45768</v>
      </c>
      <c r="AC134" s="60">
        <v>180</v>
      </c>
      <c r="AD134" t="s" s="57">
        <v>106</v>
      </c>
      <c r="AE134" t="s" s="57">
        <v>107</v>
      </c>
      <c r="AF134" t="s" s="57">
        <v>399</v>
      </c>
      <c r="AG134" s="61">
        <v>45765</v>
      </c>
      <c r="AH134" s="61">
        <v>45768</v>
      </c>
      <c r="AI134" s="61">
        <v>45768</v>
      </c>
      <c r="AJ134" s="61">
        <v>45768</v>
      </c>
      <c r="AK134" s="61">
        <v>45768</v>
      </c>
      <c r="AL134" s="61">
        <v>45768</v>
      </c>
      <c r="AM134" s="61">
        <v>45768</v>
      </c>
      <c r="AN134" t="s" s="57">
        <v>1019</v>
      </c>
      <c r="AO134" s="61" cm="1">
        <f t="array" ref="AO134">AJ134</f>
        <v>45768</v>
      </c>
      <c r="AP134" t="s" s="57">
        <v>1020</v>
      </c>
      <c r="AQ134" s="61" cm="1">
        <f t="array" ref="AQ134">AJ134</f>
        <v>45768</v>
      </c>
      <c r="AR134" t="s" s="57">
        <v>1021</v>
      </c>
      <c r="AS134" s="61" cm="1">
        <f t="array" ref="AS134">AJ134</f>
        <v>45768</v>
      </c>
      <c r="AT134" t="s" s="62">
        <v>1022</v>
      </c>
      <c r="AU134" s="61" cm="1">
        <f t="array" ref="AU134">AJ134</f>
        <v>45768</v>
      </c>
      <c r="AV134" s="51"/>
      <c r="AW134" t="str" s="63" cm="1">
        <f t="array" ref="AW134">"600/"&amp;$B134&amp;"/"&amp;IF(AND($AE134="Konsultansi",M134&lt;=100000000),"SPK",IF(AND($AE134="Konsultansi",M134&gt;100000000),"Kont",IF(AND($AE134&lt;&gt;"Konsultansi",M134&lt;=200000000),"SPK","Kont")))&amp;"-"&amp;AE134&amp;"/PPK/DPUPR"</f>
        <v>600/59032309/SPK-Konstruksi/PPK/DPUPR</v>
      </c>
      <c r="AX134" t="str" s="63" cm="1">
        <f t="array" ref="AX134">"600/"&amp;$B134&amp;"/SPMK/PPK/DPUPR"</f>
        <v>600/59032309/SPMK/PPK/DPUPR</v>
      </c>
      <c r="AY134" s="51"/>
      <c r="AZ134" s="51"/>
      <c r="BA134" s="51"/>
      <c r="BB134" s="51"/>
      <c r="BC134" s="51"/>
      <c r="BD134" s="51"/>
      <c r="BE134" s="51"/>
      <c r="BF134" s="51"/>
      <c r="BG134" s="64">
        <v>15</v>
      </c>
      <c r="BH134" t="s" s="57">
        <v>98</v>
      </c>
      <c r="BI134" t="s" s="57">
        <v>21</v>
      </c>
      <c r="BJ134" t="s" s="57">
        <v>22</v>
      </c>
      <c r="BK134" t="s" s="57">
        <v>23</v>
      </c>
      <c r="BL134" t="s" s="57">
        <v>24</v>
      </c>
      <c r="BM134" s="51"/>
      <c r="BN134" s="51"/>
      <c r="BO134" s="51"/>
      <c r="BP134" s="51"/>
      <c r="BQ134" s="51"/>
      <c r="BR134" t="b" s="60">
        <v>0</v>
      </c>
      <c r="BS134" s="54" cm="1">
        <f t="array" ref="BS134">IF(M134&lt;=0.8*K134,5%*K134,M134*5%)</f>
        <v>3727850</v>
      </c>
      <c r="BT134" t="s" s="57">
        <v>288</v>
      </c>
      <c r="BU134" s="51"/>
      <c r="BV134" s="54" cm="1">
        <f t="array" ref="BV134">J134-M134</f>
        <v>443000</v>
      </c>
    </row>
    <row r="135" ht="24.25" customHeight="1">
      <c r="A135" s="47"/>
      <c r="B135" s="47"/>
      <c r="C135" s="90"/>
      <c r="D135" s="66"/>
      <c r="E135" s="79" cm="1">
        <f t="array" ref="E135">$C135</f>
        <v>0</v>
      </c>
      <c r="F135" s="68"/>
      <c r="G135" s="67"/>
      <c r="H135" s="67"/>
      <c r="I135" s="67"/>
      <c r="J135" s="69"/>
      <c r="K135" s="69"/>
      <c r="L135" s="56"/>
      <c r="M135" s="69"/>
      <c r="N135" t="s" s="72">
        <v>174</v>
      </c>
      <c r="O135" t="s" s="78">
        <v>174</v>
      </c>
      <c r="P135" t="s" s="72">
        <v>174</v>
      </c>
      <c r="Q135" t="s" s="72">
        <v>174</v>
      </c>
      <c r="R135" t="s" s="72">
        <v>174</v>
      </c>
      <c r="S135" t="s" s="72">
        <v>174</v>
      </c>
      <c r="T135" t="s" s="72">
        <v>174</v>
      </c>
      <c r="U135" t="s" s="72">
        <v>174</v>
      </c>
      <c r="V135" t="s" s="72">
        <v>174</v>
      </c>
      <c r="W135" t="s" s="72">
        <v>174</v>
      </c>
      <c r="X135" s="67"/>
      <c r="Y135" s="67"/>
      <c r="Z135" s="69" cm="1">
        <f t="array" ref="Z135">M135</f>
        <v>0</v>
      </c>
      <c r="AA135" s="67"/>
      <c r="AB135" s="71" cm="1">
        <f t="array" ref="AB135">AH135</f>
      </c>
      <c r="AC135" s="67"/>
      <c r="AD135" s="67"/>
      <c r="AE135" t="s" s="72">
        <v>175</v>
      </c>
      <c r="AF135" s="67"/>
      <c r="AG135" s="71"/>
      <c r="AH135" s="71"/>
      <c r="AI135" s="71"/>
      <c r="AJ135" s="71"/>
      <c r="AK135" s="71"/>
      <c r="AL135" s="71"/>
      <c r="AM135" s="71"/>
      <c r="AN135" t="s" s="72">
        <v>390</v>
      </c>
      <c r="AO135" s="67" cm="1">
        <f t="array" ref="AO135">AJ135</f>
      </c>
      <c r="AP135" t="s" s="72">
        <v>391</v>
      </c>
      <c r="AQ135" s="67" cm="1">
        <f t="array" ref="AQ135">AJ135</f>
      </c>
      <c r="AR135" t="s" s="72">
        <v>392</v>
      </c>
      <c r="AS135" s="67" cm="1">
        <f t="array" ref="AS135">AJ135</f>
      </c>
      <c r="AT135" t="s" s="62">
        <v>393</v>
      </c>
      <c r="AU135" s="67" cm="1">
        <f t="array" ref="AU135">AJ135</f>
      </c>
      <c r="AV135" s="67"/>
      <c r="AW135" t="str" s="74" cm="1">
        <f t="array" ref="AW135">"600/"&amp;$B135&amp;"/"&amp;IF(AND($AE135="Konsultansi",M135&lt;=100000000),"SPK",IF(AND($AE135="Konsultansi",M135&gt;100000000),"Kont",IF(AND($AE135&lt;&gt;"Konsultansi",M135&lt;=200000000),"SPK","Kont")))&amp;"-"&amp;AE135&amp;"/PPK/DPUPR"</f>
        <v>600//SPK-Barang/PPK/DPUPR</v>
      </c>
      <c r="AX135" t="str" s="74" cm="1">
        <f t="array" ref="AX135">"600/"&amp;$B135&amp;"/SPMK/PPK/DPUPR"</f>
        <v>600//SPMK/PPK/DPUPR</v>
      </c>
      <c r="AY135" s="67"/>
      <c r="AZ135" s="67"/>
      <c r="BA135" s="67"/>
      <c r="BB135" s="67"/>
      <c r="BC135" s="67"/>
      <c r="BD135" s="67"/>
      <c r="BE135" s="67"/>
      <c r="BF135" s="67"/>
      <c r="BG135" s="75"/>
      <c r="BH135" t="s" s="72">
        <v>182</v>
      </c>
      <c r="BI135" t="s" s="72">
        <v>21</v>
      </c>
      <c r="BJ135" t="s" s="72">
        <v>22</v>
      </c>
      <c r="BK135" t="s" s="72">
        <v>23</v>
      </c>
      <c r="BL135" t="s" s="72">
        <v>24</v>
      </c>
      <c r="BM135" s="67"/>
      <c r="BN135" s="67"/>
      <c r="BO135" s="67"/>
      <c r="BP135" s="67"/>
      <c r="BQ135" s="67"/>
      <c r="BR135" t="b" s="79">
        <v>0</v>
      </c>
      <c r="BS135" s="69" cm="1">
        <f t="array" ref="BS135">IF(M135&lt;=0.8*K135,5%*K135,M135*5%)</f>
        <v>0</v>
      </c>
      <c r="BT135" t="s" s="72">
        <v>183</v>
      </c>
      <c r="BU135" s="67"/>
      <c r="BV135" s="69" cm="1">
        <f t="array" ref="BV135">J135-M135</f>
        <v>0</v>
      </c>
    </row>
    <row r="136" ht="60.25" customHeight="1">
      <c r="A136" s="47"/>
      <c r="B136" s="48">
        <v>59008191</v>
      </c>
      <c r="C136" t="s" s="98">
        <v>1025</v>
      </c>
      <c r="D136" t="s" s="50">
        <v>1</v>
      </c>
      <c r="E136" t="str" s="51" cm="1">
        <f t="array" ref="E136">$C136</f>
        <v>Pemb. Jalan Dsn Salubulu I</v>
      </c>
      <c r="F136" s="52"/>
      <c r="G136" s="51"/>
      <c r="H136" s="51"/>
      <c r="I136" s="51"/>
      <c r="J136" s="54">
        <v>180000000</v>
      </c>
      <c r="K136" s="54">
        <v>179945000</v>
      </c>
      <c r="L136" s="56">
        <v>179436556.44</v>
      </c>
      <c r="M136" s="54">
        <v>179436000</v>
      </c>
      <c r="N136" t="s" s="57">
        <v>655</v>
      </c>
      <c r="O136" t="s" s="58">
        <v>656</v>
      </c>
      <c r="P136" t="s" s="57">
        <v>4</v>
      </c>
      <c r="Q136" t="s" s="57">
        <v>657</v>
      </c>
      <c r="R136" t="s" s="57">
        <v>658</v>
      </c>
      <c r="S136" s="60">
        <v>46</v>
      </c>
      <c r="T136" s="61">
        <v>45310</v>
      </c>
      <c r="U136" t="s" s="57">
        <v>296</v>
      </c>
      <c r="V136" t="s" s="57">
        <v>659</v>
      </c>
      <c r="W136" t="s" s="57">
        <v>660</v>
      </c>
      <c r="X136" s="60">
        <v>90</v>
      </c>
      <c r="Y136" t="s" s="57">
        <v>10</v>
      </c>
      <c r="Z136" s="54" cm="1">
        <f t="array" ref="Z136">M136</f>
        <v>179436000</v>
      </c>
      <c r="AA136" t="s" s="57">
        <v>11</v>
      </c>
      <c r="AB136" s="61" cm="1">
        <f t="array" ref="AB136">AH136</f>
        <v>45768</v>
      </c>
      <c r="AC136" s="60">
        <v>180</v>
      </c>
      <c r="AD136" t="s" s="57">
        <v>106</v>
      </c>
      <c r="AE136" t="s" s="57">
        <v>107</v>
      </c>
      <c r="AF136" t="s" s="57">
        <v>108</v>
      </c>
      <c r="AG136" s="61">
        <v>45765</v>
      </c>
      <c r="AH136" s="61">
        <v>45768</v>
      </c>
      <c r="AI136" s="61">
        <v>45768</v>
      </c>
      <c r="AJ136" s="61">
        <v>45768</v>
      </c>
      <c r="AK136" s="61">
        <v>45768</v>
      </c>
      <c r="AL136" s="61">
        <v>45768</v>
      </c>
      <c r="AM136" s="61">
        <v>45768</v>
      </c>
      <c r="AN136" t="s" s="57">
        <v>1026</v>
      </c>
      <c r="AO136" s="61" cm="1">
        <f t="array" ref="AO136">AJ136</f>
        <v>45768</v>
      </c>
      <c r="AP136" t="s" s="57">
        <v>1027</v>
      </c>
      <c r="AQ136" s="61" cm="1">
        <f t="array" ref="AQ136">AJ136</f>
        <v>45768</v>
      </c>
      <c r="AR136" t="s" s="57">
        <v>1028</v>
      </c>
      <c r="AS136" s="61" cm="1">
        <f t="array" ref="AS136">AJ136</f>
        <v>45768</v>
      </c>
      <c r="AT136" t="s" s="62">
        <v>1029</v>
      </c>
      <c r="AU136" s="61" cm="1">
        <f t="array" ref="AU136">AJ136</f>
        <v>45768</v>
      </c>
      <c r="AV136" s="51"/>
      <c r="AW136" t="str" s="63" cm="1">
        <f t="array" ref="AW136">"600/"&amp;$B136&amp;"/"&amp;IF(AND($AE136="Konsultansi",M136&lt;=100000000),"SPK",IF(AND($AE136="Konsultansi",M136&gt;100000000),"Kont",IF(AND($AE136&lt;&gt;"Konsultansi",M136&lt;=200000000),"SPK","Kont")))&amp;"-"&amp;AE136&amp;"/PPK/DPUPR"</f>
        <v>600/59008191/SPK-Konstruksi/PPK/DPUPR</v>
      </c>
      <c r="AX136" t="str" s="63" cm="1">
        <f t="array" ref="AX136">"600/"&amp;$B136&amp;"/SPMK/PPK/DPUPR"</f>
        <v>600/59008191/SPMK/PPK/DPUPR</v>
      </c>
      <c r="AY136" s="51"/>
      <c r="AZ136" s="51"/>
      <c r="BA136" s="51"/>
      <c r="BB136" s="51"/>
      <c r="BC136" s="51"/>
      <c r="BD136" s="51"/>
      <c r="BE136" s="51"/>
      <c r="BF136" s="51"/>
      <c r="BG136" s="64">
        <v>238</v>
      </c>
      <c r="BH136" t="s" s="57">
        <v>655</v>
      </c>
      <c r="BI136" t="s" s="57">
        <v>21</v>
      </c>
      <c r="BJ136" t="s" s="57">
        <v>22</v>
      </c>
      <c r="BK136" t="s" s="57">
        <v>23</v>
      </c>
      <c r="BL136" t="s" s="57">
        <v>24</v>
      </c>
      <c r="BM136" s="51"/>
      <c r="BN136" s="51"/>
      <c r="BO136" s="51"/>
      <c r="BP136" s="51"/>
      <c r="BQ136" s="51"/>
      <c r="BR136" t="b" s="60">
        <v>0</v>
      </c>
      <c r="BS136" s="54" cm="1">
        <f t="array" ref="BS136">IF(M136&lt;=0.8*K136,5%*K136,M136*5%)</f>
        <v>8971800</v>
      </c>
      <c r="BT136" t="s" s="57">
        <v>25</v>
      </c>
      <c r="BU136" s="51"/>
      <c r="BV136" s="54" cm="1">
        <f t="array" ref="BV136">J136-M136</f>
        <v>564000</v>
      </c>
    </row>
    <row r="137" ht="36.25" customHeight="1">
      <c r="A137" s="47"/>
      <c r="B137" s="48">
        <v>59008371</v>
      </c>
      <c r="C137" t="s" s="98">
        <v>1032</v>
      </c>
      <c r="D137" t="s" s="76">
        <v>1</v>
      </c>
      <c r="E137" t="str" s="67" cm="1">
        <f t="array" ref="E137">$C137</f>
        <v>Pemb. Jalan Dsn Salubulu - Bunjamata</v>
      </c>
      <c r="F137" s="68"/>
      <c r="G137" s="67"/>
      <c r="H137" s="67"/>
      <c r="I137" s="67"/>
      <c r="J137" s="69">
        <v>180000000</v>
      </c>
      <c r="K137" s="69">
        <v>179945000</v>
      </c>
      <c r="L137" s="56">
        <v>178943144.08</v>
      </c>
      <c r="M137" s="69">
        <v>178943000</v>
      </c>
      <c r="N137" t="s" s="72">
        <v>1033</v>
      </c>
      <c r="O137" t="s" s="78">
        <v>1034</v>
      </c>
      <c r="P137" t="s" s="72">
        <v>1035</v>
      </c>
      <c r="Q137" t="s" s="72">
        <v>1036</v>
      </c>
      <c r="R137" t="s" s="72">
        <v>1037</v>
      </c>
      <c r="S137" s="79">
        <v>45</v>
      </c>
      <c r="T137" s="71">
        <v>45310</v>
      </c>
      <c r="U137" t="s" s="72">
        <v>255</v>
      </c>
      <c r="V137" t="s" s="72">
        <v>1038</v>
      </c>
      <c r="W137" t="s" s="72">
        <v>1039</v>
      </c>
      <c r="X137" s="79">
        <v>90</v>
      </c>
      <c r="Y137" t="s" s="72">
        <v>10</v>
      </c>
      <c r="Z137" s="69" cm="1">
        <f t="array" ref="Z137">M137</f>
        <v>178943000</v>
      </c>
      <c r="AA137" t="s" s="72">
        <v>11</v>
      </c>
      <c r="AB137" s="71" cm="1">
        <f t="array" ref="AB137">AH137</f>
        <v>45768</v>
      </c>
      <c r="AC137" s="79">
        <v>180</v>
      </c>
      <c r="AD137" t="s" s="72">
        <v>106</v>
      </c>
      <c r="AE137" t="s" s="72">
        <v>107</v>
      </c>
      <c r="AF137" t="s" s="72">
        <v>108</v>
      </c>
      <c r="AG137" s="71">
        <v>45765</v>
      </c>
      <c r="AH137" s="71">
        <v>45768</v>
      </c>
      <c r="AI137" s="71">
        <v>45768</v>
      </c>
      <c r="AJ137" s="71">
        <v>45768</v>
      </c>
      <c r="AK137" s="71">
        <v>45768</v>
      </c>
      <c r="AL137" s="71">
        <v>45768</v>
      </c>
      <c r="AM137" s="71">
        <v>45768</v>
      </c>
      <c r="AN137" t="s" s="72">
        <v>1040</v>
      </c>
      <c r="AO137" s="71" cm="1">
        <f t="array" ref="AO137">AJ137</f>
        <v>45768</v>
      </c>
      <c r="AP137" t="s" s="72">
        <v>1041</v>
      </c>
      <c r="AQ137" s="71" cm="1">
        <f t="array" ref="AQ137">AJ137</f>
        <v>45768</v>
      </c>
      <c r="AR137" t="s" s="72">
        <v>1042</v>
      </c>
      <c r="AS137" s="71" cm="1">
        <f t="array" ref="AS137">AJ137</f>
        <v>45768</v>
      </c>
      <c r="AT137" t="s" s="62">
        <v>1043</v>
      </c>
      <c r="AU137" s="71" cm="1">
        <f t="array" ref="AU137">AJ137</f>
        <v>45768</v>
      </c>
      <c r="AV137" s="67"/>
      <c r="AW137" t="str" s="74" cm="1">
        <f t="array" ref="AW137">"600/"&amp;$B137&amp;"/"&amp;IF(AND($AE137="Konsultansi",M137&lt;=100000000),"SPK",IF(AND($AE137="Konsultansi",M137&gt;100000000),"Kont",IF(AND($AE137&lt;&gt;"Konsultansi",M137&lt;=200000000),"SPK","Kont")))&amp;"-"&amp;AE137&amp;"/PPK/DPUPR"</f>
        <v>600/59008371/SPK-Konstruksi/PPK/DPUPR</v>
      </c>
      <c r="AX137" t="str" s="74" cm="1">
        <f t="array" ref="AX137">"600/"&amp;$B137&amp;"/SPMK/PPK/DPUPR"</f>
        <v>600/59008371/SPMK/PPK/DPUPR</v>
      </c>
      <c r="AY137" s="67"/>
      <c r="AZ137" s="67"/>
      <c r="BA137" s="67"/>
      <c r="BB137" s="67"/>
      <c r="BC137" s="67"/>
      <c r="BD137" s="67"/>
      <c r="BE137" s="67"/>
      <c r="BF137" s="67"/>
      <c r="BG137" s="80">
        <v>251</v>
      </c>
      <c r="BH137" t="s" s="72">
        <v>1033</v>
      </c>
      <c r="BI137" t="s" s="72">
        <v>21</v>
      </c>
      <c r="BJ137" t="s" s="72">
        <v>22</v>
      </c>
      <c r="BK137" t="s" s="72">
        <v>23</v>
      </c>
      <c r="BL137" t="s" s="72">
        <v>24</v>
      </c>
      <c r="BM137" s="67"/>
      <c r="BN137" s="67"/>
      <c r="BO137" s="67"/>
      <c r="BP137" s="67"/>
      <c r="BQ137" s="67"/>
      <c r="BR137" t="b" s="79">
        <v>0</v>
      </c>
      <c r="BS137" s="69" cm="1">
        <f t="array" ref="BS137">IF(M137&lt;=0.8*K137,5%*K137,M137*5%)</f>
        <v>8947150</v>
      </c>
      <c r="BT137" t="s" s="72">
        <v>25</v>
      </c>
      <c r="BU137" s="67"/>
      <c r="BV137" s="69" cm="1">
        <f t="array" ref="BV137">J137-M137</f>
        <v>1057000</v>
      </c>
    </row>
    <row r="138" ht="36.25" customHeight="1">
      <c r="A138" s="47"/>
      <c r="B138" s="48">
        <v>59008617</v>
      </c>
      <c r="C138" t="s" s="98">
        <v>1046</v>
      </c>
      <c r="D138" t="s" s="50">
        <v>1</v>
      </c>
      <c r="E138" t="str" s="51" cm="1">
        <f t="array" ref="E138">$C138</f>
        <v>Pemb. Jalan Dsn Salonggabo</v>
      </c>
      <c r="F138" s="52"/>
      <c r="G138" s="51"/>
      <c r="H138" s="51"/>
      <c r="I138" s="51"/>
      <c r="J138" s="54">
        <v>180000000</v>
      </c>
      <c r="K138" s="54">
        <v>179945000</v>
      </c>
      <c r="L138" s="56">
        <v>179109268.39</v>
      </c>
      <c r="M138" s="54">
        <v>179109000</v>
      </c>
      <c r="N138" t="s" s="57">
        <v>1033</v>
      </c>
      <c r="O138" t="s" s="58">
        <v>1034</v>
      </c>
      <c r="P138" t="s" s="57">
        <v>1035</v>
      </c>
      <c r="Q138" t="s" s="57">
        <v>1036</v>
      </c>
      <c r="R138" t="s" s="57">
        <v>1037</v>
      </c>
      <c r="S138" s="60">
        <v>45</v>
      </c>
      <c r="T138" s="61">
        <v>45310</v>
      </c>
      <c r="U138" t="s" s="57">
        <v>255</v>
      </c>
      <c r="V138" t="s" s="57">
        <v>1038</v>
      </c>
      <c r="W138" t="s" s="57">
        <v>1039</v>
      </c>
      <c r="X138" s="60">
        <v>90</v>
      </c>
      <c r="Y138" t="s" s="57">
        <v>10</v>
      </c>
      <c r="Z138" s="54" cm="1">
        <f t="array" ref="Z138">M138</f>
        <v>179109000</v>
      </c>
      <c r="AA138" t="s" s="57">
        <v>11</v>
      </c>
      <c r="AB138" s="61" cm="1">
        <f t="array" ref="AB138">AH138</f>
        <v>45768</v>
      </c>
      <c r="AC138" s="60">
        <v>180</v>
      </c>
      <c r="AD138" t="s" s="57">
        <v>106</v>
      </c>
      <c r="AE138" t="s" s="57">
        <v>107</v>
      </c>
      <c r="AF138" t="s" s="57">
        <v>108</v>
      </c>
      <c r="AG138" s="61">
        <v>45765</v>
      </c>
      <c r="AH138" s="61">
        <v>45768</v>
      </c>
      <c r="AI138" s="61">
        <v>45768</v>
      </c>
      <c r="AJ138" s="61">
        <v>45768</v>
      </c>
      <c r="AK138" s="61">
        <v>45768</v>
      </c>
      <c r="AL138" s="61">
        <v>45768</v>
      </c>
      <c r="AM138" s="61">
        <v>45768</v>
      </c>
      <c r="AN138" t="s" s="57">
        <v>1047</v>
      </c>
      <c r="AO138" s="61" cm="1">
        <f t="array" ref="AO138">AJ138</f>
        <v>45768</v>
      </c>
      <c r="AP138" t="s" s="57">
        <v>1048</v>
      </c>
      <c r="AQ138" s="61" cm="1">
        <f t="array" ref="AQ138">AJ138</f>
        <v>45768</v>
      </c>
      <c r="AR138" t="s" s="57">
        <v>1049</v>
      </c>
      <c r="AS138" s="61" cm="1">
        <f t="array" ref="AS138">AJ138</f>
        <v>45768</v>
      </c>
      <c r="AT138" t="s" s="62">
        <v>1050</v>
      </c>
      <c r="AU138" s="61" cm="1">
        <f t="array" ref="AU138">AJ138</f>
        <v>45768</v>
      </c>
      <c r="AV138" s="51"/>
      <c r="AW138" t="str" s="63" cm="1">
        <f t="array" ref="AW138">"600/"&amp;$B138&amp;"/"&amp;IF(AND($AE138="Konsultansi",M138&lt;=100000000),"SPK",IF(AND($AE138="Konsultansi",M138&gt;100000000),"Kont",IF(AND($AE138&lt;&gt;"Konsultansi",M138&lt;=200000000),"SPK","Kont")))&amp;"-"&amp;AE138&amp;"/PPK/DPUPR"</f>
        <v>600/59008617/SPK-Konstruksi/PPK/DPUPR</v>
      </c>
      <c r="AX138" t="str" s="63" cm="1">
        <f t="array" ref="AX138">"600/"&amp;$B138&amp;"/SPMK/PPK/DPUPR"</f>
        <v>600/59008617/SPMK/PPK/DPUPR</v>
      </c>
      <c r="AY138" s="51"/>
      <c r="AZ138" s="51"/>
      <c r="BA138" s="51"/>
      <c r="BB138" s="51"/>
      <c r="BC138" s="51"/>
      <c r="BD138" s="51"/>
      <c r="BE138" s="51"/>
      <c r="BF138" s="51"/>
      <c r="BG138" s="64">
        <v>251</v>
      </c>
      <c r="BH138" t="s" s="57">
        <v>1033</v>
      </c>
      <c r="BI138" t="s" s="57">
        <v>21</v>
      </c>
      <c r="BJ138" t="s" s="57">
        <v>22</v>
      </c>
      <c r="BK138" t="s" s="57">
        <v>23</v>
      </c>
      <c r="BL138" t="s" s="57">
        <v>24</v>
      </c>
      <c r="BM138" s="51"/>
      <c r="BN138" s="51"/>
      <c r="BO138" s="51"/>
      <c r="BP138" s="51"/>
      <c r="BQ138" s="51"/>
      <c r="BR138" t="b" s="60">
        <v>0</v>
      </c>
      <c r="BS138" s="54" cm="1">
        <f t="array" ref="BS138">IF(M138&lt;=0.8*K138,5%*K138,M138*5%)</f>
        <v>8955450</v>
      </c>
      <c r="BT138" t="s" s="57">
        <v>25</v>
      </c>
      <c r="BU138" s="51"/>
      <c r="BV138" s="54" cm="1">
        <f t="array" ref="BV138">J138-M138</f>
        <v>891000</v>
      </c>
    </row>
    <row r="139" ht="36.25" customHeight="1">
      <c r="A139" s="47"/>
      <c r="B139" s="48">
        <v>59008849</v>
      </c>
      <c r="C139" t="s" s="98">
        <v>1053</v>
      </c>
      <c r="D139" t="s" s="76">
        <v>1</v>
      </c>
      <c r="E139" t="str" s="67" cm="1">
        <f t="array" ref="E139">$C139</f>
        <v>Pemb. Jalan Baras Motu</v>
      </c>
      <c r="F139" s="68"/>
      <c r="G139" s="67"/>
      <c r="H139" s="67"/>
      <c r="I139" s="67"/>
      <c r="J139" s="69">
        <v>180000000</v>
      </c>
      <c r="K139" s="69">
        <v>179945000</v>
      </c>
      <c r="L139" s="56">
        <v>179407773.35</v>
      </c>
      <c r="M139" s="69">
        <v>179407000</v>
      </c>
      <c r="N139" t="s" s="72">
        <v>1054</v>
      </c>
      <c r="O139" t="s" s="78">
        <v>1055</v>
      </c>
      <c r="P139" t="s" s="72">
        <v>1035</v>
      </c>
      <c r="Q139" t="s" s="72">
        <v>1056</v>
      </c>
      <c r="R139" t="s" s="72">
        <v>1057</v>
      </c>
      <c r="S139" s="79">
        <v>35</v>
      </c>
      <c r="T139" s="92">
        <v>45070</v>
      </c>
      <c r="U139" t="s" s="72">
        <v>255</v>
      </c>
      <c r="V139" t="s" s="72">
        <v>1058</v>
      </c>
      <c r="W139" t="s" s="72">
        <v>1059</v>
      </c>
      <c r="X139" s="79">
        <v>90</v>
      </c>
      <c r="Y139" t="s" s="72">
        <v>10</v>
      </c>
      <c r="Z139" s="69" cm="1">
        <f t="array" ref="Z139">M139</f>
        <v>179407000</v>
      </c>
      <c r="AA139" t="s" s="72">
        <v>11</v>
      </c>
      <c r="AB139" s="71" cm="1">
        <f t="array" ref="AB139">AH139</f>
        <v>45768</v>
      </c>
      <c r="AC139" s="79">
        <v>180</v>
      </c>
      <c r="AD139" t="s" s="72">
        <v>106</v>
      </c>
      <c r="AE139" t="s" s="72">
        <v>107</v>
      </c>
      <c r="AF139" t="s" s="72">
        <v>108</v>
      </c>
      <c r="AG139" s="71">
        <v>45765</v>
      </c>
      <c r="AH139" s="71">
        <v>45768</v>
      </c>
      <c r="AI139" s="71">
        <v>45768</v>
      </c>
      <c r="AJ139" s="71">
        <v>45768</v>
      </c>
      <c r="AK139" s="71">
        <v>45768</v>
      </c>
      <c r="AL139" s="71">
        <v>45768</v>
      </c>
      <c r="AM139" s="71">
        <v>45768</v>
      </c>
      <c r="AN139" t="s" s="72">
        <v>1060</v>
      </c>
      <c r="AO139" s="71" cm="1">
        <f t="array" ref="AO139">AJ139</f>
        <v>45768</v>
      </c>
      <c r="AP139" t="s" s="72">
        <v>1061</v>
      </c>
      <c r="AQ139" s="71" cm="1">
        <f t="array" ref="AQ139">AJ139</f>
        <v>45768</v>
      </c>
      <c r="AR139" t="s" s="72">
        <v>1062</v>
      </c>
      <c r="AS139" s="71" cm="1">
        <f t="array" ref="AS139">AJ139</f>
        <v>45768</v>
      </c>
      <c r="AT139" t="s" s="62">
        <v>1063</v>
      </c>
      <c r="AU139" s="71" cm="1">
        <f t="array" ref="AU139">AJ139</f>
        <v>45768</v>
      </c>
      <c r="AV139" s="67"/>
      <c r="AW139" t="str" s="74" cm="1">
        <f t="array" ref="AW139">"600/"&amp;$B139&amp;"/"&amp;IF(AND($AE139="Konsultansi",M139&lt;=100000000),"SPK",IF(AND($AE139="Konsultansi",M139&gt;100000000),"Kont",IF(AND($AE139&lt;&gt;"Konsultansi",M139&lt;=200000000),"SPK","Kont")))&amp;"-"&amp;AE139&amp;"/PPK/DPUPR"</f>
        <v>600/59008849/SPK-Konstruksi/PPK/DPUPR</v>
      </c>
      <c r="AX139" t="str" s="74" cm="1">
        <f t="array" ref="AX139">"600/"&amp;$B139&amp;"/SPMK/PPK/DPUPR"</f>
        <v>600/59008849/SPMK/PPK/DPUPR</v>
      </c>
      <c r="AY139" s="67"/>
      <c r="AZ139" s="67"/>
      <c r="BA139" s="67"/>
      <c r="BB139" s="67"/>
      <c r="BC139" s="67"/>
      <c r="BD139" s="67"/>
      <c r="BE139" s="67"/>
      <c r="BF139" s="67"/>
      <c r="BG139" s="80">
        <v>252</v>
      </c>
      <c r="BH139" t="s" s="72">
        <v>1054</v>
      </c>
      <c r="BI139" t="s" s="72">
        <v>21</v>
      </c>
      <c r="BJ139" t="s" s="72">
        <v>22</v>
      </c>
      <c r="BK139" t="s" s="72">
        <v>23</v>
      </c>
      <c r="BL139" t="s" s="72">
        <v>24</v>
      </c>
      <c r="BM139" s="67"/>
      <c r="BN139" s="67"/>
      <c r="BO139" s="67"/>
      <c r="BP139" s="67"/>
      <c r="BQ139" s="67"/>
      <c r="BR139" t="b" s="79">
        <v>0</v>
      </c>
      <c r="BS139" s="69" cm="1">
        <f t="array" ref="BS139">IF(M139&lt;=0.8*K139,5%*K139,M139*5%)</f>
        <v>8970350</v>
      </c>
      <c r="BT139" t="s" s="72">
        <v>25</v>
      </c>
      <c r="BU139" s="67"/>
      <c r="BV139" s="69" cm="1">
        <f t="array" ref="BV139">J139-M139</f>
        <v>593000</v>
      </c>
    </row>
    <row r="140" ht="36.25" customHeight="1">
      <c r="A140" s="47"/>
      <c r="B140" s="48">
        <v>59008947</v>
      </c>
      <c r="C140" t="s" s="98">
        <v>1066</v>
      </c>
      <c r="D140" t="s" s="50">
        <v>1</v>
      </c>
      <c r="E140" t="str" s="51" cm="1">
        <f t="array" ref="E140">$C140</f>
        <v>Pemb. Jalan Baras Motu I</v>
      </c>
      <c r="F140" s="52"/>
      <c r="G140" s="51"/>
      <c r="H140" s="51"/>
      <c r="I140" s="51"/>
      <c r="J140" s="54">
        <v>180000000</v>
      </c>
      <c r="K140" s="54">
        <v>179945000</v>
      </c>
      <c r="L140" s="56">
        <v>179296773.35</v>
      </c>
      <c r="M140" s="54">
        <v>179296000</v>
      </c>
      <c r="N140" t="s" s="57">
        <v>1054</v>
      </c>
      <c r="O140" t="s" s="58">
        <v>1055</v>
      </c>
      <c r="P140" t="s" s="57">
        <v>1035</v>
      </c>
      <c r="Q140" t="s" s="57">
        <v>1056</v>
      </c>
      <c r="R140" t="s" s="57">
        <v>1057</v>
      </c>
      <c r="S140" s="60">
        <v>35</v>
      </c>
      <c r="T140" s="59">
        <v>45070</v>
      </c>
      <c r="U140" t="s" s="57">
        <v>255</v>
      </c>
      <c r="V140" t="s" s="57">
        <v>1058</v>
      </c>
      <c r="W140" t="s" s="57">
        <v>1059</v>
      </c>
      <c r="X140" s="60">
        <v>90</v>
      </c>
      <c r="Y140" t="s" s="57">
        <v>10</v>
      </c>
      <c r="Z140" s="54" cm="1">
        <f t="array" ref="Z140">M140</f>
        <v>179296000</v>
      </c>
      <c r="AA140" t="s" s="57">
        <v>11</v>
      </c>
      <c r="AB140" s="61" cm="1">
        <f t="array" ref="AB140">AH140</f>
        <v>45768</v>
      </c>
      <c r="AC140" s="60">
        <v>180</v>
      </c>
      <c r="AD140" t="s" s="57">
        <v>106</v>
      </c>
      <c r="AE140" t="s" s="57">
        <v>107</v>
      </c>
      <c r="AF140" t="s" s="57">
        <v>108</v>
      </c>
      <c r="AG140" s="61">
        <v>45765</v>
      </c>
      <c r="AH140" s="61">
        <v>45768</v>
      </c>
      <c r="AI140" s="61">
        <v>45768</v>
      </c>
      <c r="AJ140" s="61">
        <v>45768</v>
      </c>
      <c r="AK140" s="61">
        <v>45768</v>
      </c>
      <c r="AL140" s="61">
        <v>45768</v>
      </c>
      <c r="AM140" s="61">
        <v>45768</v>
      </c>
      <c r="AN140" t="s" s="57">
        <v>1067</v>
      </c>
      <c r="AO140" s="61" cm="1">
        <f t="array" ref="AO140">AJ140</f>
        <v>45768</v>
      </c>
      <c r="AP140" t="s" s="57">
        <v>1068</v>
      </c>
      <c r="AQ140" s="61" cm="1">
        <f t="array" ref="AQ140">AJ140</f>
        <v>45768</v>
      </c>
      <c r="AR140" t="s" s="57">
        <v>1069</v>
      </c>
      <c r="AS140" s="61" cm="1">
        <f t="array" ref="AS140">AJ140</f>
        <v>45768</v>
      </c>
      <c r="AT140" t="s" s="62">
        <v>1070</v>
      </c>
      <c r="AU140" s="61" cm="1">
        <f t="array" ref="AU140">AJ140</f>
        <v>45768</v>
      </c>
      <c r="AV140" s="51"/>
      <c r="AW140" t="str" s="63" cm="1">
        <f t="array" ref="AW140">"600/"&amp;$B140&amp;"/"&amp;IF(AND($AE140="Konsultansi",M140&lt;=100000000),"SPK",IF(AND($AE140="Konsultansi",M140&gt;100000000),"Kont",IF(AND($AE140&lt;&gt;"Konsultansi",M140&lt;=200000000),"SPK","Kont")))&amp;"-"&amp;AE140&amp;"/PPK/DPUPR"</f>
        <v>600/59008947/SPK-Konstruksi/PPK/DPUPR</v>
      </c>
      <c r="AX140" t="str" s="63" cm="1">
        <f t="array" ref="AX140">"600/"&amp;$B140&amp;"/SPMK/PPK/DPUPR"</f>
        <v>600/59008947/SPMK/PPK/DPUPR</v>
      </c>
      <c r="AY140" s="51"/>
      <c r="AZ140" s="51"/>
      <c r="BA140" s="51"/>
      <c r="BB140" s="51"/>
      <c r="BC140" s="51"/>
      <c r="BD140" s="51"/>
      <c r="BE140" s="51"/>
      <c r="BF140" s="51"/>
      <c r="BG140" s="64">
        <v>252</v>
      </c>
      <c r="BH140" t="s" s="57">
        <v>1054</v>
      </c>
      <c r="BI140" t="s" s="57">
        <v>21</v>
      </c>
      <c r="BJ140" t="s" s="57">
        <v>22</v>
      </c>
      <c r="BK140" t="s" s="57">
        <v>23</v>
      </c>
      <c r="BL140" t="s" s="57">
        <v>24</v>
      </c>
      <c r="BM140" s="51"/>
      <c r="BN140" s="51"/>
      <c r="BO140" s="51"/>
      <c r="BP140" s="51"/>
      <c r="BQ140" s="51"/>
      <c r="BR140" t="b" s="60">
        <v>0</v>
      </c>
      <c r="BS140" s="54" cm="1">
        <f t="array" ref="BS140">IF(M140&lt;=0.8*K140,5%*K140,M140*5%)</f>
        <v>8964800</v>
      </c>
      <c r="BT140" t="s" s="57">
        <v>25</v>
      </c>
      <c r="BU140" s="51"/>
      <c r="BV140" s="54" cm="1">
        <f t="array" ref="BV140">J140-M140</f>
        <v>704000</v>
      </c>
    </row>
    <row r="141" ht="36.25" customHeight="1">
      <c r="A141" s="47"/>
      <c r="B141" s="48">
        <v>59009015</v>
      </c>
      <c r="C141" t="s" s="98">
        <v>1073</v>
      </c>
      <c r="D141" t="s" s="76">
        <v>1</v>
      </c>
      <c r="E141" t="str" s="67" cm="1">
        <f t="array" ref="E141">$C141</f>
        <v>Pemb. Jalan Baras Motu II</v>
      </c>
      <c r="F141" s="68"/>
      <c r="G141" s="67"/>
      <c r="H141" s="67"/>
      <c r="I141" s="67"/>
      <c r="J141" s="69">
        <v>180000000</v>
      </c>
      <c r="K141" s="69">
        <v>179945000</v>
      </c>
      <c r="L141" s="56">
        <v>179289665.24</v>
      </c>
      <c r="M141" s="69">
        <v>179289000</v>
      </c>
      <c r="N141" t="s" s="72">
        <v>1054</v>
      </c>
      <c r="O141" t="s" s="78">
        <v>1055</v>
      </c>
      <c r="P141" t="s" s="72">
        <v>1035</v>
      </c>
      <c r="Q141" t="s" s="72">
        <v>1056</v>
      </c>
      <c r="R141" t="s" s="72">
        <v>1057</v>
      </c>
      <c r="S141" s="79">
        <v>35</v>
      </c>
      <c r="T141" s="92">
        <v>45070</v>
      </c>
      <c r="U141" t="s" s="72">
        <v>255</v>
      </c>
      <c r="V141" t="s" s="72">
        <v>1058</v>
      </c>
      <c r="W141" t="s" s="72">
        <v>1059</v>
      </c>
      <c r="X141" s="79">
        <v>90</v>
      </c>
      <c r="Y141" t="s" s="72">
        <v>10</v>
      </c>
      <c r="Z141" s="69" cm="1">
        <f t="array" ref="Z141">M141</f>
        <v>179289000</v>
      </c>
      <c r="AA141" t="s" s="72">
        <v>11</v>
      </c>
      <c r="AB141" s="71" cm="1">
        <f t="array" ref="AB141">AH141</f>
        <v>45768</v>
      </c>
      <c r="AC141" s="79">
        <v>180</v>
      </c>
      <c r="AD141" t="s" s="72">
        <v>106</v>
      </c>
      <c r="AE141" t="s" s="72">
        <v>107</v>
      </c>
      <c r="AF141" t="s" s="72">
        <v>108</v>
      </c>
      <c r="AG141" s="71">
        <v>45765</v>
      </c>
      <c r="AH141" s="71">
        <v>45768</v>
      </c>
      <c r="AI141" s="71">
        <v>45768</v>
      </c>
      <c r="AJ141" s="71">
        <v>45768</v>
      </c>
      <c r="AK141" s="71">
        <v>45768</v>
      </c>
      <c r="AL141" s="71">
        <v>45768</v>
      </c>
      <c r="AM141" s="71">
        <v>45768</v>
      </c>
      <c r="AN141" t="s" s="72">
        <v>1074</v>
      </c>
      <c r="AO141" s="71" cm="1">
        <f t="array" ref="AO141">AJ141</f>
        <v>45768</v>
      </c>
      <c r="AP141" t="s" s="72">
        <v>1075</v>
      </c>
      <c r="AQ141" s="71" cm="1">
        <f t="array" ref="AQ141">AJ141</f>
        <v>45768</v>
      </c>
      <c r="AR141" t="s" s="72">
        <v>1076</v>
      </c>
      <c r="AS141" s="71" cm="1">
        <f t="array" ref="AS141">AJ141</f>
        <v>45768</v>
      </c>
      <c r="AT141" t="s" s="62">
        <v>1077</v>
      </c>
      <c r="AU141" s="71" cm="1">
        <f t="array" ref="AU141">AJ141</f>
        <v>45768</v>
      </c>
      <c r="AV141" s="67"/>
      <c r="AW141" t="str" s="74" cm="1">
        <f t="array" ref="AW141">"600/"&amp;$B141&amp;"/"&amp;IF(AND($AE141="Konsultansi",M141&lt;=100000000),"SPK",IF(AND($AE141="Konsultansi",M141&gt;100000000),"Kont",IF(AND($AE141&lt;&gt;"Konsultansi",M141&lt;=200000000),"SPK","Kont")))&amp;"-"&amp;AE141&amp;"/PPK/DPUPR"</f>
        <v>600/59009015/SPK-Konstruksi/PPK/DPUPR</v>
      </c>
      <c r="AX141" t="str" s="74" cm="1">
        <f t="array" ref="AX141">"600/"&amp;$B141&amp;"/SPMK/PPK/DPUPR"</f>
        <v>600/59009015/SPMK/PPK/DPUPR</v>
      </c>
      <c r="AY141" s="67"/>
      <c r="AZ141" s="67"/>
      <c r="BA141" s="67"/>
      <c r="BB141" s="67"/>
      <c r="BC141" s="67"/>
      <c r="BD141" s="67"/>
      <c r="BE141" s="67"/>
      <c r="BF141" s="67"/>
      <c r="BG141" s="80">
        <v>252</v>
      </c>
      <c r="BH141" t="s" s="72">
        <v>1054</v>
      </c>
      <c r="BI141" t="s" s="72">
        <v>21</v>
      </c>
      <c r="BJ141" t="s" s="72">
        <v>22</v>
      </c>
      <c r="BK141" t="s" s="72">
        <v>23</v>
      </c>
      <c r="BL141" t="s" s="72">
        <v>24</v>
      </c>
      <c r="BM141" s="67"/>
      <c r="BN141" s="67"/>
      <c r="BO141" s="67"/>
      <c r="BP141" s="67"/>
      <c r="BQ141" s="67"/>
      <c r="BR141" t="b" s="79">
        <v>0</v>
      </c>
      <c r="BS141" s="69" cm="1">
        <f t="array" ref="BS141">IF(M141&lt;=0.8*K141,5%*K141,M141*5%)</f>
        <v>8964450</v>
      </c>
      <c r="BT141" t="s" s="72">
        <v>25</v>
      </c>
      <c r="BU141" s="67"/>
      <c r="BV141" s="69" cm="1">
        <f t="array" ref="BV141">J141-M141</f>
        <v>711000</v>
      </c>
    </row>
    <row r="142" ht="36.25" customHeight="1">
      <c r="A142" s="47"/>
      <c r="B142" s="48">
        <v>59009089</v>
      </c>
      <c r="C142" t="s" s="89">
        <v>1080</v>
      </c>
      <c r="D142" t="s" s="50">
        <v>1</v>
      </c>
      <c r="E142" t="str" s="51" cm="1">
        <f t="array" ref="E142">$C142</f>
        <v>Pemb. Jalan Ds Benggaulu</v>
      </c>
      <c r="F142" s="52"/>
      <c r="G142" s="51"/>
      <c r="H142" s="51"/>
      <c r="I142" s="51"/>
      <c r="J142" s="54">
        <v>180000000</v>
      </c>
      <c r="K142" s="54">
        <v>180000000</v>
      </c>
      <c r="L142" s="56">
        <v>179183566.65</v>
      </c>
      <c r="M142" s="54">
        <v>179183000</v>
      </c>
      <c r="N142" t="s" s="57">
        <v>1082</v>
      </c>
      <c r="O142" t="s" s="58">
        <v>1083</v>
      </c>
      <c r="P142" t="s" s="57">
        <v>4</v>
      </c>
      <c r="Q142" t="s" s="57">
        <v>1084</v>
      </c>
      <c r="R142" t="s" s="57">
        <v>1085</v>
      </c>
      <c r="S142" s="60">
        <v>45</v>
      </c>
      <c r="T142" s="61">
        <v>45196</v>
      </c>
      <c r="U142" t="s" s="57">
        <v>255</v>
      </c>
      <c r="V142" t="s" s="57">
        <v>1086</v>
      </c>
      <c r="W142" t="s" s="57">
        <v>1087</v>
      </c>
      <c r="X142" s="60">
        <v>90</v>
      </c>
      <c r="Y142" t="s" s="57">
        <v>10</v>
      </c>
      <c r="Z142" s="54" cm="1">
        <f t="array" ref="Z142">M142</f>
        <v>179183000</v>
      </c>
      <c r="AA142" t="s" s="57">
        <v>11</v>
      </c>
      <c r="AB142" s="61" cm="1">
        <f t="array" ref="AB142">AH142</f>
        <v>45768</v>
      </c>
      <c r="AC142" s="60">
        <v>180</v>
      </c>
      <c r="AD142" t="s" s="57">
        <v>106</v>
      </c>
      <c r="AE142" t="s" s="57">
        <v>107</v>
      </c>
      <c r="AF142" t="s" s="57">
        <v>108</v>
      </c>
      <c r="AG142" s="61">
        <v>45765</v>
      </c>
      <c r="AH142" s="61">
        <v>45768</v>
      </c>
      <c r="AI142" s="61">
        <v>45768</v>
      </c>
      <c r="AJ142" s="61">
        <v>45768</v>
      </c>
      <c r="AK142" s="61">
        <v>45768</v>
      </c>
      <c r="AL142" s="61">
        <v>45768</v>
      </c>
      <c r="AM142" s="61">
        <v>45768</v>
      </c>
      <c r="AN142" t="s" s="57">
        <v>1088</v>
      </c>
      <c r="AO142" s="61" cm="1">
        <f t="array" ref="AO142">AJ142</f>
        <v>45768</v>
      </c>
      <c r="AP142" t="s" s="57">
        <v>1089</v>
      </c>
      <c r="AQ142" s="61" cm="1">
        <f t="array" ref="AQ142">AJ142</f>
        <v>45768</v>
      </c>
      <c r="AR142" t="s" s="57">
        <v>1090</v>
      </c>
      <c r="AS142" s="61" cm="1">
        <f t="array" ref="AS142">AJ142</f>
        <v>45768</v>
      </c>
      <c r="AT142" t="s" s="62">
        <v>1091</v>
      </c>
      <c r="AU142" s="61" cm="1">
        <f t="array" ref="AU142">AJ142</f>
        <v>45768</v>
      </c>
      <c r="AV142" s="51"/>
      <c r="AW142" t="str" s="63" cm="1">
        <f t="array" ref="AW142">"600/"&amp;$B142&amp;"/"&amp;IF(AND($AE142="Konsultansi",M142&lt;=100000000),"SPK",IF(AND($AE142="Konsultansi",M142&gt;100000000),"Kont",IF(AND($AE142&lt;&gt;"Konsultansi",M142&lt;=200000000),"SPK","Kont")))&amp;"-"&amp;AE142&amp;"/PPK/DPUPR"</f>
        <v>600/59009089/SPK-Konstruksi/PPK/DPUPR</v>
      </c>
      <c r="AX142" t="str" s="63" cm="1">
        <f t="array" ref="AX142">"600/"&amp;$B142&amp;"/SPMK/PPK/DPUPR"</f>
        <v>600/59009089/SPMK/PPK/DPUPR</v>
      </c>
      <c r="AY142" s="51"/>
      <c r="AZ142" s="51"/>
      <c r="BA142" s="51"/>
      <c r="BB142" s="51"/>
      <c r="BC142" s="51"/>
      <c r="BD142" s="51"/>
      <c r="BE142" s="51"/>
      <c r="BF142" s="51"/>
      <c r="BG142" s="64">
        <v>253</v>
      </c>
      <c r="BH142" t="s" s="57">
        <v>1082</v>
      </c>
      <c r="BI142" t="s" s="57">
        <v>21</v>
      </c>
      <c r="BJ142" t="s" s="57">
        <v>22</v>
      </c>
      <c r="BK142" t="s" s="57">
        <v>23</v>
      </c>
      <c r="BL142" t="s" s="57">
        <v>24</v>
      </c>
      <c r="BM142" s="51"/>
      <c r="BN142" s="51"/>
      <c r="BO142" s="51"/>
      <c r="BP142" s="51"/>
      <c r="BQ142" s="51"/>
      <c r="BR142" t="b" s="60">
        <v>0</v>
      </c>
      <c r="BS142" s="54" cm="1">
        <f t="array" ref="BS142">IF(M142&lt;=0.8*K142,5%*K142,M142*5%)</f>
        <v>8959150</v>
      </c>
      <c r="BT142" t="s" s="57">
        <v>25</v>
      </c>
      <c r="BU142" s="51"/>
      <c r="BV142" s="54" cm="1">
        <f t="array" ref="BV142">J142-M142</f>
        <v>817000</v>
      </c>
    </row>
    <row r="143" ht="36.25" customHeight="1">
      <c r="A143" s="47"/>
      <c r="B143" s="48">
        <v>59009145</v>
      </c>
      <c r="C143" t="s" s="89">
        <v>1094</v>
      </c>
      <c r="D143" t="s" s="76">
        <v>1</v>
      </c>
      <c r="E143" t="str" s="67" cm="1">
        <f t="array" ref="E143">$C143</f>
        <v>Pemb. Jalan Ds Benggaulu I</v>
      </c>
      <c r="F143" s="68"/>
      <c r="G143" s="67"/>
      <c r="H143" s="67"/>
      <c r="I143" s="67"/>
      <c r="J143" s="69">
        <v>180000000</v>
      </c>
      <c r="K143" s="69">
        <v>180000000</v>
      </c>
      <c r="L143" s="56">
        <v>179350323.97</v>
      </c>
      <c r="M143" s="69">
        <v>179350000</v>
      </c>
      <c r="N143" t="s" s="72">
        <v>1082</v>
      </c>
      <c r="O143" t="s" s="78">
        <v>1083</v>
      </c>
      <c r="P143" t="s" s="72">
        <v>4</v>
      </c>
      <c r="Q143" t="s" s="72">
        <v>1084</v>
      </c>
      <c r="R143" t="s" s="72">
        <v>1085</v>
      </c>
      <c r="S143" s="79">
        <v>45</v>
      </c>
      <c r="T143" s="71">
        <v>45196</v>
      </c>
      <c r="U143" t="s" s="72">
        <v>255</v>
      </c>
      <c r="V143" t="s" s="72">
        <v>1086</v>
      </c>
      <c r="W143" t="s" s="72">
        <v>1087</v>
      </c>
      <c r="X143" s="79">
        <v>90</v>
      </c>
      <c r="Y143" t="s" s="72">
        <v>10</v>
      </c>
      <c r="Z143" s="69" cm="1">
        <f t="array" ref="Z143">M143</f>
        <v>179350000</v>
      </c>
      <c r="AA143" t="s" s="72">
        <v>11</v>
      </c>
      <c r="AB143" s="71" cm="1">
        <f t="array" ref="AB143">AH143</f>
        <v>45775</v>
      </c>
      <c r="AC143" s="79">
        <v>180</v>
      </c>
      <c r="AD143" t="s" s="72">
        <v>106</v>
      </c>
      <c r="AE143" t="s" s="72">
        <v>107</v>
      </c>
      <c r="AF143" t="s" s="72">
        <v>108</v>
      </c>
      <c r="AG143" s="71">
        <v>45775</v>
      </c>
      <c r="AH143" s="71">
        <v>45775</v>
      </c>
      <c r="AI143" s="71">
        <v>45775</v>
      </c>
      <c r="AJ143" s="71">
        <v>45776</v>
      </c>
      <c r="AK143" s="71">
        <v>45776</v>
      </c>
      <c r="AL143" s="71">
        <v>45776</v>
      </c>
      <c r="AM143" s="71">
        <v>45776</v>
      </c>
      <c r="AN143" t="s" s="72">
        <v>1096</v>
      </c>
      <c r="AO143" s="71" cm="1">
        <f t="array" ref="AO143">AJ143</f>
        <v>45776</v>
      </c>
      <c r="AP143" t="s" s="72">
        <v>1097</v>
      </c>
      <c r="AQ143" s="71" cm="1">
        <f t="array" ref="AQ143">AJ143</f>
        <v>45776</v>
      </c>
      <c r="AR143" t="s" s="72">
        <v>1098</v>
      </c>
      <c r="AS143" s="71" cm="1">
        <f t="array" ref="AS143">AJ143</f>
        <v>45776</v>
      </c>
      <c r="AT143" t="s" s="62">
        <v>1099</v>
      </c>
      <c r="AU143" s="71" cm="1">
        <f t="array" ref="AU143">AJ143</f>
        <v>45776</v>
      </c>
      <c r="AV143" s="67"/>
      <c r="AW143" t="str" s="74" cm="1">
        <f t="array" ref="AW143">"600/"&amp;$B143&amp;"/"&amp;IF(AND($AE143="Konsultansi",M143&lt;=100000000),"SPK",IF(AND($AE143="Konsultansi",M143&gt;100000000),"Kont",IF(AND($AE143&lt;&gt;"Konsultansi",M143&lt;=200000000),"SPK","Kont")))&amp;"-"&amp;AE143&amp;"/PPK/DPUPR"</f>
        <v>600/59009145/SPK-Konstruksi/PPK/DPUPR</v>
      </c>
      <c r="AX143" t="str" s="74" cm="1">
        <f t="array" ref="AX143">"600/"&amp;$B143&amp;"/SPMK/PPK/DPUPR"</f>
        <v>600/59009145/SPMK/PPK/DPUPR</v>
      </c>
      <c r="AY143" s="67"/>
      <c r="AZ143" s="67"/>
      <c r="BA143" s="67"/>
      <c r="BB143" s="67"/>
      <c r="BC143" s="67"/>
      <c r="BD143" s="67"/>
      <c r="BE143" s="67"/>
      <c r="BF143" s="67"/>
      <c r="BG143" s="80">
        <v>253</v>
      </c>
      <c r="BH143" t="s" s="72">
        <v>1082</v>
      </c>
      <c r="BI143" t="s" s="72">
        <v>21</v>
      </c>
      <c r="BJ143" t="s" s="72">
        <v>22</v>
      </c>
      <c r="BK143" t="s" s="72">
        <v>23</v>
      </c>
      <c r="BL143" t="s" s="72">
        <v>24</v>
      </c>
      <c r="BM143" s="67"/>
      <c r="BN143" s="67"/>
      <c r="BO143" s="67"/>
      <c r="BP143" s="67"/>
      <c r="BQ143" s="67"/>
      <c r="BR143" t="b" s="79">
        <v>0</v>
      </c>
      <c r="BS143" s="69" cm="1">
        <f t="array" ref="BS143">IF(M143&lt;=0.8*K143,5%*K143,M143*5%)</f>
        <v>8967500</v>
      </c>
      <c r="BT143" t="s" s="72">
        <v>25</v>
      </c>
      <c r="BU143" s="67"/>
      <c r="BV143" s="69" cm="1">
        <f t="array" ref="BV143">J143-M143</f>
        <v>650000</v>
      </c>
    </row>
    <row r="144" ht="36.25" customHeight="1">
      <c r="A144" s="47"/>
      <c r="B144" s="48">
        <v>59009213</v>
      </c>
      <c r="C144" t="s" s="89">
        <v>1102</v>
      </c>
      <c r="D144" t="s" s="50">
        <v>1</v>
      </c>
      <c r="E144" t="str" s="51" cm="1">
        <f t="array" ref="E144">$C144</f>
        <v>Peningkatan Jalan Kampung Baru Dapurang</v>
      </c>
      <c r="F144" s="52"/>
      <c r="G144" s="51"/>
      <c r="H144" s="51"/>
      <c r="I144" s="51"/>
      <c r="J144" s="54">
        <v>180000000</v>
      </c>
      <c r="K144" s="54">
        <v>179723000</v>
      </c>
      <c r="L144" s="56">
        <v>179262341.66</v>
      </c>
      <c r="M144" s="54">
        <v>179262000</v>
      </c>
      <c r="N144" t="s" s="57">
        <v>1104</v>
      </c>
      <c r="O144" t="s" s="58">
        <v>1105</v>
      </c>
      <c r="P144" t="s" s="57">
        <v>4</v>
      </c>
      <c r="Q144" t="s" s="57">
        <v>1106</v>
      </c>
      <c r="R144" t="s" s="57">
        <v>1107</v>
      </c>
      <c r="S144" s="60">
        <v>23</v>
      </c>
      <c r="T144" s="61">
        <v>45121</v>
      </c>
      <c r="U144" t="s" s="57">
        <v>255</v>
      </c>
      <c r="V144" t="s" s="57">
        <v>1108</v>
      </c>
      <c r="W144" t="s" s="57">
        <v>1109</v>
      </c>
      <c r="X144" s="60">
        <v>90</v>
      </c>
      <c r="Y144" t="s" s="57">
        <v>10</v>
      </c>
      <c r="Z144" s="54" cm="1">
        <f t="array" ref="Z144">M144</f>
        <v>179262000</v>
      </c>
      <c r="AA144" t="s" s="57">
        <v>11</v>
      </c>
      <c r="AB144" s="61" cm="1">
        <f t="array" ref="AB144">AH144</f>
        <v>45775</v>
      </c>
      <c r="AC144" s="60">
        <v>180</v>
      </c>
      <c r="AD144" t="s" s="57">
        <v>106</v>
      </c>
      <c r="AE144" t="s" s="57">
        <v>107</v>
      </c>
      <c r="AF144" t="s" s="57">
        <v>108</v>
      </c>
      <c r="AG144" s="61">
        <v>45775</v>
      </c>
      <c r="AH144" s="61">
        <v>45775</v>
      </c>
      <c r="AI144" s="61">
        <v>45775</v>
      </c>
      <c r="AJ144" s="61">
        <v>45776</v>
      </c>
      <c r="AK144" s="61">
        <v>45776</v>
      </c>
      <c r="AL144" s="61">
        <v>45776</v>
      </c>
      <c r="AM144" s="61">
        <v>45776</v>
      </c>
      <c r="AN144" t="s" s="57">
        <v>1110</v>
      </c>
      <c r="AO144" s="61" cm="1">
        <f t="array" ref="AO144">AJ144</f>
        <v>45776</v>
      </c>
      <c r="AP144" t="s" s="57">
        <v>1111</v>
      </c>
      <c r="AQ144" s="61" cm="1">
        <f t="array" ref="AQ144">AJ144</f>
        <v>45776</v>
      </c>
      <c r="AR144" t="s" s="57">
        <v>1112</v>
      </c>
      <c r="AS144" s="61" cm="1">
        <f t="array" ref="AS144">AJ144</f>
        <v>45776</v>
      </c>
      <c r="AT144" t="s" s="62">
        <v>1113</v>
      </c>
      <c r="AU144" s="61" cm="1">
        <f t="array" ref="AU144">AJ144</f>
        <v>45776</v>
      </c>
      <c r="AV144" s="51"/>
      <c r="AW144" t="str" s="63" cm="1">
        <f t="array" ref="AW144">"600/"&amp;$B144&amp;"/"&amp;IF(AND($AE144="Konsultansi",M144&lt;=100000000),"SPK",IF(AND($AE144="Konsultansi",M144&gt;100000000),"Kont",IF(AND($AE144&lt;&gt;"Konsultansi",M144&lt;=200000000),"SPK","Kont")))&amp;"-"&amp;AE144&amp;"/PPK/DPUPR"</f>
        <v>600/59009213/SPK-Konstruksi/PPK/DPUPR</v>
      </c>
      <c r="AX144" t="str" s="63" cm="1">
        <f t="array" ref="AX144">"600/"&amp;$B144&amp;"/SPMK/PPK/DPUPR"</f>
        <v>600/59009213/SPMK/PPK/DPUPR</v>
      </c>
      <c r="AY144" s="51"/>
      <c r="AZ144" s="51"/>
      <c r="BA144" s="51"/>
      <c r="BB144" s="51"/>
      <c r="BC144" s="51"/>
      <c r="BD144" s="51"/>
      <c r="BE144" s="51"/>
      <c r="BF144" s="51"/>
      <c r="BG144" s="64">
        <v>254</v>
      </c>
      <c r="BH144" t="s" s="57">
        <v>1104</v>
      </c>
      <c r="BI144" t="s" s="57">
        <v>21</v>
      </c>
      <c r="BJ144" t="s" s="57">
        <v>22</v>
      </c>
      <c r="BK144" t="s" s="57">
        <v>23</v>
      </c>
      <c r="BL144" t="s" s="57">
        <v>24</v>
      </c>
      <c r="BM144" s="51"/>
      <c r="BN144" s="51"/>
      <c r="BO144" s="51"/>
      <c r="BP144" s="51"/>
      <c r="BQ144" s="51"/>
      <c r="BR144" t="b" s="60">
        <v>0</v>
      </c>
      <c r="BS144" s="54" cm="1">
        <f t="array" ref="BS144">IF(M144&lt;=0.8*K144,5%*K144,M144*5%)</f>
        <v>8963100</v>
      </c>
      <c r="BT144" t="s" s="57">
        <v>25</v>
      </c>
      <c r="BU144" s="51"/>
      <c r="BV144" s="54" cm="1">
        <f t="array" ref="BV144">J144-M144</f>
        <v>738000</v>
      </c>
    </row>
    <row r="145" ht="36.25" customHeight="1">
      <c r="A145" s="47"/>
      <c r="B145" s="48">
        <v>59009275</v>
      </c>
      <c r="C145" t="s" s="89">
        <v>1116</v>
      </c>
      <c r="D145" t="s" s="76">
        <v>1</v>
      </c>
      <c r="E145" t="str" s="67" cm="1">
        <f t="array" ref="E145">$C145</f>
        <v>Peningkatan Jalan Tagari</v>
      </c>
      <c r="F145" s="68"/>
      <c r="G145" s="67"/>
      <c r="H145" s="67"/>
      <c r="I145" s="67"/>
      <c r="J145" s="69">
        <v>180000000</v>
      </c>
      <c r="K145" s="69">
        <v>179374000</v>
      </c>
      <c r="L145" s="56">
        <v>179296115.71</v>
      </c>
      <c r="M145" s="69">
        <v>179296000</v>
      </c>
      <c r="N145" t="s" s="72">
        <v>1104</v>
      </c>
      <c r="O145" t="s" s="78">
        <v>1105</v>
      </c>
      <c r="P145" t="s" s="72">
        <v>4</v>
      </c>
      <c r="Q145" t="s" s="72">
        <v>1106</v>
      </c>
      <c r="R145" t="s" s="72">
        <v>1107</v>
      </c>
      <c r="S145" s="79">
        <v>23</v>
      </c>
      <c r="T145" s="71">
        <v>45121</v>
      </c>
      <c r="U145" t="s" s="72">
        <v>255</v>
      </c>
      <c r="V145" t="s" s="72">
        <v>1108</v>
      </c>
      <c r="W145" t="s" s="72">
        <v>1109</v>
      </c>
      <c r="X145" s="79">
        <v>90</v>
      </c>
      <c r="Y145" t="s" s="72">
        <v>10</v>
      </c>
      <c r="Z145" s="69" cm="1">
        <f t="array" ref="Z145">M145</f>
        <v>179296000</v>
      </c>
      <c r="AA145" t="s" s="72">
        <v>11</v>
      </c>
      <c r="AB145" s="71" cm="1">
        <f t="array" ref="AB145">AH145</f>
        <v>45775</v>
      </c>
      <c r="AC145" s="79">
        <v>180</v>
      </c>
      <c r="AD145" t="s" s="72">
        <v>106</v>
      </c>
      <c r="AE145" t="s" s="72">
        <v>107</v>
      </c>
      <c r="AF145" t="s" s="72">
        <v>108</v>
      </c>
      <c r="AG145" s="71">
        <v>45775</v>
      </c>
      <c r="AH145" s="71">
        <v>45775</v>
      </c>
      <c r="AI145" s="71">
        <v>45775</v>
      </c>
      <c r="AJ145" s="71">
        <v>45776</v>
      </c>
      <c r="AK145" s="71">
        <v>45776</v>
      </c>
      <c r="AL145" s="71">
        <v>45776</v>
      </c>
      <c r="AM145" s="71">
        <v>45776</v>
      </c>
      <c r="AN145" t="s" s="72">
        <v>1118</v>
      </c>
      <c r="AO145" s="71" cm="1">
        <f t="array" ref="AO145">AJ145</f>
        <v>45776</v>
      </c>
      <c r="AP145" t="s" s="72">
        <v>1119</v>
      </c>
      <c r="AQ145" s="71" cm="1">
        <f t="array" ref="AQ145">AJ145</f>
        <v>45776</v>
      </c>
      <c r="AR145" t="s" s="72">
        <v>1120</v>
      </c>
      <c r="AS145" s="71" cm="1">
        <f t="array" ref="AS145">AJ145</f>
        <v>45776</v>
      </c>
      <c r="AT145" t="s" s="62">
        <v>1121</v>
      </c>
      <c r="AU145" s="71" cm="1">
        <f t="array" ref="AU145">AJ145</f>
        <v>45776</v>
      </c>
      <c r="AV145" s="67"/>
      <c r="AW145" t="str" s="74" cm="1">
        <f t="array" ref="AW145">"600/"&amp;$B145&amp;"/"&amp;IF(AND($AE145="Konsultansi",M145&lt;=100000000),"SPK",IF(AND($AE145="Konsultansi",M145&gt;100000000),"Kont",IF(AND($AE145&lt;&gt;"Konsultansi",M145&lt;=200000000),"SPK","Kont")))&amp;"-"&amp;AE145&amp;"/PPK/DPUPR"</f>
        <v>600/59009275/SPK-Konstruksi/PPK/DPUPR</v>
      </c>
      <c r="AX145" t="str" s="74" cm="1">
        <f t="array" ref="AX145">"600/"&amp;$B145&amp;"/SPMK/PPK/DPUPR"</f>
        <v>600/59009275/SPMK/PPK/DPUPR</v>
      </c>
      <c r="AY145" s="67"/>
      <c r="AZ145" s="67"/>
      <c r="BA145" s="67"/>
      <c r="BB145" s="67"/>
      <c r="BC145" s="67"/>
      <c r="BD145" s="67"/>
      <c r="BE145" s="67"/>
      <c r="BF145" s="67"/>
      <c r="BG145" s="80">
        <v>254</v>
      </c>
      <c r="BH145" t="s" s="72">
        <v>1104</v>
      </c>
      <c r="BI145" t="s" s="72">
        <v>21</v>
      </c>
      <c r="BJ145" t="s" s="72">
        <v>22</v>
      </c>
      <c r="BK145" t="s" s="72">
        <v>23</v>
      </c>
      <c r="BL145" t="s" s="72">
        <v>24</v>
      </c>
      <c r="BM145" s="67"/>
      <c r="BN145" s="67"/>
      <c r="BO145" s="67"/>
      <c r="BP145" s="67"/>
      <c r="BQ145" s="67"/>
      <c r="BR145" t="b" s="79">
        <v>0</v>
      </c>
      <c r="BS145" s="69" cm="1">
        <f t="array" ref="BS145">IF(M145&lt;=0.8*K145,5%*K145,M145*5%)</f>
        <v>8964800</v>
      </c>
      <c r="BT145" t="s" s="72">
        <v>25</v>
      </c>
      <c r="BU145" s="67"/>
      <c r="BV145" s="69" cm="1">
        <f t="array" ref="BV145">J145-M145</f>
        <v>704000</v>
      </c>
    </row>
    <row r="146" ht="36.25" customHeight="1">
      <c r="A146" s="47"/>
      <c r="B146" s="48">
        <v>59009302</v>
      </c>
      <c r="C146" t="s" s="89">
        <v>1124</v>
      </c>
      <c r="D146" t="s" s="50">
        <v>1</v>
      </c>
      <c r="E146" t="str" s="51" cm="1">
        <f t="array" ref="E146">$C146</f>
        <v>Peningkatan Jalan Dapurang</v>
      </c>
      <c r="F146" s="52"/>
      <c r="G146" s="51"/>
      <c r="H146" s="51"/>
      <c r="I146" s="51"/>
      <c r="J146" s="54">
        <v>180000000</v>
      </c>
      <c r="K146" s="54">
        <v>179723000</v>
      </c>
      <c r="L146" s="56">
        <v>179429396.66</v>
      </c>
      <c r="M146" s="54">
        <v>179429000</v>
      </c>
      <c r="N146" t="s" s="57">
        <v>1033</v>
      </c>
      <c r="O146" t="s" s="58">
        <v>1034</v>
      </c>
      <c r="P146" t="s" s="57">
        <v>1035</v>
      </c>
      <c r="Q146" t="s" s="57">
        <v>1036</v>
      </c>
      <c r="R146" t="s" s="57">
        <v>1037</v>
      </c>
      <c r="S146" s="60">
        <v>45</v>
      </c>
      <c r="T146" s="61">
        <v>45310</v>
      </c>
      <c r="U146" t="s" s="57">
        <v>255</v>
      </c>
      <c r="V146" t="s" s="57">
        <v>1038</v>
      </c>
      <c r="W146" t="s" s="57">
        <v>1039</v>
      </c>
      <c r="X146" s="60">
        <v>90</v>
      </c>
      <c r="Y146" t="s" s="57">
        <v>10</v>
      </c>
      <c r="Z146" s="54" cm="1">
        <f t="array" ref="Z146">M146</f>
        <v>179429000</v>
      </c>
      <c r="AA146" t="s" s="57">
        <v>11</v>
      </c>
      <c r="AB146" s="61" cm="1">
        <f t="array" ref="AB146">AH146</f>
        <v>45775</v>
      </c>
      <c r="AC146" s="60">
        <v>180</v>
      </c>
      <c r="AD146" t="s" s="57">
        <v>106</v>
      </c>
      <c r="AE146" t="s" s="57">
        <v>107</v>
      </c>
      <c r="AF146" t="s" s="57">
        <v>108</v>
      </c>
      <c r="AG146" s="61">
        <v>45775</v>
      </c>
      <c r="AH146" s="61">
        <v>45775</v>
      </c>
      <c r="AI146" s="61">
        <v>45775</v>
      </c>
      <c r="AJ146" s="61">
        <v>45776</v>
      </c>
      <c r="AK146" s="61">
        <v>45776</v>
      </c>
      <c r="AL146" s="61">
        <v>45776</v>
      </c>
      <c r="AM146" s="61">
        <v>45776</v>
      </c>
      <c r="AN146" t="s" s="57">
        <v>1126</v>
      </c>
      <c r="AO146" s="61" cm="1">
        <f t="array" ref="AO146">AJ146</f>
        <v>45776</v>
      </c>
      <c r="AP146" t="s" s="57">
        <v>1127</v>
      </c>
      <c r="AQ146" s="61" cm="1">
        <f t="array" ref="AQ146">AJ146</f>
        <v>45776</v>
      </c>
      <c r="AR146" t="s" s="57">
        <v>1128</v>
      </c>
      <c r="AS146" s="61" cm="1">
        <f t="array" ref="AS146">AJ146</f>
        <v>45776</v>
      </c>
      <c r="AT146" t="s" s="62">
        <v>1129</v>
      </c>
      <c r="AU146" s="61" cm="1">
        <f t="array" ref="AU146">AJ146</f>
        <v>45776</v>
      </c>
      <c r="AV146" s="51"/>
      <c r="AW146" t="str" s="63" cm="1">
        <f t="array" ref="AW146">"600/"&amp;$B146&amp;"/"&amp;IF(AND($AE146="Konsultansi",M146&lt;=100000000),"SPK",IF(AND($AE146="Konsultansi",M146&gt;100000000),"Kont",IF(AND($AE146&lt;&gt;"Konsultansi",M146&lt;=200000000),"SPK","Kont")))&amp;"-"&amp;AE146&amp;"/PPK/DPUPR"</f>
        <v>600/59009302/SPK-Konstruksi/PPK/DPUPR</v>
      </c>
      <c r="AX146" t="str" s="63" cm="1">
        <f t="array" ref="AX146">"600/"&amp;$B146&amp;"/SPMK/PPK/DPUPR"</f>
        <v>600/59009302/SPMK/PPK/DPUPR</v>
      </c>
      <c r="AY146" s="51"/>
      <c r="AZ146" s="51"/>
      <c r="BA146" s="51"/>
      <c r="BB146" s="51"/>
      <c r="BC146" s="51"/>
      <c r="BD146" s="51"/>
      <c r="BE146" s="51"/>
      <c r="BF146" s="51"/>
      <c r="BG146" s="64">
        <v>251</v>
      </c>
      <c r="BH146" t="s" s="57">
        <v>1033</v>
      </c>
      <c r="BI146" t="s" s="57">
        <v>21</v>
      </c>
      <c r="BJ146" t="s" s="57">
        <v>22</v>
      </c>
      <c r="BK146" t="s" s="57">
        <v>23</v>
      </c>
      <c r="BL146" t="s" s="57">
        <v>24</v>
      </c>
      <c r="BM146" s="51"/>
      <c r="BN146" s="51"/>
      <c r="BO146" s="51"/>
      <c r="BP146" s="51"/>
      <c r="BQ146" s="51"/>
      <c r="BR146" t="b" s="60">
        <v>0</v>
      </c>
      <c r="BS146" s="54" cm="1">
        <f t="array" ref="BS146">IF(M146&lt;=0.8*K146,5%*K146,M146*5%)</f>
        <v>8971450</v>
      </c>
      <c r="BT146" t="s" s="57">
        <v>25</v>
      </c>
      <c r="BU146" s="51"/>
      <c r="BV146" s="54" cm="1">
        <f t="array" ref="BV146">J146-M146</f>
        <v>571000</v>
      </c>
    </row>
    <row r="147" ht="48.25" customHeight="1">
      <c r="A147" s="47"/>
      <c r="B147" s="48">
        <v>59009342</v>
      </c>
      <c r="C147" t="s" s="89">
        <v>1132</v>
      </c>
      <c r="D147" t="s" s="76">
        <v>1</v>
      </c>
      <c r="E147" t="str" s="67" cm="1">
        <f t="array" ref="E147">$C147</f>
        <v>Peningkatan Jalan Bulumario - Patika</v>
      </c>
      <c r="F147" s="68"/>
      <c r="G147" s="67"/>
      <c r="H147" s="67"/>
      <c r="I147" s="67"/>
      <c r="J147" s="69">
        <v>180000000</v>
      </c>
      <c r="K147" s="69">
        <v>179944000</v>
      </c>
      <c r="L147" s="56">
        <v>179594308.06</v>
      </c>
      <c r="M147" s="69">
        <v>179594000</v>
      </c>
      <c r="N147" t="s" s="72">
        <v>355</v>
      </c>
      <c r="O147" t="s" s="78">
        <v>356</v>
      </c>
      <c r="P147" t="s" s="72">
        <v>4</v>
      </c>
      <c r="Q147" t="s" s="72">
        <v>357</v>
      </c>
      <c r="R147" t="s" s="72">
        <v>358</v>
      </c>
      <c r="S147" s="79">
        <v>171</v>
      </c>
      <c r="T147" s="71">
        <v>45320</v>
      </c>
      <c r="U147" t="s" s="72">
        <v>359</v>
      </c>
      <c r="V147" t="s" s="72">
        <v>360</v>
      </c>
      <c r="W147" t="s" s="72">
        <v>361</v>
      </c>
      <c r="X147" s="79">
        <v>90</v>
      </c>
      <c r="Y147" t="s" s="72">
        <v>10</v>
      </c>
      <c r="Z147" s="69" cm="1">
        <f t="array" ref="Z147">M147</f>
        <v>179594000</v>
      </c>
      <c r="AA147" t="s" s="72">
        <v>11</v>
      </c>
      <c r="AB147" s="71" cm="1">
        <f t="array" ref="AB147">AH147</f>
        <v>45775</v>
      </c>
      <c r="AC147" s="79">
        <v>180</v>
      </c>
      <c r="AD147" t="s" s="72">
        <v>106</v>
      </c>
      <c r="AE147" t="s" s="72">
        <v>107</v>
      </c>
      <c r="AF147" t="s" s="72">
        <v>108</v>
      </c>
      <c r="AG147" s="71">
        <v>45775</v>
      </c>
      <c r="AH147" s="71">
        <v>45775</v>
      </c>
      <c r="AI147" s="71">
        <v>45775</v>
      </c>
      <c r="AJ147" s="71">
        <v>45776</v>
      </c>
      <c r="AK147" s="71">
        <v>45776</v>
      </c>
      <c r="AL147" s="71">
        <v>45776</v>
      </c>
      <c r="AM147" s="71">
        <v>45776</v>
      </c>
      <c r="AN147" t="s" s="72">
        <v>1134</v>
      </c>
      <c r="AO147" s="71" cm="1">
        <f t="array" ref="AO147">AJ147</f>
        <v>45776</v>
      </c>
      <c r="AP147" t="s" s="72">
        <v>1135</v>
      </c>
      <c r="AQ147" s="71" cm="1">
        <f t="array" ref="AQ147">AJ147</f>
        <v>45776</v>
      </c>
      <c r="AR147" t="s" s="72">
        <v>1136</v>
      </c>
      <c r="AS147" s="71" cm="1">
        <f t="array" ref="AS147">AJ147</f>
        <v>45776</v>
      </c>
      <c r="AT147" t="s" s="62">
        <v>1137</v>
      </c>
      <c r="AU147" s="71" cm="1">
        <f t="array" ref="AU147">AJ147</f>
        <v>45776</v>
      </c>
      <c r="AV147" s="67"/>
      <c r="AW147" t="str" s="74" cm="1">
        <f t="array" ref="AW147">"600/"&amp;$B147&amp;"/"&amp;IF(AND($AE147="Konsultansi",M147&lt;=100000000),"SPK",IF(AND($AE147="Konsultansi",M147&gt;100000000),"Kont",IF(AND($AE147&lt;&gt;"Konsultansi",M147&lt;=200000000),"SPK","Kont")))&amp;"-"&amp;AE147&amp;"/PPK/DPUPR"</f>
        <v>600/59009342/SPK-Konstruksi/PPK/DPUPR</v>
      </c>
      <c r="AX147" t="str" s="74" cm="1">
        <f t="array" ref="AX147">"600/"&amp;$B147&amp;"/SPMK/PPK/DPUPR"</f>
        <v>600/59009342/SPMK/PPK/DPUPR</v>
      </c>
      <c r="AY147" s="67"/>
      <c r="AZ147" s="67"/>
      <c r="BA147" s="67"/>
      <c r="BB147" s="67"/>
      <c r="BC147" s="67"/>
      <c r="BD147" s="67"/>
      <c r="BE147" s="67"/>
      <c r="BF147" s="67"/>
      <c r="BG147" s="80">
        <v>231</v>
      </c>
      <c r="BH147" t="s" s="72">
        <v>355</v>
      </c>
      <c r="BI147" t="s" s="72">
        <v>21</v>
      </c>
      <c r="BJ147" t="s" s="72">
        <v>22</v>
      </c>
      <c r="BK147" t="s" s="72">
        <v>23</v>
      </c>
      <c r="BL147" t="s" s="72">
        <v>24</v>
      </c>
      <c r="BM147" s="67"/>
      <c r="BN147" s="67"/>
      <c r="BO147" s="67"/>
      <c r="BP147" s="67"/>
      <c r="BQ147" s="67"/>
      <c r="BR147" t="b" s="79">
        <v>0</v>
      </c>
      <c r="BS147" s="69" cm="1">
        <f t="array" ref="BS147">IF(M147&lt;=0.8*K147,5%*K147,M147*5%)</f>
        <v>8979700</v>
      </c>
      <c r="BT147" t="s" s="72">
        <v>25</v>
      </c>
      <c r="BU147" s="67"/>
      <c r="BV147" s="69" cm="1">
        <f t="array" ref="BV147">J147-M147</f>
        <v>406000</v>
      </c>
    </row>
    <row r="148" ht="48.25" customHeight="1">
      <c r="A148" s="47"/>
      <c r="B148" s="48">
        <v>59009437</v>
      </c>
      <c r="C148" t="s" s="89">
        <v>1140</v>
      </c>
      <c r="D148" t="s" s="50">
        <v>1</v>
      </c>
      <c r="E148" t="str" s="51" cm="1">
        <f t="array" ref="E148">$C148</f>
        <v>Peningkatan Jalan Gunungsari TPA</v>
      </c>
      <c r="F148" s="52"/>
      <c r="G148" s="51"/>
      <c r="H148" s="51"/>
      <c r="I148" s="51"/>
      <c r="J148" s="54">
        <v>180000000</v>
      </c>
      <c r="K148" s="54">
        <v>179842000</v>
      </c>
      <c r="L148" s="56">
        <v>179570038.57</v>
      </c>
      <c r="M148" s="54">
        <v>179570000</v>
      </c>
      <c r="N148" t="s" s="57">
        <v>355</v>
      </c>
      <c r="O148" t="s" s="58">
        <v>356</v>
      </c>
      <c r="P148" t="s" s="57">
        <v>4</v>
      </c>
      <c r="Q148" t="s" s="57">
        <v>357</v>
      </c>
      <c r="R148" t="s" s="57">
        <v>358</v>
      </c>
      <c r="S148" s="60">
        <v>171</v>
      </c>
      <c r="T148" s="61">
        <v>45320</v>
      </c>
      <c r="U148" t="s" s="57">
        <v>359</v>
      </c>
      <c r="V148" t="s" s="57">
        <v>360</v>
      </c>
      <c r="W148" t="s" s="57">
        <v>361</v>
      </c>
      <c r="X148" s="60">
        <v>90</v>
      </c>
      <c r="Y148" t="s" s="57">
        <v>10</v>
      </c>
      <c r="Z148" s="54" cm="1">
        <f t="array" ref="Z148">M148</f>
        <v>179570000</v>
      </c>
      <c r="AA148" t="s" s="57">
        <v>11</v>
      </c>
      <c r="AB148" s="61" cm="1">
        <f t="array" ref="AB148">AH148</f>
        <v>45775</v>
      </c>
      <c r="AC148" s="60">
        <v>180</v>
      </c>
      <c r="AD148" t="s" s="57">
        <v>106</v>
      </c>
      <c r="AE148" t="s" s="57">
        <v>107</v>
      </c>
      <c r="AF148" t="s" s="57">
        <v>108</v>
      </c>
      <c r="AG148" s="61">
        <v>45775</v>
      </c>
      <c r="AH148" s="61">
        <v>45775</v>
      </c>
      <c r="AI148" s="61">
        <v>45775</v>
      </c>
      <c r="AJ148" s="61">
        <v>45776</v>
      </c>
      <c r="AK148" s="61">
        <v>45776</v>
      </c>
      <c r="AL148" s="61">
        <v>45776</v>
      </c>
      <c r="AM148" s="61">
        <v>45776</v>
      </c>
      <c r="AN148" t="s" s="57">
        <v>1142</v>
      </c>
      <c r="AO148" s="61" cm="1">
        <f t="array" ref="AO148">AJ148</f>
        <v>45776</v>
      </c>
      <c r="AP148" t="s" s="57">
        <v>1143</v>
      </c>
      <c r="AQ148" s="61" cm="1">
        <f t="array" ref="AQ148">AJ148</f>
        <v>45776</v>
      </c>
      <c r="AR148" t="s" s="57">
        <v>1144</v>
      </c>
      <c r="AS148" s="61" cm="1">
        <f t="array" ref="AS148">AJ148</f>
        <v>45776</v>
      </c>
      <c r="AT148" t="s" s="62">
        <v>1145</v>
      </c>
      <c r="AU148" s="61" cm="1">
        <f t="array" ref="AU148">AJ148</f>
        <v>45776</v>
      </c>
      <c r="AV148" s="51"/>
      <c r="AW148" t="str" s="63" cm="1">
        <f t="array" ref="AW148">"600/"&amp;$B148&amp;"/"&amp;IF(AND($AE148="Konsultansi",M148&lt;=100000000),"SPK",IF(AND($AE148="Konsultansi",M148&gt;100000000),"Kont",IF(AND($AE148&lt;&gt;"Konsultansi",M148&lt;=200000000),"SPK","Kont")))&amp;"-"&amp;AE148&amp;"/PPK/DPUPR"</f>
        <v>600/59009437/SPK-Konstruksi/PPK/DPUPR</v>
      </c>
      <c r="AX148" t="str" s="63" cm="1">
        <f t="array" ref="AX148">"600/"&amp;$B148&amp;"/SPMK/PPK/DPUPR"</f>
        <v>600/59009437/SPMK/PPK/DPUPR</v>
      </c>
      <c r="AY148" s="51"/>
      <c r="AZ148" s="51"/>
      <c r="BA148" s="51"/>
      <c r="BB148" s="51"/>
      <c r="BC148" s="51"/>
      <c r="BD148" s="51"/>
      <c r="BE148" s="51"/>
      <c r="BF148" s="51"/>
      <c r="BG148" s="64">
        <v>231</v>
      </c>
      <c r="BH148" t="s" s="57">
        <v>355</v>
      </c>
      <c r="BI148" t="s" s="57">
        <v>21</v>
      </c>
      <c r="BJ148" t="s" s="57">
        <v>22</v>
      </c>
      <c r="BK148" t="s" s="57">
        <v>23</v>
      </c>
      <c r="BL148" t="s" s="57">
        <v>24</v>
      </c>
      <c r="BM148" s="51"/>
      <c r="BN148" s="51"/>
      <c r="BO148" s="51"/>
      <c r="BP148" s="51"/>
      <c r="BQ148" s="51"/>
      <c r="BR148" t="b" s="60">
        <v>0</v>
      </c>
      <c r="BS148" s="54" cm="1">
        <f t="array" ref="BS148">IF(M148&lt;=0.8*K148,5%*K148,M148*5%)</f>
        <v>8978500</v>
      </c>
      <c r="BT148" t="s" s="57">
        <v>25</v>
      </c>
      <c r="BU148" s="51"/>
      <c r="BV148" s="54" cm="1">
        <f t="array" ref="BV148">J148-M148</f>
        <v>430000</v>
      </c>
    </row>
    <row r="149" ht="36.25" customHeight="1">
      <c r="A149" s="47"/>
      <c r="B149" s="48">
        <v>59009607</v>
      </c>
      <c r="C149" t="s" s="89">
        <v>1148</v>
      </c>
      <c r="D149" t="s" s="76">
        <v>1</v>
      </c>
      <c r="E149" t="str" s="67" cm="1">
        <f t="array" ref="E149">$C149</f>
        <v>Peningkatan Jalan Bambaira II</v>
      </c>
      <c r="F149" s="68"/>
      <c r="G149" s="67"/>
      <c r="H149" s="67"/>
      <c r="I149" s="67"/>
      <c r="J149" s="69">
        <v>180000000</v>
      </c>
      <c r="K149" s="69">
        <v>179943000</v>
      </c>
      <c r="L149" s="56">
        <v>179561845.35</v>
      </c>
      <c r="M149" s="69">
        <v>179561000</v>
      </c>
      <c r="N149" t="s" s="72">
        <v>1033</v>
      </c>
      <c r="O149" t="s" s="78">
        <v>1034</v>
      </c>
      <c r="P149" t="s" s="72">
        <v>1035</v>
      </c>
      <c r="Q149" t="s" s="72">
        <v>1036</v>
      </c>
      <c r="R149" t="s" s="72">
        <v>1037</v>
      </c>
      <c r="S149" s="79">
        <v>45</v>
      </c>
      <c r="T149" s="71">
        <v>45310</v>
      </c>
      <c r="U149" t="s" s="72">
        <v>255</v>
      </c>
      <c r="V149" t="s" s="72">
        <v>1038</v>
      </c>
      <c r="W149" t="s" s="72">
        <v>1039</v>
      </c>
      <c r="X149" s="79">
        <v>90</v>
      </c>
      <c r="Y149" t="s" s="72">
        <v>10</v>
      </c>
      <c r="Z149" s="69" cm="1">
        <f t="array" ref="Z149">M149</f>
        <v>179561000</v>
      </c>
      <c r="AA149" t="s" s="72">
        <v>11</v>
      </c>
      <c r="AB149" s="71" cm="1">
        <f t="array" ref="AB149">AH149</f>
        <v>45775</v>
      </c>
      <c r="AC149" s="79">
        <v>180</v>
      </c>
      <c r="AD149" t="s" s="72">
        <v>106</v>
      </c>
      <c r="AE149" t="s" s="72">
        <v>107</v>
      </c>
      <c r="AF149" t="s" s="72">
        <v>108</v>
      </c>
      <c r="AG149" s="71">
        <v>45775</v>
      </c>
      <c r="AH149" s="71">
        <v>45775</v>
      </c>
      <c r="AI149" s="71">
        <v>45775</v>
      </c>
      <c r="AJ149" s="71">
        <v>45776</v>
      </c>
      <c r="AK149" s="71">
        <v>45776</v>
      </c>
      <c r="AL149" s="71">
        <v>45776</v>
      </c>
      <c r="AM149" s="71">
        <v>45776</v>
      </c>
      <c r="AN149" t="s" s="72">
        <v>1150</v>
      </c>
      <c r="AO149" s="71" cm="1">
        <f t="array" ref="AO149">AJ149</f>
        <v>45776</v>
      </c>
      <c r="AP149" t="s" s="72">
        <v>1151</v>
      </c>
      <c r="AQ149" s="71" cm="1">
        <f t="array" ref="AQ149">AJ149</f>
        <v>45776</v>
      </c>
      <c r="AR149" t="s" s="72">
        <v>1152</v>
      </c>
      <c r="AS149" s="71" cm="1">
        <f t="array" ref="AS149">AJ149</f>
        <v>45776</v>
      </c>
      <c r="AT149" t="s" s="62">
        <v>1153</v>
      </c>
      <c r="AU149" s="71" cm="1">
        <f t="array" ref="AU149">AJ149</f>
        <v>45776</v>
      </c>
      <c r="AV149" s="67"/>
      <c r="AW149" t="str" s="74" cm="1">
        <f t="array" ref="AW149">"600/"&amp;$B149&amp;"/"&amp;IF(AND($AE149="Konsultansi",M149&lt;=100000000),"SPK",IF(AND($AE149="Konsultansi",M149&gt;100000000),"Kont",IF(AND($AE149&lt;&gt;"Konsultansi",M149&lt;=200000000),"SPK","Kont")))&amp;"-"&amp;AE149&amp;"/PPK/DPUPR"</f>
        <v>600/59009607/SPK-Konstruksi/PPK/DPUPR</v>
      </c>
      <c r="AX149" t="str" s="74" cm="1">
        <f t="array" ref="AX149">"600/"&amp;$B149&amp;"/SPMK/PPK/DPUPR"</f>
        <v>600/59009607/SPMK/PPK/DPUPR</v>
      </c>
      <c r="AY149" s="67"/>
      <c r="AZ149" s="67"/>
      <c r="BA149" s="67"/>
      <c r="BB149" s="67"/>
      <c r="BC149" s="67"/>
      <c r="BD149" s="67"/>
      <c r="BE149" s="67"/>
      <c r="BF149" s="67"/>
      <c r="BG149" s="80">
        <v>251</v>
      </c>
      <c r="BH149" t="s" s="72">
        <v>1033</v>
      </c>
      <c r="BI149" t="s" s="72">
        <v>21</v>
      </c>
      <c r="BJ149" t="s" s="72">
        <v>22</v>
      </c>
      <c r="BK149" t="s" s="72">
        <v>23</v>
      </c>
      <c r="BL149" t="s" s="72">
        <v>24</v>
      </c>
      <c r="BM149" s="67"/>
      <c r="BN149" s="67"/>
      <c r="BO149" s="67"/>
      <c r="BP149" s="67"/>
      <c r="BQ149" s="67"/>
      <c r="BR149" t="b" s="79">
        <v>0</v>
      </c>
      <c r="BS149" s="69" cm="1">
        <f t="array" ref="BS149">IF(M149&lt;=0.8*K149,5%*K149,M149*5%)</f>
        <v>8978050</v>
      </c>
      <c r="BT149" t="s" s="72">
        <v>25</v>
      </c>
      <c r="BU149" s="67"/>
      <c r="BV149" s="69" cm="1">
        <f t="array" ref="BV149">J149-M149</f>
        <v>439000</v>
      </c>
    </row>
    <row r="150" ht="36.25" customHeight="1">
      <c r="A150" s="47"/>
      <c r="B150" s="48">
        <v>59009860</v>
      </c>
      <c r="C150" t="s" s="89">
        <v>1156</v>
      </c>
      <c r="D150" t="s" s="50">
        <v>1</v>
      </c>
      <c r="E150" t="str" s="51" cm="1">
        <f t="array" ref="E150">$C150</f>
        <v>Peningkatan Jalan Bambaira III</v>
      </c>
      <c r="F150" s="52"/>
      <c r="G150" s="51"/>
      <c r="H150" s="51"/>
      <c r="I150" s="51"/>
      <c r="J150" s="54">
        <v>180000000</v>
      </c>
      <c r="K150" s="54">
        <v>179943000</v>
      </c>
      <c r="L150" s="56">
        <v>179617345.35</v>
      </c>
      <c r="M150" s="54">
        <v>179617000</v>
      </c>
      <c r="N150" t="s" s="57">
        <v>1033</v>
      </c>
      <c r="O150" t="s" s="58">
        <v>1034</v>
      </c>
      <c r="P150" t="s" s="57">
        <v>1035</v>
      </c>
      <c r="Q150" t="s" s="57">
        <v>1036</v>
      </c>
      <c r="R150" t="s" s="57">
        <v>1037</v>
      </c>
      <c r="S150" s="60">
        <v>45</v>
      </c>
      <c r="T150" s="61">
        <v>45310</v>
      </c>
      <c r="U150" t="s" s="57">
        <v>255</v>
      </c>
      <c r="V150" t="s" s="57">
        <v>1038</v>
      </c>
      <c r="W150" t="s" s="57">
        <v>1039</v>
      </c>
      <c r="X150" s="60">
        <v>90</v>
      </c>
      <c r="Y150" t="s" s="57">
        <v>10</v>
      </c>
      <c r="Z150" s="54" cm="1">
        <f t="array" ref="Z150">M150</f>
        <v>179617000</v>
      </c>
      <c r="AA150" t="s" s="57">
        <v>11</v>
      </c>
      <c r="AB150" s="61" cm="1">
        <f t="array" ref="AB150">AH150</f>
        <v>45775</v>
      </c>
      <c r="AC150" s="60">
        <v>180</v>
      </c>
      <c r="AD150" t="s" s="57">
        <v>106</v>
      </c>
      <c r="AE150" t="s" s="57">
        <v>107</v>
      </c>
      <c r="AF150" t="s" s="57">
        <v>108</v>
      </c>
      <c r="AG150" s="61">
        <v>45775</v>
      </c>
      <c r="AH150" s="61">
        <v>45775</v>
      </c>
      <c r="AI150" s="61">
        <v>45775</v>
      </c>
      <c r="AJ150" s="61">
        <v>45776</v>
      </c>
      <c r="AK150" s="61">
        <v>45776</v>
      </c>
      <c r="AL150" s="61">
        <v>45776</v>
      </c>
      <c r="AM150" s="61">
        <v>45776</v>
      </c>
      <c r="AN150" t="s" s="57">
        <v>1158</v>
      </c>
      <c r="AO150" s="61" cm="1">
        <f t="array" ref="AO150">AJ150</f>
        <v>45776</v>
      </c>
      <c r="AP150" t="s" s="57">
        <v>1159</v>
      </c>
      <c r="AQ150" s="61" cm="1">
        <f t="array" ref="AQ150">AJ150</f>
        <v>45776</v>
      </c>
      <c r="AR150" t="s" s="57">
        <v>1160</v>
      </c>
      <c r="AS150" s="61" cm="1">
        <f t="array" ref="AS150">AJ150</f>
        <v>45776</v>
      </c>
      <c r="AT150" t="s" s="62">
        <v>1161</v>
      </c>
      <c r="AU150" s="61" cm="1">
        <f t="array" ref="AU150">AJ150</f>
        <v>45776</v>
      </c>
      <c r="AV150" s="51"/>
      <c r="AW150" t="str" s="63" cm="1">
        <f t="array" ref="AW150">"600/"&amp;$B150&amp;"/"&amp;IF(AND($AE150="Konsultansi",M150&lt;=100000000),"SPK",IF(AND($AE150="Konsultansi",M150&gt;100000000),"Kont",IF(AND($AE150&lt;&gt;"Konsultansi",M150&lt;=200000000),"SPK","Kont")))&amp;"-"&amp;AE150&amp;"/PPK/DPUPR"</f>
        <v>600/59009860/SPK-Konstruksi/PPK/DPUPR</v>
      </c>
      <c r="AX150" t="str" s="63" cm="1">
        <f t="array" ref="AX150">"600/"&amp;$B150&amp;"/SPMK/PPK/DPUPR"</f>
        <v>600/59009860/SPMK/PPK/DPUPR</v>
      </c>
      <c r="AY150" s="51"/>
      <c r="AZ150" s="51"/>
      <c r="BA150" s="51"/>
      <c r="BB150" s="51"/>
      <c r="BC150" s="51"/>
      <c r="BD150" s="51"/>
      <c r="BE150" s="51"/>
      <c r="BF150" s="51"/>
      <c r="BG150" s="64">
        <v>251</v>
      </c>
      <c r="BH150" t="s" s="57">
        <v>1033</v>
      </c>
      <c r="BI150" t="s" s="57">
        <v>21</v>
      </c>
      <c r="BJ150" t="s" s="57">
        <v>22</v>
      </c>
      <c r="BK150" t="s" s="57">
        <v>23</v>
      </c>
      <c r="BL150" t="s" s="57">
        <v>24</v>
      </c>
      <c r="BM150" s="51"/>
      <c r="BN150" s="51"/>
      <c r="BO150" s="51"/>
      <c r="BP150" s="51"/>
      <c r="BQ150" s="51"/>
      <c r="BR150" t="b" s="60">
        <v>0</v>
      </c>
      <c r="BS150" s="54" cm="1">
        <f t="array" ref="BS150">IF(M150&lt;=0.8*K150,5%*K150,M150*5%)</f>
        <v>8980850</v>
      </c>
      <c r="BT150" t="s" s="57">
        <v>25</v>
      </c>
      <c r="BU150" s="51"/>
      <c r="BV150" s="54" cm="1">
        <f t="array" ref="BV150">J150-M150</f>
        <v>383000</v>
      </c>
    </row>
    <row r="151" ht="36.25" customHeight="1">
      <c r="A151" s="47"/>
      <c r="B151" s="48">
        <v>59009559</v>
      </c>
      <c r="C151" t="s" s="89">
        <v>1164</v>
      </c>
      <c r="D151" t="s" s="76">
        <v>1</v>
      </c>
      <c r="E151" t="str" s="67" cm="1">
        <f t="array" ref="E151">$C151</f>
        <v>Peningkatan Jalan Poros Salonggabo (Jemb. Merah)</v>
      </c>
      <c r="F151" s="68"/>
      <c r="G151" s="67"/>
      <c r="H151" s="67"/>
      <c r="I151" s="67"/>
      <c r="J151" s="69">
        <v>122500000</v>
      </c>
      <c r="K151" s="69">
        <v>122445000</v>
      </c>
      <c r="L151" s="56">
        <v>122022115.24</v>
      </c>
      <c r="M151" s="69">
        <v>122022000</v>
      </c>
      <c r="N151" t="s" s="72">
        <v>1054</v>
      </c>
      <c r="O151" t="s" s="78">
        <v>1055</v>
      </c>
      <c r="P151" t="s" s="72">
        <v>1035</v>
      </c>
      <c r="Q151" t="s" s="72">
        <v>1056</v>
      </c>
      <c r="R151" t="s" s="72">
        <v>1057</v>
      </c>
      <c r="S151" s="79">
        <v>35</v>
      </c>
      <c r="T151" s="92">
        <v>45070</v>
      </c>
      <c r="U151" t="s" s="72">
        <v>255</v>
      </c>
      <c r="V151" t="s" s="72">
        <v>1058</v>
      </c>
      <c r="W151" t="s" s="72">
        <v>1059</v>
      </c>
      <c r="X151" s="79">
        <v>90</v>
      </c>
      <c r="Y151" t="s" s="72">
        <v>10</v>
      </c>
      <c r="Z151" s="69" cm="1">
        <f t="array" ref="Z151">M151</f>
        <v>122022000</v>
      </c>
      <c r="AA151" t="s" s="72">
        <v>11</v>
      </c>
      <c r="AB151" s="71" cm="1">
        <f t="array" ref="AB151">AH151</f>
        <v>45775</v>
      </c>
      <c r="AC151" s="79">
        <v>180</v>
      </c>
      <c r="AD151" t="s" s="72">
        <v>106</v>
      </c>
      <c r="AE151" t="s" s="72">
        <v>107</v>
      </c>
      <c r="AF151" t="s" s="72">
        <v>108</v>
      </c>
      <c r="AG151" s="71">
        <v>45775</v>
      </c>
      <c r="AH151" s="71">
        <v>45775</v>
      </c>
      <c r="AI151" s="71">
        <v>45775</v>
      </c>
      <c r="AJ151" s="71">
        <v>45776</v>
      </c>
      <c r="AK151" s="71">
        <v>45776</v>
      </c>
      <c r="AL151" s="71">
        <v>45776</v>
      </c>
      <c r="AM151" s="71">
        <v>45776</v>
      </c>
      <c r="AN151" t="s" s="72">
        <v>1166</v>
      </c>
      <c r="AO151" s="71" cm="1">
        <f t="array" ref="AO151">AJ151</f>
        <v>45776</v>
      </c>
      <c r="AP151" t="s" s="72">
        <v>1167</v>
      </c>
      <c r="AQ151" s="71" cm="1">
        <f t="array" ref="AQ151">AJ151</f>
        <v>45776</v>
      </c>
      <c r="AR151" t="s" s="72">
        <v>1168</v>
      </c>
      <c r="AS151" s="71" cm="1">
        <f t="array" ref="AS151">AJ151</f>
        <v>45776</v>
      </c>
      <c r="AT151" t="s" s="62">
        <v>1169</v>
      </c>
      <c r="AU151" s="71" cm="1">
        <f t="array" ref="AU151">AJ151</f>
        <v>45776</v>
      </c>
      <c r="AV151" s="67"/>
      <c r="AW151" t="str" s="74" cm="1">
        <f t="array" ref="AW151">"600/"&amp;$B151&amp;"/"&amp;IF(AND($AE151="Konsultansi",M151&lt;=100000000),"SPK",IF(AND($AE151="Konsultansi",M151&gt;100000000),"Kont",IF(AND($AE151&lt;&gt;"Konsultansi",M151&lt;=200000000),"SPK","Kont")))&amp;"-"&amp;AE151&amp;"/PPK/DPUPR"</f>
        <v>600/59009559/SPK-Konstruksi/PPK/DPUPR</v>
      </c>
      <c r="AX151" t="str" s="74" cm="1">
        <f t="array" ref="AX151">"600/"&amp;$B151&amp;"/SPMK/PPK/DPUPR"</f>
        <v>600/59009559/SPMK/PPK/DPUPR</v>
      </c>
      <c r="AY151" s="67"/>
      <c r="AZ151" s="67"/>
      <c r="BA151" s="67"/>
      <c r="BB151" s="67"/>
      <c r="BC151" s="67"/>
      <c r="BD151" s="67"/>
      <c r="BE151" s="67"/>
      <c r="BF151" s="67"/>
      <c r="BG151" s="80">
        <v>252</v>
      </c>
      <c r="BH151" t="s" s="72">
        <v>1054</v>
      </c>
      <c r="BI151" t="s" s="72">
        <v>21</v>
      </c>
      <c r="BJ151" t="s" s="72">
        <v>22</v>
      </c>
      <c r="BK151" t="s" s="72">
        <v>23</v>
      </c>
      <c r="BL151" t="s" s="72">
        <v>24</v>
      </c>
      <c r="BM151" s="67"/>
      <c r="BN151" s="67"/>
      <c r="BO151" s="67"/>
      <c r="BP151" s="67"/>
      <c r="BQ151" s="67"/>
      <c r="BR151" t="b" s="79">
        <v>0</v>
      </c>
      <c r="BS151" s="69" cm="1">
        <f t="array" ref="BS151">IF(M151&lt;=0.8*K151,5%*K151,M151*5%)</f>
        <v>6101100</v>
      </c>
      <c r="BT151" t="s" s="72">
        <v>25</v>
      </c>
      <c r="BU151" s="67"/>
      <c r="BV151" s="69" cm="1">
        <f t="array" ref="BV151">J151-M151</f>
        <v>478000</v>
      </c>
    </row>
    <row r="152" ht="36.25" customHeight="1">
      <c r="A152" s="47"/>
      <c r="B152" s="48">
        <v>59011162</v>
      </c>
      <c r="C152" t="s" s="89">
        <v>1172</v>
      </c>
      <c r="D152" t="s" s="50">
        <v>1</v>
      </c>
      <c r="E152" t="str" s="51" cm="1">
        <f t="array" ref="E152">$C152</f>
        <v>Peningkatan Jalan Ds Baras II</v>
      </c>
      <c r="F152" s="52"/>
      <c r="G152" s="51"/>
      <c r="H152" s="51"/>
      <c r="I152" s="51"/>
      <c r="J152" s="54">
        <v>170100000</v>
      </c>
      <c r="K152" s="54">
        <v>169970000</v>
      </c>
      <c r="L152" s="56">
        <v>169669997.02</v>
      </c>
      <c r="M152" s="54">
        <v>169669000</v>
      </c>
      <c r="N152" t="s" s="57">
        <v>608</v>
      </c>
      <c r="O152" t="s" s="58">
        <v>609</v>
      </c>
      <c r="P152" t="s" s="57">
        <v>4</v>
      </c>
      <c r="Q152" t="s" s="57">
        <v>610</v>
      </c>
      <c r="R152" t="s" s="57">
        <v>611</v>
      </c>
      <c r="S152" s="60">
        <v>189</v>
      </c>
      <c r="T152" s="61">
        <v>45322</v>
      </c>
      <c r="U152" t="s" s="57">
        <v>612</v>
      </c>
      <c r="V152" t="s" s="57">
        <v>613</v>
      </c>
      <c r="W152" t="s" s="57">
        <v>614</v>
      </c>
      <c r="X152" s="60">
        <v>90</v>
      </c>
      <c r="Y152" t="s" s="57">
        <v>10</v>
      </c>
      <c r="Z152" s="54" cm="1">
        <f t="array" ref="Z152">M152</f>
        <v>169669000</v>
      </c>
      <c r="AA152" t="s" s="57">
        <v>11</v>
      </c>
      <c r="AB152" s="61" cm="1">
        <f t="array" ref="AB152">AH152</f>
        <v>45797</v>
      </c>
      <c r="AC152" s="60">
        <v>180</v>
      </c>
      <c r="AD152" t="s" s="57">
        <v>106</v>
      </c>
      <c r="AE152" t="s" s="57">
        <v>107</v>
      </c>
      <c r="AF152" t="s" s="57">
        <v>108</v>
      </c>
      <c r="AG152" s="61">
        <v>45796</v>
      </c>
      <c r="AH152" s="61">
        <v>45797</v>
      </c>
      <c r="AI152" s="61">
        <v>45797</v>
      </c>
      <c r="AJ152" s="61">
        <v>45797</v>
      </c>
      <c r="AK152" s="61">
        <v>45797</v>
      </c>
      <c r="AL152" s="61">
        <v>45797</v>
      </c>
      <c r="AM152" s="61">
        <v>45797</v>
      </c>
      <c r="AN152" t="s" s="57">
        <v>1174</v>
      </c>
      <c r="AO152" s="61" cm="1">
        <f t="array" ref="AO152">AJ152</f>
        <v>45797</v>
      </c>
      <c r="AP152" t="s" s="57">
        <v>1175</v>
      </c>
      <c r="AQ152" s="61" cm="1">
        <f t="array" ref="AQ152">AJ152</f>
        <v>45797</v>
      </c>
      <c r="AR152" t="s" s="57">
        <v>1176</v>
      </c>
      <c r="AS152" s="61" cm="1">
        <f t="array" ref="AS152">AJ152</f>
        <v>45797</v>
      </c>
      <c r="AT152" t="s" s="62">
        <v>1177</v>
      </c>
      <c r="AU152" s="61" cm="1">
        <f t="array" ref="AU152">AJ152</f>
        <v>45797</v>
      </c>
      <c r="AV152" s="51"/>
      <c r="AW152" t="str" s="63" cm="1">
        <f t="array" ref="AW152">"600/"&amp;$B152&amp;"/"&amp;IF(AND($AE152="Konsultansi",M152&lt;=100000000),"SPK",IF(AND($AE152="Konsultansi",M152&gt;100000000),"Kont",IF(AND($AE152&lt;&gt;"Konsultansi",M152&lt;=200000000),"SPK","Kont")))&amp;"-"&amp;AE152&amp;"/PPK/DPUPR"</f>
        <v>600/59011162/SPK-Konstruksi/PPK/DPUPR</v>
      </c>
      <c r="AX152" t="str" s="63" cm="1">
        <f t="array" ref="AX152">"600/"&amp;$B152&amp;"/SPMK/PPK/DPUPR"</f>
        <v>600/59011162/SPMK/PPK/DPUPR</v>
      </c>
      <c r="AY152" s="51"/>
      <c r="AZ152" s="51"/>
      <c r="BA152" s="51"/>
      <c r="BB152" s="51"/>
      <c r="BC152" s="51"/>
      <c r="BD152" s="51"/>
      <c r="BE152" s="51"/>
      <c r="BF152" s="51"/>
      <c r="BG152" s="64">
        <v>229</v>
      </c>
      <c r="BH152" t="s" s="57">
        <v>608</v>
      </c>
      <c r="BI152" t="s" s="57">
        <v>21</v>
      </c>
      <c r="BJ152" t="s" s="57">
        <v>22</v>
      </c>
      <c r="BK152" t="s" s="57">
        <v>23</v>
      </c>
      <c r="BL152" t="s" s="57">
        <v>24</v>
      </c>
      <c r="BM152" s="51"/>
      <c r="BN152" s="51"/>
      <c r="BO152" s="51"/>
      <c r="BP152" s="51"/>
      <c r="BQ152" s="51"/>
      <c r="BR152" t="b" s="60">
        <v>0</v>
      </c>
      <c r="BS152" s="54" cm="1">
        <f t="array" ref="BS152">IF(M152&lt;=0.8*K152,5%*K152,M152*5%)</f>
        <v>8483450</v>
      </c>
      <c r="BT152" t="s" s="57">
        <v>25</v>
      </c>
      <c r="BU152" s="51"/>
      <c r="BV152" s="54" cm="1">
        <f t="array" ref="BV152">J152-M152</f>
        <v>431000</v>
      </c>
    </row>
    <row r="153" ht="36.25" customHeight="1">
      <c r="A153" s="47"/>
      <c r="B153" s="48">
        <v>59011183</v>
      </c>
      <c r="C153" t="s" s="89">
        <v>1180</v>
      </c>
      <c r="D153" t="s" s="76">
        <v>1</v>
      </c>
      <c r="E153" t="str" s="67" cm="1">
        <f t="array" ref="E153">$C153</f>
        <v>Peningkatan Jalan Ds Sarudu </v>
      </c>
      <c r="F153" s="68"/>
      <c r="G153" s="67"/>
      <c r="H153" s="67"/>
      <c r="I153" s="67"/>
      <c r="J153" s="69">
        <v>170100000</v>
      </c>
      <c r="K153" s="69">
        <v>169590000</v>
      </c>
      <c r="L153" s="56">
        <v>169378708.35</v>
      </c>
      <c r="M153" s="69">
        <v>169378000</v>
      </c>
      <c r="N153" t="s" s="72">
        <v>608</v>
      </c>
      <c r="O153" t="s" s="78">
        <v>609</v>
      </c>
      <c r="P153" t="s" s="72">
        <v>4</v>
      </c>
      <c r="Q153" t="s" s="72">
        <v>610</v>
      </c>
      <c r="R153" t="s" s="72">
        <v>611</v>
      </c>
      <c r="S153" s="79">
        <v>189</v>
      </c>
      <c r="T153" s="71">
        <v>45322</v>
      </c>
      <c r="U153" t="s" s="72">
        <v>612</v>
      </c>
      <c r="V153" t="s" s="72">
        <v>613</v>
      </c>
      <c r="W153" t="s" s="72">
        <v>614</v>
      </c>
      <c r="X153" s="79">
        <v>90</v>
      </c>
      <c r="Y153" t="s" s="72">
        <v>10</v>
      </c>
      <c r="Z153" s="69" cm="1">
        <f t="array" ref="Z153">M153</f>
        <v>169378000</v>
      </c>
      <c r="AA153" t="s" s="72">
        <v>11</v>
      </c>
      <c r="AB153" s="71" cm="1">
        <f t="array" ref="AB153">AH153</f>
        <v>45797</v>
      </c>
      <c r="AC153" s="79">
        <v>180</v>
      </c>
      <c r="AD153" t="s" s="72">
        <v>106</v>
      </c>
      <c r="AE153" t="s" s="72">
        <v>107</v>
      </c>
      <c r="AF153" t="s" s="72">
        <v>108</v>
      </c>
      <c r="AG153" s="71">
        <v>45796</v>
      </c>
      <c r="AH153" s="71">
        <v>45797</v>
      </c>
      <c r="AI153" s="71">
        <v>45797</v>
      </c>
      <c r="AJ153" s="71">
        <v>45797</v>
      </c>
      <c r="AK153" s="71">
        <v>45797</v>
      </c>
      <c r="AL153" s="71">
        <v>45797</v>
      </c>
      <c r="AM153" s="71">
        <v>45797</v>
      </c>
      <c r="AN153" t="s" s="72">
        <v>1182</v>
      </c>
      <c r="AO153" s="71" cm="1">
        <f t="array" ref="AO153">AJ153</f>
        <v>45797</v>
      </c>
      <c r="AP153" t="s" s="72">
        <v>1183</v>
      </c>
      <c r="AQ153" s="71" cm="1">
        <f t="array" ref="AQ153">AJ153</f>
        <v>45797</v>
      </c>
      <c r="AR153" t="s" s="72">
        <v>1184</v>
      </c>
      <c r="AS153" s="71" cm="1">
        <f t="array" ref="AS153">AJ153</f>
        <v>45797</v>
      </c>
      <c r="AT153" t="s" s="62">
        <v>1185</v>
      </c>
      <c r="AU153" s="71" cm="1">
        <f t="array" ref="AU153">AJ153</f>
        <v>45797</v>
      </c>
      <c r="AV153" s="67"/>
      <c r="AW153" t="str" s="74" cm="1">
        <f t="array" ref="AW153">"600/"&amp;$B153&amp;"/"&amp;IF(AND($AE153="Konsultansi",M153&lt;=100000000),"SPK",IF(AND($AE153="Konsultansi",M153&gt;100000000),"Kont",IF(AND($AE153&lt;&gt;"Konsultansi",M153&lt;=200000000),"SPK","Kont")))&amp;"-"&amp;AE153&amp;"/PPK/DPUPR"</f>
        <v>600/59011183/SPK-Konstruksi/PPK/DPUPR</v>
      </c>
      <c r="AX153" t="str" s="74" cm="1">
        <f t="array" ref="AX153">"600/"&amp;$B153&amp;"/SPMK/PPK/DPUPR"</f>
        <v>600/59011183/SPMK/PPK/DPUPR</v>
      </c>
      <c r="AY153" s="67"/>
      <c r="AZ153" s="67"/>
      <c r="BA153" s="67"/>
      <c r="BB153" s="67"/>
      <c r="BC153" s="67"/>
      <c r="BD153" s="67"/>
      <c r="BE153" s="67"/>
      <c r="BF153" s="67"/>
      <c r="BG153" s="80">
        <v>229</v>
      </c>
      <c r="BH153" t="s" s="72">
        <v>608</v>
      </c>
      <c r="BI153" t="s" s="72">
        <v>21</v>
      </c>
      <c r="BJ153" t="s" s="72">
        <v>22</v>
      </c>
      <c r="BK153" t="s" s="72">
        <v>23</v>
      </c>
      <c r="BL153" t="s" s="72">
        <v>24</v>
      </c>
      <c r="BM153" s="67"/>
      <c r="BN153" s="67"/>
      <c r="BO153" s="67"/>
      <c r="BP153" s="67"/>
      <c r="BQ153" s="67"/>
      <c r="BR153" t="b" s="79">
        <v>0</v>
      </c>
      <c r="BS153" s="69" cm="1">
        <f t="array" ref="BS153">IF(M153&lt;=0.8*K153,5%*K153,M153*5%)</f>
        <v>8468900</v>
      </c>
      <c r="BT153" t="s" s="72">
        <v>25</v>
      </c>
      <c r="BU153" s="67"/>
      <c r="BV153" s="69" cm="1">
        <f t="array" ref="BV153">J153-M153</f>
        <v>722000</v>
      </c>
    </row>
    <row r="154" ht="36.25" customHeight="1">
      <c r="A154" s="47"/>
      <c r="B154" s="48">
        <v>59011202</v>
      </c>
      <c r="C154" t="s" s="89">
        <v>1188</v>
      </c>
      <c r="D154" t="s" s="50">
        <v>1</v>
      </c>
      <c r="E154" t="str" s="51" cm="1">
        <f t="array" ref="E154">$C154</f>
        <v>Peningkatan Jalan Ds Kasano</v>
      </c>
      <c r="F154" s="52"/>
      <c r="G154" s="51"/>
      <c r="H154" s="51"/>
      <c r="I154" s="51"/>
      <c r="J154" s="54">
        <v>170100000</v>
      </c>
      <c r="K154" s="54">
        <v>169903000</v>
      </c>
      <c r="L154" s="56">
        <v>169483283.38</v>
      </c>
      <c r="M154" s="54">
        <v>169483000</v>
      </c>
      <c r="N154" t="s" s="57">
        <v>608</v>
      </c>
      <c r="O154" t="s" s="58">
        <v>609</v>
      </c>
      <c r="P154" t="s" s="57">
        <v>4</v>
      </c>
      <c r="Q154" t="s" s="57">
        <v>610</v>
      </c>
      <c r="R154" t="s" s="57">
        <v>611</v>
      </c>
      <c r="S154" s="60">
        <v>189</v>
      </c>
      <c r="T154" s="61">
        <v>45322</v>
      </c>
      <c r="U154" t="s" s="57">
        <v>612</v>
      </c>
      <c r="V154" t="s" s="57">
        <v>613</v>
      </c>
      <c r="W154" t="s" s="57">
        <v>614</v>
      </c>
      <c r="X154" s="60">
        <v>90</v>
      </c>
      <c r="Y154" t="s" s="57">
        <v>10</v>
      </c>
      <c r="Z154" s="54" cm="1">
        <f t="array" ref="Z154">M154</f>
        <v>169483000</v>
      </c>
      <c r="AA154" t="s" s="57">
        <v>11</v>
      </c>
      <c r="AB154" s="61" cm="1">
        <f t="array" ref="AB154">AH154</f>
        <v>45797</v>
      </c>
      <c r="AC154" s="60">
        <v>180</v>
      </c>
      <c r="AD154" t="s" s="57">
        <v>106</v>
      </c>
      <c r="AE154" t="s" s="57">
        <v>107</v>
      </c>
      <c r="AF154" t="s" s="57">
        <v>108</v>
      </c>
      <c r="AG154" s="61">
        <v>45796</v>
      </c>
      <c r="AH154" s="61">
        <v>45797</v>
      </c>
      <c r="AI154" s="61">
        <v>45797</v>
      </c>
      <c r="AJ154" s="61">
        <v>45797</v>
      </c>
      <c r="AK154" s="61">
        <v>45797</v>
      </c>
      <c r="AL154" s="61">
        <v>45797</v>
      </c>
      <c r="AM154" s="61">
        <v>45797</v>
      </c>
      <c r="AN154" t="s" s="57">
        <v>1190</v>
      </c>
      <c r="AO154" s="61" cm="1">
        <f t="array" ref="AO154">AJ154</f>
        <v>45797</v>
      </c>
      <c r="AP154" t="s" s="57">
        <v>1191</v>
      </c>
      <c r="AQ154" s="61" cm="1">
        <f t="array" ref="AQ154">AJ154</f>
        <v>45797</v>
      </c>
      <c r="AR154" t="s" s="57">
        <v>1192</v>
      </c>
      <c r="AS154" s="61" cm="1">
        <f t="array" ref="AS154">AJ154</f>
        <v>45797</v>
      </c>
      <c r="AT154" t="s" s="62">
        <v>1193</v>
      </c>
      <c r="AU154" s="61" cm="1">
        <f t="array" ref="AU154">AJ154</f>
        <v>45797</v>
      </c>
      <c r="AV154" s="51"/>
      <c r="AW154" t="str" s="63" cm="1">
        <f t="array" ref="AW154">"600/"&amp;$B154&amp;"/"&amp;IF(AND($AE154="Konsultansi",M154&lt;=100000000),"SPK",IF(AND($AE154="Konsultansi",M154&gt;100000000),"Kont",IF(AND($AE154&lt;&gt;"Konsultansi",M154&lt;=200000000),"SPK","Kont")))&amp;"-"&amp;AE154&amp;"/PPK/DPUPR"</f>
        <v>600/59011202/SPK-Konstruksi/PPK/DPUPR</v>
      </c>
      <c r="AX154" t="str" s="63" cm="1">
        <f t="array" ref="AX154">"600/"&amp;$B154&amp;"/SPMK/PPK/DPUPR"</f>
        <v>600/59011202/SPMK/PPK/DPUPR</v>
      </c>
      <c r="AY154" s="51"/>
      <c r="AZ154" s="51"/>
      <c r="BA154" s="51"/>
      <c r="BB154" s="51"/>
      <c r="BC154" s="51"/>
      <c r="BD154" s="51"/>
      <c r="BE154" s="51"/>
      <c r="BF154" s="51"/>
      <c r="BG154" s="64">
        <v>229</v>
      </c>
      <c r="BH154" t="s" s="57">
        <v>608</v>
      </c>
      <c r="BI154" t="s" s="57">
        <v>21</v>
      </c>
      <c r="BJ154" t="s" s="57">
        <v>22</v>
      </c>
      <c r="BK154" t="s" s="57">
        <v>23</v>
      </c>
      <c r="BL154" t="s" s="57">
        <v>24</v>
      </c>
      <c r="BM154" s="51"/>
      <c r="BN154" s="51"/>
      <c r="BO154" s="51"/>
      <c r="BP154" s="51"/>
      <c r="BQ154" s="51"/>
      <c r="BR154" t="b" s="60">
        <v>0</v>
      </c>
      <c r="BS154" s="54" cm="1">
        <f t="array" ref="BS154">IF(M154&lt;=0.8*K154,5%*K154,M154*5%)</f>
        <v>8474150</v>
      </c>
      <c r="BT154" t="s" s="57">
        <v>25</v>
      </c>
      <c r="BU154" s="51"/>
      <c r="BV154" s="54" cm="1">
        <f t="array" ref="BV154">J154-M154</f>
        <v>617000</v>
      </c>
    </row>
    <row r="155" ht="36.25" customHeight="1">
      <c r="A155" s="47"/>
      <c r="B155" s="48">
        <v>59051704</v>
      </c>
      <c r="C155" t="s" s="89">
        <v>1196</v>
      </c>
      <c r="D155" t="s" s="76">
        <v>1197</v>
      </c>
      <c r="E155" t="str" s="67" cm="1">
        <f t="array" ref="E155">$C155</f>
        <v>Pemeliharaan/Rekonstruksi/Pemb. Jaringan Air Bersih Kabupaten</v>
      </c>
      <c r="F155" s="68"/>
      <c r="G155" s="67"/>
      <c r="H155" s="67"/>
      <c r="I155" s="67"/>
      <c r="J155" s="69">
        <v>70000000</v>
      </c>
      <c r="K155" s="69">
        <v>69999000</v>
      </c>
      <c r="L155" s="56">
        <v>69343848.20999999</v>
      </c>
      <c r="M155" s="69">
        <v>69343000</v>
      </c>
      <c r="N155" t="s" s="72">
        <v>451</v>
      </c>
      <c r="O155" t="s" s="78">
        <v>452</v>
      </c>
      <c r="P155" t="s" s="72">
        <v>4</v>
      </c>
      <c r="Q155" t="s" s="72">
        <v>453</v>
      </c>
      <c r="R155" t="s" s="72">
        <v>454</v>
      </c>
      <c r="S155" t="s" s="72">
        <v>455</v>
      </c>
      <c r="T155" s="71">
        <v>44630</v>
      </c>
      <c r="U155" t="s" s="72">
        <v>456</v>
      </c>
      <c r="V155" t="s" s="72">
        <v>457</v>
      </c>
      <c r="W155" t="s" s="72">
        <v>458</v>
      </c>
      <c r="X155" s="79">
        <v>90</v>
      </c>
      <c r="Y155" t="s" s="72">
        <v>10</v>
      </c>
      <c r="Z155" s="69" cm="1">
        <f t="array" ref="Z155">M155</f>
        <v>69343000</v>
      </c>
      <c r="AA155" t="s" s="72">
        <v>11</v>
      </c>
      <c r="AB155" s="71" cm="1">
        <f t="array" ref="AB155">AH155</f>
        <v>45803</v>
      </c>
      <c r="AC155" s="79">
        <v>180</v>
      </c>
      <c r="AD155" t="s" s="72">
        <v>106</v>
      </c>
      <c r="AE155" t="s" s="72">
        <v>107</v>
      </c>
      <c r="AF155" t="s" s="72">
        <v>1199</v>
      </c>
      <c r="AG155" s="71">
        <v>45800</v>
      </c>
      <c r="AH155" s="71">
        <v>45803</v>
      </c>
      <c r="AI155" s="71">
        <v>45803</v>
      </c>
      <c r="AJ155" s="71">
        <v>45803</v>
      </c>
      <c r="AK155" s="71">
        <v>45803</v>
      </c>
      <c r="AL155" s="71">
        <v>45803</v>
      </c>
      <c r="AM155" s="71">
        <v>45803</v>
      </c>
      <c r="AN155" t="s" s="72">
        <v>1200</v>
      </c>
      <c r="AO155" s="71" cm="1">
        <f t="array" ref="AO155">AJ155</f>
        <v>45803</v>
      </c>
      <c r="AP155" t="s" s="72">
        <v>1201</v>
      </c>
      <c r="AQ155" s="71" cm="1">
        <f t="array" ref="AQ155">AJ155</f>
        <v>45803</v>
      </c>
      <c r="AR155" t="s" s="72">
        <v>1202</v>
      </c>
      <c r="AS155" s="71" cm="1">
        <f t="array" ref="AS155">AJ155</f>
        <v>45803</v>
      </c>
      <c r="AT155" t="s" s="62">
        <v>1203</v>
      </c>
      <c r="AU155" s="71" cm="1">
        <f t="array" ref="AU155">AJ155</f>
        <v>45803</v>
      </c>
      <c r="AV155" s="67"/>
      <c r="AW155" t="str" s="74" cm="1">
        <f t="array" ref="AW155">"600/"&amp;$B155&amp;"/"&amp;IF(AND($AE155="Konsultansi",M155&lt;=100000000),"SPK",IF(AND($AE155="Konsultansi",M155&gt;100000000),"Kont",IF(AND($AE155&lt;&gt;"Konsultansi",M155&lt;=200000000),"SPK","Kont")))&amp;"-"&amp;AE155&amp;"/PPK/DPUPR"</f>
        <v>600/59051704/SPK-Konstruksi/PPK/DPUPR</v>
      </c>
      <c r="AX155" t="str" s="74" cm="1">
        <f t="array" ref="AX155">"600/"&amp;$B155&amp;"/SPMK/PPK/DPUPR"</f>
        <v>600/59051704/SPMK/PPK/DPUPR</v>
      </c>
      <c r="AY155" s="67"/>
      <c r="AZ155" s="67"/>
      <c r="BA155" s="67"/>
      <c r="BB155" s="67"/>
      <c r="BC155" s="67"/>
      <c r="BD155" s="67"/>
      <c r="BE155" s="67"/>
      <c r="BF155" s="67"/>
      <c r="BG155" s="80">
        <v>20</v>
      </c>
      <c r="BH155" t="s" s="72">
        <v>451</v>
      </c>
      <c r="BI155" t="s" s="72">
        <v>21</v>
      </c>
      <c r="BJ155" t="s" s="72">
        <v>22</v>
      </c>
      <c r="BK155" t="s" s="72">
        <v>23</v>
      </c>
      <c r="BL155" t="s" s="72">
        <v>24</v>
      </c>
      <c r="BM155" s="67"/>
      <c r="BN155" s="67"/>
      <c r="BO155" s="67"/>
      <c r="BP155" s="67"/>
      <c r="BQ155" s="67"/>
      <c r="BR155" t="b" s="79">
        <v>0</v>
      </c>
      <c r="BS155" s="69" cm="1">
        <f t="array" ref="BS155">IF(M155&lt;=0.8*K155,5%*K155,M155*5%)</f>
        <v>3467150</v>
      </c>
      <c r="BT155" t="s" s="72">
        <v>862</v>
      </c>
      <c r="BU155" s="67"/>
      <c r="BV155" s="69" cm="1">
        <f t="array" ref="BV155">J155-M155</f>
        <v>657000</v>
      </c>
    </row>
    <row r="156" ht="36.25" customHeight="1">
      <c r="A156" s="47"/>
      <c r="B156" s="48">
        <v>59010687</v>
      </c>
      <c r="C156" t="s" s="89">
        <v>1206</v>
      </c>
      <c r="D156" t="s" s="50">
        <v>1</v>
      </c>
      <c r="E156" t="str" s="51" cm="1">
        <f t="array" ref="E156">$C156</f>
        <v>Peningkatan Jalan Bambalamotu I</v>
      </c>
      <c r="F156" s="52"/>
      <c r="G156" s="51"/>
      <c r="H156" s="51"/>
      <c r="I156" s="51"/>
      <c r="J156" s="54">
        <v>170100000</v>
      </c>
      <c r="K156" s="54">
        <v>169901000</v>
      </c>
      <c r="L156" s="56">
        <v>169675922.66</v>
      </c>
      <c r="M156" s="54">
        <v>169675000</v>
      </c>
      <c r="N156" t="s" s="57">
        <v>1208</v>
      </c>
      <c r="O156" t="s" s="58">
        <v>1209</v>
      </c>
      <c r="P156" t="s" s="57">
        <v>4</v>
      </c>
      <c r="Q156" t="s" s="57">
        <v>1210</v>
      </c>
      <c r="R156" t="s" s="57">
        <v>1211</v>
      </c>
      <c r="S156" t="s" s="57">
        <v>1212</v>
      </c>
      <c r="T156" s="61">
        <v>43858</v>
      </c>
      <c r="U156" t="s" s="57">
        <v>149</v>
      </c>
      <c r="V156" t="s" s="57">
        <v>1213</v>
      </c>
      <c r="W156" t="s" s="57">
        <v>1214</v>
      </c>
      <c r="X156" s="60">
        <v>90</v>
      </c>
      <c r="Y156" t="s" s="57">
        <v>10</v>
      </c>
      <c r="Z156" s="54" cm="1">
        <f t="array" ref="Z156">M156</f>
        <v>169675000</v>
      </c>
      <c r="AA156" t="s" s="57">
        <v>11</v>
      </c>
      <c r="AB156" s="61" cm="1">
        <f t="array" ref="AB156">AH156</f>
        <v>45812</v>
      </c>
      <c r="AC156" s="60">
        <v>180</v>
      </c>
      <c r="AD156" t="s" s="57">
        <v>106</v>
      </c>
      <c r="AE156" t="s" s="57">
        <v>107</v>
      </c>
      <c r="AF156" t="s" s="57">
        <v>108</v>
      </c>
      <c r="AG156" s="61">
        <v>45811</v>
      </c>
      <c r="AH156" s="61">
        <v>45812</v>
      </c>
      <c r="AI156" s="61">
        <v>45812</v>
      </c>
      <c r="AJ156" s="61">
        <v>45812</v>
      </c>
      <c r="AK156" s="61">
        <v>45812</v>
      </c>
      <c r="AL156" s="61">
        <v>45812</v>
      </c>
      <c r="AM156" s="61">
        <v>45812</v>
      </c>
      <c r="AN156" t="s" s="57">
        <v>1215</v>
      </c>
      <c r="AO156" s="61" cm="1">
        <f t="array" ref="AO156">AJ156</f>
        <v>45812</v>
      </c>
      <c r="AP156" t="s" s="57">
        <v>1216</v>
      </c>
      <c r="AQ156" s="61" cm="1">
        <f t="array" ref="AQ156">AJ156</f>
        <v>45812</v>
      </c>
      <c r="AR156" t="s" s="57">
        <v>1217</v>
      </c>
      <c r="AS156" s="61" cm="1">
        <f t="array" ref="AS156">AJ156</f>
        <v>45812</v>
      </c>
      <c r="AT156" t="s" s="62">
        <v>1218</v>
      </c>
      <c r="AU156" s="61" cm="1">
        <f t="array" ref="AU156">AJ156</f>
        <v>45812</v>
      </c>
      <c r="AV156" s="51"/>
      <c r="AW156" t="str" s="63" cm="1">
        <f t="array" ref="AW156">"600/"&amp;$B156&amp;"/"&amp;IF(AND($AE156="Konsultansi",M156&lt;=100000000),"SPK",IF(AND($AE156="Konsultansi",M156&gt;100000000),"Kont",IF(AND($AE156&lt;&gt;"Konsultansi",M156&lt;=200000000),"SPK","Kont")))&amp;"-"&amp;AE156&amp;"/PPK/DPUPR"</f>
        <v>600/59010687/SPK-Konstruksi/PPK/DPUPR</v>
      </c>
      <c r="AX156" t="str" s="63" cm="1">
        <f t="array" ref="AX156">"600/"&amp;$B156&amp;"/SPMK/PPK/DPUPR"</f>
        <v>600/59010687/SPMK/PPK/DPUPR</v>
      </c>
      <c r="AY156" s="51"/>
      <c r="AZ156" s="51"/>
      <c r="BA156" s="51"/>
      <c r="BB156" s="51"/>
      <c r="BC156" s="51"/>
      <c r="BD156" s="51"/>
      <c r="BE156" s="51"/>
      <c r="BF156" s="51"/>
      <c r="BG156" s="64">
        <v>173</v>
      </c>
      <c r="BH156" t="s" s="57">
        <v>1208</v>
      </c>
      <c r="BI156" t="s" s="57">
        <v>21</v>
      </c>
      <c r="BJ156" t="s" s="57">
        <v>22</v>
      </c>
      <c r="BK156" t="s" s="57">
        <v>23</v>
      </c>
      <c r="BL156" t="s" s="57">
        <v>24</v>
      </c>
      <c r="BM156" s="51"/>
      <c r="BN156" s="51"/>
      <c r="BO156" s="51"/>
      <c r="BP156" s="51"/>
      <c r="BQ156" s="51"/>
      <c r="BR156" t="b" s="60">
        <v>0</v>
      </c>
      <c r="BS156" s="54" cm="1">
        <f t="array" ref="BS156">IF(M156&lt;=0.8*K156,5%*K156,M156*5%)</f>
        <v>8483750</v>
      </c>
      <c r="BT156" t="s" s="57">
        <v>25</v>
      </c>
      <c r="BU156" s="51"/>
      <c r="BV156" s="54" cm="1">
        <f t="array" ref="BV156">J156-M156</f>
        <v>425000</v>
      </c>
    </row>
    <row r="157" ht="36.25" customHeight="1">
      <c r="A157" s="47"/>
      <c r="B157" s="48">
        <v>59011890</v>
      </c>
      <c r="C157" t="s" s="89">
        <v>1221</v>
      </c>
      <c r="D157" t="s" s="76">
        <v>1</v>
      </c>
      <c r="E157" t="str" s="67" cm="1">
        <f t="array" ref="E157">$C157</f>
        <v>Perenc. Stock Desain Jalan Kabupaten V</v>
      </c>
      <c r="F157" s="68"/>
      <c r="G157" s="67"/>
      <c r="H157" s="67"/>
      <c r="I157" s="67"/>
      <c r="J157" s="69">
        <v>100000000</v>
      </c>
      <c r="K157" s="69">
        <v>99995000</v>
      </c>
      <c r="L157" s="56">
        <v>99559800</v>
      </c>
      <c r="M157" s="69">
        <v>99559000</v>
      </c>
      <c r="N157" t="s" s="72">
        <v>291</v>
      </c>
      <c r="O157" t="s" s="78">
        <v>292</v>
      </c>
      <c r="P157" t="s" s="72">
        <v>4</v>
      </c>
      <c r="Q157" t="s" s="72">
        <v>293</v>
      </c>
      <c r="R157" t="s" s="72">
        <v>294</v>
      </c>
      <c r="S157" t="s" s="72">
        <v>295</v>
      </c>
      <c r="T157" s="71">
        <v>44938</v>
      </c>
      <c r="U157" t="s" s="72">
        <v>296</v>
      </c>
      <c r="V157" t="s" s="72">
        <v>297</v>
      </c>
      <c r="W157" t="s" s="72">
        <v>298</v>
      </c>
      <c r="X157" s="79">
        <v>30</v>
      </c>
      <c r="Y157" t="s" s="72">
        <v>10</v>
      </c>
      <c r="Z157" s="69" cm="1">
        <f t="array" ref="Z157">M157</f>
        <v>99559000</v>
      </c>
      <c r="AA157" t="s" s="72">
        <v>11</v>
      </c>
      <c r="AB157" s="71" cm="1">
        <f t="array" ref="AB157">AH157</f>
        <v>45812</v>
      </c>
      <c r="AC157" s="67"/>
      <c r="AD157" t="s" s="72">
        <v>192</v>
      </c>
      <c r="AE157" t="s" s="72">
        <v>13</v>
      </c>
      <c r="AF157" t="s" s="72">
        <v>108</v>
      </c>
      <c r="AG157" s="71">
        <v>45811</v>
      </c>
      <c r="AH157" s="71">
        <v>45812</v>
      </c>
      <c r="AI157" s="71">
        <v>45812</v>
      </c>
      <c r="AJ157" s="71">
        <v>45812</v>
      </c>
      <c r="AK157" s="71">
        <v>45812</v>
      </c>
      <c r="AL157" s="71">
        <v>45812</v>
      </c>
      <c r="AM157" s="71">
        <v>45812</v>
      </c>
      <c r="AN157" t="s" s="72">
        <v>1223</v>
      </c>
      <c r="AO157" s="71" cm="1">
        <f t="array" ref="AO157">AJ157</f>
        <v>45812</v>
      </c>
      <c r="AP157" t="s" s="72">
        <v>1224</v>
      </c>
      <c r="AQ157" s="71" cm="1">
        <f t="array" ref="AQ157">AJ157</f>
        <v>45812</v>
      </c>
      <c r="AR157" t="s" s="72">
        <v>1225</v>
      </c>
      <c r="AS157" s="71" cm="1">
        <f t="array" ref="AS157">AJ157</f>
        <v>45812</v>
      </c>
      <c r="AT157" t="s" s="62">
        <v>1226</v>
      </c>
      <c r="AU157" s="71" cm="1">
        <f t="array" ref="AU157">AJ157</f>
        <v>45812</v>
      </c>
      <c r="AV157" s="67"/>
      <c r="AW157" t="str" s="74" cm="1">
        <f t="array" ref="AW157">"600/"&amp;$B157&amp;"/"&amp;IF(AND($AE157="Konsultansi",M157&lt;=100000000),"SPK",IF(AND($AE157="Konsultansi",M157&gt;100000000),"Kont",IF(AND($AE157&lt;&gt;"Konsultansi",M157&lt;=200000000),"SPK","Kont")))&amp;"-"&amp;AE157&amp;"/PPK/DPUPR"</f>
        <v>600/59011890/SPK-Konsultansi/PPK/DPUPR</v>
      </c>
      <c r="AX157" t="str" s="74" cm="1">
        <f t="array" ref="AX157">"600/"&amp;$B157&amp;"/SPMK/PPK/DPUPR"</f>
        <v>600/59011890/SPMK/PPK/DPUPR</v>
      </c>
      <c r="AY157" s="67"/>
      <c r="AZ157" s="67"/>
      <c r="BA157" s="67"/>
      <c r="BB157" s="67"/>
      <c r="BC157" s="67"/>
      <c r="BD157" s="67"/>
      <c r="BE157" s="67"/>
      <c r="BF157" s="67"/>
      <c r="BG157" s="80">
        <v>248</v>
      </c>
      <c r="BH157" t="s" s="72">
        <v>291</v>
      </c>
      <c r="BI157" t="s" s="72">
        <v>21</v>
      </c>
      <c r="BJ157" t="s" s="72">
        <v>22</v>
      </c>
      <c r="BK157" t="s" s="72">
        <v>23</v>
      </c>
      <c r="BL157" t="s" s="72">
        <v>24</v>
      </c>
      <c r="BM157" s="67"/>
      <c r="BN157" s="67"/>
      <c r="BO157" s="67"/>
      <c r="BP157" s="67"/>
      <c r="BQ157" s="67"/>
      <c r="BR157" t="b" s="79">
        <v>0</v>
      </c>
      <c r="BS157" s="69" cm="1">
        <f t="array" ref="BS157">IF(M157&lt;=0.8*K157,5%*K157,M157*5%)</f>
        <v>4977950</v>
      </c>
      <c r="BT157" t="s" s="72">
        <v>25</v>
      </c>
      <c r="BU157" s="67"/>
      <c r="BV157" s="69" cm="1">
        <f t="array" ref="BV157">J157-M157</f>
        <v>441000</v>
      </c>
    </row>
    <row r="158" ht="36.25" customHeight="1">
      <c r="A158" s="47"/>
      <c r="B158" s="48">
        <v>59011670</v>
      </c>
      <c r="C158" t="s" s="89">
        <v>1229</v>
      </c>
      <c r="D158" t="s" s="50">
        <v>1</v>
      </c>
      <c r="E158" t="str" s="51" cm="1">
        <f t="array" ref="E158">$C158</f>
        <v>Perenc. Stock Desain Jalan Kabupaten VI</v>
      </c>
      <c r="F158" s="52"/>
      <c r="G158" s="51"/>
      <c r="H158" s="51"/>
      <c r="I158" s="51"/>
      <c r="J158" s="54">
        <v>100000000</v>
      </c>
      <c r="K158" s="54">
        <v>99995000</v>
      </c>
      <c r="L158" s="56">
        <v>99893520</v>
      </c>
      <c r="M158" s="54">
        <v>99893000</v>
      </c>
      <c r="N158" t="s" s="57">
        <v>291</v>
      </c>
      <c r="O158" t="s" s="58">
        <v>292</v>
      </c>
      <c r="P158" t="s" s="57">
        <v>4</v>
      </c>
      <c r="Q158" t="s" s="57">
        <v>293</v>
      </c>
      <c r="R158" t="s" s="57">
        <v>294</v>
      </c>
      <c r="S158" t="s" s="57">
        <v>295</v>
      </c>
      <c r="T158" s="61">
        <v>44938</v>
      </c>
      <c r="U158" t="s" s="57">
        <v>296</v>
      </c>
      <c r="V158" t="s" s="57">
        <v>297</v>
      </c>
      <c r="W158" t="s" s="57">
        <v>298</v>
      </c>
      <c r="X158" s="60">
        <v>30</v>
      </c>
      <c r="Y158" t="s" s="57">
        <v>10</v>
      </c>
      <c r="Z158" s="54" cm="1">
        <f t="array" ref="Z158">M158</f>
        <v>99893000</v>
      </c>
      <c r="AA158" t="s" s="57">
        <v>11</v>
      </c>
      <c r="AB158" s="61" cm="1">
        <f t="array" ref="AB158">AH158</f>
        <v>45812</v>
      </c>
      <c r="AC158" s="51"/>
      <c r="AD158" t="s" s="57">
        <v>192</v>
      </c>
      <c r="AE158" t="s" s="57">
        <v>13</v>
      </c>
      <c r="AF158" t="s" s="57">
        <v>108</v>
      </c>
      <c r="AG158" s="61">
        <v>45811</v>
      </c>
      <c r="AH158" s="61">
        <v>45812</v>
      </c>
      <c r="AI158" s="61">
        <v>45812</v>
      </c>
      <c r="AJ158" s="61">
        <v>45812</v>
      </c>
      <c r="AK158" s="61">
        <v>45812</v>
      </c>
      <c r="AL158" s="61">
        <v>45812</v>
      </c>
      <c r="AM158" s="61">
        <v>45812</v>
      </c>
      <c r="AN158" t="s" s="57">
        <v>1231</v>
      </c>
      <c r="AO158" s="61" cm="1">
        <f t="array" ref="AO158">AJ158</f>
        <v>45812</v>
      </c>
      <c r="AP158" t="s" s="57">
        <v>1232</v>
      </c>
      <c r="AQ158" s="61" cm="1">
        <f t="array" ref="AQ158">AJ158</f>
        <v>45812</v>
      </c>
      <c r="AR158" t="s" s="57">
        <v>1233</v>
      </c>
      <c r="AS158" s="61" cm="1">
        <f t="array" ref="AS158">AJ158</f>
        <v>45812</v>
      </c>
      <c r="AT158" t="s" s="62">
        <v>1234</v>
      </c>
      <c r="AU158" s="61" cm="1">
        <f t="array" ref="AU158">AJ158</f>
        <v>45812</v>
      </c>
      <c r="AV158" s="51"/>
      <c r="AW158" t="str" s="63" cm="1">
        <f t="array" ref="AW158">"600/"&amp;$B158&amp;"/"&amp;IF(AND($AE158="Konsultansi",M158&lt;=100000000),"SPK",IF(AND($AE158="Konsultansi",M158&gt;100000000),"Kont",IF(AND($AE158&lt;&gt;"Konsultansi",M158&lt;=200000000),"SPK","Kont")))&amp;"-"&amp;AE158&amp;"/PPK/DPUPR"</f>
        <v>600/59011670/SPK-Konsultansi/PPK/DPUPR</v>
      </c>
      <c r="AX158" t="str" s="63" cm="1">
        <f t="array" ref="AX158">"600/"&amp;$B158&amp;"/SPMK/PPK/DPUPR"</f>
        <v>600/59011670/SPMK/PPK/DPUPR</v>
      </c>
      <c r="AY158" s="51"/>
      <c r="AZ158" s="51"/>
      <c r="BA158" s="51"/>
      <c r="BB158" s="51"/>
      <c r="BC158" s="51"/>
      <c r="BD158" s="51"/>
      <c r="BE158" s="51"/>
      <c r="BF158" s="51"/>
      <c r="BG158" s="64">
        <v>248</v>
      </c>
      <c r="BH158" t="s" s="57">
        <v>291</v>
      </c>
      <c r="BI158" t="s" s="57">
        <v>21</v>
      </c>
      <c r="BJ158" t="s" s="57">
        <v>22</v>
      </c>
      <c r="BK158" t="s" s="57">
        <v>23</v>
      </c>
      <c r="BL158" t="s" s="57">
        <v>24</v>
      </c>
      <c r="BM158" s="51"/>
      <c r="BN158" s="51"/>
      <c r="BO158" s="51"/>
      <c r="BP158" s="51"/>
      <c r="BQ158" s="51"/>
      <c r="BR158" t="b" s="60">
        <v>0</v>
      </c>
      <c r="BS158" s="54" cm="1">
        <f t="array" ref="BS158">IF(M158&lt;=0.8*K158,5%*K158,M158*5%)</f>
        <v>4994650</v>
      </c>
      <c r="BT158" t="s" s="57">
        <v>25</v>
      </c>
      <c r="BU158" s="51"/>
      <c r="BV158" s="54" cm="1">
        <f t="array" ref="BV158">J158-M158</f>
        <v>107000</v>
      </c>
    </row>
    <row r="159" ht="36.25" customHeight="1">
      <c r="A159" s="47"/>
      <c r="B159" s="48">
        <v>59010787</v>
      </c>
      <c r="C159" t="s" s="89">
        <v>1237</v>
      </c>
      <c r="D159" t="s" s="76">
        <v>1</v>
      </c>
      <c r="E159" t="str" s="67" cm="1">
        <f t="array" ref="E159">$C159</f>
        <v>Perenc. Stock Desain Jalan Kabupaten VII</v>
      </c>
      <c r="F159" s="68"/>
      <c r="G159" s="67"/>
      <c r="H159" s="67"/>
      <c r="I159" s="67"/>
      <c r="J159" s="69">
        <v>100000000</v>
      </c>
      <c r="K159" s="69">
        <v>99995000</v>
      </c>
      <c r="L159" s="56">
        <v>99882396</v>
      </c>
      <c r="M159" s="69">
        <v>99882000</v>
      </c>
      <c r="N159" t="s" s="72">
        <v>291</v>
      </c>
      <c r="O159" t="s" s="78">
        <v>292</v>
      </c>
      <c r="P159" t="s" s="72">
        <v>4</v>
      </c>
      <c r="Q159" t="s" s="72">
        <v>293</v>
      </c>
      <c r="R159" t="s" s="72">
        <v>294</v>
      </c>
      <c r="S159" t="s" s="72">
        <v>295</v>
      </c>
      <c r="T159" s="71">
        <v>44938</v>
      </c>
      <c r="U159" t="s" s="72">
        <v>296</v>
      </c>
      <c r="V159" t="s" s="72">
        <v>297</v>
      </c>
      <c r="W159" t="s" s="72">
        <v>298</v>
      </c>
      <c r="X159" s="79">
        <v>30</v>
      </c>
      <c r="Y159" t="s" s="72">
        <v>10</v>
      </c>
      <c r="Z159" s="69" cm="1">
        <f t="array" ref="Z159">M159</f>
        <v>99882000</v>
      </c>
      <c r="AA159" t="s" s="72">
        <v>11</v>
      </c>
      <c r="AB159" s="71" cm="1">
        <f t="array" ref="AB159">AH159</f>
        <v>45812</v>
      </c>
      <c r="AC159" s="67"/>
      <c r="AD159" t="s" s="72">
        <v>192</v>
      </c>
      <c r="AE159" t="s" s="72">
        <v>13</v>
      </c>
      <c r="AF159" t="s" s="72">
        <v>108</v>
      </c>
      <c r="AG159" s="71">
        <v>45811</v>
      </c>
      <c r="AH159" s="71">
        <v>45812</v>
      </c>
      <c r="AI159" s="71">
        <v>45812</v>
      </c>
      <c r="AJ159" s="71">
        <v>45812</v>
      </c>
      <c r="AK159" s="71">
        <v>45812</v>
      </c>
      <c r="AL159" s="71">
        <v>45812</v>
      </c>
      <c r="AM159" s="71">
        <v>45812</v>
      </c>
      <c r="AN159" t="s" s="72">
        <v>1239</v>
      </c>
      <c r="AO159" s="71" cm="1">
        <f t="array" ref="AO159">AJ159</f>
        <v>45812</v>
      </c>
      <c r="AP159" t="s" s="72">
        <v>1240</v>
      </c>
      <c r="AQ159" s="71" cm="1">
        <f t="array" ref="AQ159">AJ159</f>
        <v>45812</v>
      </c>
      <c r="AR159" t="s" s="72">
        <v>1241</v>
      </c>
      <c r="AS159" s="71" cm="1">
        <f t="array" ref="AS159">AJ159</f>
        <v>45812</v>
      </c>
      <c r="AT159" t="s" s="62">
        <v>1242</v>
      </c>
      <c r="AU159" s="71" cm="1">
        <f t="array" ref="AU159">AJ159</f>
        <v>45812</v>
      </c>
      <c r="AV159" s="67"/>
      <c r="AW159" t="str" s="74" cm="1">
        <f t="array" ref="AW159">"600/"&amp;$B159&amp;"/"&amp;IF(AND($AE159="Konsultansi",M159&lt;=100000000),"SPK",IF(AND($AE159="Konsultansi",M159&gt;100000000),"Kont",IF(AND($AE159&lt;&gt;"Konsultansi",M159&lt;=200000000),"SPK","Kont")))&amp;"-"&amp;AE159&amp;"/PPK/DPUPR"</f>
        <v>600/59010787/SPK-Konsultansi/PPK/DPUPR</v>
      </c>
      <c r="AX159" t="str" s="74" cm="1">
        <f t="array" ref="AX159">"600/"&amp;$B159&amp;"/SPMK/PPK/DPUPR"</f>
        <v>600/59010787/SPMK/PPK/DPUPR</v>
      </c>
      <c r="AY159" s="67"/>
      <c r="AZ159" s="67"/>
      <c r="BA159" s="67"/>
      <c r="BB159" s="67"/>
      <c r="BC159" s="67"/>
      <c r="BD159" s="67"/>
      <c r="BE159" s="67"/>
      <c r="BF159" s="67"/>
      <c r="BG159" s="80">
        <v>248</v>
      </c>
      <c r="BH159" t="s" s="72">
        <v>291</v>
      </c>
      <c r="BI159" t="s" s="72">
        <v>21</v>
      </c>
      <c r="BJ159" t="s" s="72">
        <v>22</v>
      </c>
      <c r="BK159" t="s" s="72">
        <v>23</v>
      </c>
      <c r="BL159" t="s" s="72">
        <v>24</v>
      </c>
      <c r="BM159" s="67"/>
      <c r="BN159" s="67"/>
      <c r="BO159" s="67"/>
      <c r="BP159" s="67"/>
      <c r="BQ159" s="67"/>
      <c r="BR159" t="b" s="79">
        <v>0</v>
      </c>
      <c r="BS159" s="69" cm="1">
        <f t="array" ref="BS159">IF(M159&lt;=0.8*K159,5%*K159,M159*5%)</f>
        <v>4994100</v>
      </c>
      <c r="BT159" t="s" s="72">
        <v>25</v>
      </c>
      <c r="BU159" s="67"/>
      <c r="BV159" s="69" cm="1">
        <f t="array" ref="BV159">J159-M159</f>
        <v>118000</v>
      </c>
    </row>
    <row r="160" ht="72.25" customHeight="1">
      <c r="A160" s="47"/>
      <c r="B160" s="48">
        <v>59011939</v>
      </c>
      <c r="C160" t="s" s="89">
        <v>1245</v>
      </c>
      <c r="D160" t="s" s="50">
        <v>726</v>
      </c>
      <c r="E160" t="str" s="51" cm="1">
        <f t="array" ref="E160">$C160</f>
        <v>Perenc. Pemb. Rumah Tahfidz Bulumario cs.</v>
      </c>
      <c r="F160" s="52"/>
      <c r="G160" s="51"/>
      <c r="H160" s="51"/>
      <c r="I160" s="51"/>
      <c r="J160" s="54">
        <v>37500000</v>
      </c>
      <c r="K160" s="54">
        <v>37498000</v>
      </c>
      <c r="L160" s="56">
        <v>37376640</v>
      </c>
      <c r="M160" s="54">
        <v>37376000</v>
      </c>
      <c r="N160" t="s" s="57">
        <v>185</v>
      </c>
      <c r="O160" t="s" s="58">
        <v>186</v>
      </c>
      <c r="P160" t="s" s="57">
        <v>4</v>
      </c>
      <c r="Q160" t="s" s="57">
        <v>187</v>
      </c>
      <c r="R160" t="s" s="57">
        <v>188</v>
      </c>
      <c r="S160" s="60">
        <v>23</v>
      </c>
      <c r="T160" s="61">
        <v>44495</v>
      </c>
      <c r="U160" t="s" s="57">
        <v>189</v>
      </c>
      <c r="V160" t="s" s="57">
        <v>190</v>
      </c>
      <c r="W160" t="s" s="57">
        <v>191</v>
      </c>
      <c r="X160" s="60">
        <v>30</v>
      </c>
      <c r="Y160" t="s" s="57">
        <v>10</v>
      </c>
      <c r="Z160" s="54" cm="1">
        <f t="array" ref="Z160">M160</f>
        <v>37376000</v>
      </c>
      <c r="AA160" t="s" s="57">
        <v>11</v>
      </c>
      <c r="AB160" s="61" cm="1">
        <f t="array" ref="AB160">AH160</f>
        <v>45812</v>
      </c>
      <c r="AC160" s="51"/>
      <c r="AD160" t="s" s="57">
        <v>192</v>
      </c>
      <c r="AE160" t="s" s="57">
        <v>13</v>
      </c>
      <c r="AF160" t="s" s="57">
        <v>735</v>
      </c>
      <c r="AG160" s="61">
        <v>45811</v>
      </c>
      <c r="AH160" s="61">
        <v>45812</v>
      </c>
      <c r="AI160" s="61">
        <v>45812</v>
      </c>
      <c r="AJ160" s="61">
        <v>45812</v>
      </c>
      <c r="AK160" s="61">
        <v>45812</v>
      </c>
      <c r="AL160" s="61">
        <v>45812</v>
      </c>
      <c r="AM160" s="61">
        <v>45812</v>
      </c>
      <c r="AN160" t="s" s="57">
        <v>1247</v>
      </c>
      <c r="AO160" s="61" cm="1">
        <f t="array" ref="AO160">AJ160</f>
        <v>45812</v>
      </c>
      <c r="AP160" t="s" s="57">
        <v>1248</v>
      </c>
      <c r="AQ160" s="61" cm="1">
        <f t="array" ref="AQ160">AJ160</f>
        <v>45812</v>
      </c>
      <c r="AR160" t="s" s="57">
        <v>1249</v>
      </c>
      <c r="AS160" s="61" cm="1">
        <f t="array" ref="AS160">AJ160</f>
        <v>45812</v>
      </c>
      <c r="AT160" t="s" s="62">
        <v>1250</v>
      </c>
      <c r="AU160" s="61" cm="1">
        <f t="array" ref="AU160">AJ160</f>
        <v>45812</v>
      </c>
      <c r="AV160" s="51"/>
      <c r="AW160" t="str" s="63" cm="1">
        <f t="array" ref="AW160">"600/"&amp;$B160&amp;"/"&amp;IF(AND($AE160="Konsultansi",M160&lt;=100000000),"SPK",IF(AND($AE160="Konsultansi",M160&gt;100000000),"Kont",IF(AND($AE160&lt;&gt;"Konsultansi",M160&lt;=200000000),"SPK","Kont")))&amp;"-"&amp;AE160&amp;"/PPK/DPUPR"</f>
        <v>600/59011939/SPK-Konsultansi/PPK/DPUPR</v>
      </c>
      <c r="AX160" t="str" s="63" cm="1">
        <f t="array" ref="AX160">"600/"&amp;$B160&amp;"/SPMK/PPK/DPUPR"</f>
        <v>600/59011939/SPMK/PPK/DPUPR</v>
      </c>
      <c r="AY160" s="51"/>
      <c r="AZ160" s="51"/>
      <c r="BA160" s="51"/>
      <c r="BB160" s="51"/>
      <c r="BC160" s="51"/>
      <c r="BD160" s="51"/>
      <c r="BE160" s="51"/>
      <c r="BF160" s="51"/>
      <c r="BG160" s="64">
        <v>223</v>
      </c>
      <c r="BH160" t="s" s="57">
        <v>185</v>
      </c>
      <c r="BI160" t="s" s="57">
        <v>21</v>
      </c>
      <c r="BJ160" t="s" s="57">
        <v>22</v>
      </c>
      <c r="BK160" t="s" s="57">
        <v>23</v>
      </c>
      <c r="BL160" t="s" s="57">
        <v>24</v>
      </c>
      <c r="BM160" s="51"/>
      <c r="BN160" s="51"/>
      <c r="BO160" s="51"/>
      <c r="BP160" s="51"/>
      <c r="BQ160" s="51"/>
      <c r="BR160" t="b" s="60">
        <v>0</v>
      </c>
      <c r="BS160" s="54" cm="1">
        <f t="array" ref="BS160">IF(M160&lt;=0.8*K160,5%*K160,M160*5%)</f>
        <v>1868800</v>
      </c>
      <c r="BT160" t="s" s="57">
        <v>432</v>
      </c>
      <c r="BU160" s="51"/>
      <c r="BV160" s="54" cm="1">
        <f t="array" ref="BV160">J160-M160</f>
        <v>124000</v>
      </c>
    </row>
    <row r="161" ht="42.25" customHeight="1">
      <c r="A161" s="47"/>
      <c r="B161" s="48">
        <v>56626936</v>
      </c>
      <c r="C161" t="s" s="89">
        <v>1253</v>
      </c>
      <c r="D161" t="s" s="76">
        <v>415</v>
      </c>
      <c r="E161" t="str" s="67" cm="1">
        <f t="array" ref="E161">$C161</f>
        <v>Pengawasan Jaringan Perpipaan Air Bersih Kasano-Ompi-Batumatoru-Karya Bersama (DAK) </v>
      </c>
      <c r="F161" s="68"/>
      <c r="G161" s="67"/>
      <c r="H161" s="67"/>
      <c r="I161" s="67"/>
      <c r="J161" s="69">
        <v>75000000</v>
      </c>
      <c r="K161" s="69">
        <v>74998000</v>
      </c>
      <c r="L161" s="56">
        <v>74725470</v>
      </c>
      <c r="M161" s="69">
        <v>74725000</v>
      </c>
      <c r="N161" t="s" s="72">
        <v>1255</v>
      </c>
      <c r="O161" t="s" s="78">
        <v>1256</v>
      </c>
      <c r="P161" t="s" s="72">
        <v>4</v>
      </c>
      <c r="Q161" t="s" s="72">
        <v>1257</v>
      </c>
      <c r="R161" t="s" s="72">
        <v>1258</v>
      </c>
      <c r="S161" s="79">
        <v>35</v>
      </c>
      <c r="T161" s="71">
        <v>45322</v>
      </c>
      <c r="U161" t="s" s="72">
        <v>1259</v>
      </c>
      <c r="V161" t="s" s="72">
        <v>1260</v>
      </c>
      <c r="W161" t="s" s="72">
        <v>1261</v>
      </c>
      <c r="X161" s="79">
        <v>188</v>
      </c>
      <c r="Y161" t="s" s="72">
        <v>423</v>
      </c>
      <c r="Z161" s="69" cm="1">
        <f t="array" ref="Z161">M161</f>
        <v>74725000</v>
      </c>
      <c r="AA161" t="s" s="72">
        <v>11</v>
      </c>
      <c r="AB161" s="71" cm="1">
        <f t="array" ref="AB161">AH161</f>
        <v>45832</v>
      </c>
      <c r="AC161" s="67"/>
      <c r="AD161" t="s" s="72">
        <v>12</v>
      </c>
      <c r="AE161" t="s" s="72">
        <v>13</v>
      </c>
      <c r="AF161" t="s" s="72">
        <v>425</v>
      </c>
      <c r="AG161" s="71">
        <v>45832</v>
      </c>
      <c r="AH161" s="71">
        <v>45832</v>
      </c>
      <c r="AI161" s="71">
        <v>45832</v>
      </c>
      <c r="AJ161" s="99">
        <v>45834.416666666664</v>
      </c>
      <c r="AK161" s="71">
        <v>45834</v>
      </c>
      <c r="AL161" s="71">
        <v>45834</v>
      </c>
      <c r="AM161" s="71">
        <v>45834</v>
      </c>
      <c r="AN161" t="s" s="72">
        <v>1262</v>
      </c>
      <c r="AO161" s="99" cm="1">
        <f t="array" ref="AO161">AJ161</f>
        <v>45834.416666666664</v>
      </c>
      <c r="AP161" t="s" s="72">
        <v>1263</v>
      </c>
      <c r="AQ161" s="99" cm="1">
        <f t="array" ref="AQ161">AJ161</f>
        <v>45834.416666666664</v>
      </c>
      <c r="AR161" t="s" s="72">
        <v>1264</v>
      </c>
      <c r="AS161" s="99" cm="1">
        <f t="array" ref="AS161">AJ161</f>
        <v>45834.416666666664</v>
      </c>
      <c r="AT161" t="s" s="62">
        <v>1265</v>
      </c>
      <c r="AU161" s="99" cm="1">
        <f t="array" ref="AU161">AJ161</f>
        <v>45834.416666666664</v>
      </c>
      <c r="AV161" s="67"/>
      <c r="AW161" t="str" s="74" cm="1">
        <f t="array" ref="AW161">"600/"&amp;$B161&amp;"/"&amp;IF(AND($AE161="Konsultansi",M161&lt;=100000000),"SPK",IF(AND($AE161="Konsultansi",M161&gt;100000000),"Kont",IF(AND($AE161&lt;&gt;"Konsultansi",M161&lt;=200000000),"SPK","Kont")))&amp;"-"&amp;AE161&amp;"/PPK/DPUPR"</f>
        <v>600/56626936/SPK-Konsultansi/PPK/DPUPR</v>
      </c>
      <c r="AX161" t="str" s="74" cm="1">
        <f t="array" ref="AX161">"600/"&amp;$B161&amp;"/SPMK/PPK/DPUPR"</f>
        <v>600/56626936/SPMK/PPK/DPUPR</v>
      </c>
      <c r="AY161" s="67"/>
      <c r="AZ161" s="67"/>
      <c r="BA161" s="67"/>
      <c r="BB161" s="67"/>
      <c r="BC161" s="67"/>
      <c r="BD161" s="67"/>
      <c r="BE161" s="67"/>
      <c r="BF161" s="67"/>
      <c r="BG161" s="80">
        <v>237</v>
      </c>
      <c r="BH161" t="s" s="72">
        <v>1255</v>
      </c>
      <c r="BI161" t="s" s="72">
        <v>21</v>
      </c>
      <c r="BJ161" t="s" s="72">
        <v>22</v>
      </c>
      <c r="BK161" t="s" s="72">
        <v>23</v>
      </c>
      <c r="BL161" t="s" s="72">
        <v>24</v>
      </c>
      <c r="BM161" s="67"/>
      <c r="BN161" s="67"/>
      <c r="BO161" s="67"/>
      <c r="BP161" s="67"/>
      <c r="BQ161" s="67"/>
      <c r="BR161" t="b" s="79">
        <v>0</v>
      </c>
      <c r="BS161" s="69" cm="1">
        <f t="array" ref="BS161">IF(M161&lt;=0.8*K161,5%*K161,M161*5%)</f>
        <v>3736250</v>
      </c>
      <c r="BT161" t="s" s="72">
        <v>432</v>
      </c>
      <c r="BU161" s="67"/>
      <c r="BV161" s="69" cm="1">
        <f t="array" ref="BV161">J161-M161</f>
        <v>275000</v>
      </c>
    </row>
    <row r="162" ht="48.25" customHeight="1">
      <c r="A162" s="47"/>
      <c r="B162" s="48">
        <v>56626938</v>
      </c>
      <c r="C162" t="s" s="89">
        <v>1268</v>
      </c>
      <c r="D162" t="s" s="50">
        <v>415</v>
      </c>
      <c r="E162" t="str" s="51" cm="1">
        <f t="array" ref="E162">$C162</f>
        <v>Pengembangan Jaringan Distribusi dan Sambungan Rumah Desa Batumatoru Kec. Lariang (DAK) </v>
      </c>
      <c r="F162" s="52"/>
      <c r="G162" s="51"/>
      <c r="H162" s="51"/>
      <c r="I162" s="51"/>
      <c r="J162" s="54">
        <v>999205000</v>
      </c>
      <c r="K162" s="54">
        <v>999165000</v>
      </c>
      <c r="L162" s="56">
        <v>988591379.85</v>
      </c>
      <c r="M162" s="54">
        <v>985539000</v>
      </c>
      <c r="N162" t="s" s="57">
        <v>1270</v>
      </c>
      <c r="O162" t="s" s="58">
        <v>1271</v>
      </c>
      <c r="P162" t="s" s="57">
        <v>4</v>
      </c>
      <c r="Q162" t="s" s="57">
        <v>1272</v>
      </c>
      <c r="R162" t="s" s="57">
        <v>1273</v>
      </c>
      <c r="S162" t="s" s="57">
        <v>519</v>
      </c>
      <c r="T162" s="61">
        <v>43472</v>
      </c>
      <c r="U162" t="s" s="57">
        <v>1274</v>
      </c>
      <c r="V162" t="s" s="57">
        <v>1275</v>
      </c>
      <c r="W162" t="s" s="57">
        <v>1276</v>
      </c>
      <c r="X162" s="60">
        <v>188</v>
      </c>
      <c r="Y162" t="s" s="57">
        <v>423</v>
      </c>
      <c r="Z162" s="54" cm="1">
        <f t="array" ref="Z162">M162</f>
        <v>985539000</v>
      </c>
      <c r="AA162" t="s" s="57">
        <v>1277</v>
      </c>
      <c r="AB162" s="61" cm="1">
        <f t="array" ref="AB162">AH162</f>
        <v>45832</v>
      </c>
      <c r="AC162" s="60">
        <v>360</v>
      </c>
      <c r="AD162" t="s" s="57">
        <v>106</v>
      </c>
      <c r="AE162" t="s" s="57">
        <v>107</v>
      </c>
      <c r="AF162" t="s" s="57">
        <v>14</v>
      </c>
      <c r="AG162" s="61">
        <v>45832</v>
      </c>
      <c r="AH162" s="61">
        <v>45832</v>
      </c>
      <c r="AI162" s="61"/>
      <c r="AJ162" s="100">
        <v>45834.416666666664</v>
      </c>
      <c r="AK162" s="61">
        <v>45834</v>
      </c>
      <c r="AL162" s="61">
        <v>45834</v>
      </c>
      <c r="AM162" s="61">
        <v>45834</v>
      </c>
      <c r="AN162" t="s" s="57">
        <v>1278</v>
      </c>
      <c r="AO162" s="100" cm="1">
        <f t="array" ref="AO162">AJ162</f>
        <v>45834.416666666664</v>
      </c>
      <c r="AP162" t="s" s="57">
        <v>1279</v>
      </c>
      <c r="AQ162" s="100" cm="1">
        <f t="array" ref="AQ162">AJ162</f>
        <v>45834.416666666664</v>
      </c>
      <c r="AR162" t="s" s="57">
        <v>1280</v>
      </c>
      <c r="AS162" s="100" cm="1">
        <f t="array" ref="AS162">AJ162</f>
        <v>45834.416666666664</v>
      </c>
      <c r="AT162" t="s" s="62">
        <v>1281</v>
      </c>
      <c r="AU162" s="100" cm="1">
        <f t="array" ref="AU162">AJ162</f>
        <v>45834.416666666664</v>
      </c>
      <c r="AV162" s="51"/>
      <c r="AW162" t="str" s="63" cm="1">
        <f t="array" ref="AW162">"600/"&amp;$B162&amp;"/"&amp;IF(AND($AE162="Konsultansi",M162&lt;=100000000),"SPK",IF(AND($AE162="Konsultansi",M162&gt;100000000),"Kont",IF(AND($AE162&lt;&gt;"Konsultansi",M162&lt;=200000000),"SPK","Kont")))&amp;"-"&amp;AE162&amp;"/PPK/DPUPR"</f>
        <v>600/56626938/Kont-Konstruksi/PPK/DPUPR</v>
      </c>
      <c r="AX162" t="str" s="63" cm="1">
        <f t="array" ref="AX162">"600/"&amp;$B162&amp;"/SPMK/PPK/DPUPR"</f>
        <v>600/56626938/SPMK/PPK/DPUPR</v>
      </c>
      <c r="AY162" s="51"/>
      <c r="AZ162" s="51"/>
      <c r="BA162" s="51"/>
      <c r="BB162" s="51"/>
      <c r="BC162" s="51"/>
      <c r="BD162" s="51"/>
      <c r="BE162" s="51"/>
      <c r="BF162" s="51"/>
      <c r="BG162" s="64">
        <v>230</v>
      </c>
      <c r="BH162" t="s" s="57">
        <v>1270</v>
      </c>
      <c r="BI162" t="s" s="57">
        <v>21</v>
      </c>
      <c r="BJ162" t="s" s="57">
        <v>22</v>
      </c>
      <c r="BK162" t="s" s="57">
        <v>23</v>
      </c>
      <c r="BL162" t="s" s="57">
        <v>24</v>
      </c>
      <c r="BM162" s="51"/>
      <c r="BN162" s="51"/>
      <c r="BO162" s="51"/>
      <c r="BP162" s="51"/>
      <c r="BQ162" s="51"/>
      <c r="BR162" t="b" s="60">
        <v>0</v>
      </c>
      <c r="BS162" s="54" cm="1">
        <f t="array" ref="BS162">IF(M162&lt;=0.8*K162,5%*K162,M162*5%)</f>
        <v>49276950</v>
      </c>
      <c r="BT162" t="s" s="57">
        <v>432</v>
      </c>
      <c r="BU162" s="51"/>
      <c r="BV162" s="54" cm="1">
        <f t="array" ref="BV162">J162-M162</f>
        <v>13666000</v>
      </c>
    </row>
    <row r="163" ht="48.25" customHeight="1">
      <c r="A163" s="47"/>
      <c r="B163" s="48">
        <v>56626939</v>
      </c>
      <c r="C163" t="s" s="89">
        <v>1284</v>
      </c>
      <c r="D163" t="s" s="76">
        <v>415</v>
      </c>
      <c r="E163" t="str" s="67" cm="1">
        <f t="array" ref="E163">$C163</f>
        <v>Pengembangan Jaringan Distribusi dan Sambungan Rumah Desa Karya Bersama Kec. Pasangkayu (DAK) </v>
      </c>
      <c r="F163" s="68"/>
      <c r="G163" s="67"/>
      <c r="H163" s="67"/>
      <c r="I163" s="67"/>
      <c r="J163" s="69">
        <v>1632733000</v>
      </c>
      <c r="K163" s="69">
        <v>1632690000</v>
      </c>
      <c r="L163" s="56">
        <v>1615560048.79</v>
      </c>
      <c r="M163" s="69">
        <v>1607625000</v>
      </c>
      <c r="N163" t="s" s="72">
        <v>1270</v>
      </c>
      <c r="O163" t="s" s="78">
        <v>1271</v>
      </c>
      <c r="P163" t="s" s="72">
        <v>4</v>
      </c>
      <c r="Q163" t="s" s="72">
        <v>1272</v>
      </c>
      <c r="R163" t="s" s="72">
        <v>1273</v>
      </c>
      <c r="S163" t="s" s="72">
        <v>519</v>
      </c>
      <c r="T163" s="71">
        <v>43472</v>
      </c>
      <c r="U163" t="s" s="72">
        <v>1274</v>
      </c>
      <c r="V163" t="s" s="72">
        <v>1275</v>
      </c>
      <c r="W163" t="s" s="72">
        <v>1276</v>
      </c>
      <c r="X163" s="79">
        <v>188</v>
      </c>
      <c r="Y163" t="s" s="72">
        <v>423</v>
      </c>
      <c r="Z163" s="69" cm="1">
        <f t="array" ref="Z163">M163</f>
        <v>1607625000</v>
      </c>
      <c r="AA163" t="s" s="72">
        <v>1277</v>
      </c>
      <c r="AB163" s="71" cm="1">
        <f t="array" ref="AB163">AH163</f>
        <v>45832</v>
      </c>
      <c r="AC163" s="79">
        <v>360</v>
      </c>
      <c r="AD163" t="s" s="72">
        <v>106</v>
      </c>
      <c r="AE163" t="s" s="72">
        <v>107</v>
      </c>
      <c r="AF163" t="s" s="72">
        <v>14</v>
      </c>
      <c r="AG163" s="71">
        <v>45832</v>
      </c>
      <c r="AH163" s="71">
        <v>45832</v>
      </c>
      <c r="AI163" s="71"/>
      <c r="AJ163" s="99">
        <v>45834.416666666664</v>
      </c>
      <c r="AK163" s="71">
        <v>45834</v>
      </c>
      <c r="AL163" s="71">
        <v>45834</v>
      </c>
      <c r="AM163" s="71">
        <v>45834</v>
      </c>
      <c r="AN163" t="s" s="72">
        <v>1286</v>
      </c>
      <c r="AO163" s="99" cm="1">
        <f t="array" ref="AO163">AJ163</f>
        <v>45834.416666666664</v>
      </c>
      <c r="AP163" t="s" s="72">
        <v>1287</v>
      </c>
      <c r="AQ163" s="99" cm="1">
        <f t="array" ref="AQ163">AJ163</f>
        <v>45834.416666666664</v>
      </c>
      <c r="AR163" t="s" s="72">
        <v>1288</v>
      </c>
      <c r="AS163" s="99" cm="1">
        <f t="array" ref="AS163">AJ163</f>
        <v>45834.416666666664</v>
      </c>
      <c r="AT163" t="s" s="62">
        <v>1289</v>
      </c>
      <c r="AU163" s="99" cm="1">
        <f t="array" ref="AU163">AJ163</f>
        <v>45834.416666666664</v>
      </c>
      <c r="AV163" s="67"/>
      <c r="AW163" t="str" s="74" cm="1">
        <f t="array" ref="AW163">"600/"&amp;$B163&amp;"/"&amp;IF(AND($AE163="Konsultansi",M163&lt;=100000000),"SPK",IF(AND($AE163="Konsultansi",M163&gt;100000000),"Kont",IF(AND($AE163&lt;&gt;"Konsultansi",M163&lt;=200000000),"SPK","Kont")))&amp;"-"&amp;AE163&amp;"/PPK/DPUPR"</f>
        <v>600/56626939/Kont-Konstruksi/PPK/DPUPR</v>
      </c>
      <c r="AX163" t="str" s="74" cm="1">
        <f t="array" ref="AX163">"600/"&amp;$B163&amp;"/SPMK/PPK/DPUPR"</f>
        <v>600/56626939/SPMK/PPK/DPUPR</v>
      </c>
      <c r="AY163" s="67"/>
      <c r="AZ163" s="67"/>
      <c r="BA163" s="67"/>
      <c r="BB163" s="67"/>
      <c r="BC163" s="67"/>
      <c r="BD163" s="67"/>
      <c r="BE163" s="67"/>
      <c r="BF163" s="67"/>
      <c r="BG163" s="80">
        <v>230</v>
      </c>
      <c r="BH163" t="s" s="72">
        <v>1270</v>
      </c>
      <c r="BI163" t="s" s="72">
        <v>21</v>
      </c>
      <c r="BJ163" t="s" s="72">
        <v>22</v>
      </c>
      <c r="BK163" t="s" s="72">
        <v>23</v>
      </c>
      <c r="BL163" t="s" s="72">
        <v>24</v>
      </c>
      <c r="BM163" s="67"/>
      <c r="BN163" s="67"/>
      <c r="BO163" s="67"/>
      <c r="BP163" s="67"/>
      <c r="BQ163" s="67"/>
      <c r="BR163" t="b" s="79">
        <v>0</v>
      </c>
      <c r="BS163" s="69" cm="1">
        <f t="array" ref="BS163">IF(M163&lt;=0.8*K163,5%*K163,M163*5%)</f>
        <v>80381250</v>
      </c>
      <c r="BT163" t="s" s="72">
        <v>432</v>
      </c>
      <c r="BU163" s="67"/>
      <c r="BV163" s="69" cm="1">
        <f t="array" ref="BV163">J163-M163</f>
        <v>25108000</v>
      </c>
    </row>
    <row r="164" ht="42.25" customHeight="1">
      <c r="A164" s="47"/>
      <c r="B164" s="48">
        <v>56626940</v>
      </c>
      <c r="C164" t="s" s="89">
        <v>1292</v>
      </c>
      <c r="D164" t="s" s="50">
        <v>415</v>
      </c>
      <c r="E164" t="str" s="51" cm="1">
        <f t="array" ref="E164">$C164</f>
        <v>Pengembangan Jaringan Distribusi dan Sambungan Rumah Desa Kasano Kec. Baras (DAK) </v>
      </c>
      <c r="F164" s="52"/>
      <c r="G164" s="51"/>
      <c r="H164" s="51"/>
      <c r="I164" s="51"/>
      <c r="J164" s="54">
        <v>913532000</v>
      </c>
      <c r="K164" s="54">
        <v>913434000</v>
      </c>
      <c r="L164" s="56">
        <v>903400413.25</v>
      </c>
      <c r="M164" s="54">
        <v>900518000</v>
      </c>
      <c r="N164" t="s" s="57">
        <v>1294</v>
      </c>
      <c r="O164" t="s" s="58">
        <v>1295</v>
      </c>
      <c r="P164" t="s" s="57">
        <v>4</v>
      </c>
      <c r="Q164" t="s" s="57">
        <v>1296</v>
      </c>
      <c r="R164" t="s" s="57">
        <v>1297</v>
      </c>
      <c r="S164" t="s" s="57">
        <v>1298</v>
      </c>
      <c r="T164" s="61">
        <v>45112</v>
      </c>
      <c r="U164" t="s" s="57">
        <v>1299</v>
      </c>
      <c r="V164" t="s" s="57">
        <v>1300</v>
      </c>
      <c r="W164" t="s" s="57">
        <v>1301</v>
      </c>
      <c r="X164" s="60">
        <v>188</v>
      </c>
      <c r="Y164" t="s" s="57">
        <v>423</v>
      </c>
      <c r="Z164" s="54" cm="1">
        <f t="array" ref="Z164">M164</f>
        <v>900518000</v>
      </c>
      <c r="AA164" t="s" s="57">
        <v>1277</v>
      </c>
      <c r="AB164" s="61" cm="1">
        <f t="array" ref="AB164">AH164</f>
        <v>45832</v>
      </c>
      <c r="AC164" s="60">
        <v>360</v>
      </c>
      <c r="AD164" t="s" s="57">
        <v>106</v>
      </c>
      <c r="AE164" t="s" s="57">
        <v>107</v>
      </c>
      <c r="AF164" t="s" s="57">
        <v>14</v>
      </c>
      <c r="AG164" s="61">
        <v>45832</v>
      </c>
      <c r="AH164" s="61">
        <v>45832</v>
      </c>
      <c r="AI164" s="61"/>
      <c r="AJ164" s="100">
        <v>45834.458333333336</v>
      </c>
      <c r="AK164" s="61">
        <v>45834</v>
      </c>
      <c r="AL164" s="61">
        <v>45834</v>
      </c>
      <c r="AM164" s="61">
        <v>45834</v>
      </c>
      <c r="AN164" t="s" s="57">
        <v>1302</v>
      </c>
      <c r="AO164" s="100" cm="1">
        <f t="array" ref="AO164">AJ164</f>
        <v>45834.458333333336</v>
      </c>
      <c r="AP164" t="s" s="57">
        <v>1303</v>
      </c>
      <c r="AQ164" s="100" cm="1">
        <f t="array" ref="AQ164">AJ164</f>
        <v>45834.458333333336</v>
      </c>
      <c r="AR164" t="s" s="57">
        <v>1304</v>
      </c>
      <c r="AS164" s="100" cm="1">
        <f t="array" ref="AS164">AJ164</f>
        <v>45834.458333333336</v>
      </c>
      <c r="AT164" t="s" s="62">
        <v>1305</v>
      </c>
      <c r="AU164" s="100" cm="1">
        <f t="array" ref="AU164">AJ164</f>
        <v>45834.458333333336</v>
      </c>
      <c r="AV164" s="51"/>
      <c r="AW164" t="str" s="63" cm="1">
        <f t="array" ref="AW164">"600/"&amp;$B164&amp;"/"&amp;IF(AND($AE164="Konsultansi",M164&lt;=100000000),"SPK",IF(AND($AE164="Konsultansi",M164&gt;100000000),"Kont",IF(AND($AE164&lt;&gt;"Konsultansi",M164&lt;=200000000),"SPK","Kont")))&amp;"-"&amp;AE164&amp;"/PPK/DPUPR"</f>
        <v>600/56626940/Kont-Konstruksi/PPK/DPUPR</v>
      </c>
      <c r="AX164" t="str" s="63" cm="1">
        <f t="array" ref="AX164">"600/"&amp;$B164&amp;"/SPMK/PPK/DPUPR"</f>
        <v>600/56626940/SPMK/PPK/DPUPR</v>
      </c>
      <c r="AY164" s="51"/>
      <c r="AZ164" s="51"/>
      <c r="BA164" s="51"/>
      <c r="BB164" s="51"/>
      <c r="BC164" s="51"/>
      <c r="BD164" s="51"/>
      <c r="BE164" s="51"/>
      <c r="BF164" s="51"/>
      <c r="BG164" s="64">
        <v>227</v>
      </c>
      <c r="BH164" t="s" s="57">
        <v>1294</v>
      </c>
      <c r="BI164" t="s" s="57">
        <v>21</v>
      </c>
      <c r="BJ164" t="s" s="57">
        <v>22</v>
      </c>
      <c r="BK164" t="s" s="57">
        <v>23</v>
      </c>
      <c r="BL164" t="s" s="57">
        <v>24</v>
      </c>
      <c r="BM164" s="51"/>
      <c r="BN164" s="51"/>
      <c r="BO164" s="51"/>
      <c r="BP164" s="51"/>
      <c r="BQ164" s="51"/>
      <c r="BR164" t="b" s="60">
        <v>0</v>
      </c>
      <c r="BS164" s="54" cm="1">
        <f t="array" ref="BS164">IF(M164&lt;=0.8*K164,5%*K164,M164*5%)</f>
        <v>45025900</v>
      </c>
      <c r="BT164" t="s" s="57">
        <v>432</v>
      </c>
      <c r="BU164" s="51"/>
      <c r="BV164" s="54" cm="1">
        <f t="array" ref="BV164">J164-M164</f>
        <v>13014000</v>
      </c>
    </row>
    <row r="165" ht="24.25" customHeight="1">
      <c r="A165" s="47"/>
      <c r="B165" s="47"/>
      <c r="C165" s="90"/>
      <c r="D165" s="66"/>
      <c r="E165" s="79" cm="1">
        <f t="array" ref="E165">$C165</f>
        <v>0</v>
      </c>
      <c r="F165" s="68"/>
      <c r="G165" s="67"/>
      <c r="H165" s="67"/>
      <c r="I165" s="67"/>
      <c r="J165" s="69"/>
      <c r="K165" s="69"/>
      <c r="L165" s="56"/>
      <c r="M165" s="69"/>
      <c r="N165" t="s" s="72">
        <v>174</v>
      </c>
      <c r="O165" t="s" s="78">
        <v>174</v>
      </c>
      <c r="P165" t="s" s="72">
        <v>174</v>
      </c>
      <c r="Q165" t="s" s="72">
        <v>174</v>
      </c>
      <c r="R165" t="s" s="72">
        <v>174</v>
      </c>
      <c r="S165" t="s" s="72">
        <v>174</v>
      </c>
      <c r="T165" t="s" s="72">
        <v>174</v>
      </c>
      <c r="U165" t="s" s="72">
        <v>174</v>
      </c>
      <c r="V165" t="s" s="72">
        <v>174</v>
      </c>
      <c r="W165" t="s" s="72">
        <v>174</v>
      </c>
      <c r="X165" s="67"/>
      <c r="Y165" s="67"/>
      <c r="Z165" s="69" cm="1">
        <f t="array" ref="Z165">M165</f>
        <v>0</v>
      </c>
      <c r="AA165" s="67"/>
      <c r="AB165" s="71" cm="1">
        <f t="array" ref="AB165">AH165</f>
      </c>
      <c r="AC165" s="67"/>
      <c r="AD165" s="67"/>
      <c r="AE165" t="s" s="72">
        <v>175</v>
      </c>
      <c r="AF165" s="67"/>
      <c r="AG165" s="71"/>
      <c r="AH165" s="71"/>
      <c r="AI165" s="71"/>
      <c r="AJ165" s="71"/>
      <c r="AK165" s="71"/>
      <c r="AL165" s="71"/>
      <c r="AM165" s="71"/>
      <c r="AN165" t="s" s="72">
        <v>390</v>
      </c>
      <c r="AO165" s="67" cm="1">
        <f t="array" ref="AO165">AJ165</f>
      </c>
      <c r="AP165" t="s" s="72">
        <v>391</v>
      </c>
      <c r="AQ165" s="67" cm="1">
        <f t="array" ref="AQ165">AJ165</f>
      </c>
      <c r="AR165" t="s" s="72">
        <v>392</v>
      </c>
      <c r="AS165" s="67" cm="1">
        <f t="array" ref="AS165">AJ165</f>
      </c>
      <c r="AT165" t="s" s="62">
        <v>393</v>
      </c>
      <c r="AU165" s="67" cm="1">
        <f t="array" ref="AU165">AJ165</f>
      </c>
      <c r="AV165" s="67"/>
      <c r="AW165" t="str" s="74" cm="1">
        <f t="array" ref="AW165">"600/"&amp;$B165&amp;"/"&amp;IF(AND($AE165="Konsultansi",M165&lt;=100000000),"SPK",IF(AND($AE165="Konsultansi",M165&gt;100000000),"Kont",IF(AND($AE165&lt;&gt;"Konsultansi",M165&lt;=200000000),"SPK","Kont")))&amp;"-"&amp;AE165&amp;"/PPK/DPUPR"</f>
        <v>600//SPK-Barang/PPK/DPUPR</v>
      </c>
      <c r="AX165" t="str" s="74" cm="1">
        <f t="array" ref="AX165">"600/"&amp;$B165&amp;"/SPMK/PPK/DPUPR"</f>
        <v>600//SPMK/PPK/DPUPR</v>
      </c>
      <c r="AY165" s="67"/>
      <c r="AZ165" s="67"/>
      <c r="BA165" s="67"/>
      <c r="BB165" s="67"/>
      <c r="BC165" s="67"/>
      <c r="BD165" s="67"/>
      <c r="BE165" s="67"/>
      <c r="BF165" s="67"/>
      <c r="BG165" s="75"/>
      <c r="BH165" t="s" s="72">
        <v>182</v>
      </c>
      <c r="BI165" t="s" s="72">
        <v>21</v>
      </c>
      <c r="BJ165" t="s" s="72">
        <v>22</v>
      </c>
      <c r="BK165" t="s" s="72">
        <v>23</v>
      </c>
      <c r="BL165" t="s" s="72">
        <v>24</v>
      </c>
      <c r="BM165" s="67"/>
      <c r="BN165" s="67"/>
      <c r="BO165" s="67"/>
      <c r="BP165" s="67"/>
      <c r="BQ165" s="67"/>
      <c r="BR165" t="b" s="79">
        <v>0</v>
      </c>
      <c r="BS165" s="69" cm="1">
        <f t="array" ref="BS165">IF(M165&lt;=0.8*K165,5%*K165,M165*5%)</f>
        <v>0</v>
      </c>
      <c r="BT165" t="s" s="72">
        <v>183</v>
      </c>
      <c r="BU165" s="67"/>
      <c r="BV165" s="69" cm="1">
        <f t="array" ref="BV165">J165-M165</f>
        <v>0</v>
      </c>
    </row>
    <row r="166" ht="36.25" customHeight="1">
      <c r="A166" s="47"/>
      <c r="B166" s="48">
        <v>59011019</v>
      </c>
      <c r="C166" t="s" s="49">
        <v>1308</v>
      </c>
      <c r="D166" t="s" s="50">
        <v>1</v>
      </c>
      <c r="E166" t="str" s="51" cm="1">
        <f t="array" ref="E166">$C166</f>
        <v>Peningkatan Jalan Ds Sarjo I</v>
      </c>
      <c r="F166" s="52"/>
      <c r="G166" s="51"/>
      <c r="H166" s="51"/>
      <c r="I166" s="51"/>
      <c r="J166" s="54">
        <v>170100000</v>
      </c>
      <c r="K166" s="54">
        <v>169839000</v>
      </c>
      <c r="L166" s="56">
        <v>169673297.82</v>
      </c>
      <c r="M166" s="54">
        <v>169673000</v>
      </c>
      <c r="N166" t="s" s="57">
        <v>1208</v>
      </c>
      <c r="O166" t="s" s="58">
        <v>1209</v>
      </c>
      <c r="P166" t="s" s="57">
        <v>4</v>
      </c>
      <c r="Q166" t="s" s="57">
        <v>1210</v>
      </c>
      <c r="R166" t="s" s="57">
        <v>1211</v>
      </c>
      <c r="S166" t="s" s="57">
        <v>1212</v>
      </c>
      <c r="T166" s="61">
        <v>43858</v>
      </c>
      <c r="U166" t="s" s="57">
        <v>149</v>
      </c>
      <c r="V166" t="s" s="57">
        <v>1213</v>
      </c>
      <c r="W166" t="s" s="57">
        <v>1214</v>
      </c>
      <c r="X166" s="60">
        <v>90</v>
      </c>
      <c r="Y166" t="s" s="57">
        <v>10</v>
      </c>
      <c r="Z166" s="54" cm="1">
        <f t="array" ref="Z166">M166</f>
        <v>169673000</v>
      </c>
      <c r="AA166" t="s" s="57">
        <v>11</v>
      </c>
      <c r="AB166" s="61" cm="1">
        <f t="array" ref="AB166">AH166</f>
        <v>45841</v>
      </c>
      <c r="AC166" s="60">
        <v>180</v>
      </c>
      <c r="AD166" t="s" s="57">
        <v>106</v>
      </c>
      <c r="AE166" t="s" s="57">
        <v>107</v>
      </c>
      <c r="AF166" t="s" s="57">
        <v>108</v>
      </c>
      <c r="AG166" s="61">
        <v>45840</v>
      </c>
      <c r="AH166" s="61">
        <v>45841</v>
      </c>
      <c r="AI166" s="61">
        <v>45841</v>
      </c>
      <c r="AJ166" s="61">
        <v>45841</v>
      </c>
      <c r="AK166" s="61">
        <v>45841</v>
      </c>
      <c r="AL166" s="61">
        <v>45841</v>
      </c>
      <c r="AM166" s="61">
        <v>45841</v>
      </c>
      <c r="AN166" t="s" s="57">
        <v>1309</v>
      </c>
      <c r="AO166" s="61" cm="1">
        <f t="array" ref="AO166">AJ166</f>
        <v>45841</v>
      </c>
      <c r="AP166" t="s" s="57">
        <v>1310</v>
      </c>
      <c r="AQ166" s="61" cm="1">
        <f t="array" ref="AQ166">AJ166</f>
        <v>45841</v>
      </c>
      <c r="AR166" t="s" s="57">
        <v>1311</v>
      </c>
      <c r="AS166" s="61" cm="1">
        <f t="array" ref="AS166">AJ166</f>
        <v>45841</v>
      </c>
      <c r="AT166" t="s" s="62">
        <v>1312</v>
      </c>
      <c r="AU166" s="61" cm="1">
        <f t="array" ref="AU166">AJ166</f>
        <v>45841</v>
      </c>
      <c r="AV166" s="51"/>
      <c r="AW166" t="str" s="63" cm="1">
        <f t="array" ref="AW166">"600/"&amp;$B166&amp;"/"&amp;IF(AND($AE166="Konsultansi",M166&lt;=100000000),"SPK",IF(AND($AE166="Konsultansi",M166&gt;100000000),"Kont",IF(AND($AE166&lt;&gt;"Konsultansi",M166&lt;=200000000),"SPK","Kont")))&amp;"-"&amp;AE166&amp;"/PPK/DPUPR"</f>
        <v>600/59011019/SPK-Konstruksi/PPK/DPUPR</v>
      </c>
      <c r="AX166" t="str" s="63" cm="1">
        <f t="array" ref="AX166">"600/"&amp;$B166&amp;"/SPMK/PPK/DPUPR"</f>
        <v>600/59011019/SPMK/PPK/DPUPR</v>
      </c>
      <c r="AY166" s="51"/>
      <c r="AZ166" s="51"/>
      <c r="BA166" s="51"/>
      <c r="BB166" s="51"/>
      <c r="BC166" s="51"/>
      <c r="BD166" s="51"/>
      <c r="BE166" s="51"/>
      <c r="BF166" s="51"/>
      <c r="BG166" s="64">
        <v>173</v>
      </c>
      <c r="BH166" t="s" s="57">
        <v>1208</v>
      </c>
      <c r="BI166" t="s" s="57">
        <v>21</v>
      </c>
      <c r="BJ166" t="s" s="57">
        <v>22</v>
      </c>
      <c r="BK166" t="s" s="57">
        <v>23</v>
      </c>
      <c r="BL166" t="s" s="57">
        <v>24</v>
      </c>
      <c r="BM166" s="51"/>
      <c r="BN166" s="51"/>
      <c r="BO166" s="51"/>
      <c r="BP166" s="51"/>
      <c r="BQ166" s="51"/>
      <c r="BR166" t="b" s="60">
        <v>0</v>
      </c>
      <c r="BS166" s="54" cm="1">
        <f t="array" ref="BS166">IF(M166&lt;=0.8*K166,5%*K166,M166*5%)</f>
        <v>8483650</v>
      </c>
      <c r="BT166" t="s" s="57">
        <v>25</v>
      </c>
      <c r="BU166" s="51"/>
      <c r="BV166" s="54" cm="1">
        <f t="array" ref="BV166">J166-M166</f>
        <v>427000</v>
      </c>
    </row>
    <row r="167" ht="36.25" customHeight="1">
      <c r="A167" s="47"/>
      <c r="B167" s="48">
        <v>59011053</v>
      </c>
      <c r="C167" t="s" s="49">
        <v>1315</v>
      </c>
      <c r="D167" t="s" s="76">
        <v>1</v>
      </c>
      <c r="E167" t="str" s="67" cm="1">
        <f t="array" ref="E167">$C167</f>
        <v>Peningkatan Jalan Ds Sarjo II</v>
      </c>
      <c r="F167" s="68"/>
      <c r="G167" s="67"/>
      <c r="H167" s="67"/>
      <c r="I167" s="67"/>
      <c r="J167" s="69">
        <v>170100000</v>
      </c>
      <c r="K167" s="69">
        <v>169898000</v>
      </c>
      <c r="L167" s="56">
        <v>169699162.74</v>
      </c>
      <c r="M167" s="69">
        <v>169699000</v>
      </c>
      <c r="N167" t="s" s="72">
        <v>1208</v>
      </c>
      <c r="O167" t="s" s="78">
        <v>1209</v>
      </c>
      <c r="P167" t="s" s="72">
        <v>4</v>
      </c>
      <c r="Q167" t="s" s="72">
        <v>1210</v>
      </c>
      <c r="R167" t="s" s="72">
        <v>1211</v>
      </c>
      <c r="S167" t="s" s="72">
        <v>1212</v>
      </c>
      <c r="T167" s="71">
        <v>43858</v>
      </c>
      <c r="U167" t="s" s="72">
        <v>149</v>
      </c>
      <c r="V167" t="s" s="72">
        <v>1213</v>
      </c>
      <c r="W167" t="s" s="72">
        <v>1214</v>
      </c>
      <c r="X167" s="79">
        <v>90</v>
      </c>
      <c r="Y167" t="s" s="72">
        <v>10</v>
      </c>
      <c r="Z167" s="69" cm="1">
        <f t="array" ref="Z167">M167</f>
        <v>169699000</v>
      </c>
      <c r="AA167" t="s" s="72">
        <v>11</v>
      </c>
      <c r="AB167" s="71" cm="1">
        <f t="array" ref="AB167">AH167</f>
        <v>45841</v>
      </c>
      <c r="AC167" s="79">
        <v>180</v>
      </c>
      <c r="AD167" t="s" s="72">
        <v>106</v>
      </c>
      <c r="AE167" t="s" s="72">
        <v>107</v>
      </c>
      <c r="AF167" t="s" s="72">
        <v>108</v>
      </c>
      <c r="AG167" s="71">
        <v>45840</v>
      </c>
      <c r="AH167" s="71">
        <v>45841</v>
      </c>
      <c r="AI167" s="71">
        <v>45841</v>
      </c>
      <c r="AJ167" s="71">
        <v>45841</v>
      </c>
      <c r="AK167" s="71">
        <v>45841</v>
      </c>
      <c r="AL167" s="71">
        <v>45841</v>
      </c>
      <c r="AM167" s="71">
        <v>45841</v>
      </c>
      <c r="AN167" t="s" s="72">
        <v>1316</v>
      </c>
      <c r="AO167" s="71" cm="1">
        <f t="array" ref="AO167">AJ167</f>
        <v>45841</v>
      </c>
      <c r="AP167" t="s" s="72">
        <v>1317</v>
      </c>
      <c r="AQ167" s="71" cm="1">
        <f t="array" ref="AQ167">AJ167</f>
        <v>45841</v>
      </c>
      <c r="AR167" t="s" s="72">
        <v>1318</v>
      </c>
      <c r="AS167" s="71" cm="1">
        <f t="array" ref="AS167">AJ167</f>
        <v>45841</v>
      </c>
      <c r="AT167" t="s" s="62">
        <v>1319</v>
      </c>
      <c r="AU167" s="71" cm="1">
        <f t="array" ref="AU167">AJ167</f>
        <v>45841</v>
      </c>
      <c r="AV167" s="67"/>
      <c r="AW167" t="str" s="74" cm="1">
        <f t="array" ref="AW167">"600/"&amp;$B167&amp;"/"&amp;IF(AND($AE167="Konsultansi",M167&lt;=100000000),"SPK",IF(AND($AE167="Konsultansi",M167&gt;100000000),"Kont",IF(AND($AE167&lt;&gt;"Konsultansi",M167&lt;=200000000),"SPK","Kont")))&amp;"-"&amp;AE167&amp;"/PPK/DPUPR"</f>
        <v>600/59011053/SPK-Konstruksi/PPK/DPUPR</v>
      </c>
      <c r="AX167" t="str" s="74" cm="1">
        <f t="array" ref="AX167">"600/"&amp;$B167&amp;"/SPMK/PPK/DPUPR"</f>
        <v>600/59011053/SPMK/PPK/DPUPR</v>
      </c>
      <c r="AY167" s="67"/>
      <c r="AZ167" s="67"/>
      <c r="BA167" s="67"/>
      <c r="BB167" s="67"/>
      <c r="BC167" s="67"/>
      <c r="BD167" s="67"/>
      <c r="BE167" s="67"/>
      <c r="BF167" s="67"/>
      <c r="BG167" s="80">
        <v>173</v>
      </c>
      <c r="BH167" t="s" s="72">
        <v>1208</v>
      </c>
      <c r="BI167" t="s" s="72">
        <v>21</v>
      </c>
      <c r="BJ167" t="s" s="72">
        <v>22</v>
      </c>
      <c r="BK167" t="s" s="72">
        <v>23</v>
      </c>
      <c r="BL167" t="s" s="72">
        <v>24</v>
      </c>
      <c r="BM167" s="67"/>
      <c r="BN167" s="67"/>
      <c r="BO167" s="67"/>
      <c r="BP167" s="67"/>
      <c r="BQ167" s="67"/>
      <c r="BR167" t="b" s="79">
        <v>0</v>
      </c>
      <c r="BS167" s="69" cm="1">
        <f t="array" ref="BS167">IF(M167&lt;=0.8*K167,5%*K167,M167*5%)</f>
        <v>8484950</v>
      </c>
      <c r="BT167" t="s" s="72">
        <v>25</v>
      </c>
      <c r="BU167" s="67"/>
      <c r="BV167" s="69" cm="1">
        <f t="array" ref="BV167">J167-M167</f>
        <v>401000</v>
      </c>
    </row>
    <row r="168" ht="36.25" customHeight="1">
      <c r="A168" s="47"/>
      <c r="B168" s="48">
        <v>59011075</v>
      </c>
      <c r="C168" t="s" s="49">
        <v>1322</v>
      </c>
      <c r="D168" t="s" s="50">
        <v>1</v>
      </c>
      <c r="E168" t="str" s="51" cm="1">
        <f t="array" ref="E168">$C168</f>
        <v>Peningkatan Jalan Sipakainga</v>
      </c>
      <c r="F168" s="52"/>
      <c r="G168" s="51"/>
      <c r="H168" s="51"/>
      <c r="I168" s="51"/>
      <c r="J168" s="54">
        <v>170100000</v>
      </c>
      <c r="K168" s="54">
        <v>169979000</v>
      </c>
      <c r="L168" s="56">
        <v>169748141.66</v>
      </c>
      <c r="M168" s="54">
        <v>169748000</v>
      </c>
      <c r="N168" t="s" s="57">
        <v>1323</v>
      </c>
      <c r="O168" t="s" s="58">
        <v>1324</v>
      </c>
      <c r="P168" t="s" s="57">
        <v>4</v>
      </c>
      <c r="Q168" t="s" s="57">
        <v>1325</v>
      </c>
      <c r="R168" t="s" s="57">
        <v>1326</v>
      </c>
      <c r="S168" t="s" s="57">
        <v>1327</v>
      </c>
      <c r="T168" s="61">
        <v>45608</v>
      </c>
      <c r="U168" t="s" s="57">
        <v>149</v>
      </c>
      <c r="V168" t="s" s="57">
        <v>1328</v>
      </c>
      <c r="W168" t="s" s="57">
        <v>1329</v>
      </c>
      <c r="X168" s="60">
        <v>90</v>
      </c>
      <c r="Y168" t="s" s="57">
        <v>10</v>
      </c>
      <c r="Z168" s="54" cm="1">
        <f t="array" ref="Z168">M168</f>
        <v>169748000</v>
      </c>
      <c r="AA168" t="s" s="57">
        <v>11</v>
      </c>
      <c r="AB168" s="61" cm="1">
        <f t="array" ref="AB168">AH168</f>
        <v>45841</v>
      </c>
      <c r="AC168" s="60">
        <v>180</v>
      </c>
      <c r="AD168" t="s" s="57">
        <v>106</v>
      </c>
      <c r="AE168" t="s" s="57">
        <v>107</v>
      </c>
      <c r="AF168" t="s" s="57">
        <v>108</v>
      </c>
      <c r="AG168" s="61">
        <v>45840</v>
      </c>
      <c r="AH168" s="61">
        <v>45841</v>
      </c>
      <c r="AI168" s="61">
        <v>45841</v>
      </c>
      <c r="AJ168" s="61">
        <v>45841</v>
      </c>
      <c r="AK168" s="61">
        <v>45841</v>
      </c>
      <c r="AL168" s="61">
        <v>45841</v>
      </c>
      <c r="AM168" s="61">
        <v>45841</v>
      </c>
      <c r="AN168" t="s" s="57">
        <v>1330</v>
      </c>
      <c r="AO168" s="61" cm="1">
        <f t="array" ref="AO168">AJ168</f>
        <v>45841</v>
      </c>
      <c r="AP168" t="s" s="57">
        <v>1331</v>
      </c>
      <c r="AQ168" s="61" cm="1">
        <f t="array" ref="AQ168">AJ168</f>
        <v>45841</v>
      </c>
      <c r="AR168" t="s" s="57">
        <v>1332</v>
      </c>
      <c r="AS168" s="61" cm="1">
        <f t="array" ref="AS168">AJ168</f>
        <v>45841</v>
      </c>
      <c r="AT168" t="s" s="62">
        <v>1333</v>
      </c>
      <c r="AU168" s="61" cm="1">
        <f t="array" ref="AU168">AJ168</f>
        <v>45841</v>
      </c>
      <c r="AV168" s="51"/>
      <c r="AW168" t="str" s="63" cm="1">
        <f t="array" ref="AW168">"600/"&amp;$B168&amp;"/"&amp;IF(AND($AE168="Konsultansi",M168&lt;=100000000),"SPK",IF(AND($AE168="Konsultansi",M168&gt;100000000),"Kont",IF(AND($AE168&lt;&gt;"Konsultansi",M168&lt;=200000000),"SPK","Kont")))&amp;"-"&amp;AE168&amp;"/PPK/DPUPR"</f>
        <v>600/59011075/SPK-Konstruksi/PPK/DPUPR</v>
      </c>
      <c r="AX168" t="str" s="63" cm="1">
        <f t="array" ref="AX168">"600/"&amp;$B168&amp;"/SPMK/PPK/DPUPR"</f>
        <v>600/59011075/SPMK/PPK/DPUPR</v>
      </c>
      <c r="AY168" s="51"/>
      <c r="AZ168" s="51"/>
      <c r="BA168" s="51"/>
      <c r="BB168" s="51"/>
      <c r="BC168" s="51"/>
      <c r="BD168" s="51"/>
      <c r="BE168" s="51"/>
      <c r="BF168" s="51"/>
      <c r="BG168" s="64">
        <v>257</v>
      </c>
      <c r="BH168" t="s" s="57">
        <v>1323</v>
      </c>
      <c r="BI168" t="s" s="57">
        <v>21</v>
      </c>
      <c r="BJ168" t="s" s="57">
        <v>22</v>
      </c>
      <c r="BK168" t="s" s="57">
        <v>23</v>
      </c>
      <c r="BL168" t="s" s="57">
        <v>24</v>
      </c>
      <c r="BM168" s="51"/>
      <c r="BN168" s="51"/>
      <c r="BO168" s="51"/>
      <c r="BP168" s="51"/>
      <c r="BQ168" s="51"/>
      <c r="BR168" t="b" s="60">
        <v>0</v>
      </c>
      <c r="BS168" s="54" cm="1">
        <f t="array" ref="BS168">IF(M168&lt;=0.8*K168,5%*K168,M168*5%)</f>
        <v>8487400</v>
      </c>
      <c r="BT168" t="s" s="57">
        <v>25</v>
      </c>
      <c r="BU168" s="51"/>
      <c r="BV168" s="54" cm="1">
        <f t="array" ref="BV168">J168-M168</f>
        <v>352000</v>
      </c>
    </row>
    <row r="169" ht="36.25" customHeight="1">
      <c r="A169" s="47"/>
      <c r="B169" s="48">
        <v>59011093</v>
      </c>
      <c r="C169" t="s" s="49">
        <v>1336</v>
      </c>
      <c r="D169" t="s" s="76">
        <v>1</v>
      </c>
      <c r="E169" t="str" s="67" cm="1">
        <f t="array" ref="E169">$C169</f>
        <v>Peningkatan Jalan Kuma Sipakainga</v>
      </c>
      <c r="F169" s="68"/>
      <c r="G169" s="67"/>
      <c r="H169" s="67"/>
      <c r="I169" s="67"/>
      <c r="J169" s="69">
        <v>170100000</v>
      </c>
      <c r="K169" s="69">
        <v>169897000</v>
      </c>
      <c r="L169" s="56">
        <v>169710646.16</v>
      </c>
      <c r="M169" s="69">
        <v>169710000</v>
      </c>
      <c r="N169" t="s" s="72">
        <v>1323</v>
      </c>
      <c r="O169" t="s" s="78">
        <v>1324</v>
      </c>
      <c r="P169" t="s" s="72">
        <v>4</v>
      </c>
      <c r="Q169" t="s" s="72">
        <v>1325</v>
      </c>
      <c r="R169" t="s" s="72">
        <v>1326</v>
      </c>
      <c r="S169" t="s" s="72">
        <v>1327</v>
      </c>
      <c r="T169" s="71">
        <v>45608</v>
      </c>
      <c r="U169" t="s" s="72">
        <v>149</v>
      </c>
      <c r="V169" t="s" s="72">
        <v>1328</v>
      </c>
      <c r="W169" t="s" s="72">
        <v>1329</v>
      </c>
      <c r="X169" s="79">
        <v>90</v>
      </c>
      <c r="Y169" t="s" s="72">
        <v>10</v>
      </c>
      <c r="Z169" s="69" cm="1">
        <f t="array" ref="Z169">M169</f>
        <v>169710000</v>
      </c>
      <c r="AA169" t="s" s="72">
        <v>11</v>
      </c>
      <c r="AB169" s="71" cm="1">
        <f t="array" ref="AB169">AH169</f>
        <v>45841</v>
      </c>
      <c r="AC169" s="79">
        <v>180</v>
      </c>
      <c r="AD169" t="s" s="72">
        <v>106</v>
      </c>
      <c r="AE169" t="s" s="72">
        <v>107</v>
      </c>
      <c r="AF169" t="s" s="72">
        <v>108</v>
      </c>
      <c r="AG169" s="71">
        <v>45840</v>
      </c>
      <c r="AH169" s="71">
        <v>45841</v>
      </c>
      <c r="AI169" s="71">
        <v>45841</v>
      </c>
      <c r="AJ169" s="71">
        <v>45841</v>
      </c>
      <c r="AK169" s="71">
        <v>45841</v>
      </c>
      <c r="AL169" s="71">
        <v>45841</v>
      </c>
      <c r="AM169" s="71">
        <v>45841</v>
      </c>
      <c r="AN169" t="s" s="72">
        <v>1337</v>
      </c>
      <c r="AO169" s="71" cm="1">
        <f t="array" ref="AO169">AJ169</f>
        <v>45841</v>
      </c>
      <c r="AP169" t="s" s="72">
        <v>1338</v>
      </c>
      <c r="AQ169" s="71" cm="1">
        <f t="array" ref="AQ169">AJ169</f>
        <v>45841</v>
      </c>
      <c r="AR169" t="s" s="72">
        <v>1339</v>
      </c>
      <c r="AS169" s="71" cm="1">
        <f t="array" ref="AS169">AJ169</f>
        <v>45841</v>
      </c>
      <c r="AT169" t="s" s="62">
        <v>1340</v>
      </c>
      <c r="AU169" s="71" cm="1">
        <f t="array" ref="AU169">AJ169</f>
        <v>45841</v>
      </c>
      <c r="AV169" s="67"/>
      <c r="AW169" t="str" s="74" cm="1">
        <f t="array" ref="AW169">"600/"&amp;$B169&amp;"/"&amp;IF(AND($AE169="Konsultansi",M169&lt;=100000000),"SPK",IF(AND($AE169="Konsultansi",M169&gt;100000000),"Kont",IF(AND($AE169&lt;&gt;"Konsultansi",M169&lt;=200000000),"SPK","Kont")))&amp;"-"&amp;AE169&amp;"/PPK/DPUPR"</f>
        <v>600/59011093/SPK-Konstruksi/PPK/DPUPR</v>
      </c>
      <c r="AX169" t="str" s="74" cm="1">
        <f t="array" ref="AX169">"600/"&amp;$B169&amp;"/SPMK/PPK/DPUPR"</f>
        <v>600/59011093/SPMK/PPK/DPUPR</v>
      </c>
      <c r="AY169" s="67"/>
      <c r="AZ169" s="67"/>
      <c r="BA169" s="67"/>
      <c r="BB169" s="67"/>
      <c r="BC169" s="67"/>
      <c r="BD169" s="67"/>
      <c r="BE169" s="67"/>
      <c r="BF169" s="67"/>
      <c r="BG169" s="80">
        <v>257</v>
      </c>
      <c r="BH169" t="s" s="72">
        <v>1323</v>
      </c>
      <c r="BI169" t="s" s="72">
        <v>21</v>
      </c>
      <c r="BJ169" t="s" s="72">
        <v>22</v>
      </c>
      <c r="BK169" t="s" s="72">
        <v>23</v>
      </c>
      <c r="BL169" t="s" s="72">
        <v>24</v>
      </c>
      <c r="BM169" s="67"/>
      <c r="BN169" s="67"/>
      <c r="BO169" s="67"/>
      <c r="BP169" s="67"/>
      <c r="BQ169" s="67"/>
      <c r="BR169" t="b" s="79">
        <v>0</v>
      </c>
      <c r="BS169" s="69" cm="1">
        <f t="array" ref="BS169">IF(M169&lt;=0.8*K169,5%*K169,M169*5%)</f>
        <v>8485500</v>
      </c>
      <c r="BT169" t="s" s="72">
        <v>25</v>
      </c>
      <c r="BU169" s="67"/>
      <c r="BV169" s="69" cm="1">
        <f t="array" ref="BV169">J169-M169</f>
        <v>390000</v>
      </c>
    </row>
    <row r="170" ht="36.25" customHeight="1">
      <c r="A170" s="47"/>
      <c r="B170" s="48">
        <v>59011140</v>
      </c>
      <c r="C170" t="s" s="49">
        <v>1343</v>
      </c>
      <c r="D170" t="s" s="50">
        <v>1</v>
      </c>
      <c r="E170" t="str" s="51" cm="1">
        <f t="array" ref="E170">$C170</f>
        <v>Peningkatan Jalan Ds Baras I</v>
      </c>
      <c r="F170" s="52"/>
      <c r="G170" s="51"/>
      <c r="H170" s="51"/>
      <c r="I170" s="51"/>
      <c r="J170" s="54">
        <v>170100000</v>
      </c>
      <c r="K170" s="54">
        <v>169834000</v>
      </c>
      <c r="L170" s="56">
        <v>169748095.25</v>
      </c>
      <c r="M170" s="54">
        <v>169748000</v>
      </c>
      <c r="N170" t="s" s="57">
        <v>1323</v>
      </c>
      <c r="O170" t="s" s="58">
        <v>1324</v>
      </c>
      <c r="P170" t="s" s="57">
        <v>4</v>
      </c>
      <c r="Q170" t="s" s="57">
        <v>1325</v>
      </c>
      <c r="R170" t="s" s="57">
        <v>1326</v>
      </c>
      <c r="S170" t="s" s="57">
        <v>1327</v>
      </c>
      <c r="T170" s="61">
        <v>45608</v>
      </c>
      <c r="U170" t="s" s="57">
        <v>149</v>
      </c>
      <c r="V170" t="s" s="57">
        <v>1328</v>
      </c>
      <c r="W170" t="s" s="57">
        <v>1329</v>
      </c>
      <c r="X170" s="60">
        <v>90</v>
      </c>
      <c r="Y170" t="s" s="57">
        <v>10</v>
      </c>
      <c r="Z170" s="54" cm="1">
        <f t="array" ref="Z170">M170</f>
        <v>169748000</v>
      </c>
      <c r="AA170" t="s" s="57">
        <v>11</v>
      </c>
      <c r="AB170" s="61" cm="1">
        <f t="array" ref="AB170">AH170</f>
        <v>45841</v>
      </c>
      <c r="AC170" s="60">
        <v>180</v>
      </c>
      <c r="AD170" t="s" s="57">
        <v>106</v>
      </c>
      <c r="AE170" t="s" s="57">
        <v>107</v>
      </c>
      <c r="AF170" t="s" s="57">
        <v>108</v>
      </c>
      <c r="AG170" s="61">
        <v>45840</v>
      </c>
      <c r="AH170" s="61">
        <v>45841</v>
      </c>
      <c r="AI170" s="61">
        <v>45841</v>
      </c>
      <c r="AJ170" s="61">
        <v>45841</v>
      </c>
      <c r="AK170" s="61">
        <v>45841</v>
      </c>
      <c r="AL170" s="61">
        <v>45841</v>
      </c>
      <c r="AM170" s="61">
        <v>45841</v>
      </c>
      <c r="AN170" t="s" s="57">
        <v>1344</v>
      </c>
      <c r="AO170" s="61" cm="1">
        <f t="array" ref="AO170">AJ170</f>
        <v>45841</v>
      </c>
      <c r="AP170" t="s" s="57">
        <v>1345</v>
      </c>
      <c r="AQ170" s="61" cm="1">
        <f t="array" ref="AQ170">AJ170</f>
        <v>45841</v>
      </c>
      <c r="AR170" t="s" s="57">
        <v>1346</v>
      </c>
      <c r="AS170" s="61" cm="1">
        <f t="array" ref="AS170">AJ170</f>
        <v>45841</v>
      </c>
      <c r="AT170" t="s" s="62">
        <v>1347</v>
      </c>
      <c r="AU170" s="61" cm="1">
        <f t="array" ref="AU170">AJ170</f>
        <v>45841</v>
      </c>
      <c r="AV170" s="51"/>
      <c r="AW170" t="str" s="63" cm="1">
        <f t="array" ref="AW170">"600/"&amp;$B170&amp;"/"&amp;IF(AND($AE170="Konsultansi",M170&lt;=100000000),"SPK",IF(AND($AE170="Konsultansi",M170&gt;100000000),"Kont",IF(AND($AE170&lt;&gt;"Konsultansi",M170&lt;=200000000),"SPK","Kont")))&amp;"-"&amp;AE170&amp;"/PPK/DPUPR"</f>
        <v>600/59011140/SPK-Konstruksi/PPK/DPUPR</v>
      </c>
      <c r="AX170" t="str" s="63" cm="1">
        <f t="array" ref="AX170">"600/"&amp;$B170&amp;"/SPMK/PPK/DPUPR"</f>
        <v>600/59011140/SPMK/PPK/DPUPR</v>
      </c>
      <c r="AY170" s="51"/>
      <c r="AZ170" s="51"/>
      <c r="BA170" s="51"/>
      <c r="BB170" s="51"/>
      <c r="BC170" s="51"/>
      <c r="BD170" s="51"/>
      <c r="BE170" s="51"/>
      <c r="BF170" s="51"/>
      <c r="BG170" s="64">
        <v>257</v>
      </c>
      <c r="BH170" t="s" s="57">
        <v>1323</v>
      </c>
      <c r="BI170" t="s" s="57">
        <v>21</v>
      </c>
      <c r="BJ170" t="s" s="57">
        <v>22</v>
      </c>
      <c r="BK170" t="s" s="57">
        <v>23</v>
      </c>
      <c r="BL170" t="s" s="57">
        <v>24</v>
      </c>
      <c r="BM170" s="51"/>
      <c r="BN170" s="51"/>
      <c r="BO170" s="51"/>
      <c r="BP170" s="51"/>
      <c r="BQ170" s="51"/>
      <c r="BR170" t="b" s="60">
        <v>0</v>
      </c>
      <c r="BS170" s="54" cm="1">
        <f t="array" ref="BS170">IF(M170&lt;=0.8*K170,5%*K170,M170*5%)</f>
        <v>8487400</v>
      </c>
      <c r="BT170" t="s" s="57">
        <v>25</v>
      </c>
      <c r="BU170" s="51"/>
      <c r="BV170" s="54" cm="1">
        <f t="array" ref="BV170">J170-M170</f>
        <v>352000</v>
      </c>
    </row>
    <row r="171" ht="24.25" customHeight="1">
      <c r="A171" s="47"/>
      <c r="B171" s="47"/>
      <c r="C171" s="90"/>
      <c r="D171" s="66"/>
      <c r="E171" s="79" cm="1">
        <f t="array" ref="E171">$C171</f>
        <v>0</v>
      </c>
      <c r="F171" s="68"/>
      <c r="G171" s="67"/>
      <c r="H171" s="67"/>
      <c r="I171" s="67"/>
      <c r="J171" s="69"/>
      <c r="K171" s="69"/>
      <c r="L171" s="56"/>
      <c r="M171" s="69"/>
      <c r="N171" t="s" s="72">
        <v>174</v>
      </c>
      <c r="O171" t="s" s="78">
        <v>174</v>
      </c>
      <c r="P171" t="s" s="72">
        <v>174</v>
      </c>
      <c r="Q171" t="s" s="72">
        <v>174</v>
      </c>
      <c r="R171" t="s" s="72">
        <v>174</v>
      </c>
      <c r="S171" t="s" s="72">
        <v>174</v>
      </c>
      <c r="T171" t="s" s="72">
        <v>174</v>
      </c>
      <c r="U171" t="s" s="72">
        <v>174</v>
      </c>
      <c r="V171" t="s" s="72">
        <v>174</v>
      </c>
      <c r="W171" t="s" s="72">
        <v>174</v>
      </c>
      <c r="X171" s="79">
        <v>90</v>
      </c>
      <c r="Y171" t="s" s="72">
        <v>10</v>
      </c>
      <c r="Z171" s="69" cm="1">
        <f t="array" ref="Z171">M171</f>
        <v>0</v>
      </c>
      <c r="AA171" t="s" s="72">
        <v>11</v>
      </c>
      <c r="AB171" s="71" cm="1">
        <f t="array" ref="AB171">AH171</f>
      </c>
      <c r="AC171" s="67"/>
      <c r="AD171" s="67"/>
      <c r="AE171" t="s" s="72">
        <v>175</v>
      </c>
      <c r="AF171" s="67"/>
      <c r="AG171" s="71"/>
      <c r="AH171" s="71"/>
      <c r="AI171" s="71"/>
      <c r="AJ171" s="71"/>
      <c r="AK171" s="71"/>
      <c r="AL171" s="71"/>
      <c r="AM171" s="71"/>
      <c r="AN171" t="s" s="72">
        <v>390</v>
      </c>
      <c r="AO171" s="67" cm="1">
        <f t="array" ref="AO171">AJ171</f>
      </c>
      <c r="AP171" t="s" s="72">
        <v>391</v>
      </c>
      <c r="AQ171" s="67" cm="1">
        <f t="array" ref="AQ171">AJ171</f>
      </c>
      <c r="AR171" t="s" s="72">
        <v>392</v>
      </c>
      <c r="AS171" s="67" cm="1">
        <f t="array" ref="AS171">AJ171</f>
      </c>
      <c r="AT171" t="s" s="62">
        <v>393</v>
      </c>
      <c r="AU171" s="67" cm="1">
        <f t="array" ref="AU171">AJ171</f>
      </c>
      <c r="AV171" s="67"/>
      <c r="AW171" t="str" s="74" cm="1">
        <f t="array" ref="AW171">"600/"&amp;$B171&amp;"/"&amp;IF(AND($AE171="Konsultansi",M171&lt;=100000000),"SPK",IF(AND($AE171="Konsultansi",M171&gt;100000000),"Kont",IF(AND($AE171&lt;&gt;"Konsultansi",M171&lt;=200000000),"SPK","Kont")))&amp;"-"&amp;AE171&amp;"/PPK/DPUPR"</f>
        <v>600//SPK-Barang/PPK/DPUPR</v>
      </c>
      <c r="AX171" t="str" s="74" cm="1">
        <f t="array" ref="AX171">"600/"&amp;$B171&amp;"/SPMK/PPK/DPUPR"</f>
        <v>600//SPMK/PPK/DPUPR</v>
      </c>
      <c r="AY171" s="67"/>
      <c r="AZ171" s="67"/>
      <c r="BA171" s="67"/>
      <c r="BB171" s="67"/>
      <c r="BC171" s="67"/>
      <c r="BD171" s="67"/>
      <c r="BE171" s="67"/>
      <c r="BF171" s="67"/>
      <c r="BG171" s="75"/>
      <c r="BH171" t="s" s="72">
        <v>182</v>
      </c>
      <c r="BI171" t="s" s="72">
        <v>21</v>
      </c>
      <c r="BJ171" t="s" s="72">
        <v>22</v>
      </c>
      <c r="BK171" t="s" s="72">
        <v>23</v>
      </c>
      <c r="BL171" t="s" s="72">
        <v>24</v>
      </c>
      <c r="BM171" s="67"/>
      <c r="BN171" s="67"/>
      <c r="BO171" s="67"/>
      <c r="BP171" s="67"/>
      <c r="BQ171" s="67"/>
      <c r="BR171" t="b" s="79">
        <v>0</v>
      </c>
      <c r="BS171" s="69" cm="1">
        <f t="array" ref="BS171">IF(M171&lt;=0.8*K171,5%*K171,M171*5%)</f>
        <v>0</v>
      </c>
      <c r="BT171" t="s" s="72">
        <v>183</v>
      </c>
      <c r="BU171" s="67"/>
      <c r="BV171" s="69" cm="1">
        <f t="array" ref="BV171">J171-M171</f>
        <v>0</v>
      </c>
    </row>
    <row r="172" ht="36.25" customHeight="1">
      <c r="A172" s="47"/>
      <c r="B172" s="48">
        <v>59010947</v>
      </c>
      <c r="C172" t="s" s="89">
        <v>1350</v>
      </c>
      <c r="D172" t="s" s="50">
        <v>1</v>
      </c>
      <c r="E172" t="str" s="51" cm="1">
        <f t="array" ref="E172">$C172</f>
        <v>Peningkatan Jalan Maponu II</v>
      </c>
      <c r="F172" s="52"/>
      <c r="G172" s="51"/>
      <c r="H172" s="51"/>
      <c r="I172" s="51"/>
      <c r="J172" s="54">
        <v>170100000</v>
      </c>
      <c r="K172" s="54">
        <v>169803000</v>
      </c>
      <c r="L172" s="56">
        <v>169769044.18</v>
      </c>
      <c r="M172" s="54">
        <v>169769000</v>
      </c>
      <c r="N172" t="s" s="57">
        <v>1323</v>
      </c>
      <c r="O172" t="s" s="58">
        <v>1324</v>
      </c>
      <c r="P172" t="s" s="57">
        <v>4</v>
      </c>
      <c r="Q172" t="s" s="57">
        <v>1325</v>
      </c>
      <c r="R172" t="s" s="57">
        <v>1326</v>
      </c>
      <c r="S172" t="s" s="57">
        <v>1327</v>
      </c>
      <c r="T172" s="61">
        <v>45608</v>
      </c>
      <c r="U172" t="s" s="57">
        <v>149</v>
      </c>
      <c r="V172" t="s" s="57">
        <v>1328</v>
      </c>
      <c r="W172" t="s" s="57">
        <v>1329</v>
      </c>
      <c r="X172" s="60">
        <v>90</v>
      </c>
      <c r="Y172" t="s" s="57">
        <v>10</v>
      </c>
      <c r="Z172" s="54" cm="1">
        <f t="array" ref="Z172">M172</f>
        <v>169769000</v>
      </c>
      <c r="AA172" t="s" s="57">
        <v>11</v>
      </c>
      <c r="AB172" s="61" cm="1">
        <f t="array" ref="AB172">AH172</f>
        <v>45846</v>
      </c>
      <c r="AC172" s="60">
        <v>180</v>
      </c>
      <c r="AD172" t="s" s="57">
        <v>106</v>
      </c>
      <c r="AE172" t="s" s="57">
        <v>107</v>
      </c>
      <c r="AF172" t="s" s="57">
        <v>108</v>
      </c>
      <c r="AG172" s="61">
        <v>45845</v>
      </c>
      <c r="AH172" s="61">
        <v>45846</v>
      </c>
      <c r="AI172" s="61">
        <v>45846</v>
      </c>
      <c r="AJ172" s="61">
        <v>45846</v>
      </c>
      <c r="AK172" s="61">
        <v>45846</v>
      </c>
      <c r="AL172" s="61">
        <v>45846</v>
      </c>
      <c r="AM172" s="61">
        <v>45846</v>
      </c>
      <c r="AN172" t="s" s="57">
        <v>1352</v>
      </c>
      <c r="AO172" s="61" cm="1">
        <f t="array" ref="AO172">AJ172</f>
        <v>45846</v>
      </c>
      <c r="AP172" t="s" s="57">
        <v>1353</v>
      </c>
      <c r="AQ172" s="61" cm="1">
        <f t="array" ref="AQ172">AJ172</f>
        <v>45846</v>
      </c>
      <c r="AR172" t="s" s="57">
        <v>1354</v>
      </c>
      <c r="AS172" s="61" cm="1">
        <f t="array" ref="AS172">AJ172</f>
        <v>45846</v>
      </c>
      <c r="AT172" t="s" s="62">
        <v>1355</v>
      </c>
      <c r="AU172" s="61" cm="1">
        <f t="array" ref="AU172">AJ172</f>
        <v>45846</v>
      </c>
      <c r="AV172" s="51"/>
      <c r="AW172" t="str" s="63" cm="1">
        <f t="array" ref="AW172">"600/"&amp;$B172&amp;"/"&amp;IF(AND($AE172="Konsultansi",M172&lt;=100000000),"SPK",IF(AND($AE172="Konsultansi",M172&gt;100000000),"Kont",IF(AND($AE172&lt;&gt;"Konsultansi",M172&lt;=200000000),"SPK","Kont")))&amp;"-"&amp;AE172&amp;"/PPK/DPUPR"</f>
        <v>600/59010947/SPK-Konstruksi/PPK/DPUPR</v>
      </c>
      <c r="AX172" t="str" s="63" cm="1">
        <f t="array" ref="AX172">"600/"&amp;$B172&amp;"/SPMK/PPK/DPUPR"</f>
        <v>600/59010947/SPMK/PPK/DPUPR</v>
      </c>
      <c r="AY172" s="51"/>
      <c r="AZ172" s="51"/>
      <c r="BA172" s="51"/>
      <c r="BB172" s="51"/>
      <c r="BC172" s="51"/>
      <c r="BD172" s="51"/>
      <c r="BE172" s="51"/>
      <c r="BF172" s="51"/>
      <c r="BG172" s="64">
        <v>257</v>
      </c>
      <c r="BH172" t="s" s="57">
        <v>1323</v>
      </c>
      <c r="BI172" t="s" s="57">
        <v>21</v>
      </c>
      <c r="BJ172" t="s" s="57">
        <v>22</v>
      </c>
      <c r="BK172" t="s" s="57">
        <v>23</v>
      </c>
      <c r="BL172" t="s" s="57">
        <v>24</v>
      </c>
      <c r="BM172" s="51"/>
      <c r="BN172" s="51"/>
      <c r="BO172" s="51"/>
      <c r="BP172" s="51"/>
      <c r="BQ172" s="51"/>
      <c r="BR172" t="b" s="60">
        <v>0</v>
      </c>
      <c r="BS172" s="54" cm="1">
        <f t="array" ref="BS172">IF(M172&lt;=0.8*K172,5%*K172,M172*5%)</f>
        <v>8488450</v>
      </c>
      <c r="BT172" t="s" s="57">
        <v>25</v>
      </c>
      <c r="BU172" s="51"/>
      <c r="BV172" s="54" cm="1">
        <f t="array" ref="BV172">J172-M172</f>
        <v>331000</v>
      </c>
    </row>
    <row r="173" ht="48.25" customHeight="1">
      <c r="A173" s="101"/>
      <c r="B173" s="102">
        <v>59010869</v>
      </c>
      <c r="C173" t="s" s="103">
        <v>1358</v>
      </c>
      <c r="D173" t="s" s="76">
        <v>1</v>
      </c>
      <c r="E173" t="str" s="67" cm="1">
        <f t="array" ref="E173">$C173</f>
        <v>Peningkatan Jalan Letawa II</v>
      </c>
      <c r="F173" s="68"/>
      <c r="G173" s="67"/>
      <c r="H173" s="67"/>
      <c r="I173" s="67"/>
      <c r="J173" s="69">
        <v>170100000</v>
      </c>
      <c r="K173" s="69">
        <v>169675000</v>
      </c>
      <c r="L173" s="56">
        <v>169557940.7</v>
      </c>
      <c r="M173" s="69">
        <v>169557000</v>
      </c>
      <c r="N173" t="s" s="72">
        <v>355</v>
      </c>
      <c r="O173" t="s" s="78">
        <v>356</v>
      </c>
      <c r="P173" t="s" s="72">
        <v>4</v>
      </c>
      <c r="Q173" t="s" s="72">
        <v>357</v>
      </c>
      <c r="R173" t="s" s="72">
        <v>358</v>
      </c>
      <c r="S173" s="79">
        <v>171</v>
      </c>
      <c r="T173" s="71">
        <v>45320</v>
      </c>
      <c r="U173" t="s" s="72">
        <v>359</v>
      </c>
      <c r="V173" t="s" s="72">
        <v>360</v>
      </c>
      <c r="W173" t="s" s="72">
        <v>361</v>
      </c>
      <c r="X173" s="79">
        <v>90</v>
      </c>
      <c r="Y173" t="s" s="72">
        <v>10</v>
      </c>
      <c r="Z173" s="69" cm="1">
        <f t="array" ref="Z173">M173</f>
        <v>169557000</v>
      </c>
      <c r="AA173" t="s" s="72">
        <v>11</v>
      </c>
      <c r="AB173" s="71" cm="1">
        <f t="array" ref="AB173">AH173</f>
        <v>45846</v>
      </c>
      <c r="AC173" s="79">
        <v>180</v>
      </c>
      <c r="AD173" t="s" s="72">
        <v>106</v>
      </c>
      <c r="AE173" t="s" s="72">
        <v>107</v>
      </c>
      <c r="AF173" t="s" s="72">
        <v>108</v>
      </c>
      <c r="AG173" s="71">
        <v>45845</v>
      </c>
      <c r="AH173" s="71">
        <v>45846</v>
      </c>
      <c r="AI173" s="71">
        <v>45846</v>
      </c>
      <c r="AJ173" s="71">
        <v>45846</v>
      </c>
      <c r="AK173" s="71">
        <v>45846</v>
      </c>
      <c r="AL173" s="71">
        <v>45846</v>
      </c>
      <c r="AM173" s="71">
        <v>45846</v>
      </c>
      <c r="AN173" t="s" s="72">
        <v>1360</v>
      </c>
      <c r="AO173" s="71" cm="1">
        <f t="array" ref="AO173">AJ173</f>
        <v>45846</v>
      </c>
      <c r="AP173" t="s" s="72">
        <v>1361</v>
      </c>
      <c r="AQ173" s="71" cm="1">
        <f t="array" ref="AQ173">AJ173</f>
        <v>45846</v>
      </c>
      <c r="AR173" t="s" s="72">
        <v>1362</v>
      </c>
      <c r="AS173" s="71" cm="1">
        <f t="array" ref="AS173">AJ173</f>
        <v>45846</v>
      </c>
      <c r="AT173" t="s" s="62">
        <v>1363</v>
      </c>
      <c r="AU173" s="71" cm="1">
        <f t="array" ref="AU173">AJ173</f>
        <v>45846</v>
      </c>
      <c r="AV173" s="67"/>
      <c r="AW173" t="str" s="74" cm="1">
        <f t="array" ref="AW173">"600/"&amp;$B173&amp;"/"&amp;IF(AND($AE173="Konsultansi",M173&lt;=100000000),"SPK",IF(AND($AE173="Konsultansi",M173&gt;100000000),"Kont",IF(AND($AE173&lt;&gt;"Konsultansi",M173&lt;=200000000),"SPK","Kont")))&amp;"-"&amp;AE173&amp;"/PPK/DPUPR"</f>
        <v>600/59010869/SPK-Konstruksi/PPK/DPUPR</v>
      </c>
      <c r="AX173" t="str" s="74" cm="1">
        <f t="array" ref="AX173">"600/"&amp;$B173&amp;"/SPMK/PPK/DPUPR"</f>
        <v>600/59010869/SPMK/PPK/DPUPR</v>
      </c>
      <c r="AY173" s="67"/>
      <c r="AZ173" s="67"/>
      <c r="BA173" s="67"/>
      <c r="BB173" s="67"/>
      <c r="BC173" s="67"/>
      <c r="BD173" s="67"/>
      <c r="BE173" s="67"/>
      <c r="BF173" s="67"/>
      <c r="BG173" s="80">
        <v>231</v>
      </c>
      <c r="BH173" t="s" s="72">
        <v>355</v>
      </c>
      <c r="BI173" t="s" s="72">
        <v>21</v>
      </c>
      <c r="BJ173" t="s" s="72">
        <v>22</v>
      </c>
      <c r="BK173" t="s" s="72">
        <v>23</v>
      </c>
      <c r="BL173" t="s" s="72">
        <v>24</v>
      </c>
      <c r="BM173" s="67"/>
      <c r="BN173" s="67"/>
      <c r="BO173" s="67"/>
      <c r="BP173" s="67"/>
      <c r="BQ173" s="67"/>
      <c r="BR173" t="b" s="79">
        <v>0</v>
      </c>
      <c r="BS173" s="69" cm="1">
        <f t="array" ref="BS173">IF(M173&lt;=0.8*K173,5%*K173,M173*5%)</f>
        <v>8477850</v>
      </c>
      <c r="BT173" t="s" s="72">
        <v>25</v>
      </c>
      <c r="BU173" s="67"/>
      <c r="BV173" s="69" cm="1">
        <f t="array" ref="BV173">J173-M173</f>
        <v>543000</v>
      </c>
    </row>
    <row r="174" ht="36.25" customHeight="1">
      <c r="A174" s="47"/>
      <c r="B174" s="48">
        <v>59010903</v>
      </c>
      <c r="C174" t="s" s="89">
        <v>1366</v>
      </c>
      <c r="D174" t="s" s="50">
        <v>1</v>
      </c>
      <c r="E174" t="str" s="51" cm="1">
        <f t="array" ref="E174">$C174</f>
        <v> Peningkatan Jalan Letawa III</v>
      </c>
      <c r="F174" s="52"/>
      <c r="G174" s="51"/>
      <c r="H174" s="51"/>
      <c r="I174" s="51"/>
      <c r="J174" s="54">
        <v>170100000</v>
      </c>
      <c r="K174" s="54">
        <v>169672000</v>
      </c>
      <c r="L174" s="56">
        <v>169458349.96</v>
      </c>
      <c r="M174" s="54">
        <v>169458000</v>
      </c>
      <c r="N174" t="s" s="57">
        <v>1368</v>
      </c>
      <c r="O174" t="s" s="58">
        <v>1369</v>
      </c>
      <c r="P174" t="s" s="57">
        <v>4</v>
      </c>
      <c r="Q174" t="s" s="57">
        <v>1370</v>
      </c>
      <c r="R174" t="s" s="57">
        <v>1371</v>
      </c>
      <c r="S174" s="60">
        <v>17</v>
      </c>
      <c r="T174" s="61">
        <v>42789</v>
      </c>
      <c r="U174" t="s" s="57">
        <v>456</v>
      </c>
      <c r="V174" t="s" s="57">
        <v>1372</v>
      </c>
      <c r="W174" t="s" s="57">
        <v>1373</v>
      </c>
      <c r="X174" s="60">
        <v>90</v>
      </c>
      <c r="Y174" t="s" s="57">
        <v>10</v>
      </c>
      <c r="Z174" s="54" cm="1">
        <f t="array" ref="Z174">M174</f>
        <v>169458000</v>
      </c>
      <c r="AA174" t="s" s="57">
        <v>11</v>
      </c>
      <c r="AB174" s="61" cm="1">
        <f t="array" ref="AB174">AH174</f>
        <v>45853</v>
      </c>
      <c r="AC174" s="60">
        <v>180</v>
      </c>
      <c r="AD174" t="s" s="57">
        <v>106</v>
      </c>
      <c r="AE174" t="s" s="57">
        <v>107</v>
      </c>
      <c r="AF174" t="s" s="57">
        <v>108</v>
      </c>
      <c r="AG174" s="61">
        <v>45852</v>
      </c>
      <c r="AH174" s="61">
        <v>45853</v>
      </c>
      <c r="AI174" s="61">
        <v>45853</v>
      </c>
      <c r="AJ174" s="61">
        <v>45853</v>
      </c>
      <c r="AK174" s="61">
        <v>45853</v>
      </c>
      <c r="AL174" s="61">
        <v>45853</v>
      </c>
      <c r="AM174" s="61">
        <v>45853</v>
      </c>
      <c r="AN174" t="s" s="57">
        <v>1374</v>
      </c>
      <c r="AO174" s="61" cm="1">
        <f t="array" ref="AO174">AJ174</f>
        <v>45853</v>
      </c>
      <c r="AP174" t="s" s="57">
        <v>1375</v>
      </c>
      <c r="AQ174" s="61" cm="1">
        <f t="array" ref="AQ174">AJ174</f>
        <v>45853</v>
      </c>
      <c r="AR174" t="s" s="57">
        <v>1376</v>
      </c>
      <c r="AS174" s="61" cm="1">
        <f t="array" ref="AS174">AJ174</f>
        <v>45853</v>
      </c>
      <c r="AT174" t="s" s="62">
        <v>1377</v>
      </c>
      <c r="AU174" s="61" cm="1">
        <f t="array" ref="AU174">AJ174</f>
        <v>45853</v>
      </c>
      <c r="AV174" s="51"/>
      <c r="AW174" t="str" s="63" cm="1">
        <f t="array" ref="AW174">"600/"&amp;$B174&amp;"/"&amp;IF(AND($AE174="Konsultansi",M174&lt;=100000000),"SPK",IF(AND($AE174="Konsultansi",M174&gt;100000000),"Kont",IF(AND($AE174&lt;&gt;"Konsultansi",M174&lt;=200000000),"SPK","Kont")))&amp;"-"&amp;AE174&amp;"/PPK/DPUPR"</f>
        <v>600/59010903/SPK-Konstruksi/PPK/DPUPR</v>
      </c>
      <c r="AX174" t="str" s="63" cm="1">
        <f t="array" ref="AX174">"600/"&amp;$B174&amp;"/SPMK/PPK/DPUPR"</f>
        <v>600/59010903/SPMK/PPK/DPUPR</v>
      </c>
      <c r="AY174" s="51"/>
      <c r="AZ174" s="51"/>
      <c r="BA174" s="51"/>
      <c r="BB174" s="51"/>
      <c r="BC174" s="51"/>
      <c r="BD174" s="51"/>
      <c r="BE174" s="51"/>
      <c r="BF174" s="51"/>
      <c r="BG174" s="64">
        <v>119</v>
      </c>
      <c r="BH174" t="s" s="57">
        <v>1368</v>
      </c>
      <c r="BI174" t="s" s="57">
        <v>21</v>
      </c>
      <c r="BJ174" t="s" s="57">
        <v>22</v>
      </c>
      <c r="BK174" t="s" s="57">
        <v>23</v>
      </c>
      <c r="BL174" t="s" s="57">
        <v>24</v>
      </c>
      <c r="BM174" s="51"/>
      <c r="BN174" s="51"/>
      <c r="BO174" s="51"/>
      <c r="BP174" s="51"/>
      <c r="BQ174" s="51"/>
      <c r="BR174" t="b" s="60">
        <v>0</v>
      </c>
      <c r="BS174" s="54" cm="1">
        <f t="array" ref="BS174">IF(M174&lt;=0.8*K174,5%*K174,M174*5%)</f>
        <v>8472900</v>
      </c>
      <c r="BT174" t="s" s="57">
        <v>25</v>
      </c>
      <c r="BU174" s="51"/>
      <c r="BV174" s="54" cm="1">
        <f t="array" ref="BV174">J174-M174</f>
        <v>642000</v>
      </c>
    </row>
    <row r="175" ht="36.25" customHeight="1">
      <c r="A175" s="47"/>
      <c r="B175" s="48">
        <v>59010771</v>
      </c>
      <c r="C175" t="s" s="89">
        <v>1380</v>
      </c>
      <c r="D175" t="s" s="76">
        <v>1</v>
      </c>
      <c r="E175" t="str" s="67" cm="1">
        <f t="array" ref="E175">$C175</f>
        <v>Peningkatan Jalan Kasoloang II</v>
      </c>
      <c r="F175" s="68"/>
      <c r="G175" s="67"/>
      <c r="H175" s="67"/>
      <c r="I175" s="67"/>
      <c r="J175" s="69">
        <v>122850000</v>
      </c>
      <c r="K175" s="69">
        <v>122601000</v>
      </c>
      <c r="L175" s="56">
        <v>122399869.58</v>
      </c>
      <c r="M175" s="69">
        <v>122399000</v>
      </c>
      <c r="N175" t="s" s="72">
        <v>1368</v>
      </c>
      <c r="O175" t="s" s="78">
        <v>1369</v>
      </c>
      <c r="P175" t="s" s="72">
        <v>4</v>
      </c>
      <c r="Q175" t="s" s="72">
        <v>1370</v>
      </c>
      <c r="R175" t="s" s="72">
        <v>1371</v>
      </c>
      <c r="S175" s="79">
        <v>17</v>
      </c>
      <c r="T175" s="71">
        <v>42789</v>
      </c>
      <c r="U175" t="s" s="72">
        <v>456</v>
      </c>
      <c r="V175" t="s" s="72">
        <v>1372</v>
      </c>
      <c r="W175" t="s" s="72">
        <v>1373</v>
      </c>
      <c r="X175" s="79">
        <v>90</v>
      </c>
      <c r="Y175" t="s" s="72">
        <v>10</v>
      </c>
      <c r="Z175" s="69" cm="1">
        <f t="array" ref="Z175">M175</f>
        <v>122399000</v>
      </c>
      <c r="AA175" t="s" s="72">
        <v>11</v>
      </c>
      <c r="AB175" s="71" cm="1">
        <f t="array" ref="AB175">AH175</f>
        <v>45853</v>
      </c>
      <c r="AC175" s="79">
        <v>180</v>
      </c>
      <c r="AD175" t="s" s="72">
        <v>106</v>
      </c>
      <c r="AE175" t="s" s="72">
        <v>107</v>
      </c>
      <c r="AF175" t="s" s="72">
        <v>108</v>
      </c>
      <c r="AG175" s="71">
        <v>45852</v>
      </c>
      <c r="AH175" s="71">
        <v>45853</v>
      </c>
      <c r="AI175" s="71">
        <v>45853</v>
      </c>
      <c r="AJ175" s="71">
        <v>45853</v>
      </c>
      <c r="AK175" s="71">
        <v>45853</v>
      </c>
      <c r="AL175" s="71">
        <v>45853</v>
      </c>
      <c r="AM175" s="71">
        <v>45853</v>
      </c>
      <c r="AN175" t="s" s="72">
        <v>1382</v>
      </c>
      <c r="AO175" s="71" cm="1">
        <f t="array" ref="AO175">AJ175</f>
        <v>45853</v>
      </c>
      <c r="AP175" t="s" s="72">
        <v>1383</v>
      </c>
      <c r="AQ175" s="71" cm="1">
        <f t="array" ref="AQ175">AJ175</f>
        <v>45853</v>
      </c>
      <c r="AR175" t="s" s="72">
        <v>1384</v>
      </c>
      <c r="AS175" s="71" cm="1">
        <f t="array" ref="AS175">AJ175</f>
        <v>45853</v>
      </c>
      <c r="AT175" t="s" s="62">
        <v>1385</v>
      </c>
      <c r="AU175" s="71" cm="1">
        <f t="array" ref="AU175">AJ175</f>
        <v>45853</v>
      </c>
      <c r="AV175" s="67"/>
      <c r="AW175" t="str" s="74" cm="1">
        <f t="array" ref="AW175">"600/"&amp;$B175&amp;"/"&amp;IF(AND($AE175="Konsultansi",M175&lt;=100000000),"SPK",IF(AND($AE175="Konsultansi",M175&gt;100000000),"Kont",IF(AND($AE175&lt;&gt;"Konsultansi",M175&lt;=200000000),"SPK","Kont")))&amp;"-"&amp;AE175&amp;"/PPK/DPUPR"</f>
        <v>600/59010771/SPK-Konstruksi/PPK/DPUPR</v>
      </c>
      <c r="AX175" t="str" s="74" cm="1">
        <f t="array" ref="AX175">"600/"&amp;$B175&amp;"/SPMK/PPK/DPUPR"</f>
        <v>600/59010771/SPMK/PPK/DPUPR</v>
      </c>
      <c r="AY175" s="67"/>
      <c r="AZ175" s="67"/>
      <c r="BA175" s="67"/>
      <c r="BB175" s="67"/>
      <c r="BC175" s="67"/>
      <c r="BD175" s="67"/>
      <c r="BE175" s="67"/>
      <c r="BF175" s="67"/>
      <c r="BG175" s="80">
        <v>119</v>
      </c>
      <c r="BH175" t="s" s="72">
        <v>1368</v>
      </c>
      <c r="BI175" t="s" s="72">
        <v>21</v>
      </c>
      <c r="BJ175" t="s" s="72">
        <v>22</v>
      </c>
      <c r="BK175" t="s" s="72">
        <v>23</v>
      </c>
      <c r="BL175" t="s" s="72">
        <v>24</v>
      </c>
      <c r="BM175" s="67"/>
      <c r="BN175" s="67"/>
      <c r="BO175" s="67"/>
      <c r="BP175" s="67"/>
      <c r="BQ175" s="67"/>
      <c r="BR175" t="b" s="79">
        <v>0</v>
      </c>
      <c r="BS175" s="69" cm="1">
        <f t="array" ref="BS175">IF(M175&lt;=0.8*K175,5%*K175,M175*5%)</f>
        <v>6119950</v>
      </c>
      <c r="BT175" t="s" s="72">
        <v>25</v>
      </c>
      <c r="BU175" s="67"/>
      <c r="BV175" s="69" cm="1">
        <f t="array" ref="BV175">J175-M175</f>
        <v>451000</v>
      </c>
    </row>
    <row r="176" ht="48.25" customHeight="1">
      <c r="A176" s="47"/>
      <c r="B176" s="48">
        <v>58432896</v>
      </c>
      <c r="C176" t="s" s="89">
        <v>1388</v>
      </c>
      <c r="D176" t="s" s="50">
        <v>415</v>
      </c>
      <c r="E176" t="str" s="51" cm="1">
        <f t="array" ref="E176">$C176</f>
        <v>Pembangunan air bersih Saptanajaya (lanjutan) </v>
      </c>
      <c r="F176" s="52"/>
      <c r="G176" s="51"/>
      <c r="H176" s="51"/>
      <c r="I176" s="51"/>
      <c r="J176" s="54">
        <v>200000000</v>
      </c>
      <c r="K176" s="54">
        <v>199974000</v>
      </c>
      <c r="L176" s="56">
        <v>199657966.07</v>
      </c>
      <c r="M176" s="54">
        <v>199657000</v>
      </c>
      <c r="N176" t="s" s="57">
        <v>355</v>
      </c>
      <c r="O176" t="s" s="58">
        <v>356</v>
      </c>
      <c r="P176" t="s" s="57">
        <v>4</v>
      </c>
      <c r="Q176" t="s" s="57">
        <v>357</v>
      </c>
      <c r="R176" t="s" s="57">
        <v>358</v>
      </c>
      <c r="S176" s="60">
        <v>171</v>
      </c>
      <c r="T176" s="61">
        <v>45320</v>
      </c>
      <c r="U176" t="s" s="57">
        <v>359</v>
      </c>
      <c r="V176" t="s" s="57">
        <v>360</v>
      </c>
      <c r="W176" t="s" s="57">
        <v>361</v>
      </c>
      <c r="X176" s="60">
        <v>90</v>
      </c>
      <c r="Y176" t="s" s="57">
        <v>10</v>
      </c>
      <c r="Z176" s="54" cm="1">
        <f t="array" ref="Z176">M176</f>
        <v>199657000</v>
      </c>
      <c r="AA176" t="s" s="57">
        <v>11</v>
      </c>
      <c r="AB176" s="61" cm="1">
        <f t="array" ref="AB176">AH176</f>
        <v>45853</v>
      </c>
      <c r="AC176" s="60">
        <v>180</v>
      </c>
      <c r="AD176" t="s" s="57">
        <v>106</v>
      </c>
      <c r="AE176" t="s" s="57">
        <v>107</v>
      </c>
      <c r="AF176" t="s" s="57">
        <v>14</v>
      </c>
      <c r="AG176" s="61">
        <v>45852</v>
      </c>
      <c r="AH176" s="61">
        <v>45853</v>
      </c>
      <c r="AI176" s="61">
        <v>45853</v>
      </c>
      <c r="AJ176" s="61">
        <v>45853</v>
      </c>
      <c r="AK176" s="61">
        <v>45853</v>
      </c>
      <c r="AL176" s="61">
        <v>45853</v>
      </c>
      <c r="AM176" s="61">
        <v>45853</v>
      </c>
      <c r="AN176" t="s" s="57">
        <v>1390</v>
      </c>
      <c r="AO176" s="61" cm="1">
        <f t="array" ref="AO176">AJ176</f>
        <v>45853</v>
      </c>
      <c r="AP176" t="s" s="57">
        <v>1391</v>
      </c>
      <c r="AQ176" s="61" cm="1">
        <f t="array" ref="AQ176">AJ176</f>
        <v>45853</v>
      </c>
      <c r="AR176" t="s" s="57">
        <v>1392</v>
      </c>
      <c r="AS176" s="61" cm="1">
        <f t="array" ref="AS176">AJ176</f>
        <v>45853</v>
      </c>
      <c r="AT176" t="s" s="62">
        <v>1393</v>
      </c>
      <c r="AU176" s="61" cm="1">
        <f t="array" ref="AU176">AJ176</f>
        <v>45853</v>
      </c>
      <c r="AV176" s="51"/>
      <c r="AW176" t="str" s="63" cm="1">
        <f t="array" ref="AW176">"600/"&amp;$B176&amp;"/"&amp;IF(AND($AE176="Konsultansi",M176&lt;=100000000),"SPK",IF(AND($AE176="Konsultansi",M176&gt;100000000),"Kont",IF(AND($AE176&lt;&gt;"Konsultansi",M176&lt;=200000000),"SPK","Kont")))&amp;"-"&amp;AE176&amp;"/PPK/DPUPR"</f>
        <v>600/58432896/SPK-Konstruksi/PPK/DPUPR</v>
      </c>
      <c r="AX176" t="str" s="63" cm="1">
        <f t="array" ref="AX176">"600/"&amp;$B176&amp;"/SPMK/PPK/DPUPR"</f>
        <v>600/58432896/SPMK/PPK/DPUPR</v>
      </c>
      <c r="AY176" s="51"/>
      <c r="AZ176" s="51"/>
      <c r="BA176" s="51"/>
      <c r="BB176" s="51"/>
      <c r="BC176" s="51"/>
      <c r="BD176" s="51"/>
      <c r="BE176" s="51"/>
      <c r="BF176" s="51"/>
      <c r="BG176" s="64">
        <v>231</v>
      </c>
      <c r="BH176" t="s" s="57">
        <v>355</v>
      </c>
      <c r="BI176" t="s" s="57">
        <v>21</v>
      </c>
      <c r="BJ176" t="s" s="57">
        <v>22</v>
      </c>
      <c r="BK176" t="s" s="57">
        <v>23</v>
      </c>
      <c r="BL176" t="s" s="57">
        <v>24</v>
      </c>
      <c r="BM176" s="51"/>
      <c r="BN176" s="51"/>
      <c r="BO176" s="51"/>
      <c r="BP176" s="51"/>
      <c r="BQ176" s="51"/>
      <c r="BR176" t="b" s="60">
        <v>0</v>
      </c>
      <c r="BS176" s="54" cm="1">
        <f t="array" ref="BS176">IF(M176&lt;=0.8*K176,5%*K176,M176*5%)</f>
        <v>9982850</v>
      </c>
      <c r="BT176" t="s" s="57">
        <v>432</v>
      </c>
      <c r="BU176" s="51"/>
      <c r="BV176" s="54" cm="1">
        <f t="array" ref="BV176">J176-M176</f>
        <v>343000</v>
      </c>
    </row>
    <row r="177" ht="36.25" customHeight="1">
      <c r="A177" s="47"/>
      <c r="B177" s="48">
        <v>58432943</v>
      </c>
      <c r="C177" t="s" s="89">
        <v>1396</v>
      </c>
      <c r="D177" t="s" s="76">
        <v>415</v>
      </c>
      <c r="E177" t="str" s="67" cm="1">
        <f t="array" ref="E177">$C177</f>
        <v>Pengawasan Pembangunan air bersih Saptanajaya (lanjutan)</v>
      </c>
      <c r="F177" s="68"/>
      <c r="G177" s="67"/>
      <c r="H177" s="67"/>
      <c r="I177" s="67"/>
      <c r="J177" s="69">
        <v>5000000</v>
      </c>
      <c r="K177" s="69"/>
      <c r="L177" s="56"/>
      <c r="M177" s="69"/>
      <c r="N177" t="s" s="72">
        <v>174</v>
      </c>
      <c r="O177" t="s" s="78">
        <v>174</v>
      </c>
      <c r="P177" t="s" s="72">
        <v>174</v>
      </c>
      <c r="Q177" t="s" s="72">
        <v>174</v>
      </c>
      <c r="R177" t="s" s="72">
        <v>174</v>
      </c>
      <c r="S177" t="s" s="72">
        <v>174</v>
      </c>
      <c r="T177" t="s" s="72">
        <v>174</v>
      </c>
      <c r="U177" t="s" s="72">
        <v>174</v>
      </c>
      <c r="V177" t="s" s="72">
        <v>174</v>
      </c>
      <c r="W177" t="s" s="72">
        <v>174</v>
      </c>
      <c r="X177" s="79">
        <v>90</v>
      </c>
      <c r="Y177" t="s" s="72">
        <v>10</v>
      </c>
      <c r="Z177" s="69" cm="1">
        <f t="array" ref="Z177">M177</f>
        <v>0</v>
      </c>
      <c r="AA177" t="s" s="72">
        <v>11</v>
      </c>
      <c r="AB177" s="71" cm="1">
        <f t="array" ref="AB177">AH177</f>
        <v>45853</v>
      </c>
      <c r="AC177" s="67"/>
      <c r="AD177" t="s" s="72">
        <v>12</v>
      </c>
      <c r="AE177" t="s" s="72">
        <v>13</v>
      </c>
      <c r="AF177" t="s" s="72">
        <v>14</v>
      </c>
      <c r="AG177" s="71">
        <v>45852</v>
      </c>
      <c r="AH177" s="71">
        <v>45853</v>
      </c>
      <c r="AI177" s="71">
        <v>45853</v>
      </c>
      <c r="AJ177" s="71">
        <v>45853</v>
      </c>
      <c r="AK177" s="71">
        <v>45853</v>
      </c>
      <c r="AL177" s="71">
        <v>45853</v>
      </c>
      <c r="AM177" s="71">
        <v>45853</v>
      </c>
      <c r="AN177" t="s" s="72">
        <v>838</v>
      </c>
      <c r="AO177" s="71" cm="1">
        <f t="array" ref="AO177">AJ177</f>
        <v>45853</v>
      </c>
      <c r="AP177" t="s" s="72">
        <v>839</v>
      </c>
      <c r="AQ177" s="71" cm="1">
        <f t="array" ref="AQ177">AJ177</f>
        <v>45853</v>
      </c>
      <c r="AR177" t="s" s="72">
        <v>1398</v>
      </c>
      <c r="AS177" s="71" cm="1">
        <f t="array" ref="AS177">AJ177</f>
        <v>45853</v>
      </c>
      <c r="AT177" t="s" s="62">
        <v>1399</v>
      </c>
      <c r="AU177" s="71" cm="1">
        <f t="array" ref="AU177">AJ177</f>
        <v>45853</v>
      </c>
      <c r="AV177" s="67"/>
      <c r="AW177" t="str" s="74" cm="1">
        <f t="array" ref="AW177">"600/"&amp;$B177&amp;"/"&amp;IF(AND($AE177="Konsultansi",M177&lt;=100000000),"SPK",IF(AND($AE177="Konsultansi",M177&gt;100000000),"Kont",IF(AND($AE177&lt;&gt;"Konsultansi",M177&lt;=200000000),"SPK","Kont")))&amp;"-"&amp;AE177&amp;"/PPK/DPUPR"</f>
        <v>600/58432943/SPK-Konsultansi/PPK/DPUPR</v>
      </c>
      <c r="AX177" t="str" s="74" cm="1">
        <f t="array" ref="AX177">"600/"&amp;$B177&amp;"/SPMK/PPK/DPUPR"</f>
        <v>600/58432943/SPMK/PPK/DPUPR</v>
      </c>
      <c r="AY177" s="67"/>
      <c r="AZ177" s="67"/>
      <c r="BA177" s="67"/>
      <c r="BB177" s="67"/>
      <c r="BC177" s="67"/>
      <c r="BD177" s="67"/>
      <c r="BE177" s="67"/>
      <c r="BF177" s="67"/>
      <c r="BG177" s="75"/>
      <c r="BH177" t="s" s="72">
        <v>182</v>
      </c>
      <c r="BI177" t="s" s="72">
        <v>21</v>
      </c>
      <c r="BJ177" t="s" s="72">
        <v>22</v>
      </c>
      <c r="BK177" t="s" s="72">
        <v>23</v>
      </c>
      <c r="BL177" t="s" s="72">
        <v>24</v>
      </c>
      <c r="BM177" s="67"/>
      <c r="BN177" s="67"/>
      <c r="BO177" s="67"/>
      <c r="BP177" s="67"/>
      <c r="BQ177" s="67"/>
      <c r="BR177" t="b" s="79">
        <v>0</v>
      </c>
      <c r="BS177" s="69" cm="1">
        <f t="array" ref="BS177">IF(M177&lt;=0.8*K177,5%*K177,M177*5%)</f>
        <v>0</v>
      </c>
      <c r="BT177" t="s" s="72">
        <v>432</v>
      </c>
      <c r="BU177" s="67"/>
      <c r="BV177" s="69" cm="1">
        <f t="array" ref="BV177">J177-M177</f>
        <v>5000000</v>
      </c>
    </row>
    <row r="178" ht="36.25" customHeight="1">
      <c r="A178" s="47"/>
      <c r="B178" s="48">
        <v>59010989</v>
      </c>
      <c r="C178" t="s" s="89">
        <v>1401</v>
      </c>
      <c r="D178" t="s" s="50">
        <v>1</v>
      </c>
      <c r="E178" t="str" s="51" cm="1">
        <f t="array" ref="E178">$C178</f>
        <v>Pemb. Jalan Dsn Salubulu</v>
      </c>
      <c r="F178" s="52"/>
      <c r="G178" s="51"/>
      <c r="H178" s="51"/>
      <c r="I178" s="51"/>
      <c r="J178" s="54">
        <v>170100000</v>
      </c>
      <c r="K178" s="54">
        <v>169579000</v>
      </c>
      <c r="L178" s="56">
        <v>169190194.36</v>
      </c>
      <c r="M178" s="54">
        <v>169190000</v>
      </c>
      <c r="N178" t="s" s="57">
        <v>1208</v>
      </c>
      <c r="O178" t="s" s="58">
        <v>1209</v>
      </c>
      <c r="P178" t="s" s="57">
        <v>4</v>
      </c>
      <c r="Q178" t="s" s="57">
        <v>1210</v>
      </c>
      <c r="R178" t="s" s="57">
        <v>1211</v>
      </c>
      <c r="S178" t="s" s="57">
        <v>1212</v>
      </c>
      <c r="T178" s="61">
        <v>43858</v>
      </c>
      <c r="U178" t="s" s="57">
        <v>149</v>
      </c>
      <c r="V178" t="s" s="57">
        <v>1213</v>
      </c>
      <c r="W178" t="s" s="57">
        <v>1214</v>
      </c>
      <c r="X178" s="60">
        <v>90</v>
      </c>
      <c r="Y178" t="s" s="57">
        <v>10</v>
      </c>
      <c r="Z178" s="54" cm="1">
        <f t="array" ref="Z178">M178</f>
        <v>169190000</v>
      </c>
      <c r="AA178" t="s" s="57">
        <v>11</v>
      </c>
      <c r="AB178" s="61" cm="1">
        <f t="array" ref="AB178">AH178</f>
        <v>45859</v>
      </c>
      <c r="AC178" s="60">
        <v>180</v>
      </c>
      <c r="AD178" t="s" s="57">
        <v>106</v>
      </c>
      <c r="AE178" t="s" s="57">
        <v>107</v>
      </c>
      <c r="AF178" t="s" s="57">
        <v>108</v>
      </c>
      <c r="AG178" s="61">
        <v>45856</v>
      </c>
      <c r="AH178" s="61">
        <v>45859</v>
      </c>
      <c r="AI178" s="61">
        <v>45859</v>
      </c>
      <c r="AJ178" s="61">
        <v>45859</v>
      </c>
      <c r="AK178" s="61">
        <v>45859</v>
      </c>
      <c r="AL178" s="61">
        <v>45859</v>
      </c>
      <c r="AM178" s="61">
        <v>45859</v>
      </c>
      <c r="AN178" t="s" s="57">
        <v>1403</v>
      </c>
      <c r="AO178" s="61" cm="1">
        <f t="array" ref="AO178">AJ178</f>
        <v>45859</v>
      </c>
      <c r="AP178" t="s" s="57">
        <v>1404</v>
      </c>
      <c r="AQ178" s="61" cm="1">
        <f t="array" ref="AQ178">AJ178</f>
        <v>45859</v>
      </c>
      <c r="AR178" t="s" s="57">
        <v>1405</v>
      </c>
      <c r="AS178" s="61" cm="1">
        <f t="array" ref="AS178">AJ178</f>
        <v>45859</v>
      </c>
      <c r="AT178" t="s" s="62">
        <v>1406</v>
      </c>
      <c r="AU178" s="61" cm="1">
        <f t="array" ref="AU178">AJ178</f>
        <v>45859</v>
      </c>
      <c r="AV178" s="51"/>
      <c r="AW178" t="str" s="63" cm="1">
        <f t="array" ref="AW178">"600/"&amp;$B178&amp;"/"&amp;IF(AND($AE178="Konsultansi",M178&lt;=100000000),"SPK",IF(AND($AE178="Konsultansi",M178&gt;100000000),"Kont",IF(AND($AE178&lt;&gt;"Konsultansi",M178&lt;=200000000),"SPK","Kont")))&amp;"-"&amp;AE178&amp;"/PPK/DPUPR"</f>
        <v>600/59010989/SPK-Konstruksi/PPK/DPUPR</v>
      </c>
      <c r="AX178" t="str" s="63" cm="1">
        <f t="array" ref="AX178">"600/"&amp;$B178&amp;"/SPMK/PPK/DPUPR"</f>
        <v>600/59010989/SPMK/PPK/DPUPR</v>
      </c>
      <c r="AY178" s="51"/>
      <c r="AZ178" s="51"/>
      <c r="BA178" s="51"/>
      <c r="BB178" s="51"/>
      <c r="BC178" s="51"/>
      <c r="BD178" s="51"/>
      <c r="BE178" s="51"/>
      <c r="BF178" s="51"/>
      <c r="BG178" s="64">
        <v>173</v>
      </c>
      <c r="BH178" t="s" s="57">
        <v>1208</v>
      </c>
      <c r="BI178" t="s" s="57">
        <v>21</v>
      </c>
      <c r="BJ178" t="s" s="57">
        <v>22</v>
      </c>
      <c r="BK178" t="s" s="57">
        <v>23</v>
      </c>
      <c r="BL178" t="s" s="57">
        <v>24</v>
      </c>
      <c r="BM178" s="51"/>
      <c r="BN178" s="51"/>
      <c r="BO178" s="51"/>
      <c r="BP178" s="51"/>
      <c r="BQ178" s="51"/>
      <c r="BR178" t="b" s="60">
        <v>0</v>
      </c>
      <c r="BS178" s="54" cm="1">
        <f t="array" ref="BS178">IF(M178&lt;=0.8*K178,5%*K178,M178*5%)</f>
        <v>8459500</v>
      </c>
      <c r="BT178" t="s" s="57">
        <v>25</v>
      </c>
      <c r="BU178" s="51"/>
      <c r="BV178" s="54" cm="1">
        <f t="array" ref="BV178">J178-M178</f>
        <v>910000</v>
      </c>
    </row>
    <row r="179" ht="36.25" customHeight="1">
      <c r="A179" s="47"/>
      <c r="B179" s="48">
        <v>59010969</v>
      </c>
      <c r="C179" t="s" s="89">
        <v>1409</v>
      </c>
      <c r="D179" t="s" s="76">
        <v>1</v>
      </c>
      <c r="E179" t="str" s="67" cm="1">
        <f t="array" ref="E179">$C179</f>
        <v>Peningkatan Jalan Pajalele</v>
      </c>
      <c r="F179" s="68"/>
      <c r="G179" s="67"/>
      <c r="H179" s="67"/>
      <c r="I179" s="67"/>
      <c r="J179" s="69">
        <v>170100000</v>
      </c>
      <c r="K179" s="69">
        <v>169663000</v>
      </c>
      <c r="L179" s="56">
        <v>169258902.02</v>
      </c>
      <c r="M179" s="69">
        <v>169258000</v>
      </c>
      <c r="N179" t="s" s="72">
        <v>823</v>
      </c>
      <c r="O179" t="s" s="78">
        <v>824</v>
      </c>
      <c r="P179" t="s" s="72">
        <v>4</v>
      </c>
      <c r="Q179" t="s" s="72">
        <v>825</v>
      </c>
      <c r="R179" t="s" s="72">
        <v>826</v>
      </c>
      <c r="S179" t="s" s="72">
        <v>748</v>
      </c>
      <c r="T179" s="71">
        <v>45145</v>
      </c>
      <c r="U179" t="s" s="72">
        <v>827</v>
      </c>
      <c r="V179" t="s" s="72">
        <v>828</v>
      </c>
      <c r="W179" t="s" s="72">
        <v>829</v>
      </c>
      <c r="X179" s="79">
        <v>90</v>
      </c>
      <c r="Y179" t="s" s="72">
        <v>10</v>
      </c>
      <c r="Z179" s="69" cm="1">
        <f t="array" ref="Z179">M179</f>
        <v>169258000</v>
      </c>
      <c r="AA179" t="s" s="72">
        <v>11</v>
      </c>
      <c r="AB179" s="71" cm="1">
        <f t="array" ref="AB179">AH179</f>
        <v>45859</v>
      </c>
      <c r="AC179" s="79">
        <v>180</v>
      </c>
      <c r="AD179" t="s" s="72">
        <v>106</v>
      </c>
      <c r="AE179" t="s" s="72">
        <v>107</v>
      </c>
      <c r="AF179" t="s" s="72">
        <v>108</v>
      </c>
      <c r="AG179" s="71">
        <v>45856</v>
      </c>
      <c r="AH179" s="71">
        <v>45859</v>
      </c>
      <c r="AI179" s="71">
        <v>45859</v>
      </c>
      <c r="AJ179" s="71">
        <v>45859</v>
      </c>
      <c r="AK179" s="71">
        <v>45859</v>
      </c>
      <c r="AL179" s="71">
        <v>45859</v>
      </c>
      <c r="AM179" s="71">
        <v>45859</v>
      </c>
      <c r="AN179" t="s" s="72">
        <v>1411</v>
      </c>
      <c r="AO179" s="71" cm="1">
        <f t="array" ref="AO179">AJ179</f>
        <v>45859</v>
      </c>
      <c r="AP179" t="s" s="72">
        <v>1412</v>
      </c>
      <c r="AQ179" s="71" cm="1">
        <f t="array" ref="AQ179">AJ179</f>
        <v>45859</v>
      </c>
      <c r="AR179" t="s" s="72">
        <v>1413</v>
      </c>
      <c r="AS179" s="71" cm="1">
        <f t="array" ref="AS179">AJ179</f>
        <v>45859</v>
      </c>
      <c r="AT179" t="s" s="62">
        <v>1414</v>
      </c>
      <c r="AU179" s="71" cm="1">
        <f t="array" ref="AU179">AJ179</f>
        <v>45859</v>
      </c>
      <c r="AV179" s="67"/>
      <c r="AW179" t="str" s="74" cm="1">
        <f t="array" ref="AW179">"600/"&amp;$B179&amp;"/"&amp;IF(AND($AE179="Konsultansi",M179&lt;=100000000),"SPK",IF(AND($AE179="Konsultansi",M179&gt;100000000),"Kont",IF(AND($AE179&lt;&gt;"Konsultansi",M179&lt;=200000000),"SPK","Kont")))&amp;"-"&amp;AE179&amp;"/PPK/DPUPR"</f>
        <v>600/59010969/SPK-Konstruksi/PPK/DPUPR</v>
      </c>
      <c r="AX179" t="str" s="74" cm="1">
        <f t="array" ref="AX179">"600/"&amp;$B179&amp;"/SPMK/PPK/DPUPR"</f>
        <v>600/59010969/SPMK/PPK/DPUPR</v>
      </c>
      <c r="AY179" s="67"/>
      <c r="AZ179" s="67"/>
      <c r="BA179" s="67"/>
      <c r="BB179" s="67"/>
      <c r="BC179" s="67"/>
      <c r="BD179" s="67"/>
      <c r="BE179" s="67"/>
      <c r="BF179" s="67"/>
      <c r="BG179" s="80">
        <v>209</v>
      </c>
      <c r="BH179" t="s" s="72">
        <v>823</v>
      </c>
      <c r="BI179" t="s" s="72">
        <v>21</v>
      </c>
      <c r="BJ179" t="s" s="72">
        <v>22</v>
      </c>
      <c r="BK179" t="s" s="72">
        <v>23</v>
      </c>
      <c r="BL179" t="s" s="72">
        <v>24</v>
      </c>
      <c r="BM179" s="67"/>
      <c r="BN179" s="67"/>
      <c r="BO179" s="67"/>
      <c r="BP179" s="67"/>
      <c r="BQ179" s="67"/>
      <c r="BR179" t="b" s="79">
        <v>0</v>
      </c>
      <c r="BS179" s="69" cm="1">
        <f t="array" ref="BS179">IF(M179&lt;=0.8*K179,5%*K179,M179*5%)</f>
        <v>8462900</v>
      </c>
      <c r="BT179" t="s" s="72">
        <v>25</v>
      </c>
      <c r="BU179" s="67"/>
      <c r="BV179" s="69" cm="1">
        <f t="array" ref="BV179">J179-M179</f>
        <v>842000</v>
      </c>
    </row>
    <row r="180" ht="36.25" customHeight="1">
      <c r="A180" s="47"/>
      <c r="B180" s="48">
        <v>59010805</v>
      </c>
      <c r="C180" t="s" s="89">
        <v>1417</v>
      </c>
      <c r="D180" t="s" s="50">
        <v>1</v>
      </c>
      <c r="E180" t="str" s="51" cm="1">
        <f t="array" ref="E180">$C180</f>
        <v>Peningkatan Jalan Letawa I</v>
      </c>
      <c r="F180" s="52"/>
      <c r="G180" s="51"/>
      <c r="H180" s="51"/>
      <c r="I180" s="51"/>
      <c r="J180" s="54">
        <v>170100000</v>
      </c>
      <c r="K180" s="54">
        <v>169721000</v>
      </c>
      <c r="L180" s="56">
        <v>169550445.35</v>
      </c>
      <c r="M180" s="54">
        <v>169550000</v>
      </c>
      <c r="N180" t="s" s="57">
        <v>530</v>
      </c>
      <c r="O180" t="s" s="58">
        <v>531</v>
      </c>
      <c r="P180" t="s" s="57">
        <v>4</v>
      </c>
      <c r="Q180" t="s" s="57">
        <v>532</v>
      </c>
      <c r="R180" t="s" s="57">
        <v>533</v>
      </c>
      <c r="S180" s="95">
        <v>43101</v>
      </c>
      <c r="T180" s="61">
        <v>43411</v>
      </c>
      <c r="U180" t="s" s="57">
        <v>149</v>
      </c>
      <c r="V180" t="s" s="57">
        <v>534</v>
      </c>
      <c r="W180" t="s" s="57">
        <v>535</v>
      </c>
      <c r="X180" s="60">
        <v>90</v>
      </c>
      <c r="Y180" t="s" s="57">
        <v>10</v>
      </c>
      <c r="Z180" s="54" cm="1">
        <f t="array" ref="Z180">M180</f>
        <v>169550000</v>
      </c>
      <c r="AA180" t="s" s="57">
        <v>11</v>
      </c>
      <c r="AB180" s="61" cm="1">
        <f t="array" ref="AB180">AH180</f>
        <v>45859</v>
      </c>
      <c r="AC180" s="60">
        <v>180</v>
      </c>
      <c r="AD180" t="s" s="57">
        <v>106</v>
      </c>
      <c r="AE180" t="s" s="57">
        <v>107</v>
      </c>
      <c r="AF180" t="s" s="57">
        <v>108</v>
      </c>
      <c r="AG180" s="61">
        <v>45856</v>
      </c>
      <c r="AH180" s="61">
        <v>45859</v>
      </c>
      <c r="AI180" s="61">
        <v>45859</v>
      </c>
      <c r="AJ180" s="61">
        <v>45859</v>
      </c>
      <c r="AK180" s="61">
        <v>45859</v>
      </c>
      <c r="AL180" s="61">
        <v>45859</v>
      </c>
      <c r="AM180" s="61">
        <v>45859</v>
      </c>
      <c r="AN180" t="s" s="57">
        <v>1419</v>
      </c>
      <c r="AO180" s="61" cm="1">
        <f t="array" ref="AO180">AJ180</f>
        <v>45859</v>
      </c>
      <c r="AP180" t="s" s="57">
        <v>1420</v>
      </c>
      <c r="AQ180" s="61" cm="1">
        <f t="array" ref="AQ180">AJ180</f>
        <v>45859</v>
      </c>
      <c r="AR180" t="s" s="57">
        <v>1421</v>
      </c>
      <c r="AS180" s="61" cm="1">
        <f t="array" ref="AS180">AJ180</f>
        <v>45859</v>
      </c>
      <c r="AT180" t="s" s="62">
        <v>1422</v>
      </c>
      <c r="AU180" s="61" cm="1">
        <f t="array" ref="AU180">AJ180</f>
        <v>45859</v>
      </c>
      <c r="AV180" s="51"/>
      <c r="AW180" t="str" s="63" cm="1">
        <f t="array" ref="AW180">"600/"&amp;$B180&amp;"/"&amp;IF(AND($AE180="Konsultansi",M180&lt;=100000000),"SPK",IF(AND($AE180="Konsultansi",M180&gt;100000000),"Kont",IF(AND($AE180&lt;&gt;"Konsultansi",M180&lt;=200000000),"SPK","Kont")))&amp;"-"&amp;AE180&amp;"/PPK/DPUPR"</f>
        <v>600/59010805/SPK-Konstruksi/PPK/DPUPR</v>
      </c>
      <c r="AX180" t="str" s="63" cm="1">
        <f t="array" ref="AX180">"600/"&amp;$B180&amp;"/SPMK/PPK/DPUPR"</f>
        <v>600/59010805/SPMK/PPK/DPUPR</v>
      </c>
      <c r="AY180" s="51"/>
      <c r="AZ180" s="51"/>
      <c r="BA180" s="51"/>
      <c r="BB180" s="51"/>
      <c r="BC180" s="51"/>
      <c r="BD180" s="51"/>
      <c r="BE180" s="51"/>
      <c r="BF180" s="51"/>
      <c r="BG180" s="64">
        <v>172</v>
      </c>
      <c r="BH180" t="s" s="57">
        <v>530</v>
      </c>
      <c r="BI180" t="s" s="57">
        <v>21</v>
      </c>
      <c r="BJ180" t="s" s="57">
        <v>22</v>
      </c>
      <c r="BK180" t="s" s="57">
        <v>23</v>
      </c>
      <c r="BL180" t="s" s="57">
        <v>24</v>
      </c>
      <c r="BM180" s="51"/>
      <c r="BN180" s="51"/>
      <c r="BO180" s="51"/>
      <c r="BP180" s="51"/>
      <c r="BQ180" s="51"/>
      <c r="BR180" t="b" s="60">
        <v>0</v>
      </c>
      <c r="BS180" s="54" cm="1">
        <f t="array" ref="BS180">IF(M180&lt;=0.8*K180,5%*K180,M180*5%)</f>
        <v>8477500</v>
      </c>
      <c r="BT180" t="s" s="57">
        <v>25</v>
      </c>
      <c r="BU180" s="51"/>
      <c r="BV180" s="54" cm="1">
        <f t="array" ref="BV180">J180-M180</f>
        <v>550000</v>
      </c>
    </row>
    <row r="181" ht="36.25" customHeight="1">
      <c r="A181" s="47"/>
      <c r="B181" s="48">
        <v>59011110</v>
      </c>
      <c r="C181" t="s" s="89">
        <v>1425</v>
      </c>
      <c r="D181" t="s" s="76">
        <v>1</v>
      </c>
      <c r="E181" t="str" s="67" cm="1">
        <f t="array" ref="E181">$C181</f>
        <v>Peningkatan Jalan Ds Sarude II</v>
      </c>
      <c r="F181" s="68"/>
      <c r="G181" s="67"/>
      <c r="H181" s="67"/>
      <c r="I181" s="67"/>
      <c r="J181" s="69">
        <v>170100000</v>
      </c>
      <c r="K181" s="69">
        <v>169920000</v>
      </c>
      <c r="L181" s="56">
        <v>169625872.58</v>
      </c>
      <c r="M181" s="69">
        <v>169625000</v>
      </c>
      <c r="N181" t="s" s="72">
        <v>1323</v>
      </c>
      <c r="O181" t="s" s="78">
        <v>1324</v>
      </c>
      <c r="P181" t="s" s="72">
        <v>4</v>
      </c>
      <c r="Q181" t="s" s="72">
        <v>1325</v>
      </c>
      <c r="R181" t="s" s="72">
        <v>1326</v>
      </c>
      <c r="S181" t="s" s="72">
        <v>1327</v>
      </c>
      <c r="T181" s="71">
        <v>45608</v>
      </c>
      <c r="U181" t="s" s="72">
        <v>149</v>
      </c>
      <c r="V181" t="s" s="72">
        <v>1328</v>
      </c>
      <c r="W181" t="s" s="72">
        <v>1329</v>
      </c>
      <c r="X181" s="79">
        <v>90</v>
      </c>
      <c r="Y181" t="s" s="72">
        <v>10</v>
      </c>
      <c r="Z181" s="69" cm="1">
        <f t="array" ref="Z181">M181</f>
        <v>169625000</v>
      </c>
      <c r="AA181" t="s" s="72">
        <v>11</v>
      </c>
      <c r="AB181" s="71" cm="1">
        <f t="array" ref="AB181">AH181</f>
        <v>45859</v>
      </c>
      <c r="AC181" s="79">
        <v>180</v>
      </c>
      <c r="AD181" t="s" s="72">
        <v>106</v>
      </c>
      <c r="AE181" t="s" s="72">
        <v>107</v>
      </c>
      <c r="AF181" t="s" s="72">
        <v>108</v>
      </c>
      <c r="AG181" s="71">
        <v>45856</v>
      </c>
      <c r="AH181" s="71">
        <v>45859</v>
      </c>
      <c r="AI181" s="71">
        <v>45859</v>
      </c>
      <c r="AJ181" s="71">
        <v>45859</v>
      </c>
      <c r="AK181" s="71">
        <v>45859</v>
      </c>
      <c r="AL181" s="71">
        <v>45859</v>
      </c>
      <c r="AM181" s="71">
        <v>45859</v>
      </c>
      <c r="AN181" t="s" s="72">
        <v>1427</v>
      </c>
      <c r="AO181" s="71" cm="1">
        <f t="array" ref="AO181">AJ181</f>
        <v>45859</v>
      </c>
      <c r="AP181" t="s" s="72">
        <v>1428</v>
      </c>
      <c r="AQ181" s="71" cm="1">
        <f t="array" ref="AQ181">AJ181</f>
        <v>45859</v>
      </c>
      <c r="AR181" t="s" s="72">
        <v>1429</v>
      </c>
      <c r="AS181" s="71" cm="1">
        <f t="array" ref="AS181">AJ181</f>
        <v>45859</v>
      </c>
      <c r="AT181" t="s" s="62">
        <v>1430</v>
      </c>
      <c r="AU181" s="71" cm="1">
        <f t="array" ref="AU181">AJ181</f>
        <v>45859</v>
      </c>
      <c r="AV181" s="67"/>
      <c r="AW181" t="str" s="74" cm="1">
        <f t="array" ref="AW181">"600/"&amp;$B181&amp;"/"&amp;IF(AND($AE181="Konsultansi",M181&lt;=100000000),"SPK",IF(AND($AE181="Konsultansi",M181&gt;100000000),"Kont",IF(AND($AE181&lt;&gt;"Konsultansi",M181&lt;=200000000),"SPK","Kont")))&amp;"-"&amp;AE181&amp;"/PPK/DPUPR"</f>
        <v>600/59011110/SPK-Konstruksi/PPK/DPUPR</v>
      </c>
      <c r="AX181" t="str" s="74" cm="1">
        <f t="array" ref="AX181">"600/"&amp;$B181&amp;"/SPMK/PPK/DPUPR"</f>
        <v>600/59011110/SPMK/PPK/DPUPR</v>
      </c>
      <c r="AY181" s="67"/>
      <c r="AZ181" s="67"/>
      <c r="BA181" s="67"/>
      <c r="BB181" s="67"/>
      <c r="BC181" s="67"/>
      <c r="BD181" s="67"/>
      <c r="BE181" s="67"/>
      <c r="BF181" s="67"/>
      <c r="BG181" s="80">
        <v>257</v>
      </c>
      <c r="BH181" t="s" s="72">
        <v>1323</v>
      </c>
      <c r="BI181" t="s" s="72">
        <v>21</v>
      </c>
      <c r="BJ181" t="s" s="72">
        <v>22</v>
      </c>
      <c r="BK181" t="s" s="72">
        <v>23</v>
      </c>
      <c r="BL181" t="s" s="72">
        <v>24</v>
      </c>
      <c r="BM181" s="67"/>
      <c r="BN181" s="67"/>
      <c r="BO181" s="67"/>
      <c r="BP181" s="67"/>
      <c r="BQ181" s="67"/>
      <c r="BR181" t="b" s="79">
        <v>0</v>
      </c>
      <c r="BS181" s="69" cm="1">
        <f t="array" ref="BS181">IF(M181&lt;=0.8*K181,5%*K181,M181*5%)</f>
        <v>8481250</v>
      </c>
      <c r="BT181" t="s" s="72">
        <v>25</v>
      </c>
      <c r="BU181" s="67"/>
      <c r="BV181" s="69" cm="1">
        <f t="array" ref="BV181">J181-M181</f>
        <v>475000</v>
      </c>
    </row>
    <row r="182" ht="36.25" customHeight="1">
      <c r="A182" s="47"/>
      <c r="B182" s="48">
        <v>59010718</v>
      </c>
      <c r="C182" t="s" s="89">
        <v>1433</v>
      </c>
      <c r="D182" t="s" s="50">
        <v>1</v>
      </c>
      <c r="E182" t="str" s="51" cm="1">
        <f t="array" ref="E182">$C182</f>
        <v>Peningkatan Jalan Bambalamotu II</v>
      </c>
      <c r="F182" s="52"/>
      <c r="G182" s="51"/>
      <c r="H182" s="51"/>
      <c r="I182" s="51"/>
      <c r="J182" s="54">
        <v>170100000</v>
      </c>
      <c r="K182" s="54">
        <v>169697000</v>
      </c>
      <c r="L182" s="56">
        <v>169452595.32</v>
      </c>
      <c r="M182" s="54">
        <v>169452000</v>
      </c>
      <c r="N182" t="s" s="57">
        <v>530</v>
      </c>
      <c r="O182" t="s" s="58">
        <v>531</v>
      </c>
      <c r="P182" t="s" s="57">
        <v>4</v>
      </c>
      <c r="Q182" t="s" s="57">
        <v>532</v>
      </c>
      <c r="R182" t="s" s="57">
        <v>533</v>
      </c>
      <c r="S182" s="95">
        <v>43101</v>
      </c>
      <c r="T182" s="61">
        <v>43411</v>
      </c>
      <c r="U182" t="s" s="57">
        <v>149</v>
      </c>
      <c r="V182" t="s" s="57">
        <v>534</v>
      </c>
      <c r="W182" t="s" s="57">
        <v>535</v>
      </c>
      <c r="X182" s="60">
        <v>90</v>
      </c>
      <c r="Y182" t="s" s="57">
        <v>10</v>
      </c>
      <c r="Z182" s="54" cm="1">
        <f t="array" ref="Z182">M182</f>
        <v>169452000</v>
      </c>
      <c r="AA182" t="s" s="57">
        <v>11</v>
      </c>
      <c r="AB182" s="61" cm="1">
        <f t="array" ref="AB182">AH182</f>
        <v>45859</v>
      </c>
      <c r="AC182" s="60">
        <v>180</v>
      </c>
      <c r="AD182" t="s" s="57">
        <v>106</v>
      </c>
      <c r="AE182" t="s" s="57">
        <v>107</v>
      </c>
      <c r="AF182" t="s" s="57">
        <v>108</v>
      </c>
      <c r="AG182" s="61">
        <v>45856</v>
      </c>
      <c r="AH182" s="61">
        <v>45859</v>
      </c>
      <c r="AI182" s="61">
        <v>45859</v>
      </c>
      <c r="AJ182" s="61">
        <v>45859</v>
      </c>
      <c r="AK182" s="61">
        <v>45859</v>
      </c>
      <c r="AL182" s="61">
        <v>45859</v>
      </c>
      <c r="AM182" s="61">
        <v>45859</v>
      </c>
      <c r="AN182" t="s" s="57">
        <v>1435</v>
      </c>
      <c r="AO182" s="61" cm="1">
        <f t="array" ref="AO182">AJ182</f>
        <v>45859</v>
      </c>
      <c r="AP182" t="s" s="57">
        <v>1436</v>
      </c>
      <c r="AQ182" s="61" cm="1">
        <f t="array" ref="AQ182">AJ182</f>
        <v>45859</v>
      </c>
      <c r="AR182" t="s" s="57">
        <v>1437</v>
      </c>
      <c r="AS182" s="61" cm="1">
        <f t="array" ref="AS182">AJ182</f>
        <v>45859</v>
      </c>
      <c r="AT182" t="s" s="62">
        <v>1438</v>
      </c>
      <c r="AU182" s="61" cm="1">
        <f t="array" ref="AU182">AJ182</f>
        <v>45859</v>
      </c>
      <c r="AV182" s="51"/>
      <c r="AW182" t="str" s="63" cm="1">
        <f t="array" ref="AW182">"600/"&amp;$B182&amp;"/"&amp;IF(AND($AE182="Konsultansi",M182&lt;=100000000),"SPK",IF(AND($AE182="Konsultansi",M182&gt;100000000),"Kont",IF(AND($AE182&lt;&gt;"Konsultansi",M182&lt;=200000000),"SPK","Kont")))&amp;"-"&amp;AE182&amp;"/PPK/DPUPR"</f>
        <v>600/59010718/SPK-Konstruksi/PPK/DPUPR</v>
      </c>
      <c r="AX182" t="str" s="63" cm="1">
        <f t="array" ref="AX182">"600/"&amp;$B182&amp;"/SPMK/PPK/DPUPR"</f>
        <v>600/59010718/SPMK/PPK/DPUPR</v>
      </c>
      <c r="AY182" s="51"/>
      <c r="AZ182" s="51"/>
      <c r="BA182" s="51"/>
      <c r="BB182" s="51"/>
      <c r="BC182" s="51"/>
      <c r="BD182" s="51"/>
      <c r="BE182" s="51"/>
      <c r="BF182" s="51"/>
      <c r="BG182" s="64">
        <v>172</v>
      </c>
      <c r="BH182" t="s" s="57">
        <v>530</v>
      </c>
      <c r="BI182" t="s" s="57">
        <v>21</v>
      </c>
      <c r="BJ182" t="s" s="57">
        <v>22</v>
      </c>
      <c r="BK182" t="s" s="57">
        <v>23</v>
      </c>
      <c r="BL182" t="s" s="57">
        <v>24</v>
      </c>
      <c r="BM182" s="51"/>
      <c r="BN182" s="51"/>
      <c r="BO182" s="51"/>
      <c r="BP182" s="51"/>
      <c r="BQ182" s="51"/>
      <c r="BR182" t="b" s="60">
        <v>0</v>
      </c>
      <c r="BS182" s="54" cm="1">
        <f t="array" ref="BS182">IF(M182&lt;=0.8*K182,5%*K182,M182*5%)</f>
        <v>8472600</v>
      </c>
      <c r="BT182" t="s" s="57">
        <v>25</v>
      </c>
      <c r="BU182" s="51"/>
      <c r="BV182" s="54" cm="1">
        <f t="array" ref="BV182">J182-M182</f>
        <v>648000</v>
      </c>
    </row>
    <row r="183" ht="36.25" customHeight="1">
      <c r="A183" s="47"/>
      <c r="B183" s="48">
        <v>59009399</v>
      </c>
      <c r="C183" t="s" s="89">
        <v>1441</v>
      </c>
      <c r="D183" t="s" s="76">
        <v>1</v>
      </c>
      <c r="E183" t="str" s="67" cm="1">
        <f t="array" ref="E183">$C183</f>
        <v>Pemb./Peningkatan Jalan Ds Benggaulu</v>
      </c>
      <c r="F183" s="68"/>
      <c r="G183" s="67"/>
      <c r="H183" s="67"/>
      <c r="I183" s="67"/>
      <c r="J183" s="69">
        <v>189000000</v>
      </c>
      <c r="K183" s="69">
        <v>188649000</v>
      </c>
      <c r="L183" s="56">
        <v>188002655.86</v>
      </c>
      <c r="M183" s="69">
        <v>188002000</v>
      </c>
      <c r="N183" t="s" s="72">
        <v>608</v>
      </c>
      <c r="O183" t="s" s="78">
        <v>609</v>
      </c>
      <c r="P183" t="s" s="72">
        <v>4</v>
      </c>
      <c r="Q183" t="s" s="72">
        <v>610</v>
      </c>
      <c r="R183" t="s" s="72">
        <v>611</v>
      </c>
      <c r="S183" s="79">
        <v>189</v>
      </c>
      <c r="T183" s="71">
        <v>45322</v>
      </c>
      <c r="U183" t="s" s="72">
        <v>612</v>
      </c>
      <c r="V183" t="s" s="72">
        <v>613</v>
      </c>
      <c r="W183" t="s" s="72">
        <v>614</v>
      </c>
      <c r="X183" s="79">
        <v>90</v>
      </c>
      <c r="Y183" t="s" s="72">
        <v>10</v>
      </c>
      <c r="Z183" s="69" cm="1">
        <f t="array" ref="Z183">M183</f>
        <v>188002000</v>
      </c>
      <c r="AA183" t="s" s="72">
        <v>11</v>
      </c>
      <c r="AB183" s="71" cm="1">
        <f t="array" ref="AB183">AH183</f>
        <v>45859</v>
      </c>
      <c r="AC183" s="79">
        <v>180</v>
      </c>
      <c r="AD183" t="s" s="72">
        <v>106</v>
      </c>
      <c r="AE183" t="s" s="72">
        <v>107</v>
      </c>
      <c r="AF183" t="s" s="72">
        <v>108</v>
      </c>
      <c r="AG183" s="71">
        <v>45856</v>
      </c>
      <c r="AH183" s="71">
        <v>45859</v>
      </c>
      <c r="AI183" s="71">
        <v>45859</v>
      </c>
      <c r="AJ183" s="71">
        <v>45859</v>
      </c>
      <c r="AK183" s="71">
        <v>45859</v>
      </c>
      <c r="AL183" s="71">
        <v>45859</v>
      </c>
      <c r="AM183" s="71">
        <v>45859</v>
      </c>
      <c r="AN183" t="s" s="72">
        <v>1443</v>
      </c>
      <c r="AO183" s="71" cm="1">
        <f t="array" ref="AO183">AJ183</f>
        <v>45859</v>
      </c>
      <c r="AP183" t="s" s="72">
        <v>1444</v>
      </c>
      <c r="AQ183" s="71" cm="1">
        <f t="array" ref="AQ183">AJ183</f>
        <v>45859</v>
      </c>
      <c r="AR183" t="s" s="72">
        <v>1445</v>
      </c>
      <c r="AS183" s="71" cm="1">
        <f t="array" ref="AS183">AJ183</f>
        <v>45859</v>
      </c>
      <c r="AT183" t="s" s="62">
        <v>1446</v>
      </c>
      <c r="AU183" s="71" cm="1">
        <f t="array" ref="AU183">AJ183</f>
        <v>45859</v>
      </c>
      <c r="AV183" s="67"/>
      <c r="AW183" t="str" s="74" cm="1">
        <f t="array" ref="AW183">"600/"&amp;$B183&amp;"/"&amp;IF(AND($AE183="Konsultansi",M183&lt;=100000000),"SPK",IF(AND($AE183="Konsultansi",M183&gt;100000000),"Kont",IF(AND($AE183&lt;&gt;"Konsultansi",M183&lt;=200000000),"SPK","Kont")))&amp;"-"&amp;AE183&amp;"/PPK/DPUPR"</f>
        <v>600/59009399/SPK-Konstruksi/PPK/DPUPR</v>
      </c>
      <c r="AX183" t="str" s="74" cm="1">
        <f t="array" ref="AX183">"600/"&amp;$B183&amp;"/SPMK/PPK/DPUPR"</f>
        <v>600/59009399/SPMK/PPK/DPUPR</v>
      </c>
      <c r="AY183" s="67"/>
      <c r="AZ183" s="67"/>
      <c r="BA183" s="67"/>
      <c r="BB183" s="67"/>
      <c r="BC183" s="67"/>
      <c r="BD183" s="67"/>
      <c r="BE183" s="67"/>
      <c r="BF183" s="67"/>
      <c r="BG183" s="80">
        <v>229</v>
      </c>
      <c r="BH183" t="s" s="72">
        <v>608</v>
      </c>
      <c r="BI183" t="s" s="72">
        <v>21</v>
      </c>
      <c r="BJ183" t="s" s="72">
        <v>22</v>
      </c>
      <c r="BK183" t="s" s="72">
        <v>23</v>
      </c>
      <c r="BL183" t="s" s="72">
        <v>24</v>
      </c>
      <c r="BM183" s="67"/>
      <c r="BN183" s="67"/>
      <c r="BO183" s="67"/>
      <c r="BP183" s="67"/>
      <c r="BQ183" s="67"/>
      <c r="BR183" t="b" s="79">
        <v>0</v>
      </c>
      <c r="BS183" s="69" cm="1">
        <f t="array" ref="BS183">IF(M183&lt;=0.8*K183,5%*K183,M183*5%)</f>
        <v>9400100</v>
      </c>
      <c r="BT183" t="s" s="72">
        <v>25</v>
      </c>
      <c r="BU183" s="67"/>
      <c r="BV183" s="69" cm="1">
        <f t="array" ref="BV183">J183-M183</f>
        <v>998000</v>
      </c>
    </row>
    <row r="184" ht="48.25" customHeight="1">
      <c r="A184" s="47"/>
      <c r="B184" s="48">
        <v>59009511</v>
      </c>
      <c r="C184" t="s" s="89">
        <v>1449</v>
      </c>
      <c r="D184" t="s" s="50">
        <v>1</v>
      </c>
      <c r="E184" t="str" s="51" cm="1">
        <f t="array" ref="E184">$C184</f>
        <v> Peningkatan Jalan Kanantuo</v>
      </c>
      <c r="F184" s="52"/>
      <c r="G184" s="51"/>
      <c r="H184" s="51"/>
      <c r="I184" s="51"/>
      <c r="J184" s="54">
        <v>189000000</v>
      </c>
      <c r="K184" s="54">
        <v>188844000</v>
      </c>
      <c r="L184" s="56">
        <v>188309881.28</v>
      </c>
      <c r="M184" s="54">
        <v>188309000</v>
      </c>
      <c r="N184" t="s" s="57">
        <v>355</v>
      </c>
      <c r="O184" t="s" s="58">
        <v>356</v>
      </c>
      <c r="P184" t="s" s="57">
        <v>4</v>
      </c>
      <c r="Q184" t="s" s="57">
        <v>357</v>
      </c>
      <c r="R184" t="s" s="57">
        <v>358</v>
      </c>
      <c r="S184" s="60">
        <v>171</v>
      </c>
      <c r="T184" s="61">
        <v>45320</v>
      </c>
      <c r="U184" t="s" s="57">
        <v>359</v>
      </c>
      <c r="V184" t="s" s="57">
        <v>360</v>
      </c>
      <c r="W184" t="s" s="57">
        <v>361</v>
      </c>
      <c r="X184" s="60">
        <v>90</v>
      </c>
      <c r="Y184" t="s" s="57">
        <v>10</v>
      </c>
      <c r="Z184" s="54" cm="1">
        <f t="array" ref="Z184">M184</f>
        <v>188309000</v>
      </c>
      <c r="AA184" t="s" s="57">
        <v>11</v>
      </c>
      <c r="AB184" s="61" cm="1">
        <f t="array" ref="AB184">AH184</f>
        <v>45859</v>
      </c>
      <c r="AC184" s="60">
        <v>180</v>
      </c>
      <c r="AD184" t="s" s="57">
        <v>106</v>
      </c>
      <c r="AE184" t="s" s="57">
        <v>107</v>
      </c>
      <c r="AF184" t="s" s="57">
        <v>108</v>
      </c>
      <c r="AG184" s="61">
        <v>45856</v>
      </c>
      <c r="AH184" s="61">
        <v>45859</v>
      </c>
      <c r="AI184" s="61">
        <v>45859</v>
      </c>
      <c r="AJ184" s="61">
        <v>45859</v>
      </c>
      <c r="AK184" s="61">
        <v>45859</v>
      </c>
      <c r="AL184" s="61">
        <v>45859</v>
      </c>
      <c r="AM184" s="61">
        <v>45859</v>
      </c>
      <c r="AN184" t="s" s="57">
        <v>1451</v>
      </c>
      <c r="AO184" s="61" cm="1">
        <f t="array" ref="AO184">AJ184</f>
        <v>45859</v>
      </c>
      <c r="AP184" t="s" s="57">
        <v>1452</v>
      </c>
      <c r="AQ184" s="61" cm="1">
        <f t="array" ref="AQ184">AJ184</f>
        <v>45859</v>
      </c>
      <c r="AR184" t="s" s="57">
        <v>1453</v>
      </c>
      <c r="AS184" s="61" cm="1">
        <f t="array" ref="AS184">AJ184</f>
        <v>45859</v>
      </c>
      <c r="AT184" t="s" s="62">
        <v>1454</v>
      </c>
      <c r="AU184" s="61" cm="1">
        <f t="array" ref="AU184">AJ184</f>
        <v>45859</v>
      </c>
      <c r="AV184" s="51"/>
      <c r="AW184" t="str" s="63" cm="1">
        <f t="array" ref="AW184">"600/"&amp;$B184&amp;"/"&amp;IF(AND($AE184="Konsultansi",M184&lt;=100000000),"SPK",IF(AND($AE184="Konsultansi",M184&gt;100000000),"Kont",IF(AND($AE184&lt;&gt;"Konsultansi",M184&lt;=200000000),"SPK","Kont")))&amp;"-"&amp;AE184&amp;"/PPK/DPUPR"</f>
        <v>600/59009511/SPK-Konstruksi/PPK/DPUPR</v>
      </c>
      <c r="AX184" t="str" s="63" cm="1">
        <f t="array" ref="AX184">"600/"&amp;$B184&amp;"/SPMK/PPK/DPUPR"</f>
        <v>600/59009511/SPMK/PPK/DPUPR</v>
      </c>
      <c r="AY184" s="51"/>
      <c r="AZ184" s="51"/>
      <c r="BA184" s="51"/>
      <c r="BB184" s="51"/>
      <c r="BC184" s="51"/>
      <c r="BD184" s="51"/>
      <c r="BE184" s="51"/>
      <c r="BF184" s="51"/>
      <c r="BG184" s="64">
        <v>231</v>
      </c>
      <c r="BH184" t="s" s="57">
        <v>355</v>
      </c>
      <c r="BI184" t="s" s="57">
        <v>21</v>
      </c>
      <c r="BJ184" t="s" s="57">
        <v>22</v>
      </c>
      <c r="BK184" t="s" s="57">
        <v>23</v>
      </c>
      <c r="BL184" t="s" s="57">
        <v>24</v>
      </c>
      <c r="BM184" s="51"/>
      <c r="BN184" s="51"/>
      <c r="BO184" s="51"/>
      <c r="BP184" s="51"/>
      <c r="BQ184" s="51"/>
      <c r="BR184" t="b" s="60">
        <v>0</v>
      </c>
      <c r="BS184" s="54" cm="1">
        <f t="array" ref="BS184">IF(M184&lt;=0.8*K184,5%*K184,M184*5%)</f>
        <v>9415450</v>
      </c>
      <c r="BT184" t="s" s="57">
        <v>25</v>
      </c>
      <c r="BU184" s="51"/>
      <c r="BV184" s="54" cm="1">
        <f t="array" ref="BV184">J184-M184</f>
        <v>691000</v>
      </c>
    </row>
    <row r="185" ht="36.25" customHeight="1">
      <c r="A185" s="47"/>
      <c r="B185" s="48">
        <v>59010929</v>
      </c>
      <c r="C185" t="s" s="89">
        <v>1457</v>
      </c>
      <c r="D185" t="s" s="76">
        <v>1</v>
      </c>
      <c r="E185" t="str" s="67" cm="1">
        <f t="array" ref="E185">$C185</f>
        <v>Peningkatan Jalan Maponu I</v>
      </c>
      <c r="F185" s="68"/>
      <c r="G185" s="67"/>
      <c r="H185" s="67"/>
      <c r="I185" s="67"/>
      <c r="J185" s="69">
        <v>170100000</v>
      </c>
      <c r="K185" s="69">
        <v>169803000</v>
      </c>
      <c r="L185" s="56">
        <v>169135087.34</v>
      </c>
      <c r="M185" s="69">
        <v>169135000</v>
      </c>
      <c r="N185" t="s" s="72">
        <v>1368</v>
      </c>
      <c r="O185" t="s" s="78">
        <v>1369</v>
      </c>
      <c r="P185" t="s" s="72">
        <v>4</v>
      </c>
      <c r="Q185" t="s" s="72">
        <v>1370</v>
      </c>
      <c r="R185" t="s" s="72">
        <v>1371</v>
      </c>
      <c r="S185" s="79">
        <v>17</v>
      </c>
      <c r="T185" s="71">
        <v>42789</v>
      </c>
      <c r="U185" t="s" s="72">
        <v>456</v>
      </c>
      <c r="V185" t="s" s="72">
        <v>1372</v>
      </c>
      <c r="W185" t="s" s="72">
        <v>1373</v>
      </c>
      <c r="X185" s="79">
        <v>90</v>
      </c>
      <c r="Y185" t="s" s="72">
        <v>10</v>
      </c>
      <c r="Z185" s="69" cm="1">
        <f t="array" ref="Z185">M185</f>
        <v>169135000</v>
      </c>
      <c r="AA185" t="s" s="72">
        <v>11</v>
      </c>
      <c r="AB185" s="71" cm="1">
        <f t="array" ref="AB185">AH185</f>
        <v>45875</v>
      </c>
      <c r="AC185" s="79">
        <v>180</v>
      </c>
      <c r="AD185" t="s" s="72">
        <v>106</v>
      </c>
      <c r="AE185" t="s" s="72">
        <v>107</v>
      </c>
      <c r="AF185" t="s" s="72">
        <v>108</v>
      </c>
      <c r="AG185" s="71">
        <v>45874</v>
      </c>
      <c r="AH185" s="71">
        <v>45875</v>
      </c>
      <c r="AI185" s="71">
        <v>45875</v>
      </c>
      <c r="AJ185" s="71">
        <v>45875</v>
      </c>
      <c r="AK185" s="71">
        <v>45875</v>
      </c>
      <c r="AL185" s="71">
        <v>45875</v>
      </c>
      <c r="AM185" s="71">
        <v>45875</v>
      </c>
      <c r="AN185" t="s" s="72">
        <v>1459</v>
      </c>
      <c r="AO185" s="71" cm="1">
        <f t="array" ref="AO185">AJ185</f>
        <v>45875</v>
      </c>
      <c r="AP185" t="s" s="72">
        <v>1460</v>
      </c>
      <c r="AQ185" s="71" cm="1">
        <f t="array" ref="AQ185">AJ185</f>
        <v>45875</v>
      </c>
      <c r="AR185" t="s" s="72">
        <v>1461</v>
      </c>
      <c r="AS185" s="71" cm="1">
        <f t="array" ref="AS185">AJ185</f>
        <v>45875</v>
      </c>
      <c r="AT185" t="s" s="62">
        <v>1462</v>
      </c>
      <c r="AU185" s="71" cm="1">
        <f t="array" ref="AU185">AJ185</f>
        <v>45875</v>
      </c>
      <c r="AV185" s="67"/>
      <c r="AW185" t="str" s="74" cm="1">
        <f t="array" ref="AW185">"600/"&amp;$B185&amp;"/"&amp;IF(AND($AE185="Konsultansi",M185&lt;=100000000),"SPK",IF(AND($AE185="Konsultansi",M185&gt;100000000),"Kont",IF(AND($AE185&lt;&gt;"Konsultansi",M185&lt;=200000000),"SPK","Kont")))&amp;"-"&amp;AE185&amp;"/PPK/DPUPR"</f>
        <v>600/59010929/SPK-Konstruksi/PPK/DPUPR</v>
      </c>
      <c r="AX185" t="str" s="74" cm="1">
        <f t="array" ref="AX185">"600/"&amp;$B185&amp;"/SPMK/PPK/DPUPR"</f>
        <v>600/59010929/SPMK/PPK/DPUPR</v>
      </c>
      <c r="AY185" s="67"/>
      <c r="AZ185" s="67"/>
      <c r="BA185" s="67"/>
      <c r="BB185" s="67"/>
      <c r="BC185" s="67"/>
      <c r="BD185" s="67"/>
      <c r="BE185" s="67"/>
      <c r="BF185" s="67"/>
      <c r="BG185" s="80">
        <v>119</v>
      </c>
      <c r="BH185" t="s" s="72">
        <v>1368</v>
      </c>
      <c r="BI185" t="s" s="72">
        <v>21</v>
      </c>
      <c r="BJ185" t="s" s="72">
        <v>22</v>
      </c>
      <c r="BK185" t="s" s="72">
        <v>23</v>
      </c>
      <c r="BL185" t="s" s="72">
        <v>24</v>
      </c>
      <c r="BM185" s="67"/>
      <c r="BN185" s="67"/>
      <c r="BO185" s="67"/>
      <c r="BP185" s="67"/>
      <c r="BQ185" s="67"/>
      <c r="BR185" t="b" s="79">
        <v>0</v>
      </c>
      <c r="BS185" s="69" cm="1">
        <f t="array" ref="BS185">IF(M185&lt;=0.8*K185,5%*K185,M185*5%)</f>
        <v>8456750</v>
      </c>
      <c r="BT185" t="s" s="72">
        <v>25</v>
      </c>
      <c r="BU185" s="67"/>
      <c r="BV185" s="69" cm="1">
        <f t="array" ref="BV185">J185-M185</f>
        <v>965000</v>
      </c>
    </row>
    <row r="186" ht="36.25" customHeight="1">
      <c r="A186" s="47"/>
      <c r="B186" s="48">
        <v>59011573</v>
      </c>
      <c r="C186" t="s" s="89">
        <v>1465</v>
      </c>
      <c r="D186" t="s" s="50">
        <v>280</v>
      </c>
      <c r="E186" t="str" s="51" cm="1">
        <f t="array" ref="E186">$C186</f>
        <v>Pemb. Box Culvert Kalukunangka 1 Mata (2 Unit)</v>
      </c>
      <c r="F186" s="52"/>
      <c r="G186" s="51"/>
      <c r="H186" s="51"/>
      <c r="I186" s="51"/>
      <c r="J186" s="54">
        <v>170100000</v>
      </c>
      <c r="K186" s="54">
        <v>168447000</v>
      </c>
      <c r="L186" s="56">
        <v>167890963.41</v>
      </c>
      <c r="M186" s="54">
        <v>167890000</v>
      </c>
      <c r="N186" t="s" s="57">
        <v>515</v>
      </c>
      <c r="O186" t="s" s="58">
        <v>516</v>
      </c>
      <c r="P186" t="s" s="57">
        <v>4</v>
      </c>
      <c r="Q186" t="s" s="57">
        <v>517</v>
      </c>
      <c r="R186" t="s" s="57">
        <v>518</v>
      </c>
      <c r="S186" t="s" s="57">
        <v>519</v>
      </c>
      <c r="T186" s="61">
        <v>44356</v>
      </c>
      <c r="U186" t="s" s="57">
        <v>149</v>
      </c>
      <c r="V186" t="s" s="57">
        <v>520</v>
      </c>
      <c r="W186" t="s" s="57">
        <v>521</v>
      </c>
      <c r="X186" s="60">
        <v>90</v>
      </c>
      <c r="Y186" t="s" s="57">
        <v>10</v>
      </c>
      <c r="Z186" s="54" cm="1">
        <f t="array" ref="Z186">M186</f>
        <v>167890000</v>
      </c>
      <c r="AA186" t="s" s="57">
        <v>11</v>
      </c>
      <c r="AB186" s="61" cm="1">
        <f t="array" ref="AB186">AH186</f>
        <v>45875</v>
      </c>
      <c r="AC186" s="60">
        <v>180</v>
      </c>
      <c r="AD186" t="s" s="57">
        <v>106</v>
      </c>
      <c r="AE186" t="s" s="57">
        <v>107</v>
      </c>
      <c r="AF186" t="s" s="57">
        <v>108</v>
      </c>
      <c r="AG186" s="61">
        <v>45874</v>
      </c>
      <c r="AH186" s="61">
        <v>45875</v>
      </c>
      <c r="AI186" s="61">
        <v>45875</v>
      </c>
      <c r="AJ186" s="61">
        <v>45875</v>
      </c>
      <c r="AK186" s="61">
        <v>45875</v>
      </c>
      <c r="AL186" s="61">
        <v>45875</v>
      </c>
      <c r="AM186" s="61">
        <v>45875</v>
      </c>
      <c r="AN186" t="s" s="57">
        <v>1467</v>
      </c>
      <c r="AO186" s="51"/>
      <c r="AP186" t="s" s="57">
        <v>1468</v>
      </c>
      <c r="AQ186" s="61" cm="1">
        <f t="array" ref="AQ186">AJ186</f>
        <v>45875</v>
      </c>
      <c r="AR186" t="s" s="57">
        <v>1469</v>
      </c>
      <c r="AS186" s="61" cm="1">
        <f t="array" ref="AS186">AJ186</f>
        <v>45875</v>
      </c>
      <c r="AT186" t="s" s="62">
        <v>1470</v>
      </c>
      <c r="AU186" s="61" cm="1">
        <f t="array" ref="AU186">AJ186</f>
        <v>45875</v>
      </c>
      <c r="AV186" s="51"/>
      <c r="AW186" t="str" s="63" cm="1">
        <f t="array" ref="AW186">"600/"&amp;$B186&amp;"/"&amp;IF(AND($AE186="Konsultansi",M186&lt;=100000000),"SPK",IF(AND($AE186="Konsultansi",M186&gt;100000000),"Kont",IF(AND($AE186&lt;&gt;"Konsultansi",M186&lt;=200000000),"SPK","Kont")))&amp;"-"&amp;AE186&amp;"/PPK/DPUPR"</f>
        <v>600/59011573/SPK-Konstruksi/PPK/DPUPR</v>
      </c>
      <c r="AX186" t="str" s="63" cm="1">
        <f t="array" ref="AX186">"600/"&amp;$B186&amp;"/SPMK/PPK/DPUPR"</f>
        <v>600/59011573/SPMK/PPK/DPUPR</v>
      </c>
      <c r="AY186" s="51"/>
      <c r="AZ186" s="51"/>
      <c r="BA186" s="51"/>
      <c r="BB186" s="51"/>
      <c r="BC186" s="51"/>
      <c r="BD186" s="51"/>
      <c r="BE186" s="51"/>
      <c r="BF186" s="51"/>
      <c r="BG186" s="64">
        <v>147</v>
      </c>
      <c r="BH186" t="s" s="57">
        <v>515</v>
      </c>
      <c r="BI186" t="s" s="57">
        <v>21</v>
      </c>
      <c r="BJ186" t="s" s="57">
        <v>22</v>
      </c>
      <c r="BK186" t="s" s="57">
        <v>23</v>
      </c>
      <c r="BL186" t="s" s="57">
        <v>24</v>
      </c>
      <c r="BM186" s="51"/>
      <c r="BN186" s="51"/>
      <c r="BO186" s="51"/>
      <c r="BP186" s="51"/>
      <c r="BQ186" s="51"/>
      <c r="BR186" t="b" s="60">
        <v>0</v>
      </c>
      <c r="BS186" s="54" cm="1">
        <f t="array" ref="BS186">IF(M186&lt;=0.8*K186,5%*K186,M186*5%)</f>
        <v>8394500</v>
      </c>
      <c r="BT186" t="s" s="57">
        <v>288</v>
      </c>
      <c r="BU186" s="51"/>
      <c r="BV186" s="54" cm="1">
        <f t="array" ref="BV186">J186-M186</f>
        <v>2210000</v>
      </c>
    </row>
    <row r="187" ht="36.25" customHeight="1">
      <c r="A187" s="47"/>
      <c r="B187" s="48">
        <v>56527550</v>
      </c>
      <c r="C187" t="s" s="89">
        <v>1473</v>
      </c>
      <c r="D187" t="s" s="76">
        <v>1</v>
      </c>
      <c r="E187" t="str" s="67" cm="1">
        <f t="array" ref="E187">$C187</f>
        <v>Pengawasan Pemb./Peningkatan Jalan Ds Benggaulu cs.</v>
      </c>
      <c r="F187" s="68"/>
      <c r="G187" s="67"/>
      <c r="H187" s="67"/>
      <c r="I187" s="67"/>
      <c r="J187" s="69">
        <v>68500000</v>
      </c>
      <c r="K187" s="69">
        <v>68490000</v>
      </c>
      <c r="L187" s="56">
        <v>68045508</v>
      </c>
      <c r="M187" s="69">
        <v>68045000</v>
      </c>
      <c r="N187" t="s" s="72">
        <v>2</v>
      </c>
      <c r="O187" t="s" s="78">
        <v>1475</v>
      </c>
      <c r="P187" t="s" s="72">
        <v>4</v>
      </c>
      <c r="Q187" t="s" s="72">
        <v>5</v>
      </c>
      <c r="R187" t="s" s="72">
        <v>6</v>
      </c>
      <c r="S187" s="79">
        <v>24</v>
      </c>
      <c r="T187" s="71">
        <v>44516</v>
      </c>
      <c r="U187" t="s" s="72">
        <v>7</v>
      </c>
      <c r="V187" t="s" s="72">
        <v>8</v>
      </c>
      <c r="W187" t="s" s="72">
        <v>9</v>
      </c>
      <c r="X187" s="79">
        <v>150</v>
      </c>
      <c r="Y187" t="s" s="72">
        <v>10</v>
      </c>
      <c r="Z187" s="69" cm="1">
        <f t="array" ref="Z187">M187</f>
        <v>68045000</v>
      </c>
      <c r="AA187" t="s" s="72">
        <v>11</v>
      </c>
      <c r="AB187" s="71" cm="1">
        <f t="array" ref="AB187">AH187</f>
        <v>45768</v>
      </c>
      <c r="AC187" s="67"/>
      <c r="AD187" t="s" s="72">
        <v>12</v>
      </c>
      <c r="AE187" t="s" s="72">
        <v>13</v>
      </c>
      <c r="AF187" t="s" s="72">
        <v>14</v>
      </c>
      <c r="AG187" s="71">
        <v>45765</v>
      </c>
      <c r="AH187" s="71">
        <v>45768</v>
      </c>
      <c r="AI187" s="71">
        <v>45768</v>
      </c>
      <c r="AJ187" s="71">
        <v>45768</v>
      </c>
      <c r="AK187" s="71">
        <v>45768</v>
      </c>
      <c r="AL187" s="71">
        <v>45768</v>
      </c>
      <c r="AM187" s="71">
        <v>45768</v>
      </c>
      <c r="AN187" t="s" s="72">
        <v>15</v>
      </c>
      <c r="AO187" s="71">
        <v>45853</v>
      </c>
      <c r="AP187" t="s" s="72">
        <v>16</v>
      </c>
      <c r="AQ187" s="71" cm="1">
        <f t="array" ref="AQ187">AJ187</f>
        <v>45768</v>
      </c>
      <c r="AR187" t="s" s="72">
        <v>17</v>
      </c>
      <c r="AS187" s="71" cm="1">
        <f t="array" ref="AS187">AJ187</f>
        <v>45768</v>
      </c>
      <c r="AT187" t="s" s="62">
        <v>18</v>
      </c>
      <c r="AU187" s="71" cm="1">
        <f t="array" ref="AU187">AJ187</f>
        <v>45768</v>
      </c>
      <c r="AV187" s="67"/>
      <c r="AW187" t="str" s="74" cm="1">
        <f t="array" ref="AW187">"600/"&amp;$B187&amp;"/"&amp;IF(AND($AE187="Konsultansi",M187&lt;=100000000),"SPK",IF(AND($AE187="Konsultansi",M187&gt;100000000),"Kont",IF(AND($AE187&lt;&gt;"Konsultansi",M187&lt;=200000000),"SPK","Kont")))&amp;"-"&amp;AE187&amp;"/PPK/DPUPR"</f>
        <v>600/56527550/SPK-Konsultansi/PPK/DPUPR</v>
      </c>
      <c r="AX187" t="str" s="74" cm="1">
        <f t="array" ref="AX187">"600/"&amp;$B187&amp;"/SPMK/PPK/DPUPR"</f>
        <v>600/56527550/SPMK/PPK/DPUPR</v>
      </c>
      <c r="AY187" s="67"/>
      <c r="AZ187" s="67"/>
      <c r="BA187" s="67"/>
      <c r="BB187" s="67"/>
      <c r="BC187" s="67"/>
      <c r="BD187" s="67"/>
      <c r="BE187" s="67"/>
      <c r="BF187" s="67"/>
      <c r="BG187" s="80">
        <v>6</v>
      </c>
      <c r="BH187" t="s" s="72">
        <v>2</v>
      </c>
      <c r="BI187" t="s" s="72">
        <v>21</v>
      </c>
      <c r="BJ187" t="s" s="72">
        <v>22</v>
      </c>
      <c r="BK187" t="s" s="72">
        <v>23</v>
      </c>
      <c r="BL187" t="s" s="72">
        <v>24</v>
      </c>
      <c r="BM187" s="67"/>
      <c r="BN187" s="67"/>
      <c r="BO187" s="67"/>
      <c r="BP187" s="67"/>
      <c r="BQ187" s="67"/>
      <c r="BR187" t="b" s="79">
        <v>0</v>
      </c>
      <c r="BS187" s="69" cm="1">
        <f t="array" ref="BS187">IF(M187&lt;=0.8*K187,5%*K187,M187*5%)</f>
        <v>3402250</v>
      </c>
      <c r="BT187" t="s" s="72">
        <v>25</v>
      </c>
      <c r="BU187" s="67"/>
      <c r="BV187" s="69" cm="1">
        <f t="array" ref="BV187">J187-M187</f>
        <v>455000</v>
      </c>
    </row>
    <row r="188" ht="36.25" customHeight="1">
      <c r="A188" s="47"/>
      <c r="B188" s="48">
        <v>56634550</v>
      </c>
      <c r="C188" t="s" s="89">
        <v>1476</v>
      </c>
      <c r="D188" t="s" s="50">
        <v>1</v>
      </c>
      <c r="E188" t="str" s="51" cm="1">
        <f t="array" ref="E188">$C188</f>
        <v>Pengawasan Peningkatan Jalan Sipakainga cs</v>
      </c>
      <c r="F188" s="52"/>
      <c r="G188" s="51"/>
      <c r="H188" s="51"/>
      <c r="I188" s="51"/>
      <c r="J188" s="54">
        <v>16451310</v>
      </c>
      <c r="K188" s="54">
        <v>16441000</v>
      </c>
      <c r="L188" s="56">
        <v>16236590.4</v>
      </c>
      <c r="M188" s="54">
        <v>16236000</v>
      </c>
      <c r="N188" t="s" s="57">
        <v>2</v>
      </c>
      <c r="O188" t="s" s="58">
        <v>1475</v>
      </c>
      <c r="P188" t="s" s="57">
        <v>4</v>
      </c>
      <c r="Q188" t="s" s="57">
        <v>5</v>
      </c>
      <c r="R188" t="s" s="57">
        <v>6</v>
      </c>
      <c r="S188" s="60">
        <v>24</v>
      </c>
      <c r="T188" s="61">
        <v>44516</v>
      </c>
      <c r="U188" t="s" s="57">
        <v>7</v>
      </c>
      <c r="V188" t="s" s="57">
        <v>8</v>
      </c>
      <c r="W188" t="s" s="57">
        <v>9</v>
      </c>
      <c r="X188" s="60">
        <v>150</v>
      </c>
      <c r="Y188" t="s" s="57">
        <v>10</v>
      </c>
      <c r="Z188" s="54" cm="1">
        <f t="array" ref="Z188">M188</f>
        <v>16236000</v>
      </c>
      <c r="AA188" t="s" s="57">
        <v>11</v>
      </c>
      <c r="AB188" s="61" cm="1">
        <f t="array" ref="AB188">AH188</f>
        <v>45841</v>
      </c>
      <c r="AC188" s="51"/>
      <c r="AD188" t="s" s="57">
        <v>12</v>
      </c>
      <c r="AE188" t="s" s="57">
        <v>13</v>
      </c>
      <c r="AF188" t="s" s="57">
        <v>14</v>
      </c>
      <c r="AG188" s="61">
        <v>45840</v>
      </c>
      <c r="AH188" s="61">
        <v>45841</v>
      </c>
      <c r="AI188" s="61">
        <v>45841</v>
      </c>
      <c r="AJ188" s="61">
        <v>45841</v>
      </c>
      <c r="AK188" s="61">
        <v>45841</v>
      </c>
      <c r="AL188" s="61">
        <v>45841</v>
      </c>
      <c r="AM188" s="61">
        <v>45841</v>
      </c>
      <c r="AN188" t="s" s="57">
        <v>1478</v>
      </c>
      <c r="AO188" s="61" cm="1">
        <f t="array" ref="AO188">AJ188</f>
        <v>45841</v>
      </c>
      <c r="AP188" t="s" s="57">
        <v>1479</v>
      </c>
      <c r="AQ188" s="61" cm="1">
        <f t="array" ref="AQ188">AJ188</f>
        <v>45841</v>
      </c>
      <c r="AR188" t="s" s="57">
        <v>1480</v>
      </c>
      <c r="AS188" s="61" cm="1">
        <f t="array" ref="AS188">AJ188</f>
        <v>45841</v>
      </c>
      <c r="AT188" t="s" s="62">
        <v>1481</v>
      </c>
      <c r="AU188" s="61" cm="1">
        <f t="array" ref="AU188">AJ188</f>
        <v>45841</v>
      </c>
      <c r="AV188" s="51"/>
      <c r="AW188" t="str" s="63" cm="1">
        <f t="array" ref="AW188">"600/"&amp;$B188&amp;"/"&amp;IF(AND($AE188="Konsultansi",M188&lt;=100000000),"SPK",IF(AND($AE188="Konsultansi",M188&gt;100000000),"Kont",IF(AND($AE188&lt;&gt;"Konsultansi",M188&lt;=200000000),"SPK","Kont")))&amp;"-"&amp;AE188&amp;"/PPK/DPUPR"</f>
        <v>600/56634550/SPK-Konsultansi/PPK/DPUPR</v>
      </c>
      <c r="AX188" t="str" s="63" cm="1">
        <f t="array" ref="AX188">"600/"&amp;$B188&amp;"/SPMK/PPK/DPUPR"</f>
        <v>600/56634550/SPMK/PPK/DPUPR</v>
      </c>
      <c r="AY188" s="51"/>
      <c r="AZ188" s="51"/>
      <c r="BA188" s="51"/>
      <c r="BB188" s="51"/>
      <c r="BC188" s="51"/>
      <c r="BD188" s="51"/>
      <c r="BE188" s="51"/>
      <c r="BF188" s="51"/>
      <c r="BG188" s="64">
        <v>6</v>
      </c>
      <c r="BH188" t="s" s="57">
        <v>2</v>
      </c>
      <c r="BI188" t="s" s="57">
        <v>21</v>
      </c>
      <c r="BJ188" t="s" s="57">
        <v>22</v>
      </c>
      <c r="BK188" t="s" s="57">
        <v>23</v>
      </c>
      <c r="BL188" t="s" s="57">
        <v>24</v>
      </c>
      <c r="BM188" s="51"/>
      <c r="BN188" s="51"/>
      <c r="BO188" s="51"/>
      <c r="BP188" s="51"/>
      <c r="BQ188" s="51"/>
      <c r="BR188" t="b" s="60">
        <v>0</v>
      </c>
      <c r="BS188" s="54" cm="1">
        <f t="array" ref="BS188">IF(M188&lt;=0.8*K188,5%*K188,M188*5%)</f>
        <v>811800</v>
      </c>
      <c r="BT188" t="s" s="57">
        <v>25</v>
      </c>
      <c r="BU188" s="51"/>
      <c r="BV188" s="54" cm="1">
        <f t="array" ref="BV188">J188-M188</f>
        <v>215310</v>
      </c>
    </row>
    <row r="189" ht="72.25" customHeight="1">
      <c r="A189" s="47"/>
      <c r="B189" s="48">
        <v>59011913</v>
      </c>
      <c r="C189" t="s" s="89">
        <v>1484</v>
      </c>
      <c r="D189" t="s" s="76">
        <v>726</v>
      </c>
      <c r="E189" t="str" s="67" cm="1">
        <f t="array" ref="E189">$C189</f>
        <v>Pemb. Rumah Tahfidz Bulumario</v>
      </c>
      <c r="F189" s="68"/>
      <c r="G189" s="67"/>
      <c r="H189" s="67"/>
      <c r="I189" s="67"/>
      <c r="J189" s="69">
        <v>450000000</v>
      </c>
      <c r="K189" s="77">
        <v>449685713.04</v>
      </c>
      <c r="L189" s="104">
        <v>439685000</v>
      </c>
      <c r="M189" s="69">
        <v>439684000</v>
      </c>
      <c r="N189" t="s" s="72">
        <v>1486</v>
      </c>
      <c r="O189" t="s" s="78">
        <v>1487</v>
      </c>
      <c r="P189" t="s" s="72">
        <v>4</v>
      </c>
      <c r="Q189" t="s" s="72">
        <v>1488</v>
      </c>
      <c r="R189" t="s" s="72">
        <v>1489</v>
      </c>
      <c r="S189" s="79">
        <v>31</v>
      </c>
      <c r="T189" s="71">
        <v>43762</v>
      </c>
      <c r="U189" t="s" s="72">
        <v>1490</v>
      </c>
      <c r="V189" t="s" s="72">
        <v>1491</v>
      </c>
      <c r="W189" t="s" s="72">
        <v>1492</v>
      </c>
      <c r="X189" s="79">
        <v>114</v>
      </c>
      <c r="Y189" t="s" s="72">
        <v>10</v>
      </c>
      <c r="Z189" s="69" cm="1">
        <f t="array" ref="Z189">M189</f>
        <v>439684000</v>
      </c>
      <c r="AA189" t="s" s="72">
        <v>1493</v>
      </c>
      <c r="AB189" s="71">
        <v>45886</v>
      </c>
      <c r="AC189" s="79">
        <v>365</v>
      </c>
      <c r="AD189" t="s" s="72">
        <v>106</v>
      </c>
      <c r="AE189" t="s" s="72">
        <v>107</v>
      </c>
      <c r="AF189" t="s" s="72">
        <v>108</v>
      </c>
      <c r="AG189" s="71"/>
      <c r="AH189" s="71"/>
      <c r="AI189" s="71"/>
      <c r="AJ189" s="71">
        <v>45897</v>
      </c>
      <c r="AK189" s="71">
        <v>45904</v>
      </c>
      <c r="AL189" s="71">
        <v>45908</v>
      </c>
      <c r="AM189" s="71">
        <v>45908</v>
      </c>
      <c r="AN189" t="s" s="72">
        <v>1494</v>
      </c>
      <c r="AO189" s="71">
        <v>45897</v>
      </c>
      <c r="AP189" t="s" s="72">
        <v>1494</v>
      </c>
      <c r="AQ189" s="71">
        <v>45897</v>
      </c>
      <c r="AR189" t="s" s="72">
        <v>1494</v>
      </c>
      <c r="AS189" s="71">
        <v>45897</v>
      </c>
      <c r="AT189" t="s" s="62">
        <v>1495</v>
      </c>
      <c r="AU189" s="71">
        <v>45897</v>
      </c>
      <c r="AV189" s="67"/>
      <c r="AW189" t="str" s="74" cm="1">
        <f t="array" ref="AW189">"600/"&amp;$B189&amp;"/"&amp;IF(AND($AE189="Konsultansi",M189&lt;=100000000),"SPK",IF(AND($AE189="Konsultansi",M189&gt;100000000),"Kont",IF(AND($AE189&lt;&gt;"Konsultansi",M189&lt;=200000000),"SPK","Kont")))&amp;"-"&amp;AE189&amp;"/PPK/DPUPR"</f>
        <v>600/59011913/Kont-Konstruksi/PPK/DPUPR</v>
      </c>
      <c r="AX189" t="str" s="74" cm="1">
        <f t="array" ref="AX189">"600/"&amp;$B189&amp;"/SPMK/PPK/DPUPR"</f>
        <v>600/59011913/SPMK/PPK/DPUPR</v>
      </c>
      <c r="AY189" s="67"/>
      <c r="AZ189" s="67"/>
      <c r="BA189" s="67"/>
      <c r="BB189" s="67"/>
      <c r="BC189" s="67"/>
      <c r="BD189" s="67"/>
      <c r="BE189" s="67"/>
      <c r="BF189" s="67"/>
      <c r="BG189" s="80">
        <v>259</v>
      </c>
      <c r="BH189" t="s" s="72">
        <v>1486</v>
      </c>
      <c r="BI189" t="s" s="72">
        <v>21</v>
      </c>
      <c r="BJ189" t="s" s="72">
        <v>22</v>
      </c>
      <c r="BK189" t="s" s="72">
        <v>23</v>
      </c>
      <c r="BL189" t="s" s="72">
        <v>24</v>
      </c>
      <c r="BM189" s="67"/>
      <c r="BN189" s="67"/>
      <c r="BO189" s="67"/>
      <c r="BP189" s="67"/>
      <c r="BQ189" s="67"/>
      <c r="BR189" t="b" s="79">
        <v>0</v>
      </c>
      <c r="BS189" s="69" cm="1">
        <f t="array" ref="BS189">IF(M189&lt;=0.8*K189,5%*K189,M189*5%)</f>
        <v>21984200</v>
      </c>
      <c r="BT189" t="s" s="72">
        <v>432</v>
      </c>
      <c r="BU189" s="67"/>
      <c r="BV189" s="69" cm="1">
        <f t="array" ref="BV189">J189-M189</f>
        <v>10316000</v>
      </c>
    </row>
    <row r="190" ht="72.25" customHeight="1">
      <c r="A190" s="47"/>
      <c r="B190" s="48">
        <v>59012023</v>
      </c>
      <c r="C190" t="s" s="89">
        <v>1498</v>
      </c>
      <c r="D190" t="s" s="50">
        <v>726</v>
      </c>
      <c r="E190" t="str" s="51" cm="1">
        <f t="array" ref="E190">$C190</f>
        <v>Pemb. Rumah Tahfidz Pasangkayu</v>
      </c>
      <c r="F190" s="52"/>
      <c r="G190" s="51"/>
      <c r="H190" s="51"/>
      <c r="I190" s="51"/>
      <c r="J190" s="54">
        <v>450000000</v>
      </c>
      <c r="K190" s="55">
        <v>449685713.04</v>
      </c>
      <c r="L190" s="56">
        <v>429140040.36</v>
      </c>
      <c r="M190" s="54">
        <v>429140000</v>
      </c>
      <c r="N190" t="s" s="57">
        <v>515</v>
      </c>
      <c r="O190" t="s" s="58">
        <v>516</v>
      </c>
      <c r="P190" t="s" s="57">
        <v>4</v>
      </c>
      <c r="Q190" t="s" s="57">
        <v>517</v>
      </c>
      <c r="R190" t="s" s="57">
        <v>518</v>
      </c>
      <c r="S190" t="s" s="57">
        <v>519</v>
      </c>
      <c r="T190" s="61">
        <v>44356</v>
      </c>
      <c r="U190" t="s" s="57">
        <v>149</v>
      </c>
      <c r="V190" t="s" s="57">
        <v>520</v>
      </c>
      <c r="W190" t="s" s="57">
        <v>521</v>
      </c>
      <c r="X190" s="60">
        <v>112</v>
      </c>
      <c r="Y190" t="s" s="57">
        <v>10</v>
      </c>
      <c r="Z190" s="54" cm="1">
        <f t="array" ref="Z190">M190</f>
        <v>429140000</v>
      </c>
      <c r="AA190" t="s" s="57">
        <v>1500</v>
      </c>
      <c r="AB190" s="61">
        <v>45886</v>
      </c>
      <c r="AC190" s="60">
        <v>365</v>
      </c>
      <c r="AD190" t="s" s="57">
        <v>106</v>
      </c>
      <c r="AE190" t="s" s="57">
        <v>107</v>
      </c>
      <c r="AF190" t="s" s="57">
        <v>108</v>
      </c>
      <c r="AG190" s="61"/>
      <c r="AH190" s="61"/>
      <c r="AI190" s="61"/>
      <c r="AJ190" s="61">
        <v>45897</v>
      </c>
      <c r="AK190" s="61">
        <v>45904</v>
      </c>
      <c r="AL190" s="61">
        <v>45910</v>
      </c>
      <c r="AM190" s="61">
        <v>45910</v>
      </c>
      <c r="AN190" t="s" s="57">
        <v>1501</v>
      </c>
      <c r="AO190" s="61">
        <v>45898</v>
      </c>
      <c r="AP190" t="s" s="57">
        <v>1502</v>
      </c>
      <c r="AQ190" s="61" cm="1">
        <f t="array" ref="AQ190">AJ190</f>
        <v>45897</v>
      </c>
      <c r="AR190" t="s" s="57">
        <v>1503</v>
      </c>
      <c r="AS190" s="61" cm="1">
        <f t="array" ref="AS190">AJ190</f>
        <v>45897</v>
      </c>
      <c r="AT190" t="s" s="62">
        <v>1504</v>
      </c>
      <c r="AU190" s="61" cm="1">
        <f t="array" ref="AU190">AJ190</f>
        <v>45897</v>
      </c>
      <c r="AV190" s="51"/>
      <c r="AW190" t="str" s="63" cm="1">
        <f t="array" ref="AW190">"600/"&amp;$B190&amp;"/"&amp;IF(AND($AE190="Konsultansi",M190&lt;=100000000),"SPK",IF(AND($AE190="Konsultansi",M190&gt;100000000),"Kont",IF(AND($AE190&lt;&gt;"Konsultansi",M190&lt;=200000000),"SPK","Kont")))&amp;"-"&amp;AE190&amp;"/PPK/DPUPR"</f>
        <v>600/59012023/Kont-Konstruksi/PPK/DPUPR</v>
      </c>
      <c r="AX190" t="str" s="63" cm="1">
        <f t="array" ref="AX190">"600/"&amp;$B190&amp;"/SPMK/PPK/DPUPR"</f>
        <v>600/59012023/SPMK/PPK/DPUPR</v>
      </c>
      <c r="AY190" s="51"/>
      <c r="AZ190" s="51"/>
      <c r="BA190" s="51"/>
      <c r="BB190" s="51"/>
      <c r="BC190" s="51"/>
      <c r="BD190" s="51"/>
      <c r="BE190" s="51"/>
      <c r="BF190" s="51"/>
      <c r="BG190" s="64">
        <v>147</v>
      </c>
      <c r="BH190" t="s" s="57">
        <v>515</v>
      </c>
      <c r="BI190" t="s" s="57">
        <v>21</v>
      </c>
      <c r="BJ190" t="s" s="57">
        <v>22</v>
      </c>
      <c r="BK190" t="s" s="57">
        <v>23</v>
      </c>
      <c r="BL190" t="s" s="57">
        <v>24</v>
      </c>
      <c r="BM190" s="51"/>
      <c r="BN190" s="51"/>
      <c r="BO190" s="51"/>
      <c r="BP190" s="51"/>
      <c r="BQ190" s="51"/>
      <c r="BR190" t="b" s="60">
        <v>0</v>
      </c>
      <c r="BS190" s="54" cm="1">
        <f t="array" ref="BS190">IF(M190&lt;=0.8*K190,5%*K190,M190*5%)</f>
        <v>21457000</v>
      </c>
      <c r="BT190" t="s" s="57">
        <v>432</v>
      </c>
      <c r="BU190" s="51"/>
      <c r="BV190" s="54" cm="1">
        <f t="array" ref="BV190">J190-M190</f>
        <v>20860000</v>
      </c>
    </row>
    <row r="191" ht="72.25" customHeight="1">
      <c r="A191" s="47"/>
      <c r="B191" s="48">
        <v>59012079</v>
      </c>
      <c r="C191" t="s" s="89">
        <v>1507</v>
      </c>
      <c r="D191" t="s" s="76">
        <v>726</v>
      </c>
      <c r="E191" t="str" s="67" cm="1">
        <f t="array" ref="E191">$C191</f>
        <v>Pemb. Rumah Tahfidz Belawa Rahmat</v>
      </c>
      <c r="F191" s="68"/>
      <c r="G191" s="67"/>
      <c r="H191" s="67"/>
      <c r="I191" s="67"/>
      <c r="J191" s="69">
        <v>450000000</v>
      </c>
      <c r="K191" s="77">
        <v>449685713.04</v>
      </c>
      <c r="L191" s="56">
        <v>417826835.06</v>
      </c>
      <c r="M191" s="69">
        <v>417826000</v>
      </c>
      <c r="N191" t="s" s="72">
        <v>1509</v>
      </c>
      <c r="O191" t="s" s="78">
        <v>1510</v>
      </c>
      <c r="P191" t="s" s="72">
        <v>4</v>
      </c>
      <c r="Q191" t="s" s="72">
        <v>1511</v>
      </c>
      <c r="R191" t="s" s="72">
        <v>1512</v>
      </c>
      <c r="S191" t="s" s="72">
        <v>1298</v>
      </c>
      <c r="T191" s="71">
        <v>45092</v>
      </c>
      <c r="U191" t="s" s="72">
        <v>149</v>
      </c>
      <c r="V191" t="s" s="72">
        <v>1513</v>
      </c>
      <c r="W191" t="s" s="72">
        <v>1514</v>
      </c>
      <c r="X191" s="79">
        <v>112</v>
      </c>
      <c r="Y191" t="s" s="72">
        <v>10</v>
      </c>
      <c r="Z191" s="69" cm="1">
        <f t="array" ref="Z191">M191</f>
        <v>417826000</v>
      </c>
      <c r="AA191" t="s" s="72">
        <v>1500</v>
      </c>
      <c r="AB191" s="71">
        <v>45886</v>
      </c>
      <c r="AC191" s="79">
        <v>365</v>
      </c>
      <c r="AD191" t="s" s="72">
        <v>106</v>
      </c>
      <c r="AE191" t="s" s="72">
        <v>107</v>
      </c>
      <c r="AF191" t="s" s="72">
        <v>108</v>
      </c>
      <c r="AG191" s="71"/>
      <c r="AH191" s="71"/>
      <c r="AI191" s="71"/>
      <c r="AJ191" s="71">
        <v>45897</v>
      </c>
      <c r="AK191" s="71">
        <v>45904</v>
      </c>
      <c r="AL191" s="71">
        <v>45910</v>
      </c>
      <c r="AM191" s="71">
        <v>45910</v>
      </c>
      <c r="AN191" t="s" s="72">
        <v>1515</v>
      </c>
      <c r="AO191" s="71">
        <v>45898</v>
      </c>
      <c r="AP191" t="s" s="72">
        <v>1515</v>
      </c>
      <c r="AQ191" s="71">
        <v>45898</v>
      </c>
      <c r="AR191" t="s" s="72">
        <v>1515</v>
      </c>
      <c r="AS191" s="71">
        <v>45898</v>
      </c>
      <c r="AT191" t="s" s="72">
        <v>1515</v>
      </c>
      <c r="AU191" s="71">
        <v>45898</v>
      </c>
      <c r="AV191" s="67"/>
      <c r="AW191" t="str" s="74" cm="1">
        <f t="array" ref="AW191">"600/"&amp;$B191&amp;"/"&amp;IF(AND($AE191="Konsultansi",M191&lt;=100000000),"SPK",IF(AND($AE191="Konsultansi",M191&gt;100000000),"Kont",IF(AND($AE191&lt;&gt;"Konsultansi",M191&lt;=200000000),"SPK","Kont")))&amp;"-"&amp;AE191&amp;"/PPK/DPUPR"</f>
        <v>600/59012079/Kont-Konstruksi/PPK/DPUPR</v>
      </c>
      <c r="AX191" t="str" s="74" cm="1">
        <f t="array" ref="AX191">"600/"&amp;$B191&amp;"/SPMK/PPK/DPUPR"</f>
        <v>600/59012079/SPMK/PPK/DPUPR</v>
      </c>
      <c r="AY191" s="67"/>
      <c r="AZ191" s="67"/>
      <c r="BA191" s="67"/>
      <c r="BB191" s="67"/>
      <c r="BC191" s="67"/>
      <c r="BD191" s="67"/>
      <c r="BE191" s="67"/>
      <c r="BF191" s="67"/>
      <c r="BG191" s="80">
        <v>201</v>
      </c>
      <c r="BH191" t="s" s="72">
        <v>1509</v>
      </c>
      <c r="BI191" t="s" s="72">
        <v>21</v>
      </c>
      <c r="BJ191" t="s" s="72">
        <v>22</v>
      </c>
      <c r="BK191" t="s" s="72">
        <v>23</v>
      </c>
      <c r="BL191" t="s" s="72">
        <v>24</v>
      </c>
      <c r="BM191" s="67"/>
      <c r="BN191" s="67"/>
      <c r="BO191" s="67"/>
      <c r="BP191" s="67"/>
      <c r="BQ191" s="67"/>
      <c r="BR191" t="b" s="79">
        <v>0</v>
      </c>
      <c r="BS191" s="69" cm="1">
        <f t="array" ref="BS191">IF(M191&lt;=0.8*K191,5%*K191,M191*5%)</f>
        <v>20891300</v>
      </c>
      <c r="BT191" t="s" s="72">
        <v>432</v>
      </c>
      <c r="BU191" s="67"/>
      <c r="BV191" s="69" cm="1">
        <f t="array" ref="BV191">J191-M191</f>
        <v>32174000</v>
      </c>
    </row>
    <row r="192" ht="72.25" customHeight="1">
      <c r="A192" s="47"/>
      <c r="B192" s="48">
        <v>59011969</v>
      </c>
      <c r="C192" t="s" s="89">
        <v>1518</v>
      </c>
      <c r="D192" t="s" s="50">
        <v>726</v>
      </c>
      <c r="E192" t="str" s="51" cm="1">
        <f t="array" ref="E192">$C192</f>
        <v>Pengawasan. Pemb. Rumah Tahfidz Bulumario cs. </v>
      </c>
      <c r="F192" s="52"/>
      <c r="G192" s="51"/>
      <c r="H192" s="51"/>
      <c r="I192" s="51"/>
      <c r="J192" s="54">
        <v>37500000</v>
      </c>
      <c r="K192" s="54">
        <v>37499000</v>
      </c>
      <c r="L192" s="56">
        <v>37365516</v>
      </c>
      <c r="M192" s="54">
        <v>37287000</v>
      </c>
      <c r="N192" t="s" s="57">
        <v>1520</v>
      </c>
      <c r="O192" t="s" s="58">
        <v>1521</v>
      </c>
      <c r="P192" t="s" s="57">
        <v>4</v>
      </c>
      <c r="Q192" t="s" s="57">
        <v>1522</v>
      </c>
      <c r="R192" t="s" s="57">
        <v>1523</v>
      </c>
      <c r="S192" t="s" s="57">
        <v>1298</v>
      </c>
      <c r="T192" t="s" s="57">
        <v>1524</v>
      </c>
      <c r="U192" t="s" s="57">
        <v>1525</v>
      </c>
      <c r="V192" t="s" s="57">
        <v>1526</v>
      </c>
      <c r="W192" t="s" s="57">
        <v>1527</v>
      </c>
      <c r="X192" s="60">
        <v>114</v>
      </c>
      <c r="Y192" t="s" s="57">
        <v>10</v>
      </c>
      <c r="Z192" s="54" cm="1">
        <f t="array" ref="Z192">M192</f>
        <v>37287000</v>
      </c>
      <c r="AA192" t="s" s="57">
        <v>11</v>
      </c>
      <c r="AB192" s="61" cm="1">
        <f t="array" ref="AB192">AH192</f>
        <v>45908</v>
      </c>
      <c r="AC192" s="51"/>
      <c r="AD192" t="s" s="57">
        <v>12</v>
      </c>
      <c r="AE192" t="s" s="57">
        <v>13</v>
      </c>
      <c r="AF192" t="s" s="57">
        <v>108</v>
      </c>
      <c r="AG192" s="61">
        <v>45905</v>
      </c>
      <c r="AH192" s="61">
        <v>45908</v>
      </c>
      <c r="AI192" s="61">
        <v>45908</v>
      </c>
      <c r="AJ192" s="61">
        <v>45908</v>
      </c>
      <c r="AK192" s="61">
        <v>45908</v>
      </c>
      <c r="AL192" s="61">
        <v>45908</v>
      </c>
      <c r="AM192" s="61">
        <v>45908</v>
      </c>
      <c r="AN192" t="s" s="57">
        <v>1528</v>
      </c>
      <c r="AO192" s="61" cm="1">
        <f t="array" ref="AO192">AJ192</f>
        <v>45908</v>
      </c>
      <c r="AP192" t="s" s="57">
        <v>1529</v>
      </c>
      <c r="AQ192" s="61" cm="1">
        <f t="array" ref="AQ192">AJ192</f>
        <v>45908</v>
      </c>
      <c r="AR192" t="s" s="57">
        <v>1530</v>
      </c>
      <c r="AS192" s="61" cm="1">
        <f t="array" ref="AS192">AJ192</f>
        <v>45908</v>
      </c>
      <c r="AT192" t="s" s="62">
        <v>1531</v>
      </c>
      <c r="AU192" s="61" cm="1">
        <f t="array" ref="AU192">AJ192</f>
        <v>45908</v>
      </c>
      <c r="AV192" s="51"/>
      <c r="AW192" t="str" s="63" cm="1">
        <f t="array" ref="AW192">"600/"&amp;$B192&amp;"/"&amp;IF(AND($AE192="Konsultansi",M192&lt;=100000000),"SPK",IF(AND($AE192="Konsultansi",M192&gt;100000000),"Kont",IF(AND($AE192&lt;&gt;"Konsultansi",M192&lt;=200000000),"SPK","Kont")))&amp;"-"&amp;AE192&amp;"/PPK/DPUPR"</f>
        <v>600/59011969/SPK-Konsultansi/PPK/DPUPR</v>
      </c>
      <c r="AX192" t="str" s="63" cm="1">
        <f t="array" ref="AX192">"600/"&amp;$B192&amp;"/SPMK/PPK/DPUPR"</f>
        <v>600/59011969/SPMK/PPK/DPUPR</v>
      </c>
      <c r="AY192" s="51"/>
      <c r="AZ192" s="51"/>
      <c r="BA192" s="51"/>
      <c r="BB192" s="51"/>
      <c r="BC192" s="51"/>
      <c r="BD192" s="51"/>
      <c r="BE192" s="51"/>
      <c r="BF192" s="51"/>
      <c r="BG192" s="64">
        <v>7</v>
      </c>
      <c r="BH192" t="s" s="57">
        <v>1520</v>
      </c>
      <c r="BI192" t="s" s="57">
        <v>21</v>
      </c>
      <c r="BJ192" t="s" s="57">
        <v>22</v>
      </c>
      <c r="BK192" t="s" s="57">
        <v>23</v>
      </c>
      <c r="BL192" t="s" s="57">
        <v>24</v>
      </c>
      <c r="BM192" s="51"/>
      <c r="BN192" s="51"/>
      <c r="BO192" s="51"/>
      <c r="BP192" s="51"/>
      <c r="BQ192" s="51"/>
      <c r="BR192" t="b" s="60">
        <v>0</v>
      </c>
      <c r="BS192" s="54" cm="1">
        <f t="array" ref="BS192">IF(M192&lt;=0.8*K192,5%*K192,M192*5%)</f>
        <v>1864350</v>
      </c>
      <c r="BT192" t="s" s="57">
        <v>432</v>
      </c>
      <c r="BU192" s="51"/>
      <c r="BV192" s="54" cm="1">
        <f t="array" ref="BV192">J192-M192</f>
        <v>213000</v>
      </c>
    </row>
    <row r="193" ht="36.25" customHeight="1">
      <c r="A193" s="47"/>
      <c r="B193" s="48">
        <v>60107404</v>
      </c>
      <c r="C193" t="s" s="89">
        <v>1534</v>
      </c>
      <c r="D193" t="s" s="76">
        <v>280</v>
      </c>
      <c r="E193" t="str" s="67" cm="1">
        <f t="array" ref="E193">$C193</f>
        <v>Pemb. Jembatan Tirta Buana</v>
      </c>
      <c r="F193" s="68"/>
      <c r="G193" s="67"/>
      <c r="H193" s="67"/>
      <c r="I193" s="67"/>
      <c r="J193" s="69">
        <v>850500000</v>
      </c>
      <c r="K193" s="69">
        <v>850500000</v>
      </c>
      <c r="L193" s="56">
        <v>805967076.66</v>
      </c>
      <c r="M193" s="56">
        <v>805967000</v>
      </c>
      <c r="N193" t="s" s="72">
        <v>1536</v>
      </c>
      <c r="O193" t="s" s="78">
        <v>1537</v>
      </c>
      <c r="P193" t="s" s="72">
        <v>4</v>
      </c>
      <c r="Q193" t="s" s="72">
        <v>1538</v>
      </c>
      <c r="R193" t="s" s="72">
        <v>1539</v>
      </c>
      <c r="S193" s="105">
        <v>0.0213082259663033</v>
      </c>
      <c r="T193" s="71">
        <v>43242</v>
      </c>
      <c r="U193" t="s" s="72">
        <v>164</v>
      </c>
      <c r="V193" t="s" s="72">
        <v>1540</v>
      </c>
      <c r="W193" t="s" s="72">
        <v>1541</v>
      </c>
      <c r="X193" s="79">
        <v>110</v>
      </c>
      <c r="Y193" t="s" s="72">
        <v>10</v>
      </c>
      <c r="Z193" s="69" cm="1">
        <f t="array" ref="Z193">M193</f>
        <v>805967000</v>
      </c>
      <c r="AA193" t="s" s="72">
        <v>1542</v>
      </c>
      <c r="AB193" s="71">
        <v>45886</v>
      </c>
      <c r="AC193" s="79">
        <v>365</v>
      </c>
      <c r="AD193" t="s" s="72">
        <v>106</v>
      </c>
      <c r="AE193" t="s" s="72">
        <v>107</v>
      </c>
      <c r="AF193" t="s" s="72">
        <v>399</v>
      </c>
      <c r="AG193" s="71"/>
      <c r="AH193" s="71"/>
      <c r="AI193" s="71"/>
      <c r="AJ193" s="106">
        <v>45898</v>
      </c>
      <c r="AK193" s="71">
        <v>45905</v>
      </c>
      <c r="AL193" s="71">
        <v>45912</v>
      </c>
      <c r="AM193" s="71">
        <v>45912</v>
      </c>
      <c r="AN193" t="s" s="72">
        <v>1543</v>
      </c>
      <c r="AO193" s="106" cm="1">
        <f t="array" ref="AO193">AJ193</f>
        <v>45898</v>
      </c>
      <c r="AP193" t="s" s="72">
        <v>1544</v>
      </c>
      <c r="AQ193" s="106" cm="1">
        <f t="array" ref="AQ193">AJ193</f>
        <v>45898</v>
      </c>
      <c r="AR193" t="s" s="72">
        <v>1545</v>
      </c>
      <c r="AS193" s="106" cm="1">
        <f t="array" ref="AS193">AJ193</f>
        <v>45898</v>
      </c>
      <c r="AT193" t="s" s="62">
        <v>1546</v>
      </c>
      <c r="AU193" s="106" cm="1">
        <f t="array" ref="AU193">AJ193</f>
        <v>45898</v>
      </c>
      <c r="AV193" s="67"/>
      <c r="AW193" t="str" s="74" cm="1">
        <f t="array" ref="AW193">"600/"&amp;$B193&amp;"/"&amp;IF(AND($AE193="Konsultansi",M193&lt;=100000000),"SPK",IF(AND($AE193="Konsultansi",M193&gt;100000000),"Kont",IF(AND($AE193&lt;&gt;"Konsultansi",M193&lt;=200000000),"SPK","Kont")))&amp;"-"&amp;AE193&amp;"/PPK/DPUPR"</f>
        <v>600/60107404/Kont-Konstruksi/PPK/DPUPR</v>
      </c>
      <c r="AX193" t="str" s="74" cm="1">
        <f t="array" ref="AX193">"600/"&amp;$B193&amp;"/SPMK/PPK/DPUPR"</f>
        <v>600/60107404/SPMK/PPK/DPUPR</v>
      </c>
      <c r="AY193" s="67"/>
      <c r="AZ193" s="67"/>
      <c r="BA193" s="67"/>
      <c r="BB193" s="67"/>
      <c r="BC193" s="67"/>
      <c r="BD193" s="67"/>
      <c r="BE193" s="67"/>
      <c r="BF193" s="67"/>
      <c r="BG193" s="80">
        <v>171</v>
      </c>
      <c r="BH193" t="s" s="72">
        <v>1536</v>
      </c>
      <c r="BI193" t="s" s="72">
        <v>21</v>
      </c>
      <c r="BJ193" t="s" s="72">
        <v>22</v>
      </c>
      <c r="BK193" t="s" s="72">
        <v>23</v>
      </c>
      <c r="BL193" t="s" s="72">
        <v>24</v>
      </c>
      <c r="BM193" s="67"/>
      <c r="BN193" s="67"/>
      <c r="BO193" s="67"/>
      <c r="BP193" s="67"/>
      <c r="BQ193" s="67"/>
      <c r="BR193" t="b" s="79">
        <v>0</v>
      </c>
      <c r="BS193" s="68" cm="1">
        <f t="array" ref="BS193">IF(M193&lt;=0.8*K193,5%*K193,M193*5%)</f>
        <v>40298350</v>
      </c>
      <c r="BT193" t="s" s="72">
        <v>288</v>
      </c>
      <c r="BU193" s="67"/>
      <c r="BV193" s="69" cm="1">
        <f t="array" ref="BV193">J193-M193</f>
        <v>44533000</v>
      </c>
    </row>
    <row r="194" ht="36.25" customHeight="1">
      <c r="A194" s="47"/>
      <c r="B194" s="48">
        <v>60108706</v>
      </c>
      <c r="C194" t="s" s="89">
        <v>1549</v>
      </c>
      <c r="D194" t="s" s="50">
        <v>280</v>
      </c>
      <c r="E194" t="str" s="51" cm="1">
        <f t="array" ref="E194">$C194</f>
        <v>Pengawasan Pemb. Jembatan Tirta Buana cs.</v>
      </c>
      <c r="F194" s="52"/>
      <c r="G194" s="51"/>
      <c r="H194" s="51"/>
      <c r="I194" s="51"/>
      <c r="J194" s="54">
        <v>22500000</v>
      </c>
      <c r="K194" s="54">
        <v>22498000</v>
      </c>
      <c r="L194" s="56">
        <v>22414860</v>
      </c>
      <c r="M194" s="54">
        <v>22403000</v>
      </c>
      <c r="N194" t="s" s="57">
        <v>185</v>
      </c>
      <c r="O194" t="s" s="58">
        <v>186</v>
      </c>
      <c r="P194" t="s" s="57">
        <v>4</v>
      </c>
      <c r="Q194" t="s" s="57">
        <v>187</v>
      </c>
      <c r="R194" t="s" s="57">
        <v>188</v>
      </c>
      <c r="S194" s="60">
        <v>23</v>
      </c>
      <c r="T194" s="61">
        <v>44495</v>
      </c>
      <c r="U194" t="s" s="57">
        <v>189</v>
      </c>
      <c r="V194" t="s" s="57">
        <v>190</v>
      </c>
      <c r="W194" t="s" s="57">
        <v>191</v>
      </c>
      <c r="X194" s="60">
        <v>110</v>
      </c>
      <c r="Y194" t="s" s="57">
        <v>10</v>
      </c>
      <c r="Z194" s="54" cm="1">
        <f t="array" ref="Z194">M194</f>
        <v>22403000</v>
      </c>
      <c r="AA194" t="s" s="57">
        <v>11</v>
      </c>
      <c r="AB194" s="61" cm="1">
        <f t="array" ref="AB194">AH194</f>
        <v>45912</v>
      </c>
      <c r="AC194" s="51"/>
      <c r="AD194" t="s" s="57">
        <v>12</v>
      </c>
      <c r="AE194" t="s" s="57">
        <v>13</v>
      </c>
      <c r="AF194" t="s" s="57">
        <v>399</v>
      </c>
      <c r="AG194" s="61">
        <v>45911</v>
      </c>
      <c r="AH194" s="61">
        <v>45912</v>
      </c>
      <c r="AI194" s="61">
        <v>45912</v>
      </c>
      <c r="AJ194" s="61">
        <v>45912</v>
      </c>
      <c r="AK194" s="61">
        <v>45912</v>
      </c>
      <c r="AL194" s="61">
        <v>45912</v>
      </c>
      <c r="AM194" s="61">
        <v>45912</v>
      </c>
      <c r="AN194" t="s" s="57">
        <v>1551</v>
      </c>
      <c r="AO194" s="61" cm="1">
        <f t="array" ref="AO194">AJ194</f>
        <v>45912</v>
      </c>
      <c r="AP194" t="s" s="57">
        <v>1552</v>
      </c>
      <c r="AQ194" s="61" cm="1">
        <f t="array" ref="AQ194">AJ194</f>
        <v>45912</v>
      </c>
      <c r="AR194" t="s" s="57">
        <v>1553</v>
      </c>
      <c r="AS194" s="61" cm="1">
        <f t="array" ref="AS194">AJ194</f>
        <v>45912</v>
      </c>
      <c r="AT194" t="s" s="62">
        <v>1554</v>
      </c>
      <c r="AU194" s="61" cm="1">
        <f t="array" ref="AU194">AJ194</f>
        <v>45912</v>
      </c>
      <c r="AV194" s="51"/>
      <c r="AW194" t="str" s="63" cm="1">
        <f t="array" ref="AW194">"600/"&amp;$B194&amp;"/"&amp;IF(AND($AE194="Konsultansi",M194&lt;=100000000),"SPK",IF(AND($AE194="Konsultansi",M194&gt;100000000),"Kont",IF(AND($AE194&lt;&gt;"Konsultansi",M194&lt;=200000000),"SPK","Kont")))&amp;"-"&amp;AE194&amp;"/PPK/DPUPR"</f>
        <v>600/60108706/SPK-Konsultansi/PPK/DPUPR</v>
      </c>
      <c r="AX194" t="str" s="63" cm="1">
        <f t="array" ref="AX194">"600/"&amp;$B194&amp;"/SPMK/PPK/DPUPR"</f>
        <v>600/60108706/SPMK/PPK/DPUPR</v>
      </c>
      <c r="AY194" s="51"/>
      <c r="AZ194" s="51"/>
      <c r="BA194" s="51"/>
      <c r="BB194" s="51"/>
      <c r="BC194" s="51"/>
      <c r="BD194" s="51"/>
      <c r="BE194" s="51"/>
      <c r="BF194" s="51"/>
      <c r="BG194" s="64">
        <v>223</v>
      </c>
      <c r="BH194" t="s" s="57">
        <v>185</v>
      </c>
      <c r="BI194" t="s" s="57">
        <v>21</v>
      </c>
      <c r="BJ194" t="s" s="57">
        <v>22</v>
      </c>
      <c r="BK194" t="s" s="57">
        <v>23</v>
      </c>
      <c r="BL194" t="s" s="57">
        <v>24</v>
      </c>
      <c r="BM194" s="51"/>
      <c r="BN194" s="51"/>
      <c r="BO194" s="51"/>
      <c r="BP194" s="51"/>
      <c r="BQ194" s="51"/>
      <c r="BR194" t="b" s="60">
        <v>0</v>
      </c>
      <c r="BS194" s="54" cm="1">
        <f t="array" ref="BS194">IF(M194&lt;=0.8*K194,5%*K194,M194*5%)</f>
        <v>1120150</v>
      </c>
      <c r="BT194" t="s" s="57">
        <v>288</v>
      </c>
      <c r="BU194" s="51"/>
      <c r="BV194" s="54" cm="1">
        <f t="array" ref="BV194">J194-M194</f>
        <v>97000</v>
      </c>
    </row>
    <row r="195" ht="36.25" customHeight="1">
      <c r="A195" s="47"/>
      <c r="B195" s="48">
        <v>59010848</v>
      </c>
      <c r="C195" t="s" s="89">
        <v>1557</v>
      </c>
      <c r="D195" t="s" s="76">
        <v>1</v>
      </c>
      <c r="E195" t="str" s="67" cm="1">
        <f t="array" ref="E195">$C195</f>
        <v>Pemb. Proteksi Jalan Jalan Andi Depu Pasangkayu</v>
      </c>
      <c r="F195" s="68"/>
      <c r="G195" s="67"/>
      <c r="H195" s="67"/>
      <c r="I195" s="67"/>
      <c r="J195" s="69">
        <v>47250000</v>
      </c>
      <c r="K195" s="69">
        <v>47015000</v>
      </c>
      <c r="L195" s="56">
        <v>46717379.47</v>
      </c>
      <c r="M195" s="69">
        <v>46717000</v>
      </c>
      <c r="N195" t="s" s="72">
        <v>608</v>
      </c>
      <c r="O195" t="s" s="78">
        <v>609</v>
      </c>
      <c r="P195" t="s" s="72">
        <v>4</v>
      </c>
      <c r="Q195" t="s" s="72">
        <v>610</v>
      </c>
      <c r="R195" t="s" s="72">
        <v>611</v>
      </c>
      <c r="S195" s="79">
        <v>189</v>
      </c>
      <c r="T195" s="71">
        <v>45322</v>
      </c>
      <c r="U195" t="s" s="72">
        <v>612</v>
      </c>
      <c r="V195" t="s" s="72">
        <v>613</v>
      </c>
      <c r="W195" t="s" s="72">
        <v>614</v>
      </c>
      <c r="X195" s="79">
        <v>90</v>
      </c>
      <c r="Y195" t="s" s="72">
        <v>10</v>
      </c>
      <c r="Z195" s="69" cm="1">
        <f t="array" ref="Z195">M195</f>
        <v>46717000</v>
      </c>
      <c r="AA195" t="s" s="72">
        <v>11</v>
      </c>
      <c r="AB195" s="71" cm="1">
        <f t="array" ref="AB195">AH195</f>
        <v>45910</v>
      </c>
      <c r="AC195" s="79">
        <v>180</v>
      </c>
      <c r="AD195" t="s" s="72">
        <v>106</v>
      </c>
      <c r="AE195" t="s" s="72">
        <v>107</v>
      </c>
      <c r="AF195" t="s" s="72">
        <v>108</v>
      </c>
      <c r="AG195" s="71">
        <v>45909</v>
      </c>
      <c r="AH195" s="71">
        <v>45910</v>
      </c>
      <c r="AI195" s="71">
        <v>45910</v>
      </c>
      <c r="AJ195" s="71">
        <v>45910</v>
      </c>
      <c r="AK195" s="71">
        <v>45910</v>
      </c>
      <c r="AL195" s="71">
        <v>45910</v>
      </c>
      <c r="AM195" s="71">
        <v>45910</v>
      </c>
      <c r="AN195" t="s" s="72">
        <v>1559</v>
      </c>
      <c r="AO195" s="71" cm="1">
        <f t="array" ref="AO195">AJ195</f>
        <v>45910</v>
      </c>
      <c r="AP195" t="s" s="72">
        <v>1560</v>
      </c>
      <c r="AQ195" s="71" cm="1">
        <f t="array" ref="AQ195">AJ195</f>
        <v>45910</v>
      </c>
      <c r="AR195" t="s" s="72">
        <v>1561</v>
      </c>
      <c r="AS195" s="71" cm="1">
        <f t="array" ref="AS195">AJ195</f>
        <v>45910</v>
      </c>
      <c r="AT195" t="s" s="62">
        <v>1562</v>
      </c>
      <c r="AU195" s="71" cm="1">
        <f t="array" ref="AU195">AJ195</f>
        <v>45910</v>
      </c>
      <c r="AV195" s="67"/>
      <c r="AW195" t="str" s="74" cm="1">
        <f t="array" ref="AW195">"600/"&amp;$B195&amp;"/"&amp;IF(AND($AE195="Konsultansi",M195&lt;=100000000),"SPK",IF(AND($AE195="Konsultansi",M195&gt;100000000),"Kont",IF(AND($AE195&lt;&gt;"Konsultansi",M195&lt;=200000000),"SPK","Kont")))&amp;"-"&amp;AE195&amp;"/PPK/DPUPR"</f>
        <v>600/59010848/SPK-Konstruksi/PPK/DPUPR</v>
      </c>
      <c r="AX195" t="str" s="74" cm="1">
        <f t="array" ref="AX195">"600/"&amp;$B195&amp;"/SPMK/PPK/DPUPR"</f>
        <v>600/59010848/SPMK/PPK/DPUPR</v>
      </c>
      <c r="AY195" s="67"/>
      <c r="AZ195" s="67"/>
      <c r="BA195" s="67"/>
      <c r="BB195" s="67"/>
      <c r="BC195" s="67"/>
      <c r="BD195" s="67"/>
      <c r="BE195" s="67"/>
      <c r="BF195" s="67"/>
      <c r="BG195" s="80">
        <v>229</v>
      </c>
      <c r="BH195" t="s" s="72">
        <v>608</v>
      </c>
      <c r="BI195" t="s" s="72">
        <v>21</v>
      </c>
      <c r="BJ195" t="s" s="72">
        <v>22</v>
      </c>
      <c r="BK195" t="s" s="72">
        <v>23</v>
      </c>
      <c r="BL195" t="s" s="72">
        <v>24</v>
      </c>
      <c r="BM195" s="67"/>
      <c r="BN195" s="67"/>
      <c r="BO195" s="67"/>
      <c r="BP195" s="67"/>
      <c r="BQ195" s="67"/>
      <c r="BR195" t="b" s="79">
        <v>0</v>
      </c>
      <c r="BS195" s="69" cm="1">
        <f t="array" ref="BS195">IF(M195&lt;=0.8*K195,5%*K195,M195*5%)</f>
        <v>2335850</v>
      </c>
      <c r="BT195" t="s" s="72">
        <v>25</v>
      </c>
      <c r="BU195" s="67"/>
      <c r="BV195" s="69" cm="1">
        <f t="array" ref="BV195">J195-M195</f>
        <v>533000</v>
      </c>
    </row>
    <row r="196" ht="24.25" customHeight="1">
      <c r="A196" s="47"/>
      <c r="B196" s="47"/>
      <c r="C196" s="90"/>
      <c r="D196" s="82"/>
      <c r="E196" s="60" cm="1">
        <f t="array" ref="E196">$C196</f>
        <v>0</v>
      </c>
      <c r="F196" s="52"/>
      <c r="G196" s="51"/>
      <c r="H196" s="51"/>
      <c r="I196" s="51"/>
      <c r="J196" s="54"/>
      <c r="K196" s="54"/>
      <c r="L196" s="56"/>
      <c r="M196" s="54"/>
      <c r="N196" t="s" s="57">
        <v>174</v>
      </c>
      <c r="O196" t="s" s="58">
        <v>174</v>
      </c>
      <c r="P196" t="s" s="57">
        <v>174</v>
      </c>
      <c r="Q196" t="s" s="57">
        <v>174</v>
      </c>
      <c r="R196" t="s" s="57">
        <v>174</v>
      </c>
      <c r="S196" t="s" s="57">
        <v>174</v>
      </c>
      <c r="T196" t="s" s="57">
        <v>174</v>
      </c>
      <c r="U196" t="s" s="57">
        <v>174</v>
      </c>
      <c r="V196" t="s" s="57">
        <v>174</v>
      </c>
      <c r="W196" t="s" s="57">
        <v>174</v>
      </c>
      <c r="X196" s="51"/>
      <c r="Y196" s="51"/>
      <c r="Z196" s="54" cm="1">
        <f t="array" ref="Z196">M196</f>
        <v>0</v>
      </c>
      <c r="AA196" s="51"/>
      <c r="AB196" s="61" cm="1">
        <f t="array" ref="AB196">AH196</f>
      </c>
      <c r="AC196" s="51"/>
      <c r="AD196" s="51"/>
      <c r="AE196" t="s" s="57">
        <v>175</v>
      </c>
      <c r="AF196" s="51"/>
      <c r="AG196" s="61"/>
      <c r="AH196" s="61"/>
      <c r="AI196" s="61"/>
      <c r="AJ196" s="61"/>
      <c r="AK196" s="61"/>
      <c r="AL196" s="61"/>
      <c r="AM196" s="61"/>
      <c r="AN196" t="s" s="57">
        <v>390</v>
      </c>
      <c r="AO196" s="51" cm="1">
        <f t="array" ref="AO196">AJ196</f>
      </c>
      <c r="AP196" t="s" s="57">
        <v>391</v>
      </c>
      <c r="AQ196" s="51" cm="1">
        <f t="array" ref="AQ196">AJ196</f>
      </c>
      <c r="AR196" t="s" s="57">
        <v>392</v>
      </c>
      <c r="AS196" s="51" cm="1">
        <f t="array" ref="AS196">AJ196</f>
      </c>
      <c r="AT196" t="s" s="62">
        <v>393</v>
      </c>
      <c r="AU196" s="51" cm="1">
        <f t="array" ref="AU196">AJ196</f>
      </c>
      <c r="AV196" s="51"/>
      <c r="AW196" t="str" s="63" cm="1">
        <f t="array" ref="AW196">"600/"&amp;$B196&amp;"/"&amp;IF(AND($AE196="Konsultansi",M196&lt;=100000000),"SPK",IF(AND($AE196="Konsultansi",M196&gt;100000000),"Kont",IF(AND($AE196&lt;&gt;"Konsultansi",M196&lt;=200000000),"SPK","Kont")))&amp;"-"&amp;AE196&amp;"/PPK/DPUPR"</f>
        <v>600//SPK-Barang/PPK/DPUPR</v>
      </c>
      <c r="AX196" t="str" s="63" cm="1">
        <f t="array" ref="AX196">"600/"&amp;$B196&amp;"/SPMK/PPK/DPUPR"</f>
        <v>600//SPMK/PPK/DPUPR</v>
      </c>
      <c r="AY196" s="51"/>
      <c r="AZ196" s="51"/>
      <c r="BA196" s="51"/>
      <c r="BB196" s="51"/>
      <c r="BC196" s="51"/>
      <c r="BD196" s="51"/>
      <c r="BE196" s="51"/>
      <c r="BF196" s="51"/>
      <c r="BG196" s="84"/>
      <c r="BH196" t="s" s="57">
        <v>182</v>
      </c>
      <c r="BI196" t="s" s="57">
        <v>21</v>
      </c>
      <c r="BJ196" t="s" s="57">
        <v>22</v>
      </c>
      <c r="BK196" t="s" s="57">
        <v>23</v>
      </c>
      <c r="BL196" t="s" s="57">
        <v>24</v>
      </c>
      <c r="BM196" s="51"/>
      <c r="BN196" s="51"/>
      <c r="BO196" s="51"/>
      <c r="BP196" s="51"/>
      <c r="BQ196" s="51"/>
      <c r="BR196" t="b" s="60">
        <v>0</v>
      </c>
      <c r="BS196" s="54" cm="1">
        <f t="array" ref="BS196">IF(M196&lt;=0.8*K196,5%*K196,M196*5%)</f>
        <v>0</v>
      </c>
      <c r="BT196" t="s" s="57">
        <v>183</v>
      </c>
      <c r="BU196" s="51"/>
      <c r="BV196" s="54" cm="1">
        <f t="array" ref="BV196">J196-M196</f>
        <v>0</v>
      </c>
    </row>
    <row r="197" ht="24.25" customHeight="1">
      <c r="A197" s="47"/>
      <c r="B197" s="47"/>
      <c r="C197" s="90"/>
      <c r="D197" s="66"/>
      <c r="E197" s="79" cm="1">
        <f t="array" ref="E197">$C197</f>
        <v>0</v>
      </c>
      <c r="F197" s="68"/>
      <c r="G197" s="67"/>
      <c r="H197" s="67"/>
      <c r="I197" s="67"/>
      <c r="J197" s="69"/>
      <c r="K197" s="69"/>
      <c r="L197" s="56"/>
      <c r="M197" s="69"/>
      <c r="N197" t="s" s="72">
        <v>174</v>
      </c>
      <c r="O197" t="s" s="78">
        <v>174</v>
      </c>
      <c r="P197" t="s" s="72">
        <v>174</v>
      </c>
      <c r="Q197" t="s" s="72">
        <v>174</v>
      </c>
      <c r="R197" t="s" s="72">
        <v>174</v>
      </c>
      <c r="S197" t="s" s="72">
        <v>174</v>
      </c>
      <c r="T197" t="s" s="72">
        <v>174</v>
      </c>
      <c r="U197" t="s" s="72">
        <v>174</v>
      </c>
      <c r="V197" t="s" s="72">
        <v>174</v>
      </c>
      <c r="W197" t="s" s="72">
        <v>174</v>
      </c>
      <c r="X197" s="67"/>
      <c r="Y197" s="67"/>
      <c r="Z197" s="69" cm="1">
        <f t="array" ref="Z197">M197</f>
        <v>0</v>
      </c>
      <c r="AA197" s="67"/>
      <c r="AB197" s="71" cm="1">
        <f t="array" ref="AB197">AH197</f>
      </c>
      <c r="AC197" s="67"/>
      <c r="AD197" s="67"/>
      <c r="AE197" t="s" s="72">
        <v>175</v>
      </c>
      <c r="AF197" s="67"/>
      <c r="AG197" s="71"/>
      <c r="AH197" s="71"/>
      <c r="AI197" s="71"/>
      <c r="AJ197" s="71"/>
      <c r="AK197" s="71"/>
      <c r="AL197" s="71"/>
      <c r="AM197" s="71"/>
      <c r="AN197" t="s" s="72">
        <v>390</v>
      </c>
      <c r="AO197" s="67" cm="1">
        <f t="array" ref="AO197">AJ197</f>
      </c>
      <c r="AP197" t="s" s="72">
        <v>391</v>
      </c>
      <c r="AQ197" s="67" cm="1">
        <f t="array" ref="AQ197">AJ197</f>
      </c>
      <c r="AR197" t="s" s="72">
        <v>392</v>
      </c>
      <c r="AS197" s="67" cm="1">
        <f t="array" ref="AS197">AJ197</f>
      </c>
      <c r="AT197" t="s" s="62">
        <v>393</v>
      </c>
      <c r="AU197" s="67" cm="1">
        <f t="array" ref="AU197">AJ197</f>
      </c>
      <c r="AV197" s="67"/>
      <c r="AW197" t="str" s="74" cm="1">
        <f t="array" ref="AW197">"600/"&amp;$B197&amp;"/"&amp;IF(AND($AE197="Konsultansi",M197&lt;=100000000),"SPK",IF(AND($AE197="Konsultansi",M197&gt;100000000),"Kont",IF(AND($AE197&lt;&gt;"Konsultansi",M197&lt;=200000000),"SPK","Kont")))&amp;"-"&amp;AE197&amp;"/PPK/DPUPR"</f>
        <v>600//SPK-Barang/PPK/DPUPR</v>
      </c>
      <c r="AX197" t="str" s="74" cm="1">
        <f t="array" ref="AX197">"600/"&amp;$B197&amp;"/SPMK/PPK/DPUPR"</f>
        <v>600//SPMK/PPK/DPUPR</v>
      </c>
      <c r="AY197" s="67"/>
      <c r="AZ197" s="67"/>
      <c r="BA197" s="67"/>
      <c r="BB197" s="67"/>
      <c r="BC197" s="67"/>
      <c r="BD197" s="67"/>
      <c r="BE197" s="67"/>
      <c r="BF197" s="67"/>
      <c r="BG197" s="75"/>
      <c r="BH197" t="s" s="72">
        <v>182</v>
      </c>
      <c r="BI197" t="s" s="72">
        <v>21</v>
      </c>
      <c r="BJ197" t="s" s="72">
        <v>22</v>
      </c>
      <c r="BK197" t="s" s="72">
        <v>23</v>
      </c>
      <c r="BL197" t="s" s="72">
        <v>24</v>
      </c>
      <c r="BM197" s="67"/>
      <c r="BN197" s="67"/>
      <c r="BO197" s="67"/>
      <c r="BP197" s="67"/>
      <c r="BQ197" s="67"/>
      <c r="BR197" t="b" s="79">
        <v>0</v>
      </c>
      <c r="BS197" s="69" cm="1">
        <f t="array" ref="BS197">IF(M197&lt;=0.8*K197,5%*K197,M197*5%)</f>
        <v>0</v>
      </c>
      <c r="BT197" t="s" s="72">
        <v>183</v>
      </c>
      <c r="BU197" s="67"/>
      <c r="BV197" s="69" cm="1">
        <f t="array" ref="BV197">J197-M197</f>
        <v>0</v>
      </c>
    </row>
    <row r="198" ht="72.25" customHeight="1">
      <c r="A198" s="47"/>
      <c r="B198" s="48">
        <v>10080492000</v>
      </c>
      <c r="C198" t="s" s="89">
        <v>1565</v>
      </c>
      <c r="D198" t="s" s="50">
        <v>726</v>
      </c>
      <c r="E198" t="str" s="51" cm="1">
        <f t="array" ref="E198">$C198</f>
        <v>Rehabilitasi/Pemeliharaan Rumah Jabatan Bupati</v>
      </c>
      <c r="F198" s="51"/>
      <c r="G198" s="51"/>
      <c r="H198" s="51"/>
      <c r="I198" s="51"/>
      <c r="J198" s="54">
        <v>940000000</v>
      </c>
      <c r="K198" s="54">
        <v>940000000</v>
      </c>
      <c r="L198" s="56">
        <v>931102631.58</v>
      </c>
      <c r="M198" s="54">
        <v>931102000</v>
      </c>
      <c r="N198" t="s" s="57">
        <v>1567</v>
      </c>
      <c r="O198" t="s" s="58">
        <v>1568</v>
      </c>
      <c r="P198" t="s" s="57">
        <v>1569</v>
      </c>
      <c r="Q198" t="s" s="57">
        <v>1570</v>
      </c>
      <c r="R198" t="s" s="57">
        <v>1571</v>
      </c>
      <c r="S198" s="60">
        <v>26</v>
      </c>
      <c r="T198" s="59">
        <v>45805</v>
      </c>
      <c r="U198" t="s" s="57">
        <v>1572</v>
      </c>
      <c r="V198" t="s" s="57">
        <v>1573</v>
      </c>
      <c r="W198" t="s" s="57">
        <v>1574</v>
      </c>
      <c r="X198" s="60">
        <v>61</v>
      </c>
      <c r="Y198" t="s" s="57">
        <v>10</v>
      </c>
      <c r="Z198" s="54" cm="1">
        <f t="array" ref="Z198">M198</f>
        <v>931102000</v>
      </c>
      <c r="AA198" t="s" s="57">
        <v>1575</v>
      </c>
      <c r="AB198" s="61">
        <v>45918</v>
      </c>
      <c r="AC198" s="60">
        <v>365</v>
      </c>
      <c r="AD198" t="s" s="57">
        <v>106</v>
      </c>
      <c r="AE198" t="s" s="57">
        <v>107</v>
      </c>
      <c r="AF198" t="s" s="57">
        <v>735</v>
      </c>
      <c r="AG198" s="61"/>
      <c r="AH198" s="61"/>
      <c r="AI198" s="61"/>
      <c r="AJ198" s="61"/>
      <c r="AK198" s="61">
        <v>45950</v>
      </c>
      <c r="AL198" s="61">
        <v>45961</v>
      </c>
      <c r="AM198" s="61">
        <v>45961</v>
      </c>
      <c r="AN198" t="s" s="57">
        <v>1576</v>
      </c>
      <c r="AO198" s="61">
        <v>45930</v>
      </c>
      <c r="AP198" t="s" s="57">
        <v>1577</v>
      </c>
      <c r="AQ198" s="51" cm="1">
        <f t="array" ref="AQ198">AJ198</f>
      </c>
      <c r="AR198" t="s" s="57">
        <v>1578</v>
      </c>
      <c r="AS198" s="51" cm="1">
        <f t="array" ref="AS198">AJ198</f>
      </c>
      <c r="AT198" t="s" s="62">
        <v>1579</v>
      </c>
      <c r="AU198" s="61">
        <v>45930</v>
      </c>
      <c r="AV198" s="51"/>
      <c r="AW198" t="str" s="63" cm="1">
        <f t="array" ref="AW198">"600/"&amp;$B198&amp;"/"&amp;IF(AND($AE198="Konsultansi",M198&lt;=100000000),"SPK",IF(AND($AE198="Konsultansi",M198&gt;100000000),"Kont",IF(AND($AE198&lt;&gt;"Konsultansi",M198&lt;=200000000),"SPK","Kont")))&amp;"-"&amp;AE198&amp;"/PPK/DPUPR"</f>
        <v>600/10080492000/Kont-Konstruksi/PPK/DPUPR</v>
      </c>
      <c r="AX198" t="str" s="63" cm="1">
        <f t="array" ref="AX198">"600/"&amp;$B198&amp;"/SPMK/PPK/DPUPR"</f>
        <v>600/10080492000/SPMK/PPK/DPUPR</v>
      </c>
      <c r="AY198" s="51"/>
      <c r="AZ198" s="51"/>
      <c r="BA198" s="51"/>
      <c r="BB198" s="51"/>
      <c r="BC198" s="51"/>
      <c r="BD198" s="51"/>
      <c r="BE198" s="51"/>
      <c r="BF198" s="51"/>
      <c r="BG198" s="64">
        <v>260</v>
      </c>
      <c r="BH198" t="s" s="57">
        <v>1567</v>
      </c>
      <c r="BI198" t="s" s="57">
        <v>21</v>
      </c>
      <c r="BJ198" t="s" s="57">
        <v>22</v>
      </c>
      <c r="BK198" t="s" s="57">
        <v>23</v>
      </c>
      <c r="BL198" t="s" s="57">
        <v>24</v>
      </c>
      <c r="BM198" s="51"/>
      <c r="BN198" s="51"/>
      <c r="BO198" s="51"/>
      <c r="BP198" s="51"/>
      <c r="BQ198" s="51"/>
      <c r="BR198" t="b" s="60">
        <v>0</v>
      </c>
      <c r="BS198" s="54" cm="1">
        <f t="array" ref="BS198">IF(M198&lt;=0.8*K198,5%*K198,M198*5%)</f>
        <v>46555100</v>
      </c>
      <c r="BT198" t="s" s="57">
        <v>432</v>
      </c>
      <c r="BU198" s="51"/>
      <c r="BV198" s="54" cm="1">
        <f t="array" ref="BV198">J198-M198</f>
        <v>8898000</v>
      </c>
    </row>
    <row r="199" ht="72.25" customHeight="1">
      <c r="A199" s="47"/>
      <c r="B199" s="48">
        <v>62489054</v>
      </c>
      <c r="C199" t="s" s="89">
        <v>1582</v>
      </c>
      <c r="D199" t="s" s="76">
        <v>726</v>
      </c>
      <c r="E199" t="str" s="67" cm="1">
        <f t="array" ref="E199">$C199</f>
        <v>Pengawasan Rehabilitasi/Pemeliharaan Rumah Jabatan Bupati </v>
      </c>
      <c r="F199" s="67"/>
      <c r="G199" s="67"/>
      <c r="H199" s="67"/>
      <c r="I199" s="67"/>
      <c r="J199" s="69">
        <v>35000000</v>
      </c>
      <c r="K199" s="69">
        <v>34996000</v>
      </c>
      <c r="L199" s="56">
        <v>34606764</v>
      </c>
      <c r="M199" s="69">
        <v>34606000</v>
      </c>
      <c r="N199" t="s" s="72">
        <v>1584</v>
      </c>
      <c r="O199" t="s" s="78">
        <v>1585</v>
      </c>
      <c r="P199" t="s" s="72">
        <v>1586</v>
      </c>
      <c r="Q199" t="s" s="72">
        <v>1587</v>
      </c>
      <c r="R199" t="s" s="72">
        <v>1588</v>
      </c>
      <c r="S199" s="79">
        <v>23</v>
      </c>
      <c r="T199" s="71">
        <v>45167</v>
      </c>
      <c r="U199" t="s" s="72">
        <v>1589</v>
      </c>
      <c r="V199" t="s" s="72">
        <v>1590</v>
      </c>
      <c r="W199" t="s" s="72">
        <v>1591</v>
      </c>
      <c r="X199" s="79">
        <v>61</v>
      </c>
      <c r="Y199" t="s" s="72">
        <v>10</v>
      </c>
      <c r="Z199" s="69" cm="1">
        <f t="array" ref="Z199">M199</f>
        <v>34606000</v>
      </c>
      <c r="AA199" t="s" s="72">
        <v>11</v>
      </c>
      <c r="AB199" s="71" cm="1">
        <f t="array" ref="AB199">AH199</f>
        <v>45960</v>
      </c>
      <c r="AC199" s="67"/>
      <c r="AD199" t="s" s="72">
        <v>12</v>
      </c>
      <c r="AE199" t="s" s="72">
        <v>13</v>
      </c>
      <c r="AF199" t="s" s="72">
        <v>735</v>
      </c>
      <c r="AG199" s="71">
        <v>45959</v>
      </c>
      <c r="AH199" s="71">
        <v>45960</v>
      </c>
      <c r="AI199" s="71">
        <v>45960</v>
      </c>
      <c r="AJ199" s="71">
        <v>45960</v>
      </c>
      <c r="AK199" s="71">
        <v>45960</v>
      </c>
      <c r="AL199" s="71">
        <v>45961</v>
      </c>
      <c r="AM199" s="71">
        <v>45961</v>
      </c>
      <c r="AN199" t="s" s="72">
        <v>1592</v>
      </c>
      <c r="AO199" s="71" cm="1">
        <f t="array" ref="AO199">AJ199</f>
        <v>45960</v>
      </c>
      <c r="AP199" t="s" s="72">
        <v>1593</v>
      </c>
      <c r="AQ199" s="71" cm="1">
        <f t="array" ref="AQ199">AJ199</f>
        <v>45960</v>
      </c>
      <c r="AR199" t="s" s="72">
        <v>1594</v>
      </c>
      <c r="AS199" s="71" cm="1">
        <f t="array" ref="AS199">AJ199</f>
        <v>45960</v>
      </c>
      <c r="AT199" t="s" s="62">
        <v>1595</v>
      </c>
      <c r="AU199" s="71" cm="1">
        <f t="array" ref="AU199">AJ199</f>
        <v>45960</v>
      </c>
      <c r="AV199" s="67"/>
      <c r="AW199" t="str" s="74" cm="1">
        <f t="array" ref="AW199">"600/"&amp;$B199&amp;"/"&amp;IF(AND($AE199="Konsultansi",M199&lt;=100000000),"SPK",IF(AND($AE199="Konsultansi",M199&gt;100000000),"Kont",IF(AND($AE199&lt;&gt;"Konsultansi",M199&lt;=200000000),"SPK","Kont")))&amp;"-"&amp;AE199&amp;"/PPK/DPUPR"</f>
        <v>600/62489054/SPK-Konsultansi/PPK/DPUPR</v>
      </c>
      <c r="AX199" t="str" s="74" cm="1">
        <f t="array" ref="AX199">"600/"&amp;$B199&amp;"/SPMK/PPK/DPUPR"</f>
        <v>600/62489054/SPMK/PPK/DPUPR</v>
      </c>
      <c r="AY199" s="67"/>
      <c r="AZ199" s="67"/>
      <c r="BA199" s="67"/>
      <c r="BB199" s="67"/>
      <c r="BC199" s="67"/>
      <c r="BD199" s="67"/>
      <c r="BE199" s="67"/>
      <c r="BF199" s="67"/>
      <c r="BG199" s="80">
        <v>262</v>
      </c>
      <c r="BH199" t="s" s="72">
        <v>1584</v>
      </c>
      <c r="BI199" t="s" s="72">
        <v>21</v>
      </c>
      <c r="BJ199" t="s" s="72">
        <v>22</v>
      </c>
      <c r="BK199" t="s" s="72">
        <v>23</v>
      </c>
      <c r="BL199" t="s" s="72">
        <v>24</v>
      </c>
      <c r="BM199" s="67"/>
      <c r="BN199" s="67"/>
      <c r="BO199" s="67"/>
      <c r="BP199" s="67"/>
      <c r="BQ199" s="67"/>
      <c r="BR199" t="b" s="79">
        <v>0</v>
      </c>
      <c r="BS199" s="69" cm="1">
        <f t="array" ref="BS199">IF(M199&lt;=0.8*K199,5%*K199,M199*5%)</f>
        <v>1730300</v>
      </c>
      <c r="BT199" t="s" s="72">
        <v>432</v>
      </c>
      <c r="BU199" s="67"/>
      <c r="BV199" s="69" cm="1">
        <f t="array" ref="BV199">J199-M199</f>
        <v>394000</v>
      </c>
    </row>
    <row r="200" ht="24.25" customHeight="1">
      <c r="A200" t="s" s="97">
        <v>1598</v>
      </c>
      <c r="B200" s="47"/>
      <c r="C200" t="s" s="89">
        <v>1599</v>
      </c>
      <c r="D200" s="82"/>
      <c r="E200" t="str" s="51" cm="1">
        <f t="array" ref="E200">$C200</f>
        <v>Pemuhtahiran Data Base Jalan &amp; Jembatan</v>
      </c>
      <c r="F200" s="51"/>
      <c r="G200" s="51"/>
      <c r="H200" s="51"/>
      <c r="I200" s="51"/>
      <c r="J200" s="54">
        <v>1000000000</v>
      </c>
      <c r="K200" s="54"/>
      <c r="L200" s="56"/>
      <c r="M200" s="54"/>
      <c r="N200" t="s" s="57">
        <v>174</v>
      </c>
      <c r="O200" t="s" s="58">
        <v>174</v>
      </c>
      <c r="P200" t="s" s="57">
        <v>174</v>
      </c>
      <c r="Q200" t="s" s="57">
        <v>174</v>
      </c>
      <c r="R200" t="s" s="57">
        <v>174</v>
      </c>
      <c r="S200" t="s" s="57">
        <v>174</v>
      </c>
      <c r="T200" t="s" s="57">
        <v>174</v>
      </c>
      <c r="U200" t="s" s="57">
        <v>174</v>
      </c>
      <c r="V200" t="s" s="57">
        <v>174</v>
      </c>
      <c r="W200" t="s" s="57">
        <v>174</v>
      </c>
      <c r="X200" s="51"/>
      <c r="Y200" s="51"/>
      <c r="Z200" s="54" cm="1">
        <f t="array" ref="Z200">M200</f>
        <v>0</v>
      </c>
      <c r="AA200" s="51"/>
      <c r="AB200" s="61" cm="1">
        <f t="array" ref="AB200">AH200</f>
      </c>
      <c r="AC200" s="51"/>
      <c r="AD200" s="51"/>
      <c r="AE200" t="s" s="57">
        <v>13</v>
      </c>
      <c r="AF200" s="51"/>
      <c r="AG200" s="61"/>
      <c r="AH200" s="61"/>
      <c r="AI200" s="61"/>
      <c r="AJ200" s="61"/>
      <c r="AK200" s="61"/>
      <c r="AL200" s="61"/>
      <c r="AM200" s="61"/>
      <c r="AN200" t="s" s="57">
        <v>390</v>
      </c>
      <c r="AO200" s="51" cm="1">
        <f t="array" ref="AO200">AJ200</f>
      </c>
      <c r="AP200" t="s" s="57">
        <v>391</v>
      </c>
      <c r="AQ200" s="51" cm="1">
        <f t="array" ref="AQ200">AJ200</f>
      </c>
      <c r="AR200" t="s" s="57">
        <v>392</v>
      </c>
      <c r="AS200" s="51" cm="1">
        <f t="array" ref="AS200">AJ200</f>
      </c>
      <c r="AT200" t="s" s="62">
        <v>393</v>
      </c>
      <c r="AU200" s="51" cm="1">
        <f t="array" ref="AU200">AJ200</f>
      </c>
      <c r="AV200" s="51"/>
      <c r="AW200" t="str" s="63" cm="1">
        <f t="array" ref="AW200">"600/"&amp;$B200&amp;"/"&amp;IF(AND($AE200="Konsultansi",M200&lt;=100000000),"SPK",IF(AND($AE200="Konsultansi",M200&gt;100000000),"Kont",IF(AND($AE200&lt;&gt;"Konsultansi",M200&lt;=200000000),"SPK","Kont")))&amp;"-"&amp;AE200&amp;"/PPK/DPUPR"</f>
        <v>600//SPK-Konsultansi/PPK/DPUPR</v>
      </c>
      <c r="AX200" t="str" s="63" cm="1">
        <f t="array" ref="AX200">"600/"&amp;$B200&amp;"/SPMK/PPK/DPUPR"</f>
        <v>600//SPMK/PPK/DPUPR</v>
      </c>
      <c r="AY200" s="51"/>
      <c r="AZ200" s="51"/>
      <c r="BA200" s="51"/>
      <c r="BB200" s="51"/>
      <c r="BC200" s="51"/>
      <c r="BD200" s="51"/>
      <c r="BE200" s="51"/>
      <c r="BF200" s="51"/>
      <c r="BG200" s="84"/>
      <c r="BH200" t="s" s="57">
        <v>182</v>
      </c>
      <c r="BI200" t="s" s="57">
        <v>21</v>
      </c>
      <c r="BJ200" t="s" s="57">
        <v>22</v>
      </c>
      <c r="BK200" t="s" s="57">
        <v>23</v>
      </c>
      <c r="BL200" t="s" s="57">
        <v>24</v>
      </c>
      <c r="BM200" s="51"/>
      <c r="BN200" s="51"/>
      <c r="BO200" s="51"/>
      <c r="BP200" s="51"/>
      <c r="BQ200" s="51"/>
      <c r="BR200" t="b" s="60">
        <v>0</v>
      </c>
      <c r="BS200" s="54" cm="1">
        <f t="array" ref="BS200">IF(M200&lt;=0.8*K200,5%*K200,M200*5%)</f>
        <v>0</v>
      </c>
      <c r="BT200" t="s" s="57">
        <v>183</v>
      </c>
      <c r="BU200" s="51"/>
      <c r="BV200" s="54" cm="1">
        <f t="array" ref="BV200">J200-M200</f>
        <v>1000000000</v>
      </c>
    </row>
    <row r="201" ht="36.25" customHeight="1">
      <c r="A201" s="47"/>
      <c r="B201" s="48">
        <v>61392112</v>
      </c>
      <c r="C201" t="s" s="89">
        <v>1601</v>
      </c>
      <c r="D201" t="s" s="76">
        <v>1</v>
      </c>
      <c r="E201" t="str" s="67" cm="1">
        <f t="array" ref="E201">$C201</f>
        <v>Peningkatan Jalan Rabat Beton Pasangkayu III</v>
      </c>
      <c r="F201" s="67"/>
      <c r="G201" s="67"/>
      <c r="H201" s="67"/>
      <c r="I201" s="67"/>
      <c r="J201" s="69">
        <v>200000000</v>
      </c>
      <c r="K201" s="69">
        <v>200000000</v>
      </c>
      <c r="L201" s="56">
        <v>199837963.16</v>
      </c>
      <c r="M201" s="69">
        <v>199810000</v>
      </c>
      <c r="N201" t="s" s="72">
        <v>1603</v>
      </c>
      <c r="O201" t="s" s="78">
        <v>1604</v>
      </c>
      <c r="P201" t="s" s="72">
        <v>4</v>
      </c>
      <c r="Q201" t="s" s="72">
        <v>1605</v>
      </c>
      <c r="R201" t="s" s="72">
        <v>1606</v>
      </c>
      <c r="S201" s="79">
        <v>2</v>
      </c>
      <c r="T201" s="71">
        <v>42401</v>
      </c>
      <c r="U201" t="s" s="72">
        <v>456</v>
      </c>
      <c r="V201" t="s" s="72">
        <v>1607</v>
      </c>
      <c r="W201" t="s" s="72">
        <v>1608</v>
      </c>
      <c r="X201" s="79">
        <v>44</v>
      </c>
      <c r="Y201" t="s" s="72">
        <v>10</v>
      </c>
      <c r="Z201" s="69" cm="1">
        <f t="array" ref="Z201">M201</f>
        <v>199810000</v>
      </c>
      <c r="AA201" t="s" s="72">
        <v>11</v>
      </c>
      <c r="AB201" s="71" cm="1">
        <f t="array" ref="AB201">AH201</f>
        <v>45975</v>
      </c>
      <c r="AC201" s="79">
        <v>180</v>
      </c>
      <c r="AD201" t="s" s="72">
        <v>106</v>
      </c>
      <c r="AE201" t="s" s="72">
        <v>107</v>
      </c>
      <c r="AF201" t="s" s="72">
        <v>108</v>
      </c>
      <c r="AG201" s="71">
        <v>45974</v>
      </c>
      <c r="AH201" s="71">
        <v>45975</v>
      </c>
      <c r="AI201" s="71">
        <v>45975</v>
      </c>
      <c r="AJ201" s="71">
        <v>45978</v>
      </c>
      <c r="AK201" s="71">
        <v>45978</v>
      </c>
      <c r="AL201" s="71">
        <v>45978</v>
      </c>
      <c r="AM201" s="71">
        <v>45978</v>
      </c>
      <c r="AN201" t="s" s="72">
        <v>1609</v>
      </c>
      <c r="AO201" s="71" cm="1">
        <f t="array" ref="AO201">AJ201</f>
        <v>45978</v>
      </c>
      <c r="AP201" t="s" s="72">
        <v>1610</v>
      </c>
      <c r="AQ201" s="71" cm="1">
        <f t="array" ref="AQ201">AJ201</f>
        <v>45978</v>
      </c>
      <c r="AR201" t="s" s="72">
        <v>1611</v>
      </c>
      <c r="AS201" s="71" cm="1">
        <f t="array" ref="AS201">AJ201</f>
        <v>45978</v>
      </c>
      <c r="AT201" t="s" s="62">
        <v>1612</v>
      </c>
      <c r="AU201" s="71" cm="1">
        <f t="array" ref="AU201">AJ201</f>
        <v>45978</v>
      </c>
      <c r="AV201" s="67"/>
      <c r="AW201" t="str" s="74" cm="1">
        <f t="array" ref="AW201">"600/"&amp;$B201&amp;"/"&amp;IF(AND($AE201="Konsultansi",M201&lt;=100000000),"SPK",IF(AND($AE201="Konsultansi",M201&gt;100000000),"Kont",IF(AND($AE201&lt;&gt;"Konsultansi",M201&lt;=200000000),"SPK","Kont")))&amp;"-"&amp;AE201&amp;"/PPK/DPUPR"</f>
        <v>600/61392112/SPK-Konstruksi/PPK/DPUPR</v>
      </c>
      <c r="AX201" t="str" s="74" cm="1">
        <f t="array" ref="AX201">"600/"&amp;$B201&amp;"/SPMK/PPK/DPUPR"</f>
        <v>600/61392112/SPMK/PPK/DPUPR</v>
      </c>
      <c r="AY201" s="67"/>
      <c r="AZ201" s="67"/>
      <c r="BA201" s="67"/>
      <c r="BB201" s="67"/>
      <c r="BC201" s="67"/>
      <c r="BD201" s="67"/>
      <c r="BE201" s="67"/>
      <c r="BF201" s="67"/>
      <c r="BG201" s="80">
        <v>36</v>
      </c>
      <c r="BH201" t="s" s="72">
        <v>1603</v>
      </c>
      <c r="BI201" t="s" s="72">
        <v>21</v>
      </c>
      <c r="BJ201" t="s" s="72">
        <v>22</v>
      </c>
      <c r="BK201" t="s" s="72">
        <v>23</v>
      </c>
      <c r="BL201" t="s" s="72">
        <v>24</v>
      </c>
      <c r="BM201" s="67"/>
      <c r="BN201" s="67"/>
      <c r="BO201" s="67"/>
      <c r="BP201" s="67"/>
      <c r="BQ201" s="67"/>
      <c r="BR201" t="b" s="79">
        <v>0</v>
      </c>
      <c r="BS201" s="69" cm="1">
        <f t="array" ref="BS201">IF(M201&lt;=0.8*K201,5%*K201,M201*5%)</f>
        <v>9990500</v>
      </c>
      <c r="BT201" t="s" s="72">
        <v>25</v>
      </c>
      <c r="BU201" s="67"/>
      <c r="BV201" s="69" cm="1">
        <f t="array" ref="BV201">J201-M201</f>
        <v>190000</v>
      </c>
    </row>
    <row r="202" ht="36.25" customHeight="1">
      <c r="A202" s="47"/>
      <c r="B202" s="48">
        <v>61392116</v>
      </c>
      <c r="C202" t="s" s="89">
        <v>1615</v>
      </c>
      <c r="D202" t="s" s="50">
        <v>1</v>
      </c>
      <c r="E202" t="str" s="51" cm="1">
        <f t="array" ref="E202">$C202</f>
        <v>Pemb. Jalan Wirabuana - Kalibamba</v>
      </c>
      <c r="F202" s="51"/>
      <c r="G202" s="51"/>
      <c r="H202" s="51"/>
      <c r="I202" s="51"/>
      <c r="J202" s="54">
        <v>200000000</v>
      </c>
      <c r="K202" s="54">
        <v>200000000</v>
      </c>
      <c r="L202" s="56">
        <v>199571085.45</v>
      </c>
      <c r="M202" s="54">
        <v>199571000</v>
      </c>
      <c r="N202" t="s" s="57">
        <v>1603</v>
      </c>
      <c r="O202" t="s" s="58">
        <v>1604</v>
      </c>
      <c r="P202" t="s" s="57">
        <v>4</v>
      </c>
      <c r="Q202" t="s" s="57">
        <v>1605</v>
      </c>
      <c r="R202" t="s" s="57">
        <v>1606</v>
      </c>
      <c r="S202" s="60">
        <v>2</v>
      </c>
      <c r="T202" s="61">
        <v>42401</v>
      </c>
      <c r="U202" t="s" s="57">
        <v>456</v>
      </c>
      <c r="V202" t="s" s="57">
        <v>1607</v>
      </c>
      <c r="W202" t="s" s="57">
        <v>1608</v>
      </c>
      <c r="X202" s="60">
        <v>44</v>
      </c>
      <c r="Y202" t="s" s="57">
        <v>10</v>
      </c>
      <c r="Z202" s="54" cm="1">
        <f t="array" ref="Z202">M202</f>
        <v>199571000</v>
      </c>
      <c r="AA202" t="s" s="57">
        <v>11</v>
      </c>
      <c r="AB202" s="61" cm="1">
        <f t="array" ref="AB202">AH202</f>
        <v>45975</v>
      </c>
      <c r="AC202" s="60">
        <v>180</v>
      </c>
      <c r="AD202" t="s" s="57">
        <v>106</v>
      </c>
      <c r="AE202" t="s" s="57">
        <v>107</v>
      </c>
      <c r="AF202" t="s" s="57">
        <v>108</v>
      </c>
      <c r="AG202" s="61">
        <v>45974</v>
      </c>
      <c r="AH202" s="61">
        <v>45975</v>
      </c>
      <c r="AI202" s="61">
        <v>45975</v>
      </c>
      <c r="AJ202" s="61">
        <v>45978</v>
      </c>
      <c r="AK202" s="61">
        <v>45978</v>
      </c>
      <c r="AL202" s="61">
        <v>45978</v>
      </c>
      <c r="AM202" s="61">
        <v>45978</v>
      </c>
      <c r="AN202" t="s" s="57">
        <v>1617</v>
      </c>
      <c r="AO202" s="61" cm="1">
        <f t="array" ref="AO202">AJ202</f>
        <v>45978</v>
      </c>
      <c r="AP202" t="s" s="57">
        <v>1618</v>
      </c>
      <c r="AQ202" s="61" cm="1">
        <f t="array" ref="AQ202">AJ202</f>
        <v>45978</v>
      </c>
      <c r="AR202" t="s" s="57">
        <v>1619</v>
      </c>
      <c r="AS202" s="61" cm="1">
        <f t="array" ref="AS202">AJ202</f>
        <v>45978</v>
      </c>
      <c r="AT202" t="s" s="62">
        <v>1620</v>
      </c>
      <c r="AU202" s="61" cm="1">
        <f t="array" ref="AU202">AJ202</f>
        <v>45978</v>
      </c>
      <c r="AV202" s="51"/>
      <c r="AW202" t="str" s="63" cm="1">
        <f t="array" ref="AW202">"600/"&amp;$B202&amp;"/"&amp;IF(AND($AE202="Konsultansi",M202&lt;=100000000),"SPK",IF(AND($AE202="Konsultansi",M202&gt;100000000),"Kont",IF(AND($AE202&lt;&gt;"Konsultansi",M202&lt;=200000000),"SPK","Kont")))&amp;"-"&amp;AE202&amp;"/PPK/DPUPR"</f>
        <v>600/61392116/SPK-Konstruksi/PPK/DPUPR</v>
      </c>
      <c r="AX202" t="str" s="63" cm="1">
        <f t="array" ref="AX202">"600/"&amp;$B202&amp;"/SPMK/PPK/DPUPR"</f>
        <v>600/61392116/SPMK/PPK/DPUPR</v>
      </c>
      <c r="AY202" s="51"/>
      <c r="AZ202" s="51"/>
      <c r="BA202" s="51"/>
      <c r="BB202" s="51"/>
      <c r="BC202" s="51"/>
      <c r="BD202" s="51"/>
      <c r="BE202" s="51"/>
      <c r="BF202" s="51"/>
      <c r="BG202" s="64">
        <v>36</v>
      </c>
      <c r="BH202" t="s" s="57">
        <v>1603</v>
      </c>
      <c r="BI202" t="s" s="57">
        <v>21</v>
      </c>
      <c r="BJ202" t="s" s="57">
        <v>22</v>
      </c>
      <c r="BK202" t="s" s="57">
        <v>23</v>
      </c>
      <c r="BL202" t="s" s="57">
        <v>24</v>
      </c>
      <c r="BM202" s="51"/>
      <c r="BN202" s="51"/>
      <c r="BO202" s="51"/>
      <c r="BP202" s="51"/>
      <c r="BQ202" s="51"/>
      <c r="BR202" t="b" s="60">
        <v>0</v>
      </c>
      <c r="BS202" s="54" cm="1">
        <f t="array" ref="BS202">IF(M202&lt;=0.8*K202,5%*K202,M202*5%)</f>
        <v>9978550</v>
      </c>
      <c r="BT202" t="s" s="57">
        <v>25</v>
      </c>
      <c r="BU202" s="51"/>
      <c r="BV202" s="54" cm="1">
        <f t="array" ref="BV202">J202-M202</f>
        <v>429000</v>
      </c>
    </row>
    <row r="203" ht="36.25" customHeight="1">
      <c r="A203" s="47"/>
      <c r="B203" s="48">
        <v>61392162</v>
      </c>
      <c r="C203" t="s" s="89">
        <v>1623</v>
      </c>
      <c r="D203" t="s" s="76">
        <v>1</v>
      </c>
      <c r="E203" t="str" s="67" cm="1">
        <f t="array" ref="E203">$C203</f>
        <v>Pemb. Jalan Desa Kalukunangka III Bambaira</v>
      </c>
      <c r="F203" s="67"/>
      <c r="G203" s="67"/>
      <c r="H203" s="67"/>
      <c r="I203" s="67"/>
      <c r="J203" s="69">
        <v>100000000</v>
      </c>
      <c r="K203" s="69">
        <v>100000000</v>
      </c>
      <c r="L203" s="56">
        <v>99771673.93000001</v>
      </c>
      <c r="M203" s="69">
        <v>99771000</v>
      </c>
      <c r="N203" t="s" s="72">
        <v>1603</v>
      </c>
      <c r="O203" t="s" s="78">
        <v>1604</v>
      </c>
      <c r="P203" t="s" s="72">
        <v>4</v>
      </c>
      <c r="Q203" t="s" s="72">
        <v>1605</v>
      </c>
      <c r="R203" t="s" s="72">
        <v>1606</v>
      </c>
      <c r="S203" s="79">
        <v>2</v>
      </c>
      <c r="T203" s="71">
        <v>42401</v>
      </c>
      <c r="U203" t="s" s="72">
        <v>456</v>
      </c>
      <c r="V203" t="s" s="72">
        <v>1607</v>
      </c>
      <c r="W203" t="s" s="72">
        <v>1608</v>
      </c>
      <c r="X203" s="79">
        <v>44</v>
      </c>
      <c r="Y203" t="s" s="72">
        <v>10</v>
      </c>
      <c r="Z203" s="69" cm="1">
        <f t="array" ref="Z203">M203</f>
        <v>99771000</v>
      </c>
      <c r="AA203" t="s" s="72">
        <v>11</v>
      </c>
      <c r="AB203" s="71" cm="1">
        <f t="array" ref="AB203">AH203</f>
        <v>45975</v>
      </c>
      <c r="AC203" s="79">
        <v>180</v>
      </c>
      <c r="AD203" t="s" s="72">
        <v>106</v>
      </c>
      <c r="AE203" t="s" s="72">
        <v>107</v>
      </c>
      <c r="AF203" t="s" s="72">
        <v>108</v>
      </c>
      <c r="AG203" s="71">
        <v>45974</v>
      </c>
      <c r="AH203" s="71">
        <v>45975</v>
      </c>
      <c r="AI203" s="71">
        <v>45975</v>
      </c>
      <c r="AJ203" s="71">
        <v>45978</v>
      </c>
      <c r="AK203" s="71">
        <v>45978</v>
      </c>
      <c r="AL203" s="71">
        <v>45978</v>
      </c>
      <c r="AM203" s="71">
        <v>45978</v>
      </c>
      <c r="AN203" t="s" s="72">
        <v>1625</v>
      </c>
      <c r="AO203" s="71" cm="1">
        <f t="array" ref="AO203">AJ203</f>
        <v>45978</v>
      </c>
      <c r="AP203" t="s" s="72">
        <v>1626</v>
      </c>
      <c r="AQ203" s="71" cm="1">
        <f t="array" ref="AQ203">AJ203</f>
        <v>45978</v>
      </c>
      <c r="AR203" t="s" s="72">
        <v>1627</v>
      </c>
      <c r="AS203" s="71" cm="1">
        <f t="array" ref="AS203">AJ203</f>
        <v>45978</v>
      </c>
      <c r="AT203" t="s" s="62">
        <v>1628</v>
      </c>
      <c r="AU203" s="71" cm="1">
        <f t="array" ref="AU203">AJ203</f>
        <v>45978</v>
      </c>
      <c r="AV203" s="67"/>
      <c r="AW203" t="str" s="74" cm="1">
        <f t="array" ref="AW203">"600/"&amp;$B203&amp;"/"&amp;IF(AND($AE203="Konsultansi",M203&lt;=100000000),"SPK",IF(AND($AE203="Konsultansi",M203&gt;100000000),"Kont",IF(AND($AE203&lt;&gt;"Konsultansi",M203&lt;=200000000),"SPK","Kont")))&amp;"-"&amp;AE203&amp;"/PPK/DPUPR"</f>
        <v>600/61392162/SPK-Konstruksi/PPK/DPUPR</v>
      </c>
      <c r="AX203" t="str" s="74" cm="1">
        <f t="array" ref="AX203">"600/"&amp;$B203&amp;"/SPMK/PPK/DPUPR"</f>
        <v>600/61392162/SPMK/PPK/DPUPR</v>
      </c>
      <c r="AY203" s="67"/>
      <c r="AZ203" s="67"/>
      <c r="BA203" s="67"/>
      <c r="BB203" s="67"/>
      <c r="BC203" s="67"/>
      <c r="BD203" s="67"/>
      <c r="BE203" s="67"/>
      <c r="BF203" s="67"/>
      <c r="BG203" s="80">
        <v>36</v>
      </c>
      <c r="BH203" t="s" s="72">
        <v>1603</v>
      </c>
      <c r="BI203" t="s" s="72">
        <v>21</v>
      </c>
      <c r="BJ203" t="s" s="72">
        <v>22</v>
      </c>
      <c r="BK203" t="s" s="72">
        <v>23</v>
      </c>
      <c r="BL203" t="s" s="72">
        <v>24</v>
      </c>
      <c r="BM203" s="67"/>
      <c r="BN203" s="67"/>
      <c r="BO203" s="67"/>
      <c r="BP203" s="67"/>
      <c r="BQ203" s="67"/>
      <c r="BR203" t="b" s="79">
        <v>0</v>
      </c>
      <c r="BS203" s="69" cm="1">
        <f t="array" ref="BS203">IF(M203&lt;=0.8*K203,5%*K203,M203*5%)</f>
        <v>4988550</v>
      </c>
      <c r="BT203" t="s" s="72">
        <v>25</v>
      </c>
      <c r="BU203" s="67"/>
      <c r="BV203" s="69" cm="1">
        <f t="array" ref="BV203">J203-M203</f>
        <v>229000</v>
      </c>
    </row>
    <row r="204" ht="36.25" customHeight="1">
      <c r="A204" s="47"/>
      <c r="B204" s="48">
        <v>61391686</v>
      </c>
      <c r="C204" t="s" s="89">
        <v>1631</v>
      </c>
      <c r="D204" t="s" s="50">
        <v>1</v>
      </c>
      <c r="E204" t="str" s="51" cm="1">
        <f t="array" ref="E204">$C204</f>
        <v>Stock Desain Jalan Penghubung/Kabupaten Paket XII</v>
      </c>
      <c r="F204" s="51"/>
      <c r="G204" s="51"/>
      <c r="H204" s="51"/>
      <c r="I204" s="51"/>
      <c r="J204" s="54">
        <v>100000000</v>
      </c>
      <c r="K204" s="54">
        <v>99999000</v>
      </c>
      <c r="L204" s="56">
        <v>99837900</v>
      </c>
      <c r="M204" s="54">
        <v>99837000</v>
      </c>
      <c r="N204" t="s" s="57">
        <v>467</v>
      </c>
      <c r="O204" t="s" s="58">
        <v>468</v>
      </c>
      <c r="P204" t="s" s="57">
        <v>4</v>
      </c>
      <c r="Q204" t="s" s="57">
        <v>469</v>
      </c>
      <c r="R204" t="s" s="57">
        <v>470</v>
      </c>
      <c r="S204" t="s" s="57">
        <v>471</v>
      </c>
      <c r="T204" t="s" s="57">
        <v>472</v>
      </c>
      <c r="U204" t="s" s="57">
        <v>473</v>
      </c>
      <c r="V204" t="s" s="57">
        <v>474</v>
      </c>
      <c r="W204" t="s" s="57">
        <v>475</v>
      </c>
      <c r="X204" s="60">
        <v>30</v>
      </c>
      <c r="Y204" t="s" s="57">
        <v>10</v>
      </c>
      <c r="Z204" s="54" cm="1">
        <f t="array" ref="Z204">M204</f>
        <v>99837000</v>
      </c>
      <c r="AA204" t="s" s="57">
        <v>11</v>
      </c>
      <c r="AB204" s="61" cm="1">
        <f t="array" ref="AB204">AH204</f>
        <v>45987</v>
      </c>
      <c r="AC204" s="51"/>
      <c r="AD204" t="s" s="57">
        <v>192</v>
      </c>
      <c r="AE204" t="s" s="57">
        <v>13</v>
      </c>
      <c r="AF204" t="s" s="57">
        <v>108</v>
      </c>
      <c r="AG204" s="61">
        <v>45986</v>
      </c>
      <c r="AH204" s="61">
        <v>45987</v>
      </c>
      <c r="AI204" s="61">
        <v>45987</v>
      </c>
      <c r="AJ204" s="61">
        <v>45987</v>
      </c>
      <c r="AK204" s="61">
        <v>45987</v>
      </c>
      <c r="AL204" s="61">
        <v>45987</v>
      </c>
      <c r="AM204" s="61">
        <v>45987</v>
      </c>
      <c r="AN204" t="s" s="57">
        <v>1633</v>
      </c>
      <c r="AO204" s="61" cm="1">
        <f t="array" ref="AO204">AJ204</f>
        <v>45987</v>
      </c>
      <c r="AP204" t="s" s="57">
        <v>1634</v>
      </c>
      <c r="AQ204" s="61" cm="1">
        <f t="array" ref="AQ204">AJ204</f>
        <v>45987</v>
      </c>
      <c r="AR204" t="s" s="57">
        <v>1635</v>
      </c>
      <c r="AS204" s="61" cm="1">
        <f t="array" ref="AS204">AJ204</f>
        <v>45987</v>
      </c>
      <c r="AT204" t="s" s="62">
        <v>1636</v>
      </c>
      <c r="AU204" s="61" cm="1">
        <f t="array" ref="AU204">AJ204</f>
        <v>45987</v>
      </c>
      <c r="AV204" s="51"/>
      <c r="AW204" t="str" s="63" cm="1">
        <f t="array" ref="AW204">"600/"&amp;$B204&amp;"/"&amp;IF(AND($AE204="Konsultansi",M204&lt;=100000000),"SPK",IF(AND($AE204="Konsultansi",M204&gt;100000000),"Kont",IF(AND($AE204&lt;&gt;"Konsultansi",M204&lt;=200000000),"SPK","Kont")))&amp;"-"&amp;AE204&amp;"/PPK/DPUPR"</f>
        <v>600/61391686/SPK-Konsultansi/PPK/DPUPR</v>
      </c>
      <c r="AX204" t="str" s="63" cm="1">
        <f t="array" ref="AX204">"600/"&amp;$B204&amp;"/SPMK/PPK/DPUPR"</f>
        <v>600/61391686/SPMK/PPK/DPUPR</v>
      </c>
      <c r="AY204" s="51"/>
      <c r="AZ204" s="51"/>
      <c r="BA204" s="51"/>
      <c r="BB204" s="51"/>
      <c r="BC204" s="51"/>
      <c r="BD204" s="51"/>
      <c r="BE204" s="51"/>
      <c r="BF204" s="51"/>
      <c r="BG204" s="64">
        <v>162</v>
      </c>
      <c r="BH204" t="s" s="57">
        <v>467</v>
      </c>
      <c r="BI204" t="s" s="57">
        <v>21</v>
      </c>
      <c r="BJ204" t="s" s="57">
        <v>22</v>
      </c>
      <c r="BK204" t="s" s="57">
        <v>23</v>
      </c>
      <c r="BL204" t="s" s="57">
        <v>24</v>
      </c>
      <c r="BM204" s="51"/>
      <c r="BN204" s="51"/>
      <c r="BO204" s="51"/>
      <c r="BP204" s="51"/>
      <c r="BQ204" s="51"/>
      <c r="BR204" t="b" s="60">
        <v>0</v>
      </c>
      <c r="BS204" s="54" cm="1">
        <f t="array" ref="BS204">IF(M204&lt;=0.8*K204,5%*K204,M204*5%)</f>
        <v>4991850</v>
      </c>
      <c r="BT204" t="s" s="57">
        <v>25</v>
      </c>
      <c r="BU204" s="51"/>
      <c r="BV204" s="54" cm="1">
        <f t="array" ref="BV204">J204-M204</f>
        <v>163000</v>
      </c>
    </row>
    <row r="205" ht="36.25" customHeight="1">
      <c r="A205" s="47"/>
      <c r="B205" s="48">
        <v>61391693</v>
      </c>
      <c r="C205" t="s" s="89">
        <v>1639</v>
      </c>
      <c r="D205" t="s" s="76">
        <v>1</v>
      </c>
      <c r="E205" t="str" s="67" cm="1">
        <f t="array" ref="E205">$C205</f>
        <v>Stock Desain Jalan Penghubung/Kabupaten Paket XIII</v>
      </c>
      <c r="F205" s="67"/>
      <c r="G205" s="67"/>
      <c r="H205" s="67"/>
      <c r="I205" s="67"/>
      <c r="J205" s="69">
        <v>100000000</v>
      </c>
      <c r="K205" s="69">
        <v>99999000</v>
      </c>
      <c r="L205" s="56">
        <v>99882396</v>
      </c>
      <c r="M205" s="69">
        <v>99882000</v>
      </c>
      <c r="N205" t="s" s="72">
        <v>185</v>
      </c>
      <c r="O205" t="s" s="78">
        <v>186</v>
      </c>
      <c r="P205" t="s" s="72">
        <v>4</v>
      </c>
      <c r="Q205" t="s" s="72">
        <v>187</v>
      </c>
      <c r="R205" t="s" s="72">
        <v>188</v>
      </c>
      <c r="S205" s="79">
        <v>23</v>
      </c>
      <c r="T205" s="71">
        <v>44495</v>
      </c>
      <c r="U205" t="s" s="72">
        <v>189</v>
      </c>
      <c r="V205" t="s" s="72">
        <v>190</v>
      </c>
      <c r="W205" t="s" s="72">
        <v>191</v>
      </c>
      <c r="X205" s="79">
        <v>30</v>
      </c>
      <c r="Y205" t="s" s="72">
        <v>10</v>
      </c>
      <c r="Z205" s="69" cm="1">
        <f t="array" ref="Z205">M205</f>
        <v>99882000</v>
      </c>
      <c r="AA205" t="s" s="72">
        <v>11</v>
      </c>
      <c r="AB205" s="71" cm="1">
        <f t="array" ref="AB205">AH205</f>
        <v>45975</v>
      </c>
      <c r="AC205" s="67"/>
      <c r="AD205" t="s" s="72">
        <v>192</v>
      </c>
      <c r="AE205" t="s" s="72">
        <v>13</v>
      </c>
      <c r="AF205" t="s" s="72">
        <v>108</v>
      </c>
      <c r="AG205" s="71">
        <v>45974</v>
      </c>
      <c r="AH205" s="71">
        <v>45975</v>
      </c>
      <c r="AI205" s="71">
        <v>45975</v>
      </c>
      <c r="AJ205" s="71">
        <v>45978</v>
      </c>
      <c r="AK205" s="71">
        <v>45978</v>
      </c>
      <c r="AL205" s="71">
        <v>45978</v>
      </c>
      <c r="AM205" s="71">
        <v>45978</v>
      </c>
      <c r="AN205" t="s" s="72">
        <v>1641</v>
      </c>
      <c r="AO205" s="71" cm="1">
        <f t="array" ref="AO205">AJ205</f>
        <v>45978</v>
      </c>
      <c r="AP205" t="s" s="72">
        <v>1642</v>
      </c>
      <c r="AQ205" s="71" cm="1">
        <f t="array" ref="AQ205">AJ205</f>
        <v>45978</v>
      </c>
      <c r="AR205" t="s" s="72">
        <v>1643</v>
      </c>
      <c r="AS205" s="71" cm="1">
        <f t="array" ref="AS205">AJ205</f>
        <v>45978</v>
      </c>
      <c r="AT205" t="s" s="62">
        <v>1644</v>
      </c>
      <c r="AU205" s="71" cm="1">
        <f t="array" ref="AU205">AJ205</f>
        <v>45978</v>
      </c>
      <c r="AV205" s="67"/>
      <c r="AW205" t="str" s="74" cm="1">
        <f t="array" ref="AW205">"600/"&amp;$B205&amp;"/"&amp;IF(AND($AE205="Konsultansi",M205&lt;=100000000),"SPK",IF(AND($AE205="Konsultansi",M205&gt;100000000),"Kont",IF(AND($AE205&lt;&gt;"Konsultansi",M205&lt;=200000000),"SPK","Kont")))&amp;"-"&amp;AE205&amp;"/PPK/DPUPR"</f>
        <v>600/61391693/SPK-Konsultansi/PPK/DPUPR</v>
      </c>
      <c r="AX205" t="str" s="74" cm="1">
        <f t="array" ref="AX205">"600/"&amp;$B205&amp;"/SPMK/PPK/DPUPR"</f>
        <v>600/61391693/SPMK/PPK/DPUPR</v>
      </c>
      <c r="AY205" s="67"/>
      <c r="AZ205" s="67"/>
      <c r="BA205" s="67"/>
      <c r="BB205" s="67"/>
      <c r="BC205" s="67"/>
      <c r="BD205" s="67"/>
      <c r="BE205" s="67"/>
      <c r="BF205" s="67"/>
      <c r="BG205" s="80">
        <v>223</v>
      </c>
      <c r="BH205" t="s" s="72">
        <v>185</v>
      </c>
      <c r="BI205" t="s" s="72">
        <v>21</v>
      </c>
      <c r="BJ205" t="s" s="72">
        <v>22</v>
      </c>
      <c r="BK205" t="s" s="72">
        <v>23</v>
      </c>
      <c r="BL205" t="s" s="72">
        <v>24</v>
      </c>
      <c r="BM205" s="67"/>
      <c r="BN205" s="67"/>
      <c r="BO205" s="67"/>
      <c r="BP205" s="67"/>
      <c r="BQ205" s="67"/>
      <c r="BR205" t="b" s="79">
        <v>0</v>
      </c>
      <c r="BS205" s="69" cm="1">
        <f t="array" ref="BS205">IF(M205&lt;=0.8*K205,5%*K205,M205*5%)</f>
        <v>4994100</v>
      </c>
      <c r="BT205" t="s" s="72">
        <v>25</v>
      </c>
      <c r="BU205" s="67"/>
      <c r="BV205" s="69" cm="1">
        <f t="array" ref="BV205">J205-M205</f>
        <v>118000</v>
      </c>
    </row>
    <row r="206" ht="36.25" customHeight="1">
      <c r="A206" s="47"/>
      <c r="B206" s="48">
        <v>61391703</v>
      </c>
      <c r="C206" t="s" s="89">
        <v>1647</v>
      </c>
      <c r="D206" t="s" s="50">
        <v>1</v>
      </c>
      <c r="E206" t="str" s="51" cm="1">
        <f t="array" ref="E206">$C206</f>
        <v>Stock Desain Jalan Penghubung/Kabupaten Paket XIV</v>
      </c>
      <c r="F206" s="51"/>
      <c r="G206" s="51"/>
      <c r="H206" s="51"/>
      <c r="I206" s="51"/>
      <c r="J206" s="54">
        <v>100000000</v>
      </c>
      <c r="K206" s="54">
        <v>99999000</v>
      </c>
      <c r="L206" s="56">
        <v>99871272</v>
      </c>
      <c r="M206" s="54">
        <v>99871000</v>
      </c>
      <c r="N206" t="s" s="57">
        <v>185</v>
      </c>
      <c r="O206" t="s" s="58">
        <v>186</v>
      </c>
      <c r="P206" t="s" s="57">
        <v>4</v>
      </c>
      <c r="Q206" t="s" s="57">
        <v>187</v>
      </c>
      <c r="R206" t="s" s="57">
        <v>188</v>
      </c>
      <c r="S206" s="60">
        <v>23</v>
      </c>
      <c r="T206" s="61">
        <v>44495</v>
      </c>
      <c r="U206" t="s" s="57">
        <v>189</v>
      </c>
      <c r="V206" t="s" s="57">
        <v>190</v>
      </c>
      <c r="W206" t="s" s="57">
        <v>191</v>
      </c>
      <c r="X206" s="60">
        <v>30</v>
      </c>
      <c r="Y206" t="s" s="57">
        <v>10</v>
      </c>
      <c r="Z206" s="54" cm="1">
        <f t="array" ref="Z206">M206</f>
        <v>99871000</v>
      </c>
      <c r="AA206" t="s" s="57">
        <v>11</v>
      </c>
      <c r="AB206" s="61" cm="1">
        <f t="array" ref="AB206">AH206</f>
        <v>45987</v>
      </c>
      <c r="AC206" s="51"/>
      <c r="AD206" t="s" s="57">
        <v>192</v>
      </c>
      <c r="AE206" t="s" s="57">
        <v>13</v>
      </c>
      <c r="AF206" t="s" s="57">
        <v>108</v>
      </c>
      <c r="AG206" s="61">
        <v>45986</v>
      </c>
      <c r="AH206" s="61">
        <v>45987</v>
      </c>
      <c r="AI206" s="61">
        <v>45987</v>
      </c>
      <c r="AJ206" s="61">
        <v>45987</v>
      </c>
      <c r="AK206" s="61">
        <v>45987</v>
      </c>
      <c r="AL206" s="61">
        <v>45987</v>
      </c>
      <c r="AM206" s="61">
        <v>45987</v>
      </c>
      <c r="AN206" t="s" s="57">
        <v>1649</v>
      </c>
      <c r="AO206" s="61" cm="1">
        <f t="array" ref="AO206">AJ206</f>
        <v>45987</v>
      </c>
      <c r="AP206" t="s" s="57">
        <v>1650</v>
      </c>
      <c r="AQ206" s="61" cm="1">
        <f t="array" ref="AQ206">AJ206</f>
        <v>45987</v>
      </c>
      <c r="AR206" t="s" s="57">
        <v>1651</v>
      </c>
      <c r="AS206" s="61" cm="1">
        <f t="array" ref="AS206">AJ206</f>
        <v>45987</v>
      </c>
      <c r="AT206" t="s" s="62">
        <v>1652</v>
      </c>
      <c r="AU206" s="61" cm="1">
        <f t="array" ref="AU206">AJ206</f>
        <v>45987</v>
      </c>
      <c r="AV206" s="51"/>
      <c r="AW206" t="str" s="63" cm="1">
        <f t="array" ref="AW206">"600/"&amp;$B206&amp;"/"&amp;IF(AND($AE206="Konsultansi",M206&lt;=100000000),"SPK",IF(AND($AE206="Konsultansi",M206&gt;100000000),"Kont",IF(AND($AE206&lt;&gt;"Konsultansi",M206&lt;=200000000),"SPK","Kont")))&amp;"-"&amp;AE206&amp;"/PPK/DPUPR"</f>
        <v>600/61391703/SPK-Konsultansi/PPK/DPUPR</v>
      </c>
      <c r="AX206" t="str" s="63" cm="1">
        <f t="array" ref="AX206">"600/"&amp;$B206&amp;"/SPMK/PPK/DPUPR"</f>
        <v>600/61391703/SPMK/PPK/DPUPR</v>
      </c>
      <c r="AY206" s="51"/>
      <c r="AZ206" s="51"/>
      <c r="BA206" s="51"/>
      <c r="BB206" s="51"/>
      <c r="BC206" s="51"/>
      <c r="BD206" s="51"/>
      <c r="BE206" s="51"/>
      <c r="BF206" s="51"/>
      <c r="BG206" s="64">
        <v>223</v>
      </c>
      <c r="BH206" t="s" s="57">
        <v>185</v>
      </c>
      <c r="BI206" t="s" s="57">
        <v>21</v>
      </c>
      <c r="BJ206" t="s" s="57">
        <v>22</v>
      </c>
      <c r="BK206" t="s" s="57">
        <v>23</v>
      </c>
      <c r="BL206" t="s" s="57">
        <v>24</v>
      </c>
      <c r="BM206" s="51"/>
      <c r="BN206" s="51"/>
      <c r="BO206" s="51"/>
      <c r="BP206" s="51"/>
      <c r="BQ206" s="51"/>
      <c r="BR206" t="b" s="60">
        <v>0</v>
      </c>
      <c r="BS206" s="54" cm="1">
        <f t="array" ref="BS206">IF(M206&lt;=0.8*K206,5%*K206,M206*5%)</f>
        <v>4993550</v>
      </c>
      <c r="BT206" t="s" s="57">
        <v>25</v>
      </c>
      <c r="BU206" s="51"/>
      <c r="BV206" s="54" cm="1">
        <f t="array" ref="BV206">J206-M206</f>
        <v>129000</v>
      </c>
    </row>
    <row r="207" ht="36.25" customHeight="1">
      <c r="A207" s="47"/>
      <c r="B207" s="48">
        <v>61391709</v>
      </c>
      <c r="C207" t="s" s="89">
        <v>1655</v>
      </c>
      <c r="D207" t="s" s="76">
        <v>1</v>
      </c>
      <c r="E207" t="str" s="67" cm="1">
        <f t="array" ref="E207">$C207</f>
        <v>Stock Desain Jalan Penghubung/Kabupaten Paket XV</v>
      </c>
      <c r="F207" s="67"/>
      <c r="G207" s="67"/>
      <c r="H207" s="67"/>
      <c r="I207" s="67"/>
      <c r="J207" s="69">
        <v>100000000</v>
      </c>
      <c r="K207" s="69">
        <v>99999000</v>
      </c>
      <c r="L207" s="56">
        <v>99893520</v>
      </c>
      <c r="M207" s="69">
        <v>99893000</v>
      </c>
      <c r="N207" t="s" s="72">
        <v>1657</v>
      </c>
      <c r="O207" t="s" s="78">
        <v>1658</v>
      </c>
      <c r="P207" t="s" s="72">
        <v>4</v>
      </c>
      <c r="Q207" t="s" s="72">
        <v>1659</v>
      </c>
      <c r="R207" t="s" s="72">
        <v>1660</v>
      </c>
      <c r="S207" s="79">
        <v>56</v>
      </c>
      <c r="T207" s="71">
        <v>44739</v>
      </c>
      <c r="U207" t="s" s="72">
        <v>1661</v>
      </c>
      <c r="V207" t="s" s="72">
        <v>1662</v>
      </c>
      <c r="W207" t="s" s="72">
        <v>1663</v>
      </c>
      <c r="X207" s="79">
        <v>30</v>
      </c>
      <c r="Y207" t="s" s="72">
        <v>10</v>
      </c>
      <c r="Z207" s="69" cm="1">
        <f t="array" ref="Z207">M207</f>
        <v>99893000</v>
      </c>
      <c r="AA207" t="s" s="72">
        <v>11</v>
      </c>
      <c r="AB207" s="71" cm="1">
        <f t="array" ref="AB207">AH207</f>
        <v>45986</v>
      </c>
      <c r="AC207" s="67"/>
      <c r="AD207" t="s" s="72">
        <v>192</v>
      </c>
      <c r="AE207" t="s" s="72">
        <v>13</v>
      </c>
      <c r="AF207" t="s" s="72">
        <v>108</v>
      </c>
      <c r="AG207" s="71">
        <v>45985</v>
      </c>
      <c r="AH207" s="71">
        <v>45986</v>
      </c>
      <c r="AI207" s="71">
        <v>45986</v>
      </c>
      <c r="AJ207" s="71">
        <v>45986</v>
      </c>
      <c r="AK207" s="71">
        <v>45986</v>
      </c>
      <c r="AL207" s="71">
        <v>45986</v>
      </c>
      <c r="AM207" s="71">
        <v>45986</v>
      </c>
      <c r="AN207" t="s" s="72">
        <v>1664</v>
      </c>
      <c r="AO207" s="71" cm="1">
        <f t="array" ref="AO207">AJ207</f>
        <v>45986</v>
      </c>
      <c r="AP207" t="s" s="72">
        <v>1665</v>
      </c>
      <c r="AQ207" s="71" cm="1">
        <f t="array" ref="AQ207">AJ207</f>
        <v>45986</v>
      </c>
      <c r="AR207" t="s" s="72">
        <v>1666</v>
      </c>
      <c r="AS207" s="71" cm="1">
        <f t="array" ref="AS207">AJ207</f>
        <v>45986</v>
      </c>
      <c r="AT207" t="s" s="62">
        <v>1667</v>
      </c>
      <c r="AU207" s="71" cm="1">
        <f t="array" ref="AU207">AJ207</f>
        <v>45986</v>
      </c>
      <c r="AV207" s="67"/>
      <c r="AW207" t="str" s="74" cm="1">
        <f t="array" ref="AW207">"600/"&amp;$B207&amp;"/"&amp;IF(AND($AE207="Konsultansi",M207&lt;=100000000),"SPK",IF(AND($AE207="Konsultansi",M207&gt;100000000),"Kont",IF(AND($AE207&lt;&gt;"Konsultansi",M207&lt;=200000000),"SPK","Kont")))&amp;"-"&amp;AE207&amp;"/PPK/DPUPR"</f>
        <v>600/61391709/SPK-Konsultansi/PPK/DPUPR</v>
      </c>
      <c r="AX207" t="str" s="74" cm="1">
        <f t="array" ref="AX207">"600/"&amp;$B207&amp;"/SPMK/PPK/DPUPR"</f>
        <v>600/61391709/SPMK/PPK/DPUPR</v>
      </c>
      <c r="AY207" s="67"/>
      <c r="AZ207" s="67"/>
      <c r="BA207" s="67"/>
      <c r="BB207" s="67"/>
      <c r="BC207" s="67"/>
      <c r="BD207" s="67"/>
      <c r="BE207" s="67"/>
      <c r="BF207" s="67"/>
      <c r="BG207" s="80">
        <v>258</v>
      </c>
      <c r="BH207" t="s" s="72">
        <v>1657</v>
      </c>
      <c r="BI207" t="s" s="72">
        <v>21</v>
      </c>
      <c r="BJ207" t="s" s="72">
        <v>22</v>
      </c>
      <c r="BK207" t="s" s="72">
        <v>23</v>
      </c>
      <c r="BL207" t="s" s="72">
        <v>24</v>
      </c>
      <c r="BM207" s="67"/>
      <c r="BN207" s="67"/>
      <c r="BO207" s="67"/>
      <c r="BP207" s="67"/>
      <c r="BQ207" s="67"/>
      <c r="BR207" t="b" s="79">
        <v>0</v>
      </c>
      <c r="BS207" s="69" cm="1">
        <f t="array" ref="BS207">IF(M207&lt;=0.8*K207,5%*K207,M207*5%)</f>
        <v>4994650</v>
      </c>
      <c r="BT207" t="s" s="72">
        <v>25</v>
      </c>
      <c r="BU207" s="67"/>
      <c r="BV207" s="69" cm="1">
        <f t="array" ref="BV207">J207-M207</f>
        <v>107000</v>
      </c>
    </row>
    <row r="208" ht="36.25" customHeight="1">
      <c r="A208" s="107"/>
      <c r="B208" s="48">
        <v>61391720</v>
      </c>
      <c r="C208" t="s" s="89">
        <v>1670</v>
      </c>
      <c r="D208" t="s" s="50">
        <v>1</v>
      </c>
      <c r="E208" t="str" s="51" cm="1">
        <f t="array" ref="E208">$C208</f>
        <v>Stock Desain Jalan Penghubung/Kabupaten Paket I</v>
      </c>
      <c r="F208" s="51"/>
      <c r="G208" s="51"/>
      <c r="H208" s="51"/>
      <c r="I208" s="51"/>
      <c r="J208" s="54">
        <v>100000000</v>
      </c>
      <c r="K208" s="54">
        <v>99999000</v>
      </c>
      <c r="L208" s="56">
        <v>99949140</v>
      </c>
      <c r="M208" s="54">
        <v>99949000</v>
      </c>
      <c r="N208" t="s" s="57">
        <v>2</v>
      </c>
      <c r="O208" t="s" s="58">
        <v>1475</v>
      </c>
      <c r="P208" t="s" s="57">
        <v>4</v>
      </c>
      <c r="Q208" t="s" s="57">
        <v>5</v>
      </c>
      <c r="R208" t="s" s="57">
        <v>6</v>
      </c>
      <c r="S208" s="60">
        <v>24</v>
      </c>
      <c r="T208" s="61">
        <v>44516</v>
      </c>
      <c r="U208" t="s" s="57">
        <v>7</v>
      </c>
      <c r="V208" t="s" s="57">
        <v>8</v>
      </c>
      <c r="W208" t="s" s="57">
        <v>9</v>
      </c>
      <c r="X208" s="60">
        <v>30</v>
      </c>
      <c r="Y208" t="s" s="57">
        <v>10</v>
      </c>
      <c r="Z208" s="54" cm="1">
        <f t="array" ref="Z208">M208</f>
        <v>99949000</v>
      </c>
      <c r="AA208" t="s" s="57">
        <v>11</v>
      </c>
      <c r="AB208" s="61" cm="1">
        <f t="array" ref="AB208">AH208</f>
        <v>45961</v>
      </c>
      <c r="AC208" s="51"/>
      <c r="AD208" t="s" s="57">
        <v>192</v>
      </c>
      <c r="AE208" t="s" s="57">
        <v>13</v>
      </c>
      <c r="AF208" t="s" s="57">
        <v>108</v>
      </c>
      <c r="AG208" s="61">
        <v>45960</v>
      </c>
      <c r="AH208" s="61">
        <v>45961</v>
      </c>
      <c r="AI208" s="61">
        <v>45961</v>
      </c>
      <c r="AJ208" s="61">
        <v>45961</v>
      </c>
      <c r="AK208" s="61">
        <v>45961</v>
      </c>
      <c r="AL208" s="61">
        <v>45961</v>
      </c>
      <c r="AM208" s="61">
        <v>45961</v>
      </c>
      <c r="AN208" t="s" s="57">
        <v>1672</v>
      </c>
      <c r="AO208" s="61" cm="1">
        <f t="array" ref="AO208">AJ208</f>
        <v>45961</v>
      </c>
      <c r="AP208" t="s" s="57">
        <v>1673</v>
      </c>
      <c r="AQ208" s="61" cm="1">
        <f t="array" ref="AQ208">AJ208</f>
        <v>45961</v>
      </c>
      <c r="AR208" t="s" s="57">
        <v>1674</v>
      </c>
      <c r="AS208" s="61" cm="1">
        <f t="array" ref="AS208">AJ208</f>
        <v>45961</v>
      </c>
      <c r="AT208" t="s" s="62">
        <v>1675</v>
      </c>
      <c r="AU208" s="61" cm="1">
        <f t="array" ref="AU208">AJ208</f>
        <v>45961</v>
      </c>
      <c r="AV208" s="51"/>
      <c r="AW208" t="str" s="63" cm="1">
        <f t="array" ref="AW208">"600/"&amp;$B208&amp;"/"&amp;IF(AND($AE208="Konsultansi",M208&lt;=100000000),"SPK",IF(AND($AE208="Konsultansi",M208&gt;100000000),"Kont",IF(AND($AE208&lt;&gt;"Konsultansi",M208&lt;=200000000),"SPK","Kont")))&amp;"-"&amp;AE208&amp;"/PPK/DPUPR"</f>
        <v>600/61391720/SPK-Konsultansi/PPK/DPUPR</v>
      </c>
      <c r="AX208" t="str" s="63" cm="1">
        <f t="array" ref="AX208">"600/"&amp;$B208&amp;"/SPMK/PPK/DPUPR"</f>
        <v>600/61391720/SPMK/PPK/DPUPR</v>
      </c>
      <c r="AY208" s="51"/>
      <c r="AZ208" s="51"/>
      <c r="BA208" s="51"/>
      <c r="BB208" s="51"/>
      <c r="BC208" s="51"/>
      <c r="BD208" s="51"/>
      <c r="BE208" s="51"/>
      <c r="BF208" s="51"/>
      <c r="BG208" s="64">
        <v>6</v>
      </c>
      <c r="BH208" t="s" s="57">
        <v>2</v>
      </c>
      <c r="BI208" t="s" s="57">
        <v>21</v>
      </c>
      <c r="BJ208" t="s" s="57">
        <v>22</v>
      </c>
      <c r="BK208" t="s" s="57">
        <v>23</v>
      </c>
      <c r="BL208" t="s" s="57">
        <v>24</v>
      </c>
      <c r="BM208" s="51"/>
      <c r="BN208" s="51"/>
      <c r="BO208" s="51"/>
      <c r="BP208" s="51"/>
      <c r="BQ208" s="51"/>
      <c r="BR208" t="b" s="60">
        <v>0</v>
      </c>
      <c r="BS208" s="54" cm="1">
        <f t="array" ref="BS208">IF(M208&lt;=0.8*K208,5%*K208,M208*5%)</f>
        <v>4997450</v>
      </c>
      <c r="BT208" t="s" s="57">
        <v>25</v>
      </c>
      <c r="BU208" s="51"/>
      <c r="BV208" s="54" cm="1">
        <f t="array" ref="BV208">J208-M208</f>
        <v>51000</v>
      </c>
    </row>
    <row r="209" ht="36.25" customHeight="1">
      <c r="A209" s="107"/>
      <c r="B209" s="48">
        <v>61391727</v>
      </c>
      <c r="C209" t="s" s="89">
        <v>1678</v>
      </c>
      <c r="D209" t="s" s="76">
        <v>1</v>
      </c>
      <c r="E209" t="str" s="67" cm="1">
        <f t="array" ref="E209">$C209</f>
        <v>Stock Desain Jalan Penghubung/Kabupaten Paket II</v>
      </c>
      <c r="F209" s="67"/>
      <c r="G209" s="67"/>
      <c r="H209" s="67"/>
      <c r="I209" s="67"/>
      <c r="J209" s="69">
        <v>100000000</v>
      </c>
      <c r="K209" s="69">
        <v>99999000</v>
      </c>
      <c r="L209" s="56">
        <v>99893520</v>
      </c>
      <c r="M209" s="69">
        <v>99893000</v>
      </c>
      <c r="N209" t="s" s="72">
        <v>2</v>
      </c>
      <c r="O209" t="s" s="78">
        <v>1475</v>
      </c>
      <c r="P209" t="s" s="72">
        <v>4</v>
      </c>
      <c r="Q209" t="s" s="72">
        <v>5</v>
      </c>
      <c r="R209" t="s" s="72">
        <v>6</v>
      </c>
      <c r="S209" s="79">
        <v>24</v>
      </c>
      <c r="T209" s="71">
        <v>44516</v>
      </c>
      <c r="U209" t="s" s="72">
        <v>7</v>
      </c>
      <c r="V209" t="s" s="72">
        <v>8</v>
      </c>
      <c r="W209" t="s" s="72">
        <v>9</v>
      </c>
      <c r="X209" s="79">
        <v>30</v>
      </c>
      <c r="Y209" t="s" s="72">
        <v>10</v>
      </c>
      <c r="Z209" s="69" cm="1">
        <f t="array" ref="Z209">M209</f>
        <v>99893000</v>
      </c>
      <c r="AA209" t="s" s="72">
        <v>11</v>
      </c>
      <c r="AB209" s="71" cm="1">
        <f t="array" ref="AB209">AH209</f>
        <v>45961</v>
      </c>
      <c r="AC209" s="67"/>
      <c r="AD209" t="s" s="72">
        <v>192</v>
      </c>
      <c r="AE209" t="s" s="72">
        <v>13</v>
      </c>
      <c r="AF209" t="s" s="72">
        <v>108</v>
      </c>
      <c r="AG209" s="71">
        <v>45960</v>
      </c>
      <c r="AH209" s="71">
        <v>45961</v>
      </c>
      <c r="AI209" s="71">
        <v>45961</v>
      </c>
      <c r="AJ209" s="71">
        <v>45961</v>
      </c>
      <c r="AK209" s="71">
        <v>45961</v>
      </c>
      <c r="AL209" s="71">
        <v>45961</v>
      </c>
      <c r="AM209" s="71">
        <v>45961</v>
      </c>
      <c r="AN209" t="s" s="72">
        <v>1680</v>
      </c>
      <c r="AO209" s="71" cm="1">
        <f t="array" ref="AO209">AJ209</f>
        <v>45961</v>
      </c>
      <c r="AP209" t="s" s="72">
        <v>1681</v>
      </c>
      <c r="AQ209" s="71" cm="1">
        <f t="array" ref="AQ209">AJ209</f>
        <v>45961</v>
      </c>
      <c r="AR209" t="s" s="72">
        <v>1682</v>
      </c>
      <c r="AS209" s="71" cm="1">
        <f t="array" ref="AS209">AJ209</f>
        <v>45961</v>
      </c>
      <c r="AT209" t="s" s="62">
        <v>1683</v>
      </c>
      <c r="AU209" s="71" cm="1">
        <f t="array" ref="AU209">AJ209</f>
        <v>45961</v>
      </c>
      <c r="AV209" s="67"/>
      <c r="AW209" t="str" s="74" cm="1">
        <f t="array" ref="AW209">"600/"&amp;$B209&amp;"/"&amp;IF(AND($AE209="Konsultansi",M209&lt;=100000000),"SPK",IF(AND($AE209="Konsultansi",M209&gt;100000000),"Kont",IF(AND($AE209&lt;&gt;"Konsultansi",M209&lt;=200000000),"SPK","Kont")))&amp;"-"&amp;AE209&amp;"/PPK/DPUPR"</f>
        <v>600/61391727/SPK-Konsultansi/PPK/DPUPR</v>
      </c>
      <c r="AX209" t="str" s="74" cm="1">
        <f t="array" ref="AX209">"600/"&amp;$B209&amp;"/SPMK/PPK/DPUPR"</f>
        <v>600/61391727/SPMK/PPK/DPUPR</v>
      </c>
      <c r="AY209" s="67"/>
      <c r="AZ209" s="67"/>
      <c r="BA209" s="67"/>
      <c r="BB209" s="67"/>
      <c r="BC209" s="67"/>
      <c r="BD209" s="67"/>
      <c r="BE209" s="67"/>
      <c r="BF209" s="67"/>
      <c r="BG209" s="80">
        <v>6</v>
      </c>
      <c r="BH209" t="s" s="72">
        <v>2</v>
      </c>
      <c r="BI209" t="s" s="72">
        <v>21</v>
      </c>
      <c r="BJ209" t="s" s="72">
        <v>22</v>
      </c>
      <c r="BK209" t="s" s="72">
        <v>23</v>
      </c>
      <c r="BL209" t="s" s="72">
        <v>24</v>
      </c>
      <c r="BM209" s="67"/>
      <c r="BN209" s="67"/>
      <c r="BO209" s="67"/>
      <c r="BP209" s="67"/>
      <c r="BQ209" s="67"/>
      <c r="BR209" t="b" s="79">
        <v>0</v>
      </c>
      <c r="BS209" s="69" cm="1">
        <f t="array" ref="BS209">IF(M209&lt;=0.8*K209,5%*K209,M209*5%)</f>
        <v>4994650</v>
      </c>
      <c r="BT209" t="s" s="72">
        <v>25</v>
      </c>
      <c r="BU209" s="67"/>
      <c r="BV209" s="69" cm="1">
        <f t="array" ref="BV209">J209-M209</f>
        <v>107000</v>
      </c>
    </row>
    <row r="210" ht="36.25" customHeight="1">
      <c r="A210" s="107"/>
      <c r="B210" s="48">
        <v>61391738</v>
      </c>
      <c r="C210" t="s" s="89">
        <v>1686</v>
      </c>
      <c r="D210" t="s" s="50">
        <v>1</v>
      </c>
      <c r="E210" t="str" s="51" cm="1">
        <f t="array" ref="E210">$C210</f>
        <v>Stock Desain Jalan Penghubung/Kabupaten Paket III</v>
      </c>
      <c r="F210" s="51"/>
      <c r="G210" s="51"/>
      <c r="H210" s="51"/>
      <c r="I210" s="51"/>
      <c r="J210" s="54">
        <v>100000000</v>
      </c>
      <c r="K210" s="54">
        <v>99999000</v>
      </c>
      <c r="L210" s="56">
        <v>99871272</v>
      </c>
      <c r="M210" s="54">
        <v>99871000</v>
      </c>
      <c r="N210" t="s" s="57">
        <v>2</v>
      </c>
      <c r="O210" t="s" s="58">
        <v>1475</v>
      </c>
      <c r="P210" t="s" s="57">
        <v>4</v>
      </c>
      <c r="Q210" t="s" s="57">
        <v>5</v>
      </c>
      <c r="R210" t="s" s="57">
        <v>6</v>
      </c>
      <c r="S210" s="60">
        <v>24</v>
      </c>
      <c r="T210" s="61">
        <v>44516</v>
      </c>
      <c r="U210" t="s" s="57">
        <v>7</v>
      </c>
      <c r="V210" t="s" s="57">
        <v>8</v>
      </c>
      <c r="W210" t="s" s="57">
        <v>9</v>
      </c>
      <c r="X210" s="60">
        <v>30</v>
      </c>
      <c r="Y210" t="s" s="57">
        <v>10</v>
      </c>
      <c r="Z210" s="54" cm="1">
        <f t="array" ref="Z210">M210</f>
        <v>99871000</v>
      </c>
      <c r="AA210" t="s" s="57">
        <v>11</v>
      </c>
      <c r="AB210" s="61" cm="1">
        <f t="array" ref="AB210">AH210</f>
        <v>45961</v>
      </c>
      <c r="AC210" s="51"/>
      <c r="AD210" t="s" s="57">
        <v>192</v>
      </c>
      <c r="AE210" t="s" s="57">
        <v>13</v>
      </c>
      <c r="AF210" t="s" s="57">
        <v>108</v>
      </c>
      <c r="AG210" s="61">
        <v>45960</v>
      </c>
      <c r="AH210" s="61">
        <v>45961</v>
      </c>
      <c r="AI210" s="61">
        <v>45961</v>
      </c>
      <c r="AJ210" s="61">
        <v>45961</v>
      </c>
      <c r="AK210" s="61">
        <v>45961</v>
      </c>
      <c r="AL210" s="61">
        <v>45961</v>
      </c>
      <c r="AM210" s="61">
        <v>45961</v>
      </c>
      <c r="AN210" t="s" s="57">
        <v>1688</v>
      </c>
      <c r="AO210" s="61" cm="1">
        <f t="array" ref="AO210">AJ210</f>
        <v>45961</v>
      </c>
      <c r="AP210" t="s" s="57">
        <v>1689</v>
      </c>
      <c r="AQ210" s="61" cm="1">
        <f t="array" ref="AQ210">AJ210</f>
        <v>45961</v>
      </c>
      <c r="AR210" t="s" s="57">
        <v>1690</v>
      </c>
      <c r="AS210" s="61" cm="1">
        <f t="array" ref="AS210">AJ210</f>
        <v>45961</v>
      </c>
      <c r="AT210" t="s" s="62">
        <v>1691</v>
      </c>
      <c r="AU210" s="61" cm="1">
        <f t="array" ref="AU210">AJ210</f>
        <v>45961</v>
      </c>
      <c r="AV210" s="51"/>
      <c r="AW210" t="str" s="63" cm="1">
        <f t="array" ref="AW210">"600/"&amp;$B210&amp;"/"&amp;IF(AND($AE210="Konsultansi",M210&lt;=100000000),"SPK",IF(AND($AE210="Konsultansi",M210&gt;100000000),"Kont",IF(AND($AE210&lt;&gt;"Konsultansi",M210&lt;=200000000),"SPK","Kont")))&amp;"-"&amp;AE210&amp;"/PPK/DPUPR"</f>
        <v>600/61391738/SPK-Konsultansi/PPK/DPUPR</v>
      </c>
      <c r="AX210" t="str" s="63" cm="1">
        <f t="array" ref="AX210">"600/"&amp;$B210&amp;"/SPMK/PPK/DPUPR"</f>
        <v>600/61391738/SPMK/PPK/DPUPR</v>
      </c>
      <c r="AY210" s="51"/>
      <c r="AZ210" s="51"/>
      <c r="BA210" s="51"/>
      <c r="BB210" s="51"/>
      <c r="BC210" s="51"/>
      <c r="BD210" s="51"/>
      <c r="BE210" s="51"/>
      <c r="BF210" s="51"/>
      <c r="BG210" s="64">
        <v>6</v>
      </c>
      <c r="BH210" t="s" s="57">
        <v>2</v>
      </c>
      <c r="BI210" t="s" s="57">
        <v>21</v>
      </c>
      <c r="BJ210" t="s" s="57">
        <v>22</v>
      </c>
      <c r="BK210" t="s" s="57">
        <v>23</v>
      </c>
      <c r="BL210" t="s" s="57">
        <v>24</v>
      </c>
      <c r="BM210" s="51"/>
      <c r="BN210" s="51"/>
      <c r="BO210" s="51"/>
      <c r="BP210" s="51"/>
      <c r="BQ210" s="51"/>
      <c r="BR210" t="b" s="60">
        <v>0</v>
      </c>
      <c r="BS210" s="54" cm="1">
        <f t="array" ref="BS210">IF(M210&lt;=0.8*K210,5%*K210,M210*5%)</f>
        <v>4993550</v>
      </c>
      <c r="BT210" t="s" s="57">
        <v>25</v>
      </c>
      <c r="BU210" s="51"/>
      <c r="BV210" s="54" cm="1">
        <f t="array" ref="BV210">J210-M210</f>
        <v>129000</v>
      </c>
    </row>
    <row r="211" ht="36.25" customHeight="1">
      <c r="A211" s="107"/>
      <c r="B211" s="48">
        <v>61391744</v>
      </c>
      <c r="C211" t="s" s="89">
        <v>1694</v>
      </c>
      <c r="D211" t="s" s="76">
        <v>1</v>
      </c>
      <c r="E211" t="str" s="67" cm="1">
        <f t="array" ref="E211">$C211</f>
        <v>Stock Desain Jalan Penghubung/Kabupaten Paket IV</v>
      </c>
      <c r="F211" s="67"/>
      <c r="G211" s="67"/>
      <c r="H211" s="67"/>
      <c r="I211" s="67"/>
      <c r="J211" s="69">
        <v>100000000</v>
      </c>
      <c r="K211" s="69">
        <v>99999000</v>
      </c>
      <c r="L211" s="56">
        <v>99893520</v>
      </c>
      <c r="M211" s="69">
        <v>99893000</v>
      </c>
      <c r="N211" t="s" s="72">
        <v>2</v>
      </c>
      <c r="O211" t="s" s="78">
        <v>1475</v>
      </c>
      <c r="P211" t="s" s="72">
        <v>4</v>
      </c>
      <c r="Q211" t="s" s="72">
        <v>5</v>
      </c>
      <c r="R211" t="s" s="72">
        <v>6</v>
      </c>
      <c r="S211" s="79">
        <v>24</v>
      </c>
      <c r="T211" s="71">
        <v>44516</v>
      </c>
      <c r="U211" t="s" s="72">
        <v>7</v>
      </c>
      <c r="V211" t="s" s="72">
        <v>8</v>
      </c>
      <c r="W211" t="s" s="72">
        <v>9</v>
      </c>
      <c r="X211" s="79">
        <v>30</v>
      </c>
      <c r="Y211" t="s" s="72">
        <v>10</v>
      </c>
      <c r="Z211" s="69" cm="1">
        <f t="array" ref="Z211">M211</f>
        <v>99893000</v>
      </c>
      <c r="AA211" t="s" s="72">
        <v>11</v>
      </c>
      <c r="AB211" s="71" cm="1">
        <f t="array" ref="AB211">AH211</f>
        <v>45961</v>
      </c>
      <c r="AC211" s="67"/>
      <c r="AD211" t="s" s="72">
        <v>192</v>
      </c>
      <c r="AE211" t="s" s="72">
        <v>13</v>
      </c>
      <c r="AF211" t="s" s="72">
        <v>108</v>
      </c>
      <c r="AG211" s="71">
        <v>45960</v>
      </c>
      <c r="AH211" s="71">
        <v>45961</v>
      </c>
      <c r="AI211" s="71">
        <v>45961</v>
      </c>
      <c r="AJ211" s="71">
        <v>45961</v>
      </c>
      <c r="AK211" s="71">
        <v>45961</v>
      </c>
      <c r="AL211" s="71">
        <v>45961</v>
      </c>
      <c r="AM211" s="71">
        <v>45961</v>
      </c>
      <c r="AN211" t="s" s="72">
        <v>1696</v>
      </c>
      <c r="AO211" s="71" cm="1">
        <f t="array" ref="AO211">AJ211</f>
        <v>45961</v>
      </c>
      <c r="AP211" t="s" s="72">
        <v>1697</v>
      </c>
      <c r="AQ211" s="71" cm="1">
        <f t="array" ref="AQ211">AJ211</f>
        <v>45961</v>
      </c>
      <c r="AR211" t="s" s="72">
        <v>1698</v>
      </c>
      <c r="AS211" s="71" cm="1">
        <f t="array" ref="AS211">AJ211</f>
        <v>45961</v>
      </c>
      <c r="AT211" t="s" s="62">
        <v>1699</v>
      </c>
      <c r="AU211" s="71" cm="1">
        <f t="array" ref="AU211">AJ211</f>
        <v>45961</v>
      </c>
      <c r="AV211" s="67"/>
      <c r="AW211" t="str" s="74" cm="1">
        <f t="array" ref="AW211">"600/"&amp;$B211&amp;"/"&amp;IF(AND($AE211="Konsultansi",M211&lt;=100000000),"SPK",IF(AND($AE211="Konsultansi",M211&gt;100000000),"Kont",IF(AND($AE211&lt;&gt;"Konsultansi",M211&lt;=200000000),"SPK","Kont")))&amp;"-"&amp;AE211&amp;"/PPK/DPUPR"</f>
        <v>600/61391744/SPK-Konsultansi/PPK/DPUPR</v>
      </c>
      <c r="AX211" t="str" s="74" cm="1">
        <f t="array" ref="AX211">"600/"&amp;$B211&amp;"/SPMK/PPK/DPUPR"</f>
        <v>600/61391744/SPMK/PPK/DPUPR</v>
      </c>
      <c r="AY211" s="67"/>
      <c r="AZ211" s="67"/>
      <c r="BA211" s="67"/>
      <c r="BB211" s="67"/>
      <c r="BC211" s="67"/>
      <c r="BD211" s="67"/>
      <c r="BE211" s="67"/>
      <c r="BF211" s="67"/>
      <c r="BG211" s="80">
        <v>6</v>
      </c>
      <c r="BH211" t="s" s="72">
        <v>2</v>
      </c>
      <c r="BI211" t="s" s="72">
        <v>21</v>
      </c>
      <c r="BJ211" t="s" s="72">
        <v>22</v>
      </c>
      <c r="BK211" t="s" s="72">
        <v>23</v>
      </c>
      <c r="BL211" t="s" s="72">
        <v>24</v>
      </c>
      <c r="BM211" s="67"/>
      <c r="BN211" s="67"/>
      <c r="BO211" s="67"/>
      <c r="BP211" s="67"/>
      <c r="BQ211" s="67"/>
      <c r="BR211" t="b" s="79">
        <v>0</v>
      </c>
      <c r="BS211" s="69" cm="1">
        <f t="array" ref="BS211">IF(M211&lt;=0.8*K211,5%*K211,M211*5%)</f>
        <v>4994650</v>
      </c>
      <c r="BT211" t="s" s="72">
        <v>25</v>
      </c>
      <c r="BU211" s="67"/>
      <c r="BV211" s="69" cm="1">
        <f t="array" ref="BV211">J211-M211</f>
        <v>107000</v>
      </c>
    </row>
    <row r="212" ht="36.25" customHeight="1">
      <c r="A212" s="107"/>
      <c r="B212" s="48">
        <v>61391751</v>
      </c>
      <c r="C212" t="s" s="89">
        <v>1702</v>
      </c>
      <c r="D212" t="s" s="50">
        <v>1</v>
      </c>
      <c r="E212" t="str" s="51" cm="1">
        <f t="array" ref="E212">$C212</f>
        <v>Stock Desain Jalan Penghubung/Kabupaten Paket V</v>
      </c>
      <c r="F212" s="51"/>
      <c r="G212" s="51"/>
      <c r="H212" s="51"/>
      <c r="I212" s="51"/>
      <c r="J212" s="54">
        <v>100000000</v>
      </c>
      <c r="K212" s="54">
        <v>99999000</v>
      </c>
      <c r="L212" s="56">
        <v>99938016</v>
      </c>
      <c r="M212" s="54">
        <v>99938000</v>
      </c>
      <c r="N212" t="s" s="57">
        <v>185</v>
      </c>
      <c r="O212" t="s" s="58">
        <v>186</v>
      </c>
      <c r="P212" t="s" s="57">
        <v>4</v>
      </c>
      <c r="Q212" t="s" s="57">
        <v>187</v>
      </c>
      <c r="R212" t="s" s="57">
        <v>188</v>
      </c>
      <c r="S212" s="60">
        <v>23</v>
      </c>
      <c r="T212" s="61">
        <v>44495</v>
      </c>
      <c r="U212" t="s" s="57">
        <v>189</v>
      </c>
      <c r="V212" t="s" s="57">
        <v>190</v>
      </c>
      <c r="W212" t="s" s="57">
        <v>191</v>
      </c>
      <c r="X212" s="60">
        <v>30</v>
      </c>
      <c r="Y212" t="s" s="57">
        <v>10</v>
      </c>
      <c r="Z212" s="54" cm="1">
        <f t="array" ref="Z212">M212</f>
        <v>99938000</v>
      </c>
      <c r="AA212" t="s" s="57">
        <v>11</v>
      </c>
      <c r="AB212" s="61" cm="1">
        <f t="array" ref="AB212">AH212</f>
        <v>45961</v>
      </c>
      <c r="AC212" s="51"/>
      <c r="AD212" t="s" s="57">
        <v>192</v>
      </c>
      <c r="AE212" t="s" s="57">
        <v>13</v>
      </c>
      <c r="AF212" t="s" s="57">
        <v>108</v>
      </c>
      <c r="AG212" s="61">
        <v>45960</v>
      </c>
      <c r="AH212" s="61">
        <v>45961</v>
      </c>
      <c r="AI212" s="61">
        <v>45961</v>
      </c>
      <c r="AJ212" s="61">
        <v>45961</v>
      </c>
      <c r="AK212" s="61">
        <v>45961</v>
      </c>
      <c r="AL212" s="61">
        <v>45961</v>
      </c>
      <c r="AM212" s="61">
        <v>45961</v>
      </c>
      <c r="AN212" t="s" s="57">
        <v>1704</v>
      </c>
      <c r="AO212" s="61" cm="1">
        <f t="array" ref="AO212">AJ212</f>
        <v>45961</v>
      </c>
      <c r="AP212" t="s" s="57">
        <v>1705</v>
      </c>
      <c r="AQ212" s="61" cm="1">
        <f t="array" ref="AQ212">AJ212</f>
        <v>45961</v>
      </c>
      <c r="AR212" t="s" s="57">
        <v>1706</v>
      </c>
      <c r="AS212" s="61" cm="1">
        <f t="array" ref="AS212">AJ212</f>
        <v>45961</v>
      </c>
      <c r="AT212" t="s" s="62">
        <v>1707</v>
      </c>
      <c r="AU212" s="61" cm="1">
        <f t="array" ref="AU212">AJ212</f>
        <v>45961</v>
      </c>
      <c r="AV212" s="51"/>
      <c r="AW212" t="str" s="63" cm="1">
        <f t="array" ref="AW212">"600/"&amp;$B212&amp;"/"&amp;IF(AND($AE212="Konsultansi",M212&lt;=100000000),"SPK",IF(AND($AE212="Konsultansi",M212&gt;100000000),"Kont",IF(AND($AE212&lt;&gt;"Konsultansi",M212&lt;=200000000),"SPK","Kont")))&amp;"-"&amp;AE212&amp;"/PPK/DPUPR"</f>
        <v>600/61391751/SPK-Konsultansi/PPK/DPUPR</v>
      </c>
      <c r="AX212" t="str" s="63" cm="1">
        <f t="array" ref="AX212">"600/"&amp;$B212&amp;"/SPMK/PPK/DPUPR"</f>
        <v>600/61391751/SPMK/PPK/DPUPR</v>
      </c>
      <c r="AY212" s="51"/>
      <c r="AZ212" s="51"/>
      <c r="BA212" s="51"/>
      <c r="BB212" s="51"/>
      <c r="BC212" s="51"/>
      <c r="BD212" s="51"/>
      <c r="BE212" s="51"/>
      <c r="BF212" s="51"/>
      <c r="BG212" s="64">
        <v>223</v>
      </c>
      <c r="BH212" t="s" s="57">
        <v>185</v>
      </c>
      <c r="BI212" t="s" s="57">
        <v>21</v>
      </c>
      <c r="BJ212" t="s" s="57">
        <v>22</v>
      </c>
      <c r="BK212" t="s" s="57">
        <v>23</v>
      </c>
      <c r="BL212" t="s" s="57">
        <v>24</v>
      </c>
      <c r="BM212" s="51"/>
      <c r="BN212" s="51"/>
      <c r="BO212" s="51"/>
      <c r="BP212" s="51"/>
      <c r="BQ212" s="51"/>
      <c r="BR212" t="b" s="60">
        <v>0</v>
      </c>
      <c r="BS212" s="54" cm="1">
        <f t="array" ref="BS212">IF(M212&lt;=0.8*K212,5%*K212,M212*5%)</f>
        <v>4996900</v>
      </c>
      <c r="BT212" t="s" s="57">
        <v>25</v>
      </c>
      <c r="BU212" s="51"/>
      <c r="BV212" s="54" cm="1">
        <f t="array" ref="BV212">J212-M212</f>
        <v>62000</v>
      </c>
    </row>
    <row r="213" ht="36.25" customHeight="1">
      <c r="A213" s="107"/>
      <c r="B213" s="48">
        <v>61391767</v>
      </c>
      <c r="C213" t="s" s="89">
        <v>1710</v>
      </c>
      <c r="D213" t="s" s="76">
        <v>1</v>
      </c>
      <c r="E213" t="str" s="67" cm="1">
        <f t="array" ref="E213">$C213</f>
        <v>Stock Desain Jalan Penghubung/Kabupaten Paket VI</v>
      </c>
      <c r="F213" s="67"/>
      <c r="G213" s="67"/>
      <c r="H213" s="67"/>
      <c r="I213" s="67"/>
      <c r="J213" s="69">
        <v>100000000</v>
      </c>
      <c r="K213" s="69">
        <v>99999000</v>
      </c>
      <c r="L213" s="56">
        <v>99882396</v>
      </c>
      <c r="M213" s="69">
        <v>99882000</v>
      </c>
      <c r="N213" t="s" s="72">
        <v>185</v>
      </c>
      <c r="O213" t="s" s="78">
        <v>186</v>
      </c>
      <c r="P213" t="s" s="72">
        <v>4</v>
      </c>
      <c r="Q213" t="s" s="72">
        <v>187</v>
      </c>
      <c r="R213" t="s" s="72">
        <v>188</v>
      </c>
      <c r="S213" s="79">
        <v>23</v>
      </c>
      <c r="T213" s="71">
        <v>44495</v>
      </c>
      <c r="U213" t="s" s="72">
        <v>189</v>
      </c>
      <c r="V213" t="s" s="72">
        <v>190</v>
      </c>
      <c r="W213" t="s" s="72">
        <v>191</v>
      </c>
      <c r="X213" s="79">
        <v>30</v>
      </c>
      <c r="Y213" t="s" s="72">
        <v>10</v>
      </c>
      <c r="Z213" s="69" cm="1">
        <f t="array" ref="Z213">M213</f>
        <v>99882000</v>
      </c>
      <c r="AA213" t="s" s="72">
        <v>11</v>
      </c>
      <c r="AB213" s="71" cm="1">
        <f t="array" ref="AB213">AH213</f>
        <v>45961</v>
      </c>
      <c r="AC213" s="67"/>
      <c r="AD213" t="s" s="72">
        <v>192</v>
      </c>
      <c r="AE213" t="s" s="72">
        <v>13</v>
      </c>
      <c r="AF213" t="s" s="72">
        <v>108</v>
      </c>
      <c r="AG213" s="71">
        <v>45960</v>
      </c>
      <c r="AH213" s="71">
        <v>45961</v>
      </c>
      <c r="AI213" s="71">
        <v>45961</v>
      </c>
      <c r="AJ213" s="71">
        <v>45961</v>
      </c>
      <c r="AK213" s="71">
        <v>45961</v>
      </c>
      <c r="AL213" s="71">
        <v>45961</v>
      </c>
      <c r="AM213" s="71">
        <v>45961</v>
      </c>
      <c r="AN213" t="s" s="72">
        <v>1712</v>
      </c>
      <c r="AO213" s="71" cm="1">
        <f t="array" ref="AO213">AJ213</f>
        <v>45961</v>
      </c>
      <c r="AP213" t="s" s="72">
        <v>1713</v>
      </c>
      <c r="AQ213" s="71" cm="1">
        <f t="array" ref="AQ213">AJ213</f>
        <v>45961</v>
      </c>
      <c r="AR213" t="s" s="72">
        <v>1714</v>
      </c>
      <c r="AS213" s="71" cm="1">
        <f t="array" ref="AS213">AJ213</f>
        <v>45961</v>
      </c>
      <c r="AT213" t="s" s="62">
        <v>1715</v>
      </c>
      <c r="AU213" s="71" cm="1">
        <f t="array" ref="AU213">AJ213</f>
        <v>45961</v>
      </c>
      <c r="AV213" s="67"/>
      <c r="AW213" t="str" s="74" cm="1">
        <f t="array" ref="AW213">"600/"&amp;$B213&amp;"/"&amp;IF(AND($AE213="Konsultansi",M213&lt;=100000000),"SPK",IF(AND($AE213="Konsultansi",M213&gt;100000000),"Kont",IF(AND($AE213&lt;&gt;"Konsultansi",M213&lt;=200000000),"SPK","Kont")))&amp;"-"&amp;AE213&amp;"/PPK/DPUPR"</f>
        <v>600/61391767/SPK-Konsultansi/PPK/DPUPR</v>
      </c>
      <c r="AX213" t="str" s="74" cm="1">
        <f t="array" ref="AX213">"600/"&amp;$B213&amp;"/SPMK/PPK/DPUPR"</f>
        <v>600/61391767/SPMK/PPK/DPUPR</v>
      </c>
      <c r="AY213" s="67"/>
      <c r="AZ213" s="67"/>
      <c r="BA213" s="67"/>
      <c r="BB213" s="67"/>
      <c r="BC213" s="67"/>
      <c r="BD213" s="67"/>
      <c r="BE213" s="67"/>
      <c r="BF213" s="67"/>
      <c r="BG213" s="80">
        <v>223</v>
      </c>
      <c r="BH213" t="s" s="72">
        <v>185</v>
      </c>
      <c r="BI213" t="s" s="72">
        <v>21</v>
      </c>
      <c r="BJ213" t="s" s="72">
        <v>22</v>
      </c>
      <c r="BK213" t="s" s="72">
        <v>23</v>
      </c>
      <c r="BL213" t="s" s="72">
        <v>24</v>
      </c>
      <c r="BM213" s="67"/>
      <c r="BN213" s="67"/>
      <c r="BO213" s="67"/>
      <c r="BP213" s="67"/>
      <c r="BQ213" s="67"/>
      <c r="BR213" t="b" s="79">
        <v>0</v>
      </c>
      <c r="BS213" s="69" cm="1">
        <f t="array" ref="BS213">IF(M213&lt;=0.8*K213,5%*K213,M213*5%)</f>
        <v>4994100</v>
      </c>
      <c r="BT213" t="s" s="72">
        <v>25</v>
      </c>
      <c r="BU213" s="67"/>
      <c r="BV213" s="69" cm="1">
        <f t="array" ref="BV213">J213-M213</f>
        <v>118000</v>
      </c>
    </row>
    <row r="214" ht="36.25" customHeight="1">
      <c r="A214" s="107"/>
      <c r="B214" s="48">
        <v>61391774</v>
      </c>
      <c r="C214" t="s" s="89">
        <v>1718</v>
      </c>
      <c r="D214" t="s" s="50">
        <v>1</v>
      </c>
      <c r="E214" t="str" s="51" cm="1">
        <f t="array" ref="E214">$C214</f>
        <v>Stock Desain Jalan Penghubung/Kabupaten Paket VII</v>
      </c>
      <c r="F214" s="51"/>
      <c r="G214" s="51"/>
      <c r="H214" s="51"/>
      <c r="I214" s="51"/>
      <c r="J214" s="54">
        <v>100000000</v>
      </c>
      <c r="K214" s="54">
        <v>99999000</v>
      </c>
      <c r="L214" s="56">
        <v>99882396</v>
      </c>
      <c r="M214" s="54">
        <v>99882000</v>
      </c>
      <c r="N214" t="s" s="57">
        <v>185</v>
      </c>
      <c r="O214" t="s" s="58">
        <v>186</v>
      </c>
      <c r="P214" t="s" s="57">
        <v>4</v>
      </c>
      <c r="Q214" t="s" s="57">
        <v>187</v>
      </c>
      <c r="R214" t="s" s="57">
        <v>188</v>
      </c>
      <c r="S214" s="60">
        <v>23</v>
      </c>
      <c r="T214" s="61">
        <v>44495</v>
      </c>
      <c r="U214" t="s" s="57">
        <v>189</v>
      </c>
      <c r="V214" t="s" s="57">
        <v>190</v>
      </c>
      <c r="W214" t="s" s="57">
        <v>191</v>
      </c>
      <c r="X214" s="60">
        <v>30</v>
      </c>
      <c r="Y214" t="s" s="57">
        <v>10</v>
      </c>
      <c r="Z214" s="54" cm="1">
        <f t="array" ref="Z214">M214</f>
        <v>99882000</v>
      </c>
      <c r="AA214" t="s" s="57">
        <v>11</v>
      </c>
      <c r="AB214" s="61" cm="1">
        <f t="array" ref="AB214">AH214</f>
        <v>45961</v>
      </c>
      <c r="AC214" s="51"/>
      <c r="AD214" t="s" s="57">
        <v>192</v>
      </c>
      <c r="AE214" t="s" s="57">
        <v>13</v>
      </c>
      <c r="AF214" t="s" s="57">
        <v>108</v>
      </c>
      <c r="AG214" s="61">
        <v>45960</v>
      </c>
      <c r="AH214" s="61">
        <v>45961</v>
      </c>
      <c r="AI214" s="61">
        <v>45961</v>
      </c>
      <c r="AJ214" s="61">
        <v>45961</v>
      </c>
      <c r="AK214" s="61">
        <v>45961</v>
      </c>
      <c r="AL214" s="61">
        <v>45961</v>
      </c>
      <c r="AM214" s="61">
        <v>45961</v>
      </c>
      <c r="AN214" t="s" s="57">
        <v>1720</v>
      </c>
      <c r="AO214" s="61" cm="1">
        <f t="array" ref="AO214">AJ214</f>
        <v>45961</v>
      </c>
      <c r="AP214" t="s" s="57">
        <v>1721</v>
      </c>
      <c r="AQ214" s="61" cm="1">
        <f t="array" ref="AQ214">AJ214</f>
        <v>45961</v>
      </c>
      <c r="AR214" t="s" s="57">
        <v>1722</v>
      </c>
      <c r="AS214" s="61" cm="1">
        <f t="array" ref="AS214">AJ214</f>
        <v>45961</v>
      </c>
      <c r="AT214" t="s" s="62">
        <v>1723</v>
      </c>
      <c r="AU214" s="61" cm="1">
        <f t="array" ref="AU214">AJ214</f>
        <v>45961</v>
      </c>
      <c r="AV214" s="51"/>
      <c r="AW214" t="str" s="63" cm="1">
        <f t="array" ref="AW214">"600/"&amp;$B214&amp;"/"&amp;IF(AND($AE214="Konsultansi",M214&lt;=100000000),"SPK",IF(AND($AE214="Konsultansi",M214&gt;100000000),"Kont",IF(AND($AE214&lt;&gt;"Konsultansi",M214&lt;=200000000),"SPK","Kont")))&amp;"-"&amp;AE214&amp;"/PPK/DPUPR"</f>
        <v>600/61391774/SPK-Konsultansi/PPK/DPUPR</v>
      </c>
      <c r="AX214" t="str" s="63" cm="1">
        <f t="array" ref="AX214">"600/"&amp;$B214&amp;"/SPMK/PPK/DPUPR"</f>
        <v>600/61391774/SPMK/PPK/DPUPR</v>
      </c>
      <c r="AY214" s="51"/>
      <c r="AZ214" s="51"/>
      <c r="BA214" s="51"/>
      <c r="BB214" s="51"/>
      <c r="BC214" s="51"/>
      <c r="BD214" s="51"/>
      <c r="BE214" s="51"/>
      <c r="BF214" s="51"/>
      <c r="BG214" s="64">
        <v>223</v>
      </c>
      <c r="BH214" t="s" s="57">
        <v>185</v>
      </c>
      <c r="BI214" t="s" s="57">
        <v>21</v>
      </c>
      <c r="BJ214" t="s" s="57">
        <v>22</v>
      </c>
      <c r="BK214" t="s" s="57">
        <v>23</v>
      </c>
      <c r="BL214" t="s" s="57">
        <v>24</v>
      </c>
      <c r="BM214" s="51"/>
      <c r="BN214" s="51"/>
      <c r="BO214" s="51"/>
      <c r="BP214" s="51"/>
      <c r="BQ214" s="51"/>
      <c r="BR214" t="b" s="60">
        <v>0</v>
      </c>
      <c r="BS214" s="54" cm="1">
        <f t="array" ref="BS214">IF(M214&lt;=0.8*K214,5%*K214,M214*5%)</f>
        <v>4994100</v>
      </c>
      <c r="BT214" t="s" s="57">
        <v>25</v>
      </c>
      <c r="BU214" s="51"/>
      <c r="BV214" s="54" cm="1">
        <f t="array" ref="BV214">J214-M214</f>
        <v>118000</v>
      </c>
    </row>
    <row r="215" ht="36.25" customHeight="1">
      <c r="A215" s="107"/>
      <c r="B215" s="48">
        <v>61391780</v>
      </c>
      <c r="C215" t="s" s="89">
        <v>1726</v>
      </c>
      <c r="D215" t="s" s="76">
        <v>1</v>
      </c>
      <c r="E215" t="str" s="67" cm="1">
        <f t="array" ref="E215">$C215</f>
        <v>Stock Desain Jalan Penghubung/Kabupaten Paket IX</v>
      </c>
      <c r="F215" s="67"/>
      <c r="G215" s="67"/>
      <c r="H215" s="67"/>
      <c r="I215" s="67"/>
      <c r="J215" s="69">
        <v>100000000</v>
      </c>
      <c r="K215" s="69">
        <v>99999000</v>
      </c>
      <c r="L215" s="56">
        <v>99826776</v>
      </c>
      <c r="M215" s="69">
        <v>99826000</v>
      </c>
      <c r="N215" t="s" s="72">
        <v>185</v>
      </c>
      <c r="O215" t="s" s="78">
        <v>186</v>
      </c>
      <c r="P215" t="s" s="72">
        <v>4</v>
      </c>
      <c r="Q215" t="s" s="72">
        <v>187</v>
      </c>
      <c r="R215" t="s" s="72">
        <v>188</v>
      </c>
      <c r="S215" s="79">
        <v>23</v>
      </c>
      <c r="T215" s="71">
        <v>44495</v>
      </c>
      <c r="U215" t="s" s="72">
        <v>189</v>
      </c>
      <c r="V215" t="s" s="72">
        <v>190</v>
      </c>
      <c r="W215" t="s" s="72">
        <v>191</v>
      </c>
      <c r="X215" s="79">
        <v>30</v>
      </c>
      <c r="Y215" t="s" s="72">
        <v>10</v>
      </c>
      <c r="Z215" s="69" cm="1">
        <f t="array" ref="Z215">M215</f>
        <v>99826000</v>
      </c>
      <c r="AA215" t="s" s="72">
        <v>11</v>
      </c>
      <c r="AB215" s="71" cm="1">
        <f t="array" ref="AB215">AH215</f>
        <v>45961</v>
      </c>
      <c r="AC215" s="67"/>
      <c r="AD215" t="s" s="72">
        <v>192</v>
      </c>
      <c r="AE215" t="s" s="72">
        <v>13</v>
      </c>
      <c r="AF215" t="s" s="72">
        <v>108</v>
      </c>
      <c r="AG215" s="71">
        <v>45960</v>
      </c>
      <c r="AH215" s="71">
        <v>45961</v>
      </c>
      <c r="AI215" s="71">
        <v>45961</v>
      </c>
      <c r="AJ215" s="71">
        <v>45961</v>
      </c>
      <c r="AK215" s="71">
        <v>45961</v>
      </c>
      <c r="AL215" s="71">
        <v>45961</v>
      </c>
      <c r="AM215" s="71">
        <v>45961</v>
      </c>
      <c r="AN215" t="s" s="72">
        <v>1728</v>
      </c>
      <c r="AO215" s="71" cm="1">
        <f t="array" ref="AO215">AJ215</f>
        <v>45961</v>
      </c>
      <c r="AP215" t="s" s="72">
        <v>1729</v>
      </c>
      <c r="AQ215" s="71" cm="1">
        <f t="array" ref="AQ215">AJ215</f>
        <v>45961</v>
      </c>
      <c r="AR215" t="s" s="72">
        <v>1730</v>
      </c>
      <c r="AS215" s="71" cm="1">
        <f t="array" ref="AS215">AJ215</f>
        <v>45961</v>
      </c>
      <c r="AT215" t="s" s="62">
        <v>1731</v>
      </c>
      <c r="AU215" s="71" cm="1">
        <f t="array" ref="AU215">AJ215</f>
        <v>45961</v>
      </c>
      <c r="AV215" s="67"/>
      <c r="AW215" t="str" s="74" cm="1">
        <f t="array" ref="AW215">"600/"&amp;$B215&amp;"/"&amp;IF(AND($AE215="Konsultansi",M215&lt;=100000000),"SPK",IF(AND($AE215="Konsultansi",M215&gt;100000000),"Kont",IF(AND($AE215&lt;&gt;"Konsultansi",M215&lt;=200000000),"SPK","Kont")))&amp;"-"&amp;AE215&amp;"/PPK/DPUPR"</f>
        <v>600/61391780/SPK-Konsultansi/PPK/DPUPR</v>
      </c>
      <c r="AX215" t="str" s="74" cm="1">
        <f t="array" ref="AX215">"600/"&amp;$B215&amp;"/SPMK/PPK/DPUPR"</f>
        <v>600/61391780/SPMK/PPK/DPUPR</v>
      </c>
      <c r="AY215" s="67"/>
      <c r="AZ215" s="67"/>
      <c r="BA215" s="67"/>
      <c r="BB215" s="67"/>
      <c r="BC215" s="67"/>
      <c r="BD215" s="67"/>
      <c r="BE215" s="67"/>
      <c r="BF215" s="67"/>
      <c r="BG215" s="80">
        <v>223</v>
      </c>
      <c r="BH215" t="s" s="72">
        <v>185</v>
      </c>
      <c r="BI215" t="s" s="72">
        <v>21</v>
      </c>
      <c r="BJ215" t="s" s="72">
        <v>22</v>
      </c>
      <c r="BK215" t="s" s="72">
        <v>23</v>
      </c>
      <c r="BL215" t="s" s="72">
        <v>24</v>
      </c>
      <c r="BM215" s="67"/>
      <c r="BN215" s="67"/>
      <c r="BO215" s="67"/>
      <c r="BP215" s="67"/>
      <c r="BQ215" s="67"/>
      <c r="BR215" t="b" s="79">
        <v>0</v>
      </c>
      <c r="BS215" s="69" cm="1">
        <f t="array" ref="BS215">IF(M215&lt;=0.8*K215,5%*K215,M215*5%)</f>
        <v>4991300</v>
      </c>
      <c r="BT215" t="s" s="72">
        <v>25</v>
      </c>
      <c r="BU215" s="67"/>
      <c r="BV215" s="69" cm="1">
        <f t="array" ref="BV215">J215-M215</f>
        <v>174000</v>
      </c>
    </row>
    <row r="216" ht="36.25" customHeight="1">
      <c r="A216" s="107"/>
      <c r="B216" s="48">
        <v>61391785</v>
      </c>
      <c r="C216" t="s" s="89">
        <v>1734</v>
      </c>
      <c r="D216" t="s" s="50">
        <v>1</v>
      </c>
      <c r="E216" t="str" s="51" cm="1">
        <f t="array" ref="E216">$C216</f>
        <v>Stock Desain Jalan Penghubung/Kabupaten Paket X</v>
      </c>
      <c r="F216" s="51"/>
      <c r="G216" s="51"/>
      <c r="H216" s="51"/>
      <c r="I216" s="51"/>
      <c r="J216" s="54">
        <v>100000000</v>
      </c>
      <c r="K216" s="54">
        <v>99999000</v>
      </c>
      <c r="L216" s="56">
        <v>99882396</v>
      </c>
      <c r="M216" s="54">
        <v>99882000</v>
      </c>
      <c r="N216" t="s" s="57">
        <v>185</v>
      </c>
      <c r="O216" t="s" s="58">
        <v>186</v>
      </c>
      <c r="P216" t="s" s="57">
        <v>4</v>
      </c>
      <c r="Q216" t="s" s="57">
        <v>187</v>
      </c>
      <c r="R216" t="s" s="57">
        <v>188</v>
      </c>
      <c r="S216" s="60">
        <v>23</v>
      </c>
      <c r="T216" s="61">
        <v>44495</v>
      </c>
      <c r="U216" t="s" s="57">
        <v>189</v>
      </c>
      <c r="V216" t="s" s="57">
        <v>190</v>
      </c>
      <c r="W216" t="s" s="57">
        <v>191</v>
      </c>
      <c r="X216" s="60">
        <v>30</v>
      </c>
      <c r="Y216" t="s" s="57">
        <v>10</v>
      </c>
      <c r="Z216" s="54" cm="1">
        <f t="array" ref="Z216">M216</f>
        <v>99882000</v>
      </c>
      <c r="AA216" t="s" s="57">
        <v>11</v>
      </c>
      <c r="AB216" s="61" cm="1">
        <f t="array" ref="AB216">AH216</f>
        <v>45961</v>
      </c>
      <c r="AC216" s="51"/>
      <c r="AD216" t="s" s="57">
        <v>192</v>
      </c>
      <c r="AE216" t="s" s="57">
        <v>13</v>
      </c>
      <c r="AF216" t="s" s="57">
        <v>108</v>
      </c>
      <c r="AG216" s="61">
        <v>45960</v>
      </c>
      <c r="AH216" s="61">
        <v>45961</v>
      </c>
      <c r="AI216" s="61">
        <v>45961</v>
      </c>
      <c r="AJ216" s="61">
        <v>45961</v>
      </c>
      <c r="AK216" s="61">
        <v>45961</v>
      </c>
      <c r="AL216" s="61">
        <v>45961</v>
      </c>
      <c r="AM216" s="61">
        <v>45961</v>
      </c>
      <c r="AN216" t="s" s="57">
        <v>1736</v>
      </c>
      <c r="AO216" s="61" cm="1">
        <f t="array" ref="AO216">AJ216</f>
        <v>45961</v>
      </c>
      <c r="AP216" t="s" s="57">
        <v>1737</v>
      </c>
      <c r="AQ216" s="61" cm="1">
        <f t="array" ref="AQ216">AJ216</f>
        <v>45961</v>
      </c>
      <c r="AR216" t="s" s="57">
        <v>1738</v>
      </c>
      <c r="AS216" s="61" cm="1">
        <f t="array" ref="AS216">AJ216</f>
        <v>45961</v>
      </c>
      <c r="AT216" t="s" s="62">
        <v>1739</v>
      </c>
      <c r="AU216" s="61" cm="1">
        <f t="array" ref="AU216">AJ216</f>
        <v>45961</v>
      </c>
      <c r="AV216" s="51"/>
      <c r="AW216" t="str" s="63" cm="1">
        <f t="array" ref="AW216">"600/"&amp;$B216&amp;"/"&amp;IF(AND($AE216="Konsultansi",M216&lt;=100000000),"SPK",IF(AND($AE216="Konsultansi",M216&gt;100000000),"Kont",IF(AND($AE216&lt;&gt;"Konsultansi",M216&lt;=200000000),"SPK","Kont")))&amp;"-"&amp;AE216&amp;"/PPK/DPUPR"</f>
        <v>600/61391785/SPK-Konsultansi/PPK/DPUPR</v>
      </c>
      <c r="AX216" t="str" s="63" cm="1">
        <f t="array" ref="AX216">"600/"&amp;$B216&amp;"/SPMK/PPK/DPUPR"</f>
        <v>600/61391785/SPMK/PPK/DPUPR</v>
      </c>
      <c r="AY216" s="51"/>
      <c r="AZ216" s="51"/>
      <c r="BA216" s="51"/>
      <c r="BB216" s="51"/>
      <c r="BC216" s="51"/>
      <c r="BD216" s="51"/>
      <c r="BE216" s="51"/>
      <c r="BF216" s="51"/>
      <c r="BG216" s="64">
        <v>223</v>
      </c>
      <c r="BH216" t="s" s="57">
        <v>185</v>
      </c>
      <c r="BI216" t="s" s="57">
        <v>21</v>
      </c>
      <c r="BJ216" t="s" s="57">
        <v>22</v>
      </c>
      <c r="BK216" t="s" s="57">
        <v>23</v>
      </c>
      <c r="BL216" t="s" s="57">
        <v>24</v>
      </c>
      <c r="BM216" s="51"/>
      <c r="BN216" s="51"/>
      <c r="BO216" s="51"/>
      <c r="BP216" s="51"/>
      <c r="BQ216" s="51"/>
      <c r="BR216" t="b" s="60">
        <v>0</v>
      </c>
      <c r="BS216" s="54" cm="1">
        <f t="array" ref="BS216">IF(M216&lt;=0.8*K216,5%*K216,M216*5%)</f>
        <v>4994100</v>
      </c>
      <c r="BT216" t="s" s="57">
        <v>25</v>
      </c>
      <c r="BU216" s="51"/>
      <c r="BV216" s="54" cm="1">
        <f t="array" ref="BV216">J216-M216</f>
        <v>118000</v>
      </c>
    </row>
    <row r="217" ht="36.25" customHeight="1">
      <c r="A217" s="107"/>
      <c r="B217" s="48">
        <v>61391794</v>
      </c>
      <c r="C217" t="s" s="89">
        <v>1742</v>
      </c>
      <c r="D217" t="s" s="76">
        <v>1</v>
      </c>
      <c r="E217" t="str" s="67" cm="1">
        <f t="array" ref="E217">$C217</f>
        <v>Stock Desain Jalan Penghubung/Kabupaten Paket VIII</v>
      </c>
      <c r="F217" s="67"/>
      <c r="G217" s="67"/>
      <c r="H217" s="67"/>
      <c r="I217" s="67"/>
      <c r="J217" s="69">
        <v>100000000</v>
      </c>
      <c r="K217" s="69">
        <v>99999000</v>
      </c>
      <c r="L217" s="56">
        <v>99837900</v>
      </c>
      <c r="M217" s="69">
        <v>99837000</v>
      </c>
      <c r="N217" t="s" s="72">
        <v>185</v>
      </c>
      <c r="O217" t="s" s="78">
        <v>186</v>
      </c>
      <c r="P217" t="s" s="72">
        <v>4</v>
      </c>
      <c r="Q217" t="s" s="72">
        <v>187</v>
      </c>
      <c r="R217" t="s" s="72">
        <v>188</v>
      </c>
      <c r="S217" s="79">
        <v>23</v>
      </c>
      <c r="T217" s="71">
        <v>44495</v>
      </c>
      <c r="U217" t="s" s="72">
        <v>189</v>
      </c>
      <c r="V217" t="s" s="72">
        <v>190</v>
      </c>
      <c r="W217" t="s" s="72">
        <v>191</v>
      </c>
      <c r="X217" s="79">
        <v>30</v>
      </c>
      <c r="Y217" t="s" s="72">
        <v>10</v>
      </c>
      <c r="Z217" s="69" cm="1">
        <f t="array" ref="Z217">M217</f>
        <v>99837000</v>
      </c>
      <c r="AA217" t="s" s="72">
        <v>11</v>
      </c>
      <c r="AB217" s="71" cm="1">
        <f t="array" ref="AB217">AH217</f>
        <v>45961</v>
      </c>
      <c r="AC217" s="67"/>
      <c r="AD217" t="s" s="72">
        <v>192</v>
      </c>
      <c r="AE217" t="s" s="72">
        <v>13</v>
      </c>
      <c r="AF217" t="s" s="72">
        <v>108</v>
      </c>
      <c r="AG217" s="71">
        <v>45960</v>
      </c>
      <c r="AH217" s="71">
        <v>45961</v>
      </c>
      <c r="AI217" s="71">
        <v>45961</v>
      </c>
      <c r="AJ217" s="71">
        <v>45961</v>
      </c>
      <c r="AK217" s="71">
        <v>45961</v>
      </c>
      <c r="AL217" s="71">
        <v>45961</v>
      </c>
      <c r="AM217" s="71">
        <v>45961</v>
      </c>
      <c r="AN217" t="s" s="72">
        <v>1744</v>
      </c>
      <c r="AO217" s="71" cm="1">
        <f t="array" ref="AO217">AJ217</f>
        <v>45961</v>
      </c>
      <c r="AP217" t="s" s="72">
        <v>1745</v>
      </c>
      <c r="AQ217" s="71" cm="1">
        <f t="array" ref="AQ217">AJ217</f>
        <v>45961</v>
      </c>
      <c r="AR217" t="s" s="72">
        <v>1746</v>
      </c>
      <c r="AS217" s="71" cm="1">
        <f t="array" ref="AS217">AJ217</f>
        <v>45961</v>
      </c>
      <c r="AT217" t="s" s="62">
        <v>1747</v>
      </c>
      <c r="AU217" s="71" cm="1">
        <f t="array" ref="AU217">AJ217</f>
        <v>45961</v>
      </c>
      <c r="AV217" s="67"/>
      <c r="AW217" t="str" s="74" cm="1">
        <f t="array" ref="AW217">"600/"&amp;$B217&amp;"/"&amp;IF(AND($AE217="Konsultansi",M217&lt;=100000000),"SPK",IF(AND($AE217="Konsultansi",M217&gt;100000000),"Kont",IF(AND($AE217&lt;&gt;"Konsultansi",M217&lt;=200000000),"SPK","Kont")))&amp;"-"&amp;AE217&amp;"/PPK/DPUPR"</f>
        <v>600/61391794/SPK-Konsultansi/PPK/DPUPR</v>
      </c>
      <c r="AX217" t="str" s="74" cm="1">
        <f t="array" ref="AX217">"600/"&amp;$B217&amp;"/SPMK/PPK/DPUPR"</f>
        <v>600/61391794/SPMK/PPK/DPUPR</v>
      </c>
      <c r="AY217" s="67"/>
      <c r="AZ217" s="67"/>
      <c r="BA217" s="67"/>
      <c r="BB217" s="67"/>
      <c r="BC217" s="67"/>
      <c r="BD217" s="67"/>
      <c r="BE217" s="67"/>
      <c r="BF217" s="67"/>
      <c r="BG217" s="80">
        <v>223</v>
      </c>
      <c r="BH217" t="s" s="72">
        <v>185</v>
      </c>
      <c r="BI217" t="s" s="72">
        <v>21</v>
      </c>
      <c r="BJ217" t="s" s="72">
        <v>22</v>
      </c>
      <c r="BK217" t="s" s="72">
        <v>23</v>
      </c>
      <c r="BL217" t="s" s="72">
        <v>24</v>
      </c>
      <c r="BM217" s="67"/>
      <c r="BN217" s="67"/>
      <c r="BO217" s="67"/>
      <c r="BP217" s="67"/>
      <c r="BQ217" s="67"/>
      <c r="BR217" t="b" s="79">
        <v>0</v>
      </c>
      <c r="BS217" s="69" cm="1">
        <f t="array" ref="BS217">IF(M217&lt;=0.8*K217,5%*K217,M217*5%)</f>
        <v>4991850</v>
      </c>
      <c r="BT217" t="s" s="72">
        <v>25</v>
      </c>
      <c r="BU217" s="67"/>
      <c r="BV217" s="69" cm="1">
        <f t="array" ref="BV217">J217-M217</f>
        <v>163000</v>
      </c>
    </row>
    <row r="218" ht="36.25" customHeight="1">
      <c r="A218" s="47"/>
      <c r="B218" s="48">
        <v>10078797000</v>
      </c>
      <c r="C218" t="s" s="89">
        <v>1750</v>
      </c>
      <c r="D218" t="s" s="50">
        <v>280</v>
      </c>
      <c r="E218" t="str" s="51" cm="1">
        <f t="array" ref="E218">$C218</f>
        <v>Pembangunan Jembatan Randomayang - Wulai V (DBH)</v>
      </c>
      <c r="F218" s="51"/>
      <c r="G218" s="51"/>
      <c r="H218" s="51"/>
      <c r="I218" s="51"/>
      <c r="J218" s="54">
        <v>1810359100</v>
      </c>
      <c r="K218" s="55">
        <v>1810359079.38</v>
      </c>
      <c r="L218" s="56">
        <v>1674472357.76</v>
      </c>
      <c r="M218" s="54">
        <v>1674472000</v>
      </c>
      <c r="N218" t="s" s="57">
        <v>451</v>
      </c>
      <c r="O218" t="s" s="58">
        <v>452</v>
      </c>
      <c r="P218" t="s" s="57">
        <v>4</v>
      </c>
      <c r="Q218" t="s" s="57">
        <v>453</v>
      </c>
      <c r="R218" t="s" s="57">
        <v>454</v>
      </c>
      <c r="S218" t="s" s="57">
        <v>455</v>
      </c>
      <c r="T218" s="61">
        <v>44630</v>
      </c>
      <c r="U218" t="s" s="57">
        <v>456</v>
      </c>
      <c r="V218" t="s" s="57">
        <v>457</v>
      </c>
      <c r="W218" t="s" s="57">
        <v>458</v>
      </c>
      <c r="X218" s="60">
        <v>61</v>
      </c>
      <c r="Y218" t="s" s="57">
        <v>398</v>
      </c>
      <c r="Z218" s="54" cm="1">
        <f t="array" ref="Z218">M218</f>
        <v>1674472000</v>
      </c>
      <c r="AA218" t="s" s="57">
        <v>1752</v>
      </c>
      <c r="AB218" s="61">
        <v>45917</v>
      </c>
      <c r="AC218" s="60">
        <v>360</v>
      </c>
      <c r="AD218" t="s" s="57">
        <v>106</v>
      </c>
      <c r="AE218" t="s" s="57">
        <v>107</v>
      </c>
      <c r="AF218" t="s" s="57">
        <v>399</v>
      </c>
      <c r="AG218" s="61"/>
      <c r="AH218" s="61"/>
      <c r="AI218" s="61"/>
      <c r="AJ218" s="61"/>
      <c r="AK218" s="61">
        <v>45950</v>
      </c>
      <c r="AL218" s="61">
        <v>45961</v>
      </c>
      <c r="AM218" s="61">
        <v>45961</v>
      </c>
      <c r="AN218" t="s" s="57">
        <v>1753</v>
      </c>
      <c r="AO218" s="61">
        <v>45930</v>
      </c>
      <c r="AP218" t="s" s="57">
        <v>1754</v>
      </c>
      <c r="AQ218" s="51" cm="1">
        <f t="array" ref="AQ218">AJ218</f>
      </c>
      <c r="AR218" t="s" s="57">
        <v>1755</v>
      </c>
      <c r="AS218" s="51" cm="1">
        <f t="array" ref="AS218">AJ218</f>
      </c>
      <c r="AT218" t="s" s="62">
        <v>1756</v>
      </c>
      <c r="AU218" s="51" cm="1">
        <f t="array" ref="AU218">AJ218</f>
      </c>
      <c r="AV218" s="51"/>
      <c r="AW218" t="str" s="63" cm="1">
        <f t="array" ref="AW218">"600/"&amp;$B218&amp;"/"&amp;IF(AND($AE218="Konsultansi",M218&lt;=100000000),"SPK",IF(AND($AE218="Konsultansi",M218&gt;100000000),"Kont",IF(AND($AE218&lt;&gt;"Konsultansi",M218&lt;=200000000),"SPK","Kont")))&amp;"-"&amp;AE218&amp;"/PPK/DPUPR"</f>
        <v>600/10078797000/Kont-Konstruksi/PPK/DPUPR</v>
      </c>
      <c r="AX218" t="str" s="63" cm="1">
        <f t="array" ref="AX218">"600/"&amp;$B218&amp;"/SPMK/PPK/DPUPR"</f>
        <v>600/10078797000/SPMK/PPK/DPUPR</v>
      </c>
      <c r="AY218" s="51"/>
      <c r="AZ218" s="51"/>
      <c r="BA218" s="51"/>
      <c r="BB218" s="51"/>
      <c r="BC218" s="51"/>
      <c r="BD218" s="51"/>
      <c r="BE218" s="51"/>
      <c r="BF218" s="51"/>
      <c r="BG218" s="64">
        <v>20</v>
      </c>
      <c r="BH218" t="s" s="57">
        <v>451</v>
      </c>
      <c r="BI218" t="s" s="57">
        <v>21</v>
      </c>
      <c r="BJ218" t="s" s="57">
        <v>22</v>
      </c>
      <c r="BK218" t="s" s="57">
        <v>23</v>
      </c>
      <c r="BL218" t="s" s="57">
        <v>24</v>
      </c>
      <c r="BM218" s="51"/>
      <c r="BN218" s="51"/>
      <c r="BO218" s="51"/>
      <c r="BP218" s="51"/>
      <c r="BQ218" s="51"/>
      <c r="BR218" t="b" s="60">
        <v>0</v>
      </c>
      <c r="BS218" s="54" cm="1">
        <f t="array" ref="BS218">IF(M218&lt;=0.8*K218,5%*K218,M218*5%)</f>
        <v>83723600</v>
      </c>
      <c r="BT218" t="s" s="57">
        <v>288</v>
      </c>
      <c r="BU218" s="51"/>
      <c r="BV218" s="54" cm="1">
        <f t="array" ref="BV218">J218-M218</f>
        <v>135887100</v>
      </c>
    </row>
    <row r="219" ht="38.25" customHeight="1">
      <c r="A219" s="47"/>
      <c r="B219" t="s" s="97">
        <v>1759</v>
      </c>
      <c r="C219" t="s" s="89">
        <v>1750</v>
      </c>
      <c r="D219" t="s" s="76">
        <v>280</v>
      </c>
      <c r="E219" t="str" s="67" cm="1">
        <f t="array" ref="E219">$C219</f>
        <v>Pembangunan Jembatan Randomayang - Wulai V (DBH)</v>
      </c>
      <c r="F219" s="67"/>
      <c r="G219" s="67"/>
      <c r="H219" s="67"/>
      <c r="I219" s="67"/>
      <c r="J219" s="69">
        <v>1810359100</v>
      </c>
      <c r="K219" s="77">
        <v>1810359079.38</v>
      </c>
      <c r="L219" s="56">
        <v>1674472357.76</v>
      </c>
      <c r="M219" s="69">
        <v>1674472000</v>
      </c>
      <c r="N219" t="s" s="72">
        <v>451</v>
      </c>
      <c r="O219" t="s" s="78">
        <v>452</v>
      </c>
      <c r="P219" t="s" s="72">
        <v>4</v>
      </c>
      <c r="Q219" t="s" s="72">
        <v>453</v>
      </c>
      <c r="R219" t="s" s="72">
        <v>454</v>
      </c>
      <c r="S219" t="s" s="72">
        <v>455</v>
      </c>
      <c r="T219" s="71">
        <v>44630</v>
      </c>
      <c r="U219" t="s" s="72">
        <v>456</v>
      </c>
      <c r="V219" t="s" s="72">
        <v>457</v>
      </c>
      <c r="W219" t="s" s="72">
        <v>458</v>
      </c>
      <c r="X219" s="79">
        <v>61</v>
      </c>
      <c r="Y219" t="s" s="72">
        <v>398</v>
      </c>
      <c r="Z219" s="69" cm="1">
        <f t="array" ref="Z219">M219</f>
        <v>1674472000</v>
      </c>
      <c r="AA219" t="s" s="72">
        <v>1752</v>
      </c>
      <c r="AB219" s="71">
        <v>45917</v>
      </c>
      <c r="AC219" s="79">
        <v>360</v>
      </c>
      <c r="AD219" t="s" s="72">
        <v>106</v>
      </c>
      <c r="AE219" t="s" s="72">
        <v>107</v>
      </c>
      <c r="AF219" t="s" s="72">
        <v>399</v>
      </c>
      <c r="AG219" s="71"/>
      <c r="AH219" s="71"/>
      <c r="AI219" s="71"/>
      <c r="AJ219" s="71"/>
      <c r="AK219" s="71">
        <v>45950</v>
      </c>
      <c r="AL219" s="71">
        <v>45961</v>
      </c>
      <c r="AM219" s="71">
        <v>45961</v>
      </c>
      <c r="AN219" t="s" s="72">
        <v>1753</v>
      </c>
      <c r="AO219" s="71">
        <v>45930</v>
      </c>
      <c r="AP219" t="s" s="72">
        <v>1760</v>
      </c>
      <c r="AQ219" s="67" cm="1">
        <f t="array" ref="AQ219">AJ219</f>
      </c>
      <c r="AR219" t="s" s="72">
        <v>1761</v>
      </c>
      <c r="AS219" s="67" cm="1">
        <f t="array" ref="AS219">AJ219</f>
      </c>
      <c r="AT219" t="s" s="62">
        <v>1762</v>
      </c>
      <c r="AU219" s="67" cm="1">
        <f t="array" ref="AU219">AJ219</f>
      </c>
      <c r="AV219" s="67"/>
      <c r="AW219" t="str" s="74" cm="1">
        <f t="array" ref="AW219">"600/"&amp;$B219&amp;"/"&amp;IF(AND($AE219="Konsultansi",M219&lt;=100000000),"SPK",IF(AND($AE219="Konsultansi",M219&gt;100000000),"Kont",IF(AND($AE219&lt;&gt;"Konsultansi",M219&lt;=200000000),"SPK","Kont")))&amp;"-"&amp;AE219&amp;"/PPK/DPUPR"</f>
        <v>600/10078797000-ADD1/Kont-Konstruksi/PPK/DPUPR</v>
      </c>
      <c r="AX219" t="str" s="74" cm="1">
        <f t="array" ref="AX219">"600/"&amp;$B219&amp;"/SPMK/PPK/DPUPR"</f>
        <v>600/10078797000-ADD1/SPMK/PPK/DPUPR</v>
      </c>
      <c r="AY219" s="67"/>
      <c r="AZ219" s="67"/>
      <c r="BA219" s="67"/>
      <c r="BB219" s="67"/>
      <c r="BC219" s="67"/>
      <c r="BD219" s="67"/>
      <c r="BE219" s="67"/>
      <c r="BF219" s="67"/>
      <c r="BG219" s="80">
        <v>20</v>
      </c>
      <c r="BH219" t="s" s="72">
        <v>451</v>
      </c>
      <c r="BI219" t="s" s="72">
        <v>21</v>
      </c>
      <c r="BJ219" t="s" s="72">
        <v>22</v>
      </c>
      <c r="BK219" t="s" s="72">
        <v>23</v>
      </c>
      <c r="BL219" t="s" s="72">
        <v>24</v>
      </c>
      <c r="BM219" s="67"/>
      <c r="BN219" s="67"/>
      <c r="BO219" s="67"/>
      <c r="BP219" s="67"/>
      <c r="BQ219" s="67"/>
      <c r="BR219" t="b" s="79">
        <v>0</v>
      </c>
      <c r="BS219" s="69" cm="1">
        <f t="array" ref="BS219">IF(M219&lt;=0.8*K219,5%*K219,M219*5%)</f>
        <v>83723600</v>
      </c>
      <c r="BT219" t="s" s="72">
        <v>288</v>
      </c>
      <c r="BU219" s="67"/>
      <c r="BV219" s="69" cm="1">
        <f t="array" ref="BV219">J219-M219</f>
        <v>135887100</v>
      </c>
    </row>
    <row r="220" ht="42.25" customHeight="1">
      <c r="A220" s="47"/>
      <c r="B220" s="48">
        <v>61393426</v>
      </c>
      <c r="C220" t="s" s="89">
        <v>1765</v>
      </c>
      <c r="D220" t="s" s="50">
        <v>280</v>
      </c>
      <c r="E220" t="str" s="51" cm="1">
        <f t="array" ref="E220">$C220</f>
        <v>Pengawasan Pembangunan Jembatan Randomayang - Wulai V (Jalan Trans Sulawesi - Wulai - Bantalaka ) (DBH)</v>
      </c>
      <c r="F220" s="51"/>
      <c r="G220" s="51"/>
      <c r="H220" s="51"/>
      <c r="I220" s="51"/>
      <c r="J220" s="54">
        <v>47640000</v>
      </c>
      <c r="K220" s="54">
        <v>47632000</v>
      </c>
      <c r="L220" s="56">
        <v>47443860</v>
      </c>
      <c r="M220" s="54">
        <v>47443000</v>
      </c>
      <c r="N220" t="s" s="57">
        <v>159</v>
      </c>
      <c r="O220" t="s" s="58">
        <v>160</v>
      </c>
      <c r="P220" t="s" s="57">
        <v>4</v>
      </c>
      <c r="Q220" t="s" s="57">
        <v>161</v>
      </c>
      <c r="R220" t="s" s="57">
        <v>162</v>
      </c>
      <c r="S220" t="s" s="57">
        <v>163</v>
      </c>
      <c r="T220" s="61">
        <v>45446</v>
      </c>
      <c r="U220" t="s" s="57">
        <v>164</v>
      </c>
      <c r="V220" t="s" s="57">
        <v>165</v>
      </c>
      <c r="W220" t="s" s="57">
        <v>166</v>
      </c>
      <c r="X220" s="60">
        <v>61</v>
      </c>
      <c r="Y220" t="s" s="57">
        <v>398</v>
      </c>
      <c r="Z220" s="54" cm="1">
        <f t="array" ref="Z220">M220</f>
        <v>47443000</v>
      </c>
      <c r="AA220" t="s" s="57">
        <v>1767</v>
      </c>
      <c r="AB220" s="61" cm="1">
        <f t="array" ref="AB220">AH220</f>
        <v>45960</v>
      </c>
      <c r="AC220" s="51"/>
      <c r="AD220" t="s" s="57">
        <v>12</v>
      </c>
      <c r="AE220" t="s" s="57">
        <v>13</v>
      </c>
      <c r="AF220" t="s" s="57">
        <v>399</v>
      </c>
      <c r="AG220" s="61">
        <v>45959</v>
      </c>
      <c r="AH220" s="61">
        <v>45960</v>
      </c>
      <c r="AI220" s="61">
        <v>45960</v>
      </c>
      <c r="AJ220" s="61">
        <v>45960</v>
      </c>
      <c r="AK220" s="61">
        <v>45961</v>
      </c>
      <c r="AL220" s="61">
        <v>45961</v>
      </c>
      <c r="AM220" s="61">
        <v>45961</v>
      </c>
      <c r="AN220" t="s" s="57">
        <v>1768</v>
      </c>
      <c r="AO220" s="61" cm="1">
        <f t="array" ref="AO220">AJ220</f>
        <v>45960</v>
      </c>
      <c r="AP220" t="s" s="57">
        <v>1769</v>
      </c>
      <c r="AQ220" s="61" cm="1">
        <f t="array" ref="AQ220">AJ220</f>
        <v>45960</v>
      </c>
      <c r="AR220" t="s" s="57">
        <v>1770</v>
      </c>
      <c r="AS220" s="61" cm="1">
        <f t="array" ref="AS220">AJ220</f>
        <v>45960</v>
      </c>
      <c r="AT220" t="s" s="62">
        <v>1771</v>
      </c>
      <c r="AU220" s="61" cm="1">
        <f t="array" ref="AU220">AJ220</f>
        <v>45960</v>
      </c>
      <c r="AV220" s="51"/>
      <c r="AW220" t="str" s="63" cm="1">
        <f t="array" ref="AW220">"600/"&amp;$B220&amp;"/"&amp;IF(AND($AE220="Konsultansi",M220&lt;=100000000),"SPK",IF(AND($AE220="Konsultansi",M220&gt;100000000),"Kont",IF(AND($AE220&lt;&gt;"Konsultansi",M220&lt;=200000000),"SPK","Kont")))&amp;"-"&amp;AE220&amp;"/PPK/DPUPR"</f>
        <v>600/61393426/SPK-Konsultansi/PPK/DPUPR</v>
      </c>
      <c r="AX220" t="str" s="63" cm="1">
        <f t="array" ref="AX220">"600/"&amp;$B220&amp;"/SPMK/PPK/DPUPR"</f>
        <v>600/61393426/SPMK/PPK/DPUPR</v>
      </c>
      <c r="AY220" s="51"/>
      <c r="AZ220" s="51"/>
      <c r="BA220" s="51"/>
      <c r="BB220" s="51"/>
      <c r="BC220" s="51"/>
      <c r="BD220" s="51"/>
      <c r="BE220" s="51"/>
      <c r="BF220" s="51"/>
      <c r="BG220" s="64">
        <v>245</v>
      </c>
      <c r="BH220" t="s" s="57">
        <v>159</v>
      </c>
      <c r="BI220" t="s" s="57">
        <v>21</v>
      </c>
      <c r="BJ220" t="s" s="57">
        <v>22</v>
      </c>
      <c r="BK220" t="s" s="57">
        <v>23</v>
      </c>
      <c r="BL220" t="s" s="57">
        <v>24</v>
      </c>
      <c r="BM220" s="51"/>
      <c r="BN220" s="51"/>
      <c r="BO220" s="51"/>
      <c r="BP220" s="51"/>
      <c r="BQ220" s="51"/>
      <c r="BR220" t="b" s="60">
        <v>0</v>
      </c>
      <c r="BS220" s="54" cm="1">
        <f t="array" ref="BS220">IF(M220&lt;=0.8*K220,5%*K220,M220*5%)</f>
        <v>2372150</v>
      </c>
      <c r="BT220" t="s" s="57">
        <v>288</v>
      </c>
      <c r="BU220" s="51"/>
      <c r="BV220" s="54" cm="1">
        <f t="array" ref="BV220">J220-M220</f>
        <v>197000</v>
      </c>
    </row>
    <row r="221" ht="60.25" customHeight="1">
      <c r="A221" s="47"/>
      <c r="B221" s="48">
        <v>61393358</v>
      </c>
      <c r="C221" t="s" s="89">
        <v>1774</v>
      </c>
      <c r="D221" t="s" s="76">
        <v>97</v>
      </c>
      <c r="E221" t="str" s="67" cm="1">
        <f t="array" ref="E221">$C221</f>
        <v>Normalisasi Saluran Air Desa Patika - Bulu Mario</v>
      </c>
      <c r="F221" s="67"/>
      <c r="G221" s="67"/>
      <c r="H221" s="67"/>
      <c r="I221" s="67"/>
      <c r="J221" s="69">
        <v>195000000</v>
      </c>
      <c r="K221" s="69">
        <v>194999000</v>
      </c>
      <c r="L221" s="56">
        <v>194624650.99</v>
      </c>
      <c r="M221" s="69">
        <v>194624000</v>
      </c>
      <c r="N221" t="s" s="72">
        <v>655</v>
      </c>
      <c r="O221" t="s" s="78">
        <v>656</v>
      </c>
      <c r="P221" t="s" s="72">
        <v>4</v>
      </c>
      <c r="Q221" t="s" s="72">
        <v>657</v>
      </c>
      <c r="R221" t="s" s="72">
        <v>658</v>
      </c>
      <c r="S221" s="79">
        <v>46</v>
      </c>
      <c r="T221" s="71">
        <v>45310</v>
      </c>
      <c r="U221" t="s" s="72">
        <v>296</v>
      </c>
      <c r="V221" t="s" s="72">
        <v>659</v>
      </c>
      <c r="W221" t="s" s="72">
        <v>660</v>
      </c>
      <c r="X221" s="79">
        <v>44</v>
      </c>
      <c r="Y221" t="s" s="72">
        <v>10</v>
      </c>
      <c r="Z221" s="69" cm="1">
        <f t="array" ref="Z221">M221</f>
        <v>194624000</v>
      </c>
      <c r="AA221" t="s" s="72">
        <v>11</v>
      </c>
      <c r="AB221" s="71" cm="1">
        <f t="array" ref="AB221">AH221</f>
        <v>45975</v>
      </c>
      <c r="AC221" s="79">
        <v>180</v>
      </c>
      <c r="AD221" t="s" s="72">
        <v>106</v>
      </c>
      <c r="AE221" t="s" s="72">
        <v>107</v>
      </c>
      <c r="AF221" t="s" s="72">
        <v>1776</v>
      </c>
      <c r="AG221" s="71">
        <v>45974</v>
      </c>
      <c r="AH221" s="71">
        <v>45975</v>
      </c>
      <c r="AI221" s="71">
        <v>45975</v>
      </c>
      <c r="AJ221" s="71">
        <v>45978</v>
      </c>
      <c r="AK221" s="71">
        <v>45978</v>
      </c>
      <c r="AL221" s="71">
        <v>45978</v>
      </c>
      <c r="AM221" s="71">
        <v>45978</v>
      </c>
      <c r="AN221" t="s" s="72">
        <v>1777</v>
      </c>
      <c r="AO221" s="71" cm="1">
        <f t="array" ref="AO221">AJ221</f>
        <v>45978</v>
      </c>
      <c r="AP221" t="s" s="72">
        <v>1778</v>
      </c>
      <c r="AQ221" s="71" cm="1">
        <f t="array" ref="AQ221">AJ221</f>
        <v>45978</v>
      </c>
      <c r="AR221" t="s" s="72">
        <v>1779</v>
      </c>
      <c r="AS221" s="71" cm="1">
        <f t="array" ref="AS221">AJ221</f>
        <v>45978</v>
      </c>
      <c r="AT221" t="s" s="62">
        <v>1780</v>
      </c>
      <c r="AU221" s="71" cm="1">
        <f t="array" ref="AU221">AJ221</f>
        <v>45978</v>
      </c>
      <c r="AV221" s="67"/>
      <c r="AW221" t="str" s="74" cm="1">
        <f t="array" ref="AW221">"600/"&amp;$B221&amp;"/"&amp;IF(AND($AE221="Konsultansi",M221&lt;=100000000),"SPK",IF(AND($AE221="Konsultansi",M221&gt;100000000),"Kont",IF(AND($AE221&lt;&gt;"Konsultansi",M221&lt;=200000000),"SPK","Kont")))&amp;"-"&amp;AE221&amp;"/PPK/DPUPR"</f>
        <v>600/61393358/SPK-Konstruksi/PPK/DPUPR</v>
      </c>
      <c r="AX221" t="str" s="74" cm="1">
        <f t="array" ref="AX221">"600/"&amp;$B221&amp;"/SPMK/PPK/DPUPR"</f>
        <v>600/61393358/SPMK/PPK/DPUPR</v>
      </c>
      <c r="AY221" s="67"/>
      <c r="AZ221" s="67"/>
      <c r="BA221" s="67"/>
      <c r="BB221" s="67"/>
      <c r="BC221" s="67"/>
      <c r="BD221" s="67"/>
      <c r="BE221" s="67"/>
      <c r="BF221" s="67"/>
      <c r="BG221" s="80">
        <v>238</v>
      </c>
      <c r="BH221" t="s" s="72">
        <v>655</v>
      </c>
      <c r="BI221" t="s" s="72">
        <v>21</v>
      </c>
      <c r="BJ221" t="s" s="72">
        <v>22</v>
      </c>
      <c r="BK221" t="s" s="72">
        <v>23</v>
      </c>
      <c r="BL221" t="s" s="72">
        <v>24</v>
      </c>
      <c r="BM221" s="67"/>
      <c r="BN221" s="67"/>
      <c r="BO221" s="67"/>
      <c r="BP221" s="67"/>
      <c r="BQ221" s="67"/>
      <c r="BR221" t="b" s="79">
        <v>0</v>
      </c>
      <c r="BS221" s="69" cm="1">
        <f t="array" ref="BS221">IF(M221&lt;=0.8*K221,5%*K221,M221*5%)</f>
        <v>9731200</v>
      </c>
      <c r="BT221" t="s" s="72">
        <v>115</v>
      </c>
      <c r="BU221" s="67"/>
      <c r="BV221" s="69" cm="1">
        <f t="array" ref="BV221">J221-M221</f>
        <v>376000</v>
      </c>
    </row>
    <row r="222" ht="48.25" customHeight="1">
      <c r="A222" s="47"/>
      <c r="B222" s="48">
        <v>61393367</v>
      </c>
      <c r="C222" t="s" s="89">
        <v>1783</v>
      </c>
      <c r="D222" t="s" s="50">
        <v>97</v>
      </c>
      <c r="E222" t="str" s="51" cm="1">
        <f t="array" ref="E222">$C222</f>
        <v>Normalisasi Saluran Air Desa Patika - Saptanajaya</v>
      </c>
      <c r="F222" s="51"/>
      <c r="G222" s="51"/>
      <c r="H222" s="51"/>
      <c r="I222" s="51"/>
      <c r="J222" s="54">
        <v>195000000</v>
      </c>
      <c r="K222" s="54">
        <v>195000000</v>
      </c>
      <c r="L222" s="56">
        <v>194528083.17</v>
      </c>
      <c r="M222" s="54">
        <v>194528000</v>
      </c>
      <c r="N222" t="s" s="57">
        <v>1785</v>
      </c>
      <c r="O222" t="s" s="58">
        <v>1786</v>
      </c>
      <c r="P222" t="s" s="57">
        <v>4</v>
      </c>
      <c r="Q222" t="s" s="57">
        <v>1787</v>
      </c>
      <c r="R222" t="s" s="57">
        <v>1788</v>
      </c>
      <c r="S222" t="s" s="57">
        <v>295</v>
      </c>
      <c r="T222" s="61">
        <v>45809</v>
      </c>
      <c r="U222" t="s" s="57">
        <v>1789</v>
      </c>
      <c r="V222" t="s" s="57">
        <v>1790</v>
      </c>
      <c r="W222" t="s" s="57">
        <v>1791</v>
      </c>
      <c r="X222" s="60">
        <v>44</v>
      </c>
      <c r="Y222" t="s" s="57">
        <v>10</v>
      </c>
      <c r="Z222" s="54" cm="1">
        <f t="array" ref="Z222">M222</f>
        <v>194528000</v>
      </c>
      <c r="AA222" t="s" s="57">
        <v>11</v>
      </c>
      <c r="AB222" s="61" cm="1">
        <f t="array" ref="AB222">AH222</f>
        <v>45975</v>
      </c>
      <c r="AC222" s="60">
        <v>180</v>
      </c>
      <c r="AD222" t="s" s="57">
        <v>106</v>
      </c>
      <c r="AE222" t="s" s="57">
        <v>107</v>
      </c>
      <c r="AF222" t="s" s="57">
        <v>1776</v>
      </c>
      <c r="AG222" s="61">
        <v>45974</v>
      </c>
      <c r="AH222" s="61">
        <v>45975</v>
      </c>
      <c r="AI222" s="61">
        <v>45975</v>
      </c>
      <c r="AJ222" s="61">
        <v>45978</v>
      </c>
      <c r="AK222" s="61">
        <v>45978</v>
      </c>
      <c r="AL222" s="61">
        <v>45978</v>
      </c>
      <c r="AM222" s="61">
        <v>45978</v>
      </c>
      <c r="AN222" t="s" s="57">
        <v>1792</v>
      </c>
      <c r="AO222" s="61" cm="1">
        <f t="array" ref="AO222">AJ222</f>
        <v>45978</v>
      </c>
      <c r="AP222" t="s" s="57">
        <v>1793</v>
      </c>
      <c r="AQ222" s="61" cm="1">
        <f t="array" ref="AQ222">AJ222</f>
        <v>45978</v>
      </c>
      <c r="AR222" t="s" s="57">
        <v>1794</v>
      </c>
      <c r="AS222" s="61" cm="1">
        <f t="array" ref="AS222">AJ222</f>
        <v>45978</v>
      </c>
      <c r="AT222" t="s" s="62">
        <v>1795</v>
      </c>
      <c r="AU222" s="61" cm="1">
        <f t="array" ref="AU222">AJ222</f>
        <v>45978</v>
      </c>
      <c r="AV222" s="51"/>
      <c r="AW222" t="str" s="63" cm="1">
        <f t="array" ref="AW222">"600/"&amp;$B222&amp;"/"&amp;IF(AND($AE222="Konsultansi",M222&lt;=100000000),"SPK",IF(AND($AE222="Konsultansi",M222&gt;100000000),"Kont",IF(AND($AE222&lt;&gt;"Konsultansi",M222&lt;=200000000),"SPK","Kont")))&amp;"-"&amp;AE222&amp;"/PPK/DPUPR"</f>
        <v>600/61393367/SPK-Konstruksi/PPK/DPUPR</v>
      </c>
      <c r="AX222" t="str" s="63" cm="1">
        <f t="array" ref="AX222">"600/"&amp;$B222&amp;"/SPMK/PPK/DPUPR"</f>
        <v>600/61393367/SPMK/PPK/DPUPR</v>
      </c>
      <c r="AY222" s="51"/>
      <c r="AZ222" s="51"/>
      <c r="BA222" s="51"/>
      <c r="BB222" s="51"/>
      <c r="BC222" s="51"/>
      <c r="BD222" s="51"/>
      <c r="BE222" s="51"/>
      <c r="BF222" s="51"/>
      <c r="BG222" s="64">
        <v>263</v>
      </c>
      <c r="BH222" t="s" s="57">
        <v>1785</v>
      </c>
      <c r="BI222" t="s" s="57">
        <v>21</v>
      </c>
      <c r="BJ222" t="s" s="57">
        <v>22</v>
      </c>
      <c r="BK222" t="s" s="57">
        <v>23</v>
      </c>
      <c r="BL222" t="s" s="57">
        <v>24</v>
      </c>
      <c r="BM222" s="51"/>
      <c r="BN222" s="51"/>
      <c r="BO222" s="51"/>
      <c r="BP222" s="51"/>
      <c r="BQ222" s="51"/>
      <c r="BR222" t="b" s="60">
        <v>0</v>
      </c>
      <c r="BS222" s="54" cm="1">
        <f t="array" ref="BS222">IF(M222&lt;=0.8*K222,5%*K222,M222*5%)</f>
        <v>9726400</v>
      </c>
      <c r="BT222" t="s" s="57">
        <v>115</v>
      </c>
      <c r="BU222" s="51"/>
      <c r="BV222" s="54" cm="1">
        <f t="array" ref="BV222">J222-M222</f>
        <v>472000</v>
      </c>
    </row>
    <row r="223" ht="36.25" customHeight="1">
      <c r="A223" s="47"/>
      <c r="B223" s="48">
        <v>61393266</v>
      </c>
      <c r="C223" t="s" s="89">
        <v>1798</v>
      </c>
      <c r="D223" t="s" s="76">
        <v>97</v>
      </c>
      <c r="E223" t="str" s="67" cm="1">
        <f t="array" ref="E223">$C223</f>
        <v>Perenc. Normalisasi Saluran Air Desa Patika - Bulu Mario cs.</v>
      </c>
      <c r="F223" s="67"/>
      <c r="G223" s="67"/>
      <c r="H223" s="67"/>
      <c r="I223" s="67"/>
      <c r="J223" s="69">
        <v>10000000</v>
      </c>
      <c r="K223" s="69">
        <v>9997000</v>
      </c>
      <c r="L223" s="56">
        <v>9900360</v>
      </c>
      <c r="M223" s="69">
        <v>9900000</v>
      </c>
      <c r="N223" t="s" s="72">
        <v>1800</v>
      </c>
      <c r="O223" t="s" s="78">
        <v>1801</v>
      </c>
      <c r="P223" t="s" s="72">
        <v>4</v>
      </c>
      <c r="Q223" t="s" s="72">
        <v>1802</v>
      </c>
      <c r="R223" t="s" s="72">
        <v>1803</v>
      </c>
      <c r="S223" s="79">
        <v>53</v>
      </c>
      <c r="T223" s="71">
        <v>41288</v>
      </c>
      <c r="U223" t="s" s="72">
        <v>1804</v>
      </c>
      <c r="V223" t="s" s="72">
        <v>1805</v>
      </c>
      <c r="W223" t="s" s="72">
        <v>1806</v>
      </c>
      <c r="X223" s="79">
        <v>30</v>
      </c>
      <c r="Y223" t="s" s="72">
        <v>10</v>
      </c>
      <c r="Z223" s="69" cm="1">
        <f t="array" ref="Z223">M223</f>
        <v>9900000</v>
      </c>
      <c r="AA223" t="s" s="72">
        <v>11</v>
      </c>
      <c r="AB223" s="71" cm="1">
        <f t="array" ref="AB223">AH223</f>
        <v>45961</v>
      </c>
      <c r="AC223" s="67"/>
      <c r="AD223" t="s" s="72">
        <v>192</v>
      </c>
      <c r="AE223" t="s" s="72">
        <v>13</v>
      </c>
      <c r="AF223" t="s" s="72">
        <v>1776</v>
      </c>
      <c r="AG223" s="71">
        <v>45960</v>
      </c>
      <c r="AH223" s="71">
        <v>45961</v>
      </c>
      <c r="AI223" s="71">
        <v>45961</v>
      </c>
      <c r="AJ223" s="71">
        <v>45961</v>
      </c>
      <c r="AK223" s="71">
        <v>45961</v>
      </c>
      <c r="AL223" s="71">
        <v>45961</v>
      </c>
      <c r="AM223" s="71">
        <v>45961</v>
      </c>
      <c r="AN223" t="s" s="72">
        <v>1807</v>
      </c>
      <c r="AO223" s="71" cm="1">
        <f t="array" ref="AO223">AJ223</f>
        <v>45961</v>
      </c>
      <c r="AP223" t="s" s="72">
        <v>1808</v>
      </c>
      <c r="AQ223" s="71" cm="1">
        <f t="array" ref="AQ223">AJ223</f>
        <v>45961</v>
      </c>
      <c r="AR223" t="s" s="72">
        <v>1809</v>
      </c>
      <c r="AS223" s="71" cm="1">
        <f t="array" ref="AS223">AJ223</f>
        <v>45961</v>
      </c>
      <c r="AT223" t="s" s="62">
        <v>1810</v>
      </c>
      <c r="AU223" s="71" cm="1">
        <f t="array" ref="AU223">AJ223</f>
        <v>45961</v>
      </c>
      <c r="AV223" s="67"/>
      <c r="AW223" t="str" s="74" cm="1">
        <f t="array" ref="AW223">"600/"&amp;$B223&amp;"/"&amp;IF(AND($AE223="Konsultansi",M223&lt;=100000000),"SPK",IF(AND($AE223="Konsultansi",M223&gt;100000000),"Kont",IF(AND($AE223&lt;&gt;"Konsultansi",M223&lt;=200000000),"SPK","Kont")))&amp;"-"&amp;AE223&amp;"/PPK/DPUPR"</f>
        <v>600/61393266/SPK-Konsultansi/PPK/DPUPR</v>
      </c>
      <c r="AX223" t="str" s="74" cm="1">
        <f t="array" ref="AX223">"600/"&amp;$B223&amp;"/SPMK/PPK/DPUPR"</f>
        <v>600/61393266/SPMK/PPK/DPUPR</v>
      </c>
      <c r="AY223" s="67"/>
      <c r="AZ223" s="67"/>
      <c r="BA223" s="67"/>
      <c r="BB223" s="67"/>
      <c r="BC223" s="67"/>
      <c r="BD223" s="67"/>
      <c r="BE223" s="67"/>
      <c r="BF223" s="67"/>
      <c r="BG223" s="80">
        <v>1</v>
      </c>
      <c r="BH223" t="s" s="72">
        <v>1800</v>
      </c>
      <c r="BI223" t="s" s="72">
        <v>21</v>
      </c>
      <c r="BJ223" t="s" s="72">
        <v>22</v>
      </c>
      <c r="BK223" t="s" s="72">
        <v>23</v>
      </c>
      <c r="BL223" t="s" s="72">
        <v>24</v>
      </c>
      <c r="BM223" s="67"/>
      <c r="BN223" s="67"/>
      <c r="BO223" s="67"/>
      <c r="BP223" s="67"/>
      <c r="BQ223" s="67"/>
      <c r="BR223" t="b" s="79">
        <v>0</v>
      </c>
      <c r="BS223" s="69" cm="1">
        <f t="array" ref="BS223">IF(M223&lt;=0.8*K223,5%*K223,M223*5%)</f>
        <v>495000</v>
      </c>
      <c r="BT223" t="s" s="72">
        <v>115</v>
      </c>
      <c r="BU223" s="67"/>
      <c r="BV223" s="69" cm="1">
        <f t="array" ref="BV223">J223-M223</f>
        <v>100000</v>
      </c>
    </row>
    <row r="224" ht="36.25" customHeight="1">
      <c r="A224" s="47"/>
      <c r="B224" s="48">
        <v>61393278</v>
      </c>
      <c r="C224" t="s" s="89">
        <v>1813</v>
      </c>
      <c r="D224" t="s" s="50">
        <v>97</v>
      </c>
      <c r="E224" t="str" s="51" cm="1">
        <f t="array" ref="E224">$C224</f>
        <v>Pengawasan Normalisasi Saluran Air Desa  Patika - Bulu Mario cs.</v>
      </c>
      <c r="F224" s="51"/>
      <c r="G224" s="51"/>
      <c r="H224" s="51"/>
      <c r="I224" s="51"/>
      <c r="J224" s="54">
        <v>10000000</v>
      </c>
      <c r="K224" s="54">
        <v>10000000</v>
      </c>
      <c r="L224" s="56">
        <v>9917046</v>
      </c>
      <c r="M224" s="54">
        <v>9917000</v>
      </c>
      <c r="N224" t="s" s="57">
        <v>1800</v>
      </c>
      <c r="O224" t="s" s="58">
        <v>1801</v>
      </c>
      <c r="P224" t="s" s="57">
        <v>4</v>
      </c>
      <c r="Q224" t="s" s="57">
        <v>1802</v>
      </c>
      <c r="R224" t="s" s="57">
        <v>1803</v>
      </c>
      <c r="S224" s="60">
        <v>53</v>
      </c>
      <c r="T224" s="61">
        <v>41288</v>
      </c>
      <c r="U224" t="s" s="57">
        <v>1804</v>
      </c>
      <c r="V224" t="s" s="57">
        <v>1805</v>
      </c>
      <c r="W224" t="s" s="57">
        <v>1806</v>
      </c>
      <c r="X224" s="60">
        <v>44</v>
      </c>
      <c r="Y224" t="s" s="57">
        <v>10</v>
      </c>
      <c r="Z224" s="54" cm="1">
        <f t="array" ref="Z224">M224</f>
        <v>9917000</v>
      </c>
      <c r="AA224" t="s" s="57">
        <v>11</v>
      </c>
      <c r="AB224" s="61" cm="1">
        <f t="array" ref="AB224">AH224</f>
        <v>45975</v>
      </c>
      <c r="AC224" s="51"/>
      <c r="AD224" t="s" s="57">
        <v>12</v>
      </c>
      <c r="AE224" t="s" s="57">
        <v>13</v>
      </c>
      <c r="AF224" t="s" s="57">
        <v>1776</v>
      </c>
      <c r="AG224" s="61">
        <v>45974</v>
      </c>
      <c r="AH224" s="61">
        <v>45975</v>
      </c>
      <c r="AI224" s="61">
        <v>45975</v>
      </c>
      <c r="AJ224" s="61">
        <v>45978</v>
      </c>
      <c r="AK224" s="61">
        <v>45978</v>
      </c>
      <c r="AL224" s="61">
        <v>45978</v>
      </c>
      <c r="AM224" s="61">
        <v>45978</v>
      </c>
      <c r="AN224" t="s" s="57">
        <v>1815</v>
      </c>
      <c r="AO224" s="61" cm="1">
        <f t="array" ref="AO224">AJ224</f>
        <v>45978</v>
      </c>
      <c r="AP224" t="s" s="57">
        <v>1816</v>
      </c>
      <c r="AQ224" s="61" cm="1">
        <f t="array" ref="AQ224">AJ224</f>
        <v>45978</v>
      </c>
      <c r="AR224" t="s" s="57">
        <v>1817</v>
      </c>
      <c r="AS224" s="61" cm="1">
        <f t="array" ref="AS224">AJ224</f>
        <v>45978</v>
      </c>
      <c r="AT224" t="s" s="62">
        <v>1818</v>
      </c>
      <c r="AU224" s="61" cm="1">
        <f t="array" ref="AU224">AJ224</f>
        <v>45978</v>
      </c>
      <c r="AV224" s="51"/>
      <c r="AW224" t="str" s="63" cm="1">
        <f t="array" ref="AW224">"600/"&amp;$B224&amp;"/"&amp;IF(AND($AE224="Konsultansi",M224&lt;=100000000),"SPK",IF(AND($AE224="Konsultansi",M224&gt;100000000),"Kont",IF(AND($AE224&lt;&gt;"Konsultansi",M224&lt;=200000000),"SPK","Kont")))&amp;"-"&amp;AE224&amp;"/PPK/DPUPR"</f>
        <v>600/61393278/SPK-Konsultansi/PPK/DPUPR</v>
      </c>
      <c r="AX224" t="str" s="63" cm="1">
        <f t="array" ref="AX224">"600/"&amp;$B224&amp;"/SPMK/PPK/DPUPR"</f>
        <v>600/61393278/SPMK/PPK/DPUPR</v>
      </c>
      <c r="AY224" s="51"/>
      <c r="AZ224" s="51"/>
      <c r="BA224" s="51"/>
      <c r="BB224" s="51"/>
      <c r="BC224" s="51"/>
      <c r="BD224" s="51"/>
      <c r="BE224" s="51"/>
      <c r="BF224" s="51"/>
      <c r="BG224" s="64">
        <v>1</v>
      </c>
      <c r="BH224" t="s" s="57">
        <v>1800</v>
      </c>
      <c r="BI224" t="s" s="57">
        <v>21</v>
      </c>
      <c r="BJ224" t="s" s="57">
        <v>22</v>
      </c>
      <c r="BK224" t="s" s="57">
        <v>23</v>
      </c>
      <c r="BL224" t="s" s="57">
        <v>24</v>
      </c>
      <c r="BM224" s="51"/>
      <c r="BN224" s="51"/>
      <c r="BO224" s="51"/>
      <c r="BP224" s="51"/>
      <c r="BQ224" s="51"/>
      <c r="BR224" t="b" s="60">
        <v>0</v>
      </c>
      <c r="BS224" s="54" cm="1">
        <f t="array" ref="BS224">IF(M224&lt;=0.8*K224,5%*K224,M224*5%)</f>
        <v>495850</v>
      </c>
      <c r="BT224" t="s" s="57">
        <v>115</v>
      </c>
      <c r="BU224" s="51"/>
      <c r="BV224" s="54" cm="1">
        <f t="array" ref="BV224">J224-M224</f>
        <v>83000</v>
      </c>
    </row>
    <row r="225" ht="36.25" customHeight="1">
      <c r="A225" s="107"/>
      <c r="B225" s="48">
        <v>61391885</v>
      </c>
      <c r="C225" t="s" s="89">
        <v>1821</v>
      </c>
      <c r="D225" t="s" s="76">
        <v>1</v>
      </c>
      <c r="E225" t="str" s="67" cm="1">
        <f t="array" ref="E225">$C225</f>
        <v>Pemb. Jalan Baras</v>
      </c>
      <c r="F225" s="67"/>
      <c r="G225" s="67"/>
      <c r="H225" s="67"/>
      <c r="I225" s="67"/>
      <c r="J225" s="69">
        <v>190000000</v>
      </c>
      <c r="K225" s="69">
        <v>190000000</v>
      </c>
      <c r="L225" s="56">
        <v>189647544.92</v>
      </c>
      <c r="M225" s="56">
        <v>189647000</v>
      </c>
      <c r="N225" t="s" s="72">
        <v>1208</v>
      </c>
      <c r="O225" t="s" s="78">
        <v>1209</v>
      </c>
      <c r="P225" t="s" s="72">
        <v>4</v>
      </c>
      <c r="Q225" t="s" s="72">
        <v>1210</v>
      </c>
      <c r="R225" t="s" s="72">
        <v>1211</v>
      </c>
      <c r="S225" t="s" s="72">
        <v>1212</v>
      </c>
      <c r="T225" s="71">
        <v>43858</v>
      </c>
      <c r="U225" t="s" s="72">
        <v>149</v>
      </c>
      <c r="V225" t="s" s="72">
        <v>1213</v>
      </c>
      <c r="W225" t="s" s="72">
        <v>1214</v>
      </c>
      <c r="X225" s="79">
        <v>61</v>
      </c>
      <c r="Y225" t="s" s="72">
        <v>10</v>
      </c>
      <c r="Z225" s="69" cm="1">
        <f t="array" ref="Z225">M225</f>
        <v>189647000</v>
      </c>
      <c r="AA225" t="s" s="72">
        <v>11</v>
      </c>
      <c r="AB225" s="71" cm="1">
        <f t="array" ref="AB225">AH225</f>
        <v>45961</v>
      </c>
      <c r="AC225" s="79">
        <v>180</v>
      </c>
      <c r="AD225" t="s" s="72">
        <v>106</v>
      </c>
      <c r="AE225" t="s" s="72">
        <v>107</v>
      </c>
      <c r="AF225" t="s" s="72">
        <v>108</v>
      </c>
      <c r="AG225" s="71">
        <v>45960</v>
      </c>
      <c r="AH225" s="71">
        <v>45961</v>
      </c>
      <c r="AI225" s="71">
        <v>45961</v>
      </c>
      <c r="AJ225" s="71">
        <v>45961</v>
      </c>
      <c r="AK225" s="71">
        <v>45961</v>
      </c>
      <c r="AL225" s="71">
        <v>45961</v>
      </c>
      <c r="AM225" s="71">
        <v>45961</v>
      </c>
      <c r="AN225" t="s" s="72">
        <v>1823</v>
      </c>
      <c r="AO225" s="71" cm="1">
        <f t="array" ref="AO225">AJ225</f>
        <v>45961</v>
      </c>
      <c r="AP225" t="s" s="72">
        <v>1824</v>
      </c>
      <c r="AQ225" s="71" cm="1">
        <f t="array" ref="AQ225">AJ225</f>
        <v>45961</v>
      </c>
      <c r="AR225" t="s" s="72">
        <v>1825</v>
      </c>
      <c r="AS225" s="71" cm="1">
        <f t="array" ref="AS225">AJ225</f>
        <v>45961</v>
      </c>
      <c r="AT225" t="s" s="62">
        <v>1826</v>
      </c>
      <c r="AU225" s="71" cm="1">
        <f t="array" ref="AU225">AJ225</f>
        <v>45961</v>
      </c>
      <c r="AV225" s="67"/>
      <c r="AW225" t="str" s="74" cm="1">
        <f t="array" ref="AW225">"600/"&amp;$B225&amp;"/"&amp;IF(AND($AE225="Konsultansi",M225&lt;=100000000),"SPK",IF(AND($AE225="Konsultansi",M225&gt;100000000),"Kont",IF(AND($AE225&lt;&gt;"Konsultansi",M225&lt;=200000000),"SPK","Kont")))&amp;"-"&amp;AE225&amp;"/PPK/DPUPR"</f>
        <v>600/61391885/SPK-Konstruksi/PPK/DPUPR</v>
      </c>
      <c r="AX225" t="str" s="74" cm="1">
        <f t="array" ref="AX225">"600/"&amp;$B225&amp;"/SPMK/PPK/DPUPR"</f>
        <v>600/61391885/SPMK/PPK/DPUPR</v>
      </c>
      <c r="AY225" s="67"/>
      <c r="AZ225" s="67"/>
      <c r="BA225" s="67"/>
      <c r="BB225" s="67"/>
      <c r="BC225" s="67"/>
      <c r="BD225" s="67"/>
      <c r="BE225" s="67"/>
      <c r="BF225" s="67"/>
      <c r="BG225" s="80">
        <v>173</v>
      </c>
      <c r="BH225" t="s" s="72">
        <v>1208</v>
      </c>
      <c r="BI225" t="s" s="72">
        <v>21</v>
      </c>
      <c r="BJ225" t="s" s="72">
        <v>22</v>
      </c>
      <c r="BK225" t="s" s="72">
        <v>23</v>
      </c>
      <c r="BL225" t="s" s="72">
        <v>24</v>
      </c>
      <c r="BM225" s="67"/>
      <c r="BN225" s="67"/>
      <c r="BO225" s="67"/>
      <c r="BP225" s="67"/>
      <c r="BQ225" s="67"/>
      <c r="BR225" t="b" s="79">
        <v>0</v>
      </c>
      <c r="BS225" s="68" cm="1">
        <f t="array" ref="BS225">IF(M225&lt;=0.8*K225,5%*K225,M225*5%)</f>
        <v>9482350</v>
      </c>
      <c r="BT225" t="s" s="72">
        <v>25</v>
      </c>
      <c r="BU225" s="67"/>
      <c r="BV225" s="69" cm="1">
        <f t="array" ref="BV225">J225-M225</f>
        <v>353000</v>
      </c>
    </row>
    <row r="226" ht="36.25" customHeight="1">
      <c r="A226" s="107"/>
      <c r="B226" s="48">
        <v>61391890</v>
      </c>
      <c r="C226" t="s" s="89">
        <v>1829</v>
      </c>
      <c r="D226" t="s" s="50">
        <v>1</v>
      </c>
      <c r="E226" t="str" s="51" cm="1">
        <f t="array" ref="E226">$C226</f>
        <v>Pemb. Jalan Towoni</v>
      </c>
      <c r="F226" s="51"/>
      <c r="G226" s="51"/>
      <c r="H226" s="51"/>
      <c r="I226" s="51"/>
      <c r="J226" s="54">
        <v>190000000</v>
      </c>
      <c r="K226" s="54">
        <v>190000000</v>
      </c>
      <c r="L226" s="56">
        <v>189647681.51</v>
      </c>
      <c r="M226" s="56">
        <v>189647000</v>
      </c>
      <c r="N226" t="s" s="57">
        <v>1208</v>
      </c>
      <c r="O226" t="s" s="58">
        <v>1209</v>
      </c>
      <c r="P226" t="s" s="57">
        <v>4</v>
      </c>
      <c r="Q226" t="s" s="57">
        <v>1210</v>
      </c>
      <c r="R226" t="s" s="57">
        <v>1211</v>
      </c>
      <c r="S226" t="s" s="57">
        <v>1212</v>
      </c>
      <c r="T226" s="61">
        <v>43858</v>
      </c>
      <c r="U226" t="s" s="57">
        <v>149</v>
      </c>
      <c r="V226" t="s" s="57">
        <v>1213</v>
      </c>
      <c r="W226" t="s" s="57">
        <v>1214</v>
      </c>
      <c r="X226" s="60">
        <v>61</v>
      </c>
      <c r="Y226" t="s" s="57">
        <v>10</v>
      </c>
      <c r="Z226" s="54" cm="1">
        <f t="array" ref="Z226">M226</f>
        <v>189647000</v>
      </c>
      <c r="AA226" t="s" s="57">
        <v>11</v>
      </c>
      <c r="AB226" s="61" cm="1">
        <f t="array" ref="AB226">AH226</f>
        <v>45961</v>
      </c>
      <c r="AC226" s="60">
        <v>180</v>
      </c>
      <c r="AD226" t="s" s="57">
        <v>106</v>
      </c>
      <c r="AE226" t="s" s="57">
        <v>107</v>
      </c>
      <c r="AF226" t="s" s="57">
        <v>108</v>
      </c>
      <c r="AG226" s="61">
        <v>45960</v>
      </c>
      <c r="AH226" s="61">
        <v>45961</v>
      </c>
      <c r="AI226" s="61">
        <v>45961</v>
      </c>
      <c r="AJ226" s="61">
        <v>45961</v>
      </c>
      <c r="AK226" s="61">
        <v>45961</v>
      </c>
      <c r="AL226" s="61">
        <v>45961</v>
      </c>
      <c r="AM226" s="61">
        <v>45961</v>
      </c>
      <c r="AN226" t="s" s="57">
        <v>1831</v>
      </c>
      <c r="AO226" s="61" cm="1">
        <f t="array" ref="AO226">AJ226</f>
        <v>45961</v>
      </c>
      <c r="AP226" t="s" s="57">
        <v>1832</v>
      </c>
      <c r="AQ226" s="61" cm="1">
        <f t="array" ref="AQ226">AJ226</f>
        <v>45961</v>
      </c>
      <c r="AR226" t="s" s="57">
        <v>1833</v>
      </c>
      <c r="AS226" s="61" cm="1">
        <f t="array" ref="AS226">AJ226</f>
        <v>45961</v>
      </c>
      <c r="AT226" t="s" s="62">
        <v>1834</v>
      </c>
      <c r="AU226" s="61" cm="1">
        <f t="array" ref="AU226">AJ226</f>
        <v>45961</v>
      </c>
      <c r="AV226" s="51"/>
      <c r="AW226" t="str" s="63" cm="1">
        <f t="array" ref="AW226">"600/"&amp;$B226&amp;"/"&amp;IF(AND($AE226="Konsultansi",M226&lt;=100000000),"SPK",IF(AND($AE226="Konsultansi",M226&gt;100000000),"Kont",IF(AND($AE226&lt;&gt;"Konsultansi",M226&lt;=200000000),"SPK","Kont")))&amp;"-"&amp;AE226&amp;"/PPK/DPUPR"</f>
        <v>600/61391890/SPK-Konstruksi/PPK/DPUPR</v>
      </c>
      <c r="AX226" t="str" s="63" cm="1">
        <f t="array" ref="AX226">"600/"&amp;$B226&amp;"/SPMK/PPK/DPUPR"</f>
        <v>600/61391890/SPMK/PPK/DPUPR</v>
      </c>
      <c r="AY226" s="51"/>
      <c r="AZ226" s="51"/>
      <c r="BA226" s="51"/>
      <c r="BB226" s="51"/>
      <c r="BC226" s="51"/>
      <c r="BD226" s="51"/>
      <c r="BE226" s="51"/>
      <c r="BF226" s="51"/>
      <c r="BG226" s="64">
        <v>173</v>
      </c>
      <c r="BH226" t="s" s="57">
        <v>1208</v>
      </c>
      <c r="BI226" t="s" s="57">
        <v>21</v>
      </c>
      <c r="BJ226" t="s" s="57">
        <v>22</v>
      </c>
      <c r="BK226" t="s" s="57">
        <v>23</v>
      </c>
      <c r="BL226" t="s" s="57">
        <v>24</v>
      </c>
      <c r="BM226" s="51"/>
      <c r="BN226" s="51"/>
      <c r="BO226" s="51"/>
      <c r="BP226" s="51"/>
      <c r="BQ226" s="51"/>
      <c r="BR226" t="b" s="60">
        <v>0</v>
      </c>
      <c r="BS226" s="52" cm="1">
        <f t="array" ref="BS226">IF(M226&lt;=0.8*K226,5%*K226,M226*5%)</f>
        <v>9482350</v>
      </c>
      <c r="BT226" t="s" s="57">
        <v>25</v>
      </c>
      <c r="BU226" s="51"/>
      <c r="BV226" s="54" cm="1">
        <f t="array" ref="BV226">J226-M226</f>
        <v>353000</v>
      </c>
    </row>
    <row r="227" ht="48.25" customHeight="1">
      <c r="A227" s="47"/>
      <c r="B227" s="48">
        <v>61391912</v>
      </c>
      <c r="C227" t="s" s="89">
        <v>1837</v>
      </c>
      <c r="D227" t="s" s="76">
        <v>1</v>
      </c>
      <c r="E227" t="str" s="67" cm="1">
        <f t="array" ref="E227">$C227</f>
        <v>Pemb. Jalan Ds Bulubunggu</v>
      </c>
      <c r="F227" s="67"/>
      <c r="G227" s="67"/>
      <c r="H227" s="67"/>
      <c r="I227" s="67"/>
      <c r="J227" s="69">
        <v>190000000</v>
      </c>
      <c r="K227" s="69">
        <v>189999000</v>
      </c>
      <c r="L227" s="56">
        <v>189635681.92</v>
      </c>
      <c r="M227" s="69">
        <v>189635000</v>
      </c>
      <c r="N227" t="s" s="72">
        <v>1785</v>
      </c>
      <c r="O227" t="s" s="78">
        <v>1786</v>
      </c>
      <c r="P227" t="s" s="72">
        <v>4</v>
      </c>
      <c r="Q227" t="s" s="72">
        <v>1787</v>
      </c>
      <c r="R227" t="s" s="72">
        <v>1788</v>
      </c>
      <c r="S227" t="s" s="72">
        <v>295</v>
      </c>
      <c r="T227" s="71">
        <v>45809</v>
      </c>
      <c r="U227" t="s" s="72">
        <v>1789</v>
      </c>
      <c r="V227" t="s" s="72">
        <v>1790</v>
      </c>
      <c r="W227" t="s" s="72">
        <v>1791</v>
      </c>
      <c r="X227" s="79">
        <v>44</v>
      </c>
      <c r="Y227" t="s" s="72">
        <v>10</v>
      </c>
      <c r="Z227" s="69" cm="1">
        <f t="array" ref="Z227">M227</f>
        <v>189635000</v>
      </c>
      <c r="AA227" t="s" s="72">
        <v>11</v>
      </c>
      <c r="AB227" s="71" cm="1">
        <f t="array" ref="AB227">AH227</f>
        <v>45975</v>
      </c>
      <c r="AC227" s="79">
        <v>180</v>
      </c>
      <c r="AD227" t="s" s="72">
        <v>106</v>
      </c>
      <c r="AE227" t="s" s="72">
        <v>107</v>
      </c>
      <c r="AF227" t="s" s="72">
        <v>108</v>
      </c>
      <c r="AG227" s="71">
        <v>45974</v>
      </c>
      <c r="AH227" s="71">
        <v>45975</v>
      </c>
      <c r="AI227" s="71">
        <v>45975</v>
      </c>
      <c r="AJ227" s="71">
        <v>45978</v>
      </c>
      <c r="AK227" s="71">
        <v>45978</v>
      </c>
      <c r="AL227" s="71">
        <v>45978</v>
      </c>
      <c r="AM227" s="71">
        <v>45978</v>
      </c>
      <c r="AN227" t="s" s="72">
        <v>1839</v>
      </c>
      <c r="AO227" s="71" cm="1">
        <f t="array" ref="AO227">AJ227</f>
        <v>45978</v>
      </c>
      <c r="AP227" t="s" s="72">
        <v>1840</v>
      </c>
      <c r="AQ227" s="71" cm="1">
        <f t="array" ref="AQ227">AJ227</f>
        <v>45978</v>
      </c>
      <c r="AR227" t="s" s="72">
        <v>1841</v>
      </c>
      <c r="AS227" s="71" cm="1">
        <f t="array" ref="AS227">AJ227</f>
        <v>45978</v>
      </c>
      <c r="AT227" t="s" s="62">
        <v>1842</v>
      </c>
      <c r="AU227" s="71" cm="1">
        <f t="array" ref="AU227">AJ227</f>
        <v>45978</v>
      </c>
      <c r="AV227" s="67"/>
      <c r="AW227" t="str" s="74" cm="1">
        <f t="array" ref="AW227">"600/"&amp;$B227&amp;"/"&amp;IF(AND($AE227="Konsultansi",M227&lt;=100000000),"SPK",IF(AND($AE227="Konsultansi",M227&gt;100000000),"Kont",IF(AND($AE227&lt;&gt;"Konsultansi",M227&lt;=200000000),"SPK","Kont")))&amp;"-"&amp;AE227&amp;"/PPK/DPUPR"</f>
        <v>600/61391912/SPK-Konstruksi/PPK/DPUPR</v>
      </c>
      <c r="AX227" t="str" s="74" cm="1">
        <f t="array" ref="AX227">"600/"&amp;$B227&amp;"/SPMK/PPK/DPUPR"</f>
        <v>600/61391912/SPMK/PPK/DPUPR</v>
      </c>
      <c r="AY227" s="67"/>
      <c r="AZ227" s="67"/>
      <c r="BA227" s="67"/>
      <c r="BB227" s="67"/>
      <c r="BC227" s="67"/>
      <c r="BD227" s="67"/>
      <c r="BE227" s="67"/>
      <c r="BF227" s="67"/>
      <c r="BG227" s="80">
        <v>263</v>
      </c>
      <c r="BH227" t="s" s="72">
        <v>1785</v>
      </c>
      <c r="BI227" t="s" s="72">
        <v>21</v>
      </c>
      <c r="BJ227" t="s" s="72">
        <v>22</v>
      </c>
      <c r="BK227" t="s" s="72">
        <v>23</v>
      </c>
      <c r="BL227" t="s" s="72">
        <v>24</v>
      </c>
      <c r="BM227" s="67"/>
      <c r="BN227" s="67"/>
      <c r="BO227" s="67"/>
      <c r="BP227" s="67"/>
      <c r="BQ227" s="67"/>
      <c r="BR227" t="b" s="79">
        <v>0</v>
      </c>
      <c r="BS227" s="69" cm="1">
        <f t="array" ref="BS227">IF(M227&lt;=0.8*K227,5%*K227,M227*5%)</f>
        <v>9481750</v>
      </c>
      <c r="BT227" t="s" s="72">
        <v>25</v>
      </c>
      <c r="BU227" s="67"/>
      <c r="BV227" s="69" cm="1">
        <f t="array" ref="BV227">J227-M227</f>
        <v>365000</v>
      </c>
    </row>
    <row r="228" ht="36.25" customHeight="1">
      <c r="A228" s="107"/>
      <c r="B228" s="48">
        <v>61391920</v>
      </c>
      <c r="C228" t="s" s="89">
        <v>1845</v>
      </c>
      <c r="D228" t="s" s="50">
        <v>1</v>
      </c>
      <c r="E228" t="str" s="51" cm="1">
        <f t="array" ref="E228">$C228</f>
        <v>Pemb. Jalan Desa Motu</v>
      </c>
      <c r="F228" s="51"/>
      <c r="G228" s="51"/>
      <c r="H228" s="51"/>
      <c r="I228" s="51"/>
      <c r="J228" s="54">
        <v>190000000</v>
      </c>
      <c r="K228" s="54">
        <v>190000000</v>
      </c>
      <c r="L228" s="56">
        <v>189559235.37</v>
      </c>
      <c r="M228" s="56">
        <v>189559000</v>
      </c>
      <c r="N228" t="s" s="57">
        <v>1208</v>
      </c>
      <c r="O228" t="s" s="58">
        <v>1209</v>
      </c>
      <c r="P228" t="s" s="57">
        <v>4</v>
      </c>
      <c r="Q228" t="s" s="57">
        <v>1210</v>
      </c>
      <c r="R228" t="s" s="57">
        <v>1211</v>
      </c>
      <c r="S228" t="s" s="57">
        <v>1212</v>
      </c>
      <c r="T228" s="61">
        <v>43858</v>
      </c>
      <c r="U228" t="s" s="57">
        <v>149</v>
      </c>
      <c r="V228" t="s" s="57">
        <v>1213</v>
      </c>
      <c r="W228" t="s" s="57">
        <v>1214</v>
      </c>
      <c r="X228" s="60">
        <v>61</v>
      </c>
      <c r="Y228" t="s" s="57">
        <v>10</v>
      </c>
      <c r="Z228" s="54" cm="1">
        <f t="array" ref="Z228">M228</f>
        <v>189559000</v>
      </c>
      <c r="AA228" t="s" s="57">
        <v>11</v>
      </c>
      <c r="AB228" s="61" cm="1">
        <f t="array" ref="AB228">AH228</f>
        <v>45961</v>
      </c>
      <c r="AC228" s="60">
        <v>180</v>
      </c>
      <c r="AD228" t="s" s="57">
        <v>106</v>
      </c>
      <c r="AE228" t="s" s="57">
        <v>107</v>
      </c>
      <c r="AF228" t="s" s="57">
        <v>108</v>
      </c>
      <c r="AG228" s="61">
        <v>45960</v>
      </c>
      <c r="AH228" s="61">
        <v>45961</v>
      </c>
      <c r="AI228" s="61">
        <v>45961</v>
      </c>
      <c r="AJ228" s="61">
        <v>45961</v>
      </c>
      <c r="AK228" s="61">
        <v>45961</v>
      </c>
      <c r="AL228" s="61">
        <v>45961</v>
      </c>
      <c r="AM228" s="61">
        <v>45961</v>
      </c>
      <c r="AN228" t="s" s="57">
        <v>1847</v>
      </c>
      <c r="AO228" s="61" cm="1">
        <f t="array" ref="AO228">AJ228</f>
        <v>45961</v>
      </c>
      <c r="AP228" t="s" s="57">
        <v>1848</v>
      </c>
      <c r="AQ228" s="61" cm="1">
        <f t="array" ref="AQ228">AJ228</f>
        <v>45961</v>
      </c>
      <c r="AR228" t="s" s="57">
        <v>1849</v>
      </c>
      <c r="AS228" s="61" cm="1">
        <f t="array" ref="AS228">AJ228</f>
        <v>45961</v>
      </c>
      <c r="AT228" t="s" s="62">
        <v>1850</v>
      </c>
      <c r="AU228" s="61" cm="1">
        <f t="array" ref="AU228">AJ228</f>
        <v>45961</v>
      </c>
      <c r="AV228" s="51"/>
      <c r="AW228" t="str" s="63" cm="1">
        <f t="array" ref="AW228">"600/"&amp;$B228&amp;"/"&amp;IF(AND($AE228="Konsultansi",M228&lt;=100000000),"SPK",IF(AND($AE228="Konsultansi",M228&gt;100000000),"Kont",IF(AND($AE228&lt;&gt;"Konsultansi",M228&lt;=200000000),"SPK","Kont")))&amp;"-"&amp;AE228&amp;"/PPK/DPUPR"</f>
        <v>600/61391920/SPK-Konstruksi/PPK/DPUPR</v>
      </c>
      <c r="AX228" t="str" s="63" cm="1">
        <f t="array" ref="AX228">"600/"&amp;$B228&amp;"/SPMK/PPK/DPUPR"</f>
        <v>600/61391920/SPMK/PPK/DPUPR</v>
      </c>
      <c r="AY228" s="51"/>
      <c r="AZ228" s="51"/>
      <c r="BA228" s="51"/>
      <c r="BB228" s="51"/>
      <c r="BC228" s="51"/>
      <c r="BD228" s="51"/>
      <c r="BE228" s="51"/>
      <c r="BF228" s="51"/>
      <c r="BG228" s="64">
        <v>173</v>
      </c>
      <c r="BH228" t="s" s="57">
        <v>1208</v>
      </c>
      <c r="BI228" t="s" s="57">
        <v>21</v>
      </c>
      <c r="BJ228" t="s" s="57">
        <v>22</v>
      </c>
      <c r="BK228" t="s" s="57">
        <v>23</v>
      </c>
      <c r="BL228" t="s" s="57">
        <v>24</v>
      </c>
      <c r="BM228" s="51"/>
      <c r="BN228" s="51"/>
      <c r="BO228" s="51"/>
      <c r="BP228" s="51"/>
      <c r="BQ228" s="51"/>
      <c r="BR228" t="b" s="60">
        <v>0</v>
      </c>
      <c r="BS228" s="52" cm="1">
        <f t="array" ref="BS228">IF(M228&lt;=0.8*K228,5%*K228,M228*5%)</f>
        <v>9477950</v>
      </c>
      <c r="BT228" t="s" s="57">
        <v>25</v>
      </c>
      <c r="BU228" s="51"/>
      <c r="BV228" s="54" cm="1">
        <f t="array" ref="BV228">J228-M228</f>
        <v>441000</v>
      </c>
    </row>
    <row r="229" ht="48.25" customHeight="1">
      <c r="A229" s="47"/>
      <c r="B229" s="48">
        <v>61391927</v>
      </c>
      <c r="C229" t="s" s="89">
        <v>1853</v>
      </c>
      <c r="D229" t="s" s="76">
        <v>1</v>
      </c>
      <c r="E229" t="str" s="67" cm="1">
        <f t="array" ref="E229">$C229</f>
        <v>Pemb. Jalan Desa Benggaulu - Masabo</v>
      </c>
      <c r="F229" s="67"/>
      <c r="G229" s="67"/>
      <c r="H229" s="67"/>
      <c r="I229" s="67"/>
      <c r="J229" s="69">
        <v>190000000</v>
      </c>
      <c r="K229" s="69">
        <v>189999000</v>
      </c>
      <c r="L229" s="56">
        <v>189624581.92</v>
      </c>
      <c r="M229" s="69">
        <v>189624000</v>
      </c>
      <c r="N229" t="s" s="72">
        <v>1785</v>
      </c>
      <c r="O229" t="s" s="78">
        <v>1786</v>
      </c>
      <c r="P229" t="s" s="72">
        <v>4</v>
      </c>
      <c r="Q229" t="s" s="72">
        <v>1787</v>
      </c>
      <c r="R229" t="s" s="72">
        <v>1788</v>
      </c>
      <c r="S229" t="s" s="72">
        <v>295</v>
      </c>
      <c r="T229" s="71">
        <v>45809</v>
      </c>
      <c r="U229" t="s" s="72">
        <v>1789</v>
      </c>
      <c r="V229" t="s" s="72">
        <v>1790</v>
      </c>
      <c r="W229" t="s" s="72">
        <v>1791</v>
      </c>
      <c r="X229" s="79">
        <v>44</v>
      </c>
      <c r="Y229" t="s" s="72">
        <v>10</v>
      </c>
      <c r="Z229" s="69" cm="1">
        <f t="array" ref="Z229">M229</f>
        <v>189624000</v>
      </c>
      <c r="AA229" t="s" s="72">
        <v>11</v>
      </c>
      <c r="AB229" s="71" cm="1">
        <f t="array" ref="AB229">AH229</f>
        <v>45975</v>
      </c>
      <c r="AC229" s="79">
        <v>180</v>
      </c>
      <c r="AD229" t="s" s="72">
        <v>106</v>
      </c>
      <c r="AE229" t="s" s="72">
        <v>107</v>
      </c>
      <c r="AF229" t="s" s="72">
        <v>108</v>
      </c>
      <c r="AG229" s="71">
        <v>45974</v>
      </c>
      <c r="AH229" s="71">
        <v>45975</v>
      </c>
      <c r="AI229" s="71">
        <v>45975</v>
      </c>
      <c r="AJ229" s="71">
        <v>45978</v>
      </c>
      <c r="AK229" s="71">
        <v>45978</v>
      </c>
      <c r="AL229" s="71">
        <v>45978</v>
      </c>
      <c r="AM229" s="71">
        <v>45978</v>
      </c>
      <c r="AN229" t="s" s="72">
        <v>1855</v>
      </c>
      <c r="AO229" s="71" cm="1">
        <f t="array" ref="AO229">AJ229</f>
        <v>45978</v>
      </c>
      <c r="AP229" t="s" s="72">
        <v>1856</v>
      </c>
      <c r="AQ229" s="71" cm="1">
        <f t="array" ref="AQ229">AJ229</f>
        <v>45978</v>
      </c>
      <c r="AR229" t="s" s="72">
        <v>1857</v>
      </c>
      <c r="AS229" s="71" cm="1">
        <f t="array" ref="AS229">AJ229</f>
        <v>45978</v>
      </c>
      <c r="AT229" t="s" s="62">
        <v>1858</v>
      </c>
      <c r="AU229" s="71" cm="1">
        <f t="array" ref="AU229">AJ229</f>
        <v>45978</v>
      </c>
      <c r="AV229" s="67"/>
      <c r="AW229" t="str" s="74" cm="1">
        <f t="array" ref="AW229">"600/"&amp;$B229&amp;"/"&amp;IF(AND($AE229="Konsultansi",M229&lt;=100000000),"SPK",IF(AND($AE229="Konsultansi",M229&gt;100000000),"Kont",IF(AND($AE229&lt;&gt;"Konsultansi",M229&lt;=200000000),"SPK","Kont")))&amp;"-"&amp;AE229&amp;"/PPK/DPUPR"</f>
        <v>600/61391927/SPK-Konstruksi/PPK/DPUPR</v>
      </c>
      <c r="AX229" t="str" s="74" cm="1">
        <f t="array" ref="AX229">"600/"&amp;$B229&amp;"/SPMK/PPK/DPUPR"</f>
        <v>600/61391927/SPMK/PPK/DPUPR</v>
      </c>
      <c r="AY229" s="67"/>
      <c r="AZ229" s="67"/>
      <c r="BA229" s="67"/>
      <c r="BB229" s="67"/>
      <c r="BC229" s="67"/>
      <c r="BD229" s="67"/>
      <c r="BE229" s="67"/>
      <c r="BF229" s="67"/>
      <c r="BG229" s="80">
        <v>263</v>
      </c>
      <c r="BH229" t="s" s="72">
        <v>1785</v>
      </c>
      <c r="BI229" t="s" s="72">
        <v>21</v>
      </c>
      <c r="BJ229" t="s" s="72">
        <v>22</v>
      </c>
      <c r="BK229" t="s" s="72">
        <v>23</v>
      </c>
      <c r="BL229" t="s" s="72">
        <v>24</v>
      </c>
      <c r="BM229" s="67"/>
      <c r="BN229" s="67"/>
      <c r="BO229" s="67"/>
      <c r="BP229" s="67"/>
      <c r="BQ229" s="67"/>
      <c r="BR229" t="b" s="79">
        <v>0</v>
      </c>
      <c r="BS229" s="69" cm="1">
        <f t="array" ref="BS229">IF(M229&lt;=0.8*K229,5%*K229,M229*5%)</f>
        <v>9481200</v>
      </c>
      <c r="BT229" t="s" s="72">
        <v>25</v>
      </c>
      <c r="BU229" s="67"/>
      <c r="BV229" s="69" cm="1">
        <f t="array" ref="BV229">J229-M229</f>
        <v>376000</v>
      </c>
    </row>
    <row r="230" ht="60.25" customHeight="1">
      <c r="A230" s="47"/>
      <c r="B230" s="48">
        <v>61392183</v>
      </c>
      <c r="C230" t="s" s="89">
        <v>1861</v>
      </c>
      <c r="D230" t="s" s="50">
        <v>1</v>
      </c>
      <c r="E230" t="str" s="51" cm="1">
        <f t="array" ref="E230">$C230</f>
        <v>Pemb. Jalan Desa Sarudu</v>
      </c>
      <c r="F230" s="51"/>
      <c r="G230" s="51"/>
      <c r="H230" s="51"/>
      <c r="I230" s="51"/>
      <c r="J230" s="54">
        <v>190000000</v>
      </c>
      <c r="K230" s="54">
        <v>189999000</v>
      </c>
      <c r="L230" s="56">
        <v>189674194.3</v>
      </c>
      <c r="M230" s="54">
        <v>189674000</v>
      </c>
      <c r="N230" t="s" s="57">
        <v>655</v>
      </c>
      <c r="O230" t="s" s="58">
        <v>656</v>
      </c>
      <c r="P230" t="s" s="57">
        <v>4</v>
      </c>
      <c r="Q230" t="s" s="57">
        <v>657</v>
      </c>
      <c r="R230" t="s" s="57">
        <v>658</v>
      </c>
      <c r="S230" s="60">
        <v>46</v>
      </c>
      <c r="T230" s="61">
        <v>45310</v>
      </c>
      <c r="U230" t="s" s="57">
        <v>296</v>
      </c>
      <c r="V230" t="s" s="57">
        <v>659</v>
      </c>
      <c r="W230" t="s" s="57">
        <v>660</v>
      </c>
      <c r="X230" s="60">
        <v>44</v>
      </c>
      <c r="Y230" t="s" s="57">
        <v>10</v>
      </c>
      <c r="Z230" s="54" cm="1">
        <f t="array" ref="Z230">M230</f>
        <v>189674000</v>
      </c>
      <c r="AA230" t="s" s="57">
        <v>11</v>
      </c>
      <c r="AB230" s="61" cm="1">
        <f t="array" ref="AB230">AH230</f>
        <v>45975</v>
      </c>
      <c r="AC230" s="60">
        <v>180</v>
      </c>
      <c r="AD230" t="s" s="57">
        <v>106</v>
      </c>
      <c r="AE230" t="s" s="57">
        <v>107</v>
      </c>
      <c r="AF230" t="s" s="57">
        <v>108</v>
      </c>
      <c r="AG230" s="61">
        <v>45974</v>
      </c>
      <c r="AH230" s="61">
        <v>45975</v>
      </c>
      <c r="AI230" s="61">
        <v>45975</v>
      </c>
      <c r="AJ230" s="61">
        <v>45978</v>
      </c>
      <c r="AK230" s="61">
        <v>45978</v>
      </c>
      <c r="AL230" s="61">
        <v>45978</v>
      </c>
      <c r="AM230" s="61">
        <v>45978</v>
      </c>
      <c r="AN230" t="s" s="57">
        <v>1863</v>
      </c>
      <c r="AO230" s="61" cm="1">
        <f t="array" ref="AO230">AJ230</f>
        <v>45978</v>
      </c>
      <c r="AP230" t="s" s="57">
        <v>1864</v>
      </c>
      <c r="AQ230" s="61" cm="1">
        <f t="array" ref="AQ230">AJ230</f>
        <v>45978</v>
      </c>
      <c r="AR230" t="s" s="57">
        <v>1865</v>
      </c>
      <c r="AS230" s="61" cm="1">
        <f t="array" ref="AS230">AJ230</f>
        <v>45978</v>
      </c>
      <c r="AT230" t="s" s="62">
        <v>1866</v>
      </c>
      <c r="AU230" s="61" cm="1">
        <f t="array" ref="AU230">AJ230</f>
        <v>45978</v>
      </c>
      <c r="AV230" s="51"/>
      <c r="AW230" t="str" s="63" cm="1">
        <f t="array" ref="AW230">"600/"&amp;$B230&amp;"/"&amp;IF(AND($AE230="Konsultansi",M230&lt;=100000000),"SPK",IF(AND($AE230="Konsultansi",M230&gt;100000000),"Kont",IF(AND($AE230&lt;&gt;"Konsultansi",M230&lt;=200000000),"SPK","Kont")))&amp;"-"&amp;AE230&amp;"/PPK/DPUPR"</f>
        <v>600/61392183/SPK-Konstruksi/PPK/DPUPR</v>
      </c>
      <c r="AX230" t="str" s="63" cm="1">
        <f t="array" ref="AX230">"600/"&amp;$B230&amp;"/SPMK/PPK/DPUPR"</f>
        <v>600/61392183/SPMK/PPK/DPUPR</v>
      </c>
      <c r="AY230" s="51"/>
      <c r="AZ230" s="51"/>
      <c r="BA230" s="51"/>
      <c r="BB230" s="51"/>
      <c r="BC230" s="51"/>
      <c r="BD230" s="51"/>
      <c r="BE230" s="51"/>
      <c r="BF230" s="51"/>
      <c r="BG230" s="64">
        <v>238</v>
      </c>
      <c r="BH230" t="s" s="57">
        <v>655</v>
      </c>
      <c r="BI230" t="s" s="57">
        <v>21</v>
      </c>
      <c r="BJ230" t="s" s="57">
        <v>22</v>
      </c>
      <c r="BK230" t="s" s="57">
        <v>23</v>
      </c>
      <c r="BL230" t="s" s="57">
        <v>24</v>
      </c>
      <c r="BM230" s="51"/>
      <c r="BN230" s="51"/>
      <c r="BO230" s="51"/>
      <c r="BP230" s="51"/>
      <c r="BQ230" s="51"/>
      <c r="BR230" t="b" s="60">
        <v>0</v>
      </c>
      <c r="BS230" s="54" cm="1">
        <f t="array" ref="BS230">IF(M230&lt;=0.8*K230,5%*K230,M230*5%)</f>
        <v>9483700</v>
      </c>
      <c r="BT230" t="s" s="57">
        <v>25</v>
      </c>
      <c r="BU230" s="51"/>
      <c r="BV230" s="54" cm="1">
        <f t="array" ref="BV230">J230-M230</f>
        <v>326000</v>
      </c>
    </row>
    <row r="231" ht="48.25" customHeight="1">
      <c r="A231" s="47"/>
      <c r="B231" s="48">
        <v>61391953</v>
      </c>
      <c r="C231" t="s" s="89">
        <v>1869</v>
      </c>
      <c r="D231" t="s" s="76">
        <v>1</v>
      </c>
      <c r="E231" t="str" s="67" cm="1">
        <f t="array" ref="E231">$C231</f>
        <v>Pemb. Jalan Desa Sipakainga</v>
      </c>
      <c r="F231" s="67"/>
      <c r="G231" s="67"/>
      <c r="H231" s="67"/>
      <c r="I231" s="67"/>
      <c r="J231" s="69">
        <v>190000000</v>
      </c>
      <c r="K231" s="69">
        <v>190000000</v>
      </c>
      <c r="L231" s="56">
        <v>189733716.08</v>
      </c>
      <c r="M231" s="69">
        <v>189733000</v>
      </c>
      <c r="N231" t="s" s="72">
        <v>355</v>
      </c>
      <c r="O231" t="s" s="78">
        <v>356</v>
      </c>
      <c r="P231" t="s" s="72">
        <v>4</v>
      </c>
      <c r="Q231" t="s" s="72">
        <v>357</v>
      </c>
      <c r="R231" t="s" s="72">
        <v>358</v>
      </c>
      <c r="S231" s="79">
        <v>171</v>
      </c>
      <c r="T231" s="71">
        <v>45320</v>
      </c>
      <c r="U231" t="s" s="72">
        <v>359</v>
      </c>
      <c r="V231" t="s" s="72">
        <v>360</v>
      </c>
      <c r="W231" t="s" s="72">
        <v>361</v>
      </c>
      <c r="X231" s="79">
        <v>44</v>
      </c>
      <c r="Y231" t="s" s="72">
        <v>10</v>
      </c>
      <c r="Z231" s="69" cm="1">
        <f t="array" ref="Z231">M231</f>
        <v>189733000</v>
      </c>
      <c r="AA231" t="s" s="72">
        <v>11</v>
      </c>
      <c r="AB231" s="71" cm="1">
        <f t="array" ref="AB231">AH231</f>
        <v>45975</v>
      </c>
      <c r="AC231" s="79">
        <v>180</v>
      </c>
      <c r="AD231" t="s" s="72">
        <v>106</v>
      </c>
      <c r="AE231" t="s" s="72">
        <v>107</v>
      </c>
      <c r="AF231" t="s" s="72">
        <v>108</v>
      </c>
      <c r="AG231" s="71">
        <v>45974</v>
      </c>
      <c r="AH231" s="71">
        <v>45975</v>
      </c>
      <c r="AI231" s="71">
        <v>45975</v>
      </c>
      <c r="AJ231" s="71">
        <v>45978</v>
      </c>
      <c r="AK231" s="71">
        <v>45978</v>
      </c>
      <c r="AL231" s="71">
        <v>45978</v>
      </c>
      <c r="AM231" s="71">
        <v>45978</v>
      </c>
      <c r="AN231" t="s" s="72">
        <v>1871</v>
      </c>
      <c r="AO231" s="71" cm="1">
        <f t="array" ref="AO231">AJ231</f>
        <v>45978</v>
      </c>
      <c r="AP231" t="s" s="72">
        <v>1872</v>
      </c>
      <c r="AQ231" s="71" cm="1">
        <f t="array" ref="AQ231">AJ231</f>
        <v>45978</v>
      </c>
      <c r="AR231" t="s" s="72">
        <v>1873</v>
      </c>
      <c r="AS231" s="71" cm="1">
        <f t="array" ref="AS231">AJ231</f>
        <v>45978</v>
      </c>
      <c r="AT231" t="s" s="62">
        <v>1874</v>
      </c>
      <c r="AU231" s="71" cm="1">
        <f t="array" ref="AU231">AJ231</f>
        <v>45978</v>
      </c>
      <c r="AV231" s="67"/>
      <c r="AW231" t="str" s="74" cm="1">
        <f t="array" ref="AW231">"600/"&amp;$B231&amp;"/"&amp;IF(AND($AE231="Konsultansi",M231&lt;=100000000),"SPK",IF(AND($AE231="Konsultansi",M231&gt;100000000),"Kont",IF(AND($AE231&lt;&gt;"Konsultansi",M231&lt;=200000000),"SPK","Kont")))&amp;"-"&amp;AE231&amp;"/PPK/DPUPR"</f>
        <v>600/61391953/SPK-Konstruksi/PPK/DPUPR</v>
      </c>
      <c r="AX231" t="str" s="74" cm="1">
        <f t="array" ref="AX231">"600/"&amp;$B231&amp;"/SPMK/PPK/DPUPR"</f>
        <v>600/61391953/SPMK/PPK/DPUPR</v>
      </c>
      <c r="AY231" s="67"/>
      <c r="AZ231" s="67"/>
      <c r="BA231" s="67"/>
      <c r="BB231" s="67"/>
      <c r="BC231" s="67"/>
      <c r="BD231" s="67"/>
      <c r="BE231" s="67"/>
      <c r="BF231" s="67"/>
      <c r="BG231" s="80">
        <v>231</v>
      </c>
      <c r="BH231" t="s" s="72">
        <v>355</v>
      </c>
      <c r="BI231" t="s" s="72">
        <v>21</v>
      </c>
      <c r="BJ231" t="s" s="72">
        <v>22</v>
      </c>
      <c r="BK231" t="s" s="72">
        <v>23</v>
      </c>
      <c r="BL231" t="s" s="72">
        <v>24</v>
      </c>
      <c r="BM231" s="67"/>
      <c r="BN231" s="67"/>
      <c r="BO231" s="67"/>
      <c r="BP231" s="67"/>
      <c r="BQ231" s="67"/>
      <c r="BR231" t="b" s="79">
        <v>0</v>
      </c>
      <c r="BS231" s="69" cm="1">
        <f t="array" ref="BS231">IF(M231&lt;=0.8*K231,5%*K231,M231*5%)</f>
        <v>9486650</v>
      </c>
      <c r="BT231" t="s" s="72">
        <v>25</v>
      </c>
      <c r="BU231" s="67"/>
      <c r="BV231" s="69" cm="1">
        <f t="array" ref="BV231">J231-M231</f>
        <v>267000</v>
      </c>
    </row>
    <row r="232" ht="60.25" customHeight="1">
      <c r="A232" s="47"/>
      <c r="B232" s="48">
        <v>61391963</v>
      </c>
      <c r="C232" t="s" s="89">
        <v>1877</v>
      </c>
      <c r="D232" t="s" s="50">
        <v>1</v>
      </c>
      <c r="E232" t="str" s="51" cm="1">
        <f t="array" ref="E232">$C232</f>
        <v>Pemb. Jalan Masabo - Kanantuo</v>
      </c>
      <c r="F232" s="51"/>
      <c r="G232" s="51"/>
      <c r="H232" s="51"/>
      <c r="I232" s="51"/>
      <c r="J232" s="54">
        <v>190000000</v>
      </c>
      <c r="K232" s="54">
        <v>190000000</v>
      </c>
      <c r="L232" s="56">
        <v>189691118.47</v>
      </c>
      <c r="M232" s="54">
        <v>189691000</v>
      </c>
      <c r="N232" t="s" s="57">
        <v>655</v>
      </c>
      <c r="O232" t="s" s="58">
        <v>656</v>
      </c>
      <c r="P232" t="s" s="57">
        <v>4</v>
      </c>
      <c r="Q232" t="s" s="57">
        <v>657</v>
      </c>
      <c r="R232" t="s" s="57">
        <v>658</v>
      </c>
      <c r="S232" s="60">
        <v>46</v>
      </c>
      <c r="T232" s="61">
        <v>45310</v>
      </c>
      <c r="U232" t="s" s="57">
        <v>296</v>
      </c>
      <c r="V232" t="s" s="57">
        <v>659</v>
      </c>
      <c r="W232" t="s" s="57">
        <v>660</v>
      </c>
      <c r="X232" s="60">
        <v>44</v>
      </c>
      <c r="Y232" t="s" s="57">
        <v>10</v>
      </c>
      <c r="Z232" s="54" cm="1">
        <f t="array" ref="Z232">M232</f>
        <v>189691000</v>
      </c>
      <c r="AA232" t="s" s="57">
        <v>11</v>
      </c>
      <c r="AB232" s="61" cm="1">
        <f t="array" ref="AB232">AH232</f>
        <v>45975</v>
      </c>
      <c r="AC232" s="60">
        <v>180</v>
      </c>
      <c r="AD232" t="s" s="57">
        <v>106</v>
      </c>
      <c r="AE232" t="s" s="57">
        <v>107</v>
      </c>
      <c r="AF232" t="s" s="57">
        <v>108</v>
      </c>
      <c r="AG232" s="61">
        <v>45974</v>
      </c>
      <c r="AH232" s="61">
        <v>45975</v>
      </c>
      <c r="AI232" s="61">
        <v>45975</v>
      </c>
      <c r="AJ232" s="61">
        <v>45978</v>
      </c>
      <c r="AK232" s="61">
        <v>45978</v>
      </c>
      <c r="AL232" s="61">
        <v>45978</v>
      </c>
      <c r="AM232" s="61">
        <v>45978</v>
      </c>
      <c r="AN232" t="s" s="57">
        <v>1879</v>
      </c>
      <c r="AO232" s="61" cm="1">
        <f t="array" ref="AO232">AJ232</f>
        <v>45978</v>
      </c>
      <c r="AP232" t="s" s="57">
        <v>1880</v>
      </c>
      <c r="AQ232" s="61" cm="1">
        <f t="array" ref="AQ232">AJ232</f>
        <v>45978</v>
      </c>
      <c r="AR232" t="s" s="57">
        <v>1881</v>
      </c>
      <c r="AS232" s="61" cm="1">
        <f t="array" ref="AS232">AJ232</f>
        <v>45978</v>
      </c>
      <c r="AT232" t="s" s="62">
        <v>1882</v>
      </c>
      <c r="AU232" s="61" cm="1">
        <f t="array" ref="AU232">AJ232</f>
        <v>45978</v>
      </c>
      <c r="AV232" s="51"/>
      <c r="AW232" t="str" s="63" cm="1">
        <f t="array" ref="AW232">"600/"&amp;$B232&amp;"/"&amp;IF(AND($AE232="Konsultansi",M232&lt;=100000000),"SPK",IF(AND($AE232="Konsultansi",M232&gt;100000000),"Kont",IF(AND($AE232&lt;&gt;"Konsultansi",M232&lt;=200000000),"SPK","Kont")))&amp;"-"&amp;AE232&amp;"/PPK/DPUPR"</f>
        <v>600/61391963/SPK-Konstruksi/PPK/DPUPR</v>
      </c>
      <c r="AX232" t="str" s="63" cm="1">
        <f t="array" ref="AX232">"600/"&amp;$B232&amp;"/SPMK/PPK/DPUPR"</f>
        <v>600/61391963/SPMK/PPK/DPUPR</v>
      </c>
      <c r="AY232" s="51"/>
      <c r="AZ232" s="51"/>
      <c r="BA232" s="51"/>
      <c r="BB232" s="51"/>
      <c r="BC232" s="51"/>
      <c r="BD232" s="51"/>
      <c r="BE232" s="51"/>
      <c r="BF232" s="51"/>
      <c r="BG232" s="64">
        <v>238</v>
      </c>
      <c r="BH232" t="s" s="57">
        <v>655</v>
      </c>
      <c r="BI232" t="s" s="57">
        <v>21</v>
      </c>
      <c r="BJ232" t="s" s="57">
        <v>22</v>
      </c>
      <c r="BK232" t="s" s="57">
        <v>23</v>
      </c>
      <c r="BL232" t="s" s="57">
        <v>24</v>
      </c>
      <c r="BM232" s="51"/>
      <c r="BN232" s="51"/>
      <c r="BO232" s="51"/>
      <c r="BP232" s="51"/>
      <c r="BQ232" s="51"/>
      <c r="BR232" t="b" s="60">
        <v>0</v>
      </c>
      <c r="BS232" s="54" cm="1">
        <f t="array" ref="BS232">IF(M232&lt;=0.8*K232,5%*K232,M232*5%)</f>
        <v>9484550</v>
      </c>
      <c r="BT232" t="s" s="57">
        <v>25</v>
      </c>
      <c r="BU232" s="51"/>
      <c r="BV232" s="54" cm="1">
        <f t="array" ref="BV232">J232-M232</f>
        <v>309000</v>
      </c>
    </row>
    <row r="233" ht="36.25" customHeight="1">
      <c r="A233" s="47"/>
      <c r="B233" s="48">
        <v>61391979</v>
      </c>
      <c r="C233" t="s" s="89">
        <v>1885</v>
      </c>
      <c r="D233" t="s" s="76">
        <v>1</v>
      </c>
      <c r="E233" t="str" s="67" cm="1">
        <f t="array" ref="E233">$C233</f>
        <v>Pemb. Jalan Kalola Duria Sulapa - Purnama Baru</v>
      </c>
      <c r="F233" s="67"/>
      <c r="G233" s="67"/>
      <c r="H233" s="67"/>
      <c r="I233" s="67"/>
      <c r="J233" s="69">
        <v>190000000</v>
      </c>
      <c r="K233" s="69">
        <v>190000000</v>
      </c>
      <c r="L233" s="56">
        <v>189846099.63</v>
      </c>
      <c r="M233" s="69">
        <v>189846000</v>
      </c>
      <c r="N233" t="s" s="72">
        <v>1603</v>
      </c>
      <c r="O233" t="s" s="78">
        <v>1604</v>
      </c>
      <c r="P233" t="s" s="72">
        <v>4</v>
      </c>
      <c r="Q233" t="s" s="72">
        <v>1605</v>
      </c>
      <c r="R233" t="s" s="72">
        <v>1606</v>
      </c>
      <c r="S233" s="79">
        <v>2</v>
      </c>
      <c r="T233" s="71">
        <v>42401</v>
      </c>
      <c r="U233" t="s" s="72">
        <v>456</v>
      </c>
      <c r="V233" t="s" s="72">
        <v>1607</v>
      </c>
      <c r="W233" t="s" s="72">
        <v>1608</v>
      </c>
      <c r="X233" s="79">
        <v>44</v>
      </c>
      <c r="Y233" t="s" s="72">
        <v>10</v>
      </c>
      <c r="Z233" s="69" cm="1">
        <f t="array" ref="Z233">M233</f>
        <v>189846000</v>
      </c>
      <c r="AA233" t="s" s="72">
        <v>11</v>
      </c>
      <c r="AB233" s="71" cm="1">
        <f t="array" ref="AB233">AH233</f>
        <v>45975</v>
      </c>
      <c r="AC233" s="79">
        <v>180</v>
      </c>
      <c r="AD233" t="s" s="72">
        <v>106</v>
      </c>
      <c r="AE233" t="s" s="72">
        <v>107</v>
      </c>
      <c r="AF233" t="s" s="72">
        <v>108</v>
      </c>
      <c r="AG233" s="71">
        <v>45974</v>
      </c>
      <c r="AH233" s="71">
        <v>45975</v>
      </c>
      <c r="AI233" s="71">
        <v>45975</v>
      </c>
      <c r="AJ233" s="71">
        <v>45978</v>
      </c>
      <c r="AK233" s="71">
        <v>45978</v>
      </c>
      <c r="AL233" s="71">
        <v>45978</v>
      </c>
      <c r="AM233" s="71">
        <v>45978</v>
      </c>
      <c r="AN233" t="s" s="72">
        <v>1887</v>
      </c>
      <c r="AO233" s="71" cm="1">
        <f t="array" ref="AO233">AJ233</f>
        <v>45978</v>
      </c>
      <c r="AP233" t="s" s="72">
        <v>1888</v>
      </c>
      <c r="AQ233" s="71" cm="1">
        <f t="array" ref="AQ233">AJ233</f>
        <v>45978</v>
      </c>
      <c r="AR233" t="s" s="72">
        <v>1889</v>
      </c>
      <c r="AS233" s="71" cm="1">
        <f t="array" ref="AS233">AJ233</f>
        <v>45978</v>
      </c>
      <c r="AT233" t="s" s="62">
        <v>1890</v>
      </c>
      <c r="AU233" s="71" cm="1">
        <f t="array" ref="AU233">AJ233</f>
        <v>45978</v>
      </c>
      <c r="AV233" s="67"/>
      <c r="AW233" t="str" s="74" cm="1">
        <f t="array" ref="AW233">"600/"&amp;$B233&amp;"/"&amp;IF(AND($AE233="Konsultansi",M233&lt;=100000000),"SPK",IF(AND($AE233="Konsultansi",M233&gt;100000000),"Kont",IF(AND($AE233&lt;&gt;"Konsultansi",M233&lt;=200000000),"SPK","Kont")))&amp;"-"&amp;AE233&amp;"/PPK/DPUPR"</f>
        <v>600/61391979/SPK-Konstruksi/PPK/DPUPR</v>
      </c>
      <c r="AX233" t="str" s="74" cm="1">
        <f t="array" ref="AX233">"600/"&amp;$B233&amp;"/SPMK/PPK/DPUPR"</f>
        <v>600/61391979/SPMK/PPK/DPUPR</v>
      </c>
      <c r="AY233" s="67"/>
      <c r="AZ233" s="67"/>
      <c r="BA233" s="67"/>
      <c r="BB233" s="67"/>
      <c r="BC233" s="67"/>
      <c r="BD233" s="67"/>
      <c r="BE233" s="67"/>
      <c r="BF233" s="67"/>
      <c r="BG233" s="80">
        <v>36</v>
      </c>
      <c r="BH233" t="s" s="72">
        <v>1603</v>
      </c>
      <c r="BI233" t="s" s="72">
        <v>21</v>
      </c>
      <c r="BJ233" t="s" s="72">
        <v>22</v>
      </c>
      <c r="BK233" t="s" s="72">
        <v>23</v>
      </c>
      <c r="BL233" t="s" s="72">
        <v>24</v>
      </c>
      <c r="BM233" s="67"/>
      <c r="BN233" s="67"/>
      <c r="BO233" s="67"/>
      <c r="BP233" s="67"/>
      <c r="BQ233" s="67"/>
      <c r="BR233" t="b" s="79">
        <v>0</v>
      </c>
      <c r="BS233" s="69" cm="1">
        <f t="array" ref="BS233">IF(M233&lt;=0.8*K233,5%*K233,M233*5%)</f>
        <v>9492300</v>
      </c>
      <c r="BT233" t="s" s="72">
        <v>25</v>
      </c>
      <c r="BU233" s="67"/>
      <c r="BV233" s="69" cm="1">
        <f t="array" ref="BV233">J233-M233</f>
        <v>154000</v>
      </c>
    </row>
    <row r="234" ht="36.25" customHeight="1">
      <c r="A234" s="47"/>
      <c r="B234" s="48">
        <v>61391987</v>
      </c>
      <c r="C234" t="s" s="89">
        <v>1893</v>
      </c>
      <c r="D234" t="s" s="50">
        <v>1</v>
      </c>
      <c r="E234" t="str" s="51" cm="1">
        <f t="array" ref="E234">$C234</f>
        <v>Pemb. Jalan Desa Doda - Talampe</v>
      </c>
      <c r="F234" s="51"/>
      <c r="G234" s="51"/>
      <c r="H234" s="51"/>
      <c r="I234" s="51"/>
      <c r="J234" s="54">
        <v>190000000</v>
      </c>
      <c r="K234" s="54">
        <v>190000000</v>
      </c>
      <c r="L234" s="56">
        <v>189680147.39</v>
      </c>
      <c r="M234" s="54">
        <v>189680000</v>
      </c>
      <c r="N234" t="s" s="57">
        <v>1509</v>
      </c>
      <c r="O234" t="s" s="58">
        <v>1510</v>
      </c>
      <c r="P234" t="s" s="57">
        <v>4</v>
      </c>
      <c r="Q234" t="s" s="57">
        <v>1511</v>
      </c>
      <c r="R234" t="s" s="57">
        <v>1512</v>
      </c>
      <c r="S234" t="s" s="57">
        <v>1298</v>
      </c>
      <c r="T234" s="61">
        <v>45092</v>
      </c>
      <c r="U234" t="s" s="57">
        <v>149</v>
      </c>
      <c r="V234" t="s" s="57">
        <v>1513</v>
      </c>
      <c r="W234" t="s" s="57">
        <v>1514</v>
      </c>
      <c r="X234" s="60">
        <v>44</v>
      </c>
      <c r="Y234" t="s" s="57">
        <v>10</v>
      </c>
      <c r="Z234" s="54" cm="1">
        <f t="array" ref="Z234">M234</f>
        <v>189680000</v>
      </c>
      <c r="AA234" t="s" s="57">
        <v>11</v>
      </c>
      <c r="AB234" s="61" cm="1">
        <f t="array" ref="AB234">AH234</f>
        <v>45975</v>
      </c>
      <c r="AC234" s="60">
        <v>180</v>
      </c>
      <c r="AD234" t="s" s="57">
        <v>106</v>
      </c>
      <c r="AE234" t="s" s="57">
        <v>107</v>
      </c>
      <c r="AF234" t="s" s="57">
        <v>108</v>
      </c>
      <c r="AG234" s="61">
        <v>45974</v>
      </c>
      <c r="AH234" s="61">
        <v>45975</v>
      </c>
      <c r="AI234" s="61">
        <v>45975</v>
      </c>
      <c r="AJ234" s="61">
        <v>45978</v>
      </c>
      <c r="AK234" s="61">
        <v>45978</v>
      </c>
      <c r="AL234" s="61">
        <v>45978</v>
      </c>
      <c r="AM234" s="61">
        <v>45978</v>
      </c>
      <c r="AN234" t="s" s="57">
        <v>1895</v>
      </c>
      <c r="AO234" s="61" cm="1">
        <f t="array" ref="AO234">AJ234</f>
        <v>45978</v>
      </c>
      <c r="AP234" t="s" s="57">
        <v>1896</v>
      </c>
      <c r="AQ234" s="61" cm="1">
        <f t="array" ref="AQ234">AJ234</f>
        <v>45978</v>
      </c>
      <c r="AR234" t="s" s="57">
        <v>1897</v>
      </c>
      <c r="AS234" s="61" cm="1">
        <f t="array" ref="AS234">AJ234</f>
        <v>45978</v>
      </c>
      <c r="AT234" t="s" s="62">
        <v>1898</v>
      </c>
      <c r="AU234" s="61" cm="1">
        <f t="array" ref="AU234">AJ234</f>
        <v>45978</v>
      </c>
      <c r="AV234" s="51"/>
      <c r="AW234" t="str" s="63" cm="1">
        <f t="array" ref="AW234">"600/"&amp;$B234&amp;"/"&amp;IF(AND($AE234="Konsultansi",M234&lt;=100000000),"SPK",IF(AND($AE234="Konsultansi",M234&gt;100000000),"Kont",IF(AND($AE234&lt;&gt;"Konsultansi",M234&lt;=200000000),"SPK","Kont")))&amp;"-"&amp;AE234&amp;"/PPK/DPUPR"</f>
        <v>600/61391987/SPK-Konstruksi/PPK/DPUPR</v>
      </c>
      <c r="AX234" t="str" s="63" cm="1">
        <f t="array" ref="AX234">"600/"&amp;$B234&amp;"/SPMK/PPK/DPUPR"</f>
        <v>600/61391987/SPMK/PPK/DPUPR</v>
      </c>
      <c r="AY234" s="51"/>
      <c r="AZ234" s="51"/>
      <c r="BA234" s="51"/>
      <c r="BB234" s="51"/>
      <c r="BC234" s="51"/>
      <c r="BD234" s="51"/>
      <c r="BE234" s="51"/>
      <c r="BF234" s="51"/>
      <c r="BG234" s="64">
        <v>201</v>
      </c>
      <c r="BH234" t="s" s="57">
        <v>1509</v>
      </c>
      <c r="BI234" t="s" s="57">
        <v>21</v>
      </c>
      <c r="BJ234" t="s" s="57">
        <v>22</v>
      </c>
      <c r="BK234" t="s" s="57">
        <v>23</v>
      </c>
      <c r="BL234" t="s" s="57">
        <v>24</v>
      </c>
      <c r="BM234" s="51"/>
      <c r="BN234" s="51"/>
      <c r="BO234" s="51"/>
      <c r="BP234" s="51"/>
      <c r="BQ234" s="51"/>
      <c r="BR234" t="b" s="60">
        <v>0</v>
      </c>
      <c r="BS234" s="54" cm="1">
        <f t="array" ref="BS234">IF(M234&lt;=0.8*K234,5%*K234,M234*5%)</f>
        <v>9484000</v>
      </c>
      <c r="BT234" t="s" s="57">
        <v>25</v>
      </c>
      <c r="BU234" s="51"/>
      <c r="BV234" s="54" cm="1">
        <f t="array" ref="BV234">J234-M234</f>
        <v>320000</v>
      </c>
    </row>
    <row r="235" ht="36.25" customHeight="1">
      <c r="A235" s="47"/>
      <c r="B235" s="48">
        <v>61391994</v>
      </c>
      <c r="C235" t="s" s="89">
        <v>1901</v>
      </c>
      <c r="D235" t="s" s="76">
        <v>1</v>
      </c>
      <c r="E235" t="str" s="67" cm="1">
        <f t="array" ref="E235">$C235</f>
        <v>Pemb. Jalan Maranggapa Desa Sarudu</v>
      </c>
      <c r="F235" s="67"/>
      <c r="G235" s="67"/>
      <c r="H235" s="67"/>
      <c r="I235" s="67"/>
      <c r="J235" s="69">
        <v>190000000</v>
      </c>
      <c r="K235" s="69">
        <v>190000000</v>
      </c>
      <c r="L235" s="56">
        <v>189709007.39</v>
      </c>
      <c r="M235" s="69">
        <v>189709000</v>
      </c>
      <c r="N235" t="s" s="72">
        <v>1509</v>
      </c>
      <c r="O235" t="s" s="78">
        <v>1510</v>
      </c>
      <c r="P235" t="s" s="72">
        <v>4</v>
      </c>
      <c r="Q235" t="s" s="72">
        <v>1511</v>
      </c>
      <c r="R235" t="s" s="72">
        <v>1512</v>
      </c>
      <c r="S235" t="s" s="72">
        <v>1298</v>
      </c>
      <c r="T235" s="71">
        <v>45092</v>
      </c>
      <c r="U235" t="s" s="72">
        <v>149</v>
      </c>
      <c r="V235" t="s" s="72">
        <v>1513</v>
      </c>
      <c r="W235" t="s" s="72">
        <v>1514</v>
      </c>
      <c r="X235" s="79">
        <v>44</v>
      </c>
      <c r="Y235" t="s" s="72">
        <v>10</v>
      </c>
      <c r="Z235" s="69" cm="1">
        <f t="array" ref="Z235">M235</f>
        <v>189709000</v>
      </c>
      <c r="AA235" t="s" s="72">
        <v>11</v>
      </c>
      <c r="AB235" s="71" cm="1">
        <f t="array" ref="AB235">AH235</f>
        <v>45975</v>
      </c>
      <c r="AC235" s="79">
        <v>180</v>
      </c>
      <c r="AD235" t="s" s="72">
        <v>106</v>
      </c>
      <c r="AE235" t="s" s="72">
        <v>107</v>
      </c>
      <c r="AF235" t="s" s="72">
        <v>108</v>
      </c>
      <c r="AG235" s="71">
        <v>45974</v>
      </c>
      <c r="AH235" s="71">
        <v>45975</v>
      </c>
      <c r="AI235" s="71">
        <v>45975</v>
      </c>
      <c r="AJ235" s="71">
        <v>45978</v>
      </c>
      <c r="AK235" s="71">
        <v>45978</v>
      </c>
      <c r="AL235" s="71">
        <v>45978</v>
      </c>
      <c r="AM235" s="71">
        <v>45978</v>
      </c>
      <c r="AN235" t="s" s="72">
        <v>1903</v>
      </c>
      <c r="AO235" s="71" cm="1">
        <f t="array" ref="AO235">AJ235</f>
        <v>45978</v>
      </c>
      <c r="AP235" t="s" s="72">
        <v>1904</v>
      </c>
      <c r="AQ235" s="71" cm="1">
        <f t="array" ref="AQ235">AJ235</f>
        <v>45978</v>
      </c>
      <c r="AR235" t="s" s="72">
        <v>1905</v>
      </c>
      <c r="AS235" s="71" cm="1">
        <f t="array" ref="AS235">AJ235</f>
        <v>45978</v>
      </c>
      <c r="AT235" t="s" s="62">
        <v>1906</v>
      </c>
      <c r="AU235" s="71" cm="1">
        <f t="array" ref="AU235">AJ235</f>
        <v>45978</v>
      </c>
      <c r="AV235" s="67"/>
      <c r="AW235" t="str" s="74" cm="1">
        <f t="array" ref="AW235">"600/"&amp;$B235&amp;"/"&amp;IF(AND($AE235="Konsultansi",M235&lt;=100000000),"SPK",IF(AND($AE235="Konsultansi",M235&gt;100000000),"Kont",IF(AND($AE235&lt;&gt;"Konsultansi",M235&lt;=200000000),"SPK","Kont")))&amp;"-"&amp;AE235&amp;"/PPK/DPUPR"</f>
        <v>600/61391994/SPK-Konstruksi/PPK/DPUPR</v>
      </c>
      <c r="AX235" t="str" s="74" cm="1">
        <f t="array" ref="AX235">"600/"&amp;$B235&amp;"/SPMK/PPK/DPUPR"</f>
        <v>600/61391994/SPMK/PPK/DPUPR</v>
      </c>
      <c r="AY235" s="67"/>
      <c r="AZ235" s="67"/>
      <c r="BA235" s="67"/>
      <c r="BB235" s="67"/>
      <c r="BC235" s="67"/>
      <c r="BD235" s="67"/>
      <c r="BE235" s="67"/>
      <c r="BF235" s="67"/>
      <c r="BG235" s="80">
        <v>201</v>
      </c>
      <c r="BH235" t="s" s="72">
        <v>1509</v>
      </c>
      <c r="BI235" t="s" s="72">
        <v>21</v>
      </c>
      <c r="BJ235" t="s" s="72">
        <v>22</v>
      </c>
      <c r="BK235" t="s" s="72">
        <v>23</v>
      </c>
      <c r="BL235" t="s" s="72">
        <v>24</v>
      </c>
      <c r="BM235" s="67"/>
      <c r="BN235" s="67"/>
      <c r="BO235" s="67"/>
      <c r="BP235" s="67"/>
      <c r="BQ235" s="67"/>
      <c r="BR235" t="b" s="79">
        <v>0</v>
      </c>
      <c r="BS235" s="69" cm="1">
        <f t="array" ref="BS235">IF(M235&lt;=0.8*K235,5%*K235,M235*5%)</f>
        <v>9485450</v>
      </c>
      <c r="BT235" t="s" s="72">
        <v>25</v>
      </c>
      <c r="BU235" s="67"/>
      <c r="BV235" s="69" cm="1">
        <f t="array" ref="BV235">J235-M235</f>
        <v>291000</v>
      </c>
    </row>
    <row r="236" ht="36.25" customHeight="1">
      <c r="A236" s="107"/>
      <c r="B236" s="48">
        <v>61392001</v>
      </c>
      <c r="C236" t="s" s="89">
        <v>1909</v>
      </c>
      <c r="D236" t="s" s="50">
        <v>1</v>
      </c>
      <c r="E236" t="str" s="51" cm="1">
        <f t="array" ref="E236">$C236</f>
        <v>Pemb. Jalan Desa Ompi</v>
      </c>
      <c r="F236" s="51"/>
      <c r="G236" s="51"/>
      <c r="H236" s="51"/>
      <c r="I236" s="51"/>
      <c r="J236" s="54">
        <v>190000000</v>
      </c>
      <c r="K236" s="54">
        <v>190000000</v>
      </c>
      <c r="L236" s="56">
        <v>189465769.33</v>
      </c>
      <c r="M236" s="56">
        <v>189465000</v>
      </c>
      <c r="N236" t="s" s="57">
        <v>1208</v>
      </c>
      <c r="O236" t="s" s="58">
        <v>1209</v>
      </c>
      <c r="P236" t="s" s="57">
        <v>4</v>
      </c>
      <c r="Q236" t="s" s="57">
        <v>1210</v>
      </c>
      <c r="R236" t="s" s="57">
        <v>1211</v>
      </c>
      <c r="S236" t="s" s="57">
        <v>1212</v>
      </c>
      <c r="T236" s="61">
        <v>43858</v>
      </c>
      <c r="U236" t="s" s="57">
        <v>149</v>
      </c>
      <c r="V236" t="s" s="57">
        <v>1213</v>
      </c>
      <c r="W236" t="s" s="57">
        <v>1214</v>
      </c>
      <c r="X236" s="60">
        <v>61</v>
      </c>
      <c r="Y236" t="s" s="57">
        <v>10</v>
      </c>
      <c r="Z236" s="54" cm="1">
        <f t="array" ref="Z236">M236</f>
        <v>189465000</v>
      </c>
      <c r="AA236" t="s" s="57">
        <v>11</v>
      </c>
      <c r="AB236" s="61" cm="1">
        <f t="array" ref="AB236">AH236</f>
        <v>45961</v>
      </c>
      <c r="AC236" s="60">
        <v>180</v>
      </c>
      <c r="AD236" t="s" s="57">
        <v>106</v>
      </c>
      <c r="AE236" t="s" s="57">
        <v>107</v>
      </c>
      <c r="AF236" t="s" s="57">
        <v>108</v>
      </c>
      <c r="AG236" s="61">
        <v>45960</v>
      </c>
      <c r="AH236" s="61">
        <v>45961</v>
      </c>
      <c r="AI236" s="61">
        <v>45961</v>
      </c>
      <c r="AJ236" s="61">
        <v>45961</v>
      </c>
      <c r="AK236" s="61">
        <v>45961</v>
      </c>
      <c r="AL236" s="61">
        <v>45961</v>
      </c>
      <c r="AM236" s="61">
        <v>45961</v>
      </c>
      <c r="AN236" t="s" s="57">
        <v>1911</v>
      </c>
      <c r="AO236" s="61" cm="1">
        <f t="array" ref="AO236">AJ236</f>
        <v>45961</v>
      </c>
      <c r="AP236" t="s" s="57">
        <v>1912</v>
      </c>
      <c r="AQ236" s="61" cm="1">
        <f t="array" ref="AQ236">AJ236</f>
        <v>45961</v>
      </c>
      <c r="AR236" t="s" s="57">
        <v>1913</v>
      </c>
      <c r="AS236" s="61" cm="1">
        <f t="array" ref="AS236">AJ236</f>
        <v>45961</v>
      </c>
      <c r="AT236" t="s" s="62">
        <v>1914</v>
      </c>
      <c r="AU236" s="61" cm="1">
        <f t="array" ref="AU236">AJ236</f>
        <v>45961</v>
      </c>
      <c r="AV236" s="51"/>
      <c r="AW236" t="str" s="63" cm="1">
        <f t="array" ref="AW236">"600/"&amp;$B236&amp;"/"&amp;IF(AND($AE236="Konsultansi",M236&lt;=100000000),"SPK",IF(AND($AE236="Konsultansi",M236&gt;100000000),"Kont",IF(AND($AE236&lt;&gt;"Konsultansi",M236&lt;=200000000),"SPK","Kont")))&amp;"-"&amp;AE236&amp;"/PPK/DPUPR"</f>
        <v>600/61392001/SPK-Konstruksi/PPK/DPUPR</v>
      </c>
      <c r="AX236" t="str" s="63" cm="1">
        <f t="array" ref="AX236">"600/"&amp;$B236&amp;"/SPMK/PPK/DPUPR"</f>
        <v>600/61392001/SPMK/PPK/DPUPR</v>
      </c>
      <c r="AY236" s="51"/>
      <c r="AZ236" s="51"/>
      <c r="BA236" s="51"/>
      <c r="BB236" s="51"/>
      <c r="BC236" s="51"/>
      <c r="BD236" s="51"/>
      <c r="BE236" s="51"/>
      <c r="BF236" s="51"/>
      <c r="BG236" s="64">
        <v>173</v>
      </c>
      <c r="BH236" t="s" s="57">
        <v>1208</v>
      </c>
      <c r="BI236" t="s" s="57">
        <v>21</v>
      </c>
      <c r="BJ236" t="s" s="57">
        <v>22</v>
      </c>
      <c r="BK236" t="s" s="57">
        <v>23</v>
      </c>
      <c r="BL236" t="s" s="57">
        <v>24</v>
      </c>
      <c r="BM236" s="51"/>
      <c r="BN236" s="51"/>
      <c r="BO236" s="51"/>
      <c r="BP236" s="51"/>
      <c r="BQ236" s="51"/>
      <c r="BR236" t="b" s="60">
        <v>0</v>
      </c>
      <c r="BS236" s="52" cm="1">
        <f t="array" ref="BS236">IF(M236&lt;=0.8*K236,5%*K236,M236*5%)</f>
        <v>9473250</v>
      </c>
      <c r="BT236" t="s" s="57">
        <v>25</v>
      </c>
      <c r="BU236" s="51"/>
      <c r="BV236" s="54" cm="1">
        <f t="array" ref="BV236">J236-M236</f>
        <v>535000</v>
      </c>
    </row>
    <row r="237" ht="36.25" customHeight="1">
      <c r="A237" s="107"/>
      <c r="B237" s="48">
        <v>61392008</v>
      </c>
      <c r="C237" t="s" s="89">
        <v>1917</v>
      </c>
      <c r="D237" t="s" s="76">
        <v>1</v>
      </c>
      <c r="E237" t="str" s="67" cm="1">
        <f t="array" ref="E237">$C237</f>
        <v>Pemb. Jalan Desa Bukit Harapan - Ompi</v>
      </c>
      <c r="F237" s="67"/>
      <c r="G237" s="67"/>
      <c r="H237" s="67"/>
      <c r="I237" s="67"/>
      <c r="J237" s="69">
        <v>190000000</v>
      </c>
      <c r="K237" s="69">
        <v>190000000</v>
      </c>
      <c r="L237" s="56">
        <v>189561691.69</v>
      </c>
      <c r="M237" s="56">
        <v>189561000</v>
      </c>
      <c r="N237" t="s" s="72">
        <v>1208</v>
      </c>
      <c r="O237" t="s" s="78">
        <v>1209</v>
      </c>
      <c r="P237" t="s" s="72">
        <v>4</v>
      </c>
      <c r="Q237" t="s" s="72">
        <v>1210</v>
      </c>
      <c r="R237" t="s" s="72">
        <v>1211</v>
      </c>
      <c r="S237" t="s" s="72">
        <v>1212</v>
      </c>
      <c r="T237" s="71">
        <v>43858</v>
      </c>
      <c r="U237" t="s" s="72">
        <v>149</v>
      </c>
      <c r="V237" t="s" s="72">
        <v>1213</v>
      </c>
      <c r="W237" t="s" s="72">
        <v>1214</v>
      </c>
      <c r="X237" s="79">
        <v>61</v>
      </c>
      <c r="Y237" t="s" s="72">
        <v>10</v>
      </c>
      <c r="Z237" s="69" cm="1">
        <f t="array" ref="Z237">M237</f>
        <v>189561000</v>
      </c>
      <c r="AA237" t="s" s="72">
        <v>11</v>
      </c>
      <c r="AB237" s="71" cm="1">
        <f t="array" ref="AB237">AH237</f>
        <v>45961</v>
      </c>
      <c r="AC237" s="79">
        <v>180</v>
      </c>
      <c r="AD237" t="s" s="72">
        <v>106</v>
      </c>
      <c r="AE237" t="s" s="72">
        <v>107</v>
      </c>
      <c r="AF237" t="s" s="72">
        <v>108</v>
      </c>
      <c r="AG237" s="71">
        <v>45960</v>
      </c>
      <c r="AH237" s="71">
        <v>45961</v>
      </c>
      <c r="AI237" s="71">
        <v>45961</v>
      </c>
      <c r="AJ237" s="71">
        <v>45961</v>
      </c>
      <c r="AK237" s="71">
        <v>45961</v>
      </c>
      <c r="AL237" s="71">
        <v>45961</v>
      </c>
      <c r="AM237" s="71">
        <v>45961</v>
      </c>
      <c r="AN237" t="s" s="72">
        <v>1919</v>
      </c>
      <c r="AO237" s="71" cm="1">
        <f t="array" ref="AO237">AJ237</f>
        <v>45961</v>
      </c>
      <c r="AP237" t="s" s="72">
        <v>1920</v>
      </c>
      <c r="AQ237" s="71" cm="1">
        <f t="array" ref="AQ237">AJ237</f>
        <v>45961</v>
      </c>
      <c r="AR237" t="s" s="72">
        <v>1921</v>
      </c>
      <c r="AS237" s="71" cm="1">
        <f t="array" ref="AS237">AJ237</f>
        <v>45961</v>
      </c>
      <c r="AT237" t="s" s="62">
        <v>1922</v>
      </c>
      <c r="AU237" s="71" cm="1">
        <f t="array" ref="AU237">AJ237</f>
        <v>45961</v>
      </c>
      <c r="AV237" s="67"/>
      <c r="AW237" t="str" s="74" cm="1">
        <f t="array" ref="AW237">"600/"&amp;$B237&amp;"/"&amp;IF(AND($AE237="Konsultansi",M237&lt;=100000000),"SPK",IF(AND($AE237="Konsultansi",M237&gt;100000000),"Kont",IF(AND($AE237&lt;&gt;"Konsultansi",M237&lt;=200000000),"SPK","Kont")))&amp;"-"&amp;AE237&amp;"/PPK/DPUPR"</f>
        <v>600/61392008/SPK-Konstruksi/PPK/DPUPR</v>
      </c>
      <c r="AX237" t="str" s="74" cm="1">
        <f t="array" ref="AX237">"600/"&amp;$B237&amp;"/SPMK/PPK/DPUPR"</f>
        <v>600/61392008/SPMK/PPK/DPUPR</v>
      </c>
      <c r="AY237" s="67"/>
      <c r="AZ237" s="67"/>
      <c r="BA237" s="67"/>
      <c r="BB237" s="67"/>
      <c r="BC237" s="67"/>
      <c r="BD237" s="67"/>
      <c r="BE237" s="67"/>
      <c r="BF237" s="67"/>
      <c r="BG237" s="80">
        <v>173</v>
      </c>
      <c r="BH237" t="s" s="72">
        <v>1208</v>
      </c>
      <c r="BI237" t="s" s="72">
        <v>21</v>
      </c>
      <c r="BJ237" t="s" s="72">
        <v>22</v>
      </c>
      <c r="BK237" t="s" s="72">
        <v>23</v>
      </c>
      <c r="BL237" t="s" s="72">
        <v>24</v>
      </c>
      <c r="BM237" s="67"/>
      <c r="BN237" s="67"/>
      <c r="BO237" s="67"/>
      <c r="BP237" s="67"/>
      <c r="BQ237" s="67"/>
      <c r="BR237" t="b" s="79">
        <v>0</v>
      </c>
      <c r="BS237" s="68" cm="1">
        <f t="array" ref="BS237">IF(M237&lt;=0.8*K237,5%*K237,M237*5%)</f>
        <v>9478050</v>
      </c>
      <c r="BT237" t="s" s="72">
        <v>25</v>
      </c>
      <c r="BU237" s="67"/>
      <c r="BV237" s="69" cm="1">
        <f t="array" ref="BV237">J237-M237</f>
        <v>439000</v>
      </c>
    </row>
    <row r="238" ht="36.25" customHeight="1">
      <c r="A238" s="47"/>
      <c r="B238" s="48">
        <v>61392022</v>
      </c>
      <c r="C238" t="s" s="89">
        <v>1925</v>
      </c>
      <c r="D238" t="s" s="50">
        <v>1</v>
      </c>
      <c r="E238" t="str" s="51" cm="1">
        <f t="array" ref="E238">$C238</f>
        <v>Pemb. Jalan Desa Kalukunangka</v>
      </c>
      <c r="F238" s="51"/>
      <c r="G238" s="51"/>
      <c r="H238" s="51"/>
      <c r="I238" s="51"/>
      <c r="J238" s="54">
        <v>190000000</v>
      </c>
      <c r="K238" s="54">
        <v>190000000</v>
      </c>
      <c r="L238" s="56">
        <v>189602320.22</v>
      </c>
      <c r="M238" s="54">
        <v>189602000</v>
      </c>
      <c r="N238" t="s" s="57">
        <v>1927</v>
      </c>
      <c r="O238" t="s" s="58">
        <v>1928</v>
      </c>
      <c r="P238" t="s" s="57">
        <v>1929</v>
      </c>
      <c r="Q238" t="s" s="57">
        <v>1930</v>
      </c>
      <c r="R238" t="s" s="57">
        <v>1931</v>
      </c>
      <c r="S238" t="s" s="57">
        <v>1327</v>
      </c>
      <c r="T238" s="61">
        <v>45975</v>
      </c>
      <c r="U238" t="s" s="57">
        <v>1932</v>
      </c>
      <c r="V238" t="s" s="57">
        <v>1933</v>
      </c>
      <c r="W238" t="s" s="57">
        <v>1934</v>
      </c>
      <c r="X238" s="60">
        <v>44</v>
      </c>
      <c r="Y238" t="s" s="57">
        <v>10</v>
      </c>
      <c r="Z238" s="54" cm="1">
        <f t="array" ref="Z238">M238</f>
        <v>189602000</v>
      </c>
      <c r="AA238" t="s" s="57">
        <v>11</v>
      </c>
      <c r="AB238" s="61" cm="1">
        <f t="array" ref="AB238">AH238</f>
        <v>45975</v>
      </c>
      <c r="AC238" s="60">
        <v>180</v>
      </c>
      <c r="AD238" t="s" s="57">
        <v>106</v>
      </c>
      <c r="AE238" t="s" s="57">
        <v>107</v>
      </c>
      <c r="AF238" t="s" s="57">
        <v>108</v>
      </c>
      <c r="AG238" s="61">
        <v>45974</v>
      </c>
      <c r="AH238" s="61">
        <v>45975</v>
      </c>
      <c r="AI238" s="61">
        <v>45975</v>
      </c>
      <c r="AJ238" s="61">
        <v>45978</v>
      </c>
      <c r="AK238" s="61">
        <v>45978</v>
      </c>
      <c r="AL238" s="61">
        <v>45978</v>
      </c>
      <c r="AM238" s="61">
        <v>45978</v>
      </c>
      <c r="AN238" t="s" s="57">
        <v>1935</v>
      </c>
      <c r="AO238" s="61" cm="1">
        <f t="array" ref="AO238">AJ238</f>
        <v>45978</v>
      </c>
      <c r="AP238" t="s" s="57">
        <v>1936</v>
      </c>
      <c r="AQ238" s="61" cm="1">
        <f t="array" ref="AQ238">AJ238</f>
        <v>45978</v>
      </c>
      <c r="AR238" t="s" s="57">
        <v>1937</v>
      </c>
      <c r="AS238" s="61" cm="1">
        <f t="array" ref="AS238">AJ238</f>
        <v>45978</v>
      </c>
      <c r="AT238" t="s" s="62">
        <v>1938</v>
      </c>
      <c r="AU238" s="61" cm="1">
        <f t="array" ref="AU238">AJ238</f>
        <v>45978</v>
      </c>
      <c r="AV238" s="51"/>
      <c r="AW238" t="str" s="63" cm="1">
        <f t="array" ref="AW238">"600/"&amp;$B238&amp;"/"&amp;IF(AND($AE238="Konsultansi",M238&lt;=100000000),"SPK",IF(AND($AE238="Konsultansi",M238&gt;100000000),"Kont",IF(AND($AE238&lt;&gt;"Konsultansi",M238&lt;=200000000),"SPK","Kont")))&amp;"-"&amp;AE238&amp;"/PPK/DPUPR"</f>
        <v>600/61392022/SPK-Konstruksi/PPK/DPUPR</v>
      </c>
      <c r="AX238" t="str" s="63" cm="1">
        <f t="array" ref="AX238">"600/"&amp;$B238&amp;"/SPMK/PPK/DPUPR"</f>
        <v>600/61392022/SPMK/PPK/DPUPR</v>
      </c>
      <c r="AY238" s="51"/>
      <c r="AZ238" s="51"/>
      <c r="BA238" s="51"/>
      <c r="BB238" s="51"/>
      <c r="BC238" s="51"/>
      <c r="BD238" s="51"/>
      <c r="BE238" s="51"/>
      <c r="BF238" s="51"/>
      <c r="BG238" s="64">
        <v>264</v>
      </c>
      <c r="BH238" t="s" s="57">
        <v>1927</v>
      </c>
      <c r="BI238" t="s" s="57">
        <v>21</v>
      </c>
      <c r="BJ238" t="s" s="57">
        <v>22</v>
      </c>
      <c r="BK238" t="s" s="57">
        <v>23</v>
      </c>
      <c r="BL238" t="s" s="57">
        <v>24</v>
      </c>
      <c r="BM238" s="51"/>
      <c r="BN238" s="51"/>
      <c r="BO238" s="51"/>
      <c r="BP238" s="51"/>
      <c r="BQ238" s="51"/>
      <c r="BR238" t="b" s="60">
        <v>0</v>
      </c>
      <c r="BS238" s="54" cm="1">
        <f t="array" ref="BS238">IF(M238&lt;=0.8*K238,5%*K238,M238*5%)</f>
        <v>9480100</v>
      </c>
      <c r="BT238" t="s" s="57">
        <v>25</v>
      </c>
      <c r="BU238" s="51"/>
      <c r="BV238" s="54" cm="1">
        <f t="array" ref="BV238">J238-M238</f>
        <v>398000</v>
      </c>
    </row>
    <row r="239" ht="36.25" customHeight="1">
      <c r="A239" s="47"/>
      <c r="B239" s="48">
        <v>61392105</v>
      </c>
      <c r="C239" t="s" s="89">
        <v>1941</v>
      </c>
      <c r="D239" t="s" s="76">
        <v>1</v>
      </c>
      <c r="E239" t="str" s="67" cm="1">
        <f t="array" ref="E239">$C239</f>
        <v>Pemb. Jalan Desa Kalola</v>
      </c>
      <c r="F239" s="67"/>
      <c r="G239" s="67"/>
      <c r="H239" s="67"/>
      <c r="I239" s="67"/>
      <c r="J239" s="69">
        <v>190000000</v>
      </c>
      <c r="K239" s="69">
        <v>190000000</v>
      </c>
      <c r="L239" s="56">
        <v>189713320.22</v>
      </c>
      <c r="M239" s="69">
        <v>189713000</v>
      </c>
      <c r="N239" t="s" s="72">
        <v>1927</v>
      </c>
      <c r="O239" t="s" s="78">
        <v>1928</v>
      </c>
      <c r="P239" t="s" s="72">
        <v>1929</v>
      </c>
      <c r="Q239" t="s" s="72">
        <v>1930</v>
      </c>
      <c r="R239" t="s" s="72">
        <v>1931</v>
      </c>
      <c r="S239" t="s" s="72">
        <v>1327</v>
      </c>
      <c r="T239" s="71">
        <v>45975</v>
      </c>
      <c r="U239" t="s" s="72">
        <v>1932</v>
      </c>
      <c r="V239" t="s" s="72">
        <v>1933</v>
      </c>
      <c r="W239" t="s" s="72">
        <v>1934</v>
      </c>
      <c r="X239" s="79">
        <v>44</v>
      </c>
      <c r="Y239" t="s" s="72">
        <v>10</v>
      </c>
      <c r="Z239" s="69" cm="1">
        <f t="array" ref="Z239">M239</f>
        <v>189713000</v>
      </c>
      <c r="AA239" t="s" s="72">
        <v>11</v>
      </c>
      <c r="AB239" s="71" cm="1">
        <f t="array" ref="AB239">AH239</f>
        <v>45975</v>
      </c>
      <c r="AC239" s="79">
        <v>180</v>
      </c>
      <c r="AD239" t="s" s="72">
        <v>106</v>
      </c>
      <c r="AE239" t="s" s="72">
        <v>107</v>
      </c>
      <c r="AF239" t="s" s="72">
        <v>108</v>
      </c>
      <c r="AG239" s="71">
        <v>45974</v>
      </c>
      <c r="AH239" s="71">
        <v>45975</v>
      </c>
      <c r="AI239" s="71">
        <v>45975</v>
      </c>
      <c r="AJ239" s="71">
        <v>45978</v>
      </c>
      <c r="AK239" s="71">
        <v>45978</v>
      </c>
      <c r="AL239" s="71">
        <v>45978</v>
      </c>
      <c r="AM239" s="71">
        <v>45978</v>
      </c>
      <c r="AN239" t="s" s="72">
        <v>1943</v>
      </c>
      <c r="AO239" s="71" cm="1">
        <f t="array" ref="AO239">AJ239</f>
        <v>45978</v>
      </c>
      <c r="AP239" t="s" s="72">
        <v>1944</v>
      </c>
      <c r="AQ239" s="71" cm="1">
        <f t="array" ref="AQ239">AJ239</f>
        <v>45978</v>
      </c>
      <c r="AR239" t="s" s="72">
        <v>1945</v>
      </c>
      <c r="AS239" s="71" cm="1">
        <f t="array" ref="AS239">AJ239</f>
        <v>45978</v>
      </c>
      <c r="AT239" t="s" s="62">
        <v>1946</v>
      </c>
      <c r="AU239" s="71" cm="1">
        <f t="array" ref="AU239">AJ239</f>
        <v>45978</v>
      </c>
      <c r="AV239" s="67"/>
      <c r="AW239" t="str" s="74" cm="1">
        <f t="array" ref="AW239">"600/"&amp;$B239&amp;"/"&amp;IF(AND($AE239="Konsultansi",M239&lt;=100000000),"SPK",IF(AND($AE239="Konsultansi",M239&gt;100000000),"Kont",IF(AND($AE239&lt;&gt;"Konsultansi",M239&lt;=200000000),"SPK","Kont")))&amp;"-"&amp;AE239&amp;"/PPK/DPUPR"</f>
        <v>600/61392105/SPK-Konstruksi/PPK/DPUPR</v>
      </c>
      <c r="AX239" t="str" s="74" cm="1">
        <f t="array" ref="AX239">"600/"&amp;$B239&amp;"/SPMK/PPK/DPUPR"</f>
        <v>600/61392105/SPMK/PPK/DPUPR</v>
      </c>
      <c r="AY239" s="67"/>
      <c r="AZ239" s="67"/>
      <c r="BA239" s="67"/>
      <c r="BB239" s="67"/>
      <c r="BC239" s="67"/>
      <c r="BD239" s="67"/>
      <c r="BE239" s="67"/>
      <c r="BF239" s="67"/>
      <c r="BG239" s="80">
        <v>264</v>
      </c>
      <c r="BH239" t="s" s="72">
        <v>1927</v>
      </c>
      <c r="BI239" t="s" s="72">
        <v>21</v>
      </c>
      <c r="BJ239" t="s" s="72">
        <v>22</v>
      </c>
      <c r="BK239" t="s" s="72">
        <v>23</v>
      </c>
      <c r="BL239" t="s" s="72">
        <v>24</v>
      </c>
      <c r="BM239" s="67"/>
      <c r="BN239" s="67"/>
      <c r="BO239" s="67"/>
      <c r="BP239" s="67"/>
      <c r="BQ239" s="67"/>
      <c r="BR239" t="b" s="79">
        <v>0</v>
      </c>
      <c r="BS239" s="69" cm="1">
        <f t="array" ref="BS239">IF(M239&lt;=0.8*K239,5%*K239,M239*5%)</f>
        <v>9485650</v>
      </c>
      <c r="BT239" t="s" s="72">
        <v>25</v>
      </c>
      <c r="BU239" s="67"/>
      <c r="BV239" s="69" cm="1">
        <f t="array" ref="BV239">J239-M239</f>
        <v>287000</v>
      </c>
    </row>
    <row r="240" ht="36.25" customHeight="1">
      <c r="A240" s="47"/>
      <c r="B240" s="48">
        <v>61392166</v>
      </c>
      <c r="C240" t="s" s="89">
        <v>1949</v>
      </c>
      <c r="D240" t="s" s="50">
        <v>1</v>
      </c>
      <c r="E240" t="str" s="51" cm="1">
        <f t="array" ref="E240">$C240</f>
        <v>Pemb. Jalan Desa Motu Baras</v>
      </c>
      <c r="F240" s="51"/>
      <c r="G240" s="51"/>
      <c r="H240" s="51"/>
      <c r="I240" s="51"/>
      <c r="J240" s="54">
        <v>90000000</v>
      </c>
      <c r="K240" s="54">
        <v>90000000</v>
      </c>
      <c r="L240" s="56">
        <v>89870808.56999999</v>
      </c>
      <c r="M240" s="54">
        <v>89870000</v>
      </c>
      <c r="N240" t="s" s="57">
        <v>1951</v>
      </c>
      <c r="O240" t="s" s="58">
        <v>1952</v>
      </c>
      <c r="P240" t="s" s="57">
        <v>4</v>
      </c>
      <c r="Q240" t="s" s="57">
        <v>1953</v>
      </c>
      <c r="R240" t="s" s="57">
        <v>1954</v>
      </c>
      <c r="S240" t="s" s="57">
        <v>1955</v>
      </c>
      <c r="T240" s="61">
        <v>43707</v>
      </c>
      <c r="U240" t="s" s="57">
        <v>103</v>
      </c>
      <c r="V240" t="s" s="57">
        <v>1956</v>
      </c>
      <c r="W240" t="s" s="57">
        <v>1957</v>
      </c>
      <c r="X240" s="60">
        <v>44</v>
      </c>
      <c r="Y240" t="s" s="57">
        <v>10</v>
      </c>
      <c r="Z240" s="54" cm="1">
        <f t="array" ref="Z240">M240</f>
        <v>89870000</v>
      </c>
      <c r="AA240" t="s" s="57">
        <v>11</v>
      </c>
      <c r="AB240" s="61" cm="1">
        <f t="array" ref="AB240">AH240</f>
        <v>45975</v>
      </c>
      <c r="AC240" s="60">
        <v>180</v>
      </c>
      <c r="AD240" t="s" s="57">
        <v>106</v>
      </c>
      <c r="AE240" t="s" s="57">
        <v>107</v>
      </c>
      <c r="AF240" t="s" s="57">
        <v>108</v>
      </c>
      <c r="AG240" s="61">
        <v>45974</v>
      </c>
      <c r="AH240" s="61">
        <v>45975</v>
      </c>
      <c r="AI240" s="61">
        <v>45975</v>
      </c>
      <c r="AJ240" s="61">
        <v>45978</v>
      </c>
      <c r="AK240" s="61">
        <v>45978</v>
      </c>
      <c r="AL240" s="61">
        <v>45978</v>
      </c>
      <c r="AM240" s="61">
        <v>45978</v>
      </c>
      <c r="AN240" t="s" s="57">
        <v>1958</v>
      </c>
      <c r="AO240" s="61" cm="1">
        <f t="array" ref="AO240">AJ240</f>
        <v>45978</v>
      </c>
      <c r="AP240" t="s" s="57">
        <v>1959</v>
      </c>
      <c r="AQ240" s="61" cm="1">
        <f t="array" ref="AQ240">AJ240</f>
        <v>45978</v>
      </c>
      <c r="AR240" t="s" s="57">
        <v>1960</v>
      </c>
      <c r="AS240" s="61" cm="1">
        <f t="array" ref="AS240">AJ240</f>
        <v>45978</v>
      </c>
      <c r="AT240" t="s" s="62">
        <v>1961</v>
      </c>
      <c r="AU240" s="61" cm="1">
        <f t="array" ref="AU240">AJ240</f>
        <v>45978</v>
      </c>
      <c r="AV240" s="51"/>
      <c r="AW240" t="str" s="63" cm="1">
        <f t="array" ref="AW240">"600/"&amp;$B240&amp;"/"&amp;IF(AND($AE240="Konsultansi",M240&lt;=100000000),"SPK",IF(AND($AE240="Konsultansi",M240&gt;100000000),"Kont",IF(AND($AE240&lt;&gt;"Konsultansi",M240&lt;=200000000),"SPK","Kont")))&amp;"-"&amp;AE240&amp;"/PPK/DPUPR"</f>
        <v>600/61392166/SPK-Konstruksi/PPK/DPUPR</v>
      </c>
      <c r="AX240" t="str" s="63" cm="1">
        <f t="array" ref="AX240">"600/"&amp;$B240&amp;"/SPMK/PPK/DPUPR"</f>
        <v>600/61392166/SPMK/PPK/DPUPR</v>
      </c>
      <c r="AY240" s="51"/>
      <c r="AZ240" s="51"/>
      <c r="BA240" s="51"/>
      <c r="BB240" s="51"/>
      <c r="BC240" s="51"/>
      <c r="BD240" s="51"/>
      <c r="BE240" s="51"/>
      <c r="BF240" s="51"/>
      <c r="BG240" s="64">
        <v>86</v>
      </c>
      <c r="BH240" t="s" s="57">
        <v>1951</v>
      </c>
      <c r="BI240" t="s" s="57">
        <v>21</v>
      </c>
      <c r="BJ240" t="s" s="57">
        <v>22</v>
      </c>
      <c r="BK240" t="s" s="57">
        <v>23</v>
      </c>
      <c r="BL240" t="s" s="57">
        <v>24</v>
      </c>
      <c r="BM240" s="51"/>
      <c r="BN240" s="51"/>
      <c r="BO240" s="51"/>
      <c r="BP240" s="51"/>
      <c r="BQ240" s="51"/>
      <c r="BR240" t="b" s="60">
        <v>0</v>
      </c>
      <c r="BS240" s="54" cm="1">
        <f t="array" ref="BS240">IF(M240&lt;=0.8*K240,5%*K240,M240*5%)</f>
        <v>4493500</v>
      </c>
      <c r="BT240" t="s" s="57">
        <v>25</v>
      </c>
      <c r="BU240" s="51"/>
      <c r="BV240" s="54" cm="1">
        <f t="array" ref="BV240">J240-M240</f>
        <v>130000</v>
      </c>
    </row>
    <row r="241" ht="36.25" customHeight="1">
      <c r="A241" s="47"/>
      <c r="B241" s="48">
        <v>61392172</v>
      </c>
      <c r="C241" t="s" s="89">
        <v>1964</v>
      </c>
      <c r="D241" t="s" s="76">
        <v>1</v>
      </c>
      <c r="E241" t="str" s="67" cm="1">
        <f t="array" ref="E241">$C241</f>
        <v>Peningkatan jalan rabat beton jalan kedondong pasangkayu</v>
      </c>
      <c r="F241" s="67"/>
      <c r="G241" s="67"/>
      <c r="H241" s="67"/>
      <c r="I241" s="67"/>
      <c r="J241" s="69">
        <v>100000000</v>
      </c>
      <c r="K241" s="69">
        <v>100000000</v>
      </c>
      <c r="L241" s="56">
        <v>99837477.26000001</v>
      </c>
      <c r="M241" s="69">
        <v>99837000</v>
      </c>
      <c r="N241" t="s" s="72">
        <v>1509</v>
      </c>
      <c r="O241" t="s" s="78">
        <v>1510</v>
      </c>
      <c r="P241" t="s" s="72">
        <v>4</v>
      </c>
      <c r="Q241" t="s" s="72">
        <v>1511</v>
      </c>
      <c r="R241" t="s" s="72">
        <v>1512</v>
      </c>
      <c r="S241" t="s" s="72">
        <v>1298</v>
      </c>
      <c r="T241" s="71">
        <v>45092</v>
      </c>
      <c r="U241" t="s" s="72">
        <v>149</v>
      </c>
      <c r="V241" t="s" s="72">
        <v>1513</v>
      </c>
      <c r="W241" t="s" s="72">
        <v>1514</v>
      </c>
      <c r="X241" s="79">
        <v>44</v>
      </c>
      <c r="Y241" t="s" s="72">
        <v>10</v>
      </c>
      <c r="Z241" s="69" cm="1">
        <f t="array" ref="Z241">M241</f>
        <v>99837000</v>
      </c>
      <c r="AA241" t="s" s="72">
        <v>11</v>
      </c>
      <c r="AB241" s="71" cm="1">
        <f t="array" ref="AB241">AH241</f>
        <v>45975</v>
      </c>
      <c r="AC241" s="79">
        <v>180</v>
      </c>
      <c r="AD241" t="s" s="72">
        <v>106</v>
      </c>
      <c r="AE241" t="s" s="72">
        <v>107</v>
      </c>
      <c r="AF241" t="s" s="72">
        <v>108</v>
      </c>
      <c r="AG241" s="71">
        <v>45974</v>
      </c>
      <c r="AH241" s="71">
        <v>45975</v>
      </c>
      <c r="AI241" s="71">
        <v>45975</v>
      </c>
      <c r="AJ241" s="71">
        <v>45978</v>
      </c>
      <c r="AK241" s="71">
        <v>45978</v>
      </c>
      <c r="AL241" s="71">
        <v>45978</v>
      </c>
      <c r="AM241" s="71">
        <v>45978</v>
      </c>
      <c r="AN241" t="s" s="72">
        <v>1966</v>
      </c>
      <c r="AO241" s="71" cm="1">
        <f t="array" ref="AO241">AJ241</f>
        <v>45978</v>
      </c>
      <c r="AP241" t="s" s="72">
        <v>1967</v>
      </c>
      <c r="AQ241" s="71" cm="1">
        <f t="array" ref="AQ241">AJ241</f>
        <v>45978</v>
      </c>
      <c r="AR241" t="s" s="72">
        <v>1968</v>
      </c>
      <c r="AS241" s="71" cm="1">
        <f t="array" ref="AS241">AJ241</f>
        <v>45978</v>
      </c>
      <c r="AT241" t="s" s="62">
        <v>1969</v>
      </c>
      <c r="AU241" s="71" cm="1">
        <f t="array" ref="AU241">AJ241</f>
        <v>45978</v>
      </c>
      <c r="AV241" s="67"/>
      <c r="AW241" t="str" s="74" cm="1">
        <f t="array" ref="AW241">"600/"&amp;$B241&amp;"/"&amp;IF(AND($AE241="Konsultansi",M241&lt;=100000000),"SPK",IF(AND($AE241="Konsultansi",M241&gt;100000000),"Kont",IF(AND($AE241&lt;&gt;"Konsultansi",M241&lt;=200000000),"SPK","Kont")))&amp;"-"&amp;AE241&amp;"/PPK/DPUPR"</f>
        <v>600/61392172/SPK-Konstruksi/PPK/DPUPR</v>
      </c>
      <c r="AX241" t="str" s="74" cm="1">
        <f t="array" ref="AX241">"600/"&amp;$B241&amp;"/SPMK/PPK/DPUPR"</f>
        <v>600/61392172/SPMK/PPK/DPUPR</v>
      </c>
      <c r="AY241" s="67"/>
      <c r="AZ241" s="67"/>
      <c r="BA241" s="67"/>
      <c r="BB241" s="67"/>
      <c r="BC241" s="67"/>
      <c r="BD241" s="67"/>
      <c r="BE241" s="67"/>
      <c r="BF241" s="67"/>
      <c r="BG241" s="80">
        <v>201</v>
      </c>
      <c r="BH241" t="s" s="72">
        <v>1509</v>
      </c>
      <c r="BI241" t="s" s="72">
        <v>21</v>
      </c>
      <c r="BJ241" t="s" s="72">
        <v>22</v>
      </c>
      <c r="BK241" t="s" s="72">
        <v>23</v>
      </c>
      <c r="BL241" t="s" s="72">
        <v>24</v>
      </c>
      <c r="BM241" s="67"/>
      <c r="BN241" s="67"/>
      <c r="BO241" s="67"/>
      <c r="BP241" s="67"/>
      <c r="BQ241" s="67"/>
      <c r="BR241" t="b" s="79">
        <v>0</v>
      </c>
      <c r="BS241" s="69" cm="1">
        <f t="array" ref="BS241">IF(M241&lt;=0.8*K241,5%*K241,M241*5%)</f>
        <v>4991850</v>
      </c>
      <c r="BT241" t="s" s="72">
        <v>25</v>
      </c>
      <c r="BU241" s="67"/>
      <c r="BV241" s="69" cm="1">
        <f t="array" ref="BV241">J241-M241</f>
        <v>163000</v>
      </c>
    </row>
    <row r="242" ht="48.25" customHeight="1">
      <c r="A242" s="47"/>
      <c r="B242" s="48">
        <v>61392028</v>
      </c>
      <c r="C242" t="s" s="89">
        <v>1972</v>
      </c>
      <c r="D242" t="s" s="50">
        <v>1</v>
      </c>
      <c r="E242" t="str" s="51" cm="1">
        <f t="array" ref="E242">$C242</f>
        <v>Pemb. Jalan Desa Benggaulu - Antai Kanan</v>
      </c>
      <c r="F242" s="51"/>
      <c r="G242" s="51"/>
      <c r="H242" s="51"/>
      <c r="I242" s="51"/>
      <c r="J242" s="54">
        <v>190000000</v>
      </c>
      <c r="K242" s="54">
        <v>190000000</v>
      </c>
      <c r="L242" s="56">
        <v>189744816.08</v>
      </c>
      <c r="M242" s="54">
        <v>189744000</v>
      </c>
      <c r="N242" t="s" s="57">
        <v>355</v>
      </c>
      <c r="O242" t="s" s="58">
        <v>356</v>
      </c>
      <c r="P242" t="s" s="57">
        <v>4</v>
      </c>
      <c r="Q242" t="s" s="57">
        <v>357</v>
      </c>
      <c r="R242" t="s" s="57">
        <v>358</v>
      </c>
      <c r="S242" s="60">
        <v>171</v>
      </c>
      <c r="T242" s="61">
        <v>45320</v>
      </c>
      <c r="U242" t="s" s="57">
        <v>359</v>
      </c>
      <c r="V242" t="s" s="57">
        <v>360</v>
      </c>
      <c r="W242" t="s" s="57">
        <v>361</v>
      </c>
      <c r="X242" s="60">
        <v>44</v>
      </c>
      <c r="Y242" t="s" s="57">
        <v>10</v>
      </c>
      <c r="Z242" s="54" cm="1">
        <f t="array" ref="Z242">M242</f>
        <v>189744000</v>
      </c>
      <c r="AA242" t="s" s="57">
        <v>11</v>
      </c>
      <c r="AB242" s="61" cm="1">
        <f t="array" ref="AB242">AH242</f>
        <v>45975</v>
      </c>
      <c r="AC242" s="60">
        <v>180</v>
      </c>
      <c r="AD242" t="s" s="57">
        <v>106</v>
      </c>
      <c r="AE242" t="s" s="57">
        <v>107</v>
      </c>
      <c r="AF242" t="s" s="57">
        <v>108</v>
      </c>
      <c r="AG242" s="61">
        <v>45974</v>
      </c>
      <c r="AH242" s="61">
        <v>45975</v>
      </c>
      <c r="AI242" s="61">
        <v>45975</v>
      </c>
      <c r="AJ242" s="61">
        <v>45978</v>
      </c>
      <c r="AK242" s="61">
        <v>45978</v>
      </c>
      <c r="AL242" s="61">
        <v>45978</v>
      </c>
      <c r="AM242" s="61">
        <v>45978</v>
      </c>
      <c r="AN242" t="s" s="57">
        <v>1974</v>
      </c>
      <c r="AO242" s="61" cm="1">
        <f t="array" ref="AO242">AJ242</f>
        <v>45978</v>
      </c>
      <c r="AP242" t="s" s="57">
        <v>1975</v>
      </c>
      <c r="AQ242" s="61" cm="1">
        <f t="array" ref="AQ242">AJ242</f>
        <v>45978</v>
      </c>
      <c r="AR242" t="s" s="57">
        <v>1976</v>
      </c>
      <c r="AS242" s="61" cm="1">
        <f t="array" ref="AS242">AJ242</f>
        <v>45978</v>
      </c>
      <c r="AT242" t="s" s="62">
        <v>1977</v>
      </c>
      <c r="AU242" s="61" cm="1">
        <f t="array" ref="AU242">AJ242</f>
        <v>45978</v>
      </c>
      <c r="AV242" s="51"/>
      <c r="AW242" t="str" s="63" cm="1">
        <f t="array" ref="AW242">"600/"&amp;$B242&amp;"/"&amp;IF(AND($AE242="Konsultansi",M242&lt;=100000000),"SPK",IF(AND($AE242="Konsultansi",M242&gt;100000000),"Kont",IF(AND($AE242&lt;&gt;"Konsultansi",M242&lt;=200000000),"SPK","Kont")))&amp;"-"&amp;AE242&amp;"/PPK/DPUPR"</f>
        <v>600/61392028/SPK-Konstruksi/PPK/DPUPR</v>
      </c>
      <c r="AX242" t="str" s="63" cm="1">
        <f t="array" ref="AX242">"600/"&amp;$B242&amp;"/SPMK/PPK/DPUPR"</f>
        <v>600/61392028/SPMK/PPK/DPUPR</v>
      </c>
      <c r="AY242" s="51"/>
      <c r="AZ242" s="51"/>
      <c r="BA242" s="51"/>
      <c r="BB242" s="51"/>
      <c r="BC242" s="51"/>
      <c r="BD242" s="51"/>
      <c r="BE242" s="51"/>
      <c r="BF242" s="51"/>
      <c r="BG242" s="64">
        <v>231</v>
      </c>
      <c r="BH242" t="s" s="57">
        <v>355</v>
      </c>
      <c r="BI242" t="s" s="57">
        <v>21</v>
      </c>
      <c r="BJ242" t="s" s="57">
        <v>22</v>
      </c>
      <c r="BK242" t="s" s="57">
        <v>23</v>
      </c>
      <c r="BL242" t="s" s="57">
        <v>24</v>
      </c>
      <c r="BM242" s="51"/>
      <c r="BN242" s="51"/>
      <c r="BO242" s="51"/>
      <c r="BP242" s="51"/>
      <c r="BQ242" s="51"/>
      <c r="BR242" t="b" s="60">
        <v>0</v>
      </c>
      <c r="BS242" s="54" cm="1">
        <f t="array" ref="BS242">IF(M242&lt;=0.8*K242,5%*K242,M242*5%)</f>
        <v>9487200</v>
      </c>
      <c r="BT242" t="s" s="57">
        <v>25</v>
      </c>
      <c r="BU242" s="51"/>
      <c r="BV242" s="54" cm="1">
        <f t="array" ref="BV242">J242-M242</f>
        <v>256000</v>
      </c>
    </row>
    <row r="243" ht="36.25" customHeight="1">
      <c r="A243" s="107"/>
      <c r="B243" s="48">
        <v>61392052</v>
      </c>
      <c r="C243" t="s" s="89">
        <v>1980</v>
      </c>
      <c r="D243" t="s" s="76">
        <v>1</v>
      </c>
      <c r="E243" t="str" s="67" cm="1">
        <f t="array" ref="E243">$C243</f>
        <v>Pemb. Jalan Desa Bukit Harapan - Kampung Baru</v>
      </c>
      <c r="F243" s="67"/>
      <c r="G243" s="67"/>
      <c r="H243" s="67"/>
      <c r="I243" s="67"/>
      <c r="J243" s="69">
        <v>190000000</v>
      </c>
      <c r="K243" s="69">
        <v>190000000</v>
      </c>
      <c r="L243" s="56">
        <v>189623173.8</v>
      </c>
      <c r="M243" s="56">
        <v>189623000</v>
      </c>
      <c r="N243" t="s" s="72">
        <v>1603</v>
      </c>
      <c r="O243" t="s" s="78">
        <v>1604</v>
      </c>
      <c r="P243" t="s" s="72">
        <v>4</v>
      </c>
      <c r="Q243" t="s" s="72">
        <v>1605</v>
      </c>
      <c r="R243" t="s" s="72">
        <v>1606</v>
      </c>
      <c r="S243" s="79">
        <v>2</v>
      </c>
      <c r="T243" s="71">
        <v>42401</v>
      </c>
      <c r="U243" t="s" s="72">
        <v>456</v>
      </c>
      <c r="V243" t="s" s="72">
        <v>1607</v>
      </c>
      <c r="W243" t="s" s="72">
        <v>1608</v>
      </c>
      <c r="X243" s="79">
        <v>61</v>
      </c>
      <c r="Y243" t="s" s="72">
        <v>10</v>
      </c>
      <c r="Z243" s="69" cm="1">
        <f t="array" ref="Z243">M243</f>
        <v>189623000</v>
      </c>
      <c r="AA243" t="s" s="72">
        <v>11</v>
      </c>
      <c r="AB243" s="71" cm="1">
        <f t="array" ref="AB243">AH243</f>
        <v>45961</v>
      </c>
      <c r="AC243" s="79">
        <v>180</v>
      </c>
      <c r="AD243" t="s" s="72">
        <v>106</v>
      </c>
      <c r="AE243" t="s" s="72">
        <v>107</v>
      </c>
      <c r="AF243" t="s" s="72">
        <v>108</v>
      </c>
      <c r="AG243" s="71">
        <v>45960</v>
      </c>
      <c r="AH243" s="71">
        <v>45961</v>
      </c>
      <c r="AI243" s="71">
        <v>45961</v>
      </c>
      <c r="AJ243" s="71">
        <v>45961</v>
      </c>
      <c r="AK243" s="71">
        <v>45961</v>
      </c>
      <c r="AL243" s="71">
        <v>45961</v>
      </c>
      <c r="AM243" s="71">
        <v>45961</v>
      </c>
      <c r="AN243" t="s" s="72">
        <v>1982</v>
      </c>
      <c r="AO243" s="71" cm="1">
        <f t="array" ref="AO243">AJ243</f>
        <v>45961</v>
      </c>
      <c r="AP243" t="s" s="72">
        <v>1983</v>
      </c>
      <c r="AQ243" s="71" cm="1">
        <f t="array" ref="AQ243">AJ243</f>
        <v>45961</v>
      </c>
      <c r="AR243" t="s" s="72">
        <v>1984</v>
      </c>
      <c r="AS243" s="71" cm="1">
        <f t="array" ref="AS243">AJ243</f>
        <v>45961</v>
      </c>
      <c r="AT243" t="s" s="62">
        <v>1985</v>
      </c>
      <c r="AU243" s="71" cm="1">
        <f t="array" ref="AU243">AJ243</f>
        <v>45961</v>
      </c>
      <c r="AV243" s="67"/>
      <c r="AW243" t="str" s="74" cm="1">
        <f t="array" ref="AW243">"600/"&amp;$B243&amp;"/"&amp;IF(AND($AE243="Konsultansi",M243&lt;=100000000),"SPK",IF(AND($AE243="Konsultansi",M243&gt;100000000),"Kont",IF(AND($AE243&lt;&gt;"Konsultansi",M243&lt;=200000000),"SPK","Kont")))&amp;"-"&amp;AE243&amp;"/PPK/DPUPR"</f>
        <v>600/61392052/SPK-Konstruksi/PPK/DPUPR</v>
      </c>
      <c r="AX243" t="str" s="74" cm="1">
        <f t="array" ref="AX243">"600/"&amp;$B243&amp;"/SPMK/PPK/DPUPR"</f>
        <v>600/61392052/SPMK/PPK/DPUPR</v>
      </c>
      <c r="AY243" s="67"/>
      <c r="AZ243" s="67"/>
      <c r="BA243" s="67"/>
      <c r="BB243" s="67"/>
      <c r="BC243" s="67"/>
      <c r="BD243" s="67"/>
      <c r="BE243" s="67"/>
      <c r="BF243" s="67"/>
      <c r="BG243" s="80">
        <v>36</v>
      </c>
      <c r="BH243" t="s" s="72">
        <v>1603</v>
      </c>
      <c r="BI243" t="s" s="72">
        <v>21</v>
      </c>
      <c r="BJ243" t="s" s="72">
        <v>22</v>
      </c>
      <c r="BK243" t="s" s="72">
        <v>23</v>
      </c>
      <c r="BL243" t="s" s="72">
        <v>24</v>
      </c>
      <c r="BM243" s="67"/>
      <c r="BN243" s="67"/>
      <c r="BO243" s="67"/>
      <c r="BP243" s="67"/>
      <c r="BQ243" s="67"/>
      <c r="BR243" t="b" s="79">
        <v>0</v>
      </c>
      <c r="BS243" s="68" cm="1">
        <f t="array" ref="BS243">IF(M243&lt;=0.8*K243,5%*K243,M243*5%)</f>
        <v>9481150</v>
      </c>
      <c r="BT243" t="s" s="72">
        <v>25</v>
      </c>
      <c r="BU243" s="67"/>
      <c r="BV243" s="69" cm="1">
        <f t="array" ref="BV243">J243-M243</f>
        <v>377000</v>
      </c>
    </row>
    <row r="244" ht="48.25" customHeight="1">
      <c r="A244" s="47"/>
      <c r="B244" s="48">
        <v>61392094</v>
      </c>
      <c r="C244" t="s" s="89">
        <v>1988</v>
      </c>
      <c r="D244" t="s" s="50">
        <v>1</v>
      </c>
      <c r="E244" t="str" s="51" cm="1">
        <f t="array" ref="E244">$C244</f>
        <v>Pemb. Jalan Desa Sipakainga I</v>
      </c>
      <c r="F244" s="51"/>
      <c r="G244" s="51"/>
      <c r="H244" s="51"/>
      <c r="I244" s="51"/>
      <c r="J244" s="54">
        <v>190000000</v>
      </c>
      <c r="K244" s="54">
        <v>190000000</v>
      </c>
      <c r="L244" s="56">
        <v>189727056.08</v>
      </c>
      <c r="M244" s="54">
        <v>189727000</v>
      </c>
      <c r="N244" t="s" s="57">
        <v>355</v>
      </c>
      <c r="O244" t="s" s="58">
        <v>356</v>
      </c>
      <c r="P244" t="s" s="57">
        <v>4</v>
      </c>
      <c r="Q244" t="s" s="57">
        <v>357</v>
      </c>
      <c r="R244" t="s" s="57">
        <v>358</v>
      </c>
      <c r="S244" s="60">
        <v>171</v>
      </c>
      <c r="T244" s="61">
        <v>45320</v>
      </c>
      <c r="U244" t="s" s="57">
        <v>359</v>
      </c>
      <c r="V244" t="s" s="57">
        <v>360</v>
      </c>
      <c r="W244" t="s" s="57">
        <v>361</v>
      </c>
      <c r="X244" s="60">
        <v>44</v>
      </c>
      <c r="Y244" t="s" s="57">
        <v>10</v>
      </c>
      <c r="Z244" s="54" cm="1">
        <f t="array" ref="Z244">M244</f>
        <v>189727000</v>
      </c>
      <c r="AA244" t="s" s="57">
        <v>11</v>
      </c>
      <c r="AB244" s="61" cm="1">
        <f t="array" ref="AB244">AH244</f>
        <v>45975</v>
      </c>
      <c r="AC244" s="60">
        <v>180</v>
      </c>
      <c r="AD244" t="s" s="57">
        <v>106</v>
      </c>
      <c r="AE244" t="s" s="57">
        <v>107</v>
      </c>
      <c r="AF244" t="s" s="57">
        <v>108</v>
      </c>
      <c r="AG244" s="61">
        <v>45974</v>
      </c>
      <c r="AH244" s="61">
        <v>45975</v>
      </c>
      <c r="AI244" s="61">
        <v>45975</v>
      </c>
      <c r="AJ244" s="61">
        <v>45978</v>
      </c>
      <c r="AK244" s="61">
        <v>45978</v>
      </c>
      <c r="AL244" s="61">
        <v>45978</v>
      </c>
      <c r="AM244" s="61">
        <v>45978</v>
      </c>
      <c r="AN244" t="s" s="57">
        <v>1990</v>
      </c>
      <c r="AO244" s="61" cm="1">
        <f t="array" ref="AO244">AJ244</f>
        <v>45978</v>
      </c>
      <c r="AP244" t="s" s="57">
        <v>1991</v>
      </c>
      <c r="AQ244" s="61" cm="1">
        <f t="array" ref="AQ244">AJ244</f>
        <v>45978</v>
      </c>
      <c r="AR244" t="s" s="57">
        <v>1992</v>
      </c>
      <c r="AS244" s="61" cm="1">
        <f t="array" ref="AS244">AJ244</f>
        <v>45978</v>
      </c>
      <c r="AT244" t="s" s="62">
        <v>1993</v>
      </c>
      <c r="AU244" s="61" cm="1">
        <f t="array" ref="AU244">AJ244</f>
        <v>45978</v>
      </c>
      <c r="AV244" s="51"/>
      <c r="AW244" t="str" s="63" cm="1">
        <f t="array" ref="AW244">"600/"&amp;$B244&amp;"/"&amp;IF(AND($AE244="Konsultansi",M244&lt;=100000000),"SPK",IF(AND($AE244="Konsultansi",M244&gt;100000000),"Kont",IF(AND($AE244&lt;&gt;"Konsultansi",M244&lt;=200000000),"SPK","Kont")))&amp;"-"&amp;AE244&amp;"/PPK/DPUPR"</f>
        <v>600/61392094/SPK-Konstruksi/PPK/DPUPR</v>
      </c>
      <c r="AX244" t="str" s="63" cm="1">
        <f t="array" ref="AX244">"600/"&amp;$B244&amp;"/SPMK/PPK/DPUPR"</f>
        <v>600/61392094/SPMK/PPK/DPUPR</v>
      </c>
      <c r="AY244" s="51"/>
      <c r="AZ244" s="51"/>
      <c r="BA244" s="51"/>
      <c r="BB244" s="51"/>
      <c r="BC244" s="51"/>
      <c r="BD244" s="51"/>
      <c r="BE244" s="51"/>
      <c r="BF244" s="51"/>
      <c r="BG244" s="64">
        <v>231</v>
      </c>
      <c r="BH244" t="s" s="57">
        <v>355</v>
      </c>
      <c r="BI244" t="s" s="57">
        <v>21</v>
      </c>
      <c r="BJ244" t="s" s="57">
        <v>22</v>
      </c>
      <c r="BK244" t="s" s="57">
        <v>23</v>
      </c>
      <c r="BL244" t="s" s="57">
        <v>24</v>
      </c>
      <c r="BM244" s="51"/>
      <c r="BN244" s="51"/>
      <c r="BO244" s="51"/>
      <c r="BP244" s="51"/>
      <c r="BQ244" s="51"/>
      <c r="BR244" t="b" s="60">
        <v>0</v>
      </c>
      <c r="BS244" s="54" cm="1">
        <f t="array" ref="BS244">IF(M244&lt;=0.8*K244,5%*K244,M244*5%)</f>
        <v>9486350</v>
      </c>
      <c r="BT244" t="s" s="57">
        <v>25</v>
      </c>
      <c r="BU244" s="51"/>
      <c r="BV244" s="54" cm="1">
        <f t="array" ref="BV244">J244-M244</f>
        <v>273000</v>
      </c>
    </row>
    <row r="245" ht="36.25" customHeight="1">
      <c r="A245" s="47"/>
      <c r="B245" s="48">
        <v>61392059</v>
      </c>
      <c r="C245" t="s" s="49">
        <v>1996</v>
      </c>
      <c r="D245" t="s" s="76">
        <v>1</v>
      </c>
      <c r="E245" t="str" s="67" cm="1">
        <f t="array" ref="E245">$C245</f>
        <v>Pemb. Jalan Desa Sipakainga - Teranggi</v>
      </c>
      <c r="F245" s="67"/>
      <c r="G245" s="67"/>
      <c r="H245" s="67"/>
      <c r="I245" s="67"/>
      <c r="J245" s="69">
        <v>190000000</v>
      </c>
      <c r="K245" s="69">
        <v>190000000</v>
      </c>
      <c r="L245" s="56">
        <v>189658486.12</v>
      </c>
      <c r="M245" s="69">
        <v>189658000</v>
      </c>
      <c r="N245" t="s" s="72">
        <v>1323</v>
      </c>
      <c r="O245" t="s" s="78">
        <v>1324</v>
      </c>
      <c r="P245" t="s" s="72">
        <v>4</v>
      </c>
      <c r="Q245" t="s" s="72">
        <v>1325</v>
      </c>
      <c r="R245" t="s" s="72">
        <v>1326</v>
      </c>
      <c r="S245" t="s" s="72">
        <v>1327</v>
      </c>
      <c r="T245" s="71">
        <v>45608</v>
      </c>
      <c r="U245" t="s" s="72">
        <v>149</v>
      </c>
      <c r="V245" t="s" s="72">
        <v>1328</v>
      </c>
      <c r="W245" t="s" s="72">
        <v>1329</v>
      </c>
      <c r="X245" s="79">
        <v>44</v>
      </c>
      <c r="Y245" t="s" s="72">
        <v>10</v>
      </c>
      <c r="Z245" s="69" cm="1">
        <f t="array" ref="Z245">M245</f>
        <v>189658000</v>
      </c>
      <c r="AA245" t="s" s="72">
        <v>11</v>
      </c>
      <c r="AB245" s="71" cm="1">
        <f t="array" ref="AB245">AH245</f>
        <v>45975</v>
      </c>
      <c r="AC245" s="79">
        <v>180</v>
      </c>
      <c r="AD245" t="s" s="72">
        <v>106</v>
      </c>
      <c r="AE245" t="s" s="72">
        <v>107</v>
      </c>
      <c r="AF245" t="s" s="72">
        <v>108</v>
      </c>
      <c r="AG245" s="71">
        <v>45974</v>
      </c>
      <c r="AH245" s="71">
        <v>45975</v>
      </c>
      <c r="AI245" s="71">
        <v>45975</v>
      </c>
      <c r="AJ245" s="71">
        <v>45978</v>
      </c>
      <c r="AK245" s="71">
        <v>45978</v>
      </c>
      <c r="AL245" s="71">
        <v>45978</v>
      </c>
      <c r="AM245" s="71">
        <v>45978</v>
      </c>
      <c r="AN245" t="s" s="72">
        <v>1997</v>
      </c>
      <c r="AO245" s="71" cm="1">
        <f t="array" ref="AO245">AJ245</f>
        <v>45978</v>
      </c>
      <c r="AP245" t="s" s="72">
        <v>1998</v>
      </c>
      <c r="AQ245" s="71" cm="1">
        <f t="array" ref="AQ245">AJ245</f>
        <v>45978</v>
      </c>
      <c r="AR245" t="s" s="72">
        <v>1999</v>
      </c>
      <c r="AS245" s="71" cm="1">
        <f t="array" ref="AS245">AJ245</f>
        <v>45978</v>
      </c>
      <c r="AT245" t="s" s="62">
        <v>2000</v>
      </c>
      <c r="AU245" s="71" cm="1">
        <f t="array" ref="AU245">AJ245</f>
        <v>45978</v>
      </c>
      <c r="AV245" s="67"/>
      <c r="AW245" t="str" s="74" cm="1">
        <f t="array" ref="AW245">"600/"&amp;$B245&amp;"/"&amp;IF(AND($AE245="Konsultansi",M245&lt;=100000000),"SPK",IF(AND($AE245="Konsultansi",M245&gt;100000000),"Kont",IF(AND($AE245&lt;&gt;"Konsultansi",M245&lt;=200000000),"SPK","Kont")))&amp;"-"&amp;AE245&amp;"/PPK/DPUPR"</f>
        <v>600/61392059/SPK-Konstruksi/PPK/DPUPR</v>
      </c>
      <c r="AX245" t="str" s="74" cm="1">
        <f t="array" ref="AX245">"600/"&amp;$B245&amp;"/SPMK/PPK/DPUPR"</f>
        <v>600/61392059/SPMK/PPK/DPUPR</v>
      </c>
      <c r="AY245" s="67"/>
      <c r="AZ245" s="67"/>
      <c r="BA245" s="67"/>
      <c r="BB245" s="67"/>
      <c r="BC245" s="67"/>
      <c r="BD245" s="67"/>
      <c r="BE245" s="67"/>
      <c r="BF245" s="67"/>
      <c r="BG245" s="80">
        <v>257</v>
      </c>
      <c r="BH245" t="s" s="72">
        <v>1323</v>
      </c>
      <c r="BI245" t="s" s="72">
        <v>21</v>
      </c>
      <c r="BJ245" t="s" s="72">
        <v>22</v>
      </c>
      <c r="BK245" t="s" s="72">
        <v>23</v>
      </c>
      <c r="BL245" t="s" s="72">
        <v>24</v>
      </c>
      <c r="BM245" s="67"/>
      <c r="BN245" s="67"/>
      <c r="BO245" s="67"/>
      <c r="BP245" s="67"/>
      <c r="BQ245" s="67"/>
      <c r="BR245" t="b" s="79">
        <v>0</v>
      </c>
      <c r="BS245" s="69" cm="1">
        <f t="array" ref="BS245">IF(M245&lt;=0.8*K245,5%*K245,M245*5%)</f>
        <v>9482900</v>
      </c>
      <c r="BT245" t="s" s="72">
        <v>25</v>
      </c>
      <c r="BU245" s="67"/>
      <c r="BV245" s="69" cm="1">
        <f t="array" ref="BV245">J245-M245</f>
        <v>342000</v>
      </c>
    </row>
    <row r="246" ht="48.25" customHeight="1">
      <c r="A246" s="47"/>
      <c r="B246" s="48">
        <v>61392073</v>
      </c>
      <c r="C246" t="s" s="49">
        <v>2003</v>
      </c>
      <c r="D246" t="s" s="50">
        <v>1</v>
      </c>
      <c r="E246" t="str" s="51" cm="1">
        <f t="array" ref="E246">$C246</f>
        <v>Pemb. Jalan Desa Bukit Harapan - Lembah Harapan</v>
      </c>
      <c r="F246" s="51"/>
      <c r="G246" s="51"/>
      <c r="H246" s="51"/>
      <c r="I246" s="51"/>
      <c r="J246" s="54">
        <v>109250000</v>
      </c>
      <c r="K246" s="54">
        <v>109250000</v>
      </c>
      <c r="L246" s="56">
        <v>108999082.77</v>
      </c>
      <c r="M246" s="54">
        <v>108999000</v>
      </c>
      <c r="N246" t="s" s="57">
        <v>1785</v>
      </c>
      <c r="O246" t="s" s="58">
        <v>1786</v>
      </c>
      <c r="P246" t="s" s="57">
        <v>4</v>
      </c>
      <c r="Q246" t="s" s="57">
        <v>1787</v>
      </c>
      <c r="R246" t="s" s="57">
        <v>1788</v>
      </c>
      <c r="S246" t="s" s="57">
        <v>295</v>
      </c>
      <c r="T246" s="61">
        <v>45809</v>
      </c>
      <c r="U246" t="s" s="57">
        <v>1789</v>
      </c>
      <c r="V246" t="s" s="57">
        <v>1790</v>
      </c>
      <c r="W246" t="s" s="57">
        <v>1791</v>
      </c>
      <c r="X246" s="60">
        <v>44</v>
      </c>
      <c r="Y246" t="s" s="57">
        <v>10</v>
      </c>
      <c r="Z246" s="54" cm="1">
        <f t="array" ref="Z246">M246</f>
        <v>108999000</v>
      </c>
      <c r="AA246" t="s" s="57">
        <v>11</v>
      </c>
      <c r="AB246" s="61" cm="1">
        <f t="array" ref="AB246">AH246</f>
        <v>45975</v>
      </c>
      <c r="AC246" s="60">
        <v>180</v>
      </c>
      <c r="AD246" t="s" s="57">
        <v>106</v>
      </c>
      <c r="AE246" t="s" s="57">
        <v>107</v>
      </c>
      <c r="AF246" t="s" s="57">
        <v>108</v>
      </c>
      <c r="AG246" s="61">
        <v>45974</v>
      </c>
      <c r="AH246" s="61">
        <v>45975</v>
      </c>
      <c r="AI246" s="61">
        <v>45975</v>
      </c>
      <c r="AJ246" s="61">
        <v>45978</v>
      </c>
      <c r="AK246" s="61">
        <v>45978</v>
      </c>
      <c r="AL246" s="61">
        <v>45978</v>
      </c>
      <c r="AM246" s="61">
        <v>45978</v>
      </c>
      <c r="AN246" t="s" s="57">
        <v>2004</v>
      </c>
      <c r="AO246" s="61" cm="1">
        <f t="array" ref="AO246">AJ246</f>
        <v>45978</v>
      </c>
      <c r="AP246" t="s" s="57">
        <v>2005</v>
      </c>
      <c r="AQ246" s="61" cm="1">
        <f t="array" ref="AQ246">AJ246</f>
        <v>45978</v>
      </c>
      <c r="AR246" t="s" s="57">
        <v>2006</v>
      </c>
      <c r="AS246" s="61" cm="1">
        <f t="array" ref="AS246">AJ246</f>
        <v>45978</v>
      </c>
      <c r="AT246" t="s" s="62">
        <v>2007</v>
      </c>
      <c r="AU246" s="61" cm="1">
        <f t="array" ref="AU246">AJ246</f>
        <v>45978</v>
      </c>
      <c r="AV246" s="51"/>
      <c r="AW246" t="str" s="63" cm="1">
        <f t="array" ref="AW246">"600/"&amp;$B246&amp;"/"&amp;IF(AND($AE246="Konsultansi",M246&lt;=100000000),"SPK",IF(AND($AE246="Konsultansi",M246&gt;100000000),"Kont",IF(AND($AE246&lt;&gt;"Konsultansi",M246&lt;=200000000),"SPK","Kont")))&amp;"-"&amp;AE246&amp;"/PPK/DPUPR"</f>
        <v>600/61392073/SPK-Konstruksi/PPK/DPUPR</v>
      </c>
      <c r="AX246" t="str" s="63" cm="1">
        <f t="array" ref="AX246">"600/"&amp;$B246&amp;"/SPMK/PPK/DPUPR"</f>
        <v>600/61392073/SPMK/PPK/DPUPR</v>
      </c>
      <c r="AY246" s="51"/>
      <c r="AZ246" s="51"/>
      <c r="BA246" s="51"/>
      <c r="BB246" s="51"/>
      <c r="BC246" s="51"/>
      <c r="BD246" s="51"/>
      <c r="BE246" s="51"/>
      <c r="BF246" s="51"/>
      <c r="BG246" s="64">
        <v>263</v>
      </c>
      <c r="BH246" t="s" s="57">
        <v>1785</v>
      </c>
      <c r="BI246" t="s" s="57">
        <v>21</v>
      </c>
      <c r="BJ246" t="s" s="57">
        <v>22</v>
      </c>
      <c r="BK246" t="s" s="57">
        <v>23</v>
      </c>
      <c r="BL246" t="s" s="57">
        <v>24</v>
      </c>
      <c r="BM246" s="51"/>
      <c r="BN246" s="51"/>
      <c r="BO246" s="51"/>
      <c r="BP246" s="51"/>
      <c r="BQ246" s="51"/>
      <c r="BR246" t="b" s="60">
        <v>0</v>
      </c>
      <c r="BS246" s="54" cm="1">
        <f t="array" ref="BS246">IF(M246&lt;=0.8*K246,5%*K246,M246*5%)</f>
        <v>5449950</v>
      </c>
      <c r="BT246" t="s" s="57">
        <v>25</v>
      </c>
      <c r="BU246" s="51"/>
      <c r="BV246" s="54" cm="1">
        <f t="array" ref="BV246">J246-M246</f>
        <v>251000</v>
      </c>
    </row>
    <row r="247" ht="36.25" customHeight="1">
      <c r="A247" s="47"/>
      <c r="B247" s="48">
        <v>61391802</v>
      </c>
      <c r="C247" t="s" s="49">
        <v>2010</v>
      </c>
      <c r="D247" t="s" s="76">
        <v>1</v>
      </c>
      <c r="E247" t="str" s="67" cm="1">
        <f t="array" ref="E247">$C247</f>
        <v>Pengawasan Pemb. Jalan Baras cs.</v>
      </c>
      <c r="F247" s="67"/>
      <c r="G247" s="67"/>
      <c r="H247" s="67"/>
      <c r="I247" s="67"/>
      <c r="J247" s="69">
        <v>100000000</v>
      </c>
      <c r="K247" s="69">
        <v>99969000</v>
      </c>
      <c r="L247" s="56">
        <v>99925152</v>
      </c>
      <c r="M247" s="69">
        <v>99481000</v>
      </c>
      <c r="N247" t="s" s="72">
        <v>185</v>
      </c>
      <c r="O247" t="s" s="78">
        <v>186</v>
      </c>
      <c r="P247" t="s" s="72">
        <v>4</v>
      </c>
      <c r="Q247" t="s" s="72">
        <v>187</v>
      </c>
      <c r="R247" t="s" s="72">
        <v>188</v>
      </c>
      <c r="S247" s="79">
        <v>23</v>
      </c>
      <c r="T247" s="71">
        <v>44495</v>
      </c>
      <c r="U247" t="s" s="72">
        <v>189</v>
      </c>
      <c r="V247" t="s" s="72">
        <v>190</v>
      </c>
      <c r="W247" t="s" s="72">
        <v>191</v>
      </c>
      <c r="X247" s="79">
        <v>61</v>
      </c>
      <c r="Y247" t="s" s="72">
        <v>10</v>
      </c>
      <c r="Z247" s="69" cm="1">
        <f t="array" ref="Z247">M247</f>
        <v>99481000</v>
      </c>
      <c r="AA247" t="s" s="72">
        <v>11</v>
      </c>
      <c r="AB247" s="71" cm="1">
        <f t="array" ref="AB247">AH247</f>
        <v>45961</v>
      </c>
      <c r="AC247" s="67"/>
      <c r="AD247" t="s" s="72">
        <v>12</v>
      </c>
      <c r="AE247" t="s" s="72">
        <v>13</v>
      </c>
      <c r="AF247" t="s" s="72">
        <v>108</v>
      </c>
      <c r="AG247" s="71">
        <v>45960</v>
      </c>
      <c r="AH247" s="71">
        <v>45961</v>
      </c>
      <c r="AI247" s="71">
        <v>45961</v>
      </c>
      <c r="AJ247" s="71">
        <v>45961</v>
      </c>
      <c r="AK247" s="71">
        <v>45961</v>
      </c>
      <c r="AL247" s="71">
        <v>45961</v>
      </c>
      <c r="AM247" s="71">
        <v>45961</v>
      </c>
      <c r="AN247" t="s" s="72">
        <v>2011</v>
      </c>
      <c r="AO247" s="71" cm="1">
        <f t="array" ref="AO247">AJ247</f>
        <v>45961</v>
      </c>
      <c r="AP247" t="s" s="72">
        <v>2012</v>
      </c>
      <c r="AQ247" s="71" cm="1">
        <f t="array" ref="AQ247">AJ247</f>
        <v>45961</v>
      </c>
      <c r="AR247" t="s" s="72">
        <v>2013</v>
      </c>
      <c r="AS247" s="71" cm="1">
        <f t="array" ref="AS247">AJ247</f>
        <v>45961</v>
      </c>
      <c r="AT247" t="s" s="62">
        <v>2014</v>
      </c>
      <c r="AU247" s="71" cm="1">
        <f t="array" ref="AU247">AJ247</f>
        <v>45961</v>
      </c>
      <c r="AV247" s="67"/>
      <c r="AW247" t="str" s="74" cm="1">
        <f t="array" ref="AW247">"600/"&amp;$B247&amp;"/"&amp;IF(AND($AE247="Konsultansi",M247&lt;=100000000),"SPK",IF(AND($AE247="Konsultansi",M247&gt;100000000),"Kont",IF(AND($AE247&lt;&gt;"Konsultansi",M247&lt;=200000000),"SPK","Kont")))&amp;"-"&amp;AE247&amp;"/PPK/DPUPR"</f>
        <v>600/61391802/SPK-Konsultansi/PPK/DPUPR</v>
      </c>
      <c r="AX247" t="str" s="74" cm="1">
        <f t="array" ref="AX247">"600/"&amp;$B247&amp;"/SPMK/PPK/DPUPR"</f>
        <v>600/61391802/SPMK/PPK/DPUPR</v>
      </c>
      <c r="AY247" s="67"/>
      <c r="AZ247" s="67"/>
      <c r="BA247" s="67"/>
      <c r="BB247" s="67"/>
      <c r="BC247" s="67"/>
      <c r="BD247" s="67"/>
      <c r="BE247" s="67"/>
      <c r="BF247" s="67"/>
      <c r="BG247" s="80">
        <v>223</v>
      </c>
      <c r="BH247" t="s" s="72">
        <v>185</v>
      </c>
      <c r="BI247" t="s" s="72">
        <v>21</v>
      </c>
      <c r="BJ247" t="s" s="72">
        <v>22</v>
      </c>
      <c r="BK247" t="s" s="72">
        <v>23</v>
      </c>
      <c r="BL247" t="s" s="72">
        <v>24</v>
      </c>
      <c r="BM247" s="67"/>
      <c r="BN247" s="67"/>
      <c r="BO247" s="67"/>
      <c r="BP247" s="67"/>
      <c r="BQ247" s="67"/>
      <c r="BR247" t="b" s="79">
        <v>0</v>
      </c>
      <c r="BS247" s="69" cm="1">
        <f t="array" ref="BS247">IF(M247&lt;=0.8*K247,5%*K247,M247*5%)</f>
        <v>4974050</v>
      </c>
      <c r="BT247" t="s" s="72">
        <v>25</v>
      </c>
      <c r="BU247" s="67"/>
      <c r="BV247" s="69" cm="1">
        <f t="array" ref="BV247">J247-M247</f>
        <v>519000</v>
      </c>
    </row>
    <row r="248" ht="48.25" customHeight="1">
      <c r="A248" s="47"/>
      <c r="B248" s="48">
        <v>61392190</v>
      </c>
      <c r="C248" t="s" s="49">
        <v>2017</v>
      </c>
      <c r="D248" t="s" s="50">
        <v>1</v>
      </c>
      <c r="E248" t="str" s="51" cm="1">
        <f t="array" ref="E248">$C248</f>
        <v>Pemb. Jalan Dsn. Teranja I</v>
      </c>
      <c r="F248" s="51"/>
      <c r="G248" s="51"/>
      <c r="H248" s="51"/>
      <c r="I248" s="51"/>
      <c r="J248" s="54">
        <v>195000000</v>
      </c>
      <c r="K248" s="54">
        <v>194999000</v>
      </c>
      <c r="L248" s="56">
        <v>194668962.07</v>
      </c>
      <c r="M248" s="54">
        <v>194668000</v>
      </c>
      <c r="N248" t="s" s="57">
        <v>355</v>
      </c>
      <c r="O248" t="s" s="58">
        <v>356</v>
      </c>
      <c r="P248" t="s" s="57">
        <v>4</v>
      </c>
      <c r="Q248" t="s" s="57">
        <v>357</v>
      </c>
      <c r="R248" t="s" s="57">
        <v>358</v>
      </c>
      <c r="S248" s="60">
        <v>171</v>
      </c>
      <c r="T248" s="61">
        <v>45320</v>
      </c>
      <c r="U248" t="s" s="57">
        <v>359</v>
      </c>
      <c r="V248" t="s" s="57">
        <v>360</v>
      </c>
      <c r="W248" t="s" s="57">
        <v>361</v>
      </c>
      <c r="X248" s="60">
        <v>44</v>
      </c>
      <c r="Y248" t="s" s="57">
        <v>10</v>
      </c>
      <c r="Z248" s="54" cm="1">
        <f t="array" ref="Z248">M248</f>
        <v>194668000</v>
      </c>
      <c r="AA248" t="s" s="57">
        <v>11</v>
      </c>
      <c r="AB248" s="61" cm="1">
        <f t="array" ref="AB248">AH248</f>
        <v>45975</v>
      </c>
      <c r="AC248" s="60">
        <v>180</v>
      </c>
      <c r="AD248" t="s" s="57">
        <v>106</v>
      </c>
      <c r="AE248" t="s" s="57">
        <v>107</v>
      </c>
      <c r="AF248" t="s" s="57">
        <v>108</v>
      </c>
      <c r="AG248" s="61">
        <v>45974</v>
      </c>
      <c r="AH248" s="61">
        <v>45975</v>
      </c>
      <c r="AI248" s="61">
        <v>45975</v>
      </c>
      <c r="AJ248" s="61">
        <v>45978</v>
      </c>
      <c r="AK248" s="61">
        <v>45978</v>
      </c>
      <c r="AL248" s="61">
        <v>45978</v>
      </c>
      <c r="AM248" s="61">
        <v>45978</v>
      </c>
      <c r="AN248" t="s" s="57">
        <v>2018</v>
      </c>
      <c r="AO248" s="61" cm="1">
        <f t="array" ref="AO248">AJ248</f>
        <v>45978</v>
      </c>
      <c r="AP248" t="s" s="57">
        <v>2019</v>
      </c>
      <c r="AQ248" s="61" cm="1">
        <f t="array" ref="AQ248">AJ248</f>
        <v>45978</v>
      </c>
      <c r="AR248" t="s" s="57">
        <v>2020</v>
      </c>
      <c r="AS248" s="61" cm="1">
        <f t="array" ref="AS248">AJ248</f>
        <v>45978</v>
      </c>
      <c r="AT248" t="s" s="62">
        <v>2021</v>
      </c>
      <c r="AU248" s="61" cm="1">
        <f t="array" ref="AU248">AJ248</f>
        <v>45978</v>
      </c>
      <c r="AV248" s="51"/>
      <c r="AW248" t="str" s="63" cm="1">
        <f t="array" ref="AW248">"600/"&amp;$B248&amp;"/"&amp;IF(AND($AE248="Konsultansi",M248&lt;=100000000),"SPK",IF(AND($AE248="Konsultansi",M248&gt;100000000),"Kont",IF(AND($AE248&lt;&gt;"Konsultansi",M248&lt;=200000000),"SPK","Kont")))&amp;"-"&amp;AE248&amp;"/PPK/DPUPR"</f>
        <v>600/61392190/SPK-Konstruksi/PPK/DPUPR</v>
      </c>
      <c r="AX248" t="str" s="63" cm="1">
        <f t="array" ref="AX248">"600/"&amp;$B248&amp;"/SPMK/PPK/DPUPR"</f>
        <v>600/61392190/SPMK/PPK/DPUPR</v>
      </c>
      <c r="AY248" s="51"/>
      <c r="AZ248" s="51"/>
      <c r="BA248" s="51"/>
      <c r="BB248" s="51"/>
      <c r="BC248" s="51"/>
      <c r="BD248" s="51"/>
      <c r="BE248" s="51"/>
      <c r="BF248" s="51"/>
      <c r="BG248" s="64">
        <v>231</v>
      </c>
      <c r="BH248" t="s" s="57">
        <v>355</v>
      </c>
      <c r="BI248" t="s" s="57">
        <v>21</v>
      </c>
      <c r="BJ248" t="s" s="57">
        <v>22</v>
      </c>
      <c r="BK248" t="s" s="57">
        <v>23</v>
      </c>
      <c r="BL248" t="s" s="57">
        <v>24</v>
      </c>
      <c r="BM248" s="51"/>
      <c r="BN248" s="51"/>
      <c r="BO248" s="51"/>
      <c r="BP248" s="51"/>
      <c r="BQ248" s="51"/>
      <c r="BR248" t="b" s="60">
        <v>0</v>
      </c>
      <c r="BS248" s="54" cm="1">
        <f t="array" ref="BS248">IF(M248&lt;=0.8*K248,5%*K248,M248*5%)</f>
        <v>9733400</v>
      </c>
      <c r="BT248" t="s" s="57">
        <v>25</v>
      </c>
      <c r="BU248" s="51"/>
      <c r="BV248" s="54" cm="1">
        <f t="array" ref="BV248">J248-M248</f>
        <v>332000</v>
      </c>
    </row>
    <row r="249" ht="36.25" customHeight="1">
      <c r="A249" s="47"/>
      <c r="B249" s="48">
        <v>61392199</v>
      </c>
      <c r="C249" t="s" s="49">
        <v>2024</v>
      </c>
      <c r="D249" t="s" s="76">
        <v>1</v>
      </c>
      <c r="E249" t="str" s="67" cm="1">
        <f t="array" ref="E249">$C249</f>
        <v>Pemb. Jalan Kelurahan Pasangkayu</v>
      </c>
      <c r="F249" s="67"/>
      <c r="G249" s="67"/>
      <c r="H249" s="67"/>
      <c r="I249" s="67"/>
      <c r="J249" s="69">
        <v>195000000</v>
      </c>
      <c r="K249" s="69">
        <v>194999000</v>
      </c>
      <c r="L249" s="56">
        <v>194731628.04</v>
      </c>
      <c r="M249" s="69">
        <v>194731000</v>
      </c>
      <c r="N249" t="s" s="72">
        <v>1951</v>
      </c>
      <c r="O249" t="s" s="78">
        <v>1952</v>
      </c>
      <c r="P249" t="s" s="72">
        <v>4</v>
      </c>
      <c r="Q249" t="s" s="72">
        <v>1953</v>
      </c>
      <c r="R249" t="s" s="72">
        <v>1954</v>
      </c>
      <c r="S249" t="s" s="72">
        <v>1955</v>
      </c>
      <c r="T249" s="71">
        <v>43707</v>
      </c>
      <c r="U249" t="s" s="72">
        <v>103</v>
      </c>
      <c r="V249" t="s" s="72">
        <v>1956</v>
      </c>
      <c r="W249" t="s" s="72">
        <v>1957</v>
      </c>
      <c r="X249" s="79">
        <v>44</v>
      </c>
      <c r="Y249" t="s" s="72">
        <v>10</v>
      </c>
      <c r="Z249" s="69" cm="1">
        <f t="array" ref="Z249">M249</f>
        <v>194731000</v>
      </c>
      <c r="AA249" t="s" s="72">
        <v>11</v>
      </c>
      <c r="AB249" s="71" cm="1">
        <f t="array" ref="AB249">AH249</f>
        <v>45975</v>
      </c>
      <c r="AC249" s="79">
        <v>180</v>
      </c>
      <c r="AD249" t="s" s="72">
        <v>106</v>
      </c>
      <c r="AE249" t="s" s="72">
        <v>107</v>
      </c>
      <c r="AF249" t="s" s="72">
        <v>108</v>
      </c>
      <c r="AG249" s="71">
        <v>45974</v>
      </c>
      <c r="AH249" s="71">
        <v>45975</v>
      </c>
      <c r="AI249" s="71">
        <v>45975</v>
      </c>
      <c r="AJ249" s="71">
        <v>45978</v>
      </c>
      <c r="AK249" s="71">
        <v>45978</v>
      </c>
      <c r="AL249" s="71">
        <v>45978</v>
      </c>
      <c r="AM249" s="71">
        <v>45978</v>
      </c>
      <c r="AN249" t="s" s="72">
        <v>2025</v>
      </c>
      <c r="AO249" s="71" cm="1">
        <f t="array" ref="AO249">AJ249</f>
        <v>45978</v>
      </c>
      <c r="AP249" t="s" s="72">
        <v>2026</v>
      </c>
      <c r="AQ249" s="71" cm="1">
        <f t="array" ref="AQ249">AJ249</f>
        <v>45978</v>
      </c>
      <c r="AR249" t="s" s="72">
        <v>2027</v>
      </c>
      <c r="AS249" s="71" cm="1">
        <f t="array" ref="AS249">AJ249</f>
        <v>45978</v>
      </c>
      <c r="AT249" t="s" s="62">
        <v>2028</v>
      </c>
      <c r="AU249" s="71" cm="1">
        <f t="array" ref="AU249">AJ249</f>
        <v>45978</v>
      </c>
      <c r="AV249" s="67"/>
      <c r="AW249" t="str" s="74" cm="1">
        <f t="array" ref="AW249">"600/"&amp;$B249&amp;"/"&amp;IF(AND($AE249="Konsultansi",M249&lt;=100000000),"SPK",IF(AND($AE249="Konsultansi",M249&gt;100000000),"Kont",IF(AND($AE249&lt;&gt;"Konsultansi",M249&lt;=200000000),"SPK","Kont")))&amp;"-"&amp;AE249&amp;"/PPK/DPUPR"</f>
        <v>600/61392199/SPK-Konstruksi/PPK/DPUPR</v>
      </c>
      <c r="AX249" t="str" s="74" cm="1">
        <f t="array" ref="AX249">"600/"&amp;$B249&amp;"/SPMK/PPK/DPUPR"</f>
        <v>600/61392199/SPMK/PPK/DPUPR</v>
      </c>
      <c r="AY249" s="67"/>
      <c r="AZ249" s="67"/>
      <c r="BA249" s="67"/>
      <c r="BB249" s="67"/>
      <c r="BC249" s="67"/>
      <c r="BD249" s="67"/>
      <c r="BE249" s="67"/>
      <c r="BF249" s="67"/>
      <c r="BG249" s="80">
        <v>86</v>
      </c>
      <c r="BH249" t="s" s="72">
        <v>1951</v>
      </c>
      <c r="BI249" t="s" s="72">
        <v>21</v>
      </c>
      <c r="BJ249" t="s" s="72">
        <v>22</v>
      </c>
      <c r="BK249" t="s" s="72">
        <v>23</v>
      </c>
      <c r="BL249" t="s" s="72">
        <v>24</v>
      </c>
      <c r="BM249" s="67"/>
      <c r="BN249" s="67"/>
      <c r="BO249" s="67"/>
      <c r="BP249" s="67"/>
      <c r="BQ249" s="67"/>
      <c r="BR249" t="b" s="79">
        <v>0</v>
      </c>
      <c r="BS249" s="69" cm="1">
        <f t="array" ref="BS249">IF(M249&lt;=0.8*K249,5%*K249,M249*5%)</f>
        <v>9736550</v>
      </c>
      <c r="BT249" t="s" s="72">
        <v>25</v>
      </c>
      <c r="BU249" s="67"/>
      <c r="BV249" s="69" cm="1">
        <f t="array" ref="BV249">J249-M249</f>
        <v>269000</v>
      </c>
    </row>
    <row r="250" ht="36.25" customHeight="1">
      <c r="A250" s="47"/>
      <c r="B250" s="48">
        <v>61392207</v>
      </c>
      <c r="C250" t="s" s="49">
        <v>2031</v>
      </c>
      <c r="D250" t="s" s="50">
        <v>1</v>
      </c>
      <c r="E250" t="str" s="51" cm="1">
        <f t="array" ref="E250">$C250</f>
        <v>Pemb. Jalan Rabat Beton Pasangkayu IV</v>
      </c>
      <c r="F250" s="51"/>
      <c r="G250" s="51"/>
      <c r="H250" s="51"/>
      <c r="I250" s="51"/>
      <c r="J250" s="94">
        <v>195046548.2</v>
      </c>
      <c r="K250" s="54">
        <v>194998000</v>
      </c>
      <c r="L250" s="56">
        <v>194826317.71</v>
      </c>
      <c r="M250" s="54">
        <v>194826000</v>
      </c>
      <c r="N250" t="s" s="57">
        <v>1951</v>
      </c>
      <c r="O250" t="s" s="58">
        <v>1952</v>
      </c>
      <c r="P250" t="s" s="57">
        <v>4</v>
      </c>
      <c r="Q250" t="s" s="57">
        <v>1953</v>
      </c>
      <c r="R250" t="s" s="57">
        <v>1954</v>
      </c>
      <c r="S250" t="s" s="57">
        <v>1955</v>
      </c>
      <c r="T250" s="61">
        <v>43707</v>
      </c>
      <c r="U250" t="s" s="57">
        <v>103</v>
      </c>
      <c r="V250" t="s" s="57">
        <v>1956</v>
      </c>
      <c r="W250" t="s" s="57">
        <v>1957</v>
      </c>
      <c r="X250" s="60">
        <v>44</v>
      </c>
      <c r="Y250" t="s" s="57">
        <v>10</v>
      </c>
      <c r="Z250" s="54" cm="1">
        <f t="array" ref="Z250">M250</f>
        <v>194826000</v>
      </c>
      <c r="AA250" t="s" s="57">
        <v>11</v>
      </c>
      <c r="AB250" s="61" cm="1">
        <f t="array" ref="AB250">AH250</f>
        <v>45975</v>
      </c>
      <c r="AC250" s="60">
        <v>180</v>
      </c>
      <c r="AD250" t="s" s="57">
        <v>106</v>
      </c>
      <c r="AE250" t="s" s="57">
        <v>107</v>
      </c>
      <c r="AF250" t="s" s="57">
        <v>108</v>
      </c>
      <c r="AG250" s="61">
        <v>45974</v>
      </c>
      <c r="AH250" s="61">
        <v>45975</v>
      </c>
      <c r="AI250" s="61">
        <v>45975</v>
      </c>
      <c r="AJ250" s="61">
        <v>45978</v>
      </c>
      <c r="AK250" s="61">
        <v>45978</v>
      </c>
      <c r="AL250" s="61">
        <v>45978</v>
      </c>
      <c r="AM250" s="61">
        <v>45978</v>
      </c>
      <c r="AN250" t="s" s="57">
        <v>2032</v>
      </c>
      <c r="AO250" s="61" cm="1">
        <f t="array" ref="AO250">AJ250</f>
        <v>45978</v>
      </c>
      <c r="AP250" t="s" s="57">
        <v>2033</v>
      </c>
      <c r="AQ250" s="61" cm="1">
        <f t="array" ref="AQ250">AJ250</f>
        <v>45978</v>
      </c>
      <c r="AR250" t="s" s="57">
        <v>2034</v>
      </c>
      <c r="AS250" s="61" cm="1">
        <f t="array" ref="AS250">AJ250</f>
        <v>45978</v>
      </c>
      <c r="AT250" t="s" s="62">
        <v>2035</v>
      </c>
      <c r="AU250" s="61" cm="1">
        <f t="array" ref="AU250">AJ250</f>
        <v>45978</v>
      </c>
      <c r="AV250" s="51"/>
      <c r="AW250" t="str" s="63" cm="1">
        <f t="array" ref="AW250">"600/"&amp;$B250&amp;"/"&amp;IF(AND($AE250="Konsultansi",M250&lt;=100000000),"SPK",IF(AND($AE250="Konsultansi",M250&gt;100000000),"Kont",IF(AND($AE250&lt;&gt;"Konsultansi",M250&lt;=200000000),"SPK","Kont")))&amp;"-"&amp;AE250&amp;"/PPK/DPUPR"</f>
        <v>600/61392207/SPK-Konstruksi/PPK/DPUPR</v>
      </c>
      <c r="AX250" t="str" s="63" cm="1">
        <f t="array" ref="AX250">"600/"&amp;$B250&amp;"/SPMK/PPK/DPUPR"</f>
        <v>600/61392207/SPMK/PPK/DPUPR</v>
      </c>
      <c r="AY250" s="51"/>
      <c r="AZ250" s="51"/>
      <c r="BA250" s="51"/>
      <c r="BB250" s="51"/>
      <c r="BC250" s="51"/>
      <c r="BD250" s="51"/>
      <c r="BE250" s="51"/>
      <c r="BF250" s="51"/>
      <c r="BG250" s="64">
        <v>86</v>
      </c>
      <c r="BH250" t="s" s="57">
        <v>1951</v>
      </c>
      <c r="BI250" t="s" s="57">
        <v>21</v>
      </c>
      <c r="BJ250" t="s" s="57">
        <v>22</v>
      </c>
      <c r="BK250" t="s" s="57">
        <v>23</v>
      </c>
      <c r="BL250" t="s" s="57">
        <v>24</v>
      </c>
      <c r="BM250" s="51"/>
      <c r="BN250" s="51"/>
      <c r="BO250" s="51"/>
      <c r="BP250" s="51"/>
      <c r="BQ250" s="51"/>
      <c r="BR250" t="b" s="60">
        <v>0</v>
      </c>
      <c r="BS250" s="54" cm="1">
        <f t="array" ref="BS250">IF(M250&lt;=0.8*K250,5%*K250,M250*5%)</f>
        <v>9741300</v>
      </c>
      <c r="BT250" t="s" s="57">
        <v>25</v>
      </c>
      <c r="BU250" s="51"/>
      <c r="BV250" s="94" cm="1">
        <f t="array" ref="BV250">J250-M250</f>
        <v>220548.2</v>
      </c>
    </row>
    <row r="251" ht="36.25" customHeight="1">
      <c r="A251" s="47"/>
      <c r="B251" s="48">
        <v>61392586</v>
      </c>
      <c r="C251" t="s" s="49">
        <v>2038</v>
      </c>
      <c r="D251" t="s" s="76">
        <v>2039</v>
      </c>
      <c r="E251" t="str" s="67" cm="1">
        <f t="array" ref="E251">$C251</f>
        <v>Perencanaan Saluran tersier D.I Sarude</v>
      </c>
      <c r="F251" s="67"/>
      <c r="G251" s="67"/>
      <c r="H251" s="67"/>
      <c r="I251" s="67"/>
      <c r="J251" s="69">
        <v>90000000</v>
      </c>
      <c r="K251" s="69">
        <v>89998000</v>
      </c>
      <c r="L251" s="56">
        <v>89881920</v>
      </c>
      <c r="M251" s="69">
        <v>89881000</v>
      </c>
      <c r="N251" t="s" s="72">
        <v>159</v>
      </c>
      <c r="O251" t="s" s="78">
        <v>160</v>
      </c>
      <c r="P251" t="s" s="72">
        <v>4</v>
      </c>
      <c r="Q251" t="s" s="72">
        <v>161</v>
      </c>
      <c r="R251" t="s" s="72">
        <v>162</v>
      </c>
      <c r="S251" t="s" s="72">
        <v>163</v>
      </c>
      <c r="T251" s="71">
        <v>45446</v>
      </c>
      <c r="U251" t="s" s="72">
        <v>164</v>
      </c>
      <c r="V251" t="s" s="72">
        <v>165</v>
      </c>
      <c r="W251" t="s" s="72">
        <v>166</v>
      </c>
      <c r="X251" s="79">
        <v>30</v>
      </c>
      <c r="Y251" t="s" s="72">
        <v>10</v>
      </c>
      <c r="Z251" s="69" cm="1">
        <f t="array" ref="Z251">M251</f>
        <v>89881000</v>
      </c>
      <c r="AA251" t="s" s="72">
        <v>11</v>
      </c>
      <c r="AB251" s="71" cm="1">
        <f t="array" ref="AB251">AH251</f>
        <v>45958</v>
      </c>
      <c r="AC251" s="67"/>
      <c r="AD251" t="s" s="72">
        <v>192</v>
      </c>
      <c r="AE251" t="s" s="72">
        <v>13</v>
      </c>
      <c r="AF251" t="s" s="72">
        <v>2040</v>
      </c>
      <c r="AG251" s="71">
        <v>45957</v>
      </c>
      <c r="AH251" s="71">
        <v>45958</v>
      </c>
      <c r="AI251" s="71">
        <v>45958</v>
      </c>
      <c r="AJ251" s="71">
        <v>45958</v>
      </c>
      <c r="AK251" s="71">
        <v>45961</v>
      </c>
      <c r="AL251" s="71">
        <v>45961</v>
      </c>
      <c r="AM251" s="71">
        <v>45961</v>
      </c>
      <c r="AN251" t="s" s="72">
        <v>2041</v>
      </c>
      <c r="AO251" s="71" cm="1">
        <f t="array" ref="AO251">AJ251</f>
        <v>45958</v>
      </c>
      <c r="AP251" t="s" s="72">
        <v>2042</v>
      </c>
      <c r="AQ251" s="71" cm="1">
        <f t="array" ref="AQ251">AJ251</f>
        <v>45958</v>
      </c>
      <c r="AR251" t="s" s="72">
        <v>2043</v>
      </c>
      <c r="AS251" s="71" cm="1">
        <f t="array" ref="AS251">AJ251</f>
        <v>45958</v>
      </c>
      <c r="AT251" t="s" s="62">
        <v>2044</v>
      </c>
      <c r="AU251" s="71" cm="1">
        <f t="array" ref="AU251">AJ251</f>
        <v>45958</v>
      </c>
      <c r="AV251" s="67"/>
      <c r="AW251" t="str" s="74" cm="1">
        <f t="array" ref="AW251">"600/"&amp;$B251&amp;"/"&amp;IF(AND($AE251="Konsultansi",M251&lt;=100000000),"SPK",IF(AND($AE251="Konsultansi",M251&gt;100000000),"Kont",IF(AND($AE251&lt;&gt;"Konsultansi",M251&lt;=200000000),"SPK","Kont")))&amp;"-"&amp;AE251&amp;"/PPK/DPUPR"</f>
        <v>600/61392586/SPK-Konsultansi/PPK/DPUPR</v>
      </c>
      <c r="AX251" t="str" s="74" cm="1">
        <f t="array" ref="AX251">"600/"&amp;$B251&amp;"/SPMK/PPK/DPUPR"</f>
        <v>600/61392586/SPMK/PPK/DPUPR</v>
      </c>
      <c r="AY251" s="67"/>
      <c r="AZ251" s="67"/>
      <c r="BA251" s="67"/>
      <c r="BB251" s="67"/>
      <c r="BC251" s="67"/>
      <c r="BD251" s="67"/>
      <c r="BE251" s="67"/>
      <c r="BF251" s="67"/>
      <c r="BG251" s="80">
        <v>245</v>
      </c>
      <c r="BH251" t="s" s="72">
        <v>159</v>
      </c>
      <c r="BI251" t="s" s="72">
        <v>21</v>
      </c>
      <c r="BJ251" t="s" s="72">
        <v>22</v>
      </c>
      <c r="BK251" t="s" s="72">
        <v>23</v>
      </c>
      <c r="BL251" t="s" s="72">
        <v>24</v>
      </c>
      <c r="BM251" s="67"/>
      <c r="BN251" s="67"/>
      <c r="BO251" s="67"/>
      <c r="BP251" s="67"/>
      <c r="BQ251" s="67"/>
      <c r="BR251" t="b" s="79">
        <v>0</v>
      </c>
      <c r="BS251" s="69" cm="1">
        <f t="array" ref="BS251">IF(M251&lt;=0.8*K251,5%*K251,M251*5%)</f>
        <v>4494050</v>
      </c>
      <c r="BT251" t="s" s="72">
        <v>115</v>
      </c>
      <c r="BU251" s="67"/>
      <c r="BV251" s="69" cm="1">
        <f t="array" ref="BV251">J251-M251</f>
        <v>119000</v>
      </c>
    </row>
    <row r="252" ht="36.25" customHeight="1">
      <c r="A252" s="47"/>
      <c r="B252" s="48">
        <v>61392595</v>
      </c>
      <c r="C252" t="s" s="49">
        <v>2047</v>
      </c>
      <c r="D252" t="s" s="50">
        <v>2039</v>
      </c>
      <c r="E252" t="str" s="51" cm="1">
        <f t="array" ref="E252">$C252</f>
        <v>Perencanaan Saluran tersier D.I Bambaira</v>
      </c>
      <c r="F252" s="51"/>
      <c r="G252" s="51"/>
      <c r="H252" s="51"/>
      <c r="I252" s="51"/>
      <c r="J252" s="54">
        <v>90000000</v>
      </c>
      <c r="K252" s="54">
        <v>89998000</v>
      </c>
      <c r="L252" s="56">
        <v>89904168</v>
      </c>
      <c r="M252" s="54">
        <v>89904000</v>
      </c>
      <c r="N252" t="s" s="57">
        <v>159</v>
      </c>
      <c r="O252" t="s" s="58">
        <v>160</v>
      </c>
      <c r="P252" t="s" s="57">
        <v>4</v>
      </c>
      <c r="Q252" t="s" s="57">
        <v>161</v>
      </c>
      <c r="R252" t="s" s="57">
        <v>162</v>
      </c>
      <c r="S252" t="s" s="57">
        <v>163</v>
      </c>
      <c r="T252" s="61">
        <v>45446</v>
      </c>
      <c r="U252" t="s" s="57">
        <v>164</v>
      </c>
      <c r="V252" t="s" s="57">
        <v>165</v>
      </c>
      <c r="W252" t="s" s="57">
        <v>166</v>
      </c>
      <c r="X252" s="60">
        <v>30</v>
      </c>
      <c r="Y252" t="s" s="57">
        <v>10</v>
      </c>
      <c r="Z252" s="54" cm="1">
        <f t="array" ref="Z252">M252</f>
        <v>89904000</v>
      </c>
      <c r="AA252" t="s" s="57">
        <v>11</v>
      </c>
      <c r="AB252" s="61" cm="1">
        <f t="array" ref="AB252">AH252</f>
        <v>45958</v>
      </c>
      <c r="AC252" s="51"/>
      <c r="AD252" t="s" s="57">
        <v>192</v>
      </c>
      <c r="AE252" t="s" s="57">
        <v>13</v>
      </c>
      <c r="AF252" t="s" s="57">
        <v>2040</v>
      </c>
      <c r="AG252" s="61">
        <v>45957</v>
      </c>
      <c r="AH252" s="61">
        <v>45958</v>
      </c>
      <c r="AI252" s="61">
        <v>45958</v>
      </c>
      <c r="AJ252" s="61">
        <v>45958</v>
      </c>
      <c r="AK252" s="61">
        <v>45961</v>
      </c>
      <c r="AL252" s="61">
        <v>45961</v>
      </c>
      <c r="AM252" s="61">
        <v>45961</v>
      </c>
      <c r="AN252" t="s" s="57">
        <v>2048</v>
      </c>
      <c r="AO252" s="61" cm="1">
        <f t="array" ref="AO252">AJ252</f>
        <v>45958</v>
      </c>
      <c r="AP252" t="s" s="57">
        <v>2049</v>
      </c>
      <c r="AQ252" s="61" cm="1">
        <f t="array" ref="AQ252">AJ252</f>
        <v>45958</v>
      </c>
      <c r="AR252" t="s" s="57">
        <v>2050</v>
      </c>
      <c r="AS252" s="61" cm="1">
        <f t="array" ref="AS252">AJ252</f>
        <v>45958</v>
      </c>
      <c r="AT252" t="s" s="62">
        <v>2051</v>
      </c>
      <c r="AU252" s="61" cm="1">
        <f t="array" ref="AU252">AJ252</f>
        <v>45958</v>
      </c>
      <c r="AV252" s="51"/>
      <c r="AW252" t="str" s="63" cm="1">
        <f t="array" ref="AW252">"600/"&amp;$B252&amp;"/"&amp;IF(AND($AE252="Konsultansi",M252&lt;=100000000),"SPK",IF(AND($AE252="Konsultansi",M252&gt;100000000),"Kont",IF(AND($AE252&lt;&gt;"Konsultansi",M252&lt;=200000000),"SPK","Kont")))&amp;"-"&amp;AE252&amp;"/PPK/DPUPR"</f>
        <v>600/61392595/SPK-Konsultansi/PPK/DPUPR</v>
      </c>
      <c r="AX252" t="str" s="63" cm="1">
        <f t="array" ref="AX252">"600/"&amp;$B252&amp;"/SPMK/PPK/DPUPR"</f>
        <v>600/61392595/SPMK/PPK/DPUPR</v>
      </c>
      <c r="AY252" s="51"/>
      <c r="AZ252" s="51"/>
      <c r="BA252" s="51"/>
      <c r="BB252" s="51"/>
      <c r="BC252" s="51"/>
      <c r="BD252" s="51"/>
      <c r="BE252" s="51"/>
      <c r="BF252" s="51"/>
      <c r="BG252" s="64">
        <v>245</v>
      </c>
      <c r="BH252" t="s" s="57">
        <v>159</v>
      </c>
      <c r="BI252" t="s" s="57">
        <v>21</v>
      </c>
      <c r="BJ252" t="s" s="57">
        <v>22</v>
      </c>
      <c r="BK252" t="s" s="57">
        <v>23</v>
      </c>
      <c r="BL252" t="s" s="57">
        <v>24</v>
      </c>
      <c r="BM252" s="51"/>
      <c r="BN252" s="51"/>
      <c r="BO252" s="51"/>
      <c r="BP252" s="51"/>
      <c r="BQ252" s="51"/>
      <c r="BR252" t="b" s="60">
        <v>0</v>
      </c>
      <c r="BS252" s="54" cm="1">
        <f t="array" ref="BS252">IF(M252&lt;=0.8*K252,5%*K252,M252*5%)</f>
        <v>4495200</v>
      </c>
      <c r="BT252" t="s" s="57">
        <v>115</v>
      </c>
      <c r="BU252" s="51"/>
      <c r="BV252" s="54" cm="1">
        <f t="array" ref="BV252">J252-M252</f>
        <v>96000</v>
      </c>
    </row>
    <row r="253" ht="36.25" customHeight="1">
      <c r="A253" s="47"/>
      <c r="B253" s="48">
        <v>61392616</v>
      </c>
      <c r="C253" t="s" s="49">
        <v>2054</v>
      </c>
      <c r="D253" t="s" s="76">
        <v>2039</v>
      </c>
      <c r="E253" t="str" s="67" cm="1">
        <f t="array" ref="E253">$C253</f>
        <v>Perencanaan Saluran tersier D.I Pangiang</v>
      </c>
      <c r="F253" s="67"/>
      <c r="G253" s="67"/>
      <c r="H253" s="67"/>
      <c r="I253" s="67"/>
      <c r="J253" s="69">
        <v>90000000</v>
      </c>
      <c r="K253" s="69">
        <v>89998000</v>
      </c>
      <c r="L253" s="56">
        <v>89893044</v>
      </c>
      <c r="M253" s="69">
        <v>89893000</v>
      </c>
      <c r="N253" t="s" s="72">
        <v>159</v>
      </c>
      <c r="O253" t="s" s="78">
        <v>160</v>
      </c>
      <c r="P253" t="s" s="72">
        <v>4</v>
      </c>
      <c r="Q253" t="s" s="72">
        <v>161</v>
      </c>
      <c r="R253" t="s" s="72">
        <v>162</v>
      </c>
      <c r="S253" t="s" s="72">
        <v>163</v>
      </c>
      <c r="T253" s="71">
        <v>45446</v>
      </c>
      <c r="U253" t="s" s="72">
        <v>164</v>
      </c>
      <c r="V253" t="s" s="72">
        <v>165</v>
      </c>
      <c r="W253" t="s" s="72">
        <v>166</v>
      </c>
      <c r="X253" s="79">
        <v>30</v>
      </c>
      <c r="Y253" t="s" s="72">
        <v>10</v>
      </c>
      <c r="Z253" s="69" cm="1">
        <f t="array" ref="Z253">M253</f>
        <v>89893000</v>
      </c>
      <c r="AA253" t="s" s="72">
        <v>11</v>
      </c>
      <c r="AB253" s="71" cm="1">
        <f t="array" ref="AB253">AH253</f>
        <v>45958</v>
      </c>
      <c r="AC253" s="67"/>
      <c r="AD253" t="s" s="72">
        <v>192</v>
      </c>
      <c r="AE253" t="s" s="72">
        <v>13</v>
      </c>
      <c r="AF253" t="s" s="72">
        <v>2040</v>
      </c>
      <c r="AG253" s="71">
        <v>45957</v>
      </c>
      <c r="AH253" s="71">
        <v>45958</v>
      </c>
      <c r="AI253" s="71">
        <v>45958</v>
      </c>
      <c r="AJ253" s="71">
        <v>45958</v>
      </c>
      <c r="AK253" s="71">
        <v>45961</v>
      </c>
      <c r="AL253" s="71">
        <v>45961</v>
      </c>
      <c r="AM253" s="71">
        <v>45961</v>
      </c>
      <c r="AN253" t="s" s="72">
        <v>2055</v>
      </c>
      <c r="AO253" s="71" cm="1">
        <f t="array" ref="AO253">AJ253</f>
        <v>45958</v>
      </c>
      <c r="AP253" t="s" s="72">
        <v>2056</v>
      </c>
      <c r="AQ253" s="71" cm="1">
        <f t="array" ref="AQ253">AJ253</f>
        <v>45958</v>
      </c>
      <c r="AR253" t="s" s="72">
        <v>2057</v>
      </c>
      <c r="AS253" s="71" cm="1">
        <f t="array" ref="AS253">AJ253</f>
        <v>45958</v>
      </c>
      <c r="AT253" t="s" s="62">
        <v>2058</v>
      </c>
      <c r="AU253" s="71" cm="1">
        <f t="array" ref="AU253">AJ253</f>
        <v>45958</v>
      </c>
      <c r="AV253" s="67"/>
      <c r="AW253" t="str" s="74" cm="1">
        <f t="array" ref="AW253">"600/"&amp;$B253&amp;"/"&amp;IF(AND($AE253="Konsultansi",M253&lt;=100000000),"SPK",IF(AND($AE253="Konsultansi",M253&gt;100000000),"Kont",IF(AND($AE253&lt;&gt;"Konsultansi",M253&lt;=200000000),"SPK","Kont")))&amp;"-"&amp;AE253&amp;"/PPK/DPUPR"</f>
        <v>600/61392616/SPK-Konsultansi/PPK/DPUPR</v>
      </c>
      <c r="AX253" t="str" s="74" cm="1">
        <f t="array" ref="AX253">"600/"&amp;$B253&amp;"/SPMK/PPK/DPUPR"</f>
        <v>600/61392616/SPMK/PPK/DPUPR</v>
      </c>
      <c r="AY253" s="67"/>
      <c r="AZ253" s="67"/>
      <c r="BA253" s="67"/>
      <c r="BB253" s="67"/>
      <c r="BC253" s="67"/>
      <c r="BD253" s="67"/>
      <c r="BE253" s="67"/>
      <c r="BF253" s="67"/>
      <c r="BG253" s="80">
        <v>245</v>
      </c>
      <c r="BH253" t="s" s="72">
        <v>159</v>
      </c>
      <c r="BI253" t="s" s="72">
        <v>21</v>
      </c>
      <c r="BJ253" t="s" s="72">
        <v>22</v>
      </c>
      <c r="BK253" t="s" s="72">
        <v>23</v>
      </c>
      <c r="BL253" t="s" s="72">
        <v>24</v>
      </c>
      <c r="BM253" s="67"/>
      <c r="BN253" s="67"/>
      <c r="BO253" s="67"/>
      <c r="BP253" s="67"/>
      <c r="BQ253" s="67"/>
      <c r="BR253" t="b" s="79">
        <v>0</v>
      </c>
      <c r="BS253" s="69" cm="1">
        <f t="array" ref="BS253">IF(M253&lt;=0.8*K253,5%*K253,M253*5%)</f>
        <v>4494650</v>
      </c>
      <c r="BT253" t="s" s="72">
        <v>115</v>
      </c>
      <c r="BU253" s="67"/>
      <c r="BV253" s="69" cm="1">
        <f t="array" ref="BV253">J253-M253</f>
        <v>107000</v>
      </c>
    </row>
    <row r="254" ht="36.25" customHeight="1">
      <c r="A254" s="47"/>
      <c r="B254" s="48">
        <v>61392630</v>
      </c>
      <c r="C254" t="s" s="49">
        <v>2061</v>
      </c>
      <c r="D254" t="s" s="50">
        <v>2039</v>
      </c>
      <c r="E254" t="str" s="51" cm="1">
        <f t="array" ref="E254">$C254</f>
        <v>Perencanaan Saluran tersier D.I Gunungsari &amp; Bambalu</v>
      </c>
      <c r="F254" s="51"/>
      <c r="G254" s="51"/>
      <c r="H254" s="51"/>
      <c r="I254" s="51"/>
      <c r="J254" s="54">
        <v>90000000</v>
      </c>
      <c r="K254" s="54">
        <v>89998000</v>
      </c>
      <c r="L254" s="56">
        <v>89904168</v>
      </c>
      <c r="M254" s="54">
        <v>89904000</v>
      </c>
      <c r="N254" t="s" s="57">
        <v>159</v>
      </c>
      <c r="O254" t="s" s="58">
        <v>160</v>
      </c>
      <c r="P254" t="s" s="57">
        <v>4</v>
      </c>
      <c r="Q254" t="s" s="57">
        <v>161</v>
      </c>
      <c r="R254" t="s" s="57">
        <v>162</v>
      </c>
      <c r="S254" t="s" s="57">
        <v>163</v>
      </c>
      <c r="T254" s="61">
        <v>45446</v>
      </c>
      <c r="U254" t="s" s="57">
        <v>164</v>
      </c>
      <c r="V254" t="s" s="57">
        <v>165</v>
      </c>
      <c r="W254" t="s" s="57">
        <v>166</v>
      </c>
      <c r="X254" s="60">
        <v>30</v>
      </c>
      <c r="Y254" t="s" s="57">
        <v>10</v>
      </c>
      <c r="Z254" s="54" cm="1">
        <f t="array" ref="Z254">M254</f>
        <v>89904000</v>
      </c>
      <c r="AA254" t="s" s="57">
        <v>11</v>
      </c>
      <c r="AB254" s="61" cm="1">
        <f t="array" ref="AB254">AH254</f>
        <v>45958</v>
      </c>
      <c r="AC254" s="51"/>
      <c r="AD254" t="s" s="57">
        <v>192</v>
      </c>
      <c r="AE254" t="s" s="57">
        <v>13</v>
      </c>
      <c r="AF254" t="s" s="57">
        <v>2040</v>
      </c>
      <c r="AG254" s="61">
        <v>45957</v>
      </c>
      <c r="AH254" s="61">
        <v>45958</v>
      </c>
      <c r="AI254" s="61">
        <v>45958</v>
      </c>
      <c r="AJ254" s="61">
        <v>45958</v>
      </c>
      <c r="AK254" s="61">
        <v>45961</v>
      </c>
      <c r="AL254" s="61">
        <v>45961</v>
      </c>
      <c r="AM254" s="61">
        <v>45961</v>
      </c>
      <c r="AN254" t="s" s="57">
        <v>2062</v>
      </c>
      <c r="AO254" s="61" cm="1">
        <f t="array" ref="AO254">AJ254</f>
        <v>45958</v>
      </c>
      <c r="AP254" t="s" s="57">
        <v>2063</v>
      </c>
      <c r="AQ254" s="61" cm="1">
        <f t="array" ref="AQ254">AJ254</f>
        <v>45958</v>
      </c>
      <c r="AR254" t="s" s="57">
        <v>2064</v>
      </c>
      <c r="AS254" s="61" cm="1">
        <f t="array" ref="AS254">AJ254</f>
        <v>45958</v>
      </c>
      <c r="AT254" t="s" s="62">
        <v>2065</v>
      </c>
      <c r="AU254" s="61" cm="1">
        <f t="array" ref="AU254">AJ254</f>
        <v>45958</v>
      </c>
      <c r="AV254" s="51"/>
      <c r="AW254" t="str" s="63" cm="1">
        <f t="array" ref="AW254">"600/"&amp;$B254&amp;"/"&amp;IF(AND($AE254="Konsultansi",M254&lt;=100000000),"SPK",IF(AND($AE254="Konsultansi",M254&gt;100000000),"Kont",IF(AND($AE254&lt;&gt;"Konsultansi",M254&lt;=200000000),"SPK","Kont")))&amp;"-"&amp;AE254&amp;"/PPK/DPUPR"</f>
        <v>600/61392630/SPK-Konsultansi/PPK/DPUPR</v>
      </c>
      <c r="AX254" t="str" s="63" cm="1">
        <f t="array" ref="AX254">"600/"&amp;$B254&amp;"/SPMK/PPK/DPUPR"</f>
        <v>600/61392630/SPMK/PPK/DPUPR</v>
      </c>
      <c r="AY254" s="51"/>
      <c r="AZ254" s="51"/>
      <c r="BA254" s="51"/>
      <c r="BB254" s="51"/>
      <c r="BC254" s="51"/>
      <c r="BD254" s="51"/>
      <c r="BE254" s="51"/>
      <c r="BF254" s="51"/>
      <c r="BG254" s="64">
        <v>245</v>
      </c>
      <c r="BH254" t="s" s="57">
        <v>159</v>
      </c>
      <c r="BI254" t="s" s="57">
        <v>21</v>
      </c>
      <c r="BJ254" t="s" s="57">
        <v>22</v>
      </c>
      <c r="BK254" t="s" s="57">
        <v>23</v>
      </c>
      <c r="BL254" t="s" s="57">
        <v>24</v>
      </c>
      <c r="BM254" s="51"/>
      <c r="BN254" s="51"/>
      <c r="BO254" s="51"/>
      <c r="BP254" s="51"/>
      <c r="BQ254" s="51"/>
      <c r="BR254" t="b" s="60">
        <v>0</v>
      </c>
      <c r="BS254" s="54" cm="1">
        <f t="array" ref="BS254">IF(M254&lt;=0.8*K254,5%*K254,M254*5%)</f>
        <v>4495200</v>
      </c>
      <c r="BT254" t="s" s="57">
        <v>115</v>
      </c>
      <c r="BU254" s="51"/>
      <c r="BV254" s="54" cm="1">
        <f t="array" ref="BV254">J254-M254</f>
        <v>96000</v>
      </c>
    </row>
    <row r="255" ht="36.25" customHeight="1">
      <c r="A255" s="47"/>
      <c r="B255" s="48">
        <v>61392650</v>
      </c>
      <c r="C255" t="s" s="49">
        <v>2068</v>
      </c>
      <c r="D255" t="s" s="76">
        <v>2039</v>
      </c>
      <c r="E255" t="str" s="67" cm="1">
        <f t="array" ref="E255">$C255</f>
        <v>Perencanaan Saluran tersier D.I Patika, Pedongga dan Rontojali</v>
      </c>
      <c r="F255" s="67"/>
      <c r="G255" s="67"/>
      <c r="H255" s="67"/>
      <c r="I255" s="67"/>
      <c r="J255" s="69">
        <v>90000000</v>
      </c>
      <c r="K255" s="69">
        <v>89998000</v>
      </c>
      <c r="L255" s="56">
        <v>89881920</v>
      </c>
      <c r="M255" s="69">
        <v>89881000</v>
      </c>
      <c r="N255" t="s" s="72">
        <v>159</v>
      </c>
      <c r="O255" t="s" s="78">
        <v>160</v>
      </c>
      <c r="P255" t="s" s="72">
        <v>4</v>
      </c>
      <c r="Q255" t="s" s="72">
        <v>161</v>
      </c>
      <c r="R255" t="s" s="72">
        <v>162</v>
      </c>
      <c r="S255" t="s" s="72">
        <v>163</v>
      </c>
      <c r="T255" s="71">
        <v>45446</v>
      </c>
      <c r="U255" t="s" s="72">
        <v>164</v>
      </c>
      <c r="V255" t="s" s="72">
        <v>165</v>
      </c>
      <c r="W255" t="s" s="72">
        <v>166</v>
      </c>
      <c r="X255" s="79">
        <v>30</v>
      </c>
      <c r="Y255" t="s" s="72">
        <v>10</v>
      </c>
      <c r="Z255" s="69" cm="1">
        <f t="array" ref="Z255">M255</f>
        <v>89881000</v>
      </c>
      <c r="AA255" t="s" s="72">
        <v>11</v>
      </c>
      <c r="AB255" s="71" cm="1">
        <f t="array" ref="AB255">AH255</f>
        <v>45958</v>
      </c>
      <c r="AC255" s="67"/>
      <c r="AD255" t="s" s="72">
        <v>192</v>
      </c>
      <c r="AE255" t="s" s="72">
        <v>13</v>
      </c>
      <c r="AF255" t="s" s="72">
        <v>2040</v>
      </c>
      <c r="AG255" s="71">
        <v>45957</v>
      </c>
      <c r="AH255" s="71">
        <v>45958</v>
      </c>
      <c r="AI255" s="71">
        <v>45958</v>
      </c>
      <c r="AJ255" s="71">
        <v>45958</v>
      </c>
      <c r="AK255" s="71">
        <v>45961</v>
      </c>
      <c r="AL255" s="71">
        <v>45961</v>
      </c>
      <c r="AM255" s="71">
        <v>45961</v>
      </c>
      <c r="AN255" t="s" s="72">
        <v>2069</v>
      </c>
      <c r="AO255" s="71" cm="1">
        <f t="array" ref="AO255">AJ255</f>
        <v>45958</v>
      </c>
      <c r="AP255" t="s" s="72">
        <v>2070</v>
      </c>
      <c r="AQ255" s="71" cm="1">
        <f t="array" ref="AQ255">AJ255</f>
        <v>45958</v>
      </c>
      <c r="AR255" t="s" s="72">
        <v>2071</v>
      </c>
      <c r="AS255" s="71" cm="1">
        <f t="array" ref="AS255">AJ255</f>
        <v>45958</v>
      </c>
      <c r="AT255" t="s" s="62">
        <v>2072</v>
      </c>
      <c r="AU255" s="71" cm="1">
        <f t="array" ref="AU255">AJ255</f>
        <v>45958</v>
      </c>
      <c r="AV255" s="67"/>
      <c r="AW255" t="str" s="74" cm="1">
        <f t="array" ref="AW255">"600/"&amp;$B255&amp;"/"&amp;IF(AND($AE255="Konsultansi",M255&lt;=100000000),"SPK",IF(AND($AE255="Konsultansi",M255&gt;100000000),"Kont",IF(AND($AE255&lt;&gt;"Konsultansi",M255&lt;=200000000),"SPK","Kont")))&amp;"-"&amp;AE255&amp;"/PPK/DPUPR"</f>
        <v>600/61392650/SPK-Konsultansi/PPK/DPUPR</v>
      </c>
      <c r="AX255" t="str" s="74" cm="1">
        <f t="array" ref="AX255">"600/"&amp;$B255&amp;"/SPMK/PPK/DPUPR"</f>
        <v>600/61392650/SPMK/PPK/DPUPR</v>
      </c>
      <c r="AY255" s="67"/>
      <c r="AZ255" s="67"/>
      <c r="BA255" s="67"/>
      <c r="BB255" s="67"/>
      <c r="BC255" s="67"/>
      <c r="BD255" s="67"/>
      <c r="BE255" s="67"/>
      <c r="BF255" s="67"/>
      <c r="BG255" s="80">
        <v>245</v>
      </c>
      <c r="BH255" t="s" s="72">
        <v>159</v>
      </c>
      <c r="BI255" t="s" s="72">
        <v>21</v>
      </c>
      <c r="BJ255" t="s" s="72">
        <v>22</v>
      </c>
      <c r="BK255" t="s" s="72">
        <v>23</v>
      </c>
      <c r="BL255" t="s" s="72">
        <v>24</v>
      </c>
      <c r="BM255" s="67"/>
      <c r="BN255" s="67"/>
      <c r="BO255" s="67"/>
      <c r="BP255" s="67"/>
      <c r="BQ255" s="67"/>
      <c r="BR255" t="b" s="79">
        <v>0</v>
      </c>
      <c r="BS255" s="69" cm="1">
        <f t="array" ref="BS255">IF(M255&lt;=0.8*K255,5%*K255,M255*5%)</f>
        <v>4494050</v>
      </c>
      <c r="BT255" t="s" s="72">
        <v>115</v>
      </c>
      <c r="BU255" s="67"/>
      <c r="BV255" s="69" cm="1">
        <f t="array" ref="BV255">J255-M255</f>
        <v>119000</v>
      </c>
    </row>
    <row r="256" ht="36.25" customHeight="1">
      <c r="A256" t="s" s="97">
        <v>1598</v>
      </c>
      <c r="B256" s="47"/>
      <c r="C256" t="s" s="49">
        <v>2075</v>
      </c>
      <c r="D256" t="s" s="50">
        <v>2039</v>
      </c>
      <c r="E256" t="str" s="51" cm="1">
        <f t="array" ref="E256">$C256</f>
        <v>Penyusunan Dokumen Perencanaan penanganan Pantai kab. Pasangkayu</v>
      </c>
      <c r="F256" s="51"/>
      <c r="G256" s="51"/>
      <c r="H256" s="51"/>
      <c r="I256" s="51"/>
      <c r="J256" s="54">
        <v>135000000</v>
      </c>
      <c r="K256" s="54"/>
      <c r="L256" s="56"/>
      <c r="M256" s="54"/>
      <c r="N256" t="s" s="57">
        <v>174</v>
      </c>
      <c r="O256" t="s" s="58">
        <v>174</v>
      </c>
      <c r="P256" t="s" s="57">
        <v>174</v>
      </c>
      <c r="Q256" t="s" s="57">
        <v>174</v>
      </c>
      <c r="R256" t="s" s="57">
        <v>174</v>
      </c>
      <c r="S256" t="s" s="57">
        <v>174</v>
      </c>
      <c r="T256" t="s" s="57">
        <v>174</v>
      </c>
      <c r="U256" t="s" s="57">
        <v>174</v>
      </c>
      <c r="V256" t="s" s="57">
        <v>174</v>
      </c>
      <c r="W256" t="s" s="57">
        <v>174</v>
      </c>
      <c r="X256" s="51"/>
      <c r="Y256" s="51"/>
      <c r="Z256" s="54" cm="1">
        <f t="array" ref="Z256">M256</f>
        <v>0</v>
      </c>
      <c r="AA256" s="51"/>
      <c r="AB256" s="61" cm="1">
        <f t="array" ref="AB256">AH256</f>
      </c>
      <c r="AC256" s="51"/>
      <c r="AD256" s="51"/>
      <c r="AE256" t="s" s="57">
        <v>175</v>
      </c>
      <c r="AF256" s="51"/>
      <c r="AG256" s="61"/>
      <c r="AH256" s="61"/>
      <c r="AI256" s="61"/>
      <c r="AJ256" s="61"/>
      <c r="AK256" s="61"/>
      <c r="AL256" s="61"/>
      <c r="AM256" s="61"/>
      <c r="AN256" t="s" s="57">
        <v>390</v>
      </c>
      <c r="AO256" s="51" cm="1">
        <f t="array" ref="AO256">AJ256</f>
      </c>
      <c r="AP256" t="s" s="57">
        <v>391</v>
      </c>
      <c r="AQ256" s="51" cm="1">
        <f t="array" ref="AQ256">AJ256</f>
      </c>
      <c r="AR256" t="s" s="57">
        <v>392</v>
      </c>
      <c r="AS256" s="51" cm="1">
        <f t="array" ref="AS256">AJ256</f>
      </c>
      <c r="AT256" t="s" s="62">
        <v>393</v>
      </c>
      <c r="AU256" s="51" cm="1">
        <f t="array" ref="AU256">AJ256</f>
      </c>
      <c r="AV256" s="51"/>
      <c r="AW256" t="str" s="63" cm="1">
        <f t="array" ref="AW256">"600/"&amp;$B256&amp;"/"&amp;IF(AND($AE256="Konsultansi",M256&lt;=100000000),"SPK",IF(AND($AE256="Konsultansi",M256&gt;100000000),"Kont",IF(AND($AE256&lt;&gt;"Konsultansi",M256&lt;=200000000),"SPK","Kont")))&amp;"-"&amp;AE256&amp;"/PPK/DPUPR"</f>
        <v>600//SPK-Barang/PPK/DPUPR</v>
      </c>
      <c r="AX256" t="str" s="63" cm="1">
        <f t="array" ref="AX256">"600/"&amp;$B256&amp;"/SPMK/PPK/DPUPR"</f>
        <v>600//SPMK/PPK/DPUPR</v>
      </c>
      <c r="AY256" s="51"/>
      <c r="AZ256" s="51"/>
      <c r="BA256" s="51"/>
      <c r="BB256" s="51"/>
      <c r="BC256" s="51"/>
      <c r="BD256" s="51"/>
      <c r="BE256" s="51"/>
      <c r="BF256" s="51"/>
      <c r="BG256" s="84"/>
      <c r="BH256" t="s" s="57">
        <v>182</v>
      </c>
      <c r="BI256" t="s" s="57">
        <v>21</v>
      </c>
      <c r="BJ256" t="s" s="57">
        <v>22</v>
      </c>
      <c r="BK256" t="s" s="57">
        <v>23</v>
      </c>
      <c r="BL256" t="s" s="57">
        <v>24</v>
      </c>
      <c r="BM256" s="51"/>
      <c r="BN256" s="51"/>
      <c r="BO256" s="51"/>
      <c r="BP256" s="51"/>
      <c r="BQ256" s="51"/>
      <c r="BR256" t="b" s="60">
        <v>0</v>
      </c>
      <c r="BS256" s="54" cm="1">
        <f t="array" ref="BS256">IF(M256&lt;=0.8*K256,5%*K256,M256*5%)</f>
        <v>0</v>
      </c>
      <c r="BT256" t="s" s="57">
        <v>115</v>
      </c>
      <c r="BU256" s="51"/>
      <c r="BV256" s="54" cm="1">
        <f t="array" ref="BV256">J256-M256</f>
        <v>135000000</v>
      </c>
    </row>
    <row r="257" ht="36.25" customHeight="1">
      <c r="A257" s="47"/>
      <c r="B257" s="48">
        <v>61393276</v>
      </c>
      <c r="C257" t="s" s="49">
        <v>2076</v>
      </c>
      <c r="D257" t="s" s="76">
        <v>280</v>
      </c>
      <c r="E257" t="str" s="67" cm="1">
        <f t="array" ref="E257">$C257</f>
        <v>Pembangunan Jembatan Lelejae (lanjutan)</v>
      </c>
      <c r="F257" s="67"/>
      <c r="G257" s="67"/>
      <c r="H257" s="67"/>
      <c r="I257" s="67"/>
      <c r="J257" s="69">
        <v>100000000</v>
      </c>
      <c r="K257" s="69">
        <v>100000000</v>
      </c>
      <c r="L257" s="56">
        <v>99742278.98</v>
      </c>
      <c r="M257" s="69">
        <v>99697000</v>
      </c>
      <c r="N257" t="s" s="72">
        <v>417</v>
      </c>
      <c r="O257" t="s" s="78">
        <v>418</v>
      </c>
      <c r="P257" t="s" s="72">
        <v>4</v>
      </c>
      <c r="Q257" t="s" s="72">
        <v>419</v>
      </c>
      <c r="R257" t="s" s="72">
        <v>420</v>
      </c>
      <c r="S257" s="79">
        <v>11</v>
      </c>
      <c r="T257" s="92">
        <v>42508</v>
      </c>
      <c r="U257" t="s" s="72">
        <v>121</v>
      </c>
      <c r="V257" t="s" s="72">
        <v>421</v>
      </c>
      <c r="W257" t="s" s="72">
        <v>422</v>
      </c>
      <c r="X257" s="79">
        <v>60</v>
      </c>
      <c r="Y257" t="s" s="72">
        <v>10</v>
      </c>
      <c r="Z257" s="69" cm="1">
        <f t="array" ref="Z257">M257</f>
        <v>99697000</v>
      </c>
      <c r="AA257" t="s" s="72">
        <v>11</v>
      </c>
      <c r="AB257" s="71" cm="1">
        <f t="array" ref="AB257">AH257</f>
        <v>45961</v>
      </c>
      <c r="AC257" s="79">
        <v>180</v>
      </c>
      <c r="AD257" t="s" s="72">
        <v>106</v>
      </c>
      <c r="AE257" t="s" s="72">
        <v>107</v>
      </c>
      <c r="AF257" t="s" s="72">
        <v>108</v>
      </c>
      <c r="AG257" s="71">
        <v>45960</v>
      </c>
      <c r="AH257" s="71">
        <v>45961</v>
      </c>
      <c r="AI257" s="71">
        <v>45961</v>
      </c>
      <c r="AJ257" s="71">
        <v>45961</v>
      </c>
      <c r="AK257" s="71">
        <v>45961</v>
      </c>
      <c r="AL257" s="71">
        <v>45961</v>
      </c>
      <c r="AM257" s="71">
        <v>45961</v>
      </c>
      <c r="AN257" t="s" s="72">
        <v>2077</v>
      </c>
      <c r="AO257" s="71" cm="1">
        <f t="array" ref="AO257">AJ257</f>
        <v>45961</v>
      </c>
      <c r="AP257" t="s" s="72">
        <v>2078</v>
      </c>
      <c r="AQ257" s="71" cm="1">
        <f t="array" ref="AQ257">AJ257</f>
        <v>45961</v>
      </c>
      <c r="AR257" t="s" s="72">
        <v>2079</v>
      </c>
      <c r="AS257" s="71" cm="1">
        <f t="array" ref="AS257">AJ257</f>
        <v>45961</v>
      </c>
      <c r="AT257" t="s" s="62">
        <v>2080</v>
      </c>
      <c r="AU257" s="71" cm="1">
        <f t="array" ref="AU257">AJ257</f>
        <v>45961</v>
      </c>
      <c r="AV257" s="67"/>
      <c r="AW257" t="str" s="74" cm="1">
        <f t="array" ref="AW257">"600/"&amp;$B257&amp;"/"&amp;IF(AND($AE257="Konsultansi",M257&lt;=100000000),"SPK",IF(AND($AE257="Konsultansi",M257&gt;100000000),"Kont",IF(AND($AE257&lt;&gt;"Konsultansi",M257&lt;=200000000),"SPK","Kont")))&amp;"-"&amp;AE257&amp;"/PPK/DPUPR"</f>
        <v>600/61393276/SPK-Konstruksi/PPK/DPUPR</v>
      </c>
      <c r="AX257" t="str" s="74" cm="1">
        <f t="array" ref="AX257">"600/"&amp;$B257&amp;"/SPMK/PPK/DPUPR"</f>
        <v>600/61393276/SPMK/PPK/DPUPR</v>
      </c>
      <c r="AY257" s="67"/>
      <c r="AZ257" s="67"/>
      <c r="BA257" s="67"/>
      <c r="BB257" s="67"/>
      <c r="BC257" s="67"/>
      <c r="BD257" s="67"/>
      <c r="BE257" s="67"/>
      <c r="BF257" s="67"/>
      <c r="BG257" s="80">
        <v>72</v>
      </c>
      <c r="BH257" t="s" s="72">
        <v>417</v>
      </c>
      <c r="BI257" t="s" s="72">
        <v>21</v>
      </c>
      <c r="BJ257" t="s" s="72">
        <v>22</v>
      </c>
      <c r="BK257" t="s" s="72">
        <v>23</v>
      </c>
      <c r="BL257" t="s" s="72">
        <v>24</v>
      </c>
      <c r="BM257" s="67"/>
      <c r="BN257" s="67"/>
      <c r="BO257" s="67"/>
      <c r="BP257" s="67"/>
      <c r="BQ257" s="67"/>
      <c r="BR257" t="b" s="79">
        <v>0</v>
      </c>
      <c r="BS257" s="69" cm="1">
        <f t="array" ref="BS257">IF(M257&lt;=0.8*K257,5%*K257,M257*5%)</f>
        <v>4984850</v>
      </c>
      <c r="BT257" t="s" s="72">
        <v>288</v>
      </c>
      <c r="BU257" s="67"/>
      <c r="BV257" s="69" cm="1">
        <f t="array" ref="BV257">J257-M257</f>
        <v>303000</v>
      </c>
    </row>
    <row r="258" ht="36.25" customHeight="1">
      <c r="A258" s="47"/>
      <c r="B258" s="48">
        <v>61393531</v>
      </c>
      <c r="C258" t="s" s="49">
        <v>2083</v>
      </c>
      <c r="D258" t="s" s="50">
        <v>415</v>
      </c>
      <c r="E258" t="str" s="51" cm="1">
        <f t="array" ref="E258">$C258</f>
        <v>Stock Desain Air Bersih Kabupaten Paket I</v>
      </c>
      <c r="F258" s="51"/>
      <c r="G258" s="51"/>
      <c r="H258" s="51"/>
      <c r="I258" s="51"/>
      <c r="J258" s="54">
        <v>75000000</v>
      </c>
      <c r="K258" s="54">
        <v>74999000</v>
      </c>
      <c r="L258" s="56">
        <v>74920140</v>
      </c>
      <c r="M258" s="54">
        <v>74920000</v>
      </c>
      <c r="N258" t="s" s="57">
        <v>1800</v>
      </c>
      <c r="O258" t="s" s="58">
        <v>1801</v>
      </c>
      <c r="P258" t="s" s="57">
        <v>4</v>
      </c>
      <c r="Q258" t="s" s="57">
        <v>1802</v>
      </c>
      <c r="R258" t="s" s="57">
        <v>1803</v>
      </c>
      <c r="S258" s="60">
        <v>53</v>
      </c>
      <c r="T258" s="61">
        <v>41288</v>
      </c>
      <c r="U258" t="s" s="57">
        <v>1804</v>
      </c>
      <c r="V258" t="s" s="57">
        <v>1805</v>
      </c>
      <c r="W258" t="s" s="57">
        <v>1806</v>
      </c>
      <c r="X258" s="60">
        <v>30</v>
      </c>
      <c r="Y258" t="s" s="57">
        <v>10</v>
      </c>
      <c r="Z258" s="54" cm="1">
        <f t="array" ref="Z258">M258</f>
        <v>74920000</v>
      </c>
      <c r="AA258" t="s" s="57">
        <v>11</v>
      </c>
      <c r="AB258" s="61" cm="1">
        <f t="array" ref="AB258">AH258</f>
        <v>45961</v>
      </c>
      <c r="AC258" s="51"/>
      <c r="AD258" t="s" s="57">
        <v>192</v>
      </c>
      <c r="AE258" t="s" s="57">
        <v>13</v>
      </c>
      <c r="AF258" t="s" s="57">
        <v>2040</v>
      </c>
      <c r="AG258" s="61">
        <v>45960</v>
      </c>
      <c r="AH258" s="61">
        <v>45961</v>
      </c>
      <c r="AI258" s="61">
        <v>45961</v>
      </c>
      <c r="AJ258" s="61">
        <v>45961</v>
      </c>
      <c r="AK258" s="61">
        <v>45961</v>
      </c>
      <c r="AL258" s="61">
        <v>45961</v>
      </c>
      <c r="AM258" s="61">
        <v>45961</v>
      </c>
      <c r="AN258" t="s" s="57">
        <v>2084</v>
      </c>
      <c r="AO258" s="61" cm="1">
        <f t="array" ref="AO258">AJ258</f>
        <v>45961</v>
      </c>
      <c r="AP258" t="s" s="57">
        <v>2085</v>
      </c>
      <c r="AQ258" s="61" cm="1">
        <f t="array" ref="AQ258">AJ258</f>
        <v>45961</v>
      </c>
      <c r="AR258" t="s" s="57">
        <v>2086</v>
      </c>
      <c r="AS258" s="61" cm="1">
        <f t="array" ref="AS258">AJ258</f>
        <v>45961</v>
      </c>
      <c r="AT258" t="s" s="62">
        <v>2087</v>
      </c>
      <c r="AU258" s="61" cm="1">
        <f t="array" ref="AU258">AJ258</f>
        <v>45961</v>
      </c>
      <c r="AV258" s="51"/>
      <c r="AW258" t="str" s="63" cm="1">
        <f t="array" ref="AW258">"600/"&amp;$B258&amp;"/"&amp;IF(AND($AE258="Konsultansi",M258&lt;=100000000),"SPK",IF(AND($AE258="Konsultansi",M258&gt;100000000),"Kont",IF(AND($AE258&lt;&gt;"Konsultansi",M258&lt;=200000000),"SPK","Kont")))&amp;"-"&amp;AE258&amp;"/PPK/DPUPR"</f>
        <v>600/61393531/SPK-Konsultansi/PPK/DPUPR</v>
      </c>
      <c r="AX258" t="str" s="63" cm="1">
        <f t="array" ref="AX258">"600/"&amp;$B258&amp;"/SPMK/PPK/DPUPR"</f>
        <v>600/61393531/SPMK/PPK/DPUPR</v>
      </c>
      <c r="AY258" s="51"/>
      <c r="AZ258" s="51"/>
      <c r="BA258" s="51"/>
      <c r="BB258" s="51"/>
      <c r="BC258" s="51"/>
      <c r="BD258" s="51"/>
      <c r="BE258" s="51"/>
      <c r="BF258" s="51"/>
      <c r="BG258" s="64">
        <v>1</v>
      </c>
      <c r="BH258" t="s" s="57">
        <v>1800</v>
      </c>
      <c r="BI258" t="s" s="57">
        <v>21</v>
      </c>
      <c r="BJ258" t="s" s="57">
        <v>22</v>
      </c>
      <c r="BK258" t="s" s="57">
        <v>23</v>
      </c>
      <c r="BL258" t="s" s="57">
        <v>24</v>
      </c>
      <c r="BM258" s="51"/>
      <c r="BN258" s="51"/>
      <c r="BO258" s="51"/>
      <c r="BP258" s="51"/>
      <c r="BQ258" s="51"/>
      <c r="BR258" t="b" s="60">
        <v>0</v>
      </c>
      <c r="BS258" s="54" cm="1">
        <f t="array" ref="BS258">IF(M258&lt;=0.8*K258,5%*K258,M258*5%)</f>
        <v>3746000</v>
      </c>
      <c r="BT258" t="s" s="57">
        <v>432</v>
      </c>
      <c r="BU258" s="51"/>
      <c r="BV258" s="54" cm="1">
        <f t="array" ref="BV258">J258-M258</f>
        <v>80000</v>
      </c>
    </row>
    <row r="259" ht="36.25" customHeight="1">
      <c r="A259" s="47"/>
      <c r="B259" s="48">
        <v>61393555</v>
      </c>
      <c r="C259" t="s" s="49">
        <v>2090</v>
      </c>
      <c r="D259" t="s" s="76">
        <v>415</v>
      </c>
      <c r="E259" t="str" s="67" cm="1">
        <f t="array" ref="E259">$C259</f>
        <v>Stock Desain Air Bersih Kabupaten Paket II</v>
      </c>
      <c r="F259" s="67"/>
      <c r="G259" s="67"/>
      <c r="H259" s="67"/>
      <c r="I259" s="67"/>
      <c r="J259" s="69">
        <v>75000000</v>
      </c>
      <c r="K259" s="69">
        <v>74999000</v>
      </c>
      <c r="L259" s="56">
        <v>74897892</v>
      </c>
      <c r="M259" s="69">
        <v>74897000</v>
      </c>
      <c r="N259" t="s" s="72">
        <v>1800</v>
      </c>
      <c r="O259" t="s" s="78">
        <v>1801</v>
      </c>
      <c r="P259" t="s" s="72">
        <v>4</v>
      </c>
      <c r="Q259" t="s" s="72">
        <v>1802</v>
      </c>
      <c r="R259" t="s" s="72">
        <v>1803</v>
      </c>
      <c r="S259" s="79">
        <v>53</v>
      </c>
      <c r="T259" s="71">
        <v>41288</v>
      </c>
      <c r="U259" t="s" s="72">
        <v>1804</v>
      </c>
      <c r="V259" t="s" s="72">
        <v>1805</v>
      </c>
      <c r="W259" t="s" s="72">
        <v>1806</v>
      </c>
      <c r="X259" s="79">
        <v>30</v>
      </c>
      <c r="Y259" t="s" s="72">
        <v>10</v>
      </c>
      <c r="Z259" s="69" cm="1">
        <f t="array" ref="Z259">M259</f>
        <v>74897000</v>
      </c>
      <c r="AA259" t="s" s="72">
        <v>11</v>
      </c>
      <c r="AB259" s="71" cm="1">
        <f t="array" ref="AB259">AH259</f>
        <v>45961</v>
      </c>
      <c r="AC259" s="67"/>
      <c r="AD259" t="s" s="72">
        <v>192</v>
      </c>
      <c r="AE259" t="s" s="72">
        <v>13</v>
      </c>
      <c r="AF259" t="s" s="72">
        <v>2040</v>
      </c>
      <c r="AG259" s="71">
        <v>45960</v>
      </c>
      <c r="AH259" s="71">
        <v>45961</v>
      </c>
      <c r="AI259" s="71">
        <v>45961</v>
      </c>
      <c r="AJ259" s="71">
        <v>45961</v>
      </c>
      <c r="AK259" s="71">
        <v>45961</v>
      </c>
      <c r="AL259" s="71">
        <v>45961</v>
      </c>
      <c r="AM259" s="71">
        <v>45961</v>
      </c>
      <c r="AN259" t="s" s="72">
        <v>2091</v>
      </c>
      <c r="AO259" s="71" cm="1">
        <f t="array" ref="AO259">AJ259</f>
        <v>45961</v>
      </c>
      <c r="AP259" t="s" s="72">
        <v>2092</v>
      </c>
      <c r="AQ259" s="71" cm="1">
        <f t="array" ref="AQ259">AJ259</f>
        <v>45961</v>
      </c>
      <c r="AR259" t="s" s="72">
        <v>2093</v>
      </c>
      <c r="AS259" s="71" cm="1">
        <f t="array" ref="AS259">AJ259</f>
        <v>45961</v>
      </c>
      <c r="AT259" t="s" s="62">
        <v>2094</v>
      </c>
      <c r="AU259" s="71" cm="1">
        <f t="array" ref="AU259">AJ259</f>
        <v>45961</v>
      </c>
      <c r="AV259" s="67"/>
      <c r="AW259" t="str" s="74" cm="1">
        <f t="array" ref="AW259">"600/"&amp;$B259&amp;"/"&amp;IF(AND($AE259="Konsultansi",M259&lt;=100000000),"SPK",IF(AND($AE259="Konsultansi",M259&gt;100000000),"Kont",IF(AND($AE259&lt;&gt;"Konsultansi",M259&lt;=200000000),"SPK","Kont")))&amp;"-"&amp;AE259&amp;"/PPK/DPUPR"</f>
        <v>600/61393555/SPK-Konsultansi/PPK/DPUPR</v>
      </c>
      <c r="AX259" t="str" s="74" cm="1">
        <f t="array" ref="AX259">"600/"&amp;$B259&amp;"/SPMK/PPK/DPUPR"</f>
        <v>600/61393555/SPMK/PPK/DPUPR</v>
      </c>
      <c r="AY259" s="67"/>
      <c r="AZ259" s="67"/>
      <c r="BA259" s="67"/>
      <c r="BB259" s="67"/>
      <c r="BC259" s="67"/>
      <c r="BD259" s="67"/>
      <c r="BE259" s="67"/>
      <c r="BF259" s="67"/>
      <c r="BG259" s="80">
        <v>1</v>
      </c>
      <c r="BH259" t="s" s="72">
        <v>1800</v>
      </c>
      <c r="BI259" t="s" s="72">
        <v>21</v>
      </c>
      <c r="BJ259" t="s" s="72">
        <v>22</v>
      </c>
      <c r="BK259" t="s" s="72">
        <v>23</v>
      </c>
      <c r="BL259" t="s" s="72">
        <v>24</v>
      </c>
      <c r="BM259" s="67"/>
      <c r="BN259" s="67"/>
      <c r="BO259" s="67"/>
      <c r="BP259" s="67"/>
      <c r="BQ259" s="67"/>
      <c r="BR259" t="b" s="79">
        <v>0</v>
      </c>
      <c r="BS259" s="69" cm="1">
        <f t="array" ref="BS259">IF(M259&lt;=0.8*K259,5%*K259,M259*5%)</f>
        <v>3744850</v>
      </c>
      <c r="BT259" t="s" s="72">
        <v>432</v>
      </c>
      <c r="BU259" s="67"/>
      <c r="BV259" s="69" cm="1">
        <f t="array" ref="BV259">J259-M259</f>
        <v>103000</v>
      </c>
    </row>
    <row r="260" ht="36.25" customHeight="1">
      <c r="A260" s="47"/>
      <c r="B260" s="48">
        <v>61393239</v>
      </c>
      <c r="C260" t="s" s="49">
        <v>2097</v>
      </c>
      <c r="D260" t="s" s="50">
        <v>280</v>
      </c>
      <c r="E260" t="str" s="51" cm="1">
        <f t="array" ref="E260">$C260</f>
        <v>Review Design Pembangunan Jembatan</v>
      </c>
      <c r="F260" s="51"/>
      <c r="G260" s="51"/>
      <c r="H260" s="51"/>
      <c r="I260" s="51"/>
      <c r="J260" s="54">
        <v>100000000</v>
      </c>
      <c r="K260" s="54">
        <v>99999000</v>
      </c>
      <c r="L260" s="56">
        <v>99893520</v>
      </c>
      <c r="M260" s="54">
        <v>99893000</v>
      </c>
      <c r="N260" t="s" s="57">
        <v>159</v>
      </c>
      <c r="O260" t="s" s="58">
        <v>160</v>
      </c>
      <c r="P260" t="s" s="57">
        <v>4</v>
      </c>
      <c r="Q260" t="s" s="57">
        <v>161</v>
      </c>
      <c r="R260" t="s" s="57">
        <v>162</v>
      </c>
      <c r="S260" t="s" s="57">
        <v>163</v>
      </c>
      <c r="T260" s="61">
        <v>45446</v>
      </c>
      <c r="U260" t="s" s="57">
        <v>164</v>
      </c>
      <c r="V260" t="s" s="57">
        <v>165</v>
      </c>
      <c r="W260" t="s" s="57">
        <v>166</v>
      </c>
      <c r="X260" s="60">
        <v>30</v>
      </c>
      <c r="Y260" t="s" s="57">
        <v>10</v>
      </c>
      <c r="Z260" s="54" cm="1">
        <f t="array" ref="Z260">M260</f>
        <v>99893000</v>
      </c>
      <c r="AA260" t="s" s="57">
        <v>11</v>
      </c>
      <c r="AB260" s="61" cm="1">
        <f t="array" ref="AB260">AH260</f>
        <v>45961</v>
      </c>
      <c r="AC260" s="51"/>
      <c r="AD260" t="s" s="57">
        <v>192</v>
      </c>
      <c r="AE260" t="s" s="57">
        <v>13</v>
      </c>
      <c r="AF260" t="s" s="57">
        <v>399</v>
      </c>
      <c r="AG260" s="61">
        <v>45960</v>
      </c>
      <c r="AH260" s="61">
        <v>45961</v>
      </c>
      <c r="AI260" s="61">
        <v>45961</v>
      </c>
      <c r="AJ260" s="61">
        <v>45961</v>
      </c>
      <c r="AK260" s="61">
        <v>45961</v>
      </c>
      <c r="AL260" s="61">
        <v>45961</v>
      </c>
      <c r="AM260" s="61">
        <v>45961</v>
      </c>
      <c r="AN260" t="s" s="57">
        <v>2098</v>
      </c>
      <c r="AO260" s="61" cm="1">
        <f t="array" ref="AO260">AJ260</f>
        <v>45961</v>
      </c>
      <c r="AP260" t="s" s="57">
        <v>2099</v>
      </c>
      <c r="AQ260" s="61" cm="1">
        <f t="array" ref="AQ260">AJ260</f>
        <v>45961</v>
      </c>
      <c r="AR260" t="s" s="57">
        <v>2100</v>
      </c>
      <c r="AS260" s="61" cm="1">
        <f t="array" ref="AS260">AJ260</f>
        <v>45961</v>
      </c>
      <c r="AT260" t="s" s="62">
        <v>2101</v>
      </c>
      <c r="AU260" s="61" cm="1">
        <f t="array" ref="AU260">AJ260</f>
        <v>45961</v>
      </c>
      <c r="AV260" s="51"/>
      <c r="AW260" t="str" s="63" cm="1">
        <f t="array" ref="AW260">"600/"&amp;$B260&amp;"/"&amp;IF(AND($AE260="Konsultansi",M260&lt;=100000000),"SPK",IF(AND($AE260="Konsultansi",M260&gt;100000000),"Kont",IF(AND($AE260&lt;&gt;"Konsultansi",M260&lt;=200000000),"SPK","Kont")))&amp;"-"&amp;AE260&amp;"/PPK/DPUPR"</f>
        <v>600/61393239/SPK-Konsultansi/PPK/DPUPR</v>
      </c>
      <c r="AX260" t="str" s="63" cm="1">
        <f t="array" ref="AX260">"600/"&amp;$B260&amp;"/SPMK/PPK/DPUPR"</f>
        <v>600/61393239/SPMK/PPK/DPUPR</v>
      </c>
      <c r="AY260" s="51"/>
      <c r="AZ260" s="51"/>
      <c r="BA260" s="51"/>
      <c r="BB260" s="51"/>
      <c r="BC260" s="51"/>
      <c r="BD260" s="51"/>
      <c r="BE260" s="51"/>
      <c r="BF260" s="51"/>
      <c r="BG260" s="64">
        <v>245</v>
      </c>
      <c r="BH260" t="s" s="57">
        <v>159</v>
      </c>
      <c r="BI260" t="s" s="57">
        <v>21</v>
      </c>
      <c r="BJ260" t="s" s="57">
        <v>22</v>
      </c>
      <c r="BK260" t="s" s="57">
        <v>23</v>
      </c>
      <c r="BL260" t="s" s="57">
        <v>24</v>
      </c>
      <c r="BM260" s="51"/>
      <c r="BN260" s="51"/>
      <c r="BO260" s="51"/>
      <c r="BP260" s="51"/>
      <c r="BQ260" s="51"/>
      <c r="BR260" t="b" s="60">
        <v>0</v>
      </c>
      <c r="BS260" s="54" cm="1">
        <f t="array" ref="BS260">IF(M260&lt;=0.8*K260,5%*K260,M260*5%)</f>
        <v>4994650</v>
      </c>
      <c r="BT260" t="s" s="57">
        <v>288</v>
      </c>
      <c r="BU260" s="51"/>
      <c r="BV260" s="54" cm="1">
        <f t="array" ref="BV260">J260-M260</f>
        <v>107000</v>
      </c>
    </row>
    <row r="261" ht="36.25" customHeight="1">
      <c r="A261" s="47"/>
      <c r="B261" s="48">
        <v>61393374</v>
      </c>
      <c r="C261" t="s" s="49">
        <v>2104</v>
      </c>
      <c r="D261" t="s" s="76">
        <v>280</v>
      </c>
      <c r="E261" t="str" s="67" cm="1">
        <f t="array" ref="E261">$C261</f>
        <v>Pembangunan Jembatan saluwira Lanjutan (Talud &amp; Oprit)</v>
      </c>
      <c r="F261" s="67"/>
      <c r="G261" s="67"/>
      <c r="H261" s="67"/>
      <c r="I261" s="67"/>
      <c r="J261" s="69">
        <v>200000000</v>
      </c>
      <c r="K261" s="69">
        <v>184732000</v>
      </c>
      <c r="L261" s="56">
        <v>184449479.44</v>
      </c>
      <c r="M261" s="69">
        <v>184449000</v>
      </c>
      <c r="N261" t="s" s="72">
        <v>145</v>
      </c>
      <c r="O261" t="s" s="78">
        <v>146</v>
      </c>
      <c r="P261" t="s" s="72">
        <v>4</v>
      </c>
      <c r="Q261" t="s" s="72">
        <v>147</v>
      </c>
      <c r="R261" t="s" s="72">
        <v>101</v>
      </c>
      <c r="S261" t="s" s="72">
        <v>148</v>
      </c>
      <c r="T261" s="71">
        <v>44987</v>
      </c>
      <c r="U261" t="s" s="72">
        <v>149</v>
      </c>
      <c r="V261" t="s" s="72">
        <v>150</v>
      </c>
      <c r="W261" t="s" s="72">
        <v>151</v>
      </c>
      <c r="X261" s="79">
        <v>60</v>
      </c>
      <c r="Y261" t="s" s="72">
        <v>10</v>
      </c>
      <c r="Z261" s="69" cm="1">
        <f t="array" ref="Z261">M261</f>
        <v>184449000</v>
      </c>
      <c r="AA261" t="s" s="72">
        <v>11</v>
      </c>
      <c r="AB261" s="71" cm="1">
        <f t="array" ref="AB261">AH261</f>
        <v>45961</v>
      </c>
      <c r="AC261" s="79">
        <v>180</v>
      </c>
      <c r="AD261" t="s" s="72">
        <v>106</v>
      </c>
      <c r="AE261" t="s" s="72">
        <v>107</v>
      </c>
      <c r="AF261" t="s" s="72">
        <v>108</v>
      </c>
      <c r="AG261" s="71">
        <v>45960</v>
      </c>
      <c r="AH261" s="71">
        <v>45961</v>
      </c>
      <c r="AI261" s="71">
        <v>45961</v>
      </c>
      <c r="AJ261" s="71">
        <v>45961</v>
      </c>
      <c r="AK261" s="71">
        <v>45961</v>
      </c>
      <c r="AL261" s="71">
        <v>45961</v>
      </c>
      <c r="AM261" s="71">
        <v>45961</v>
      </c>
      <c r="AN261" t="s" s="72">
        <v>2105</v>
      </c>
      <c r="AO261" s="71" cm="1">
        <f t="array" ref="AO261">AJ261</f>
        <v>45961</v>
      </c>
      <c r="AP261" t="s" s="72">
        <v>2106</v>
      </c>
      <c r="AQ261" s="71" cm="1">
        <f t="array" ref="AQ261">AJ261</f>
        <v>45961</v>
      </c>
      <c r="AR261" t="s" s="72">
        <v>2107</v>
      </c>
      <c r="AS261" s="71" cm="1">
        <f t="array" ref="AS261">AJ261</f>
        <v>45961</v>
      </c>
      <c r="AT261" t="s" s="62">
        <v>2108</v>
      </c>
      <c r="AU261" s="71" cm="1">
        <f t="array" ref="AU261">AJ261</f>
        <v>45961</v>
      </c>
      <c r="AV261" s="67"/>
      <c r="AW261" t="str" s="74" cm="1">
        <f t="array" ref="AW261">"600/"&amp;$B261&amp;"/"&amp;IF(AND($AE261="Konsultansi",M261&lt;=100000000),"SPK",IF(AND($AE261="Konsultansi",M261&gt;100000000),"Kont",IF(AND($AE261&lt;&gt;"Konsultansi",M261&lt;=200000000),"SPK","Kont")))&amp;"-"&amp;AE261&amp;"/PPK/DPUPR"</f>
        <v>600/61393374/SPK-Konstruksi/PPK/DPUPR</v>
      </c>
      <c r="AX261" t="str" s="74" cm="1">
        <f t="array" ref="AX261">"600/"&amp;$B261&amp;"/SPMK/PPK/DPUPR"</f>
        <v>600/61393374/SPMK/PPK/DPUPR</v>
      </c>
      <c r="AY261" s="67"/>
      <c r="AZ261" s="67"/>
      <c r="BA261" s="67"/>
      <c r="BB261" s="67"/>
      <c r="BC261" s="67"/>
      <c r="BD261" s="67"/>
      <c r="BE261" s="67"/>
      <c r="BF261" s="67"/>
      <c r="BG261" s="80">
        <v>18</v>
      </c>
      <c r="BH261" t="s" s="72">
        <v>145</v>
      </c>
      <c r="BI261" t="s" s="72">
        <v>21</v>
      </c>
      <c r="BJ261" t="s" s="72">
        <v>22</v>
      </c>
      <c r="BK261" t="s" s="72">
        <v>23</v>
      </c>
      <c r="BL261" t="s" s="72">
        <v>24</v>
      </c>
      <c r="BM261" s="67"/>
      <c r="BN261" s="67"/>
      <c r="BO261" s="67"/>
      <c r="BP261" s="67"/>
      <c r="BQ261" s="67"/>
      <c r="BR261" t="b" s="79">
        <v>0</v>
      </c>
      <c r="BS261" s="69" cm="1">
        <f t="array" ref="BS261">IF(M261&lt;=0.8*K261,5%*K261,M261*5%)</f>
        <v>9222450</v>
      </c>
      <c r="BT261" t="s" s="72">
        <v>288</v>
      </c>
      <c r="BU261" s="67"/>
      <c r="BV261" s="69" cm="1">
        <f t="array" ref="BV261">J261-M261</f>
        <v>15551000</v>
      </c>
    </row>
    <row r="262" ht="48.25" customHeight="1">
      <c r="A262" s="47"/>
      <c r="B262" s="48">
        <v>61391867</v>
      </c>
      <c r="C262" t="s" s="49">
        <v>2111</v>
      </c>
      <c r="D262" t="s" s="50">
        <v>1</v>
      </c>
      <c r="E262" t="str" s="51" cm="1">
        <f t="array" ref="E262">$C262</f>
        <v>Pemb. Jalan Kec. Pasangkayu</v>
      </c>
      <c r="F262" s="51"/>
      <c r="G262" s="51"/>
      <c r="H262" s="51"/>
      <c r="I262" s="51"/>
      <c r="J262" s="54">
        <v>200000000</v>
      </c>
      <c r="K262" s="54">
        <v>200000000</v>
      </c>
      <c r="L262" s="56">
        <v>199706556.98</v>
      </c>
      <c r="M262" s="54">
        <v>199706000</v>
      </c>
      <c r="N262" t="s" s="57">
        <v>355</v>
      </c>
      <c r="O262" t="s" s="58">
        <v>356</v>
      </c>
      <c r="P262" t="s" s="57">
        <v>4</v>
      </c>
      <c r="Q262" t="s" s="57">
        <v>357</v>
      </c>
      <c r="R262" t="s" s="57">
        <v>358</v>
      </c>
      <c r="S262" s="60">
        <v>171</v>
      </c>
      <c r="T262" s="61">
        <v>45320</v>
      </c>
      <c r="U262" t="s" s="57">
        <v>359</v>
      </c>
      <c r="V262" t="s" s="57">
        <v>360</v>
      </c>
      <c r="W262" t="s" s="57">
        <v>361</v>
      </c>
      <c r="X262" s="60">
        <v>44</v>
      </c>
      <c r="Y262" t="s" s="57">
        <v>10</v>
      </c>
      <c r="Z262" s="54" cm="1">
        <f t="array" ref="Z262">M262</f>
        <v>199706000</v>
      </c>
      <c r="AA262" t="s" s="57">
        <v>11</v>
      </c>
      <c r="AB262" s="61" cm="1">
        <f t="array" ref="AB262">AH262</f>
        <v>45975</v>
      </c>
      <c r="AC262" s="60">
        <v>180</v>
      </c>
      <c r="AD262" t="s" s="57">
        <v>106</v>
      </c>
      <c r="AE262" t="s" s="57">
        <v>107</v>
      </c>
      <c r="AF262" t="s" s="57">
        <v>108</v>
      </c>
      <c r="AG262" s="61">
        <v>45974</v>
      </c>
      <c r="AH262" s="61">
        <v>45975</v>
      </c>
      <c r="AI262" s="61">
        <v>45975</v>
      </c>
      <c r="AJ262" s="61">
        <v>45978</v>
      </c>
      <c r="AK262" s="61">
        <v>45978</v>
      </c>
      <c r="AL262" s="61">
        <v>45978</v>
      </c>
      <c r="AM262" s="61">
        <v>45978</v>
      </c>
      <c r="AN262" t="s" s="57">
        <v>2112</v>
      </c>
      <c r="AO262" s="61" cm="1">
        <f t="array" ref="AO262">AJ262</f>
        <v>45978</v>
      </c>
      <c r="AP262" t="s" s="57">
        <v>2113</v>
      </c>
      <c r="AQ262" s="61" cm="1">
        <f t="array" ref="AQ262">AJ262</f>
        <v>45978</v>
      </c>
      <c r="AR262" t="s" s="57">
        <v>2114</v>
      </c>
      <c r="AS262" s="61" cm="1">
        <f t="array" ref="AS262">AJ262</f>
        <v>45978</v>
      </c>
      <c r="AT262" t="s" s="62">
        <v>2115</v>
      </c>
      <c r="AU262" s="61" cm="1">
        <f t="array" ref="AU262">AJ262</f>
        <v>45978</v>
      </c>
      <c r="AV262" s="51"/>
      <c r="AW262" t="str" s="63" cm="1">
        <f t="array" ref="AW262">"600/"&amp;$B262&amp;"/"&amp;IF(AND($AE262="Konsultansi",M262&lt;=100000000),"SPK",IF(AND($AE262="Konsultansi",M262&gt;100000000),"Kont",IF(AND($AE262&lt;&gt;"Konsultansi",M262&lt;=200000000),"SPK","Kont")))&amp;"-"&amp;AE262&amp;"/PPK/DPUPR"</f>
        <v>600/61391867/SPK-Konstruksi/PPK/DPUPR</v>
      </c>
      <c r="AX262" t="str" s="63" cm="1">
        <f t="array" ref="AX262">"600/"&amp;$B262&amp;"/SPMK/PPK/DPUPR"</f>
        <v>600/61391867/SPMK/PPK/DPUPR</v>
      </c>
      <c r="AY262" s="51"/>
      <c r="AZ262" s="51"/>
      <c r="BA262" s="51"/>
      <c r="BB262" s="51"/>
      <c r="BC262" s="51"/>
      <c r="BD262" s="51"/>
      <c r="BE262" s="51"/>
      <c r="BF262" s="51"/>
      <c r="BG262" s="64">
        <v>231</v>
      </c>
      <c r="BH262" t="s" s="57">
        <v>355</v>
      </c>
      <c r="BI262" t="s" s="57">
        <v>21</v>
      </c>
      <c r="BJ262" t="s" s="57">
        <v>22</v>
      </c>
      <c r="BK262" t="s" s="57">
        <v>23</v>
      </c>
      <c r="BL262" t="s" s="57">
        <v>24</v>
      </c>
      <c r="BM262" s="51"/>
      <c r="BN262" s="51"/>
      <c r="BO262" s="51"/>
      <c r="BP262" s="51"/>
      <c r="BQ262" s="51"/>
      <c r="BR262" t="b" s="60">
        <v>0</v>
      </c>
      <c r="BS262" s="54" cm="1">
        <f t="array" ref="BS262">IF(M262&lt;=0.8*K262,5%*K262,M262*5%)</f>
        <v>9985300</v>
      </c>
      <c r="BT262" t="s" s="57">
        <v>25</v>
      </c>
      <c r="BU262" s="51"/>
      <c r="BV262" s="54" cm="1">
        <f t="array" ref="BV262">J262-M262</f>
        <v>294000</v>
      </c>
    </row>
    <row r="263" ht="36.25" customHeight="1">
      <c r="A263" t="s" s="97">
        <v>2118</v>
      </c>
      <c r="B263" s="48">
        <v>59421187</v>
      </c>
      <c r="C263" t="s" s="49">
        <v>2119</v>
      </c>
      <c r="D263" t="s" s="76">
        <v>280</v>
      </c>
      <c r="E263" t="str" s="67" cm="1">
        <f t="array" ref="E263">$C263</f>
        <v>Pemb. Plat Duicker Pasangkayu</v>
      </c>
      <c r="F263" s="67"/>
      <c r="G263" s="67"/>
      <c r="H263" s="67"/>
      <c r="I263" s="67"/>
      <c r="J263" s="69">
        <v>58989130</v>
      </c>
      <c r="K263" s="69">
        <v>57870000</v>
      </c>
      <c r="L263" s="56">
        <v>57638618.01</v>
      </c>
      <c r="M263" s="69">
        <v>57638000</v>
      </c>
      <c r="N263" t="s" s="72">
        <v>1536</v>
      </c>
      <c r="O263" t="s" s="78">
        <v>1537</v>
      </c>
      <c r="P263" t="s" s="72">
        <v>4</v>
      </c>
      <c r="Q263" t="s" s="72">
        <v>1538</v>
      </c>
      <c r="R263" t="s" s="72">
        <v>1539</v>
      </c>
      <c r="S263" s="105">
        <v>0.0213082259663033</v>
      </c>
      <c r="T263" s="71">
        <v>43242</v>
      </c>
      <c r="U263" t="s" s="72">
        <v>164</v>
      </c>
      <c r="V263" t="s" s="72">
        <v>1540</v>
      </c>
      <c r="W263" t="s" s="72">
        <v>1541</v>
      </c>
      <c r="X263" s="79">
        <v>44</v>
      </c>
      <c r="Y263" t="s" s="72">
        <v>10</v>
      </c>
      <c r="Z263" s="69" cm="1">
        <f t="array" ref="Z263">M263</f>
        <v>57638000</v>
      </c>
      <c r="AA263" t="s" s="72">
        <v>11</v>
      </c>
      <c r="AB263" s="71" cm="1">
        <f t="array" ref="AB263">AH263</f>
        <v>45975</v>
      </c>
      <c r="AC263" s="79">
        <v>180</v>
      </c>
      <c r="AD263" t="s" s="72">
        <v>106</v>
      </c>
      <c r="AE263" t="s" s="72">
        <v>107</v>
      </c>
      <c r="AF263" t="s" s="72">
        <v>399</v>
      </c>
      <c r="AG263" s="71">
        <v>45974</v>
      </c>
      <c r="AH263" s="71">
        <v>45975</v>
      </c>
      <c r="AI263" s="71">
        <v>45975</v>
      </c>
      <c r="AJ263" s="71">
        <v>45978</v>
      </c>
      <c r="AK263" s="71">
        <v>45978</v>
      </c>
      <c r="AL263" s="71">
        <v>45978</v>
      </c>
      <c r="AM263" s="71">
        <v>45978</v>
      </c>
      <c r="AN263" t="s" s="72">
        <v>2120</v>
      </c>
      <c r="AO263" s="71" cm="1">
        <f t="array" ref="AO263">AJ263</f>
        <v>45978</v>
      </c>
      <c r="AP263" t="s" s="72">
        <v>2121</v>
      </c>
      <c r="AQ263" s="71" cm="1">
        <f t="array" ref="AQ263">AJ263</f>
        <v>45978</v>
      </c>
      <c r="AR263" t="s" s="72">
        <v>2122</v>
      </c>
      <c r="AS263" s="71" cm="1">
        <f t="array" ref="AS263">AJ263</f>
        <v>45978</v>
      </c>
      <c r="AT263" t="s" s="62">
        <v>2123</v>
      </c>
      <c r="AU263" s="71" cm="1">
        <f t="array" ref="AU263">AJ263</f>
        <v>45978</v>
      </c>
      <c r="AV263" s="67"/>
      <c r="AW263" t="str" s="74" cm="1">
        <f t="array" ref="AW263">"600/"&amp;$B263&amp;"/"&amp;IF(AND($AE263="Konsultansi",M263&lt;=100000000),"SPK",IF(AND($AE263="Konsultansi",M263&gt;100000000),"Kont",IF(AND($AE263&lt;&gt;"Konsultansi",M263&lt;=200000000),"SPK","Kont")))&amp;"-"&amp;AE263&amp;"/PPK/DPUPR"</f>
        <v>600/59421187/SPK-Konstruksi/PPK/DPUPR</v>
      </c>
      <c r="AX263" t="str" s="74" cm="1">
        <f t="array" ref="AX263">"600/"&amp;$B263&amp;"/SPMK/PPK/DPUPR"</f>
        <v>600/59421187/SPMK/PPK/DPUPR</v>
      </c>
      <c r="AY263" s="67"/>
      <c r="AZ263" s="67"/>
      <c r="BA263" s="67"/>
      <c r="BB263" s="67"/>
      <c r="BC263" s="67"/>
      <c r="BD263" s="67"/>
      <c r="BE263" s="67"/>
      <c r="BF263" s="67"/>
      <c r="BG263" s="80">
        <v>171</v>
      </c>
      <c r="BH263" t="s" s="72">
        <v>1536</v>
      </c>
      <c r="BI263" t="s" s="72">
        <v>21</v>
      </c>
      <c r="BJ263" t="s" s="72">
        <v>22</v>
      </c>
      <c r="BK263" t="s" s="72">
        <v>23</v>
      </c>
      <c r="BL263" t="s" s="72">
        <v>24</v>
      </c>
      <c r="BM263" s="67"/>
      <c r="BN263" s="67"/>
      <c r="BO263" s="67"/>
      <c r="BP263" s="67"/>
      <c r="BQ263" s="67"/>
      <c r="BR263" t="b" s="79">
        <v>0</v>
      </c>
      <c r="BS263" s="69" cm="1">
        <f t="array" ref="BS263">IF(M263&lt;=0.8*K263,5%*K263,M263*5%)</f>
        <v>2881900</v>
      </c>
      <c r="BT263" t="s" s="72">
        <v>288</v>
      </c>
      <c r="BU263" s="67"/>
      <c r="BV263" s="69" cm="1">
        <f t="array" ref="BV263">J263-M263</f>
        <v>1351130</v>
      </c>
    </row>
    <row r="264" ht="32.25" customHeight="1">
      <c r="A264" s="47"/>
      <c r="B264" s="47"/>
      <c r="C264" t="s" s="49">
        <v>2126</v>
      </c>
      <c r="D264" s="82"/>
      <c r="E264" t="str" s="51" cm="1">
        <f t="array" ref="E264">$C264</f>
        <v>Pembangunan Jalan Desa Pangiang (TMMD)</v>
      </c>
      <c r="F264" s="51"/>
      <c r="G264" s="51"/>
      <c r="H264" s="51"/>
      <c r="I264" s="51"/>
      <c r="J264" s="54">
        <v>385000000</v>
      </c>
      <c r="K264" s="54"/>
      <c r="L264" s="56"/>
      <c r="M264" s="54"/>
      <c r="N264" t="s" s="57">
        <v>174</v>
      </c>
      <c r="O264" t="s" s="58">
        <v>174</v>
      </c>
      <c r="P264" t="s" s="57">
        <v>174</v>
      </c>
      <c r="Q264" t="s" s="57">
        <v>174</v>
      </c>
      <c r="R264" t="s" s="57">
        <v>174</v>
      </c>
      <c r="S264" t="s" s="57">
        <v>174</v>
      </c>
      <c r="T264" t="s" s="57">
        <v>174</v>
      </c>
      <c r="U264" t="s" s="57">
        <v>174</v>
      </c>
      <c r="V264" t="s" s="57">
        <v>174</v>
      </c>
      <c r="W264" t="s" s="57">
        <v>174</v>
      </c>
      <c r="X264" s="51"/>
      <c r="Y264" s="51"/>
      <c r="Z264" s="54" cm="1">
        <f t="array" ref="Z264">M264</f>
        <v>0</v>
      </c>
      <c r="AA264" s="51"/>
      <c r="AB264" s="61" cm="1">
        <f t="array" ref="AB264">AH264</f>
      </c>
      <c r="AC264" s="51"/>
      <c r="AD264" s="51"/>
      <c r="AE264" t="s" s="57">
        <v>175</v>
      </c>
      <c r="AF264" s="51"/>
      <c r="AG264" s="61"/>
      <c r="AH264" s="61"/>
      <c r="AI264" s="61"/>
      <c r="AJ264" s="61"/>
      <c r="AK264" s="61"/>
      <c r="AL264" s="61"/>
      <c r="AM264" s="61"/>
      <c r="AN264" t="s" s="57">
        <v>390</v>
      </c>
      <c r="AO264" s="51" cm="1">
        <f t="array" ref="AO264">AJ264</f>
      </c>
      <c r="AP264" t="s" s="57">
        <v>391</v>
      </c>
      <c r="AQ264" s="51" cm="1">
        <f t="array" ref="AQ264">AJ264</f>
      </c>
      <c r="AR264" t="s" s="57">
        <v>392</v>
      </c>
      <c r="AS264" s="51" cm="1">
        <f t="array" ref="AS264">AJ264</f>
      </c>
      <c r="AT264" t="s" s="62">
        <v>393</v>
      </c>
      <c r="AU264" s="51" cm="1">
        <f t="array" ref="AU264">AJ264</f>
      </c>
      <c r="AV264" s="51"/>
      <c r="AW264" t="str" s="63" cm="1">
        <f t="array" ref="AW264">"600/"&amp;$B264&amp;"/"&amp;IF(AND($AE264="Konsultansi",M264&lt;=100000000),"SPK",IF(AND($AE264="Konsultansi",M264&gt;100000000),"Kont",IF(AND($AE264&lt;&gt;"Konsultansi",M264&lt;=200000000),"SPK","Kont")))&amp;"-"&amp;AE264&amp;"/PPK/DPUPR"</f>
        <v>600//SPK-Barang/PPK/DPUPR</v>
      </c>
      <c r="AX264" t="str" s="63" cm="1">
        <f t="array" ref="AX264">"600/"&amp;$B264&amp;"/SPMK/PPK/DPUPR"</f>
        <v>600//SPMK/PPK/DPUPR</v>
      </c>
      <c r="AY264" s="51"/>
      <c r="AZ264" s="51"/>
      <c r="BA264" s="51"/>
      <c r="BB264" s="51"/>
      <c r="BC264" s="51"/>
      <c r="BD264" s="51"/>
      <c r="BE264" s="51"/>
      <c r="BF264" s="51"/>
      <c r="BG264" s="84"/>
      <c r="BH264" t="s" s="57">
        <v>182</v>
      </c>
      <c r="BI264" t="s" s="57">
        <v>21</v>
      </c>
      <c r="BJ264" t="s" s="57">
        <v>22</v>
      </c>
      <c r="BK264" t="s" s="57">
        <v>23</v>
      </c>
      <c r="BL264" t="s" s="57">
        <v>24</v>
      </c>
      <c r="BM264" s="51"/>
      <c r="BN264" s="51"/>
      <c r="BO264" s="51"/>
      <c r="BP264" s="51"/>
      <c r="BQ264" s="51"/>
      <c r="BR264" t="b" s="60">
        <v>0</v>
      </c>
      <c r="BS264" s="54" cm="1">
        <f t="array" ref="BS264">IF(M264&lt;=0.8*K264,5%*K264,M264*5%)</f>
        <v>0</v>
      </c>
      <c r="BT264" t="s" s="57">
        <v>183</v>
      </c>
      <c r="BU264" s="51"/>
      <c r="BV264" s="54" cm="1">
        <f t="array" ref="BV264">J264-M264</f>
        <v>385000000</v>
      </c>
    </row>
    <row r="265" ht="32.25" customHeight="1">
      <c r="A265" s="47"/>
      <c r="B265" s="47"/>
      <c r="C265" t="s" s="49">
        <v>2127</v>
      </c>
      <c r="D265" s="66"/>
      <c r="E265" t="str" s="67" cm="1">
        <f t="array" ref="E265">$C265</f>
        <v>Pemb. Jalan Rabat Beton Desa Pangiang (TMMD)</v>
      </c>
      <c r="F265" s="67"/>
      <c r="G265" s="67"/>
      <c r="H265" s="67"/>
      <c r="I265" s="67"/>
      <c r="J265" s="69">
        <v>200000000</v>
      </c>
      <c r="K265" s="69"/>
      <c r="L265" s="56"/>
      <c r="M265" s="69"/>
      <c r="N265" t="s" s="72">
        <v>174</v>
      </c>
      <c r="O265" t="s" s="78">
        <v>174</v>
      </c>
      <c r="P265" t="s" s="72">
        <v>174</v>
      </c>
      <c r="Q265" t="s" s="72">
        <v>174</v>
      </c>
      <c r="R265" t="s" s="72">
        <v>174</v>
      </c>
      <c r="S265" t="s" s="72">
        <v>174</v>
      </c>
      <c r="T265" t="s" s="72">
        <v>174</v>
      </c>
      <c r="U265" t="s" s="72">
        <v>174</v>
      </c>
      <c r="V265" t="s" s="72">
        <v>174</v>
      </c>
      <c r="W265" t="s" s="72">
        <v>174</v>
      </c>
      <c r="X265" s="67"/>
      <c r="Y265" s="67"/>
      <c r="Z265" s="69" cm="1">
        <f t="array" ref="Z265">M265</f>
        <v>0</v>
      </c>
      <c r="AA265" s="67"/>
      <c r="AB265" s="71" cm="1">
        <f t="array" ref="AB265">AH265</f>
      </c>
      <c r="AC265" s="67"/>
      <c r="AD265" s="67"/>
      <c r="AE265" t="s" s="72">
        <v>175</v>
      </c>
      <c r="AF265" s="67"/>
      <c r="AG265" s="71"/>
      <c r="AH265" s="71"/>
      <c r="AI265" s="71"/>
      <c r="AJ265" s="71"/>
      <c r="AK265" s="71"/>
      <c r="AL265" s="71"/>
      <c r="AM265" s="71"/>
      <c r="AN265" t="s" s="72">
        <v>390</v>
      </c>
      <c r="AO265" s="67" cm="1">
        <f t="array" ref="AO265">AJ265</f>
      </c>
      <c r="AP265" t="s" s="72">
        <v>391</v>
      </c>
      <c r="AQ265" s="67" cm="1">
        <f t="array" ref="AQ265">AJ265</f>
      </c>
      <c r="AR265" t="s" s="72">
        <v>392</v>
      </c>
      <c r="AS265" s="67" cm="1">
        <f t="array" ref="AS265">AJ265</f>
      </c>
      <c r="AT265" t="s" s="62">
        <v>393</v>
      </c>
      <c r="AU265" s="67" cm="1">
        <f t="array" ref="AU265">AJ265</f>
      </c>
      <c r="AV265" s="67"/>
      <c r="AW265" t="str" s="74" cm="1">
        <f t="array" ref="AW265">"600/"&amp;$B265&amp;"/"&amp;IF(AND($AE265="Konsultansi",M265&lt;=100000000),"SPK",IF(AND($AE265="Konsultansi",M265&gt;100000000),"Kont",IF(AND($AE265&lt;&gt;"Konsultansi",M265&lt;=200000000),"SPK","Kont")))&amp;"-"&amp;AE265&amp;"/PPK/DPUPR"</f>
        <v>600//SPK-Barang/PPK/DPUPR</v>
      </c>
      <c r="AX265" t="str" s="74" cm="1">
        <f t="array" ref="AX265">"600/"&amp;$B265&amp;"/SPMK/PPK/DPUPR"</f>
        <v>600//SPMK/PPK/DPUPR</v>
      </c>
      <c r="AY265" s="67"/>
      <c r="AZ265" s="67"/>
      <c r="BA265" s="67"/>
      <c r="BB265" s="67"/>
      <c r="BC265" s="67"/>
      <c r="BD265" s="67"/>
      <c r="BE265" s="67"/>
      <c r="BF265" s="67"/>
      <c r="BG265" s="75"/>
      <c r="BH265" t="s" s="72">
        <v>182</v>
      </c>
      <c r="BI265" t="s" s="72">
        <v>21</v>
      </c>
      <c r="BJ265" t="s" s="72">
        <v>22</v>
      </c>
      <c r="BK265" t="s" s="72">
        <v>23</v>
      </c>
      <c r="BL265" t="s" s="72">
        <v>24</v>
      </c>
      <c r="BM265" s="67"/>
      <c r="BN265" s="67"/>
      <c r="BO265" s="67"/>
      <c r="BP265" s="67"/>
      <c r="BQ265" s="67"/>
      <c r="BR265" t="b" s="79">
        <v>0</v>
      </c>
      <c r="BS265" s="69" cm="1">
        <f t="array" ref="BS265">IF(M265&lt;=0.8*K265,5%*K265,M265*5%)</f>
        <v>0</v>
      </c>
      <c r="BT265" t="s" s="72">
        <v>183</v>
      </c>
      <c r="BU265" s="67"/>
      <c r="BV265" s="69" cm="1">
        <f t="array" ref="BV265">J265-M265</f>
        <v>200000000</v>
      </c>
    </row>
    <row r="266" ht="32.25" customHeight="1">
      <c r="A266" s="47"/>
      <c r="B266" s="47"/>
      <c r="C266" t="s" s="49">
        <v>2128</v>
      </c>
      <c r="D266" s="82"/>
      <c r="E266" t="str" s="51" cm="1">
        <f t="array" ref="E266">$C266</f>
        <v>Pemb. Jembatan/Box Culvert Desa Pangiang (TMMD)</v>
      </c>
      <c r="F266" s="51"/>
      <c r="G266" s="51"/>
      <c r="H266" s="51"/>
      <c r="I266" s="51"/>
      <c r="J266" s="54">
        <v>75000000</v>
      </c>
      <c r="K266" s="54"/>
      <c r="L266" s="56"/>
      <c r="M266" s="54"/>
      <c r="N266" t="s" s="57">
        <v>174</v>
      </c>
      <c r="O266" t="s" s="58">
        <v>174</v>
      </c>
      <c r="P266" t="s" s="57">
        <v>174</v>
      </c>
      <c r="Q266" t="s" s="57">
        <v>174</v>
      </c>
      <c r="R266" t="s" s="57">
        <v>174</v>
      </c>
      <c r="S266" t="s" s="57">
        <v>174</v>
      </c>
      <c r="T266" t="s" s="57">
        <v>174</v>
      </c>
      <c r="U266" t="s" s="57">
        <v>174</v>
      </c>
      <c r="V266" t="s" s="57">
        <v>174</v>
      </c>
      <c r="W266" t="s" s="57">
        <v>174</v>
      </c>
      <c r="X266" s="51"/>
      <c r="Y266" s="51"/>
      <c r="Z266" s="54" cm="1">
        <f t="array" ref="Z266">M266</f>
        <v>0</v>
      </c>
      <c r="AA266" s="51"/>
      <c r="AB266" s="61" cm="1">
        <f t="array" ref="AB266">AH266</f>
      </c>
      <c r="AC266" s="51"/>
      <c r="AD266" s="51"/>
      <c r="AE266" t="s" s="57">
        <v>175</v>
      </c>
      <c r="AF266" s="51"/>
      <c r="AG266" s="61"/>
      <c r="AH266" s="61"/>
      <c r="AI266" s="61"/>
      <c r="AJ266" s="61"/>
      <c r="AK266" s="61"/>
      <c r="AL266" s="61"/>
      <c r="AM266" s="61"/>
      <c r="AN266" t="s" s="57">
        <v>390</v>
      </c>
      <c r="AO266" s="51" cm="1">
        <f t="array" ref="AO266">AJ266</f>
      </c>
      <c r="AP266" t="s" s="57">
        <v>391</v>
      </c>
      <c r="AQ266" s="51" cm="1">
        <f t="array" ref="AQ266">AJ266</f>
      </c>
      <c r="AR266" t="s" s="57">
        <v>392</v>
      </c>
      <c r="AS266" s="51" cm="1">
        <f t="array" ref="AS266">AJ266</f>
      </c>
      <c r="AT266" t="s" s="62">
        <v>393</v>
      </c>
      <c r="AU266" s="51" cm="1">
        <f t="array" ref="AU266">AJ266</f>
      </c>
      <c r="AV266" s="51"/>
      <c r="AW266" t="str" s="63" cm="1">
        <f t="array" ref="AW266">"600/"&amp;$B266&amp;"/"&amp;IF(AND($AE266="Konsultansi",M266&lt;=100000000),"SPK",IF(AND($AE266="Konsultansi",M266&gt;100000000),"Kont",IF(AND($AE266&lt;&gt;"Konsultansi",M266&lt;=200000000),"SPK","Kont")))&amp;"-"&amp;AE266&amp;"/PPK/DPUPR"</f>
        <v>600//SPK-Barang/PPK/DPUPR</v>
      </c>
      <c r="AX266" t="str" s="63" cm="1">
        <f t="array" ref="AX266">"600/"&amp;$B266&amp;"/SPMK/PPK/DPUPR"</f>
        <v>600//SPMK/PPK/DPUPR</v>
      </c>
      <c r="AY266" s="51"/>
      <c r="AZ266" s="51"/>
      <c r="BA266" s="51"/>
      <c r="BB266" s="51"/>
      <c r="BC266" s="51"/>
      <c r="BD266" s="51"/>
      <c r="BE266" s="51"/>
      <c r="BF266" s="51"/>
      <c r="BG266" s="84"/>
      <c r="BH266" t="s" s="57">
        <v>182</v>
      </c>
      <c r="BI266" t="s" s="57">
        <v>21</v>
      </c>
      <c r="BJ266" t="s" s="57">
        <v>22</v>
      </c>
      <c r="BK266" t="s" s="57">
        <v>23</v>
      </c>
      <c r="BL266" t="s" s="57">
        <v>24</v>
      </c>
      <c r="BM266" s="51"/>
      <c r="BN266" s="51"/>
      <c r="BO266" s="51"/>
      <c r="BP266" s="51"/>
      <c r="BQ266" s="51"/>
      <c r="BR266" t="b" s="60">
        <v>0</v>
      </c>
      <c r="BS266" s="54" cm="1">
        <f t="array" ref="BS266">IF(M266&lt;=0.8*K266,5%*K266,M266*5%)</f>
        <v>0</v>
      </c>
      <c r="BT266" t="s" s="57">
        <v>183</v>
      </c>
      <c r="BU266" s="51"/>
      <c r="BV266" s="54" cm="1">
        <f t="array" ref="BV266">J266-M266</f>
        <v>75000000</v>
      </c>
    </row>
    <row r="267" ht="32.25" customHeight="1">
      <c r="A267" s="47"/>
      <c r="B267" s="47"/>
      <c r="C267" t="s" s="49">
        <v>2129</v>
      </c>
      <c r="D267" s="66"/>
      <c r="E267" t="str" s="67" cm="1">
        <f t="array" ref="E267">$C267</f>
        <v>Rehabilitasi Rumah Tidak Layak Huni (RLTH) (TMMD)</v>
      </c>
      <c r="F267" s="67"/>
      <c r="G267" s="67"/>
      <c r="H267" s="67"/>
      <c r="I267" s="67"/>
      <c r="J267" s="69">
        <v>250000000</v>
      </c>
      <c r="K267" s="69"/>
      <c r="L267" s="56"/>
      <c r="M267" s="69"/>
      <c r="N267" t="s" s="72">
        <v>174</v>
      </c>
      <c r="O267" t="s" s="78">
        <v>174</v>
      </c>
      <c r="P267" t="s" s="72">
        <v>174</v>
      </c>
      <c r="Q267" t="s" s="72">
        <v>174</v>
      </c>
      <c r="R267" t="s" s="72">
        <v>174</v>
      </c>
      <c r="S267" t="s" s="72">
        <v>174</v>
      </c>
      <c r="T267" t="s" s="72">
        <v>174</v>
      </c>
      <c r="U267" t="s" s="72">
        <v>174</v>
      </c>
      <c r="V267" t="s" s="72">
        <v>174</v>
      </c>
      <c r="W267" t="s" s="72">
        <v>174</v>
      </c>
      <c r="X267" s="67"/>
      <c r="Y267" s="67"/>
      <c r="Z267" s="69" cm="1">
        <f t="array" ref="Z267">M267</f>
        <v>0</v>
      </c>
      <c r="AA267" s="67"/>
      <c r="AB267" s="71" cm="1">
        <f t="array" ref="AB267">AH267</f>
      </c>
      <c r="AC267" s="67"/>
      <c r="AD267" s="67"/>
      <c r="AE267" t="s" s="72">
        <v>175</v>
      </c>
      <c r="AF267" s="67"/>
      <c r="AG267" s="71"/>
      <c r="AH267" s="71"/>
      <c r="AI267" s="71"/>
      <c r="AJ267" s="71"/>
      <c r="AK267" s="71"/>
      <c r="AL267" s="71"/>
      <c r="AM267" s="71"/>
      <c r="AN267" t="s" s="72">
        <v>390</v>
      </c>
      <c r="AO267" s="67" cm="1">
        <f t="array" ref="AO267">AJ267</f>
      </c>
      <c r="AP267" t="s" s="72">
        <v>391</v>
      </c>
      <c r="AQ267" s="67" cm="1">
        <f t="array" ref="AQ267">AJ267</f>
      </c>
      <c r="AR267" t="s" s="72">
        <v>392</v>
      </c>
      <c r="AS267" s="67" cm="1">
        <f t="array" ref="AS267">AJ267</f>
      </c>
      <c r="AT267" t="s" s="62">
        <v>393</v>
      </c>
      <c r="AU267" s="67" cm="1">
        <f t="array" ref="AU267">AJ267</f>
      </c>
      <c r="AV267" s="67"/>
      <c r="AW267" t="str" s="74" cm="1">
        <f t="array" ref="AW267">"600/"&amp;$B267&amp;"/"&amp;IF(AND($AE267="Konsultansi",M267&lt;=100000000),"SPK",IF(AND($AE267="Konsultansi",M267&gt;100000000),"Kont",IF(AND($AE267&lt;&gt;"Konsultansi",M267&lt;=200000000),"SPK","Kont")))&amp;"-"&amp;AE267&amp;"/PPK/DPUPR"</f>
        <v>600//SPK-Barang/PPK/DPUPR</v>
      </c>
      <c r="AX267" t="str" s="74" cm="1">
        <f t="array" ref="AX267">"600/"&amp;$B267&amp;"/SPMK/PPK/DPUPR"</f>
        <v>600//SPMK/PPK/DPUPR</v>
      </c>
      <c r="AY267" s="67"/>
      <c r="AZ267" s="67"/>
      <c r="BA267" s="67"/>
      <c r="BB267" s="67"/>
      <c r="BC267" s="67"/>
      <c r="BD267" s="67"/>
      <c r="BE267" s="67"/>
      <c r="BF267" s="67"/>
      <c r="BG267" s="75"/>
      <c r="BH267" t="s" s="72">
        <v>182</v>
      </c>
      <c r="BI267" t="s" s="72">
        <v>21</v>
      </c>
      <c r="BJ267" t="s" s="72">
        <v>22</v>
      </c>
      <c r="BK267" t="s" s="72">
        <v>23</v>
      </c>
      <c r="BL267" t="s" s="72">
        <v>24</v>
      </c>
      <c r="BM267" s="67"/>
      <c r="BN267" s="67"/>
      <c r="BO267" s="67"/>
      <c r="BP267" s="67"/>
      <c r="BQ267" s="67"/>
      <c r="BR267" t="b" s="79">
        <v>0</v>
      </c>
      <c r="BS267" s="69" cm="1">
        <f t="array" ref="BS267">IF(M267&lt;=0.8*K267,5%*K267,M267*5%)</f>
        <v>0</v>
      </c>
      <c r="BT267" t="s" s="72">
        <v>183</v>
      </c>
      <c r="BU267" s="67"/>
      <c r="BV267" s="69" cm="1">
        <f t="array" ref="BV267">J267-M267</f>
        <v>250000000</v>
      </c>
    </row>
    <row r="268" ht="96.25" customHeight="1">
      <c r="A268" s="47"/>
      <c r="B268" s="48">
        <v>61495250</v>
      </c>
      <c r="C268" t="s" s="108">
        <v>2130</v>
      </c>
      <c r="D268" t="s" s="50">
        <v>2131</v>
      </c>
      <c r="E268" t="str" s="51" cm="1">
        <f t="array" ref="E268">$C268</f>
        <v>Perenc. Pembangunan Jalan Desa Pangiang (TMMD) cs.,Perenc. Pemb. Jembatan/Box Culvert Desa Pangiang (TMMD),Perenc. Rehabilitasi Rumah Tidak Layak Huni (RLTH) (TMMD)</v>
      </c>
      <c r="F268" s="51"/>
      <c r="G268" s="51"/>
      <c r="H268" s="51"/>
      <c r="I268" s="51"/>
      <c r="J268" s="54" cm="1">
        <f t="array" ref="J268">17550000+2250000+7500000</f>
        <v>27300000</v>
      </c>
      <c r="K268" s="54">
        <v>27299000</v>
      </c>
      <c r="L268" s="56">
        <v>27220428</v>
      </c>
      <c r="M268" s="54">
        <v>27220000</v>
      </c>
      <c r="N268" t="s" s="57">
        <v>185</v>
      </c>
      <c r="O268" t="s" s="58">
        <v>186</v>
      </c>
      <c r="P268" t="s" s="57">
        <v>4</v>
      </c>
      <c r="Q268" t="s" s="57">
        <v>187</v>
      </c>
      <c r="R268" t="s" s="57">
        <v>188</v>
      </c>
      <c r="S268" s="60">
        <v>23</v>
      </c>
      <c r="T268" s="61">
        <v>44495</v>
      </c>
      <c r="U268" t="s" s="57">
        <v>189</v>
      </c>
      <c r="V268" t="s" s="57">
        <v>190</v>
      </c>
      <c r="W268" t="s" s="57">
        <v>191</v>
      </c>
      <c r="X268" s="60">
        <v>30</v>
      </c>
      <c r="Y268" t="s" s="57">
        <v>10</v>
      </c>
      <c r="Z268" s="54" cm="1">
        <f t="array" ref="Z268">M268</f>
        <v>27220000</v>
      </c>
      <c r="AA268" t="s" s="57">
        <v>11</v>
      </c>
      <c r="AB268" s="61" cm="1">
        <f t="array" ref="AB268">AH268</f>
        <v>45961</v>
      </c>
      <c r="AC268" s="51"/>
      <c r="AD268" t="s" s="57">
        <v>192</v>
      </c>
      <c r="AE268" t="s" s="57">
        <v>13</v>
      </c>
      <c r="AF268" t="s" s="57">
        <v>2133</v>
      </c>
      <c r="AG268" s="61">
        <v>45960</v>
      </c>
      <c r="AH268" s="61">
        <v>45961</v>
      </c>
      <c r="AI268" s="61">
        <v>45961</v>
      </c>
      <c r="AJ268" s="61">
        <v>45961</v>
      </c>
      <c r="AK268" s="61">
        <v>45961</v>
      </c>
      <c r="AL268" s="61">
        <v>45961</v>
      </c>
      <c r="AM268" s="61">
        <v>45961</v>
      </c>
      <c r="AN268" t="s" s="57">
        <v>2134</v>
      </c>
      <c r="AO268" s="61" cm="1">
        <f t="array" ref="AO268">AJ268</f>
        <v>45961</v>
      </c>
      <c r="AP268" t="s" s="57">
        <v>2135</v>
      </c>
      <c r="AQ268" s="61" cm="1">
        <f t="array" ref="AQ268">AJ268</f>
        <v>45961</v>
      </c>
      <c r="AR268" t="s" s="57">
        <v>2136</v>
      </c>
      <c r="AS268" s="61" cm="1">
        <f t="array" ref="AS268">AJ268</f>
        <v>45961</v>
      </c>
      <c r="AT268" t="s" s="62">
        <v>2137</v>
      </c>
      <c r="AU268" s="61" cm="1">
        <f t="array" ref="AU268">AJ268</f>
        <v>45961</v>
      </c>
      <c r="AV268" s="51"/>
      <c r="AW268" t="str" s="63" cm="1">
        <f t="array" ref="AW268">"600/"&amp;$B268&amp;"/"&amp;IF(AND($AE268="Konsultansi",M268&lt;=100000000),"SPK",IF(AND($AE268="Konsultansi",M268&gt;100000000),"Kont",IF(AND($AE268&lt;&gt;"Konsultansi",M268&lt;=200000000),"SPK","Kont")))&amp;"-"&amp;AE268&amp;"/PPK/DPUPR"</f>
        <v>600/61495250/SPK-Konsultansi/PPK/DPUPR</v>
      </c>
      <c r="AX268" t="str" s="63" cm="1">
        <f t="array" ref="AX268">"600/"&amp;$B268&amp;"/SPMK/PPK/DPUPR"</f>
        <v>600/61495250/SPMK/PPK/DPUPR</v>
      </c>
      <c r="AY268" s="51"/>
      <c r="AZ268" s="51"/>
      <c r="BA268" s="51"/>
      <c r="BB268" s="51"/>
      <c r="BC268" s="51"/>
      <c r="BD268" s="51"/>
      <c r="BE268" s="51"/>
      <c r="BF268" s="51"/>
      <c r="BG268" s="64">
        <v>223</v>
      </c>
      <c r="BH268" t="s" s="57">
        <v>185</v>
      </c>
      <c r="BI268" t="s" s="57">
        <v>21</v>
      </c>
      <c r="BJ268" t="s" s="57">
        <v>22</v>
      </c>
      <c r="BK268" t="s" s="57">
        <v>23</v>
      </c>
      <c r="BL268" t="s" s="57">
        <v>24</v>
      </c>
      <c r="BM268" s="51"/>
      <c r="BN268" s="51"/>
      <c r="BO268" s="51"/>
      <c r="BP268" s="51"/>
      <c r="BQ268" s="51"/>
      <c r="BR268" t="b" s="60">
        <v>0</v>
      </c>
      <c r="BS268" s="54" cm="1">
        <f t="array" ref="BS268">IF(M268&lt;=0.8*K268,5%*K268,M268*5%)</f>
        <v>1361000</v>
      </c>
      <c r="BT268" t="s" s="57">
        <v>25</v>
      </c>
      <c r="BU268" s="51"/>
      <c r="BV268" s="54" cm="1">
        <f t="array" ref="BV268">J268-M268</f>
        <v>80000</v>
      </c>
    </row>
    <row r="269" ht="32.25" customHeight="1">
      <c r="A269" s="47"/>
      <c r="B269" s="47"/>
      <c r="C269" t="s" s="49">
        <v>2140</v>
      </c>
      <c r="D269" t="s" s="76">
        <v>1</v>
      </c>
      <c r="E269" t="str" s="67" cm="1">
        <f t="array" ref="E269">$C269</f>
        <v>Perenc. Pembangunan Jalan Desa Pangiang (TMMD) cs.</v>
      </c>
      <c r="F269" s="67"/>
      <c r="G269" s="67"/>
      <c r="H269" s="67"/>
      <c r="I269" s="67"/>
      <c r="J269" s="69">
        <v>17550000</v>
      </c>
      <c r="K269" s="69"/>
      <c r="L269" s="56"/>
      <c r="M269" s="69"/>
      <c r="N269" t="s" s="72">
        <v>174</v>
      </c>
      <c r="O269" t="s" s="78">
        <v>174</v>
      </c>
      <c r="P269" t="s" s="72">
        <v>174</v>
      </c>
      <c r="Q269" t="s" s="72">
        <v>174</v>
      </c>
      <c r="R269" t="s" s="72">
        <v>174</v>
      </c>
      <c r="S269" t="s" s="72">
        <v>174</v>
      </c>
      <c r="T269" t="s" s="72">
        <v>174</v>
      </c>
      <c r="U269" t="s" s="72">
        <v>174</v>
      </c>
      <c r="V269" t="s" s="72">
        <v>174</v>
      </c>
      <c r="W269" t="s" s="72">
        <v>174</v>
      </c>
      <c r="X269" s="67"/>
      <c r="Y269" s="67"/>
      <c r="Z269" s="69" cm="1">
        <f t="array" ref="Z269">M269</f>
        <v>0</v>
      </c>
      <c r="AA269" s="67"/>
      <c r="AB269" s="71" cm="1">
        <f t="array" ref="AB269">AH269</f>
      </c>
      <c r="AC269" s="67"/>
      <c r="AD269" s="67"/>
      <c r="AE269" t="s" s="72">
        <v>175</v>
      </c>
      <c r="AF269" s="67"/>
      <c r="AG269" s="71"/>
      <c r="AH269" s="71"/>
      <c r="AI269" s="71"/>
      <c r="AJ269" s="71"/>
      <c r="AK269" s="71"/>
      <c r="AL269" s="71"/>
      <c r="AM269" s="71"/>
      <c r="AN269" t="s" s="72">
        <v>390</v>
      </c>
      <c r="AO269" s="67" cm="1">
        <f t="array" ref="AO269">AJ269</f>
      </c>
      <c r="AP269" t="s" s="72">
        <v>391</v>
      </c>
      <c r="AQ269" s="67" cm="1">
        <f t="array" ref="AQ269">AJ269</f>
      </c>
      <c r="AR269" t="s" s="72">
        <v>392</v>
      </c>
      <c r="AS269" s="67" cm="1">
        <f t="array" ref="AS269">AJ269</f>
      </c>
      <c r="AT269" t="s" s="62">
        <v>393</v>
      </c>
      <c r="AU269" s="67" cm="1">
        <f t="array" ref="AU269">AJ269</f>
      </c>
      <c r="AV269" s="67"/>
      <c r="AW269" t="str" s="74" cm="1">
        <f t="array" ref="AW269">"600/"&amp;$B269&amp;"/"&amp;IF(AND($AE269="Konsultansi",M269&lt;=100000000),"SPK",IF(AND($AE269="Konsultansi",M269&gt;100000000),"Kont",IF(AND($AE269&lt;&gt;"Konsultansi",M269&lt;=200000000),"SPK","Kont")))&amp;"-"&amp;AE269&amp;"/PPK/DPUPR"</f>
        <v>600//SPK-Barang/PPK/DPUPR</v>
      </c>
      <c r="AX269" t="str" s="74" cm="1">
        <f t="array" ref="AX269">"600/"&amp;$B269&amp;"/SPMK/PPK/DPUPR"</f>
        <v>600//SPMK/PPK/DPUPR</v>
      </c>
      <c r="AY269" s="67"/>
      <c r="AZ269" s="67"/>
      <c r="BA269" s="67"/>
      <c r="BB269" s="67"/>
      <c r="BC269" s="67"/>
      <c r="BD269" s="67"/>
      <c r="BE269" s="67"/>
      <c r="BF269" s="67"/>
      <c r="BG269" s="75"/>
      <c r="BH269" t="s" s="72">
        <v>182</v>
      </c>
      <c r="BI269" t="s" s="72">
        <v>21</v>
      </c>
      <c r="BJ269" t="s" s="72">
        <v>22</v>
      </c>
      <c r="BK269" t="s" s="72">
        <v>23</v>
      </c>
      <c r="BL269" t="s" s="72">
        <v>24</v>
      </c>
      <c r="BM269" s="67"/>
      <c r="BN269" s="67"/>
      <c r="BO269" s="67"/>
      <c r="BP269" s="67"/>
      <c r="BQ269" s="67"/>
      <c r="BR269" t="b" s="79">
        <v>0</v>
      </c>
      <c r="BS269" s="69" cm="1">
        <f t="array" ref="BS269">IF(M269&lt;=0.8*K269,5%*K269,M269*5%)</f>
        <v>0</v>
      </c>
      <c r="BT269" t="s" s="72">
        <v>25</v>
      </c>
      <c r="BU269" s="67"/>
      <c r="BV269" s="69" cm="1">
        <f t="array" ref="BV269">J269-M269</f>
        <v>17550000</v>
      </c>
    </row>
    <row r="270" ht="32.25" customHeight="1">
      <c r="A270" s="47"/>
      <c r="B270" s="47"/>
      <c r="C270" t="s" s="49">
        <v>2141</v>
      </c>
      <c r="D270" t="s" s="50">
        <v>280</v>
      </c>
      <c r="E270" t="str" s="51" cm="1">
        <f t="array" ref="E270">$C270</f>
        <v>Perenc. Pemb. Jembatan/Box Culvert Desa Pangiang (TMMD)</v>
      </c>
      <c r="F270" s="51"/>
      <c r="G270" s="51"/>
      <c r="H270" s="51"/>
      <c r="I270" s="51"/>
      <c r="J270" s="54">
        <v>2250000</v>
      </c>
      <c r="K270" s="54"/>
      <c r="L270" s="56"/>
      <c r="M270" s="54"/>
      <c r="N270" t="s" s="57">
        <v>174</v>
      </c>
      <c r="O270" t="s" s="58">
        <v>174</v>
      </c>
      <c r="P270" t="s" s="57">
        <v>174</v>
      </c>
      <c r="Q270" t="s" s="57">
        <v>174</v>
      </c>
      <c r="R270" t="s" s="57">
        <v>174</v>
      </c>
      <c r="S270" t="s" s="57">
        <v>174</v>
      </c>
      <c r="T270" t="s" s="57">
        <v>174</v>
      </c>
      <c r="U270" t="s" s="57">
        <v>174</v>
      </c>
      <c r="V270" t="s" s="57">
        <v>174</v>
      </c>
      <c r="W270" t="s" s="57">
        <v>174</v>
      </c>
      <c r="X270" s="51"/>
      <c r="Y270" s="51"/>
      <c r="Z270" s="54" cm="1">
        <f t="array" ref="Z270">M270</f>
        <v>0</v>
      </c>
      <c r="AA270" s="51"/>
      <c r="AB270" s="61" cm="1">
        <f t="array" ref="AB270">AH270</f>
      </c>
      <c r="AC270" s="51"/>
      <c r="AD270" s="51"/>
      <c r="AE270" t="s" s="57">
        <v>175</v>
      </c>
      <c r="AF270" s="51"/>
      <c r="AG270" s="61"/>
      <c r="AH270" s="61"/>
      <c r="AI270" s="61"/>
      <c r="AJ270" s="61"/>
      <c r="AK270" s="61"/>
      <c r="AL270" s="61"/>
      <c r="AM270" s="61"/>
      <c r="AN270" t="s" s="57">
        <v>390</v>
      </c>
      <c r="AO270" s="51" cm="1">
        <f t="array" ref="AO270">AJ270</f>
      </c>
      <c r="AP270" t="s" s="57">
        <v>391</v>
      </c>
      <c r="AQ270" s="51" cm="1">
        <f t="array" ref="AQ270">AJ270</f>
      </c>
      <c r="AR270" t="s" s="57">
        <v>392</v>
      </c>
      <c r="AS270" s="51" cm="1">
        <f t="array" ref="AS270">AJ270</f>
      </c>
      <c r="AT270" t="s" s="62">
        <v>393</v>
      </c>
      <c r="AU270" s="51" cm="1">
        <f t="array" ref="AU270">AJ270</f>
      </c>
      <c r="AV270" s="51"/>
      <c r="AW270" t="str" s="63" cm="1">
        <f t="array" ref="AW270">"600/"&amp;$B270&amp;"/"&amp;IF(AND($AE270="Konsultansi",M270&lt;=100000000),"SPK",IF(AND($AE270="Konsultansi",M270&gt;100000000),"Kont",IF(AND($AE270&lt;&gt;"Konsultansi",M270&lt;=200000000),"SPK","Kont")))&amp;"-"&amp;AE270&amp;"/PPK/DPUPR"</f>
        <v>600//SPK-Barang/PPK/DPUPR</v>
      </c>
      <c r="AX270" t="str" s="63" cm="1">
        <f t="array" ref="AX270">"600/"&amp;$B270&amp;"/SPMK/PPK/DPUPR"</f>
        <v>600//SPMK/PPK/DPUPR</v>
      </c>
      <c r="AY270" s="51"/>
      <c r="AZ270" s="51"/>
      <c r="BA270" s="51"/>
      <c r="BB270" s="51"/>
      <c r="BC270" s="51"/>
      <c r="BD270" s="51"/>
      <c r="BE270" s="51"/>
      <c r="BF270" s="51"/>
      <c r="BG270" s="84"/>
      <c r="BH270" t="s" s="57">
        <v>182</v>
      </c>
      <c r="BI270" t="s" s="57">
        <v>21</v>
      </c>
      <c r="BJ270" t="s" s="57">
        <v>22</v>
      </c>
      <c r="BK270" t="s" s="57">
        <v>23</v>
      </c>
      <c r="BL270" t="s" s="57">
        <v>24</v>
      </c>
      <c r="BM270" s="51"/>
      <c r="BN270" s="51"/>
      <c r="BO270" s="51"/>
      <c r="BP270" s="51"/>
      <c r="BQ270" s="51"/>
      <c r="BR270" t="b" s="60">
        <v>0</v>
      </c>
      <c r="BS270" s="54" cm="1">
        <f t="array" ref="BS270">IF(M270&lt;=0.8*K270,5%*K270,M270*5%)</f>
        <v>0</v>
      </c>
      <c r="BT270" t="s" s="57">
        <v>288</v>
      </c>
      <c r="BU270" s="51"/>
      <c r="BV270" s="54" cm="1">
        <f t="array" ref="BV270">J270-M270</f>
        <v>2250000</v>
      </c>
    </row>
    <row r="271" ht="72.25" customHeight="1">
      <c r="A271" s="47"/>
      <c r="B271" s="47"/>
      <c r="C271" t="s" s="49">
        <v>2142</v>
      </c>
      <c r="D271" t="s" s="76">
        <v>726</v>
      </c>
      <c r="E271" t="str" s="67" cm="1">
        <f t="array" ref="E271">$C271</f>
        <v>Perenc. Rehabilitasi Rumah Tidak Layak Huni (RLTH) (TMMD)</v>
      </c>
      <c r="F271" s="67"/>
      <c r="G271" s="67"/>
      <c r="H271" s="67"/>
      <c r="I271" s="67"/>
      <c r="J271" s="69">
        <v>7500000</v>
      </c>
      <c r="K271" s="69"/>
      <c r="L271" s="56"/>
      <c r="M271" s="69"/>
      <c r="N271" t="s" s="72">
        <v>174</v>
      </c>
      <c r="O271" t="s" s="78">
        <v>174</v>
      </c>
      <c r="P271" t="s" s="72">
        <v>174</v>
      </c>
      <c r="Q271" t="s" s="72">
        <v>174</v>
      </c>
      <c r="R271" t="s" s="72">
        <v>174</v>
      </c>
      <c r="S271" t="s" s="72">
        <v>174</v>
      </c>
      <c r="T271" t="s" s="72">
        <v>174</v>
      </c>
      <c r="U271" t="s" s="72">
        <v>174</v>
      </c>
      <c r="V271" t="s" s="72">
        <v>174</v>
      </c>
      <c r="W271" t="s" s="72">
        <v>174</v>
      </c>
      <c r="X271" s="67"/>
      <c r="Y271" s="67"/>
      <c r="Z271" s="69" cm="1">
        <f t="array" ref="Z271">M271</f>
        <v>0</v>
      </c>
      <c r="AA271" s="67"/>
      <c r="AB271" s="71" cm="1">
        <f t="array" ref="AB271">AH271</f>
      </c>
      <c r="AC271" s="67"/>
      <c r="AD271" s="67"/>
      <c r="AE271" t="s" s="72">
        <v>175</v>
      </c>
      <c r="AF271" s="67"/>
      <c r="AG271" s="71"/>
      <c r="AH271" s="71"/>
      <c r="AI271" s="71"/>
      <c r="AJ271" s="71"/>
      <c r="AK271" s="71"/>
      <c r="AL271" s="71"/>
      <c r="AM271" s="71"/>
      <c r="AN271" t="s" s="72">
        <v>390</v>
      </c>
      <c r="AO271" s="67" cm="1">
        <f t="array" ref="AO271">AJ271</f>
      </c>
      <c r="AP271" t="s" s="72">
        <v>391</v>
      </c>
      <c r="AQ271" s="67" cm="1">
        <f t="array" ref="AQ271">AJ271</f>
      </c>
      <c r="AR271" t="s" s="72">
        <v>392</v>
      </c>
      <c r="AS271" s="67" cm="1">
        <f t="array" ref="AS271">AJ271</f>
      </c>
      <c r="AT271" t="s" s="62">
        <v>393</v>
      </c>
      <c r="AU271" s="67" cm="1">
        <f t="array" ref="AU271">AJ271</f>
      </c>
      <c r="AV271" s="67"/>
      <c r="AW271" t="str" s="74" cm="1">
        <f t="array" ref="AW271">"600/"&amp;$B271&amp;"/"&amp;IF(AND($AE271="Konsultansi",M271&lt;=100000000),"SPK",IF(AND($AE271="Konsultansi",M271&gt;100000000),"Kont",IF(AND($AE271&lt;&gt;"Konsultansi",M271&lt;=200000000),"SPK","Kont")))&amp;"-"&amp;AE271&amp;"/PPK/DPUPR"</f>
        <v>600//SPK-Barang/PPK/DPUPR</v>
      </c>
      <c r="AX271" t="str" s="74" cm="1">
        <f t="array" ref="AX271">"600/"&amp;$B271&amp;"/SPMK/PPK/DPUPR"</f>
        <v>600//SPMK/PPK/DPUPR</v>
      </c>
      <c r="AY271" s="67"/>
      <c r="AZ271" s="67"/>
      <c r="BA271" s="67"/>
      <c r="BB271" s="67"/>
      <c r="BC271" s="67"/>
      <c r="BD271" s="67"/>
      <c r="BE271" s="67"/>
      <c r="BF271" s="67"/>
      <c r="BG271" s="75"/>
      <c r="BH271" t="s" s="72">
        <v>182</v>
      </c>
      <c r="BI271" t="s" s="72">
        <v>21</v>
      </c>
      <c r="BJ271" t="s" s="72">
        <v>22</v>
      </c>
      <c r="BK271" t="s" s="72">
        <v>23</v>
      </c>
      <c r="BL271" t="s" s="72">
        <v>24</v>
      </c>
      <c r="BM271" s="67"/>
      <c r="BN271" s="67"/>
      <c r="BO271" s="67"/>
      <c r="BP271" s="67"/>
      <c r="BQ271" s="67"/>
      <c r="BR271" t="b" s="79">
        <v>0</v>
      </c>
      <c r="BS271" s="69" cm="1">
        <f t="array" ref="BS271">IF(M271&lt;=0.8*K271,5%*K271,M271*5%)</f>
        <v>0</v>
      </c>
      <c r="BT271" t="s" s="72">
        <v>432</v>
      </c>
      <c r="BU271" s="67"/>
      <c r="BV271" s="69" cm="1">
        <f t="array" ref="BV271">J271-M271</f>
        <v>7500000</v>
      </c>
    </row>
    <row r="272" ht="96.25" customHeight="1">
      <c r="A272" s="47"/>
      <c r="B272" s="48">
        <v>61474460</v>
      </c>
      <c r="C272" t="s" s="108">
        <v>2143</v>
      </c>
      <c r="D272" t="s" s="50">
        <v>2131</v>
      </c>
      <c r="E272" t="str" s="51" cm="1">
        <f t="array" ref="E272">$C272</f>
        <v>Pengawasan. Pembangunan Jalan Desa Pangiang (TMMD) cs., Pengawasan. Pemb. Jembatan/Box Culvert Desa Pangiang (TMMD), Pengawasan. Rehabilitasi Rumah Tidak Layak Huni (RLTH) (TMMD)</v>
      </c>
      <c r="F272" s="51"/>
      <c r="G272" s="51"/>
      <c r="H272" s="51"/>
      <c r="I272" s="51"/>
      <c r="J272" s="54" cm="1">
        <f t="array" ref="J272">11700000+1500000+5000000</f>
        <v>18200000</v>
      </c>
      <c r="K272" s="54">
        <v>18198000</v>
      </c>
      <c r="L272" s="56">
        <v>18109872</v>
      </c>
      <c r="M272" s="54">
        <v>18109000</v>
      </c>
      <c r="N272" t="s" s="57">
        <v>185</v>
      </c>
      <c r="O272" t="s" s="58">
        <v>186</v>
      </c>
      <c r="P272" t="s" s="57">
        <v>4</v>
      </c>
      <c r="Q272" t="s" s="57">
        <v>187</v>
      </c>
      <c r="R272" t="s" s="57">
        <v>188</v>
      </c>
      <c r="S272" s="60">
        <v>23</v>
      </c>
      <c r="T272" s="61">
        <v>44495</v>
      </c>
      <c r="U272" t="s" s="57">
        <v>189</v>
      </c>
      <c r="V272" t="s" s="57">
        <v>190</v>
      </c>
      <c r="W272" t="s" s="57">
        <v>191</v>
      </c>
      <c r="X272" s="60">
        <v>58</v>
      </c>
      <c r="Y272" t="s" s="57">
        <v>10</v>
      </c>
      <c r="Z272" s="54" cm="1">
        <f t="array" ref="Z272">M272</f>
        <v>18109000</v>
      </c>
      <c r="AA272" t="s" s="57">
        <v>11</v>
      </c>
      <c r="AB272" s="61" cm="1">
        <f t="array" ref="AB272">AH272</f>
        <v>45964</v>
      </c>
      <c r="AC272" s="51"/>
      <c r="AD272" t="s" s="57">
        <v>12</v>
      </c>
      <c r="AE272" t="s" s="57">
        <v>13</v>
      </c>
      <c r="AF272" t="s" s="57">
        <v>2133</v>
      </c>
      <c r="AG272" s="61">
        <v>45964</v>
      </c>
      <c r="AH272" s="61">
        <v>45964</v>
      </c>
      <c r="AI272" s="61">
        <v>45964</v>
      </c>
      <c r="AJ272" s="61">
        <v>45964</v>
      </c>
      <c r="AK272" s="61">
        <v>45964</v>
      </c>
      <c r="AL272" s="61">
        <v>45964</v>
      </c>
      <c r="AM272" s="61">
        <v>45964</v>
      </c>
      <c r="AN272" t="s" s="57">
        <v>2145</v>
      </c>
      <c r="AO272" s="61" cm="1">
        <f t="array" ref="AO272">AJ272</f>
        <v>45964</v>
      </c>
      <c r="AP272" t="s" s="57">
        <v>2146</v>
      </c>
      <c r="AQ272" s="61" cm="1">
        <f t="array" ref="AQ272">AJ272</f>
        <v>45964</v>
      </c>
      <c r="AR272" t="s" s="57">
        <v>2147</v>
      </c>
      <c r="AS272" s="61" cm="1">
        <f t="array" ref="AS272">AJ272</f>
        <v>45964</v>
      </c>
      <c r="AT272" t="s" s="62">
        <v>2148</v>
      </c>
      <c r="AU272" s="61" cm="1">
        <f t="array" ref="AU272">AJ272</f>
        <v>45964</v>
      </c>
      <c r="AV272" s="51"/>
      <c r="AW272" t="str" s="63" cm="1">
        <f t="array" ref="AW272">"600/"&amp;$B272&amp;"/"&amp;IF(AND($AE272="Konsultansi",M272&lt;=100000000),"SPK",IF(AND($AE272="Konsultansi",M272&gt;100000000),"Kont",IF(AND($AE272&lt;&gt;"Konsultansi",M272&lt;=200000000),"SPK","Kont")))&amp;"-"&amp;AE272&amp;"/PPK/DPUPR"</f>
        <v>600/61474460/SPK-Konsultansi/PPK/DPUPR</v>
      </c>
      <c r="AX272" t="str" s="63" cm="1">
        <f t="array" ref="AX272">"600/"&amp;$B272&amp;"/SPMK/PPK/DPUPR"</f>
        <v>600/61474460/SPMK/PPK/DPUPR</v>
      </c>
      <c r="AY272" s="51"/>
      <c r="AZ272" s="51"/>
      <c r="BA272" s="51"/>
      <c r="BB272" s="51"/>
      <c r="BC272" s="51"/>
      <c r="BD272" s="51"/>
      <c r="BE272" s="51"/>
      <c r="BF272" s="51"/>
      <c r="BG272" s="64">
        <v>223</v>
      </c>
      <c r="BH272" t="s" s="57">
        <v>185</v>
      </c>
      <c r="BI272" t="s" s="57">
        <v>21</v>
      </c>
      <c r="BJ272" t="s" s="57">
        <v>22</v>
      </c>
      <c r="BK272" t="s" s="57">
        <v>23</v>
      </c>
      <c r="BL272" t="s" s="57">
        <v>24</v>
      </c>
      <c r="BM272" s="51"/>
      <c r="BN272" s="51"/>
      <c r="BO272" s="51"/>
      <c r="BP272" s="51"/>
      <c r="BQ272" s="51"/>
      <c r="BR272" t="b" s="60">
        <v>0</v>
      </c>
      <c r="BS272" s="54" cm="1">
        <f t="array" ref="BS272">IF(M272&lt;=0.8*K272,5%*K272,M272*5%)</f>
        <v>905450</v>
      </c>
      <c r="BT272" t="s" s="57">
        <v>25</v>
      </c>
      <c r="BU272" s="51"/>
      <c r="BV272" s="54" cm="1">
        <f t="array" ref="BV272">J272-M272</f>
        <v>91000</v>
      </c>
    </row>
    <row r="273" ht="32.25" customHeight="1">
      <c r="A273" s="47"/>
      <c r="B273" s="47"/>
      <c r="C273" t="s" s="49">
        <v>2151</v>
      </c>
      <c r="D273" s="66"/>
      <c r="E273" t="str" s="67" cm="1">
        <f t="array" ref="E273">$C273</f>
        <v>Pengawasan. Pembangunan Jalan Desa Pangiang (TMMD) cs.</v>
      </c>
      <c r="F273" s="67"/>
      <c r="G273" s="67"/>
      <c r="H273" s="67"/>
      <c r="I273" s="67"/>
      <c r="J273" s="69">
        <v>11700000</v>
      </c>
      <c r="K273" s="69"/>
      <c r="L273" s="56"/>
      <c r="M273" s="69"/>
      <c r="N273" t="s" s="72">
        <v>174</v>
      </c>
      <c r="O273" t="s" s="78">
        <v>174</v>
      </c>
      <c r="P273" t="s" s="72">
        <v>174</v>
      </c>
      <c r="Q273" t="s" s="72">
        <v>174</v>
      </c>
      <c r="R273" t="s" s="72">
        <v>174</v>
      </c>
      <c r="S273" t="s" s="72">
        <v>174</v>
      </c>
      <c r="T273" t="s" s="72">
        <v>174</v>
      </c>
      <c r="U273" t="s" s="72">
        <v>174</v>
      </c>
      <c r="V273" t="s" s="72">
        <v>174</v>
      </c>
      <c r="W273" t="s" s="72">
        <v>174</v>
      </c>
      <c r="X273" s="67"/>
      <c r="Y273" s="67"/>
      <c r="Z273" s="69" cm="1">
        <f t="array" ref="Z273">M273</f>
        <v>0</v>
      </c>
      <c r="AA273" s="67"/>
      <c r="AB273" s="71" cm="1">
        <f t="array" ref="AB273">AH273</f>
      </c>
      <c r="AC273" s="67"/>
      <c r="AD273" s="67"/>
      <c r="AE273" t="s" s="72">
        <v>175</v>
      </c>
      <c r="AF273" s="67"/>
      <c r="AG273" s="71"/>
      <c r="AH273" s="71"/>
      <c r="AI273" s="71"/>
      <c r="AJ273" s="71"/>
      <c r="AK273" s="71"/>
      <c r="AL273" s="71"/>
      <c r="AM273" s="71"/>
      <c r="AN273" t="s" s="72">
        <v>390</v>
      </c>
      <c r="AO273" s="67" cm="1">
        <f t="array" ref="AO273">AJ273</f>
      </c>
      <c r="AP273" t="s" s="72">
        <v>391</v>
      </c>
      <c r="AQ273" s="67" cm="1">
        <f t="array" ref="AQ273">AJ273</f>
      </c>
      <c r="AR273" t="s" s="72">
        <v>392</v>
      </c>
      <c r="AS273" s="67" cm="1">
        <f t="array" ref="AS273">AJ273</f>
      </c>
      <c r="AT273" t="s" s="62">
        <v>393</v>
      </c>
      <c r="AU273" s="67" cm="1">
        <f t="array" ref="AU273">AJ273</f>
      </c>
      <c r="AV273" s="67"/>
      <c r="AW273" t="str" s="74" cm="1">
        <f t="array" ref="AW273">"600/"&amp;$B273&amp;"/"&amp;IF(AND($AE273="Konsultansi",M273&lt;=100000000),"SPK",IF(AND($AE273="Konsultansi",M273&gt;100000000),"Kont",IF(AND($AE273&lt;&gt;"Konsultansi",M273&lt;=200000000),"SPK","Kont")))&amp;"-"&amp;AE273&amp;"/PPK/DPUPR"</f>
        <v>600//SPK-Barang/PPK/DPUPR</v>
      </c>
      <c r="AX273" t="str" s="74" cm="1">
        <f t="array" ref="AX273">"600/"&amp;$B273&amp;"/SPMK/PPK/DPUPR"</f>
        <v>600//SPMK/PPK/DPUPR</v>
      </c>
      <c r="AY273" s="67"/>
      <c r="AZ273" s="67"/>
      <c r="BA273" s="67"/>
      <c r="BB273" s="67"/>
      <c r="BC273" s="67"/>
      <c r="BD273" s="67"/>
      <c r="BE273" s="67"/>
      <c r="BF273" s="67"/>
      <c r="BG273" s="75"/>
      <c r="BH273" t="s" s="72">
        <v>182</v>
      </c>
      <c r="BI273" t="s" s="72">
        <v>21</v>
      </c>
      <c r="BJ273" t="s" s="72">
        <v>22</v>
      </c>
      <c r="BK273" t="s" s="72">
        <v>23</v>
      </c>
      <c r="BL273" t="s" s="72">
        <v>24</v>
      </c>
      <c r="BM273" s="67"/>
      <c r="BN273" s="67"/>
      <c r="BO273" s="67"/>
      <c r="BP273" s="67"/>
      <c r="BQ273" s="67"/>
      <c r="BR273" t="b" s="79">
        <v>0</v>
      </c>
      <c r="BS273" s="69" cm="1">
        <f t="array" ref="BS273">IF(M273&lt;=0.8*K273,5%*K273,M273*5%)</f>
        <v>0</v>
      </c>
      <c r="BT273" t="s" s="72">
        <v>183</v>
      </c>
      <c r="BU273" s="67"/>
      <c r="BV273" s="69" cm="1">
        <f t="array" ref="BV273">J273-M273</f>
        <v>11700000</v>
      </c>
    </row>
    <row r="274" ht="32.25" customHeight="1">
      <c r="A274" s="47"/>
      <c r="B274" s="47"/>
      <c r="C274" t="s" s="49">
        <v>2152</v>
      </c>
      <c r="D274" s="82"/>
      <c r="E274" t="str" s="51" cm="1">
        <f t="array" ref="E274">$C274</f>
        <v>Pengawasan. Pemb. Jembatan/Box Culvert Desa Pangiang (TMMD)</v>
      </c>
      <c r="F274" s="51"/>
      <c r="G274" s="51"/>
      <c r="H274" s="51"/>
      <c r="I274" s="51"/>
      <c r="J274" s="54">
        <v>1500000</v>
      </c>
      <c r="K274" s="54"/>
      <c r="L274" s="56"/>
      <c r="M274" s="54"/>
      <c r="N274" t="s" s="57">
        <v>174</v>
      </c>
      <c r="O274" t="s" s="58">
        <v>174</v>
      </c>
      <c r="P274" t="s" s="57">
        <v>174</v>
      </c>
      <c r="Q274" t="s" s="57">
        <v>174</v>
      </c>
      <c r="R274" t="s" s="57">
        <v>174</v>
      </c>
      <c r="S274" t="s" s="57">
        <v>174</v>
      </c>
      <c r="T274" t="s" s="57">
        <v>174</v>
      </c>
      <c r="U274" t="s" s="57">
        <v>174</v>
      </c>
      <c r="V274" t="s" s="57">
        <v>174</v>
      </c>
      <c r="W274" t="s" s="57">
        <v>174</v>
      </c>
      <c r="X274" s="51"/>
      <c r="Y274" s="51"/>
      <c r="Z274" s="54" cm="1">
        <f t="array" ref="Z274">M274</f>
        <v>0</v>
      </c>
      <c r="AA274" s="51"/>
      <c r="AB274" s="61" cm="1">
        <f t="array" ref="AB274">AH274</f>
      </c>
      <c r="AC274" s="51"/>
      <c r="AD274" s="51"/>
      <c r="AE274" t="s" s="57">
        <v>175</v>
      </c>
      <c r="AF274" s="51"/>
      <c r="AG274" s="61"/>
      <c r="AH274" s="61"/>
      <c r="AI274" s="61"/>
      <c r="AJ274" s="61"/>
      <c r="AK274" s="61"/>
      <c r="AL274" s="61"/>
      <c r="AM274" s="61"/>
      <c r="AN274" t="s" s="57">
        <v>390</v>
      </c>
      <c r="AO274" s="51" cm="1">
        <f t="array" ref="AO274">AJ274</f>
      </c>
      <c r="AP274" t="s" s="57">
        <v>391</v>
      </c>
      <c r="AQ274" s="51" cm="1">
        <f t="array" ref="AQ274">AJ274</f>
      </c>
      <c r="AR274" t="s" s="57">
        <v>392</v>
      </c>
      <c r="AS274" s="51" cm="1">
        <f t="array" ref="AS274">AJ274</f>
      </c>
      <c r="AT274" t="s" s="62">
        <v>393</v>
      </c>
      <c r="AU274" s="51" cm="1">
        <f t="array" ref="AU274">AJ274</f>
      </c>
      <c r="AV274" s="51"/>
      <c r="AW274" t="str" s="63" cm="1">
        <f t="array" ref="AW274">"600/"&amp;$B274&amp;"/"&amp;IF(AND($AE274="Konsultansi",M274&lt;=100000000),"SPK",IF(AND($AE274="Konsultansi",M274&gt;100000000),"Kont",IF(AND($AE274&lt;&gt;"Konsultansi",M274&lt;=200000000),"SPK","Kont")))&amp;"-"&amp;AE274&amp;"/PPK/DPUPR"</f>
        <v>600//SPK-Barang/PPK/DPUPR</v>
      </c>
      <c r="AX274" t="str" s="63" cm="1">
        <f t="array" ref="AX274">"600/"&amp;$B274&amp;"/SPMK/PPK/DPUPR"</f>
        <v>600//SPMK/PPK/DPUPR</v>
      </c>
      <c r="AY274" s="51"/>
      <c r="AZ274" s="51"/>
      <c r="BA274" s="51"/>
      <c r="BB274" s="51"/>
      <c r="BC274" s="51"/>
      <c r="BD274" s="51"/>
      <c r="BE274" s="51"/>
      <c r="BF274" s="51"/>
      <c r="BG274" s="84"/>
      <c r="BH274" t="s" s="57">
        <v>182</v>
      </c>
      <c r="BI274" t="s" s="57">
        <v>21</v>
      </c>
      <c r="BJ274" t="s" s="57">
        <v>22</v>
      </c>
      <c r="BK274" t="s" s="57">
        <v>23</v>
      </c>
      <c r="BL274" t="s" s="57">
        <v>24</v>
      </c>
      <c r="BM274" s="51"/>
      <c r="BN274" s="51"/>
      <c r="BO274" s="51"/>
      <c r="BP274" s="51"/>
      <c r="BQ274" s="51"/>
      <c r="BR274" t="b" s="60">
        <v>0</v>
      </c>
      <c r="BS274" s="54" cm="1">
        <f t="array" ref="BS274">IF(M274&lt;=0.8*K274,5%*K274,M274*5%)</f>
        <v>0</v>
      </c>
      <c r="BT274" t="s" s="57">
        <v>183</v>
      </c>
      <c r="BU274" s="51"/>
      <c r="BV274" s="54" cm="1">
        <f t="array" ref="BV274">J274-M274</f>
        <v>1500000</v>
      </c>
    </row>
    <row r="275" ht="32.25" customHeight="1">
      <c r="A275" s="47"/>
      <c r="B275" s="47"/>
      <c r="C275" t="s" s="49">
        <v>2153</v>
      </c>
      <c r="D275" s="66"/>
      <c r="E275" t="str" s="67" cm="1">
        <f t="array" ref="E275">$C275</f>
        <v>Pengawasan. Rehabilitasi Rumah Tidak Layak Huni (RLTH) (TMMD)</v>
      </c>
      <c r="F275" s="67"/>
      <c r="G275" s="67"/>
      <c r="H275" s="67"/>
      <c r="I275" s="67"/>
      <c r="J275" s="69">
        <v>5000000</v>
      </c>
      <c r="K275" s="69"/>
      <c r="L275" s="56"/>
      <c r="M275" s="69"/>
      <c r="N275" t="s" s="72">
        <v>174</v>
      </c>
      <c r="O275" t="s" s="78">
        <v>174</v>
      </c>
      <c r="P275" t="s" s="72">
        <v>174</v>
      </c>
      <c r="Q275" t="s" s="72">
        <v>174</v>
      </c>
      <c r="R275" t="s" s="72">
        <v>174</v>
      </c>
      <c r="S275" t="s" s="72">
        <v>174</v>
      </c>
      <c r="T275" t="s" s="72">
        <v>174</v>
      </c>
      <c r="U275" t="s" s="72">
        <v>174</v>
      </c>
      <c r="V275" t="s" s="72">
        <v>174</v>
      </c>
      <c r="W275" t="s" s="72">
        <v>174</v>
      </c>
      <c r="X275" s="67"/>
      <c r="Y275" s="67"/>
      <c r="Z275" s="69" cm="1">
        <f t="array" ref="Z275">M275</f>
        <v>0</v>
      </c>
      <c r="AA275" s="67"/>
      <c r="AB275" s="71" cm="1">
        <f t="array" ref="AB275">AH275</f>
      </c>
      <c r="AC275" s="67"/>
      <c r="AD275" s="67"/>
      <c r="AE275" t="s" s="72">
        <v>175</v>
      </c>
      <c r="AF275" s="67"/>
      <c r="AG275" s="71"/>
      <c r="AH275" s="71"/>
      <c r="AI275" s="71"/>
      <c r="AJ275" s="71"/>
      <c r="AK275" s="71"/>
      <c r="AL275" s="71"/>
      <c r="AM275" s="71"/>
      <c r="AN275" t="s" s="72">
        <v>390</v>
      </c>
      <c r="AO275" s="67" cm="1">
        <f t="array" ref="AO275">AJ275</f>
      </c>
      <c r="AP275" t="s" s="72">
        <v>391</v>
      </c>
      <c r="AQ275" s="67" cm="1">
        <f t="array" ref="AQ275">AJ275</f>
      </c>
      <c r="AR275" t="s" s="72">
        <v>392</v>
      </c>
      <c r="AS275" s="67" cm="1">
        <f t="array" ref="AS275">AJ275</f>
      </c>
      <c r="AT275" t="s" s="62">
        <v>393</v>
      </c>
      <c r="AU275" s="67" cm="1">
        <f t="array" ref="AU275">AJ275</f>
      </c>
      <c r="AV275" s="67"/>
      <c r="AW275" t="str" s="74" cm="1">
        <f t="array" ref="AW275">"600/"&amp;$B275&amp;"/"&amp;IF(AND($AE275="Konsultansi",M275&lt;=100000000),"SPK",IF(AND($AE275="Konsultansi",M275&gt;100000000),"Kont",IF(AND($AE275&lt;&gt;"Konsultansi",M275&lt;=200000000),"SPK","Kont")))&amp;"-"&amp;AE275&amp;"/PPK/DPUPR"</f>
        <v>600//SPK-Barang/PPK/DPUPR</v>
      </c>
      <c r="AX275" t="str" s="74" cm="1">
        <f t="array" ref="AX275">"600/"&amp;$B275&amp;"/SPMK/PPK/DPUPR"</f>
        <v>600//SPMK/PPK/DPUPR</v>
      </c>
      <c r="AY275" s="67"/>
      <c r="AZ275" s="67"/>
      <c r="BA275" s="67"/>
      <c r="BB275" s="67"/>
      <c r="BC275" s="67"/>
      <c r="BD275" s="67"/>
      <c r="BE275" s="67"/>
      <c r="BF275" s="67"/>
      <c r="BG275" s="75"/>
      <c r="BH275" t="s" s="72">
        <v>182</v>
      </c>
      <c r="BI275" t="s" s="72">
        <v>21</v>
      </c>
      <c r="BJ275" t="s" s="72">
        <v>22</v>
      </c>
      <c r="BK275" t="s" s="72">
        <v>23</v>
      </c>
      <c r="BL275" t="s" s="72">
        <v>24</v>
      </c>
      <c r="BM275" s="67"/>
      <c r="BN275" s="67"/>
      <c r="BO275" s="67"/>
      <c r="BP275" s="67"/>
      <c r="BQ275" s="67"/>
      <c r="BR275" t="b" s="79">
        <v>0</v>
      </c>
      <c r="BS275" s="69" cm="1">
        <f t="array" ref="BS275">IF(M275&lt;=0.8*K275,5%*K275,M275*5%)</f>
        <v>0</v>
      </c>
      <c r="BT275" t="s" s="72">
        <v>183</v>
      </c>
      <c r="BU275" s="67"/>
      <c r="BV275" s="69" cm="1">
        <f t="array" ref="BV275">J275-M275</f>
        <v>5000000</v>
      </c>
    </row>
    <row r="276" ht="84.25" customHeight="1">
      <c r="A276" s="47"/>
      <c r="B276" t="s" s="97">
        <v>748</v>
      </c>
      <c r="C276" t="s" s="49">
        <v>2154</v>
      </c>
      <c r="D276" t="s" s="50">
        <v>1</v>
      </c>
      <c r="E276" t="str" s="51" cm="1">
        <f t="array" ref="E276">$C276</f>
        <v>Pemuktahiran Penguatan Database dan Survey Kondisi Jalan dan Jembatan</v>
      </c>
      <c r="F276" s="52"/>
      <c r="G276" s="51"/>
      <c r="H276" s="51"/>
      <c r="I276" s="51"/>
      <c r="J276" s="54">
        <v>1000000000</v>
      </c>
      <c r="K276" s="56">
        <v>999943000</v>
      </c>
      <c r="L276" s="56">
        <v>999832500</v>
      </c>
      <c r="M276" s="56">
        <v>999832000</v>
      </c>
      <c r="N276" t="s" s="57">
        <v>2155</v>
      </c>
      <c r="O276" t="s" s="58">
        <v>2156</v>
      </c>
      <c r="P276" t="s" s="57">
        <v>2157</v>
      </c>
      <c r="Q276" t="s" s="57">
        <v>2158</v>
      </c>
      <c r="R276" t="s" s="57">
        <v>2159</v>
      </c>
      <c r="S276" s="60">
        <v>0</v>
      </c>
      <c r="T276" s="51"/>
      <c r="U276" s="60">
        <v>0</v>
      </c>
      <c r="V276" t="s" s="57">
        <v>2160</v>
      </c>
      <c r="W276" t="s" s="57">
        <v>2161</v>
      </c>
      <c r="X276" s="60">
        <v>58</v>
      </c>
      <c r="Y276" t="s" s="57">
        <v>10</v>
      </c>
      <c r="Z276" s="54" cm="1">
        <f t="array" ref="Z276">M276</f>
        <v>999832000</v>
      </c>
      <c r="AA276" t="s" s="57">
        <v>2162</v>
      </c>
      <c r="AB276" s="61" cm="1">
        <f t="array" ref="AB276">AH276</f>
        <v>45964</v>
      </c>
      <c r="AC276" s="51"/>
      <c r="AD276" t="s" s="57">
        <v>12</v>
      </c>
      <c r="AE276" t="s" s="57">
        <v>2163</v>
      </c>
      <c r="AF276" t="s" s="57">
        <v>108</v>
      </c>
      <c r="AG276" s="61">
        <v>45950</v>
      </c>
      <c r="AH276" s="61">
        <v>45964</v>
      </c>
      <c r="AI276" s="61">
        <v>45964</v>
      </c>
      <c r="AJ276" s="61">
        <v>45964</v>
      </c>
      <c r="AK276" s="61">
        <v>45964</v>
      </c>
      <c r="AL276" s="61">
        <v>45964</v>
      </c>
      <c r="AM276" s="61">
        <v>45964</v>
      </c>
      <c r="AN276" t="s" s="57">
        <v>2164</v>
      </c>
      <c r="AO276" s="61" cm="1">
        <f t="array" ref="AO276">AJ276</f>
        <v>45964</v>
      </c>
      <c r="AP276" t="s" s="57">
        <v>2165</v>
      </c>
      <c r="AQ276" s="61" cm="1">
        <f t="array" ref="AQ276">AJ276</f>
        <v>45964</v>
      </c>
      <c r="AR276" t="s" s="57">
        <v>2166</v>
      </c>
      <c r="AS276" s="61" cm="1">
        <f t="array" ref="AS276">AJ276</f>
        <v>45964</v>
      </c>
      <c r="AT276" t="s" s="62">
        <v>2167</v>
      </c>
      <c r="AU276" s="61" cm="1">
        <f t="array" ref="AU276">AJ276</f>
        <v>45964</v>
      </c>
      <c r="AV276" s="51"/>
      <c r="AW276" t="str" s="63" cm="1">
        <f t="array" ref="AW276">"600/"&amp;$B276&amp;"/"&amp;IF(AND($AE276="Konsultansi",M276&lt;=100000000),"SPK",IF(AND($AE276="Konsultansi",M276&gt;100000000),"Kont",IF(AND($AE276&lt;&gt;"Konsultansi",M276&lt;=200000000),"SPK","Kont")))&amp;"-"&amp;AE276&amp;"/PPK/DPUPR"</f>
        <v>600/01/Kont-Swakelola/PPK/DPUPR</v>
      </c>
      <c r="AX276" t="str" s="63" cm="1">
        <f t="array" ref="AX276">"600/"&amp;$B276&amp;"/SPMK/PPK/DPUPR"</f>
        <v>600/01/SPMK/PPK/DPUPR</v>
      </c>
      <c r="AY276" s="51"/>
      <c r="AZ276" s="51"/>
      <c r="BA276" s="51"/>
      <c r="BB276" s="51"/>
      <c r="BC276" s="51"/>
      <c r="BD276" s="51"/>
      <c r="BE276" s="51"/>
      <c r="BF276" s="51"/>
      <c r="BG276" s="64">
        <v>261</v>
      </c>
      <c r="BH276" t="s" s="57">
        <v>2155</v>
      </c>
      <c r="BI276" t="s" s="57">
        <v>21</v>
      </c>
      <c r="BJ276" t="s" s="57">
        <v>22</v>
      </c>
      <c r="BK276" t="s" s="57">
        <v>23</v>
      </c>
      <c r="BL276" t="s" s="57">
        <v>24</v>
      </c>
      <c r="BM276" s="51"/>
      <c r="BN276" s="51"/>
      <c r="BO276" s="51"/>
      <c r="BP276" s="51"/>
      <c r="BQ276" s="51"/>
      <c r="BR276" t="b" s="60">
        <v>0</v>
      </c>
      <c r="BS276" s="52" cm="1">
        <f t="array" ref="BS276">IF(M276&lt;=0.8*K276,5%*K276,M276*5%)</f>
        <v>49991600</v>
      </c>
      <c r="BT276" t="s" s="57">
        <v>25</v>
      </c>
      <c r="BU276" s="51"/>
      <c r="BV276" s="54" cm="1">
        <f t="array" ref="BV276">J276-M276</f>
        <v>168000</v>
      </c>
    </row>
    <row r="277" ht="120.25" customHeight="1">
      <c r="A277" s="47"/>
      <c r="B277" t="s" s="97">
        <v>148</v>
      </c>
      <c r="C277" t="s" s="49">
        <v>2170</v>
      </c>
      <c r="D277" t="s" s="76">
        <v>2171</v>
      </c>
      <c r="E277" t="s" s="72">
        <v>2172</v>
      </c>
      <c r="F277" t="s" s="72">
        <v>2173</v>
      </c>
      <c r="G277" s="67"/>
      <c r="H277" s="67"/>
      <c r="I277" s="67"/>
      <c r="J277" s="69">
        <v>910000000</v>
      </c>
      <c r="K277" s="69">
        <v>909989000</v>
      </c>
      <c r="L277" s="56">
        <v>909923213.02</v>
      </c>
      <c r="M277" s="69">
        <v>909923000</v>
      </c>
      <c r="N277" t="s" s="72">
        <v>2174</v>
      </c>
      <c r="O277" t="s" s="78">
        <v>2175</v>
      </c>
      <c r="P277" t="s" s="72">
        <v>2176</v>
      </c>
      <c r="Q277" t="s" s="72">
        <v>2177</v>
      </c>
      <c r="R277" t="s" s="72">
        <v>2178</v>
      </c>
      <c r="S277" t="s" s="72">
        <v>2179</v>
      </c>
      <c r="T277" s="71">
        <v>44032</v>
      </c>
      <c r="U277" t="s" s="72">
        <v>2180</v>
      </c>
      <c r="V277" t="s" s="72">
        <v>2181</v>
      </c>
      <c r="W277" t="s" s="72">
        <v>2182</v>
      </c>
      <c r="X277" s="79">
        <v>58</v>
      </c>
      <c r="Y277" t="s" s="72">
        <v>10</v>
      </c>
      <c r="Z277" s="69" cm="1">
        <f t="array" ref="Z277">M277</f>
        <v>909923000</v>
      </c>
      <c r="AA277" t="s" s="72">
        <v>2162</v>
      </c>
      <c r="AB277" s="71" cm="1">
        <f t="array" ref="AB277">AH277</f>
        <v>45961</v>
      </c>
      <c r="AC277" s="67"/>
      <c r="AD277" t="s" s="72">
        <v>106</v>
      </c>
      <c r="AE277" t="s" s="72">
        <v>2163</v>
      </c>
      <c r="AF277" t="s" s="72">
        <v>2133</v>
      </c>
      <c r="AG277" s="71">
        <v>45961</v>
      </c>
      <c r="AH277" s="71">
        <v>45961</v>
      </c>
      <c r="AI277" s="71">
        <v>45961</v>
      </c>
      <c r="AJ277" s="71">
        <v>45961</v>
      </c>
      <c r="AK277" s="71">
        <v>45964</v>
      </c>
      <c r="AL277" s="71">
        <v>45964</v>
      </c>
      <c r="AM277" s="71">
        <v>45964</v>
      </c>
      <c r="AN277" t="s" s="72">
        <v>2183</v>
      </c>
      <c r="AO277" s="71" cm="1">
        <f t="array" ref="AO277">AJ277</f>
        <v>45961</v>
      </c>
      <c r="AP277" t="s" s="72">
        <v>2184</v>
      </c>
      <c r="AQ277" s="71" cm="1">
        <f t="array" ref="AQ277">AJ277</f>
        <v>45961</v>
      </c>
      <c r="AR277" t="s" s="72">
        <v>2185</v>
      </c>
      <c r="AS277" s="71" cm="1">
        <f t="array" ref="AS277">AJ277</f>
        <v>45961</v>
      </c>
      <c r="AT277" t="s" s="62">
        <v>2186</v>
      </c>
      <c r="AU277" s="71" cm="1">
        <f t="array" ref="AU277">AJ277</f>
        <v>45961</v>
      </c>
      <c r="AV277" s="67"/>
      <c r="AW277" t="str" s="74" cm="1">
        <f t="array" ref="AW277">"600/"&amp;$B277&amp;"/"&amp;IF(AND($AE277="Konsultansi",M277&lt;=100000000),"SPK",IF(AND($AE277="Konsultansi",M277&gt;100000000),"Kont",IF(AND($AE277&lt;&gt;"Konsultansi",M277&lt;=200000000),"SPK","Kont")))&amp;"-"&amp;AE277&amp;"/PPK/DPUPR"</f>
        <v>600/02/Kont-Swakelola/PPK/DPUPR</v>
      </c>
      <c r="AX277" t="str" s="74" cm="1">
        <f t="array" ref="AX277">"600/"&amp;$B277&amp;"/SPMK/PPK/DPUPR"</f>
        <v>600/02/SPMK/PPK/DPUPR</v>
      </c>
      <c r="AY277" s="67"/>
      <c r="AZ277" s="67"/>
      <c r="BA277" s="67"/>
      <c r="BB277" s="67"/>
      <c r="BC277" s="67"/>
      <c r="BD277" s="67"/>
      <c r="BE277" s="67"/>
      <c r="BF277" s="67"/>
      <c r="BG277" s="80">
        <v>185</v>
      </c>
      <c r="BH277" t="s" s="72">
        <v>2174</v>
      </c>
      <c r="BI277" t="s" s="72">
        <v>21</v>
      </c>
      <c r="BJ277" t="s" s="72">
        <v>22</v>
      </c>
      <c r="BK277" t="s" s="72">
        <v>23</v>
      </c>
      <c r="BL277" t="s" s="72">
        <v>24</v>
      </c>
      <c r="BM277" s="67"/>
      <c r="BN277" s="67"/>
      <c r="BO277" s="67"/>
      <c r="BP277" s="67"/>
      <c r="BQ277" s="67"/>
      <c r="BR277" t="b" s="79">
        <v>0</v>
      </c>
      <c r="BS277" s="69" cm="1">
        <f t="array" ref="BS277">IF(M277&lt;=0.8*K277,5%*K277,M277*5%)</f>
        <v>45496150</v>
      </c>
      <c r="BT277" t="s" s="72">
        <v>25</v>
      </c>
      <c r="BU277" s="67"/>
      <c r="BV277" s="69" cm="1">
        <f t="array" ref="BV277">J277-M277</f>
        <v>77000</v>
      </c>
    </row>
    <row r="278" ht="36.25" customHeight="1">
      <c r="A278" s="47"/>
      <c r="B278" s="48">
        <v>63392120</v>
      </c>
      <c r="C278" t="s" s="49">
        <v>2189</v>
      </c>
      <c r="D278" t="s" s="50">
        <v>2190</v>
      </c>
      <c r="E278" t="s" s="57">
        <v>2191</v>
      </c>
      <c r="F278" s="52"/>
      <c r="G278" s="51"/>
      <c r="H278" s="51"/>
      <c r="I278" s="51"/>
      <c r="J278" s="54" cm="1">
        <f t="array" ref="J278">9430000+34908400+30000000+11239000+60628400</f>
        <v>146205800</v>
      </c>
      <c r="K278" s="54">
        <v>146205000</v>
      </c>
      <c r="L278" s="56">
        <v>145959450</v>
      </c>
      <c r="M278" s="54">
        <v>145959450</v>
      </c>
      <c r="N278" t="s" s="57">
        <v>2192</v>
      </c>
      <c r="O278" t="s" s="58">
        <v>2193</v>
      </c>
      <c r="P278" t="s" s="57">
        <v>4</v>
      </c>
      <c r="Q278" t="s" s="57">
        <v>2194</v>
      </c>
      <c r="R278" t="s" s="57">
        <v>2195</v>
      </c>
      <c r="S278" s="60">
        <v>24</v>
      </c>
      <c r="T278" s="61">
        <v>43860</v>
      </c>
      <c r="U278" t="s" s="57">
        <v>456</v>
      </c>
      <c r="V278" t="s" s="57">
        <v>2196</v>
      </c>
      <c r="W278" t="s" s="57">
        <v>2197</v>
      </c>
      <c r="X278" s="60">
        <v>30</v>
      </c>
      <c r="Y278" t="s" s="57">
        <v>10</v>
      </c>
      <c r="Z278" s="54" cm="1">
        <f t="array" ref="Z278">M278</f>
        <v>145959450</v>
      </c>
      <c r="AA278" t="s" s="57">
        <v>11</v>
      </c>
      <c r="AB278" s="61" cm="1">
        <f t="array" ref="AB278">AH278</f>
        <v>45989</v>
      </c>
      <c r="AC278" s="51"/>
      <c r="AD278" t="s" s="57">
        <v>192</v>
      </c>
      <c r="AE278" t="s" s="57">
        <v>175</v>
      </c>
      <c r="AF278" t="s" s="57">
        <v>2198</v>
      </c>
      <c r="AG278" s="61">
        <v>45988</v>
      </c>
      <c r="AH278" s="61">
        <v>45989</v>
      </c>
      <c r="AI278" s="61">
        <v>45989</v>
      </c>
      <c r="AJ278" s="61">
        <v>45989</v>
      </c>
      <c r="AK278" s="61">
        <v>45989</v>
      </c>
      <c r="AL278" s="61">
        <v>45989</v>
      </c>
      <c r="AM278" s="61">
        <v>45989</v>
      </c>
      <c r="AN278" t="s" s="57">
        <v>2199</v>
      </c>
      <c r="AO278" s="61" cm="1">
        <f t="array" ref="AO278">AJ278</f>
        <v>45989</v>
      </c>
      <c r="AP278" t="s" s="57">
        <v>2200</v>
      </c>
      <c r="AQ278" s="61" cm="1">
        <f t="array" ref="AQ278">AJ278</f>
        <v>45989</v>
      </c>
      <c r="AR278" t="s" s="57">
        <v>2201</v>
      </c>
      <c r="AS278" s="61" cm="1">
        <f t="array" ref="AS278">AJ278</f>
        <v>45989</v>
      </c>
      <c r="AT278" t="s" s="62">
        <v>2202</v>
      </c>
      <c r="AU278" s="61" cm="1">
        <f t="array" ref="AU278">AJ278</f>
        <v>45989</v>
      </c>
      <c r="AV278" s="51"/>
      <c r="AW278" t="str" s="63" cm="1">
        <f t="array" ref="AW278">"600/"&amp;$B278&amp;"/"&amp;IF(AND($AE278="Konsultansi",M278&lt;=100000000),"SPK",IF(AND($AE278="Konsultansi",M278&gt;100000000),"Kont",IF(AND($AE278&lt;&gt;"Konsultansi",M278&lt;=200000000),"SPK","Kont")))&amp;"-"&amp;AE278&amp;"/PPK/DPUPR"</f>
        <v>600/63392120/SPK-Barang/PPK/DPUPR</v>
      </c>
      <c r="AX278" t="str" s="63" cm="1">
        <f t="array" ref="AX278">"600/"&amp;$B278&amp;"/SPMK/PPK/DPUPR"</f>
        <v>600/63392120/SPMK/PPK/DPUPR</v>
      </c>
      <c r="AY278" s="51"/>
      <c r="AZ278" s="51"/>
      <c r="BA278" s="51"/>
      <c r="BB278" s="51"/>
      <c r="BC278" s="51"/>
      <c r="BD278" s="51"/>
      <c r="BE278" s="51"/>
      <c r="BF278" s="51"/>
      <c r="BG278" s="64">
        <v>170</v>
      </c>
      <c r="BH278" t="s" s="57">
        <v>2192</v>
      </c>
      <c r="BI278" t="s" s="57">
        <v>21</v>
      </c>
      <c r="BJ278" t="s" s="57">
        <v>22</v>
      </c>
      <c r="BK278" t="s" s="57">
        <v>23</v>
      </c>
      <c r="BL278" t="s" s="57">
        <v>24</v>
      </c>
      <c r="BM278" s="51"/>
      <c r="BN278" s="51"/>
      <c r="BO278" s="51"/>
      <c r="BP278" s="51"/>
      <c r="BQ278" s="51"/>
      <c r="BR278" t="b" s="60">
        <v>0</v>
      </c>
      <c r="BS278" s="94" cm="1">
        <f t="array" ref="BS278">IF(M278&lt;=0.8*K278,5%*K278,M278*5%)</f>
        <v>7297972.5</v>
      </c>
      <c r="BT278" t="s" s="57">
        <v>2205</v>
      </c>
      <c r="BU278" s="51"/>
      <c r="BV278" s="54" cm="1">
        <f t="array" ref="BV278">J278-M278</f>
        <v>246350</v>
      </c>
    </row>
    <row r="279" ht="36.25" customHeight="1">
      <c r="A279" s="47"/>
      <c r="B279" s="48">
        <v>63382180</v>
      </c>
      <c r="C279" t="s" s="49">
        <v>2206</v>
      </c>
      <c r="D279" t="s" s="76">
        <v>2190</v>
      </c>
      <c r="E279" t="str" s="67" cm="1">
        <f t="array" ref="E279">$C279</f>
        <v>Pengadaan Laptop  (Notebook)</v>
      </c>
      <c r="F279" s="68"/>
      <c r="G279" s="67"/>
      <c r="H279" s="67"/>
      <c r="I279" s="67"/>
      <c r="J279" s="69">
        <v>163224400</v>
      </c>
      <c r="K279" s="69">
        <v>163224000</v>
      </c>
      <c r="L279" s="56">
        <v>162171000</v>
      </c>
      <c r="M279" s="69">
        <v>162171000</v>
      </c>
      <c r="N279" t="s" s="72">
        <v>2192</v>
      </c>
      <c r="O279" t="s" s="78">
        <v>2193</v>
      </c>
      <c r="P279" t="s" s="72">
        <v>4</v>
      </c>
      <c r="Q279" t="s" s="72">
        <v>2194</v>
      </c>
      <c r="R279" t="s" s="72">
        <v>2195</v>
      </c>
      <c r="S279" s="79">
        <v>24</v>
      </c>
      <c r="T279" s="71">
        <v>43860</v>
      </c>
      <c r="U279" t="s" s="72">
        <v>456</v>
      </c>
      <c r="V279" t="s" s="72">
        <v>2196</v>
      </c>
      <c r="W279" t="s" s="72">
        <v>2197</v>
      </c>
      <c r="X279" s="79">
        <v>30</v>
      </c>
      <c r="Y279" t="s" s="72">
        <v>10</v>
      </c>
      <c r="Z279" s="69" cm="1">
        <f t="array" ref="Z279">M279</f>
        <v>162171000</v>
      </c>
      <c r="AA279" t="s" s="72">
        <v>11</v>
      </c>
      <c r="AB279" s="71" cm="1">
        <f t="array" ref="AB279">AH279</f>
        <v>45989</v>
      </c>
      <c r="AC279" s="67"/>
      <c r="AD279" t="s" s="72">
        <v>192</v>
      </c>
      <c r="AE279" t="s" s="72">
        <v>175</v>
      </c>
      <c r="AF279" t="s" s="72">
        <v>2198</v>
      </c>
      <c r="AG279" s="71">
        <v>45988</v>
      </c>
      <c r="AH279" s="71">
        <v>45989</v>
      </c>
      <c r="AI279" s="71">
        <v>45989</v>
      </c>
      <c r="AJ279" s="71">
        <v>45989</v>
      </c>
      <c r="AK279" s="71">
        <v>45989</v>
      </c>
      <c r="AL279" s="71">
        <v>45989</v>
      </c>
      <c r="AM279" s="71">
        <v>45989</v>
      </c>
      <c r="AN279" t="s" s="72">
        <v>2207</v>
      </c>
      <c r="AO279" s="71" cm="1">
        <f t="array" ref="AO279">AJ279</f>
        <v>45989</v>
      </c>
      <c r="AP279" t="s" s="72">
        <v>2208</v>
      </c>
      <c r="AQ279" s="71" cm="1">
        <f t="array" ref="AQ279">AJ279</f>
        <v>45989</v>
      </c>
      <c r="AR279" t="s" s="72">
        <v>2209</v>
      </c>
      <c r="AS279" s="71" cm="1">
        <f t="array" ref="AS279">AJ279</f>
        <v>45989</v>
      </c>
      <c r="AT279" t="s" s="62">
        <v>2210</v>
      </c>
      <c r="AU279" s="71" cm="1">
        <f t="array" ref="AU279">AJ279</f>
        <v>45989</v>
      </c>
      <c r="AV279" s="67"/>
      <c r="AW279" t="str" s="74" cm="1">
        <f t="array" ref="AW279">"600/"&amp;$B279&amp;"/"&amp;IF(AND($AE279="Konsultansi",M279&lt;=100000000),"SPK",IF(AND($AE279="Konsultansi",M279&gt;100000000),"Kont",IF(AND($AE279&lt;&gt;"Konsultansi",M279&lt;=200000000),"SPK","Kont")))&amp;"-"&amp;AE279&amp;"/PPK/DPUPR"</f>
        <v>600/63382180/SPK-Barang/PPK/DPUPR</v>
      </c>
      <c r="AX279" t="str" s="74" cm="1">
        <f t="array" ref="AX279">"600/"&amp;$B279&amp;"/SPMK/PPK/DPUPR"</f>
        <v>600/63382180/SPMK/PPK/DPUPR</v>
      </c>
      <c r="AY279" s="67"/>
      <c r="AZ279" s="67"/>
      <c r="BA279" s="67"/>
      <c r="BB279" s="67"/>
      <c r="BC279" s="67"/>
      <c r="BD279" s="67"/>
      <c r="BE279" s="67"/>
      <c r="BF279" s="67"/>
      <c r="BG279" s="80">
        <v>170</v>
      </c>
      <c r="BH279" t="s" s="72">
        <v>2192</v>
      </c>
      <c r="BI279" t="s" s="72">
        <v>21</v>
      </c>
      <c r="BJ279" t="s" s="72">
        <v>22</v>
      </c>
      <c r="BK279" t="s" s="72">
        <v>23</v>
      </c>
      <c r="BL279" t="s" s="72">
        <v>24</v>
      </c>
      <c r="BM279" s="67"/>
      <c r="BN279" s="67"/>
      <c r="BO279" s="67"/>
      <c r="BP279" s="67"/>
      <c r="BQ279" s="67"/>
      <c r="BR279" t="b" s="79">
        <v>0</v>
      </c>
      <c r="BS279" s="69" cm="1">
        <f t="array" ref="BS279">IF(M279&lt;=0.8*K279,5%*K279,M279*5%)</f>
        <v>8108550</v>
      </c>
      <c r="BT279" t="s" s="72">
        <v>2205</v>
      </c>
      <c r="BU279" s="67"/>
      <c r="BV279" s="69" cm="1">
        <f t="array" ref="BV279">J279-M279</f>
        <v>1053400</v>
      </c>
    </row>
    <row r="280" ht="36.25" customHeight="1">
      <c r="A280" s="47"/>
      <c r="B280" t="s" s="97">
        <v>2213</v>
      </c>
      <c r="C280" t="s" s="49">
        <v>2214</v>
      </c>
      <c r="D280" t="s" s="50">
        <v>2215</v>
      </c>
      <c r="E280" t="str" s="51" cm="1">
        <f t="array" ref="E280">$C280</f>
        <v>Penyusunan SOP Laboratorium </v>
      </c>
      <c r="F280" s="52"/>
      <c r="G280" s="51"/>
      <c r="H280" s="51"/>
      <c r="I280" s="51"/>
      <c r="J280" s="54">
        <v>100000000</v>
      </c>
      <c r="K280" s="54">
        <v>100000000</v>
      </c>
      <c r="L280" s="56">
        <v>100000000.01</v>
      </c>
      <c r="M280" s="54">
        <v>100000000</v>
      </c>
      <c r="N280" t="s" s="57">
        <v>2216</v>
      </c>
      <c r="O280" s="109">
        <v>0</v>
      </c>
      <c r="P280" s="110">
        <v>0</v>
      </c>
      <c r="Q280" s="60">
        <v>0</v>
      </c>
      <c r="R280" s="60">
        <v>0</v>
      </c>
      <c r="S280" s="60">
        <v>0</v>
      </c>
      <c r="T280" s="51"/>
      <c r="U280" s="60">
        <v>0</v>
      </c>
      <c r="V280" s="60">
        <v>0</v>
      </c>
      <c r="W280" t="s" s="57">
        <v>2217</v>
      </c>
      <c r="X280" s="60">
        <v>60</v>
      </c>
      <c r="Y280" t="s" s="57">
        <v>10</v>
      </c>
      <c r="Z280" s="54" cm="1">
        <f t="array" ref="Z280">M280</f>
        <v>100000000</v>
      </c>
      <c r="AA280" s="51"/>
      <c r="AB280" s="61" cm="1">
        <f t="array" ref="AB280">AH280</f>
      </c>
      <c r="AC280" s="51"/>
      <c r="AD280" s="51"/>
      <c r="AE280" t="s" s="57">
        <v>175</v>
      </c>
      <c r="AF280" s="51"/>
      <c r="AG280" s="61"/>
      <c r="AH280" s="61"/>
      <c r="AI280" s="61"/>
      <c r="AJ280" s="61"/>
      <c r="AK280" s="61"/>
      <c r="AL280" s="61"/>
      <c r="AM280" s="61"/>
      <c r="AN280" t="s" s="57">
        <v>2218</v>
      </c>
      <c r="AO280" s="51" cm="1">
        <f t="array" ref="AO280">AJ280</f>
      </c>
      <c r="AP280" t="s" s="57">
        <v>2219</v>
      </c>
      <c r="AQ280" s="51" cm="1">
        <f t="array" ref="AQ280">AJ280</f>
      </c>
      <c r="AR280" t="s" s="57">
        <v>2220</v>
      </c>
      <c r="AS280" s="51" cm="1">
        <f t="array" ref="AS280">AJ280</f>
      </c>
      <c r="AT280" t="s" s="62">
        <v>2221</v>
      </c>
      <c r="AU280" s="51" cm="1">
        <f t="array" ref="AU280">AJ280</f>
      </c>
      <c r="AV280" s="51"/>
      <c r="AW280" t="str" s="63" cm="1">
        <f t="array" ref="AW280">"600/"&amp;$B280&amp;"/"&amp;IF(AND($AE280="Konsultansi",M280&lt;=100000000),"SPK",IF(AND($AE280="Konsultansi",M280&gt;100000000),"Kont",IF(AND($AE280&lt;&gt;"Konsultansi",M280&lt;=200000000),"SPK","Kont")))&amp;"-"&amp;AE280&amp;"/PPK/DPUPR"</f>
        <v>600/002/SPK-Barang/PPK/DPUPR</v>
      </c>
      <c r="AX280" t="str" s="63" cm="1">
        <f t="array" ref="AX280">"600/"&amp;$B280&amp;"/SPMK/PPK/DPUPR"</f>
        <v>600/002/SPMK/PPK/DPUPR</v>
      </c>
      <c r="AY280" s="51"/>
      <c r="AZ280" s="51"/>
      <c r="BA280" s="51"/>
      <c r="BB280" s="51"/>
      <c r="BC280" s="51"/>
      <c r="BD280" s="51"/>
      <c r="BE280" s="51"/>
      <c r="BF280" s="51"/>
      <c r="BG280" s="64">
        <v>265</v>
      </c>
      <c r="BH280" t="s" s="57">
        <v>2216</v>
      </c>
      <c r="BI280" t="s" s="57">
        <v>21</v>
      </c>
      <c r="BJ280" t="s" s="57">
        <v>22</v>
      </c>
      <c r="BK280" t="s" s="57">
        <v>23</v>
      </c>
      <c r="BL280" t="s" s="57">
        <v>24</v>
      </c>
      <c r="BM280" s="51"/>
      <c r="BN280" s="51"/>
      <c r="BO280" s="51"/>
      <c r="BP280" s="51"/>
      <c r="BQ280" s="51"/>
      <c r="BR280" t="b" s="60">
        <v>0</v>
      </c>
      <c r="BS280" s="54" cm="1">
        <f t="array" ref="BS280">IF(M280&lt;=0.8*K280,5%*K280,M280*5%)</f>
        <v>5000000</v>
      </c>
      <c r="BT280" t="s" s="57">
        <v>2205</v>
      </c>
      <c r="BU280" s="51"/>
      <c r="BV280" s="54" cm="1">
        <f t="array" ref="BV280">J280-M280</f>
        <v>0</v>
      </c>
    </row>
    <row r="281" ht="36.25" customHeight="1">
      <c r="A281" s="47"/>
      <c r="B281" t="s" s="97">
        <v>2224</v>
      </c>
      <c r="C281" t="s" s="49">
        <v>2225</v>
      </c>
      <c r="D281" t="s" s="76">
        <v>2215</v>
      </c>
      <c r="E281" t="str" s="67" cm="1">
        <f t="array" ref="E281">$C281</f>
        <v>Penyusunan Video &amp; Buku Profil Infrastruktur Dinas PUPR </v>
      </c>
      <c r="F281" s="68"/>
      <c r="G281" s="67"/>
      <c r="H281" s="67"/>
      <c r="I281" s="67"/>
      <c r="J281" s="69">
        <v>100000000</v>
      </c>
      <c r="K281" s="69">
        <v>100000000</v>
      </c>
      <c r="L281" s="56">
        <v>100000000.01</v>
      </c>
      <c r="M281" s="69">
        <v>100000000</v>
      </c>
      <c r="N281" t="s" s="72">
        <v>2216</v>
      </c>
      <c r="O281" s="111">
        <v>0</v>
      </c>
      <c r="P281" s="112">
        <v>0</v>
      </c>
      <c r="Q281" s="79">
        <v>0</v>
      </c>
      <c r="R281" s="79">
        <v>0</v>
      </c>
      <c r="S281" s="79">
        <v>0</v>
      </c>
      <c r="T281" s="67"/>
      <c r="U281" s="79">
        <v>0</v>
      </c>
      <c r="V281" s="79">
        <v>0</v>
      </c>
      <c r="W281" t="s" s="72">
        <v>2217</v>
      </c>
      <c r="X281" s="79">
        <v>60</v>
      </c>
      <c r="Y281" t="s" s="72">
        <v>10</v>
      </c>
      <c r="Z281" s="69" cm="1">
        <f t="array" ref="Z281">M281</f>
        <v>100000000</v>
      </c>
      <c r="AA281" s="67"/>
      <c r="AB281" s="71" cm="1">
        <f t="array" ref="AB281">AH281</f>
      </c>
      <c r="AC281" s="67"/>
      <c r="AD281" s="67"/>
      <c r="AE281" t="s" s="72">
        <v>175</v>
      </c>
      <c r="AF281" s="67"/>
      <c r="AG281" s="71"/>
      <c r="AH281" s="71"/>
      <c r="AI281" s="71"/>
      <c r="AJ281" s="71"/>
      <c r="AK281" s="71"/>
      <c r="AL281" s="71"/>
      <c r="AM281" s="71"/>
      <c r="AN281" t="s" s="72">
        <v>2226</v>
      </c>
      <c r="AO281" s="67" cm="1">
        <f t="array" ref="AO281">AJ281</f>
      </c>
      <c r="AP281" t="s" s="72">
        <v>2227</v>
      </c>
      <c r="AQ281" s="67" cm="1">
        <f t="array" ref="AQ281">AJ281</f>
      </c>
      <c r="AR281" t="s" s="72">
        <v>2228</v>
      </c>
      <c r="AS281" s="67" cm="1">
        <f t="array" ref="AS281">AJ281</f>
      </c>
      <c r="AT281" t="s" s="62">
        <v>2229</v>
      </c>
      <c r="AU281" s="67" cm="1">
        <f t="array" ref="AU281">AJ281</f>
      </c>
      <c r="AV281" s="67"/>
      <c r="AW281" t="str" s="74" cm="1">
        <f t="array" ref="AW281">"600/"&amp;$B281&amp;"/"&amp;IF(AND($AE281="Konsultansi",M281&lt;=100000000),"SPK",IF(AND($AE281="Konsultansi",M281&gt;100000000),"Kont",IF(AND($AE281&lt;&gt;"Konsultansi",M281&lt;=200000000),"SPK","Kont")))&amp;"-"&amp;AE281&amp;"/PPK/DPUPR"</f>
        <v>600/003/SPK-Barang/PPK/DPUPR</v>
      </c>
      <c r="AX281" t="str" s="74" cm="1">
        <f t="array" ref="AX281">"600/"&amp;$B281&amp;"/SPMK/PPK/DPUPR"</f>
        <v>600/003/SPMK/PPK/DPUPR</v>
      </c>
      <c r="AY281" s="67"/>
      <c r="AZ281" s="67"/>
      <c r="BA281" s="67"/>
      <c r="BB281" s="67"/>
      <c r="BC281" s="67"/>
      <c r="BD281" s="67"/>
      <c r="BE281" s="67"/>
      <c r="BF281" s="67"/>
      <c r="BG281" s="80">
        <v>265</v>
      </c>
      <c r="BH281" t="s" s="72">
        <v>2216</v>
      </c>
      <c r="BI281" t="s" s="72">
        <v>21</v>
      </c>
      <c r="BJ281" t="s" s="72">
        <v>22</v>
      </c>
      <c r="BK281" t="s" s="72">
        <v>23</v>
      </c>
      <c r="BL281" t="s" s="72">
        <v>24</v>
      </c>
      <c r="BM281" s="67"/>
      <c r="BN281" s="67"/>
      <c r="BO281" s="67"/>
      <c r="BP281" s="67"/>
      <c r="BQ281" s="67"/>
      <c r="BR281" t="b" s="79">
        <v>0</v>
      </c>
      <c r="BS281" s="69" cm="1">
        <f t="array" ref="BS281">IF(M281&lt;=0.8*K281,5%*K281,M281*5%)</f>
        <v>5000000</v>
      </c>
      <c r="BT281" t="s" s="72">
        <v>2205</v>
      </c>
      <c r="BU281" s="67"/>
      <c r="BV281" s="69" cm="1">
        <f t="array" ref="BV281">J281-M281</f>
        <v>0</v>
      </c>
    </row>
    <row r="282" ht="24.25" customHeight="1">
      <c r="A282" s="47"/>
      <c r="B282" s="47"/>
      <c r="C282" s="65"/>
      <c r="D282" s="82"/>
      <c r="E282" s="60" cm="1">
        <f t="array" ref="E282">$C282</f>
        <v>0</v>
      </c>
      <c r="F282" s="52"/>
      <c r="G282" s="51"/>
      <c r="H282" s="51"/>
      <c r="I282" s="51"/>
      <c r="J282" s="54"/>
      <c r="K282" s="54"/>
      <c r="L282" s="56"/>
      <c r="M282" s="54"/>
      <c r="N282" t="s" s="57">
        <v>174</v>
      </c>
      <c r="O282" t="s" s="58">
        <v>174</v>
      </c>
      <c r="P282" t="s" s="57">
        <v>174</v>
      </c>
      <c r="Q282" t="s" s="57">
        <v>174</v>
      </c>
      <c r="R282" t="s" s="57">
        <v>174</v>
      </c>
      <c r="S282" t="s" s="57">
        <v>174</v>
      </c>
      <c r="T282" t="s" s="57">
        <v>174</v>
      </c>
      <c r="U282" t="s" s="57">
        <v>174</v>
      </c>
      <c r="V282" t="s" s="57">
        <v>174</v>
      </c>
      <c r="W282" t="s" s="57">
        <v>174</v>
      </c>
      <c r="X282" s="51"/>
      <c r="Y282" s="51"/>
      <c r="Z282" s="54" cm="1">
        <f t="array" ref="Z282">M282</f>
        <v>0</v>
      </c>
      <c r="AA282" s="51"/>
      <c r="AB282" s="61" cm="1">
        <f t="array" ref="AB282">AH282</f>
      </c>
      <c r="AC282" s="51"/>
      <c r="AD282" s="51"/>
      <c r="AE282" t="s" s="57">
        <v>175</v>
      </c>
      <c r="AF282" s="51"/>
      <c r="AG282" s="61"/>
      <c r="AH282" s="61"/>
      <c r="AI282" s="61"/>
      <c r="AJ282" s="61"/>
      <c r="AK282" s="61"/>
      <c r="AL282" s="61"/>
      <c r="AM282" s="61"/>
      <c r="AN282" t="s" s="57">
        <v>390</v>
      </c>
      <c r="AO282" s="51" cm="1">
        <f t="array" ref="AO282">AJ282</f>
      </c>
      <c r="AP282" t="s" s="57">
        <v>391</v>
      </c>
      <c r="AQ282" s="51" cm="1">
        <f t="array" ref="AQ282">AJ282</f>
      </c>
      <c r="AR282" t="s" s="57">
        <v>392</v>
      </c>
      <c r="AS282" s="51" cm="1">
        <f t="array" ref="AS282">AJ282</f>
      </c>
      <c r="AT282" t="s" s="62">
        <v>393</v>
      </c>
      <c r="AU282" s="51" cm="1">
        <f t="array" ref="AU282">AJ282</f>
      </c>
      <c r="AV282" s="51"/>
      <c r="AW282" t="str" s="63" cm="1">
        <f t="array" ref="AW282">"600/"&amp;$B282&amp;"/"&amp;IF(AND($AE282="Konsultansi",M282&lt;=100000000),"SPK",IF(AND($AE282="Konsultansi",M282&gt;100000000),"Kont",IF(AND($AE282&lt;&gt;"Konsultansi",M282&lt;=200000000),"SPK","Kont")))&amp;"-"&amp;AE282&amp;"/PPK/DPUPR"</f>
        <v>600//SPK-Barang/PPK/DPUPR</v>
      </c>
      <c r="AX282" t="str" s="63" cm="1">
        <f t="array" ref="AX282">"600/"&amp;$B282&amp;"/SPMK/PPK/DPUPR"</f>
        <v>600//SPMK/PPK/DPUPR</v>
      </c>
      <c r="AY282" s="51"/>
      <c r="AZ282" s="51"/>
      <c r="BA282" s="51"/>
      <c r="BB282" s="51"/>
      <c r="BC282" s="51"/>
      <c r="BD282" s="51"/>
      <c r="BE282" s="51"/>
      <c r="BF282" s="51"/>
      <c r="BG282" s="84"/>
      <c r="BH282" t="s" s="57">
        <v>182</v>
      </c>
      <c r="BI282" t="s" s="57">
        <v>21</v>
      </c>
      <c r="BJ282" t="s" s="57">
        <v>22</v>
      </c>
      <c r="BK282" t="s" s="57">
        <v>23</v>
      </c>
      <c r="BL282" t="s" s="57">
        <v>24</v>
      </c>
      <c r="BM282" s="51"/>
      <c r="BN282" s="51"/>
      <c r="BO282" s="51"/>
      <c r="BP282" s="51"/>
      <c r="BQ282" s="51"/>
      <c r="BR282" t="b" s="60">
        <v>0</v>
      </c>
      <c r="BS282" s="54" cm="1">
        <f t="array" ref="BS282">IF(M282&lt;=0.8*K282,5%*K282,M282*5%)</f>
        <v>0</v>
      </c>
      <c r="BT282" t="s" s="57">
        <v>183</v>
      </c>
      <c r="BU282" s="51"/>
      <c r="BV282" s="54" cm="1">
        <f t="array" ref="BV282">J282-M282</f>
        <v>0</v>
      </c>
    </row>
    <row r="283" ht="24.25" customHeight="1">
      <c r="A283" s="47"/>
      <c r="B283" s="47"/>
      <c r="C283" s="65"/>
      <c r="D283" s="66"/>
      <c r="E283" s="79" cm="1">
        <f t="array" ref="E283">$C283</f>
        <v>0</v>
      </c>
      <c r="F283" s="68"/>
      <c r="G283" s="67"/>
      <c r="H283" s="67"/>
      <c r="I283" s="67"/>
      <c r="J283" s="69"/>
      <c r="K283" s="69"/>
      <c r="L283" s="56"/>
      <c r="M283" s="69"/>
      <c r="N283" t="s" s="72">
        <v>174</v>
      </c>
      <c r="O283" t="s" s="78">
        <v>174</v>
      </c>
      <c r="P283" t="s" s="72">
        <v>174</v>
      </c>
      <c r="Q283" t="s" s="72">
        <v>174</v>
      </c>
      <c r="R283" t="s" s="72">
        <v>174</v>
      </c>
      <c r="S283" t="s" s="72">
        <v>174</v>
      </c>
      <c r="T283" t="s" s="72">
        <v>174</v>
      </c>
      <c r="U283" t="s" s="72">
        <v>174</v>
      </c>
      <c r="V283" t="s" s="72">
        <v>174</v>
      </c>
      <c r="W283" t="s" s="72">
        <v>174</v>
      </c>
      <c r="X283" s="67"/>
      <c r="Y283" s="67"/>
      <c r="Z283" s="69" cm="1">
        <f t="array" ref="Z283">M283</f>
        <v>0</v>
      </c>
      <c r="AA283" s="67"/>
      <c r="AB283" s="71" cm="1">
        <f t="array" ref="AB283">AH283</f>
      </c>
      <c r="AC283" s="67"/>
      <c r="AD283" s="67"/>
      <c r="AE283" t="s" s="72">
        <v>175</v>
      </c>
      <c r="AF283" s="67"/>
      <c r="AG283" s="71"/>
      <c r="AH283" s="71"/>
      <c r="AI283" s="71"/>
      <c r="AJ283" s="71"/>
      <c r="AK283" s="71"/>
      <c r="AL283" s="71"/>
      <c r="AM283" s="71"/>
      <c r="AN283" t="s" s="72">
        <v>390</v>
      </c>
      <c r="AO283" s="67" cm="1">
        <f t="array" ref="AO283">AJ283</f>
      </c>
      <c r="AP283" t="s" s="72">
        <v>391</v>
      </c>
      <c r="AQ283" s="67" cm="1">
        <f t="array" ref="AQ283">AJ283</f>
      </c>
      <c r="AR283" t="s" s="72">
        <v>392</v>
      </c>
      <c r="AS283" s="67" cm="1">
        <f t="array" ref="AS283">AJ283</f>
      </c>
      <c r="AT283" t="s" s="62">
        <v>393</v>
      </c>
      <c r="AU283" s="67" cm="1">
        <f t="array" ref="AU283">AJ283</f>
      </c>
      <c r="AV283" s="67"/>
      <c r="AW283" t="str" s="74" cm="1">
        <f t="array" ref="AW283">"600/"&amp;$B283&amp;"/"&amp;IF(AND($AE283="Konsultansi",M283&lt;=100000000),"SPK",IF(AND($AE283="Konsultansi",M283&gt;100000000),"Kont",IF(AND($AE283&lt;&gt;"Konsultansi",M283&lt;=200000000),"SPK","Kont")))&amp;"-"&amp;AE283&amp;"/PPK/DPUPR"</f>
        <v>600//SPK-Barang/PPK/DPUPR</v>
      </c>
      <c r="AX283" t="str" s="74" cm="1">
        <f t="array" ref="AX283">"600/"&amp;$B283&amp;"/SPMK/PPK/DPUPR"</f>
        <v>600//SPMK/PPK/DPUPR</v>
      </c>
      <c r="AY283" s="67"/>
      <c r="AZ283" s="67"/>
      <c r="BA283" s="67"/>
      <c r="BB283" s="67"/>
      <c r="BC283" s="67"/>
      <c r="BD283" s="67"/>
      <c r="BE283" s="67"/>
      <c r="BF283" s="67"/>
      <c r="BG283" s="75"/>
      <c r="BH283" t="s" s="72">
        <v>182</v>
      </c>
      <c r="BI283" t="s" s="72">
        <v>21</v>
      </c>
      <c r="BJ283" t="s" s="72">
        <v>22</v>
      </c>
      <c r="BK283" t="s" s="72">
        <v>23</v>
      </c>
      <c r="BL283" t="s" s="72">
        <v>24</v>
      </c>
      <c r="BM283" s="67"/>
      <c r="BN283" s="67"/>
      <c r="BO283" s="67"/>
      <c r="BP283" s="67"/>
      <c r="BQ283" s="67"/>
      <c r="BR283" t="b" s="79">
        <v>0</v>
      </c>
      <c r="BS283" s="69" cm="1">
        <f t="array" ref="BS283">IF(M283&lt;=0.8*K283,5%*K283,M283*5%)</f>
        <v>0</v>
      </c>
      <c r="BT283" t="s" s="72">
        <v>183</v>
      </c>
      <c r="BU283" s="67"/>
      <c r="BV283" s="69" cm="1">
        <f t="array" ref="BV283">J283-M283</f>
        <v>0</v>
      </c>
    </row>
    <row r="284" ht="24.25" customHeight="1">
      <c r="A284" s="47"/>
      <c r="B284" s="47"/>
      <c r="C284" s="65"/>
      <c r="D284" s="82"/>
      <c r="E284" s="60" cm="1">
        <f t="array" ref="E284">$C284</f>
        <v>0</v>
      </c>
      <c r="F284" s="52"/>
      <c r="G284" s="51"/>
      <c r="H284" s="51"/>
      <c r="I284" s="51"/>
      <c r="J284" s="54"/>
      <c r="K284" s="54"/>
      <c r="L284" s="56"/>
      <c r="M284" s="54"/>
      <c r="N284" t="s" s="57">
        <v>174</v>
      </c>
      <c r="O284" t="s" s="58">
        <v>174</v>
      </c>
      <c r="P284" t="s" s="57">
        <v>174</v>
      </c>
      <c r="Q284" t="s" s="57">
        <v>174</v>
      </c>
      <c r="R284" t="s" s="57">
        <v>174</v>
      </c>
      <c r="S284" t="s" s="57">
        <v>174</v>
      </c>
      <c r="T284" t="s" s="57">
        <v>174</v>
      </c>
      <c r="U284" t="s" s="57">
        <v>174</v>
      </c>
      <c r="V284" t="s" s="57">
        <v>174</v>
      </c>
      <c r="W284" t="s" s="57">
        <v>174</v>
      </c>
      <c r="X284" s="51"/>
      <c r="Y284" s="51"/>
      <c r="Z284" s="54" cm="1">
        <f t="array" ref="Z284">M284</f>
        <v>0</v>
      </c>
      <c r="AA284" s="51"/>
      <c r="AB284" s="61" cm="1">
        <f t="array" ref="AB284">AH284</f>
      </c>
      <c r="AC284" s="51"/>
      <c r="AD284" s="51"/>
      <c r="AE284" t="s" s="57">
        <v>175</v>
      </c>
      <c r="AF284" s="51"/>
      <c r="AG284" s="61"/>
      <c r="AH284" s="61"/>
      <c r="AI284" s="61"/>
      <c r="AJ284" s="61"/>
      <c r="AK284" s="61"/>
      <c r="AL284" s="61"/>
      <c r="AM284" s="61"/>
      <c r="AN284" t="s" s="57">
        <v>390</v>
      </c>
      <c r="AO284" s="51" cm="1">
        <f t="array" ref="AO284">AJ284</f>
      </c>
      <c r="AP284" t="s" s="57">
        <v>391</v>
      </c>
      <c r="AQ284" s="51" cm="1">
        <f t="array" ref="AQ284">AJ284</f>
      </c>
      <c r="AR284" t="s" s="57">
        <v>392</v>
      </c>
      <c r="AS284" s="51" cm="1">
        <f t="array" ref="AS284">AJ284</f>
      </c>
      <c r="AT284" t="s" s="62">
        <v>393</v>
      </c>
      <c r="AU284" s="51" cm="1">
        <f t="array" ref="AU284">AJ284</f>
      </c>
      <c r="AV284" s="51"/>
      <c r="AW284" t="str" s="63" cm="1">
        <f t="array" ref="AW284">"600/"&amp;$B284&amp;"/"&amp;IF(AND($AE284="Konsultansi",M284&lt;=100000000),"SPK",IF(AND($AE284="Konsultansi",M284&gt;100000000),"Kont",IF(AND($AE284&lt;&gt;"Konsultansi",M284&lt;=200000000),"SPK","Kont")))&amp;"-"&amp;AE284&amp;"/PPK/DPUPR"</f>
        <v>600//SPK-Barang/PPK/DPUPR</v>
      </c>
      <c r="AX284" t="str" s="63" cm="1">
        <f t="array" ref="AX284">"600/"&amp;$B284&amp;"/SPMK/PPK/DPUPR"</f>
        <v>600//SPMK/PPK/DPUPR</v>
      </c>
      <c r="AY284" s="51"/>
      <c r="AZ284" s="51"/>
      <c r="BA284" s="51"/>
      <c r="BB284" s="51"/>
      <c r="BC284" s="51"/>
      <c r="BD284" s="51"/>
      <c r="BE284" s="51"/>
      <c r="BF284" s="51"/>
      <c r="BG284" s="84"/>
      <c r="BH284" t="s" s="57">
        <v>182</v>
      </c>
      <c r="BI284" t="s" s="57">
        <v>21</v>
      </c>
      <c r="BJ284" t="s" s="57">
        <v>22</v>
      </c>
      <c r="BK284" t="s" s="57">
        <v>23</v>
      </c>
      <c r="BL284" t="s" s="57">
        <v>24</v>
      </c>
      <c r="BM284" s="51"/>
      <c r="BN284" s="51"/>
      <c r="BO284" s="51"/>
      <c r="BP284" s="51"/>
      <c r="BQ284" s="51"/>
      <c r="BR284" t="b" s="60">
        <v>0</v>
      </c>
      <c r="BS284" s="54" cm="1">
        <f t="array" ref="BS284">IF(M284&lt;=0.8*K284,5%*K284,M284*5%)</f>
        <v>0</v>
      </c>
      <c r="BT284" t="s" s="57">
        <v>183</v>
      </c>
      <c r="BU284" s="51"/>
      <c r="BV284" s="54" cm="1">
        <f t="array" ref="BV284">J284-M284</f>
        <v>0</v>
      </c>
    </row>
    <row r="285" ht="24.5" customHeight="1">
      <c r="A285" s="113"/>
      <c r="B285" s="113"/>
      <c r="C285" s="114"/>
      <c r="D285" s="115"/>
      <c r="E285" s="116" cm="1">
        <f t="array" ref="E285">$C285</f>
        <v>0</v>
      </c>
      <c r="F285" s="117"/>
      <c r="G285" s="118"/>
      <c r="H285" s="118"/>
      <c r="I285" s="118"/>
      <c r="J285" s="119"/>
      <c r="K285" s="119"/>
      <c r="L285" s="120"/>
      <c r="M285" s="119"/>
      <c r="N285" t="s" s="121">
        <v>174</v>
      </c>
      <c r="O285" t="s" s="122">
        <v>174</v>
      </c>
      <c r="P285" t="s" s="121">
        <v>174</v>
      </c>
      <c r="Q285" t="s" s="121">
        <v>174</v>
      </c>
      <c r="R285" t="s" s="121">
        <v>174</v>
      </c>
      <c r="S285" t="s" s="121">
        <v>174</v>
      </c>
      <c r="T285" t="s" s="121">
        <v>174</v>
      </c>
      <c r="U285" t="s" s="121">
        <v>174</v>
      </c>
      <c r="V285" t="s" s="121">
        <v>174</v>
      </c>
      <c r="W285" t="s" s="121">
        <v>174</v>
      </c>
      <c r="X285" s="118"/>
      <c r="Y285" s="118"/>
      <c r="Z285" s="119" cm="1">
        <f t="array" ref="Z285">M285</f>
        <v>0</v>
      </c>
      <c r="AA285" s="118"/>
      <c r="AB285" s="123" cm="1">
        <f t="array" ref="AB285">AH285</f>
      </c>
      <c r="AC285" s="118"/>
      <c r="AD285" s="118"/>
      <c r="AE285" t="s" s="121">
        <v>175</v>
      </c>
      <c r="AF285" s="118"/>
      <c r="AG285" s="123"/>
      <c r="AH285" s="123"/>
      <c r="AI285" s="123"/>
      <c r="AJ285" s="123"/>
      <c r="AK285" s="123"/>
      <c r="AL285" s="123"/>
      <c r="AM285" s="123"/>
      <c r="AN285" t="s" s="121">
        <v>390</v>
      </c>
      <c r="AO285" s="118" cm="1">
        <f t="array" ref="AO285">AJ285</f>
      </c>
      <c r="AP285" t="s" s="121">
        <v>391</v>
      </c>
      <c r="AQ285" s="118" cm="1">
        <f t="array" ref="AQ285">AJ285</f>
      </c>
      <c r="AR285" t="s" s="121">
        <v>392</v>
      </c>
      <c r="AS285" s="118" cm="1">
        <f t="array" ref="AS285">AJ285</f>
      </c>
      <c r="AT285" t="s" s="124">
        <v>393</v>
      </c>
      <c r="AU285" s="118" cm="1">
        <f t="array" ref="AU285">AJ285</f>
      </c>
      <c r="AV285" s="118"/>
      <c r="AW285" t="str" s="125" cm="1">
        <f t="array" ref="AW285">"600/"&amp;$B285&amp;"/"&amp;IF(AND($AE285="Konsultansi",M285&lt;=100000000),"SPK",IF(AND($AE285="Konsultansi",M285&gt;100000000),"Kont",IF(AND($AE285&lt;&gt;"Konsultansi",M285&lt;=200000000),"SPK","Kont")))&amp;"-"&amp;AE285&amp;"/PPK/DPUPR"</f>
        <v>600//SPK-Barang/PPK/DPUPR</v>
      </c>
      <c r="AX285" t="str" s="125" cm="1">
        <f t="array" ref="AX285">"600/"&amp;$B285&amp;"/SPMK/PPK/DPUPR"</f>
        <v>600//SPMK/PPK/DPUPR</v>
      </c>
      <c r="AY285" s="118"/>
      <c r="AZ285" s="118"/>
      <c r="BA285" s="118"/>
      <c r="BB285" s="118"/>
      <c r="BC285" s="118"/>
      <c r="BD285" s="118"/>
      <c r="BE285" s="118"/>
      <c r="BF285" s="118"/>
      <c r="BG285" s="126"/>
      <c r="BH285" t="s" s="121">
        <v>182</v>
      </c>
      <c r="BI285" t="s" s="121">
        <v>21</v>
      </c>
      <c r="BJ285" t="s" s="121">
        <v>22</v>
      </c>
      <c r="BK285" t="s" s="121">
        <v>23</v>
      </c>
      <c r="BL285" t="s" s="121">
        <v>24</v>
      </c>
      <c r="BM285" s="118"/>
      <c r="BN285" s="118"/>
      <c r="BO285" s="118"/>
      <c r="BP285" s="118"/>
      <c r="BQ285" s="118"/>
      <c r="BR285" t="b" s="116">
        <v>0</v>
      </c>
      <c r="BS285" s="119" cm="1">
        <f t="array" ref="BS285">IF(M285&lt;=0.8*K285,5%*K285,M285*5%)</f>
        <v>0</v>
      </c>
      <c r="BT285" t="s" s="121">
        <v>183</v>
      </c>
      <c r="BU285" s="118"/>
      <c r="BV285" s="119" cm="1">
        <f t="array" ref="BV285">J285-M285</f>
        <v>0</v>
      </c>
    </row>
    <row r="286" ht="24.5" customHeight="1">
      <c r="A286" s="34"/>
      <c r="B286" s="127">
        <v>5000</v>
      </c>
      <c r="C286" s="34"/>
      <c r="D286" s="128"/>
      <c r="E286" s="129" cm="1">
        <f t="array" ref="E286">C286</f>
        <v>0</v>
      </c>
      <c r="F286" s="128"/>
      <c r="G286" s="128"/>
      <c r="H286" s="128"/>
      <c r="I286" s="128"/>
      <c r="J286" s="130"/>
      <c r="K286" s="130"/>
      <c r="L286" s="40"/>
      <c r="M286" s="39"/>
      <c r="N286" t="s" s="131">
        <v>174</v>
      </c>
      <c r="O286" t="s" s="132">
        <v>174</v>
      </c>
      <c r="P286" t="s" s="131">
        <v>174</v>
      </c>
      <c r="Q286" t="s" s="131">
        <v>174</v>
      </c>
      <c r="R286" t="s" s="131">
        <v>174</v>
      </c>
      <c r="S286" t="s" s="131">
        <v>174</v>
      </c>
      <c r="T286" t="s" s="131">
        <v>174</v>
      </c>
      <c r="U286" t="s" s="131">
        <v>174</v>
      </c>
      <c r="V286" t="s" s="131">
        <v>174</v>
      </c>
      <c r="W286" t="s" s="131">
        <v>174</v>
      </c>
      <c r="X286" s="128"/>
      <c r="Y286" s="133"/>
      <c r="Z286" s="130" cm="1">
        <f t="array" ref="Z286">M286</f>
        <v>0</v>
      </c>
      <c r="AA286" s="128"/>
      <c r="AB286" s="134" cm="1">
        <f t="array" ref="AB286">AH286</f>
      </c>
      <c r="AC286" s="128"/>
      <c r="AD286" s="133"/>
      <c r="AE286" t="s" s="131">
        <v>107</v>
      </c>
      <c r="AF286" s="128"/>
      <c r="AG286" s="42"/>
      <c r="AH286" s="42"/>
      <c r="AI286" s="42"/>
      <c r="AJ286" s="42"/>
      <c r="AK286" s="42"/>
      <c r="AL286" s="42"/>
      <c r="AM286" s="42" cm="1">
        <f t="array" ref="AM286">AL286</f>
      </c>
      <c r="AN286" t="s" s="131">
        <v>2232</v>
      </c>
      <c r="AO286" s="133" cm="1">
        <f t="array" ref="AO286">AJ286</f>
      </c>
      <c r="AP286" t="s" s="131">
        <v>2233</v>
      </c>
      <c r="AQ286" s="133" cm="1">
        <f t="array" ref="AQ286">AJ286</f>
      </c>
      <c r="AR286" t="s" s="131">
        <v>2234</v>
      </c>
      <c r="AS286" s="133" cm="1">
        <f t="array" ref="AS286">AJ286</f>
      </c>
      <c r="AT286" t="s" s="135">
        <v>2235</v>
      </c>
      <c r="AU286" s="133" cm="1">
        <f t="array" ref="AU286">AJ286</f>
      </c>
      <c r="AV286" s="133"/>
      <c r="AW286" t="str" s="136" cm="1">
        <f t="array" ref="AW286">"600/"&amp;$B286&amp;"/"&amp;IF(AND($AE286="Konsultansi",M286&lt;=100000000),"SPK",IF(AND($AE286="Konsultansi",M286&gt;100000000),"Kont",IF(AND($AE286&lt;&gt;"Konsultansi",M286&lt;=200000000),"SPK","Kont")))&amp;"-"&amp;AE286&amp;"/PPK/DPUPR"</f>
        <v>600/5000/SPK-Konstruksi/PPK/DPUPR</v>
      </c>
      <c r="AX286" t="str" s="136" cm="1">
        <f t="array" ref="AX286">"600/"&amp;$B286&amp;"/SPMK/PPK/DPUPR"</f>
        <v>600/5000/SPMK/PPK/DPUPR</v>
      </c>
      <c r="AY286" s="128"/>
      <c r="AZ286" s="128"/>
      <c r="BA286" s="128"/>
      <c r="BB286" s="128"/>
      <c r="BC286" s="128"/>
      <c r="BD286" s="128"/>
      <c r="BE286" s="128"/>
      <c r="BF286" s="128"/>
      <c r="BG286" s="46"/>
      <c r="BH286" t="s" s="131">
        <v>182</v>
      </c>
      <c r="BI286" t="s" s="131">
        <v>173</v>
      </c>
      <c r="BJ286" t="s" s="131">
        <v>22</v>
      </c>
      <c r="BK286" t="s" s="131">
        <v>23</v>
      </c>
      <c r="BL286" t="s" s="131">
        <v>24</v>
      </c>
      <c r="BM286" s="128"/>
      <c r="BN286" s="128"/>
      <c r="BO286" s="128"/>
      <c r="BP286" s="128"/>
      <c r="BQ286" s="128"/>
      <c r="BR286" t="b" s="129">
        <v>0</v>
      </c>
      <c r="BS286" s="130" cm="1">
        <f t="array" ref="BS286">IF(M286&lt;=0.8*K286,5%*K286,M286*5%)</f>
        <v>0</v>
      </c>
      <c r="BT286" t="s" s="131">
        <v>183</v>
      </c>
      <c r="BU286" s="128"/>
      <c r="BV286" s="137" cm="1">
        <f t="array" ref="BV286">SUBTOTAL(9,BV5:BV285)</f>
        <v>2911224548</v>
      </c>
    </row>
    <row r="287" ht="24.25" customHeight="1">
      <c r="A287" s="47"/>
      <c r="B287" s="47"/>
      <c r="C287" s="47"/>
      <c r="D287" s="81"/>
      <c r="E287" s="81"/>
      <c r="F287" s="81"/>
      <c r="G287" s="138">
        <v>293085679</v>
      </c>
      <c r="H287" s="138" cm="1">
        <f t="array" ref="H287">J$287-M$287</f>
        <v>2911374548</v>
      </c>
      <c r="I287" s="81"/>
      <c r="J287" s="139" cm="1">
        <f t="array" ref="J287">SUBTOTAL(9,J5:J285)</f>
        <v>50398616288.2</v>
      </c>
      <c r="K287" s="140" cm="1">
        <f t="array" ref="K287">SUBTOTAL(9,K5:K285)</f>
        <v>48056816618.15</v>
      </c>
      <c r="L287" s="140" cm="1">
        <f t="array" ref="L287">SUBTOTAL(9,L5:L285)</f>
        <v>47542216395.59</v>
      </c>
      <c r="M287" s="139" cm="1">
        <f t="array" ref="M287">SUBTOTAL(9,M5:M285)</f>
        <v>47487241740.2</v>
      </c>
      <c r="N287" s="141"/>
      <c r="O287" s="70"/>
      <c r="P287" s="141"/>
      <c r="Q287" s="141"/>
      <c r="R287" s="141"/>
      <c r="S287" s="141"/>
      <c r="T287" s="141"/>
      <c r="U287" s="141"/>
      <c r="V287" s="141"/>
      <c r="W287" s="141"/>
      <c r="X287" s="81"/>
      <c r="Y287" s="141"/>
      <c r="Z287" s="142"/>
      <c r="AA287" s="81"/>
      <c r="AB287" s="143"/>
      <c r="AC287" s="81"/>
      <c r="AD287" s="141"/>
      <c r="AE287" t="s" s="144">
        <v>175</v>
      </c>
      <c r="AF287" s="81"/>
      <c r="AG287" s="71"/>
      <c r="AH287" s="71"/>
      <c r="AI287" s="71"/>
      <c r="AJ287" s="71"/>
      <c r="AK287" s="71"/>
      <c r="AL287" s="71"/>
      <c r="AM287" s="71"/>
      <c r="AN287" s="141"/>
      <c r="AO287" s="141"/>
      <c r="AP287" s="141"/>
      <c r="AQ287" s="141"/>
      <c r="AR287" s="141"/>
      <c r="AS287" s="141"/>
      <c r="AT287" s="81"/>
      <c r="AU287" s="141"/>
      <c r="AV287" s="141"/>
      <c r="AW287" s="145"/>
      <c r="AX287" s="145"/>
      <c r="AY287" s="81"/>
      <c r="AZ287" s="81"/>
      <c r="BA287" s="81"/>
      <c r="BB287" s="81"/>
      <c r="BC287" s="81"/>
      <c r="BD287" s="81"/>
      <c r="BE287" s="81"/>
      <c r="BF287" s="81"/>
      <c r="BG287" s="75"/>
      <c r="BH287" s="141"/>
      <c r="BI287" t="s" s="144">
        <v>21</v>
      </c>
      <c r="BJ287" t="s" s="144">
        <v>22</v>
      </c>
      <c r="BK287" t="s" s="144">
        <v>23</v>
      </c>
      <c r="BL287" t="s" s="144">
        <v>24</v>
      </c>
      <c r="BM287" s="81"/>
      <c r="BN287" s="81"/>
      <c r="BO287" s="81"/>
      <c r="BP287" s="81"/>
      <c r="BQ287" s="81"/>
      <c r="BR287" t="b" s="146">
        <v>0</v>
      </c>
      <c r="BS287" s="141"/>
      <c r="BT287" s="141"/>
      <c r="BU287" s="81"/>
      <c r="BV287" s="138"/>
    </row>
    <row r="288" ht="24.25" customHeight="1">
      <c r="A288" s="47"/>
      <c r="B288" s="47"/>
      <c r="C288" s="47"/>
      <c r="D288" s="81"/>
      <c r="E288" s="81"/>
      <c r="F288" s="81"/>
      <c r="G288" s="81"/>
      <c r="H288" s="81"/>
      <c r="I288" s="81"/>
      <c r="J288" s="142"/>
      <c r="K288" s="142"/>
      <c r="L288" s="142"/>
      <c r="M288" s="142" cm="1">
        <f t="array" ref="M288">J$287-M$287</f>
        <v>2911374548</v>
      </c>
      <c r="N288" s="141"/>
      <c r="O288" s="70"/>
      <c r="P288" s="141"/>
      <c r="Q288" s="141"/>
      <c r="R288" s="141"/>
      <c r="S288" s="141"/>
      <c r="T288" s="141"/>
      <c r="U288" s="141"/>
      <c r="V288" s="141"/>
      <c r="W288" s="141"/>
      <c r="X288" s="81"/>
      <c r="Y288" s="141"/>
      <c r="Z288" s="142"/>
      <c r="AA288" s="81"/>
      <c r="AB288" s="143"/>
      <c r="AC288" s="81"/>
      <c r="AD288" s="141"/>
      <c r="AE288" t="s" s="144">
        <v>175</v>
      </c>
      <c r="AF288" s="81"/>
      <c r="AG288" s="71"/>
      <c r="AH288" s="71"/>
      <c r="AI288" s="71"/>
      <c r="AJ288" s="71"/>
      <c r="AK288" s="71"/>
      <c r="AL288" s="71"/>
      <c r="AM288" s="71"/>
      <c r="AN288" s="141"/>
      <c r="AO288" s="141"/>
      <c r="AP288" s="141"/>
      <c r="AQ288" s="141"/>
      <c r="AR288" s="141"/>
      <c r="AS288" s="141"/>
      <c r="AT288" s="81"/>
      <c r="AU288" s="141"/>
      <c r="AV288" s="141"/>
      <c r="AW288" s="145"/>
      <c r="AX288" s="145"/>
      <c r="AY288" s="81"/>
      <c r="AZ288" s="81"/>
      <c r="BA288" s="81"/>
      <c r="BB288" s="81"/>
      <c r="BC288" s="81"/>
      <c r="BD288" s="81"/>
      <c r="BE288" s="81"/>
      <c r="BF288" s="81"/>
      <c r="BG288" s="75"/>
      <c r="BH288" s="141"/>
      <c r="BI288" t="s" s="144">
        <v>21</v>
      </c>
      <c r="BJ288" t="s" s="144">
        <v>22</v>
      </c>
      <c r="BK288" t="s" s="144">
        <v>23</v>
      </c>
      <c r="BL288" t="s" s="144">
        <v>24</v>
      </c>
      <c r="BM288" s="81"/>
      <c r="BN288" s="81"/>
      <c r="BO288" s="81"/>
      <c r="BP288" s="81"/>
      <c r="BQ288" s="81"/>
      <c r="BR288" t="b" s="146">
        <v>0</v>
      </c>
      <c r="BS288" s="141"/>
      <c r="BT288" s="141"/>
      <c r="BU288" s="81"/>
      <c r="BV288" s="138"/>
    </row>
    <row r="289" ht="24.25" customHeight="1">
      <c r="A289" s="47"/>
      <c r="B289" s="47"/>
      <c r="C289" s="47"/>
      <c r="D289" s="81"/>
      <c r="E289" s="81"/>
      <c r="F289" s="81"/>
      <c r="G289" s="81"/>
      <c r="H289" s="81"/>
      <c r="I289" s="81"/>
      <c r="J289" s="142"/>
      <c r="K289" s="142"/>
      <c r="L289" s="142"/>
      <c r="M289" s="142"/>
      <c r="N289" s="141"/>
      <c r="O289" s="70"/>
      <c r="P289" s="141"/>
      <c r="Q289" s="141"/>
      <c r="R289" s="141"/>
      <c r="S289" s="141"/>
      <c r="T289" s="141"/>
      <c r="U289" s="141"/>
      <c r="V289" s="141"/>
      <c r="W289" s="141"/>
      <c r="X289" s="81"/>
      <c r="Y289" s="141"/>
      <c r="Z289" s="142"/>
      <c r="AA289" s="81"/>
      <c r="AB289" s="143"/>
      <c r="AC289" s="81"/>
      <c r="AD289" s="141"/>
      <c r="AE289" t="s" s="144">
        <v>175</v>
      </c>
      <c r="AF289" s="81"/>
      <c r="AG289" s="71"/>
      <c r="AH289" s="71"/>
      <c r="AI289" s="71"/>
      <c r="AJ289" s="71"/>
      <c r="AK289" s="71"/>
      <c r="AL289" s="71"/>
      <c r="AM289" s="71"/>
      <c r="AN289" s="141"/>
      <c r="AO289" s="141"/>
      <c r="AP289" s="141"/>
      <c r="AQ289" s="141"/>
      <c r="AR289" s="141"/>
      <c r="AS289" s="141"/>
      <c r="AT289" s="81"/>
      <c r="AU289" s="141"/>
      <c r="AV289" s="141"/>
      <c r="AW289" s="145"/>
      <c r="AX289" s="145"/>
      <c r="AY289" s="81"/>
      <c r="AZ289" s="81"/>
      <c r="BA289" s="81"/>
      <c r="BB289" s="81"/>
      <c r="BC289" s="81"/>
      <c r="BD289" s="81"/>
      <c r="BE289" s="81"/>
      <c r="BF289" s="81"/>
      <c r="BG289" s="75"/>
      <c r="BH289" s="141"/>
      <c r="BI289" t="s" s="144">
        <v>21</v>
      </c>
      <c r="BJ289" t="s" s="144">
        <v>22</v>
      </c>
      <c r="BK289" t="s" s="144">
        <v>23</v>
      </c>
      <c r="BL289" t="s" s="144">
        <v>24</v>
      </c>
      <c r="BM289" s="81"/>
      <c r="BN289" s="81"/>
      <c r="BO289" s="81"/>
      <c r="BP289" s="81"/>
      <c r="BQ289" s="81"/>
      <c r="BR289" t="b" s="146">
        <v>0</v>
      </c>
      <c r="BS289" s="141"/>
      <c r="BT289" s="141"/>
      <c r="BU289" s="81"/>
      <c r="BV289" s="138"/>
    </row>
    <row r="290" ht="24.25" customHeight="1">
      <c r="A290" s="47"/>
      <c r="B290" s="47"/>
      <c r="C290" s="47"/>
      <c r="D290" s="81"/>
      <c r="E290" s="81"/>
      <c r="F290" s="81"/>
      <c r="G290" s="81"/>
      <c r="H290" s="81"/>
      <c r="I290" s="81"/>
      <c r="J290" s="142"/>
      <c r="K290" s="142"/>
      <c r="L290" s="142"/>
      <c r="M290" s="142"/>
      <c r="N290" s="141"/>
      <c r="O290" s="70"/>
      <c r="P290" s="141"/>
      <c r="Q290" s="141"/>
      <c r="R290" s="141"/>
      <c r="S290" s="141"/>
      <c r="T290" s="141"/>
      <c r="U290" s="141"/>
      <c r="V290" s="141"/>
      <c r="W290" s="141"/>
      <c r="X290" s="81"/>
      <c r="Y290" s="141"/>
      <c r="Z290" s="142"/>
      <c r="AA290" s="81"/>
      <c r="AB290" s="143"/>
      <c r="AC290" s="81"/>
      <c r="AD290" s="141"/>
      <c r="AE290" t="s" s="144">
        <v>175</v>
      </c>
      <c r="AF290" s="81"/>
      <c r="AG290" s="71"/>
      <c r="AH290" s="71"/>
      <c r="AI290" s="71"/>
      <c r="AJ290" s="71"/>
      <c r="AK290" s="71"/>
      <c r="AL290" s="71"/>
      <c r="AM290" s="71"/>
      <c r="AN290" s="141"/>
      <c r="AO290" s="141"/>
      <c r="AP290" s="141"/>
      <c r="AQ290" s="141"/>
      <c r="AR290" s="141"/>
      <c r="AS290" s="141"/>
      <c r="AT290" s="81"/>
      <c r="AU290" s="141"/>
      <c r="AV290" s="141"/>
      <c r="AW290" s="145"/>
      <c r="AX290" s="145"/>
      <c r="AY290" s="81"/>
      <c r="AZ290" s="81"/>
      <c r="BA290" s="81"/>
      <c r="BB290" s="81"/>
      <c r="BC290" s="81"/>
      <c r="BD290" s="81"/>
      <c r="BE290" s="81"/>
      <c r="BF290" s="81"/>
      <c r="BG290" s="75"/>
      <c r="BH290" s="141"/>
      <c r="BI290" t="s" s="144">
        <v>21</v>
      </c>
      <c r="BJ290" t="s" s="144">
        <v>22</v>
      </c>
      <c r="BK290" t="s" s="144">
        <v>23</v>
      </c>
      <c r="BL290" t="s" s="144">
        <v>24</v>
      </c>
      <c r="BM290" s="81"/>
      <c r="BN290" s="81"/>
      <c r="BO290" s="81"/>
      <c r="BP290" s="81"/>
      <c r="BQ290" s="81"/>
      <c r="BR290" t="b" s="146">
        <v>0</v>
      </c>
      <c r="BS290" s="141"/>
      <c r="BT290" s="141"/>
      <c r="BU290" s="81"/>
      <c r="BV290" s="138"/>
    </row>
  </sheetData>
  <mergeCells count="1">
    <mergeCell ref="A3:A4"/>
  </mergeCells>
  <conditionalFormatting sqref="J1:M1">
    <cfRule type="cellIs" dxfId="0" priority="1" operator="notEqual" stopIfTrue="1">
      <formula>#REF!</formula>
    </cfRule>
  </conditionalFormatting>
  <conditionalFormatting sqref="AG1:AM2 AG288:AM290">
    <cfRule type="cellIs" dxfId="1" priority="1" operator="greaterThan" stopIfTrue="1">
      <formula>#REF!</formula>
    </cfRule>
    <cfRule type="cellIs" dxfId="2" priority="2" operator="lessThan" stopIfTrue="1">
      <formula>#REF!</formula>
    </cfRule>
  </conditionalFormatting>
  <conditionalFormatting sqref="D5:E11 D17:E47 C48:E165 D166:E170 C171:E244 D245:E285 C286:E290">
    <cfRule type="containsBlanks" dxfId="3" priority="1" stopIfTrue="1">
      <formula>ISBLANK(D5)</formula>
    </cfRule>
  </conditionalFormatting>
  <conditionalFormatting sqref="K5:K11 K13:K18 K39:K52 J53:K53 K54:K119 K161 K176 K212:K275 K278 J287:M287 K288:M290">
    <cfRule type="cellIs" dxfId="4" priority="1" operator="greaterThan" stopIfTrue="1">
      <formula>J$5</formula>
    </cfRule>
  </conditionalFormatting>
  <conditionalFormatting sqref="L5:M11 L13:M134 M135:M137 L138:M207 M208:M211 L212:M275 M277 L278:M278 M279:M285 L286:M286">
    <cfRule type="cellIs" dxfId="5" priority="1" operator="greaterThan" stopIfTrue="1">
      <formula>J$5</formula>
    </cfRule>
    <cfRule type="cellIs" dxfId="6" priority="2" operator="greaterThan" stopIfTrue="1">
      <formula>K$5</formula>
    </cfRule>
  </conditionalFormatting>
  <conditionalFormatting sqref="X5:X11 BG5:BG11 X13:X290 BG13:BG290 AA193">
    <cfRule type="cellIs" dxfId="7" priority="1" operator="lessThan" stopIfTrue="1">
      <formula>1</formula>
    </cfRule>
  </conditionalFormatting>
  <conditionalFormatting sqref="Y5:Y11 Y13:Y290">
    <cfRule type="containsBlanks" dxfId="8" priority="1" stopIfTrue="1">
      <formula>ISBLANK(Y5)</formula>
    </cfRule>
  </conditionalFormatting>
  <conditionalFormatting sqref="AA5:AB11 AA13:AB192 AB193 AA194:AB290">
    <cfRule type="containsBlanks" dxfId="9" priority="1" stopIfTrue="1">
      <formula>ISBLANK(AA5)</formula>
    </cfRule>
  </conditionalFormatting>
  <conditionalFormatting sqref="AG5:AM11 AG13:AM188 AG189:AI193 AK189:AM191 AJ192:AM192 AK193:AM193 AG194:AM287">
    <cfRule type="cellIs" dxfId="10" priority="1" operator="greaterThan" stopIfTrue="1">
      <formula>#REF!</formula>
    </cfRule>
    <cfRule type="cellIs" dxfId="11" priority="2" operator="lessThan" stopIfTrue="1">
      <formula>#REF!</formula>
    </cfRule>
  </conditionalFormatting>
  <conditionalFormatting sqref="K19:K34 K37:K38 J54:J56 J288:J290">
    <cfRule type="cellIs" dxfId="12" priority="1" operator="greaterThan" stopIfTrue="1">
      <formula>J$21</formula>
    </cfRule>
  </conditionalFormatting>
  <conditionalFormatting sqref="K35:K36">
    <cfRule type="cellIs" dxfId="13" priority="1" operator="greaterThan" stopIfTrue="1">
      <formula>J$286</formula>
    </cfRule>
  </conditionalFormatting>
  <conditionalFormatting sqref="K120:K121 K125:K137">
    <cfRule type="cellIs" dxfId="14" priority="1" operator="greaterThan" stopIfTrue="1">
      <formula>J$117</formula>
    </cfRule>
  </conditionalFormatting>
  <conditionalFormatting sqref="K122:K124">
    <cfRule type="cellIs" dxfId="15" priority="1" operator="greaterThan" stopIfTrue="1">
      <formula>J$118</formula>
    </cfRule>
  </conditionalFormatting>
  <conditionalFormatting sqref="L135:L137">
    <cfRule type="cellIs" dxfId="16" priority="1" operator="greaterThan" stopIfTrue="1">
      <formula>J$134</formula>
    </cfRule>
    <cfRule type="cellIs" dxfId="17" priority="2" operator="greaterThan" stopIfTrue="1">
      <formula>K$135</formula>
    </cfRule>
  </conditionalFormatting>
  <conditionalFormatting sqref="K138:K160 K162:K175 K177:K201 K286">
    <cfRule type="cellIs" dxfId="18" priority="1" operator="greaterThan" stopIfTrue="1">
      <formula>$J138</formula>
    </cfRule>
  </conditionalFormatting>
  <conditionalFormatting sqref="K202:K205 K208:K211 K277 K279">
    <cfRule type="cellIs" dxfId="19" priority="1" operator="greaterThan" stopIfTrue="1">
      <formula>$J204</formula>
    </cfRule>
  </conditionalFormatting>
  <conditionalFormatting sqref="K206:K207">
    <cfRule type="cellIs" dxfId="20" priority="1" operator="greaterThan" stopIfTrue="1">
      <formula>#REF!</formula>
    </cfRule>
  </conditionalFormatting>
  <conditionalFormatting sqref="L208">
    <cfRule type="cellIs" dxfId="21" priority="1" operator="greaterThan" stopIfTrue="1">
      <formula>#REF!</formula>
    </cfRule>
    <cfRule type="cellIs" dxfId="22" priority="2" operator="greaterThan" stopIfTrue="1">
      <formula>#REF!</formula>
    </cfRule>
  </conditionalFormatting>
  <conditionalFormatting sqref="L209:L211">
    <cfRule type="cellIs" dxfId="23" priority="1" operator="greaterThan" stopIfTrue="1">
      <formula>J$208</formula>
    </cfRule>
    <cfRule type="cellIs" dxfId="24" priority="2" operator="greaterThan" stopIfTrue="1">
      <formula>K$208</formula>
    </cfRule>
  </conditionalFormatting>
  <conditionalFormatting sqref="K276:M276 L277 L279 L282:L285">
    <cfRule type="cellIs" dxfId="25" priority="1" operator="greaterThan" stopIfTrue="1">
      <formula>I$278</formula>
    </cfRule>
    <cfRule type="cellIs" dxfId="26" priority="2" operator="greaterThan" stopIfTrue="1">
      <formula>J$275</formula>
    </cfRule>
  </conditionalFormatting>
  <conditionalFormatting sqref="K280:K281">
    <cfRule type="cellIs" dxfId="27" priority="1" operator="greaterThan" stopIfTrue="1">
      <formula>$J286</formula>
    </cfRule>
  </conditionalFormatting>
  <conditionalFormatting sqref="L280:L281">
    <cfRule type="cellIs" dxfId="28" priority="1" operator="greaterThan" stopIfTrue="1">
      <formula>J$286</formula>
    </cfRule>
    <cfRule type="cellIs" dxfId="29" priority="2" operator="greaterThan" stopIfTrue="1">
      <formula>K$279</formula>
    </cfRule>
  </conditionalFormatting>
  <conditionalFormatting sqref="K282:K285">
    <cfRule type="cellIs" dxfId="30" priority="1" operator="greaterThan" stopIfTrue="1">
      <formula>$J287</formula>
    </cfRule>
  </conditionalFormatting>
  <dataValidations count="7">
    <dataValidation type="list" allowBlank="1" showInputMessage="1" showErrorMessage="1" sqref="AD6 AD8:AD11 AD38:AD290">
      <formula1>",Gabungan Lumpsum dan Harga Satuan,Lump Sum,Harga Satuan,Persentase,Turn Key (Terima Jadi),Waktu Penugasan"</formula1>
    </dataValidation>
    <dataValidation type="list" allowBlank="1" showInputMessage="1" showErrorMessage="1" sqref="AE6 AE8:AE11 AE38:AE275 AE278:AE290">
      <formula1>"Barang,Konstruksi,Konsultansi,Jasa Lainnya,Konsultansi Perencanaan,Konsultansi Pengawasan,Lainnya"</formula1>
    </dataValidation>
    <dataValidation type="list" allowBlank="1" showInputMessage="1" showErrorMessage="1" sqref="BI6 BI8:BI11 BI38:BI290">
      <formula1>"Pelelangan Umum,Pelelangan Sederhana,Pelelangan Terbatas,Penunjukan Langsung,Pengadaan Langsung,Kontes,Sayembara,Pemilihan Langsung"</formula1>
    </dataValidation>
    <dataValidation type="list" allowBlank="1" showInputMessage="1" showErrorMessage="1" sqref="BJ6 BJ8:BJ11 BJ38:BJ290">
      <formula1>"Metode Satu Sampul ,Metode Dua Sampul,Metode Dua Tahap"</formula1>
    </dataValidation>
    <dataValidation type="list" allowBlank="1" showInputMessage="1" showErrorMessage="1" sqref="BK6 BK8:BK11 BK38:BK290">
      <formula1>"Pascakualifikasi,Prakualifikasi,Non"</formula1>
    </dataValidation>
    <dataValidation type="list" allowBlank="1" showInputMessage="1" showErrorMessage="1" sqref="BL6 BL8:BL11 BL38:BL290">
      <formula1>"Sistem Gugur,Kualitas,Kualitas dan Biaya,Biaya Terendah/Pagu Anggaran"</formula1>
    </dataValidation>
    <dataValidation type="list" allowBlank="1" showInputMessage="1" showErrorMessage="1" sqref="AE276:AE277">
      <formula1>"Barang,Konstruksi,Konsultansi,Jasa Lainnya,Konsultansi Perencanaan,Konsultansi Pengawasan,Lainnya,Swakelola"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