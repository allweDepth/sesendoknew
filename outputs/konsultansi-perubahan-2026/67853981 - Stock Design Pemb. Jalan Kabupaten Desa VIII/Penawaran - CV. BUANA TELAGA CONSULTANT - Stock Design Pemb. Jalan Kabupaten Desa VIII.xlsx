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92afe811c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66125374b554998"/>
    <x:sheet xmlns:r="http://schemas.openxmlformats.org/officeDocument/2006/relationships" name="Rekap Penawaran" sheetId="2" r:id="Re7792869e88a4a76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112de707747d8" /><Relationship Type="http://schemas.openxmlformats.org/officeDocument/2006/relationships/theme" Target="/xl/theme/theme1.xml" Id="Rba41e66c853e439a" /><Relationship Type="http://schemas.openxmlformats.org/officeDocument/2006/relationships/sharedStrings" Target="/xl/sharedStrings.xml" Id="Re2b7be60c15e4ced" /><Relationship Type="http://schemas.openxmlformats.org/officeDocument/2006/relationships/worksheet" Target="/xl/worksheets/sheet1.xml" Id="R266125374b554998" /><Relationship Type="http://schemas.openxmlformats.org/officeDocument/2006/relationships/worksheet" Target="/xl/worksheets/sheet2.xml" Id="Re7792869e88a4a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VIII</x:v>
      </x:c>
      <x:c r="B4" s="10" t="str">
        <x:v>Stock Design Pemb. Jalan Kabupaten/Desa VIII</x:v>
      </x:c>
      <x:c r="C4" s="10" t="str">
        <x:v>Stock Design Pemb. Jalan Kabupaten/Desa VIII</x:v>
      </x:c>
      <x:c r="D4" s="10" t="str">
        <x:v>Stock Design Pemb. Jalan Kabupaten/Desa VIII</x:v>
      </x:c>
      <x:c r="E4" s="10" t="str">
        <x:v>Stock Design Pemb. Jalan Kabupaten/Desa VIII</x:v>
      </x:c>
      <x:c r="F4" s="10" t="str">
        <x:v>Stock Design Pemb. Jalan Kabupaten/Desa VIII</x:v>
      </x:c>
      <x:c r="G4" s="10" t="str">
        <x:v>Stock Design Pemb. Jalan Kabupaten/Desa VIII</x:v>
      </x:c>
    </x:row>
    <x:row r="5" ht="26" customHeight="1">
      <x:c r="A5" s="10" t="str">
        <x:v>Stock Design Pemb. Jalan Kabupaten/Desa VIII</x:v>
      </x:c>
      <x:c r="B5" s="10" t="str">
        <x:v>Stock Design Pemb. Jalan Kabupaten/Desa VIII</x:v>
      </x:c>
      <x:c r="C5" s="10" t="str">
        <x:v>Stock Design Pemb. Jalan Kabupaten/Desa VIII</x:v>
      </x:c>
      <x:c r="D5" s="10" t="str">
        <x:v>Stock Design Pemb. Jalan Kabupaten/Desa VIII</x:v>
      </x:c>
      <x:c r="E5" s="10" t="str">
        <x:v>Stock Design Pemb. Jalan Kabupaten/Desa VIII</x:v>
      </x:c>
      <x:c r="F5" s="10" t="str">
        <x:v>Stock Design Pemb. Jalan Kabupaten/Desa VIII</x:v>
      </x:c>
      <x:c r="G5" s="10" t="str">
        <x:v>Stock Design Pemb. Jalan Kabupaten/Desa VIII</x:v>
      </x:c>
    </x:row>
    <x:row r="6" ht="23" customHeight="1">
      <x:c r="A6" s="13" t="str">
        <x:v>Nomor RUP: 67853981 • Tahun Anggaran 2026</x:v>
      </x:c>
      <x:c r="B6" s="13" t="str">
        <x:v>Nomor RUP: 67853981 • Tahun Anggaran 2026</x:v>
      </x:c>
      <x:c r="C6" s="13" t="str">
        <x:v>Nomor RUP: 67853981 • Tahun Anggaran 2026</x:v>
      </x:c>
      <x:c r="D6" s="13" t="str">
        <x:v>Nomor RUP: 67853981 • Tahun Anggaran 2026</x:v>
      </x:c>
      <x:c r="E6" s="13" t="str">
        <x:v>Nomor RUP: 67853981 • Tahun Anggaran 2026</x:v>
      </x:c>
      <x:c r="F6" s="13" t="str">
        <x:v>Nomor RUP: 67853981 • Tahun Anggaran 2026</x:v>
      </x:c>
      <x:c r="G6" s="13" t="str">
        <x:v>Nomor RUP: 67853981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8979284.0296357</x:v>
      </x:c>
      <x:c r="F11" s="22" t="n">
        <x:v>11</x:v>
      </x:c>
      <x:c r="G11" s="22" t="n">
        <x:f>ROUND(D11*E11*(1+F11/100),2)</x:f>
        <x:v>9967005.27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17958667.945628032</x:v>
      </x:c>
      <x:c r="F12" s="24" t="n">
        <x:v>11</x:v>
      </x:c>
      <x:c r="G12" s="24" t="n">
        <x:f>ROUND(D12*E12*(1+F12/100),2)</x:f>
        <x:v>19934121.42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22448359.9036242</x:v>
      </x:c>
      <x:c r="F13" s="22" t="n">
        <x:v>11</x:v>
      </x:c>
      <x:c r="G13" s="22" t="n">
        <x:f>ROUND(D13*E13*(1+F13/100),2)</x:f>
        <x:v>24917679.49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22448359.9036242</x:v>
      </x:c>
      <x:c r="F14" s="24" t="n">
        <x:v>11</x:v>
      </x:c>
      <x:c r="G14" s="24" t="n">
        <x:f>ROUND(D14*E14*(1+F14/100),2)</x:f>
        <x:v>24917679.49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4489592.071639532</x:v>
      </x:c>
      <x:c r="F15" s="22" t="n">
        <x:v>11</x:v>
      </x:c>
      <x:c r="G15" s="22" t="n">
        <x:f>ROUND(D15*E15*(1+F15/100),2)</x:f>
        <x:v>4983447.2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13468975.987631867</x:v>
      </x:c>
      <x:c r="F16" s="24" t="n">
        <x:v>11</x:v>
      </x:c>
      <x:c r="G16" s="24" t="n">
        <x:f>ROUND(D16*E16*(1+F16/100),2)</x:f>
        <x:v>14950563.35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215503.77562028047</x:v>
      </x:c>
      <x:c r="F17" s="22" t="n">
        <x:v>0</x:v>
      </x:c>
      <x:c r="G17" s="22" t="n">
        <x:f>ROUND(D17*E17*(1+F17/100),2)</x:f>
        <x:v>215503.78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99886000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VIII</x:v>
      </x:c>
      <x:c r="B4" s="10" t="str">
        <x:v>Stock Design Pemb. Jalan Kabupaten/Desa VIII</x:v>
      </x:c>
      <x:c r="C4" s="10" t="str">
        <x:v>Stock Design Pemb. Jalan Kabupaten/Desa VIII</x:v>
      </x:c>
      <x:c r="D4" s="10" t="str">
        <x:v>Stock Design Pemb. Jalan Kabupaten/Desa VIII</x:v>
      </x:c>
      <x:c r="E4" s="10" t="str">
        <x:v>Stock Design Pemb. Jalan Kabupaten/Desa VIII</x:v>
      </x:c>
      <x:c r="F4" s="10" t="str">
        <x:v>Stock Design Pemb. Jalan Kabupaten/Desa VIII</x:v>
      </x:c>
      <x:c r="G4" s="10" t="str">
        <x:v>Stock Design Pemb. Jalan Kabupaten/Desa VIII</x:v>
      </x:c>
    </x:row>
    <x:row r="5" ht="26" customHeight="1">
      <x:c r="A5" s="10" t="str">
        <x:v>Stock Design Pemb. Jalan Kabupaten/Desa VIII</x:v>
      </x:c>
      <x:c r="B5" s="10" t="str">
        <x:v>Stock Design Pemb. Jalan Kabupaten/Desa VIII</x:v>
      </x:c>
      <x:c r="C5" s="10" t="str">
        <x:v>Stock Design Pemb. Jalan Kabupaten/Desa VIII</x:v>
      </x:c>
      <x:c r="D5" s="10" t="str">
        <x:v>Stock Design Pemb. Jalan Kabupaten/Desa VIII</x:v>
      </x:c>
      <x:c r="E5" s="10" t="str">
        <x:v>Stock Design Pemb. Jalan Kabupaten/Desa VIII</x:v>
      </x:c>
      <x:c r="F5" s="10" t="str">
        <x:v>Stock Design Pemb. Jalan Kabupaten/Desa VIII</x:v>
      </x:c>
      <x:c r="G5" s="10" t="str">
        <x:v>Stock Design Pemb. Jalan Kabupaten/Desa VIII</x:v>
      </x:c>
    </x:row>
    <x:row r="6" ht="23" customHeight="1">
      <x:c r="A6" s="13" t="str">
        <x:v>Nomor RUP: 67853981 • Tahun Anggaran 2026</x:v>
      </x:c>
      <x:c r="B6" s="13" t="str">
        <x:v>Nomor RUP: 67853981 • Tahun Anggaran 2026</x:v>
      </x:c>
      <x:c r="C6" s="13" t="str">
        <x:v>Nomor RUP: 67853981 • Tahun Anggaran 2026</x:v>
      </x:c>
      <x:c r="D6" s="13" t="str">
        <x:v>Nomor RUP: 67853981 • Tahun Anggaran 2026</x:v>
      </x:c>
      <x:c r="E6" s="13" t="str">
        <x:v>Nomor RUP: 67853981 • Tahun Anggaran 2026</x:v>
      </x:c>
      <x:c r="F6" s="13" t="str">
        <x:v>Nomor RUP: 67853981 • Tahun Anggaran 2026</x:v>
      </x:c>
      <x:c r="G6" s="13" t="str">
        <x:v>Nomor RUP: 67853981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99886000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