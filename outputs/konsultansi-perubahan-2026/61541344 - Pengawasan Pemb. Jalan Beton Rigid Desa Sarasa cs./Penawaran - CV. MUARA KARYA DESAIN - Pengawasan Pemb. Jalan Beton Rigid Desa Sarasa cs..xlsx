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07a50f8204b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fad7283d7f8143ee"/>
    <x:sheet xmlns:r="http://schemas.openxmlformats.org/officeDocument/2006/relationships" name="Rekap Penawaran" sheetId="2" r:id="R21b99f386a654473"/>
  </x:sheets>
  <x:definedNames>
    <x:definedName name="_xlnm.Print_Area" localSheetId="0">'RAB Penawaran'!$A$1:$G$34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Trebuchet MS"/>
    </x:font>
    <x:font>
      <x:b/>
      <x:sz val="18"/>
      <x:color rgb="FF17636C"/>
      <x:name val="Trebuchet MS"/>
    </x:font>
    <x:font>
      <x:b/>
      <x:sz val="13"/>
      <x:color rgb="FF17636C"/>
      <x:name val="Trebuchet MS"/>
    </x:font>
    <x:font>
      <x:sz val="10"/>
      <x:color rgb="FF17636C"/>
      <x:name val="Trebuchet MS"/>
    </x:font>
    <x:font>
      <x:b/>
      <x:sz val="12"/>
      <x:color rgb="FF17636C"/>
      <x:name val="Trebuchet MS"/>
    </x:font>
    <x:font>
      <x:b/>
      <x:sz val="10"/>
      <x:color rgb="FFFFFFFF"/>
      <x:name val="Trebuchet MS"/>
    </x:font>
    <x:font>
      <x:b/>
      <x:sz val="11"/>
      <x:color rgb="FF17636C"/>
      <x:name val="Trebuchet MS"/>
    </x:font>
    <x:font>
      <x:sz val="11"/>
      <x:color rgb="FF17636C"/>
      <x:name val="Trebuchet MS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636C"/>
      </x:patternFill>
    </x:fill>
    <x:fill>
      <x:patternFill patternType="solid">
        <x:fgColor rgb="FFEAF6F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17636C"/>
      </x:bottom>
      <x:diagonal/>
    </x:border>
    <x:border>
      <x:left/>
      <x:right/>
      <x:top style="thin">
        <x:color rgb="FF17636C"/>
      </x:top>
      <x:bottom style="double">
        <x:color rgb="FF1763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6ae85a83044a9" /><Relationship Type="http://schemas.openxmlformats.org/officeDocument/2006/relationships/theme" Target="/xl/theme/theme1.xml" Id="R247d646d1a0a45bf" /><Relationship Type="http://schemas.openxmlformats.org/officeDocument/2006/relationships/sharedStrings" Target="/xl/sharedStrings.xml" Id="Rd48a2ebdef2f44f2" /><Relationship Type="http://schemas.openxmlformats.org/officeDocument/2006/relationships/worksheet" Target="/xl/worksheets/sheet1.xml" Id="Rfad7283d7f8143ee" /><Relationship Type="http://schemas.openxmlformats.org/officeDocument/2006/relationships/worksheet" Target="/xl/worksheets/sheet2.xml" Id="R21b99f386a6544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Pemb. Jalan Beton/Rigid Desa Sarasa cs.</x:v>
      </x:c>
      <x:c r="B4" s="10" t="str">
        <x:v>Pengawasan Pemb. Jalan Beton/Rigid Desa Sarasa cs.</x:v>
      </x:c>
      <x:c r="C4" s="10" t="str">
        <x:v>Pengawasan Pemb. Jalan Beton/Rigid Desa Sarasa cs.</x:v>
      </x:c>
      <x:c r="D4" s="10" t="str">
        <x:v>Pengawasan Pemb. Jalan Beton/Rigid Desa Sarasa cs.</x:v>
      </x:c>
      <x:c r="E4" s="10" t="str">
        <x:v>Pengawasan Pemb. Jalan Beton/Rigid Desa Sarasa cs.</x:v>
      </x:c>
      <x:c r="F4" s="10" t="str">
        <x:v>Pengawasan Pemb. Jalan Beton/Rigid Desa Sarasa cs.</x:v>
      </x:c>
      <x:c r="G4" s="10" t="str">
        <x:v>Pengawasan Pemb. Jalan Beton/Rigid Desa Sarasa cs.</x:v>
      </x:c>
    </x:row>
    <x:row r="5" ht="26" customHeight="1">
      <x:c r="A5" s="10" t="str">
        <x:v>Pengawasan Pemb. Jalan Beton/Rigid Desa Sarasa cs.</x:v>
      </x:c>
      <x:c r="B5" s="10" t="str">
        <x:v>Pengawasan Pemb. Jalan Beton/Rigid Desa Sarasa cs.</x:v>
      </x:c>
      <x:c r="C5" s="10" t="str">
        <x:v>Pengawasan Pemb. Jalan Beton/Rigid Desa Sarasa cs.</x:v>
      </x:c>
      <x:c r="D5" s="10" t="str">
        <x:v>Pengawasan Pemb. Jalan Beton/Rigid Desa Sarasa cs.</x:v>
      </x:c>
      <x:c r="E5" s="10" t="str">
        <x:v>Pengawasan Pemb. Jalan Beton/Rigid Desa Sarasa cs.</x:v>
      </x:c>
      <x:c r="F5" s="10" t="str">
        <x:v>Pengawasan Pemb. Jalan Beton/Rigid Desa Sarasa cs.</x:v>
      </x:c>
      <x:c r="G5" s="10" t="str">
        <x:v>Pengawasan Pemb. Jalan Beton/Rigid Desa Sarasa cs.</x:v>
      </x:c>
    </x:row>
    <x:row r="6" ht="23" customHeight="1">
      <x:c r="A6" s="13" t="str">
        <x:v>Nomor RUP: 61541344 • Tahun Anggaran 2026</x:v>
      </x:c>
      <x:c r="B6" s="13" t="str">
        <x:v>Nomor RUP: 61541344 • Tahun Anggaran 2026</x:v>
      </x:c>
      <x:c r="C6" s="13" t="str">
        <x:v>Nomor RUP: 61541344 • Tahun Anggaran 2026</x:v>
      </x:c>
      <x:c r="D6" s="13" t="str">
        <x:v>Nomor RUP: 61541344 • Tahun Anggaran 2026</x:v>
      </x:c>
      <x:c r="E6" s="13" t="str">
        <x:v>Nomor RUP: 61541344 • Tahun Anggaran 2026</x:v>
      </x:c>
      <x:c r="F6" s="13" t="str">
        <x:v>Nomor RUP: 61541344 • Tahun Anggaran 2026</x:v>
      </x:c>
      <x:c r="G6" s="13" t="str">
        <x:v>Nomor RUP: 61541344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Team Leader (Ahli Teknik Jalan)</x:v>
      </x:c>
      <x:c r="C11" s="21" t="str">
        <x:v>0b</x:v>
      </x:c>
      <x:c r="D11" s="22" t="n">
        <x:v>5</x:v>
      </x:c>
      <x:c r="E11" s="22" t="n">
        <x:v>9989211.07188491</x:v>
      </x:c>
      <x:c r="F11" s="22" t="n">
        <x:v>11</x:v>
      </x:c>
      <x:c r="G11" s="22" t="n">
        <x:f>ROUND(D11*E11*(1+F11/100),2)</x:f>
        <x:v>55440121.45</x:v>
      </x:c>
    </x:row>
    <x:row r="12" ht="46" customHeight="1">
      <x:c r="A12" s="23" t="str">
        <x:v>2</x:v>
      </x:c>
      <x:c r="B12" s="23" t="str">
        <x:v>Inspektur/pengawas Jalan ( 1 0rang x 5 bln)</x:v>
      </x:c>
      <x:c r="C12" s="23" t="str">
        <x:v>0b</x:v>
      </x:c>
      <x:c r="D12" s="24" t="n">
        <x:v>5</x:v>
      </x:c>
      <x:c r="E12" s="24" t="n">
        <x:v>4370279.843949648</x:v>
      </x:c>
      <x:c r="F12" s="24" t="n">
        <x:v>11</x:v>
      </x:c>
      <x:c r="G12" s="24" t="n">
        <x:f>ROUND(D12*E12*(1+F12/100),2)</x:f>
        <x:v>24255053.13</x:v>
      </x:c>
    </x:row>
    <x:row r="13" ht="46" customHeight="1">
      <x:c r="A13" s="21" t="str">
        <x:v>3</x:v>
      </x:c>
      <x:c r="B13" s="21" t="str">
        <x:v>Sewa Printer A4</x:v>
      </x:c>
      <x:c r="C13" s="21" t="str">
        <x:v>unit-Bulan</x:v>
      </x:c>
      <x:c r="D13" s="22" t="n">
        <x:v>5</x:v>
      </x:c>
      <x:c r="E13" s="22" t="n">
        <x:v>374595.4151956841</x:v>
      </x:c>
      <x:c r="F13" s="22" t="n">
        <x:v>11</x:v>
      </x:c>
      <x:c r="G13" s="22" t="n">
        <x:f>ROUND(D13*E13*(1+F13/100),2)</x:f>
        <x:v>2079004.55</x:v>
      </x:c>
    </x:row>
    <x:row r="14" ht="46" customHeight="1">
      <x:c r="A14" s="23" t="str">
        <x:v>4</x:v>
      </x:c>
      <x:c r="B14" s="23" t="str">
        <x:v>ATK, Tinta Printer, akomodasi, listrik &amp; telepon/Internet</x:v>
      </x:c>
      <x:c r="C14" s="23" t="str">
        <x:v>ls</x:v>
      </x:c>
      <x:c r="D14" s="24" t="n">
        <x:v>5</x:v>
      </x:c>
      <x:c r="E14" s="24" t="n">
        <x:v>624325.6919928069</x:v>
      </x:c>
      <x:c r="F14" s="24" t="n">
        <x:v>11</x:v>
      </x:c>
      <x:c r="G14" s="24" t="n">
        <x:f>ROUND(D14*E14*(1+F14/100),2)</x:f>
        <x:v>3465007.59</x:v>
      </x:c>
    </x:row>
    <x:row r="15" ht="46" customHeight="1">
      <x:c r="A15" s="21" t="str">
        <x:v>5</x:v>
      </x:c>
      <x:c r="B15" s="21" t="str">
        <x:v>Sewa Laptop</x:v>
      </x:c>
      <x:c r="C15" s="21" t="str">
        <x:v>unit-Bulan</x:v>
      </x:c>
      <x:c r="D15" s="22" t="n">
        <x:v>5</x:v>
      </x:c>
      <x:c r="E15" s="22" t="n">
        <x:v>874055.9687899296</x:v>
      </x:c>
      <x:c r="F15" s="22" t="n">
        <x:v>11</x:v>
      </x:c>
      <x:c r="G15" s="22" t="n">
        <x:f>ROUND(D15*E15*(1+F15/100),2)</x:f>
        <x:v>4851010.63</x:v>
      </x:c>
    </x:row>
    <x:row r="16" ht="46" customHeight="1">
      <x:c r="A16" s="23" t="str">
        <x:v>6</x:v>
      </x:c>
      <x:c r="B16" s="23" t="str">
        <x:v>Helem Proyek</x:v>
      </x:c>
      <x:c r="C16" s="23" t="str">
        <x:v>LS</x:v>
      </x:c>
      <x:c r="D16" s="24" t="n">
        <x:v>2</x:v>
      </x:c>
      <x:c r="E16" s="24" t="n">
        <x:v>174811.19375798592</x:v>
      </x:c>
      <x:c r="F16" s="24" t="n">
        <x:v>11</x:v>
      </x:c>
      <x:c r="G16" s="24" t="n">
        <x:f>ROUND(D16*E16*(1+F16/100),2)</x:f>
        <x:v>388080.85</x:v>
      </x:c>
    </x:row>
    <x:row r="17" ht="46" customHeight="1">
      <x:c r="A17" s="21" t="str">
        <x:v>7</x:v>
      </x:c>
      <x:c r="B17" s="21" t="str">
        <x:v>Sepatu Safety</x:v>
      </x:c>
      <x:c r="C17" s="21" t="str">
        <x:v>LS</x:v>
      </x:c>
      <x:c r="D17" s="22" t="n">
        <x:v>2</x:v>
      </x:c>
      <x:c r="E17" s="22" t="n">
        <x:v>437027.9843949648</x:v>
      </x:c>
      <x:c r="F17" s="22" t="n">
        <x:v>11</x:v>
      </x:c>
      <x:c r="G17" s="22" t="n">
        <x:f>ROUND(D17*E17*(1+F17/100),2)</x:f>
        <x:v>970202.13</x:v>
      </x:c>
    </x:row>
    <x:row r="18" ht="46" customHeight="1">
      <x:c r="A18" s="23" t="str">
        <x:v>8</x:v>
      </x:c>
      <x:c r="B18" s="23" t="str">
        <x:v>Sewa &amp; Ops. Kendaraan (1 unit x 5 bln)</x:v>
      </x:c>
      <x:c r="C18" s="23" t="str">
        <x:v>Unit Bulan</x:v>
      </x:c>
      <x:c r="D18" s="24" t="n">
        <x:v>5</x:v>
      </x:c>
      <x:c r="E18" s="24" t="n">
        <x:v>998921.1071884909</x:v>
      </x:c>
      <x:c r="F18" s="24" t="n">
        <x:v>11</x:v>
      </x:c>
      <x:c r="G18" s="24" t="n">
        <x:f>ROUND(D18*E18*(1+F18/100),2)</x:f>
        <x:v>5544012.14</x:v>
      </x:c>
    </x:row>
    <x:row r="19" ht="46" customHeight="1">
      <x:c r="A19" s="21" t="str">
        <x:v>9</x:v>
      </x:c>
      <x:c r="B19" s="21" t="str">
        <x:v>Laporan Pendahuluan</x:v>
      </x:c>
      <x:c r="C19" s="21" t="str">
        <x:v>rangkap</x:v>
      </x:c>
      <x:c r="D19" s="22" t="n">
        <x:v>3</x:v>
      </x:c>
      <x:c r="E19" s="22" t="n">
        <x:v>249730.27679712273</x:v>
      </x:c>
      <x:c r="F19" s="22" t="n">
        <x:v>11</x:v>
      </x:c>
      <x:c r="G19" s="22" t="n">
        <x:f>ROUND(D19*E19*(1+F19/100),2)</x:f>
        <x:v>831601.82</x:v>
      </x:c>
    </x:row>
    <x:row r="20" ht="46" customHeight="1">
      <x:c r="A20" s="23" t="str">
        <x:v>10</x:v>
      </x:c>
      <x:c r="B20" s="23" t="str">
        <x:v>Laporan Bulanan</x:v>
      </x:c>
      <x:c r="C20" s="23" t="str">
        <x:v>rangkap</x:v>
      </x:c>
      <x:c r="D20" s="24" t="n">
        <x:v>3</x:v>
      </x:c>
      <x:c r="E20" s="24" t="n">
        <x:v>187297.70759784206</x:v>
      </x:c>
      <x:c r="F20" s="24" t="n">
        <x:v>11</x:v>
      </x:c>
      <x:c r="G20" s="24" t="n">
        <x:f>ROUND(D20*E20*(1+F20/100),2)</x:f>
        <x:v>623701.37</x:v>
      </x:c>
    </x:row>
    <x:row r="21" ht="46" customHeight="1">
      <x:c r="A21" s="21" t="str">
        <x:v>11</x:v>
      </x:c>
      <x:c r="B21" s="21" t="str">
        <x:v>Laporan Akhir</x:v>
      </x:c>
      <x:c r="C21" s="21" t="str">
        <x:v>rangkap</x:v>
      </x:c>
      <x:c r="D21" s="22" t="n">
        <x:v>3</x:v>
      </x:c>
      <x:c r="E21" s="22" t="n">
        <x:v>249730.27679712273</x:v>
      </x:c>
      <x:c r="F21" s="22" t="n">
        <x:v>11</x:v>
      </x:c>
      <x:c r="G21" s="22" t="n">
        <x:f>ROUND(D21*E21*(1+F21/100),2)</x:f>
        <x:v>831601.82</x:v>
      </x:c>
    </x:row>
    <x:row r="22" ht="46" customHeight="1">
      <x:c r="A22" s="23" t="str">
        <x:v>12</x:v>
      </x:c>
      <x:c r="B22" s="23" t="str">
        <x:v>Hardish</x:v>
      </x:c>
      <x:c r="C22" s="23" t="str">
        <x:v>Buah</x:v>
      </x:c>
      <x:c r="D22" s="24" t="n">
        <x:v>1</x:v>
      </x:c>
      <x:c r="E22" s="24" t="n">
        <x:v>312162.8459964034</x:v>
      </x:c>
      <x:c r="F22" s="24" t="n">
        <x:v>11</x:v>
      </x:c>
      <x:c r="G22" s="24" t="n">
        <x:f>ROUND(D22*E22*(1+F22/100),2)</x:f>
        <x:v>346500.76</x:v>
      </x:c>
    </x:row>
    <x:row r="23" ht="46" customHeight="1">
      <x:c r="A23" s="21" t="str">
        <x:v>13</x:v>
      </x:c>
      <x:c r="B23" s="21" t="str">
        <x:v>BPJS/JKK-JKM</x:v>
      </x:c>
      <x:c r="C23" s="21" t="str">
        <x:v>LS</x:v>
      </x:c>
      <x:c r="D23" s="22" t="n">
        <x:v>1</x:v>
      </x:c>
      <x:c r="E23" s="22" t="n">
        <x:v>239101.7562166372</x:v>
      </x:c>
      <x:c r="F23" s="22" t="n">
        <x:v>0</x:v>
      </x:c>
      <x:c r="G23" s="22" t="n">
        <x:f>ROUND(D23*E23*(1+F23/100),2)</x:f>
        <x:v>239101.76</x:v>
      </x:c>
    </x:row>
    <x:row r="24" ht="32" customHeight="1">
      <x:c r="A24" s="29" t="str">
        <x:v>JUMLAH PENAWARAN TERMASUK PAJAK</x:v>
      </x:c>
      <x:c r="B24" s="29" t="str">
        <x:v>JUMLAH PENAWARAN TERMASUK PAJAK</x:v>
      </x:c>
      <x:c r="C24" s="29" t="str">
        <x:v>JUMLAH PENAWARAN TERMASUK PAJAK</x:v>
      </x:c>
      <x:c r="D24" s="29" t="str">
        <x:v>JUMLAH PENAWARAN TERMASUK PAJAK</x:v>
      </x:c>
      <x:c r="E24" s="29" t="str">
        <x:v>JUMLAH PENAWARAN TERMASUK PAJAK</x:v>
      </x:c>
      <x:c r="F24" s="29" t="str">
        <x:v>JUMLAH PENAWARAN TERMASUK PAJAK</x:v>
      </x:c>
      <x:c r="G24" s="31" t="n">
        <x:f>ROUND(SUM(G11:G23),2)</x:f>
        <x:v>99865000</x:v>
      </x:c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8" t="str">
        <x:v>Pasangkayu, 26 Oktober 2026</x:v>
      </x:c>
      <x:c r="E27" s="38" t="str">
        <x:v>Pasangkayu, 26 Oktober 2026</x:v>
      </x:c>
      <x:c r="F27" s="38" t="str">
        <x:v>Pasangkayu, 26 Oktober 2026</x:v>
      </x:c>
      <x:c r="G27" s="38" t="str">
        <x:v>Pasangkayu, 26 Oktober 2026</x:v>
      </x:c>
    </x:row>
    <x:row r="28" ht="23" customHeight="1">
      <x:c r="A28" s="3"/>
      <x:c r="B28" s="3"/>
      <x:c r="C28" s="3"/>
      <x:c r="D28" s="39" t="str">
        <x:v>CV. MUARA KARYA DESAIN</x:v>
      </x:c>
      <x:c r="E28" s="39" t="str">
        <x:v>CV. MUARA KARYA DESAIN</x:v>
      </x:c>
      <x:c r="F28" s="39" t="str">
        <x:v>CV. MUARA KARYA DESAIN</x:v>
      </x:c>
      <x:c r="G28" s="39" t="str">
        <x:v>CV. MUARA KARYA DESAIN</x:v>
      </x:c>
    </x:row>
    <x:row r="29" ht="23" customHeight="1">
      <x:c r="A29" s="3"/>
      <x:c r="B29" s="3"/>
      <x:c r="C29" s="3"/>
      <x:c r="D29" s="39" t="str">
        <x:v>CV. MUARA KARYA DESAIN</x:v>
      </x:c>
      <x:c r="E29" s="39" t="str">
        <x:v>CV. MUARA KARYA DESAIN</x:v>
      </x:c>
      <x:c r="F29" s="39" t="str">
        <x:v>CV. MUARA KARYA DESAIN</x:v>
      </x:c>
      <x:c r="G29" s="39" t="str">
        <x:v>CV. MUARA KARYA DESAIN</x:v>
      </x:c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9" t="str">
        <x:v>MASRI J, S.T</x:v>
      </x:c>
      <x:c r="E33" s="39" t="str">
        <x:v>MASRI J, S.T</x:v>
      </x:c>
      <x:c r="F33" s="39" t="str">
        <x:v>MASRI J, S.T</x:v>
      </x:c>
      <x:c r="G33" s="39" t="str">
        <x:v>MASRI J, S.T</x:v>
      </x:c>
    </x:row>
    <x:row r="34" ht="23" customHeight="1">
      <x:c r="A34" s="3"/>
      <x:c r="B34" s="3"/>
      <x:c r="C34" s="3"/>
      <x:c r="D34" s="38" t="str">
        <x:v>Direktur</x:v>
      </x:c>
      <x:c r="E34" s="38" t="str">
        <x:v>Direktur</x:v>
      </x:c>
      <x:c r="F34" s="38" t="str">
        <x:v>Direktur</x:v>
      </x:c>
      <x:c r="G34" s="38" t="str">
        <x:v>Direktur</x:v>
      </x:c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24:F24"/>
    <x:mergeCell ref="D27:G27"/>
    <x:mergeCell ref="D28:G29"/>
    <x:mergeCell ref="D33:G33"/>
    <x:mergeCell ref="D34:G34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Pemb. Jalan Beton/Rigid Desa Sarasa cs.</x:v>
      </x:c>
      <x:c r="B4" s="10" t="str">
        <x:v>Pengawasan Pemb. Jalan Beton/Rigid Desa Sarasa cs.</x:v>
      </x:c>
      <x:c r="C4" s="10" t="str">
        <x:v>Pengawasan Pemb. Jalan Beton/Rigid Desa Sarasa cs.</x:v>
      </x:c>
      <x:c r="D4" s="10" t="str">
        <x:v>Pengawasan Pemb. Jalan Beton/Rigid Desa Sarasa cs.</x:v>
      </x:c>
      <x:c r="E4" s="10" t="str">
        <x:v>Pengawasan Pemb. Jalan Beton/Rigid Desa Sarasa cs.</x:v>
      </x:c>
      <x:c r="F4" s="10" t="str">
        <x:v>Pengawasan Pemb. Jalan Beton/Rigid Desa Sarasa cs.</x:v>
      </x:c>
      <x:c r="G4" s="10" t="str">
        <x:v>Pengawasan Pemb. Jalan Beton/Rigid Desa Sarasa cs.</x:v>
      </x:c>
    </x:row>
    <x:row r="5" ht="26" customHeight="1">
      <x:c r="A5" s="10" t="str">
        <x:v>Pengawasan Pemb. Jalan Beton/Rigid Desa Sarasa cs.</x:v>
      </x:c>
      <x:c r="B5" s="10" t="str">
        <x:v>Pengawasan Pemb. Jalan Beton/Rigid Desa Sarasa cs.</x:v>
      </x:c>
      <x:c r="C5" s="10" t="str">
        <x:v>Pengawasan Pemb. Jalan Beton/Rigid Desa Sarasa cs.</x:v>
      </x:c>
      <x:c r="D5" s="10" t="str">
        <x:v>Pengawasan Pemb. Jalan Beton/Rigid Desa Sarasa cs.</x:v>
      </x:c>
      <x:c r="E5" s="10" t="str">
        <x:v>Pengawasan Pemb. Jalan Beton/Rigid Desa Sarasa cs.</x:v>
      </x:c>
      <x:c r="F5" s="10" t="str">
        <x:v>Pengawasan Pemb. Jalan Beton/Rigid Desa Sarasa cs.</x:v>
      </x:c>
      <x:c r="G5" s="10" t="str">
        <x:v>Pengawasan Pemb. Jalan Beton/Rigid Desa Sarasa cs.</x:v>
      </x:c>
    </x:row>
    <x:row r="6" ht="23" customHeight="1">
      <x:c r="A6" s="13" t="str">
        <x:v>Nomor RUP: 61541344 • Tahun Anggaran 2026</x:v>
      </x:c>
      <x:c r="B6" s="13" t="str">
        <x:v>Nomor RUP: 61541344 • Tahun Anggaran 2026</x:v>
      </x:c>
      <x:c r="C6" s="13" t="str">
        <x:v>Nomor RUP: 61541344 • Tahun Anggaran 2026</x:v>
      </x:c>
      <x:c r="D6" s="13" t="str">
        <x:v>Nomor RUP: 61541344 • Tahun Anggaran 2026</x:v>
      </x:c>
      <x:c r="E6" s="13" t="str">
        <x:v>Nomor RUP: 61541344 • Tahun Anggaran 2026</x:v>
      </x:c>
      <x:c r="F6" s="13" t="str">
        <x:v>Nomor RUP: 61541344 • Tahun Anggaran 2026</x:v>
      </x:c>
      <x:c r="G6" s="13" t="str">
        <x:v>Nomor RUP: 61541344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Penawaran'!G24</x:f>
        <x:v>99865000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MUARA KARYA DESAIN</x:v>
      </x:c>
      <x:c r="E16" s="39" t="str">
        <x:v>CV. MUARA KARYA DESAIN</x:v>
      </x:c>
      <x:c r="F16" s="39" t="str">
        <x:v>CV. MUARA KARYA DESAIN</x:v>
      </x:c>
      <x:c r="G16" s="39" t="str">
        <x:v>CV. MUARA KARYA DESAIN</x:v>
      </x:c>
    </x:row>
    <x:row r="17" ht="23" customHeight="1">
      <x:c r="A17" s="3"/>
      <x:c r="B17" s="3"/>
      <x:c r="C17" s="3"/>
      <x:c r="D17" s="39" t="str">
        <x:v>CV. MUARA KARYA DESAIN</x:v>
      </x:c>
      <x:c r="E17" s="39" t="str">
        <x:v>CV. MUARA KARYA DESAIN</x:v>
      </x:c>
      <x:c r="F17" s="39" t="str">
        <x:v>CV. MUARA KARYA DESAIN</x:v>
      </x:c>
      <x:c r="G17" s="39" t="str">
        <x:v>CV. MUARA KARYA DESAIN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MASRI J, S.T</x:v>
      </x:c>
      <x:c r="E21" s="39" t="str">
        <x:v>MASRI J, S.T</x:v>
      </x:c>
      <x:c r="F21" s="39" t="str">
        <x:v>MASRI J, S.T</x:v>
      </x:c>
      <x:c r="G21" s="39" t="str">
        <x:v>MASRI J, S.T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