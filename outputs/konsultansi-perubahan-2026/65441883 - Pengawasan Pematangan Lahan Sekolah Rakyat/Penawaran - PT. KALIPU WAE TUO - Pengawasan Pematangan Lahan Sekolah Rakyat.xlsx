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5bae59132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7f79637eebb444d1"/>
    <x:sheet xmlns:r="http://schemas.openxmlformats.org/officeDocument/2006/relationships" name="Rekap Penawaran" sheetId="2" r:id="Rcefd3f642d194134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831f9feb44897" /><Relationship Type="http://schemas.openxmlformats.org/officeDocument/2006/relationships/theme" Target="/xl/theme/theme1.xml" Id="R8636d98cb828428c" /><Relationship Type="http://schemas.openxmlformats.org/officeDocument/2006/relationships/sharedStrings" Target="/xl/sharedStrings.xml" Id="Rd049a2b6a14d4111" /><Relationship Type="http://schemas.openxmlformats.org/officeDocument/2006/relationships/worksheet" Target="/xl/worksheets/sheet1.xml" Id="R7f79637eebb444d1" /><Relationship Type="http://schemas.openxmlformats.org/officeDocument/2006/relationships/worksheet" Target="/xl/worksheets/sheet2.xml" Id="Rcefd3f642d19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Pematangan Lahan Sekolah Rakyat</x:v>
      </x:c>
      <x:c r="B4" s="10" t="str">
        <x:v>Pengawasan Pematangan Lahan Sekolah Rakyat</x:v>
      </x:c>
      <x:c r="C4" s="10" t="str">
        <x:v>Pengawasan Pematangan Lahan Sekolah Rakyat</x:v>
      </x:c>
      <x:c r="D4" s="10" t="str">
        <x:v>Pengawasan Pematangan Lahan Sekolah Rakyat</x:v>
      </x:c>
      <x:c r="E4" s="10" t="str">
        <x:v>Pengawasan Pematangan Lahan Sekolah Rakyat</x:v>
      </x:c>
      <x:c r="F4" s="10" t="str">
        <x:v>Pengawasan Pematangan Lahan Sekolah Rakyat</x:v>
      </x:c>
      <x:c r="G4" s="10" t="str">
        <x:v>Pengawasan Pematangan Lahan Sekolah Rakyat</x:v>
      </x:c>
    </x:row>
    <x:row r="5" ht="26" customHeight="1">
      <x:c r="A5" s="10" t="str">
        <x:v>Pengawasan Pematangan Lahan Sekolah Rakyat</x:v>
      </x:c>
      <x:c r="B5" s="10" t="str">
        <x:v>Pengawasan Pematangan Lahan Sekolah Rakyat</x:v>
      </x:c>
      <x:c r="C5" s="10" t="str">
        <x:v>Pengawasan Pematangan Lahan Sekolah Rakyat</x:v>
      </x:c>
      <x:c r="D5" s="10" t="str">
        <x:v>Pengawasan Pematangan Lahan Sekolah Rakyat</x:v>
      </x:c>
      <x:c r="E5" s="10" t="str">
        <x:v>Pengawasan Pematangan Lahan Sekolah Rakyat</x:v>
      </x:c>
      <x:c r="F5" s="10" t="str">
        <x:v>Pengawasan Pematangan Lahan Sekolah Rakyat</x:v>
      </x:c>
      <x:c r="G5" s="10" t="str">
        <x:v>Pengawasan Pematangan Lahan Sekolah Rakyat</x:v>
      </x:c>
    </x:row>
    <x:row r="6" ht="23" customHeight="1">
      <x:c r="A6" s="13" t="str">
        <x:v>Nomor RUP: 65441883 • Tahun Anggaran 2026</x:v>
      </x:c>
      <x:c r="B6" s="13" t="str">
        <x:v>Nomor RUP: 65441883 • Tahun Anggaran 2026</x:v>
      </x:c>
      <x:c r="C6" s="13" t="str">
        <x:v>Nomor RUP: 65441883 • Tahun Anggaran 2026</x:v>
      </x:c>
      <x:c r="D6" s="13" t="str">
        <x:v>Nomor RUP: 65441883 • Tahun Anggaran 2026</x:v>
      </x:c>
      <x:c r="E6" s="13" t="str">
        <x:v>Nomor RUP: 65441883 • Tahun Anggaran 2026</x:v>
      </x:c>
      <x:c r="F6" s="13" t="str">
        <x:v>Nomor RUP: 65441883 • Tahun Anggaran 2026</x:v>
      </x:c>
      <x:c r="G6" s="13" t="str">
        <x:v>Nomor RUP: 65441883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Sipil)</x:v>
      </x:c>
      <x:c r="C11" s="21" t="str">
        <x:v>0b</x:v>
      </x:c>
      <x:c r="D11" s="22" t="n">
        <x:v>5</x:v>
      </x:c>
      <x:c r="E11" s="22" t="n">
        <x:v>1987239.340359599</x:v>
      </x:c>
      <x:c r="F11" s="22" t="n">
        <x:v>11</x:v>
      </x:c>
      <x:c r="G11" s="22" t="n">
        <x:f>ROUND(D11*E11*(1+F11/100),2)</x:f>
        <x:v>11029178.34</x:v>
      </x:c>
    </x:row>
    <x:row r="12" ht="46" customHeight="1">
      <x:c r="A12" s="23" t="str">
        <x:v>2</x:v>
      </x:c>
      <x:c r="B12" s="23" t="str">
        <x:v>Inspektur/Pengawas Lapangan (1 orang x 5 bln)</x:v>
      </x:c>
      <x:c r="C12" s="23" t="str">
        <x:v>0b</x:v>
      </x:c>
      <x:c r="D12" s="24" t="n">
        <x:v>5</x:v>
      </x:c>
      <x:c r="E12" s="24" t="n">
        <x:v>869417.209830748</x:v>
      </x:c>
      <x:c r="F12" s="24" t="n">
        <x:v>11</x:v>
      </x:c>
      <x:c r="G12" s="24" t="n">
        <x:f>ROUND(D12*E12*(1+F12/100),2)</x:f>
        <x:v>4825265.51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74521.47512834983</x:v>
      </x:c>
      <x:c r="F13" s="22" t="n">
        <x:v>11</x:v>
      </x:c>
      <x:c r="G13" s="22" t="n">
        <x:f>ROUND(D13*E13*(1+F13/100),2)</x:f>
        <x:v>413594.19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124202.45854724973</x:v>
      </x:c>
      <x:c r="F14" s="24" t="n">
        <x:v>11</x:v>
      </x:c>
      <x:c r="G14" s="24" t="n">
        <x:f>ROUND(D14*E14*(1+F14/100),2)</x:f>
        <x:v>689323.64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173883.4419661496</x:v>
      </x:c>
      <x:c r="F15" s="22" t="n">
        <x:v>11</x:v>
      </x:c>
      <x:c r="G15" s="22" t="n">
        <x:f>ROUND(D15*E15*(1+F15/100),2)</x:f>
        <x:v>965053.1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34776.688393229924</x:v>
      </x:c>
      <x:c r="F16" s="24" t="n">
        <x:v>11</x:v>
      </x:c>
      <x:c r="G16" s="24" t="n">
        <x:f>ROUND(D16*E16*(1+F16/100),2)</x:f>
        <x:v>77204.25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86941.7209830748</x:v>
      </x:c>
      <x:c r="F17" s="22" t="n">
        <x:v>11</x:v>
      </x:c>
      <x:c r="G17" s="22" t="n">
        <x:f>ROUND(D17*E17*(1+F17/100),2)</x:f>
        <x:v>193010.62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198723.93367559955</x:v>
      </x:c>
      <x:c r="F18" s="24" t="n">
        <x:v>11</x:v>
      </x:c>
      <x:c r="G18" s="24" t="n">
        <x:f>ROUND(D18*E18*(1+F18/100),2)</x:f>
        <x:v>1102917.83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49680.98341889989</x:v>
      </x:c>
      <x:c r="F19" s="22" t="n">
        <x:v>11</x:v>
      </x:c>
      <x:c r="G19" s="22" t="n">
        <x:f>ROUND(D19*E19*(1+F19/100),2)</x:f>
        <x:v>165437.67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37260.73756417492</x:v>
      </x:c>
      <x:c r="F20" s="24" t="n">
        <x:v>11</x:v>
      </x:c>
      <x:c r="G20" s="24" t="n">
        <x:f>ROUND(D20*E20*(1+F20/100),2)</x:f>
        <x:v>124078.26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49680.98341889989</x:v>
      </x:c>
      <x:c r="F21" s="22" t="n">
        <x:v>11</x:v>
      </x:c>
      <x:c r="G21" s="22" t="n">
        <x:f>ROUND(D21*E21*(1+F21/100),2)</x:f>
        <x:v>165437.67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62101.229273624864</x:v>
      </x:c>
      <x:c r="F22" s="24" t="n">
        <x:v>11</x:v>
      </x:c>
      <x:c r="G22" s="24" t="n">
        <x:f>ROUND(D22*E22*(1+F22/100),2)</x:f>
        <x:v>68932.36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47566.56076459151</x:v>
      </x:c>
      <x:c r="F23" s="22" t="n">
        <x:v>0</x:v>
      </x:c>
      <x:c r="G23" s="22" t="n">
        <x:f>ROUND(D23*E23*(1+F23/100),2)</x:f>
        <x:v>47566.56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19867000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PT. KALIPU WAE TUO</x:v>
      </x:c>
      <x:c r="E28" s="39" t="str">
        <x:v>PT. KALIPU WAE TUO</x:v>
      </x:c>
      <x:c r="F28" s="39" t="str">
        <x:v>PT. KALIPU WAE TUO</x:v>
      </x:c>
      <x:c r="G28" s="39" t="str">
        <x:v>PT. KALIPU WAE TUO</x:v>
      </x:c>
    </x:row>
    <x:row r="29" ht="23" customHeight="1">
      <x:c r="A29" s="3"/>
      <x:c r="B29" s="3"/>
      <x:c r="C29" s="3"/>
      <x:c r="D29" s="39" t="str">
        <x:v>PT. KALIPU WAE TUO</x:v>
      </x:c>
      <x:c r="E29" s="39" t="str">
        <x:v>PT. KALIPU WAE TUO</x:v>
      </x:c>
      <x:c r="F29" s="39" t="str">
        <x:v>PT. KALIPU WAE TUO</x:v>
      </x:c>
      <x:c r="G29" s="39" t="str">
        <x:v>PT. KALIPU WAE TUO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ABDUL RAHMAN, ST</x:v>
      </x:c>
      <x:c r="E33" s="39" t="str">
        <x:v>ABDUL RAHMAN, ST</x:v>
      </x:c>
      <x:c r="F33" s="39" t="str">
        <x:v>ABDUL RAHMAN, ST</x:v>
      </x:c>
      <x:c r="G33" s="39" t="str">
        <x:v>ABDUL RAHMAN,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Pematangan Lahan Sekolah Rakyat</x:v>
      </x:c>
      <x:c r="B4" s="10" t="str">
        <x:v>Pengawasan Pematangan Lahan Sekolah Rakyat</x:v>
      </x:c>
      <x:c r="C4" s="10" t="str">
        <x:v>Pengawasan Pematangan Lahan Sekolah Rakyat</x:v>
      </x:c>
      <x:c r="D4" s="10" t="str">
        <x:v>Pengawasan Pematangan Lahan Sekolah Rakyat</x:v>
      </x:c>
      <x:c r="E4" s="10" t="str">
        <x:v>Pengawasan Pematangan Lahan Sekolah Rakyat</x:v>
      </x:c>
      <x:c r="F4" s="10" t="str">
        <x:v>Pengawasan Pematangan Lahan Sekolah Rakyat</x:v>
      </x:c>
      <x:c r="G4" s="10" t="str">
        <x:v>Pengawasan Pematangan Lahan Sekolah Rakyat</x:v>
      </x:c>
    </x:row>
    <x:row r="5" ht="26" customHeight="1">
      <x:c r="A5" s="10" t="str">
        <x:v>Pengawasan Pematangan Lahan Sekolah Rakyat</x:v>
      </x:c>
      <x:c r="B5" s="10" t="str">
        <x:v>Pengawasan Pematangan Lahan Sekolah Rakyat</x:v>
      </x:c>
      <x:c r="C5" s="10" t="str">
        <x:v>Pengawasan Pematangan Lahan Sekolah Rakyat</x:v>
      </x:c>
      <x:c r="D5" s="10" t="str">
        <x:v>Pengawasan Pematangan Lahan Sekolah Rakyat</x:v>
      </x:c>
      <x:c r="E5" s="10" t="str">
        <x:v>Pengawasan Pematangan Lahan Sekolah Rakyat</x:v>
      </x:c>
      <x:c r="F5" s="10" t="str">
        <x:v>Pengawasan Pematangan Lahan Sekolah Rakyat</x:v>
      </x:c>
      <x:c r="G5" s="10" t="str">
        <x:v>Pengawasan Pematangan Lahan Sekolah Rakyat</x:v>
      </x:c>
    </x:row>
    <x:row r="6" ht="23" customHeight="1">
      <x:c r="A6" s="13" t="str">
        <x:v>Nomor RUP: 65441883 • Tahun Anggaran 2026</x:v>
      </x:c>
      <x:c r="B6" s="13" t="str">
        <x:v>Nomor RUP: 65441883 • Tahun Anggaran 2026</x:v>
      </x:c>
      <x:c r="C6" s="13" t="str">
        <x:v>Nomor RUP: 65441883 • Tahun Anggaran 2026</x:v>
      </x:c>
      <x:c r="D6" s="13" t="str">
        <x:v>Nomor RUP: 65441883 • Tahun Anggaran 2026</x:v>
      </x:c>
      <x:c r="E6" s="13" t="str">
        <x:v>Nomor RUP: 65441883 • Tahun Anggaran 2026</x:v>
      </x:c>
      <x:c r="F6" s="13" t="str">
        <x:v>Nomor RUP: 65441883 • Tahun Anggaran 2026</x:v>
      </x:c>
      <x:c r="G6" s="13" t="str">
        <x:v>Nomor RUP: 65441883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19867000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