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ae64cdbf740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d4064fe5bd584f96"/>
    <x:sheet xmlns:r="http://schemas.openxmlformats.org/officeDocument/2006/relationships" name="Rekap Penawaran" sheetId="2" r:id="R61cca7c8d8ae4866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2c90082fb4f87" /><Relationship Type="http://schemas.openxmlformats.org/officeDocument/2006/relationships/theme" Target="/xl/theme/theme1.xml" Id="R0b1964bc18a54d16" /><Relationship Type="http://schemas.openxmlformats.org/officeDocument/2006/relationships/sharedStrings" Target="/xl/sharedStrings.xml" Id="Rfb166205258b48a0" /><Relationship Type="http://schemas.openxmlformats.org/officeDocument/2006/relationships/worksheet" Target="/xl/worksheets/sheet1.xml" Id="Rd4064fe5bd584f96" /><Relationship Type="http://schemas.openxmlformats.org/officeDocument/2006/relationships/worksheet" Target="/xl/worksheets/sheet2.xml" Id="R61cca7c8d8ae48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</x:v>
      </x:c>
      <x:c r="B4" s="10" t="str">
        <x:v>Stock Design Pemb. Jalan Kabupaten/Desa V</x:v>
      </x:c>
      <x:c r="C4" s="10" t="str">
        <x:v>Stock Design Pemb. Jalan Kabupaten/Desa V</x:v>
      </x:c>
      <x:c r="D4" s="10" t="str">
        <x:v>Stock Design Pemb. Jalan Kabupaten/Desa V</x:v>
      </x:c>
      <x:c r="E4" s="10" t="str">
        <x:v>Stock Design Pemb. Jalan Kabupaten/Desa V</x:v>
      </x:c>
      <x:c r="F4" s="10" t="str">
        <x:v>Stock Design Pemb. Jalan Kabupaten/Desa V</x:v>
      </x:c>
      <x:c r="G4" s="10" t="str">
        <x:v>Stock Design Pemb. Jalan Kabupaten/Desa V</x:v>
      </x:c>
    </x:row>
    <x:row r="5" ht="26" customHeight="1">
      <x:c r="A5" s="10" t="str">
        <x:v>Stock Design Pemb. Jalan Kabupaten/Desa V</x:v>
      </x:c>
      <x:c r="B5" s="10" t="str">
        <x:v>Stock Design Pemb. Jalan Kabupaten/Desa V</x:v>
      </x:c>
      <x:c r="C5" s="10" t="str">
        <x:v>Stock Design Pemb. Jalan Kabupaten/Desa V</x:v>
      </x:c>
      <x:c r="D5" s="10" t="str">
        <x:v>Stock Design Pemb. Jalan Kabupaten/Desa V</x:v>
      </x:c>
      <x:c r="E5" s="10" t="str">
        <x:v>Stock Design Pemb. Jalan Kabupaten/Desa V</x:v>
      </x:c>
      <x:c r="F5" s="10" t="str">
        <x:v>Stock Design Pemb. Jalan Kabupaten/Desa V</x:v>
      </x:c>
      <x:c r="G5" s="10" t="str">
        <x:v>Stock Design Pemb. Jalan Kabupaten/Desa V</x:v>
      </x:c>
    </x:row>
    <x:row r="6" ht="23" customHeight="1">
      <x:c r="A6" s="13" t="str">
        <x:v>Nomor RUP: 68540017 • Tahun Anggaran 2026</x:v>
      </x:c>
      <x:c r="B6" s="13" t="str">
        <x:v>Nomor RUP: 68540017 • Tahun Anggaran 2026</x:v>
      </x:c>
      <x:c r="C6" s="13" t="str">
        <x:v>Nomor RUP: 68540017 • Tahun Anggaran 2026</x:v>
      </x:c>
      <x:c r="D6" s="13" t="str">
        <x:v>Nomor RUP: 68540017 • Tahun Anggaran 2026</x:v>
      </x:c>
      <x:c r="E6" s="13" t="str">
        <x:v>Nomor RUP: 68540017 • Tahun Anggaran 2026</x:v>
      </x:c>
      <x:c r="F6" s="13" t="str">
        <x:v>Nomor RUP: 68540017 • Tahun Anggaran 2026</x:v>
      </x:c>
      <x:c r="G6" s="13" t="str">
        <x:v>Nomor RUP: 68540017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8978025.495142227</x:v>
      </x:c>
      <x:c r="F11" s="22" t="n">
        <x:v>11</x:v>
      </x:c>
      <x:c r="G11" s="22" t="n">
        <x:f>ROUND(D11*E11*(1+F11/100),2)</x:f>
        <x:v>9965608.3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17956150.86264104</x:v>
      </x:c>
      <x:c r="F12" s="24" t="n">
        <x:v>11</x:v>
      </x:c>
      <x:c r="G12" s="24" t="n">
        <x:f>ROUND(D12*E12*(1+F12/100),2)</x:f>
        <x:v>19931327.46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22445213.537381437</x:v>
      </x:c>
      <x:c r="F13" s="22" t="n">
        <x:v>11</x:v>
      </x:c>
      <x:c r="G13" s="22" t="n">
        <x:f>ROUND(D13*E13*(1+F13/100),2)</x:f>
        <x:v>24914187.03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22445213.546390448</x:v>
      </x:c>
      <x:c r="F14" s="24" t="n">
        <x:v>11</x:v>
      </x:c>
      <x:c r="G14" s="24" t="n">
        <x:f>ROUND(D14*E14*(1+F14/100),2)</x:f>
        <x:v>24914187.04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4488962.811392821</x:v>
      </x:c>
      <x:c r="F15" s="22" t="n">
        <x:v>11</x:v>
      </x:c>
      <x:c r="G15" s="22" t="n">
        <x:f>ROUND(D15*E15*(1+F15/100),2)</x:f>
        <x:v>4982748.72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13467088.178891635</x:v>
      </x:c>
      <x:c r="F16" s="24" t="n">
        <x:v>11</x:v>
      </x:c>
      <x:c r="G16" s="24" t="n">
        <x:f>ROUND(D16*E16*(1+F16/100),2)</x:f>
        <x:v>14948467.88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215473.57065803668</x:v>
      </x:c>
      <x:c r="F17" s="22" t="n">
        <x:v>0</x:v>
      </x:c>
      <x:c r="G17" s="22" t="n">
        <x:f>ROUND(D17*E17*(1+F17/100),2)</x:f>
        <x:v>215473.57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99872000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V</x:v>
      </x:c>
      <x:c r="B4" s="10" t="str">
        <x:v>Stock Design Pemb. Jalan Kabupaten/Desa V</x:v>
      </x:c>
      <x:c r="C4" s="10" t="str">
        <x:v>Stock Design Pemb. Jalan Kabupaten/Desa V</x:v>
      </x:c>
      <x:c r="D4" s="10" t="str">
        <x:v>Stock Design Pemb. Jalan Kabupaten/Desa V</x:v>
      </x:c>
      <x:c r="E4" s="10" t="str">
        <x:v>Stock Design Pemb. Jalan Kabupaten/Desa V</x:v>
      </x:c>
      <x:c r="F4" s="10" t="str">
        <x:v>Stock Design Pemb. Jalan Kabupaten/Desa V</x:v>
      </x:c>
      <x:c r="G4" s="10" t="str">
        <x:v>Stock Design Pemb. Jalan Kabupaten/Desa V</x:v>
      </x:c>
    </x:row>
    <x:row r="5" ht="26" customHeight="1">
      <x:c r="A5" s="10" t="str">
        <x:v>Stock Design Pemb. Jalan Kabupaten/Desa V</x:v>
      </x:c>
      <x:c r="B5" s="10" t="str">
        <x:v>Stock Design Pemb. Jalan Kabupaten/Desa V</x:v>
      </x:c>
      <x:c r="C5" s="10" t="str">
        <x:v>Stock Design Pemb. Jalan Kabupaten/Desa V</x:v>
      </x:c>
      <x:c r="D5" s="10" t="str">
        <x:v>Stock Design Pemb. Jalan Kabupaten/Desa V</x:v>
      </x:c>
      <x:c r="E5" s="10" t="str">
        <x:v>Stock Design Pemb. Jalan Kabupaten/Desa V</x:v>
      </x:c>
      <x:c r="F5" s="10" t="str">
        <x:v>Stock Design Pemb. Jalan Kabupaten/Desa V</x:v>
      </x:c>
      <x:c r="G5" s="10" t="str">
        <x:v>Stock Design Pemb. Jalan Kabupaten/Desa V</x:v>
      </x:c>
    </x:row>
    <x:row r="6" ht="23" customHeight="1">
      <x:c r="A6" s="13" t="str">
        <x:v>Nomor RUP: 68540017 • Tahun Anggaran 2026</x:v>
      </x:c>
      <x:c r="B6" s="13" t="str">
        <x:v>Nomor RUP: 68540017 • Tahun Anggaran 2026</x:v>
      </x:c>
      <x:c r="C6" s="13" t="str">
        <x:v>Nomor RUP: 68540017 • Tahun Anggaran 2026</x:v>
      </x:c>
      <x:c r="D6" s="13" t="str">
        <x:v>Nomor RUP: 68540017 • Tahun Anggaran 2026</x:v>
      </x:c>
      <x:c r="E6" s="13" t="str">
        <x:v>Nomor RUP: 68540017 • Tahun Anggaran 2026</x:v>
      </x:c>
      <x:c r="F6" s="13" t="str">
        <x:v>Nomor RUP: 68540017 • Tahun Anggaran 2026</x:v>
      </x:c>
      <x:c r="G6" s="13" t="str">
        <x:v>Nomor RUP: 68540017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99872000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