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d8d93c54d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9ac9b5c466004258"/>
    <x:sheet xmlns:r="http://schemas.openxmlformats.org/officeDocument/2006/relationships" name="Rekap Penawaran" sheetId="2" r:id="R9a8504235e894804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Helvetica"/>
    </x:font>
    <x:font>
      <x:b/>
      <x:sz val="18"/>
      <x:color rgb="FF275D46"/>
      <x:name val="Helvetica"/>
    </x:font>
    <x:font>
      <x:b/>
      <x:sz val="13"/>
      <x:color rgb="FF275D46"/>
      <x:name val="Helvetica"/>
    </x:font>
    <x:font>
      <x:sz val="10"/>
      <x:color rgb="FF275D46"/>
      <x:name val="Helvetica"/>
    </x:font>
    <x:font>
      <x:b/>
      <x:sz val="12"/>
      <x:color rgb="FF275D46"/>
      <x:name val="Helvetica"/>
    </x:font>
    <x:font>
      <x:b/>
      <x:sz val="10"/>
      <x:color rgb="FFFFFFFF"/>
      <x:name val="Helvetica"/>
    </x:font>
    <x:font>
      <x:b/>
      <x:sz val="11"/>
      <x:color rgb="FF275D46"/>
      <x:name val="Helvetica"/>
    </x:font>
    <x:font>
      <x:sz val="11"/>
      <x:color rgb="FF275D46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75D46"/>
      </x:patternFill>
    </x:fill>
    <x:fill>
      <x:patternFill patternType="solid">
        <x:fgColor rgb="FFEDF5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75D46"/>
      </x:bottom>
      <x:diagonal/>
    </x:border>
    <x:border>
      <x:left/>
      <x:right/>
      <x:top style="thin">
        <x:color rgb="FF275D46"/>
      </x:top>
      <x:bottom style="double">
        <x:color rgb="FF275D46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77d3045374ab6" /><Relationship Type="http://schemas.openxmlformats.org/officeDocument/2006/relationships/theme" Target="/xl/theme/theme1.xml" Id="R4c65c10c86db4e85" /><Relationship Type="http://schemas.openxmlformats.org/officeDocument/2006/relationships/sharedStrings" Target="/xl/sharedStrings.xml" Id="R114623cf16084ec7" /><Relationship Type="http://schemas.openxmlformats.org/officeDocument/2006/relationships/worksheet" Target="/xl/worksheets/sheet1.xml" Id="R9ac9b5c466004258" /><Relationship Type="http://schemas.openxmlformats.org/officeDocument/2006/relationships/worksheet" Target="/xl/worksheets/sheet2.xml" Id="R9a8504235e8948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Normalisasi Sungai/Saluran Bulumario cs.</x:v>
      </x:c>
      <x:c r="B4" s="10" t="str">
        <x:v>Pengawasan Normalisasi Sungai/Saluran Bulumario cs.</x:v>
      </x:c>
      <x:c r="C4" s="10" t="str">
        <x:v>Pengawasan Normalisasi Sungai/Saluran Bulumario cs.</x:v>
      </x:c>
      <x:c r="D4" s="10" t="str">
        <x:v>Pengawasan Normalisasi Sungai/Saluran Bulumario cs.</x:v>
      </x:c>
      <x:c r="E4" s="10" t="str">
        <x:v>Pengawasan Normalisasi Sungai/Saluran Bulumario cs.</x:v>
      </x:c>
      <x:c r="F4" s="10" t="str">
        <x:v>Pengawasan Normalisasi Sungai/Saluran Bulumario cs.</x:v>
      </x:c>
      <x:c r="G4" s="10" t="str">
        <x:v>Pengawasan Normalisasi Sungai/Saluran Bulumario cs.</x:v>
      </x:c>
    </x:row>
    <x:row r="5" ht="26" customHeight="1">
      <x:c r="A5" s="10" t="str">
        <x:v>Pengawasan Normalisasi Sungai/Saluran Bulumario cs.</x:v>
      </x:c>
      <x:c r="B5" s="10" t="str">
        <x:v>Pengawasan Normalisasi Sungai/Saluran Bulumario cs.</x:v>
      </x:c>
      <x:c r="C5" s="10" t="str">
        <x:v>Pengawasan Normalisasi Sungai/Saluran Bulumario cs.</x:v>
      </x:c>
      <x:c r="D5" s="10" t="str">
        <x:v>Pengawasan Normalisasi Sungai/Saluran Bulumario cs.</x:v>
      </x:c>
      <x:c r="E5" s="10" t="str">
        <x:v>Pengawasan Normalisasi Sungai/Saluran Bulumario cs.</x:v>
      </x:c>
      <x:c r="F5" s="10" t="str">
        <x:v>Pengawasan Normalisasi Sungai/Saluran Bulumario cs.</x:v>
      </x:c>
      <x:c r="G5" s="10" t="str">
        <x:v>Pengawasan Normalisasi Sungai/Saluran Bulumario cs.</x:v>
      </x:c>
    </x:row>
    <x:row r="6" ht="23" customHeight="1">
      <x:c r="A6" s="13" t="str">
        <x:v>Nomor RUP: 68514948 • Tahun Anggaran 2026</x:v>
      </x:c>
      <x:c r="B6" s="13" t="str">
        <x:v>Nomor RUP: 68514948 • Tahun Anggaran 2026</x:v>
      </x:c>
      <x:c r="C6" s="13" t="str">
        <x:v>Nomor RUP: 68514948 • Tahun Anggaran 2026</x:v>
      </x:c>
      <x:c r="D6" s="13" t="str">
        <x:v>Nomor RUP: 68514948 • Tahun Anggaran 2026</x:v>
      </x:c>
      <x:c r="E6" s="13" t="str">
        <x:v>Nomor RUP: 68514948 • Tahun Anggaran 2026</x:v>
      </x:c>
      <x:c r="F6" s="13" t="str">
        <x:v>Nomor RUP: 68514948 • Tahun Anggaran 2026</x:v>
      </x:c>
      <x:c r="G6" s="13" t="str">
        <x:v>Nomor RUP: 68514948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Sumber Daya Air)</x:v>
      </x:c>
      <x:c r="C11" s="21" t="str">
        <x:v>0b</x:v>
      </x:c>
      <x:c r="D11" s="22" t="n">
        <x:v>5</x:v>
      </x:c>
      <x:c r="E11" s="22" t="n">
        <x:v>4189136.9335650825</x:v>
      </x:c>
      <x:c r="F11" s="22" t="n">
        <x:v>11</x:v>
      </x:c>
      <x:c r="G11" s="22" t="n">
        <x:f>ROUND(D11*E11*(1+F11/100),2)</x:f>
        <x:v>23249709.98</x:v>
      </x:c>
    </x:row>
    <x:row r="12" ht="46" customHeight="1">
      <x:c r="A12" s="23" t="str">
        <x:v>2</x:v>
      </x:c>
      <x:c r="B12" s="23" t="str">
        <x:v>Inspektur/Pengawas Lapangan (1 orang x 5 bln)</x:v>
      </x:c>
      <x:c r="C12" s="23" t="str">
        <x:v>0b</x:v>
      </x:c>
      <x:c r="D12" s="24" t="n">
        <x:v>5</x:v>
      </x:c>
      <x:c r="E12" s="24" t="n">
        <x:v>1832747.4076464353</x:v>
      </x:c>
      <x:c r="F12" s="24" t="n">
        <x:v>11</x:v>
      </x:c>
      <x:c r="G12" s="24" t="n">
        <x:f>ROUND(D12*E12*(1+F12/100),2)</x:f>
        <x:v>10171748.11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157092.63494112302</x:v>
      </x:c>
      <x:c r="F13" s="22" t="n">
        <x:v>11</x:v>
      </x:c>
      <x:c r="G13" s="22" t="n">
        <x:f>ROUND(D13*E13*(1+F13/100),2)</x:f>
        <x:v>871864.12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261821.05823520504</x:v>
      </x:c>
      <x:c r="F14" s="24" t="n">
        <x:v>11</x:v>
      </x:c>
      <x:c r="G14" s="24" t="n">
        <x:f>ROUND(D14*E14*(1+F14/100),2)</x:f>
        <x:v>1453106.87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366549.48152928706</x:v>
      </x:c>
      <x:c r="F15" s="22" t="n">
        <x:v>11</x:v>
      </x:c>
      <x:c r="G15" s="22" t="n">
        <x:f>ROUND(D15*E15*(1+F15/100),2)</x:f>
        <x:v>2034349.62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73309.89630585742</x:v>
      </x:c>
      <x:c r="F16" s="24" t="n">
        <x:v>11</x:v>
      </x:c>
      <x:c r="G16" s="24" t="n">
        <x:f>ROUND(D16*E16*(1+F16/100),2)</x:f>
        <x:v>162747.97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183274.74076464353</x:v>
      </x:c>
      <x:c r="F17" s="22" t="n">
        <x:v>11</x:v>
      </x:c>
      <x:c r="G17" s="22" t="n">
        <x:f>ROUND(D17*E17*(1+F17/100),2)</x:f>
        <x:v>406869.92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418913.69317632803</x:v>
      </x:c>
      <x:c r="F18" s="24" t="n">
        <x:v>11</x:v>
      </x:c>
      <x:c r="G18" s="24" t="n">
        <x:f>ROUND(D18*E18*(1+F18/100),2)</x:f>
        <x:v>2324971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104728.42329408201</x:v>
      </x:c>
      <x:c r="F19" s="22" t="n">
        <x:v>11</x:v>
      </x:c>
      <x:c r="G19" s="22" t="n">
        <x:f>ROUND(D19*E19*(1+F19/100),2)</x:f>
        <x:v>348745.65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78546.31747056151</x:v>
      </x:c>
      <x:c r="F20" s="24" t="n">
        <x:v>11</x:v>
      </x:c>
      <x:c r="G20" s="24" t="n">
        <x:f>ROUND(D20*E20*(1+F20/100),2)</x:f>
        <x:v>261559.24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104728.42329408201</x:v>
      </x:c>
      <x:c r="F21" s="22" t="n">
        <x:v>11</x:v>
      </x:c>
      <x:c r="G21" s="22" t="n">
        <x:f>ROUND(D21*E21*(1+F21/100),2)</x:f>
        <x:v>348745.65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130910.52911760252</x:v>
      </x:c>
      <x:c r="F22" s="24" t="n">
        <x:v>11</x:v>
      </x:c>
      <x:c r="G22" s="24" t="n">
        <x:f>ROUND(D22*E22*(1+F22/100),2)</x:f>
        <x:v>145310.69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100271.18159868589</x:v>
      </x:c>
      <x:c r="F23" s="22" t="n">
        <x:v>0</x:v>
      </x:c>
      <x:c r="G23" s="22" t="n">
        <x:f>ROUND(D23*E23*(1+F23/100),2)</x:f>
        <x:v>100271.18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41880000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CV. ARMYL ENGINEERING KONSULTAN</x:v>
      </x:c>
      <x:c r="E28" s="39" t="str">
        <x:v>CV. ARMYL ENGINEERING KONSULTAN</x:v>
      </x:c>
      <x:c r="F28" s="39" t="str">
        <x:v>CV. ARMYL ENGINEERING KONSULTAN</x:v>
      </x:c>
      <x:c r="G28" s="39" t="str">
        <x:v>CV. ARMYL ENGINEERING KONSULTAN</x:v>
      </x:c>
    </x:row>
    <x:row r="29" ht="23" customHeight="1">
      <x:c r="A29" s="3"/>
      <x:c r="B29" s="3"/>
      <x:c r="C29" s="3"/>
      <x:c r="D29" s="39" t="str">
        <x:v>CV. ARMYL ENGINEERING KONSULTAN</x:v>
      </x:c>
      <x:c r="E29" s="39" t="str">
        <x:v>CV. ARMYL ENGINEERING KONSULTAN</x:v>
      </x:c>
      <x:c r="F29" s="39" t="str">
        <x:v>CV. ARMYL ENGINEERING KONSULTAN</x:v>
      </x:c>
      <x:c r="G29" s="39" t="str">
        <x:v>CV. ARMYL ENGINEERING KONSULTAN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SUBHAN, ST</x:v>
      </x:c>
      <x:c r="E33" s="39" t="str">
        <x:v>SUBHAN, ST</x:v>
      </x:c>
      <x:c r="F33" s="39" t="str">
        <x:v>SUBHAN, ST</x:v>
      </x:c>
      <x:c r="G33" s="39" t="str">
        <x:v>SUBHAN, ST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Normalisasi Sungai/Saluran Bulumario cs.</x:v>
      </x:c>
      <x:c r="B4" s="10" t="str">
        <x:v>Pengawasan Normalisasi Sungai/Saluran Bulumario cs.</x:v>
      </x:c>
      <x:c r="C4" s="10" t="str">
        <x:v>Pengawasan Normalisasi Sungai/Saluran Bulumario cs.</x:v>
      </x:c>
      <x:c r="D4" s="10" t="str">
        <x:v>Pengawasan Normalisasi Sungai/Saluran Bulumario cs.</x:v>
      </x:c>
      <x:c r="E4" s="10" t="str">
        <x:v>Pengawasan Normalisasi Sungai/Saluran Bulumario cs.</x:v>
      </x:c>
      <x:c r="F4" s="10" t="str">
        <x:v>Pengawasan Normalisasi Sungai/Saluran Bulumario cs.</x:v>
      </x:c>
      <x:c r="G4" s="10" t="str">
        <x:v>Pengawasan Normalisasi Sungai/Saluran Bulumario cs.</x:v>
      </x:c>
    </x:row>
    <x:row r="5" ht="26" customHeight="1">
      <x:c r="A5" s="10" t="str">
        <x:v>Pengawasan Normalisasi Sungai/Saluran Bulumario cs.</x:v>
      </x:c>
      <x:c r="B5" s="10" t="str">
        <x:v>Pengawasan Normalisasi Sungai/Saluran Bulumario cs.</x:v>
      </x:c>
      <x:c r="C5" s="10" t="str">
        <x:v>Pengawasan Normalisasi Sungai/Saluran Bulumario cs.</x:v>
      </x:c>
      <x:c r="D5" s="10" t="str">
        <x:v>Pengawasan Normalisasi Sungai/Saluran Bulumario cs.</x:v>
      </x:c>
      <x:c r="E5" s="10" t="str">
        <x:v>Pengawasan Normalisasi Sungai/Saluran Bulumario cs.</x:v>
      </x:c>
      <x:c r="F5" s="10" t="str">
        <x:v>Pengawasan Normalisasi Sungai/Saluran Bulumario cs.</x:v>
      </x:c>
      <x:c r="G5" s="10" t="str">
        <x:v>Pengawasan Normalisasi Sungai/Saluran Bulumario cs.</x:v>
      </x:c>
    </x:row>
    <x:row r="6" ht="23" customHeight="1">
      <x:c r="A6" s="13" t="str">
        <x:v>Nomor RUP: 68514948 • Tahun Anggaran 2026</x:v>
      </x:c>
      <x:c r="B6" s="13" t="str">
        <x:v>Nomor RUP: 68514948 • Tahun Anggaran 2026</x:v>
      </x:c>
      <x:c r="C6" s="13" t="str">
        <x:v>Nomor RUP: 68514948 • Tahun Anggaran 2026</x:v>
      </x:c>
      <x:c r="D6" s="13" t="str">
        <x:v>Nomor RUP: 68514948 • Tahun Anggaran 2026</x:v>
      </x:c>
      <x:c r="E6" s="13" t="str">
        <x:v>Nomor RUP: 68514948 • Tahun Anggaran 2026</x:v>
      </x:c>
      <x:c r="F6" s="13" t="str">
        <x:v>Nomor RUP: 68514948 • Tahun Anggaran 2026</x:v>
      </x:c>
      <x:c r="G6" s="13" t="str">
        <x:v>Nomor RUP: 68514948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41880000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ARMYL ENGINEERING KONSULTAN</x:v>
      </x:c>
      <x:c r="E16" s="39" t="str">
        <x:v>CV. ARMYL ENGINEERING KONSULTAN</x:v>
      </x:c>
      <x:c r="F16" s="39" t="str">
        <x:v>CV. ARMYL ENGINEERING KONSULTAN</x:v>
      </x:c>
      <x:c r="G16" s="39" t="str">
        <x:v>CV. ARMYL ENGINEERING KONSULTAN</x:v>
      </x:c>
    </x:row>
    <x:row r="17" ht="23" customHeight="1">
      <x:c r="A17" s="3"/>
      <x:c r="B17" s="3"/>
      <x:c r="C17" s="3"/>
      <x:c r="D17" s="39" t="str">
        <x:v>CV. ARMYL ENGINEERING KONSULTAN</x:v>
      </x:c>
      <x:c r="E17" s="39" t="str">
        <x:v>CV. ARMYL ENGINEERING KONSULTAN</x:v>
      </x:c>
      <x:c r="F17" s="39" t="str">
        <x:v>CV. ARMYL ENGINEERING KONSULTAN</x:v>
      </x:c>
      <x:c r="G17" s="39" t="str">
        <x:v>CV. ARMYL ENGINEERING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SUBHAN, ST</x:v>
      </x:c>
      <x:c r="E21" s="39" t="str">
        <x:v>SUBHAN, ST</x:v>
      </x:c>
      <x:c r="F21" s="39" t="str">
        <x:v>SUBHAN, ST</x:v>
      </x:c>
      <x:c r="G21" s="39" t="str">
        <x:v>SUBHAN,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