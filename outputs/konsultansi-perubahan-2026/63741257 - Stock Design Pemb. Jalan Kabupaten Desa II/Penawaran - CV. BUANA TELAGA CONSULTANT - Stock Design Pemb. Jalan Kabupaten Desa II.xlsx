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5e528d7b3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2b1c81a9c1de44e5"/>
    <x:sheet xmlns:r="http://schemas.openxmlformats.org/officeDocument/2006/relationships" name="Rekap Penawaran" sheetId="2" r:id="R3de86ef7bc4a428d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51426C"/>
      <x:name val="Verdana"/>
    </x:font>
    <x:font>
      <x:b/>
      <x:sz val="13"/>
      <x:color rgb="FF51426C"/>
      <x:name val="Verdana"/>
    </x:font>
    <x:font>
      <x:sz val="10"/>
      <x:color rgb="FF51426C"/>
      <x:name val="Verdana"/>
    </x:font>
    <x:font>
      <x:b/>
      <x:sz val="12"/>
      <x:color rgb="FF51426C"/>
      <x:name val="Verdana"/>
    </x:font>
    <x:font>
      <x:b/>
      <x:sz val="10"/>
      <x:color rgb="FFFFFFFF"/>
      <x:name val="Verdana"/>
    </x:font>
    <x:font>
      <x:b/>
      <x:sz val="11"/>
      <x:color rgb="FF51426C"/>
      <x:name val="Verdana"/>
    </x:font>
    <x:font>
      <x:sz val="11"/>
      <x:color rgb="FF51426C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1426C"/>
      </x:patternFill>
    </x:fill>
    <x:fill>
      <x:patternFill patternType="solid">
        <x:fgColor rgb="FFF3F0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1426C"/>
      </x:bottom>
      <x:diagonal/>
    </x:border>
    <x:border>
      <x:left/>
      <x:right/>
      <x:top style="thin">
        <x:color rgb="FF51426C"/>
      </x:top>
      <x:bottom style="double">
        <x:color rgb="FF5142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4360b8a734d80" /><Relationship Type="http://schemas.openxmlformats.org/officeDocument/2006/relationships/theme" Target="/xl/theme/theme1.xml" Id="R3ce1af3da54140a2" /><Relationship Type="http://schemas.openxmlformats.org/officeDocument/2006/relationships/sharedStrings" Target="/xl/sharedStrings.xml" Id="Rffad7ead875342f1" /><Relationship Type="http://schemas.openxmlformats.org/officeDocument/2006/relationships/worksheet" Target="/xl/worksheets/sheet1.xml" Id="R2b1c81a9c1de44e5" /><Relationship Type="http://schemas.openxmlformats.org/officeDocument/2006/relationships/worksheet" Target="/xl/worksheets/sheet2.xml" Id="R3de86ef7bc4a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II</x:v>
      </x:c>
      <x:c r="B4" s="10" t="str">
        <x:v>Stock Design Pemb. Jalan Kabupaten/Desa II</x:v>
      </x:c>
      <x:c r="C4" s="10" t="str">
        <x:v>Stock Design Pemb. Jalan Kabupaten/Desa II</x:v>
      </x:c>
      <x:c r="D4" s="10" t="str">
        <x:v>Stock Design Pemb. Jalan Kabupaten/Desa II</x:v>
      </x:c>
      <x:c r="E4" s="10" t="str">
        <x:v>Stock Design Pemb. Jalan Kabupaten/Desa II</x:v>
      </x:c>
      <x:c r="F4" s="10" t="str">
        <x:v>Stock Design Pemb. Jalan Kabupaten/Desa II</x:v>
      </x:c>
      <x:c r="G4" s="10" t="str">
        <x:v>Stock Design Pemb. Jalan Kabupaten/Desa II</x:v>
      </x:c>
    </x:row>
    <x:row r="5" ht="26" customHeight="1">
      <x:c r="A5" s="10" t="str">
        <x:v>Stock Design Pemb. Jalan Kabupaten/Desa II</x:v>
      </x:c>
      <x:c r="B5" s="10" t="str">
        <x:v>Stock Design Pemb. Jalan Kabupaten/Desa II</x:v>
      </x:c>
      <x:c r="C5" s="10" t="str">
        <x:v>Stock Design Pemb. Jalan Kabupaten/Desa II</x:v>
      </x:c>
      <x:c r="D5" s="10" t="str">
        <x:v>Stock Design Pemb. Jalan Kabupaten/Desa II</x:v>
      </x:c>
      <x:c r="E5" s="10" t="str">
        <x:v>Stock Design Pemb. Jalan Kabupaten/Desa II</x:v>
      </x:c>
      <x:c r="F5" s="10" t="str">
        <x:v>Stock Design Pemb. Jalan Kabupaten/Desa II</x:v>
      </x:c>
      <x:c r="G5" s="10" t="str">
        <x:v>Stock Design Pemb. Jalan Kabupaten/Desa II</x:v>
      </x:c>
    </x:row>
    <x:row r="6" ht="23" customHeight="1">
      <x:c r="A6" s="13" t="str">
        <x:v>Nomor RUP: 63741257 • Tahun Anggaran 2026</x:v>
      </x:c>
      <x:c r="B6" s="13" t="str">
        <x:v>Nomor RUP: 63741257 • Tahun Anggaran 2026</x:v>
      </x:c>
      <x:c r="C6" s="13" t="str">
        <x:v>Nomor RUP: 63741257 • Tahun Anggaran 2026</x:v>
      </x:c>
      <x:c r="D6" s="13" t="str">
        <x:v>Nomor RUP: 63741257 • Tahun Anggaran 2026</x:v>
      </x:c>
      <x:c r="E6" s="13" t="str">
        <x:v>Nomor RUP: 63741257 • Tahun Anggaran 2026</x:v>
      </x:c>
      <x:c r="F6" s="13" t="str">
        <x:v>Nomor RUP: 63741257 • Tahun Anggaran 2026</x:v>
      </x:c>
      <x:c r="G6" s="13" t="str">
        <x:v>Nomor RUP: 63741257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8979194.134314736</x:v>
      </x:c>
      <x:c r="F11" s="22" t="n">
        <x:v>11</x:v>
      </x:c>
      <x:c r="G11" s="22" t="n">
        <x:f>ROUND(D11*E11*(1+F11/100),2)</x:f>
        <x:v>9966905.49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17958488.153986104</x:v>
      </x:c>
      <x:c r="F12" s="24" t="n">
        <x:v>11</x:v>
      </x:c>
      <x:c r="G12" s="24" t="n">
        <x:f>ROUND(D12*E12*(1+F12/100),2)</x:f>
        <x:v>19933921.85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22448135.16382179</x:v>
      </x:c>
      <x:c r="F13" s="22" t="n">
        <x:v>11</x:v>
      </x:c>
      <x:c r="G13" s="22" t="n">
        <x:f>ROUND(D13*E13*(1+F13/100),2)</x:f>
        <x:v>24917430.03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22448135.16382179</x:v>
      </x:c>
      <x:c r="F14" s="24" t="n">
        <x:v>11</x:v>
      </x:c>
      <x:c r="G14" s="24" t="n">
        <x:f>ROUND(D14*E14*(1+F14/100),2)</x:f>
        <x:v>24917430.03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4489547.124479054</x:v>
      </x:c>
      <x:c r="F15" s="22" t="n">
        <x:v>11</x:v>
      </x:c>
      <x:c r="G15" s="22" t="n">
        <x:f>ROUND(D15*E15*(1+F15/100),2)</x:f>
        <x:v>4983397.31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13468841.144150421</x:v>
      </x:c>
      <x:c r="F16" s="24" t="n">
        <x:v>11</x:v>
      </x:c>
      <x:c r="G16" s="24" t="n">
        <x:f>ROUND(D16*E16*(1+F16/100),2)</x:f>
        <x:v>14950413.67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215501.61812297735</x:v>
      </x:c>
      <x:c r="F17" s="22" t="n">
        <x:v>0</x:v>
      </x:c>
      <x:c r="G17" s="22" t="n">
        <x:f>ROUND(D17*E17*(1+F17/100),2)</x:f>
        <x:v>215501.62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99885000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BUANA TELAGA CONSULTANT</x:v>
      </x:c>
      <x:c r="E22" s="39" t="str">
        <x:v>CV. BUANA TELAGA CONSULTANT</x:v>
      </x:c>
      <x:c r="F22" s="39" t="str">
        <x:v>CV. BUANA TELAGA CONSULTANT</x:v>
      </x:c>
      <x:c r="G22" s="39" t="str">
        <x:v>CV. BUANA TELAGA CONSULTANT</x:v>
      </x:c>
    </x:row>
    <x:row r="23" ht="23" customHeight="1">
      <x:c r="A23" s="3"/>
      <x:c r="B23" s="3"/>
      <x:c r="C23" s="3"/>
      <x:c r="D23" s="39" t="str">
        <x:v>CV. BUANA TELAGA CONSULTANT</x:v>
      </x:c>
      <x:c r="E23" s="39" t="str">
        <x:v>CV. BUANA TELAGA CONSULTANT</x:v>
      </x:c>
      <x:c r="F23" s="39" t="str">
        <x:v>CV. BUANA TELAGA CONSULTANT</x:v>
      </x:c>
      <x:c r="G23" s="39" t="str">
        <x:v>CV. BUANA TELAGA CONSULTANT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AZWAR, ST</x:v>
      </x:c>
      <x:c r="E27" s="39" t="str">
        <x:v>AZWAR, ST</x:v>
      </x:c>
      <x:c r="F27" s="39" t="str">
        <x:v>AZWAR, ST</x:v>
      </x:c>
      <x:c r="G27" s="39" t="str">
        <x:v>AZWAR,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II</x:v>
      </x:c>
      <x:c r="B4" s="10" t="str">
        <x:v>Stock Design Pemb. Jalan Kabupaten/Desa II</x:v>
      </x:c>
      <x:c r="C4" s="10" t="str">
        <x:v>Stock Design Pemb. Jalan Kabupaten/Desa II</x:v>
      </x:c>
      <x:c r="D4" s="10" t="str">
        <x:v>Stock Design Pemb. Jalan Kabupaten/Desa II</x:v>
      </x:c>
      <x:c r="E4" s="10" t="str">
        <x:v>Stock Design Pemb. Jalan Kabupaten/Desa II</x:v>
      </x:c>
      <x:c r="F4" s="10" t="str">
        <x:v>Stock Design Pemb. Jalan Kabupaten/Desa II</x:v>
      </x:c>
      <x:c r="G4" s="10" t="str">
        <x:v>Stock Design Pemb. Jalan Kabupaten/Desa II</x:v>
      </x:c>
    </x:row>
    <x:row r="5" ht="26" customHeight="1">
      <x:c r="A5" s="10" t="str">
        <x:v>Stock Design Pemb. Jalan Kabupaten/Desa II</x:v>
      </x:c>
      <x:c r="B5" s="10" t="str">
        <x:v>Stock Design Pemb. Jalan Kabupaten/Desa II</x:v>
      </x:c>
      <x:c r="C5" s="10" t="str">
        <x:v>Stock Design Pemb. Jalan Kabupaten/Desa II</x:v>
      </x:c>
      <x:c r="D5" s="10" t="str">
        <x:v>Stock Design Pemb. Jalan Kabupaten/Desa II</x:v>
      </x:c>
      <x:c r="E5" s="10" t="str">
        <x:v>Stock Design Pemb. Jalan Kabupaten/Desa II</x:v>
      </x:c>
      <x:c r="F5" s="10" t="str">
        <x:v>Stock Design Pemb. Jalan Kabupaten/Desa II</x:v>
      </x:c>
      <x:c r="G5" s="10" t="str">
        <x:v>Stock Design Pemb. Jalan Kabupaten/Desa II</x:v>
      </x:c>
    </x:row>
    <x:row r="6" ht="23" customHeight="1">
      <x:c r="A6" s="13" t="str">
        <x:v>Nomor RUP: 63741257 • Tahun Anggaran 2026</x:v>
      </x:c>
      <x:c r="B6" s="13" t="str">
        <x:v>Nomor RUP: 63741257 • Tahun Anggaran 2026</x:v>
      </x:c>
      <x:c r="C6" s="13" t="str">
        <x:v>Nomor RUP: 63741257 • Tahun Anggaran 2026</x:v>
      </x:c>
      <x:c r="D6" s="13" t="str">
        <x:v>Nomor RUP: 63741257 • Tahun Anggaran 2026</x:v>
      </x:c>
      <x:c r="E6" s="13" t="str">
        <x:v>Nomor RUP: 63741257 • Tahun Anggaran 2026</x:v>
      </x:c>
      <x:c r="F6" s="13" t="str">
        <x:v>Nomor RUP: 63741257 • Tahun Anggaran 2026</x:v>
      </x:c>
      <x:c r="G6" s="13" t="str">
        <x:v>Nomor RUP: 63741257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99885000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BUANA TELAGA CONSULTANT</x:v>
      </x:c>
      <x:c r="E16" s="39" t="str">
        <x:v>CV. BUANA TELAGA CONSULTANT</x:v>
      </x:c>
      <x:c r="F16" s="39" t="str">
        <x:v>CV. BUANA TELAGA CONSULTANT</x:v>
      </x:c>
      <x:c r="G16" s="39" t="str">
        <x:v>CV. BUANA TELAGA CONSULTANT</x:v>
      </x:c>
    </x:row>
    <x:row r="17" ht="23" customHeight="1">
      <x:c r="A17" s="3"/>
      <x:c r="B17" s="3"/>
      <x:c r="C17" s="3"/>
      <x:c r="D17" s="39" t="str">
        <x:v>CV. BUANA TELAGA CONSULTANT</x:v>
      </x:c>
      <x:c r="E17" s="39" t="str">
        <x:v>CV. BUANA TELAGA CONSULTANT</x:v>
      </x:c>
      <x:c r="F17" s="39" t="str">
        <x:v>CV. BUANA TELAGA CONSULTANT</x:v>
      </x:c>
      <x:c r="G17" s="39" t="str">
        <x:v>CV. BUANA TELAGA CONSULTANT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AZWAR, ST</x:v>
      </x:c>
      <x:c r="E21" s="39" t="str">
        <x:v>AZWAR, ST</x:v>
      </x:c>
      <x:c r="F21" s="39" t="str">
        <x:v>AZWAR, ST</x:v>
      </x:c>
      <x:c r="G21" s="39" t="str">
        <x:v>AZWAR,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