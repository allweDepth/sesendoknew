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8e4419016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743fdecd7f264fef"/>
    <x:sheet xmlns:r="http://schemas.openxmlformats.org/officeDocument/2006/relationships" name="Rekap Penawaran" sheetId="2" r:id="Ra4f28d479fd04a45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63b4169e84c19" /><Relationship Type="http://schemas.openxmlformats.org/officeDocument/2006/relationships/theme" Target="/xl/theme/theme1.xml" Id="R7a281a6d961d417e" /><Relationship Type="http://schemas.openxmlformats.org/officeDocument/2006/relationships/sharedStrings" Target="/xl/sharedStrings.xml" Id="Raa985cd602e847f3" /><Relationship Type="http://schemas.openxmlformats.org/officeDocument/2006/relationships/worksheet" Target="/xl/worksheets/sheet1.xml" Id="R743fdecd7f264fef" /><Relationship Type="http://schemas.openxmlformats.org/officeDocument/2006/relationships/worksheet" Target="/xl/worksheets/sheet2.xml" Id="Ra4f28d479fd04a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 Jalan Dusun Mandar cs.</x:v>
      </x:c>
      <x:c r="B4" s="10" t="str">
        <x:v>Pengawasan Pemb. Jalan Dusun Mandar cs.</x:v>
      </x:c>
      <x:c r="C4" s="10" t="str">
        <x:v>Pengawasan Pemb. Jalan Dusun Mandar cs.</x:v>
      </x:c>
      <x:c r="D4" s="10" t="str">
        <x:v>Pengawasan Pemb. Jalan Dusun Mandar cs.</x:v>
      </x:c>
      <x:c r="E4" s="10" t="str">
        <x:v>Pengawasan Pemb. Jalan Dusun Mandar cs.</x:v>
      </x:c>
      <x:c r="F4" s="10" t="str">
        <x:v>Pengawasan Pemb. Jalan Dusun Mandar cs.</x:v>
      </x:c>
      <x:c r="G4" s="10" t="str">
        <x:v>Pengawasan Pemb. Jalan Dusun Mandar cs.</x:v>
      </x:c>
    </x:row>
    <x:row r="5" ht="26" customHeight="1">
      <x:c r="A5" s="10" t="str">
        <x:v>Pengawasan Pemb. Jalan Dusun Mandar cs.</x:v>
      </x:c>
      <x:c r="B5" s="10" t="str">
        <x:v>Pengawasan Pemb. Jalan Dusun Mandar cs.</x:v>
      </x:c>
      <x:c r="C5" s="10" t="str">
        <x:v>Pengawasan Pemb. Jalan Dusun Mandar cs.</x:v>
      </x:c>
      <x:c r="D5" s="10" t="str">
        <x:v>Pengawasan Pemb. Jalan Dusun Mandar cs.</x:v>
      </x:c>
      <x:c r="E5" s="10" t="str">
        <x:v>Pengawasan Pemb. Jalan Dusun Mandar cs.</x:v>
      </x:c>
      <x:c r="F5" s="10" t="str">
        <x:v>Pengawasan Pemb. Jalan Dusun Mandar cs.</x:v>
      </x:c>
      <x:c r="G5" s="10" t="str">
        <x:v>Pengawasan Pemb. Jalan Dusun Mandar cs.</x:v>
      </x:c>
    </x:row>
    <x:row r="6" ht="23" customHeight="1">
      <x:c r="A6" s="13" t="str">
        <x:v>Nomor RUP: 64446992 • Tahun Anggaran 2026</x:v>
      </x:c>
      <x:c r="B6" s="13" t="str">
        <x:v>Nomor RUP: 64446992 • Tahun Anggaran 2026</x:v>
      </x:c>
      <x:c r="C6" s="13" t="str">
        <x:v>Nomor RUP: 64446992 • Tahun Anggaran 2026</x:v>
      </x:c>
      <x:c r="D6" s="13" t="str">
        <x:v>Nomor RUP: 64446992 • Tahun Anggaran 2026</x:v>
      </x:c>
      <x:c r="E6" s="13" t="str">
        <x:v>Nomor RUP: 64446992 • Tahun Anggaran 2026</x:v>
      </x:c>
      <x:c r="F6" s="13" t="str">
        <x:v>Nomor RUP: 64446992 • Tahun Anggaran 2026</x:v>
      </x:c>
      <x:c r="G6" s="13" t="str">
        <x:v>Nomor RUP: 64446992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887040.7446594134</x:v>
      </x:c>
      <x:c r="F11" s="22" t="n">
        <x:v>11</x:v>
      </x:c>
      <x:c r="G11" s="22" t="n">
        <x:f>ROUND(D11*E11*(1+F11/100),2)</x:f>
        <x:v>4923076.13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388080.3250002051</x:v>
      </x:c>
      <x:c r="F12" s="24" t="n">
        <x:v>11</x:v>
      </x:c>
      <x:c r="G12" s="24" t="n">
        <x:f>ROUND(D12*E12*(1+F12/100),2)</x:f>
        <x:v>2153845.8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33264.027857160436</x:v>
      </x:c>
      <x:c r="F13" s="22" t="n">
        <x:v>11</x:v>
      </x:c>
      <x:c r="G13" s="22" t="n">
        <x:f>ROUND(D13*E13*(1+F13/100),2)</x:f>
        <x:v>184615.35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55440.04642860072</x:v>
      </x:c>
      <x:c r="F14" s="24" t="n">
        <x:v>11</x:v>
      </x:c>
      <x:c r="G14" s="24" t="n">
        <x:f>ROUND(D14*E14*(1+F14/100),2)</x:f>
        <x:v>307692.26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77616.06500004101</x:v>
      </x:c>
      <x:c r="F15" s="22" t="n">
        <x:v>11</x:v>
      </x:c>
      <x:c r="G15" s="22" t="n">
        <x:f>ROUND(D15*E15*(1+F15/100),2)</x:f>
        <x:v>430769.16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15523.213000008202</x:v>
      </x:c>
      <x:c r="F16" s="24" t="n">
        <x:v>11</x:v>
      </x:c>
      <x:c r="G16" s="24" t="n">
        <x:f>ROUND(D16*E16*(1+F16/100),2)</x:f>
        <x:v>34461.53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38808.032500020505</x:v>
      </x:c>
      <x:c r="F17" s="22" t="n">
        <x:v>11</x:v>
      </x:c>
      <x:c r="G17" s="22" t="n">
        <x:f>ROUND(D17*E17*(1+F17/100),2)</x:f>
        <x:v>86153.83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88704.07428576116</x:v>
      </x:c>
      <x:c r="F18" s="24" t="n">
        <x:v>11</x:v>
      </x:c>
      <x:c r="G18" s="24" t="n">
        <x:f>ROUND(D18*E18*(1+F18/100),2)</x:f>
        <x:v>492307.61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22176.01857144029</x:v>
      </x:c>
      <x:c r="F19" s="22" t="n">
        <x:v>11</x:v>
      </x:c>
      <x:c r="G19" s="22" t="n">
        <x:f>ROUND(D19*E19*(1+F19/100),2)</x:f>
        <x:v>73846.14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16632.013928580218</x:v>
      </x:c>
      <x:c r="F20" s="24" t="n">
        <x:v>11</x:v>
      </x:c>
      <x:c r="G20" s="24" t="n">
        <x:f>ROUND(D20*E20*(1+F20/100),2)</x:f>
        <x:v>55384.61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22176.01857144029</x:v>
      </x:c>
      <x:c r="F21" s="22" t="n">
        <x:v>11</x:v>
      </x:c>
      <x:c r="G21" s="22" t="n">
        <x:f>ROUND(D21*E21*(1+F21/100),2)</x:f>
        <x:v>73846.14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27720.02321430036</x:v>
      </x:c>
      <x:c r="F22" s="24" t="n">
        <x:v>11</x:v>
      </x:c>
      <x:c r="G22" s="24" t="n">
        <x:f>ROUND(D22*E22*(1+F22/100),2)</x:f>
        <x:v>30769.23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21232.20722103979</x:v>
      </x:c>
      <x:c r="F23" s="22" t="n">
        <x:v>0</x:v>
      </x:c>
      <x:c r="G23" s="22" t="n">
        <x:f>ROUND(D23*E23*(1+F23/100),2)</x:f>
        <x:v>21232.21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8868000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PT. KALIPU WAE TUO</x:v>
      </x:c>
      <x:c r="E28" s="39" t="str">
        <x:v>PT. KALIPU WAE TUO</x:v>
      </x:c>
      <x:c r="F28" s="39" t="str">
        <x:v>PT. KALIPU WAE TUO</x:v>
      </x:c>
      <x:c r="G28" s="39" t="str">
        <x:v>PT. KALIPU WAE TUO</x:v>
      </x:c>
    </x:row>
    <x:row r="29" ht="23" customHeight="1">
      <x:c r="A29" s="3"/>
      <x:c r="B29" s="3"/>
      <x:c r="C29" s="3"/>
      <x:c r="D29" s="39" t="str">
        <x:v>PT. KALIPU WAE TUO</x:v>
      </x:c>
      <x:c r="E29" s="39" t="str">
        <x:v>PT. KALIPU WAE TUO</x:v>
      </x:c>
      <x:c r="F29" s="39" t="str">
        <x:v>PT. KALIPU WAE TUO</x:v>
      </x:c>
      <x:c r="G29" s="39" t="str">
        <x:v>PT. KALIPU WAE TUO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ABDUL RAHMAN, ST</x:v>
      </x:c>
      <x:c r="E33" s="39" t="str">
        <x:v>ABDUL RAHMAN, ST</x:v>
      </x:c>
      <x:c r="F33" s="39" t="str">
        <x:v>ABDUL RAHMAN, ST</x:v>
      </x:c>
      <x:c r="G33" s="39" t="str">
        <x:v>ABDUL RAHMAN,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 Jalan Dusun Mandar cs.</x:v>
      </x:c>
      <x:c r="B4" s="10" t="str">
        <x:v>Pengawasan Pemb. Jalan Dusun Mandar cs.</x:v>
      </x:c>
      <x:c r="C4" s="10" t="str">
        <x:v>Pengawasan Pemb. Jalan Dusun Mandar cs.</x:v>
      </x:c>
      <x:c r="D4" s="10" t="str">
        <x:v>Pengawasan Pemb. Jalan Dusun Mandar cs.</x:v>
      </x:c>
      <x:c r="E4" s="10" t="str">
        <x:v>Pengawasan Pemb. Jalan Dusun Mandar cs.</x:v>
      </x:c>
      <x:c r="F4" s="10" t="str">
        <x:v>Pengawasan Pemb. Jalan Dusun Mandar cs.</x:v>
      </x:c>
      <x:c r="G4" s="10" t="str">
        <x:v>Pengawasan Pemb. Jalan Dusun Mandar cs.</x:v>
      </x:c>
    </x:row>
    <x:row r="5" ht="26" customHeight="1">
      <x:c r="A5" s="10" t="str">
        <x:v>Pengawasan Pemb. Jalan Dusun Mandar cs.</x:v>
      </x:c>
      <x:c r="B5" s="10" t="str">
        <x:v>Pengawasan Pemb. Jalan Dusun Mandar cs.</x:v>
      </x:c>
      <x:c r="C5" s="10" t="str">
        <x:v>Pengawasan Pemb. Jalan Dusun Mandar cs.</x:v>
      </x:c>
      <x:c r="D5" s="10" t="str">
        <x:v>Pengawasan Pemb. Jalan Dusun Mandar cs.</x:v>
      </x:c>
      <x:c r="E5" s="10" t="str">
        <x:v>Pengawasan Pemb. Jalan Dusun Mandar cs.</x:v>
      </x:c>
      <x:c r="F5" s="10" t="str">
        <x:v>Pengawasan Pemb. Jalan Dusun Mandar cs.</x:v>
      </x:c>
      <x:c r="G5" s="10" t="str">
        <x:v>Pengawasan Pemb. Jalan Dusun Mandar cs.</x:v>
      </x:c>
    </x:row>
    <x:row r="6" ht="23" customHeight="1">
      <x:c r="A6" s="13" t="str">
        <x:v>Nomor RUP: 64446992 • Tahun Anggaran 2026</x:v>
      </x:c>
      <x:c r="B6" s="13" t="str">
        <x:v>Nomor RUP: 64446992 • Tahun Anggaran 2026</x:v>
      </x:c>
      <x:c r="C6" s="13" t="str">
        <x:v>Nomor RUP: 64446992 • Tahun Anggaran 2026</x:v>
      </x:c>
      <x:c r="D6" s="13" t="str">
        <x:v>Nomor RUP: 64446992 • Tahun Anggaran 2026</x:v>
      </x:c>
      <x:c r="E6" s="13" t="str">
        <x:v>Nomor RUP: 64446992 • Tahun Anggaran 2026</x:v>
      </x:c>
      <x:c r="F6" s="13" t="str">
        <x:v>Nomor RUP: 64446992 • Tahun Anggaran 2026</x:v>
      </x:c>
      <x:c r="G6" s="13" t="str">
        <x:v>Nomor RUP: 64446992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8868000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