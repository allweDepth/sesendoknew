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4dd667247d40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B Penawaran" sheetId="1" r:id="R1fbd91ec6b40423c"/>
    <x:sheet xmlns:r="http://schemas.openxmlformats.org/officeDocument/2006/relationships" name="Rekap Penawaran" sheetId="2" r:id="R00727330e34c4deb"/>
  </x:sheets>
  <x:definedNames>
    <x:definedName name="_xlnm.Print_Area" localSheetId="0">'RAB Penawaran'!$A$1:$G$28</x:definedName>
    <x:definedName name="_xlnm.Print_Area" localSheetId="1">'Rekap Penawaran'!$A$1:$G$22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9">
    <x:font>
      <x:sz val="11"/>
      <x:name val="Carlito"/>
    </x:font>
    <x:font>
      <x:sz val="11"/>
      <x:color rgb="FF202124"/>
      <x:name val="Verdana"/>
    </x:font>
    <x:font>
      <x:b/>
      <x:sz val="18"/>
      <x:color rgb="FF51426C"/>
      <x:name val="Verdana"/>
    </x:font>
    <x:font>
      <x:b/>
      <x:sz val="13"/>
      <x:color rgb="FF51426C"/>
      <x:name val="Verdana"/>
    </x:font>
    <x:font>
      <x:sz val="10"/>
      <x:color rgb="FF51426C"/>
      <x:name val="Verdana"/>
    </x:font>
    <x:font>
      <x:b/>
      <x:sz val="12"/>
      <x:color rgb="FF51426C"/>
      <x:name val="Verdana"/>
    </x:font>
    <x:font>
      <x:b/>
      <x:sz val="10"/>
      <x:color rgb="FFFFFFFF"/>
      <x:name val="Verdana"/>
    </x:font>
    <x:font>
      <x:b/>
      <x:sz val="11"/>
      <x:color rgb="FF51426C"/>
      <x:name val="Verdana"/>
    </x:font>
    <x:font>
      <x:sz val="11"/>
      <x:color rgb="FF51426C"/>
      <x:name val="Verdana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51426C"/>
      </x:patternFill>
    </x:fill>
    <x:fill>
      <x:patternFill patternType="solid">
        <x:fgColor rgb="FFF3F0F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51426C"/>
      </x:bottom>
      <x:diagonal/>
    </x:border>
    <x:border>
      <x:left/>
      <x:right/>
      <x:top style="thin">
        <x:color rgb="FF51426C"/>
      </x:top>
      <x:bottom style="double">
        <x:color rgb="FF51426C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0" fontId="7" fillId="4" borderId="0" xfId="0" applyNumberFormat="1" applyFont="1" applyFill="1" applyBorder="1" applyAlignment="1">
      <x:alignment horizontal="right" vertical="center" wrapText="1"/>
    </x:xf>
    <x:xf numFmtId="0" fontId="7" fillId="4" borderId="2" xfId="0" applyNumberFormat="1" applyFont="1" applyFill="1" applyBorder="1" applyAlignment="1">
      <x:alignment horizontal="right" vertical="center" wrapText="1"/>
    </x:xf>
    <x:xf numFmtId="0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left" vertical="center" wrapText="1"/>
    </x:xf>
    <x:xf numFmtId="20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9ffaf97741461d" /><Relationship Type="http://schemas.openxmlformats.org/officeDocument/2006/relationships/theme" Target="/xl/theme/theme1.xml" Id="R46e218da190148d0" /><Relationship Type="http://schemas.openxmlformats.org/officeDocument/2006/relationships/sharedStrings" Target="/xl/sharedStrings.xml" Id="R45f990dae3a14fbc" /><Relationship Type="http://schemas.openxmlformats.org/officeDocument/2006/relationships/worksheet" Target="/xl/worksheets/sheet1.xml" Id="R1fbd91ec6b40423c" /><Relationship Type="http://schemas.openxmlformats.org/officeDocument/2006/relationships/worksheet" Target="/xl/worksheets/sheet2.xml" Id="R00727330e34c4d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BUANA TELAGA CONSULTANT</x:v>
      </x:c>
      <x:c r="B1" s="6" t="str">
        <x:v>CV. BUANA TELAGA CONSULTANT</x:v>
      </x:c>
      <x:c r="C1" s="6" t="str">
        <x:v>CV. BUANA TELAGA CONSULTANT</x:v>
      </x:c>
      <x:c r="D1" s="6" t="str">
        <x:v>CV. BUANA TELAGA CONSULTANT</x:v>
      </x:c>
      <x:c r="E1" s="6" t="str">
        <x:v>CV. BUANA TELAGA CONSULTANT</x:v>
      </x:c>
      <x:c r="F1" s="6" t="str">
        <x:v>CV. BUANA TELAGA CONSULTANT</x:v>
      </x:c>
      <x:c r="G1" s="6" t="str">
        <x:v>CV. BUANA TELAGA CONSULTANT</x:v>
      </x:c>
    </x:row>
    <x:row r="2" ht="23" customHeight="1">
      <x:c r="A2" s="7" t="str">
        <x:v>CV. BUANA TELAGA CONSULTANT</x:v>
      </x:c>
      <x:c r="B2" s="7" t="str">
        <x:v>CV. BUANA TELAGA CONSULTANT</x:v>
      </x:c>
      <x:c r="C2" s="7" t="str">
        <x:v>CV. BUANA TELAGA CONSULTANT</x:v>
      </x:c>
      <x:c r="D2" s="7" t="str">
        <x:v>CV. BUANA TELAGA CONSULTANT</x:v>
      </x:c>
      <x:c r="E2" s="7" t="str">
        <x:v>CV. BUANA TELAGA CONSULTANT</x:v>
      </x:c>
      <x:c r="F2" s="7" t="str">
        <x:v>CV. BUANA TELAGA CONSULTANT</x:v>
      </x:c>
      <x:c r="G2" s="7" t="str">
        <x:v>CV. BUANA TELAGA CONSULTANT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Design Pemb. Jalan Kabupaten/Desa VII</x:v>
      </x:c>
      <x:c r="B4" s="10" t="str">
        <x:v>Stock Design Pemb. Jalan Kabupaten/Desa VII</x:v>
      </x:c>
      <x:c r="C4" s="10" t="str">
        <x:v>Stock Design Pemb. Jalan Kabupaten/Desa VII</x:v>
      </x:c>
      <x:c r="D4" s="10" t="str">
        <x:v>Stock Design Pemb. Jalan Kabupaten/Desa VII</x:v>
      </x:c>
      <x:c r="E4" s="10" t="str">
        <x:v>Stock Design Pemb. Jalan Kabupaten/Desa VII</x:v>
      </x:c>
      <x:c r="F4" s="10" t="str">
        <x:v>Stock Design Pemb. Jalan Kabupaten/Desa VII</x:v>
      </x:c>
      <x:c r="G4" s="10" t="str">
        <x:v>Stock Design Pemb. Jalan Kabupaten/Desa VII</x:v>
      </x:c>
    </x:row>
    <x:row r="5" ht="26" customHeight="1">
      <x:c r="A5" s="10" t="str">
        <x:v>Stock Design Pemb. Jalan Kabupaten/Desa VII</x:v>
      </x:c>
      <x:c r="B5" s="10" t="str">
        <x:v>Stock Design Pemb. Jalan Kabupaten/Desa VII</x:v>
      </x:c>
      <x:c r="C5" s="10" t="str">
        <x:v>Stock Design Pemb. Jalan Kabupaten/Desa VII</x:v>
      </x:c>
      <x:c r="D5" s="10" t="str">
        <x:v>Stock Design Pemb. Jalan Kabupaten/Desa VII</x:v>
      </x:c>
      <x:c r="E5" s="10" t="str">
        <x:v>Stock Design Pemb. Jalan Kabupaten/Desa VII</x:v>
      </x:c>
      <x:c r="F5" s="10" t="str">
        <x:v>Stock Design Pemb. Jalan Kabupaten/Desa VII</x:v>
      </x:c>
      <x:c r="G5" s="10" t="str">
        <x:v>Stock Design Pemb. Jalan Kabupaten/Desa VII</x:v>
      </x:c>
    </x:row>
    <x:row r="6" ht="23" customHeight="1">
      <x:c r="A6" s="13" t="str">
        <x:v>Nomor RUP: 68802414 • Tahun Anggaran 2026</x:v>
      </x:c>
      <x:c r="B6" s="13" t="str">
        <x:v>Nomor RUP: 68802414 • Tahun Anggaran 2026</x:v>
      </x:c>
      <x:c r="C6" s="13" t="str">
        <x:v>Nomor RUP: 68802414 • Tahun Anggaran 2026</x:v>
      </x:c>
      <x:c r="D6" s="13" t="str">
        <x:v>Nomor RUP: 68802414 • Tahun Anggaran 2026</x:v>
      </x:c>
      <x:c r="E6" s="13" t="str">
        <x:v>Nomor RUP: 68802414 • Tahun Anggaran 2026</x:v>
      </x:c>
      <x:c r="F6" s="13" t="str">
        <x:v>Nomor RUP: 68802414 • Tahun Anggaran 2026</x:v>
      </x:c>
      <x:c r="G6" s="13" t="str">
        <x:v>Nomor RUP: 68802414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6" t="str">
        <x:v>RENCANA ANGGARAN BIAYA PENAWARAN</x:v>
      </x:c>
      <x:c r="B8" s="16" t="str">
        <x:v>RENCANA ANGGARAN BIAYA PENAWARAN</x:v>
      </x:c>
      <x:c r="C8" s="16" t="str">
        <x:v>RENCANA ANGGARAN BIAYA PENAWARAN</x:v>
      </x:c>
      <x:c r="D8" s="16" t="str">
        <x:v>RENCANA ANGGARAN BIAYA PENAWARAN</x:v>
      </x:c>
      <x:c r="E8" s="16" t="str">
        <x:v>RENCANA ANGGARAN BIAYA PENAWARAN</x:v>
      </x:c>
      <x:c r="F8" s="16" t="str">
        <x:v>RENCANA ANGGARAN BIAYA PENAWARAN</x:v>
      </x:c>
      <x:c r="G8" s="16" t="str">
        <x:v>RENCANA ANGGARAN BIAYA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35" customHeight="1">
      <x:c r="A10" s="19" t="str">
        <x:v>No.</x:v>
      </x:c>
      <x:c r="B10" s="19" t="str">
        <x:v>Uraian Pekerjaan</x:v>
      </x:c>
      <x:c r="C10" s="19" t="str">
        <x:v>Satuan</x:v>
      </x:c>
      <x:c r="D10" s="19" t="str">
        <x:v>Volume</x:v>
      </x:c>
      <x:c r="E10" s="19" t="str">
        <x:v>Harga Satuan (Rp)</x:v>
      </x:c>
      <x:c r="F10" s="19" t="str">
        <x:v>Pajak %</x:v>
      </x:c>
      <x:c r="G10" s="19" t="str">
        <x:v>Jumlah (Rp)</x:v>
      </x:c>
    </x:row>
    <x:row r="11" ht="46" customHeight="1">
      <x:c r="A11" s="21" t="str">
        <x:v>1</x:v>
      </x:c>
      <x:c r="B11" s="21" t="str">
        <x:v>tahap konsepsi perancangan sebesar 10%</x:v>
      </x:c>
      <x:c r="C11" s="21" t="str">
        <x:v>LS</x:v>
      </x:c>
      <x:c r="D11" s="22" t="n">
        <x:v>1</x:v>
      </x:c>
      <x:c r="E11" s="22" t="n">
        <x:v>8978924.44835185</x:v>
      </x:c>
      <x:c r="F11" s="22" t="n">
        <x:v>11</x:v>
      </x:c>
      <x:c r="G11" s="22" t="n">
        <x:f>ROUND(D11*E11*(1+F11/100),2)</x:f>
        <x:v>9966606.14</x:v>
      </x:c>
    </x:row>
    <x:row r="12" ht="46" customHeight="1">
      <x:c r="A12" s="23" t="str">
        <x:v>2</x:v>
      </x:c>
      <x:c r="B12" s="23" t="str">
        <x:v>tahap pra rancangan sebesar 20%</x:v>
      </x:c>
      <x:c r="C12" s="23" t="str">
        <x:v>LS</x:v>
      </x:c>
      <x:c r="D12" s="24" t="n">
        <x:v>1</x:v>
      </x:c>
      <x:c r="E12" s="24" t="n">
        <x:v>17957948.77906032</x:v>
      </x:c>
      <x:c r="F12" s="24" t="n">
        <x:v>11</x:v>
      </x:c>
      <x:c r="G12" s="24" t="n">
        <x:f>ROUND(D12*E12*(1+F12/100),2)</x:f>
        <x:v>19933323.14</x:v>
      </x:c>
    </x:row>
    <x:row r="13" ht="46" customHeight="1">
      <x:c r="A13" s="21" t="str">
        <x:v>3</x:v>
      </x:c>
      <x:c r="B13" s="21" t="str">
        <x:v>tahap pengembangan rancangan sebesar 25%</x:v>
      </x:c>
      <x:c r="C13" s="21" t="str">
        <x:v>LS</x:v>
      </x:c>
      <x:c r="D13" s="22" t="n">
        <x:v>1</x:v>
      </x:c>
      <x:c r="E13" s="22" t="n">
        <x:v>22447460.944414556</x:v>
      </x:c>
      <x:c r="F13" s="22" t="n">
        <x:v>11</x:v>
      </x:c>
      <x:c r="G13" s="22" t="n">
        <x:f>ROUND(D13*E13*(1+F13/100),2)</x:f>
        <x:v>24916681.65</x:v>
      </x:c>
    </x:row>
    <x:row r="14" ht="64" customHeight="1">
      <x:c r="A14" s="23" t="str">
        <x:v>4</x:v>
      </x:c>
      <x:c r="B14" s="23" t="str">
        <x:v>tahap rancangan detail meliputi penyusunan rancangan gambar detail dan penyusunan Rencana Kerja dan Syarat (RKS), serta Rencana Anggaran Biaya (RAB) sebesar 25% 
</x:v>
      </x:c>
      <x:c r="C14" s="23" t="str">
        <x:v>LS</x:v>
      </x:c>
      <x:c r="D14" s="24" t="n">
        <x:v>1</x:v>
      </x:c>
      <x:c r="E14" s="24" t="n">
        <x:v>22447460.944414556</x:v>
      </x:c>
      <x:c r="F14" s="24" t="n">
        <x:v>11</x:v>
      </x:c>
      <x:c r="G14" s="24" t="n">
        <x:f>ROUND(D14*E14*(1+F14/100),2)</x:f>
        <x:v>24916681.65</x:v>
      </x:c>
    </x:row>
    <x:row r="15" ht="46" customHeight="1">
      <x:c r="A15" s="21" t="str">
        <x:v>5</x:v>
      </x:c>
      <x:c r="B15" s="21" t="str">
        <x:v>tahap pelelangan penyedia jasa pelaksanaan konstruksi sebesar 5%</x:v>
      </x:c>
      <x:c r="C15" s="21" t="str">
        <x:v>LS</x:v>
      </x:c>
      <x:c r="D15" s="22" t="n">
        <x:v>1</x:v>
      </x:c>
      <x:c r="E15" s="22" t="n">
        <x:v>4489412.282997616</x:v>
      </x:c>
      <x:c r="F15" s="22" t="n">
        <x:v>11</x:v>
      </x:c>
      <x:c r="G15" s="22" t="n">
        <x:f>ROUND(D15*E15*(1+F15/100),2)</x:f>
        <x:v>4983247.63</x:v>
      </x:c>
    </x:row>
    <x:row r="16" ht="46" customHeight="1">
      <x:c r="A16" s="23" t="str">
        <x:v>6</x:v>
      </x:c>
      <x:c r="B16" s="23" t="str">
        <x:v>tahap pengawasan berkala sebesar 15%</x:v>
      </x:c>
      <x:c r="C16" s="23" t="str">
        <x:v>LS</x:v>
      </x:c>
      <x:c r="D16" s="24" t="n">
        <x:v>1</x:v>
      </x:c>
      <x:c r="E16" s="24" t="n">
        <x:v>13468436.613706086</x:v>
      </x:c>
      <x:c r="F16" s="24" t="n">
        <x:v>11</x:v>
      </x:c>
      <x:c r="G16" s="24" t="n">
        <x:f>ROUND(D16*E16*(1+F16/100),2)</x:f>
        <x:v>14949964.64</x:v>
      </x:c>
    </x:row>
    <x:row r="17" ht="46" customHeight="1">
      <x:c r="A17" s="21" t="str">
        <x:v>7</x:v>
      </x:c>
      <x:c r="B17" s="21" t="str">
        <x:v>JKK/JKM</x:v>
      </x:c>
      <x:c r="C17" s="21" t="str">
        <x:v>LS</x:v>
      </x:c>
      <x:c r="D17" s="22" t="n">
        <x:v>1</x:v>
      </x:c>
      <x:c r="E17" s="22" t="n">
        <x:v>215495.14563106795</x:v>
      </x:c>
      <x:c r="F17" s="22" t="n">
        <x:v>0</x:v>
      </x:c>
      <x:c r="G17" s="22" t="n">
        <x:f>ROUND(D17*E17*(1+F17/100),2)</x:f>
        <x:v>215495.15</x:v>
      </x:c>
    </x:row>
    <x:row r="18" ht="32" customHeight="1">
      <x:c r="A18" s="29" t="str">
        <x:v>JUMLAH PENAWARAN TERMASUK PAJAK</x:v>
      </x:c>
      <x:c r="B18" s="29" t="str">
        <x:v>JUMLAH PENAWARAN TERMASUK PAJAK</x:v>
      </x:c>
      <x:c r="C18" s="29" t="str">
        <x:v>JUMLAH PENAWARAN TERMASUK PAJAK</x:v>
      </x:c>
      <x:c r="D18" s="29" t="str">
        <x:v>JUMLAH PENAWARAN TERMASUK PAJAK</x:v>
      </x:c>
      <x:c r="E18" s="29" t="str">
        <x:v>JUMLAH PENAWARAN TERMASUK PAJAK</x:v>
      </x:c>
      <x:c r="F18" s="29" t="str">
        <x:v>JUMLAH PENAWARAN TERMASUK PAJAK</x:v>
      </x:c>
      <x:c r="G18" s="31" t="n">
        <x:f>ROUND(SUM(G11:G17),2)</x:f>
        <x:v>99882000</x:v>
      </x:c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8" t="str">
        <x:v>Pasangkayu, 26 Oktober 2026</x:v>
      </x:c>
      <x:c r="E21" s="38" t="str">
        <x:v>Pasangkayu, 26 Oktober 2026</x:v>
      </x:c>
      <x:c r="F21" s="38" t="str">
        <x:v>Pasangkayu, 26 Oktober 2026</x:v>
      </x:c>
      <x:c r="G21" s="38" t="str">
        <x:v>Pasangkayu, 26 Oktober 2026</x:v>
      </x:c>
    </x:row>
    <x:row r="22" ht="23" customHeight="1">
      <x:c r="A22" s="3"/>
      <x:c r="B22" s="3"/>
      <x:c r="C22" s="3"/>
      <x:c r="D22" s="39" t="str">
        <x:v>CV. BUANA TELAGA CONSULTANT</x:v>
      </x:c>
      <x:c r="E22" s="39" t="str">
        <x:v>CV. BUANA TELAGA CONSULTANT</x:v>
      </x:c>
      <x:c r="F22" s="39" t="str">
        <x:v>CV. BUANA TELAGA CONSULTANT</x:v>
      </x:c>
      <x:c r="G22" s="39" t="str">
        <x:v>CV. BUANA TELAGA CONSULTANT</x:v>
      </x:c>
    </x:row>
    <x:row r="23" ht="23" customHeight="1">
      <x:c r="A23" s="3"/>
      <x:c r="B23" s="3"/>
      <x:c r="C23" s="3"/>
      <x:c r="D23" s="39" t="str">
        <x:v>CV. BUANA TELAGA CONSULTANT</x:v>
      </x:c>
      <x:c r="E23" s="39" t="str">
        <x:v>CV. BUANA TELAGA CONSULTANT</x:v>
      </x:c>
      <x:c r="F23" s="39" t="str">
        <x:v>CV. BUANA TELAGA CONSULTANT</x:v>
      </x:c>
      <x:c r="G23" s="39" t="str">
        <x:v>CV. BUANA TELAGA CONSULTANT</x:v>
      </x:c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9" t="str">
        <x:v>AZWAR, ST</x:v>
      </x:c>
      <x:c r="E27" s="39" t="str">
        <x:v>AZWAR, ST</x:v>
      </x:c>
      <x:c r="F27" s="39" t="str">
        <x:v>AZWAR, ST</x:v>
      </x:c>
      <x:c r="G27" s="39" t="str">
        <x:v>AZWAR, ST</x:v>
      </x:c>
    </x:row>
    <x:row r="28" ht="23" customHeight="1">
      <x:c r="A28" s="3"/>
      <x:c r="B28" s="3"/>
      <x:c r="C28" s="3"/>
      <x:c r="D28" s="38" t="str">
        <x:v>Direktur</x:v>
      </x:c>
      <x:c r="E28" s="38" t="str">
        <x:v>Direktur</x:v>
      </x:c>
      <x:c r="F28" s="38" t="str">
        <x:v>Direktur</x:v>
      </x:c>
      <x:c r="G28" s="38" t="str">
        <x:v>Direktur</x:v>
      </x:c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8:F18"/>
    <x:mergeCell ref="D21:G21"/>
    <x:mergeCell ref="D22:G23"/>
    <x:mergeCell ref="D27:G27"/>
    <x:mergeCell ref="D28:G28"/>
  </x:mergeCells>
  <x:pageMargins left="0.7" right="0.7" top="0.75" bottom="0.75" header="0.3" footer="0.3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BUANA TELAGA CONSULTANT</x:v>
      </x:c>
      <x:c r="B1" s="6" t="str">
        <x:v>CV. BUANA TELAGA CONSULTANT</x:v>
      </x:c>
      <x:c r="C1" s="6" t="str">
        <x:v>CV. BUANA TELAGA CONSULTANT</x:v>
      </x:c>
      <x:c r="D1" s="6" t="str">
        <x:v>CV. BUANA TELAGA CONSULTANT</x:v>
      </x:c>
      <x:c r="E1" s="6" t="str">
        <x:v>CV. BUANA TELAGA CONSULTANT</x:v>
      </x:c>
      <x:c r="F1" s="6" t="str">
        <x:v>CV. BUANA TELAGA CONSULTANT</x:v>
      </x:c>
      <x:c r="G1" s="6" t="str">
        <x:v>CV. BUANA TELAGA CONSULTANT</x:v>
      </x:c>
    </x:row>
    <x:row r="2" ht="23" customHeight="1">
      <x:c r="A2" s="7" t="str">
        <x:v>CV. BUANA TELAGA CONSULTANT</x:v>
      </x:c>
      <x:c r="B2" s="7" t="str">
        <x:v>CV. BUANA TELAGA CONSULTANT</x:v>
      </x:c>
      <x:c r="C2" s="7" t="str">
        <x:v>CV. BUANA TELAGA CONSULTANT</x:v>
      </x:c>
      <x:c r="D2" s="7" t="str">
        <x:v>CV. BUANA TELAGA CONSULTANT</x:v>
      </x:c>
      <x:c r="E2" s="7" t="str">
        <x:v>CV. BUANA TELAGA CONSULTANT</x:v>
      </x:c>
      <x:c r="F2" s="7" t="str">
        <x:v>CV. BUANA TELAGA CONSULTANT</x:v>
      </x:c>
      <x:c r="G2" s="7" t="str">
        <x:v>CV. BUANA TELAGA CONSULTANT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Design Pemb. Jalan Kabupaten/Desa VII</x:v>
      </x:c>
      <x:c r="B4" s="10" t="str">
        <x:v>Stock Design Pemb. Jalan Kabupaten/Desa VII</x:v>
      </x:c>
      <x:c r="C4" s="10" t="str">
        <x:v>Stock Design Pemb. Jalan Kabupaten/Desa VII</x:v>
      </x:c>
      <x:c r="D4" s="10" t="str">
        <x:v>Stock Design Pemb. Jalan Kabupaten/Desa VII</x:v>
      </x:c>
      <x:c r="E4" s="10" t="str">
        <x:v>Stock Design Pemb. Jalan Kabupaten/Desa VII</x:v>
      </x:c>
      <x:c r="F4" s="10" t="str">
        <x:v>Stock Design Pemb. Jalan Kabupaten/Desa VII</x:v>
      </x:c>
      <x:c r="G4" s="10" t="str">
        <x:v>Stock Design Pemb. Jalan Kabupaten/Desa VII</x:v>
      </x:c>
    </x:row>
    <x:row r="5" ht="26" customHeight="1">
      <x:c r="A5" s="10" t="str">
        <x:v>Stock Design Pemb. Jalan Kabupaten/Desa VII</x:v>
      </x:c>
      <x:c r="B5" s="10" t="str">
        <x:v>Stock Design Pemb. Jalan Kabupaten/Desa VII</x:v>
      </x:c>
      <x:c r="C5" s="10" t="str">
        <x:v>Stock Design Pemb. Jalan Kabupaten/Desa VII</x:v>
      </x:c>
      <x:c r="D5" s="10" t="str">
        <x:v>Stock Design Pemb. Jalan Kabupaten/Desa VII</x:v>
      </x:c>
      <x:c r="E5" s="10" t="str">
        <x:v>Stock Design Pemb. Jalan Kabupaten/Desa VII</x:v>
      </x:c>
      <x:c r="F5" s="10" t="str">
        <x:v>Stock Design Pemb. Jalan Kabupaten/Desa VII</x:v>
      </x:c>
      <x:c r="G5" s="10" t="str">
        <x:v>Stock Design Pemb. Jalan Kabupaten/Desa VII</x:v>
      </x:c>
    </x:row>
    <x:row r="6" ht="23" customHeight="1">
      <x:c r="A6" s="13" t="str">
        <x:v>Nomor RUP: 68802414 • Tahun Anggaran 2026</x:v>
      </x:c>
      <x:c r="B6" s="13" t="str">
        <x:v>Nomor RUP: 68802414 • Tahun Anggaran 2026</x:v>
      </x:c>
      <x:c r="C6" s="13" t="str">
        <x:v>Nomor RUP: 68802414 • Tahun Anggaran 2026</x:v>
      </x:c>
      <x:c r="D6" s="13" t="str">
        <x:v>Nomor RUP: 68802414 • Tahun Anggaran 2026</x:v>
      </x:c>
      <x:c r="E6" s="13" t="str">
        <x:v>Nomor RUP: 68802414 • Tahun Anggaran 2026</x:v>
      </x:c>
      <x:c r="F6" s="13" t="str">
        <x:v>Nomor RUP: 68802414 • Tahun Anggaran 2026</x:v>
      </x:c>
      <x:c r="G6" s="13" t="str">
        <x:v>Nomor RUP: 68802414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0" t="str">
        <x:v>REKAPITULASI PENAWARAN</x:v>
      </x:c>
      <x:c r="B8" s="10" t="str">
        <x:v>REKAPITULASI PENAWARAN</x:v>
      </x:c>
      <x:c r="C8" s="10" t="str">
        <x:v>REKAPITULASI PENAWARAN</x:v>
      </x:c>
      <x:c r="D8" s="10" t="str">
        <x:v>REKAPITULASI PENAWARAN</x:v>
      </x:c>
      <x:c r="E8" s="10" t="str">
        <x:v>REKAPITULASI PENAWARAN</x:v>
      </x:c>
      <x:c r="F8" s="10" t="str">
        <x:v>REKAPITULASI PENAWARAN</x:v>
      </x:c>
      <x:c r="G8" s="10" t="str">
        <x:v>REKAPITULASI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23" customHeight="1">
      <x:c r="A10" s="3"/>
      <x:c r="B10" s="3"/>
      <x:c r="C10" s="3"/>
      <x:c r="D10" s="3"/>
      <x:c r="E10" s="3"/>
      <x:c r="F10" s="3"/>
      <x:c r="G10" s="3"/>
    </x:row>
    <x:row r="11" ht="36" customHeight="1">
      <x:c r="A11" s="33" t="str">
        <x:v>Total Penawaran Termasuk Pajak</x:v>
      </x:c>
      <x:c r="B11" s="33" t="str">
        <x:v>Total Penawaran Termasuk Pajak</x:v>
      </x:c>
      <x:c r="C11" s="33" t="str">
        <x:v>Total Penawaran Termasuk Pajak</x:v>
      </x:c>
      <x:c r="D11" s="33" t="str">
        <x:v>Total Penawaran Termasuk Pajak</x:v>
      </x:c>
      <x:c r="E11" s="33" t="str">
        <x:v>Total Penawaran Termasuk Pajak</x:v>
      </x:c>
      <x:c r="F11" s="34" t="n">
        <x:f>'RAB Penawaran'!G18</x:f>
        <x:v>99882000</x:v>
      </x:c>
      <x:c r="G11" s="35"/>
    </x:row>
    <x:row r="12" ht="23" customHeight="1">
      <x:c r="A12" s="3"/>
      <x:c r="B12" s="3"/>
      <x:c r="C12" s="3"/>
      <x:c r="D12" s="3"/>
      <x:c r="E12" s="3"/>
      <x:c r="F12" s="3"/>
      <x:c r="G12" s="3"/>
    </x:row>
    <x:row r="13" ht="23" customHeight="1">
      <x:c r="A13" s="3"/>
      <x:c r="B13" s="3"/>
      <x:c r="C13" s="3"/>
      <x:c r="D13" s="3"/>
      <x:c r="E13" s="3"/>
      <x:c r="F13" s="3"/>
      <x:c r="G13" s="3"/>
    </x:row>
    <x:row r="14" ht="23" customHeight="1">
      <x:c r="A14" s="3"/>
      <x:c r="B14" s="3"/>
      <x:c r="C14" s="3"/>
      <x:c r="D14" s="3"/>
      <x:c r="E14" s="3"/>
      <x:c r="F14" s="3"/>
      <x:c r="G14" s="3"/>
    </x:row>
    <x:row r="15" ht="23" customHeight="1">
      <x:c r="A15" s="3"/>
      <x:c r="B15" s="3"/>
      <x:c r="C15" s="3"/>
      <x:c r="D15" s="38" t="str">
        <x:v>Pasangkayu, 26 Oktober 2026</x:v>
      </x:c>
      <x:c r="E15" s="38" t="str">
        <x:v>Pasangkayu, 26 Oktober 2026</x:v>
      </x:c>
      <x:c r="F15" s="38" t="str">
        <x:v>Pasangkayu, 26 Oktober 2026</x:v>
      </x:c>
      <x:c r="G15" s="38" t="str">
        <x:v>Pasangkayu, 26 Oktober 2026</x:v>
      </x:c>
    </x:row>
    <x:row r="16" ht="23" customHeight="1">
      <x:c r="A16" s="3"/>
      <x:c r="B16" s="3"/>
      <x:c r="C16" s="3"/>
      <x:c r="D16" s="39" t="str">
        <x:v>CV. BUANA TELAGA CONSULTANT</x:v>
      </x:c>
      <x:c r="E16" s="39" t="str">
        <x:v>CV. BUANA TELAGA CONSULTANT</x:v>
      </x:c>
      <x:c r="F16" s="39" t="str">
        <x:v>CV. BUANA TELAGA CONSULTANT</x:v>
      </x:c>
      <x:c r="G16" s="39" t="str">
        <x:v>CV. BUANA TELAGA CONSULTANT</x:v>
      </x:c>
    </x:row>
    <x:row r="17" ht="23" customHeight="1">
      <x:c r="A17" s="3"/>
      <x:c r="B17" s="3"/>
      <x:c r="C17" s="3"/>
      <x:c r="D17" s="39" t="str">
        <x:v>CV. BUANA TELAGA CONSULTANT</x:v>
      </x:c>
      <x:c r="E17" s="39" t="str">
        <x:v>CV. BUANA TELAGA CONSULTANT</x:v>
      </x:c>
      <x:c r="F17" s="39" t="str">
        <x:v>CV. BUANA TELAGA CONSULTANT</x:v>
      </x:c>
      <x:c r="G17" s="39" t="str">
        <x:v>CV. BUANA TELAGA CONSULTANT</x:v>
      </x:c>
    </x:row>
    <x:row r="18" ht="23" customHeight="1">
      <x:c r="A18" s="3"/>
      <x:c r="B18" s="3"/>
      <x:c r="C18" s="3"/>
      <x:c r="D18" s="3"/>
      <x:c r="E18" s="3"/>
      <x:c r="F18" s="3"/>
      <x:c r="G18" s="3"/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9" t="str">
        <x:v>AZWAR, ST</x:v>
      </x:c>
      <x:c r="E21" s="39" t="str">
        <x:v>AZWAR, ST</x:v>
      </x:c>
      <x:c r="F21" s="39" t="str">
        <x:v>AZWAR, ST</x:v>
      </x:c>
      <x:c r="G21" s="39" t="str">
        <x:v>AZWAR, ST</x:v>
      </x:c>
    </x:row>
    <x:row r="22" ht="23" customHeight="1">
      <x:c r="A22" s="3"/>
      <x:c r="B22" s="3"/>
      <x:c r="C22" s="3"/>
      <x:c r="D22" s="38" t="str">
        <x:v>Direktur</x:v>
      </x:c>
      <x:c r="E22" s="38" t="str">
        <x:v>Direktur</x:v>
      </x:c>
      <x:c r="F22" s="38" t="str">
        <x:v>Direktur</x:v>
      </x:c>
      <x:c r="G22" s="38" t="str">
        <x:v>Direktur</x:v>
      </x:c>
    </x:row>
    <x:row r="23" ht="23" customHeight="1">
      <x:c r="A23" s="3"/>
      <x:c r="B23" s="3"/>
      <x:c r="C23" s="3"/>
      <x:c r="D23" s="3"/>
      <x:c r="E23" s="3"/>
      <x:c r="F23" s="3"/>
      <x:c r="G23" s="3"/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"/>
      <x:c r="E27" s="3"/>
      <x:c r="F27" s="3"/>
      <x:c r="G27" s="3"/>
    </x:row>
    <x:row r="28" ht="23" customHeight="1">
      <x:c r="A28" s="3"/>
      <x:c r="B28" s="3"/>
      <x:c r="C28" s="3"/>
      <x:c r="D28" s="3"/>
      <x:c r="E28" s="3"/>
      <x:c r="F28" s="3"/>
      <x:c r="G28" s="3"/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1:E11"/>
    <x:mergeCell ref="F11:G11"/>
    <x:mergeCell ref="D15:G15"/>
    <x:mergeCell ref="D16:G17"/>
    <x:mergeCell ref="D21:G21"/>
    <x:mergeCell ref="D22:G22"/>
  </x:mergeCells>
  <x:pageMargins left="0.7" right="0.7" top="0.75" bottom="0.75" header="0.3" footer="0.3"/>
  <x:pageSetup paperSize="9" orientation="landscape" fitToWidth="1" fitToHeight="0"/>
</x:worksheet>
</file>