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645e5e8e4544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4a2f4ffbdd5f4f53"/>
    <x:sheet xmlns:r="http://schemas.openxmlformats.org/officeDocument/2006/relationships" name="Rekap Penawaran" sheetId="2" r:id="R6705c7713eda4819"/>
  </x:sheets>
  <x:definedNames>
    <x:definedName name="_xlnm.Print_Area" localSheetId="0">'RAB Penawaran'!$A$1:$G$34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Trebuchet MS"/>
    </x:font>
    <x:font>
      <x:b/>
      <x:sz val="18"/>
      <x:color rgb="FF17636C"/>
      <x:name val="Trebuchet MS"/>
    </x:font>
    <x:font>
      <x:b/>
      <x:sz val="13"/>
      <x:color rgb="FF17636C"/>
      <x:name val="Trebuchet MS"/>
    </x:font>
    <x:font>
      <x:sz val="10"/>
      <x:color rgb="FF17636C"/>
      <x:name val="Trebuchet MS"/>
    </x:font>
    <x:font>
      <x:b/>
      <x:sz val="12"/>
      <x:color rgb="FF17636C"/>
      <x:name val="Trebuchet MS"/>
    </x:font>
    <x:font>
      <x:b/>
      <x:sz val="10"/>
      <x:color rgb="FFFFFFFF"/>
      <x:name val="Trebuchet MS"/>
    </x:font>
    <x:font>
      <x:b/>
      <x:sz val="11"/>
      <x:color rgb="FF17636C"/>
      <x:name val="Trebuchet MS"/>
    </x:font>
    <x:font>
      <x:sz val="11"/>
      <x:color rgb="FF17636C"/>
      <x:name val="Trebuchet MS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636C"/>
      </x:patternFill>
    </x:fill>
    <x:fill>
      <x:patternFill patternType="solid">
        <x:fgColor rgb="FFEAF6F6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17636C"/>
      </x:bottom>
      <x:diagonal/>
    </x:border>
    <x:border>
      <x:left/>
      <x:right/>
      <x:top style="thin">
        <x:color rgb="FF17636C"/>
      </x:top>
      <x:bottom style="double">
        <x:color rgb="FF17636C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308dc160d24a9d" /><Relationship Type="http://schemas.openxmlformats.org/officeDocument/2006/relationships/theme" Target="/xl/theme/theme1.xml" Id="Rdbbec9d3a421491d" /><Relationship Type="http://schemas.openxmlformats.org/officeDocument/2006/relationships/sharedStrings" Target="/xl/sharedStrings.xml" Id="Rfee0250a706543a3" /><Relationship Type="http://schemas.openxmlformats.org/officeDocument/2006/relationships/worksheet" Target="/xl/worksheets/sheet1.xml" Id="R4a2f4ffbdd5f4f53" /><Relationship Type="http://schemas.openxmlformats.org/officeDocument/2006/relationships/worksheet" Target="/xl/worksheets/sheet2.xml" Id="R6705c7713eda48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MUARA KARYA DESAIN</x:v>
      </x:c>
      <x:c r="B1" s="6" t="str">
        <x:v>CV. MUARA KARYA DESAIN</x:v>
      </x:c>
      <x:c r="C1" s="6" t="str">
        <x:v>CV. MUARA KARYA DESAIN</x:v>
      </x:c>
      <x:c r="D1" s="6" t="str">
        <x:v>CV. MUARA KARYA DESAIN</x:v>
      </x:c>
      <x:c r="E1" s="6" t="str">
        <x:v>CV. MUARA KARYA DESAIN</x:v>
      </x:c>
      <x:c r="F1" s="6" t="str">
        <x:v>CV. MUARA KARYA DESAIN</x:v>
      </x:c>
      <x:c r="G1" s="6" t="str">
        <x:v>CV. MUARA KARYA DESAIN</x:v>
      </x:c>
    </x:row>
    <x:row r="2" ht="23" customHeight="1">
      <x:c r="A2" s="7" t="str">
        <x:v>CV. MUARA KARYA DESAIN</x:v>
      </x:c>
      <x:c r="B2" s="7" t="str">
        <x:v>CV. MUARA KARYA DESAIN</x:v>
      </x:c>
      <x:c r="C2" s="7" t="str">
        <x:v>CV. MUARA KARYA DESAIN</x:v>
      </x:c>
      <x:c r="D2" s="7" t="str">
        <x:v>CV. MUARA KARYA DESAIN</x:v>
      </x:c>
      <x:c r="E2" s="7" t="str">
        <x:v>CV. MUARA KARYA DESAIN</x:v>
      </x:c>
      <x:c r="F2" s="7" t="str">
        <x:v>CV. MUARA KARYA DESAIN</x:v>
      </x:c>
      <x:c r="G2" s="7" t="str">
        <x:v>CV. MUARA KARYA DESAIN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Pengawasan Kantor Bupati Pasangkayu</x:v>
      </x:c>
      <x:c r="B4" s="10" t="str">
        <x:v>Pengawasan Kantor Bupati Pasangkayu</x:v>
      </x:c>
      <x:c r="C4" s="10" t="str">
        <x:v>Pengawasan Kantor Bupati Pasangkayu</x:v>
      </x:c>
      <x:c r="D4" s="10" t="str">
        <x:v>Pengawasan Kantor Bupati Pasangkayu</x:v>
      </x:c>
      <x:c r="E4" s="10" t="str">
        <x:v>Pengawasan Kantor Bupati Pasangkayu</x:v>
      </x:c>
      <x:c r="F4" s="10" t="str">
        <x:v>Pengawasan Kantor Bupati Pasangkayu</x:v>
      </x:c>
      <x:c r="G4" s="10" t="str">
        <x:v>Pengawasan Kantor Bupati Pasangkayu</x:v>
      </x:c>
    </x:row>
    <x:row r="5" ht="26" customHeight="1">
      <x:c r="A5" s="10" t="str">
        <x:v>Pengawasan Kantor Bupati Pasangkayu</x:v>
      </x:c>
      <x:c r="B5" s="10" t="str">
        <x:v>Pengawasan Kantor Bupati Pasangkayu</x:v>
      </x:c>
      <x:c r="C5" s="10" t="str">
        <x:v>Pengawasan Kantor Bupati Pasangkayu</x:v>
      </x:c>
      <x:c r="D5" s="10" t="str">
        <x:v>Pengawasan Kantor Bupati Pasangkayu</x:v>
      </x:c>
      <x:c r="E5" s="10" t="str">
        <x:v>Pengawasan Kantor Bupati Pasangkayu</x:v>
      </x:c>
      <x:c r="F5" s="10" t="str">
        <x:v>Pengawasan Kantor Bupati Pasangkayu</x:v>
      </x:c>
      <x:c r="G5" s="10" t="str">
        <x:v>Pengawasan Kantor Bupati Pasangkayu</x:v>
      </x:c>
    </x:row>
    <x:row r="6" ht="23" customHeight="1">
      <x:c r="A6" s="13" t="str">
        <x:v>Nomor RUP: 62684142 • Tahun Anggaran 2026</x:v>
      </x:c>
      <x:c r="B6" s="13" t="str">
        <x:v>Nomor RUP: 62684142 • Tahun Anggaran 2026</x:v>
      </x:c>
      <x:c r="C6" s="13" t="str">
        <x:v>Nomor RUP: 62684142 • Tahun Anggaran 2026</x:v>
      </x:c>
      <x:c r="D6" s="13" t="str">
        <x:v>Nomor RUP: 62684142 • Tahun Anggaran 2026</x:v>
      </x:c>
      <x:c r="E6" s="13" t="str">
        <x:v>Nomor RUP: 62684142 • Tahun Anggaran 2026</x:v>
      </x:c>
      <x:c r="F6" s="13" t="str">
        <x:v>Nomor RUP: 62684142 • Tahun Anggaran 2026</x:v>
      </x:c>
      <x:c r="G6" s="13" t="str">
        <x:v>Nomor RUP: 62684142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Team Leader (Ahli Teknik Bangunan Gedung)</x:v>
      </x:c>
      <x:c r="C11" s="21" t="str">
        <x:v>0b</x:v>
      </x:c>
      <x:c r="D11" s="22" t="n">
        <x:v>5</x:v>
      </x:c>
      <x:c r="E11" s="22" t="n">
        <x:v>9987310.556084922</x:v>
      </x:c>
      <x:c r="F11" s="22" t="n">
        <x:v>11</x:v>
      </x:c>
      <x:c r="G11" s="22" t="n">
        <x:f>ROUND(D11*E11*(1+F11/100),2)</x:f>
        <x:v>55429573.59</x:v>
      </x:c>
    </x:row>
    <x:row r="12" ht="46" customHeight="1">
      <x:c r="A12" s="23" t="str">
        <x:v>2</x:v>
      </x:c>
      <x:c r="B12" s="23" t="str">
        <x:v>Inspektur/Pengawas Lapangan (1 orang x 5 bln)</x:v>
      </x:c>
      <x:c r="C12" s="23" t="str">
        <x:v>0b</x:v>
      </x:c>
      <x:c r="D12" s="24" t="n">
        <x:v>5</x:v>
      </x:c>
      <x:c r="E12" s="24" t="n">
        <x:v>4369448.368287154</x:v>
      </x:c>
      <x:c r="F12" s="24" t="n">
        <x:v>11</x:v>
      </x:c>
      <x:c r="G12" s="24" t="n">
        <x:f>ROUND(D12*E12*(1+F12/100),2)</x:f>
        <x:v>24250438.44</x:v>
      </x:c>
    </x:row>
    <x:row r="13" ht="46" customHeight="1">
      <x:c r="A13" s="21" t="str">
        <x:v>3</x:v>
      </x:c>
      <x:c r="B13" s="21" t="str">
        <x:v>Sewa Printer A4</x:v>
      </x:c>
      <x:c r="C13" s="21" t="str">
        <x:v>unit-Bulan</x:v>
      </x:c>
      <x:c r="D13" s="22" t="n">
        <x:v>5</x:v>
      </x:c>
      <x:c r="E13" s="22" t="n">
        <x:v>374524.1458531846</x:v>
      </x:c>
      <x:c r="F13" s="22" t="n">
        <x:v>11</x:v>
      </x:c>
      <x:c r="G13" s="22" t="n">
        <x:f>ROUND(D13*E13*(1+F13/100),2)</x:f>
        <x:v>2078609.01</x:v>
      </x:c>
    </x:row>
    <x:row r="14" ht="46" customHeight="1">
      <x:c r="A14" s="23" t="str">
        <x:v>4</x:v>
      </x:c>
      <x:c r="B14" s="23" t="str">
        <x:v>ATK, Tinta Printer, akomodasi, listrik &amp; telepon/Internet</x:v>
      </x:c>
      <x:c r="C14" s="23" t="str">
        <x:v>ls</x:v>
      </x:c>
      <x:c r="D14" s="24" t="n">
        <x:v>5</x:v>
      </x:c>
      <x:c r="E14" s="24" t="n">
        <x:v>624206.9097553076</x:v>
      </x:c>
      <x:c r="F14" s="24" t="n">
        <x:v>11</x:v>
      </x:c>
      <x:c r="G14" s="24" t="n">
        <x:f>ROUND(D14*E14*(1+F14/100),2)</x:f>
        <x:v>3464348.35</x:v>
      </x:c>
    </x:row>
    <x:row r="15" ht="46" customHeight="1">
      <x:c r="A15" s="21" t="str">
        <x:v>5</x:v>
      </x:c>
      <x:c r="B15" s="21" t="str">
        <x:v>Sewa Laptop</x:v>
      </x:c>
      <x:c r="C15" s="21" t="str">
        <x:v>unit-Bulan</x:v>
      </x:c>
      <x:c r="D15" s="22" t="n">
        <x:v>5</x:v>
      </x:c>
      <x:c r="E15" s="22" t="n">
        <x:v>873889.6736574307</x:v>
      </x:c>
      <x:c r="F15" s="22" t="n">
        <x:v>11</x:v>
      </x:c>
      <x:c r="G15" s="22" t="n">
        <x:f>ROUND(D15*E15*(1+F15/100),2)</x:f>
        <x:v>4850087.69</x:v>
      </x:c>
    </x:row>
    <x:row r="16" ht="46" customHeight="1">
      <x:c r="A16" s="23" t="str">
        <x:v>6</x:v>
      </x:c>
      <x:c r="B16" s="23" t="str">
        <x:v>Helem Proyek</x:v>
      </x:c>
      <x:c r="C16" s="23" t="str">
        <x:v>LS</x:v>
      </x:c>
      <x:c r="D16" s="24" t="n">
        <x:v>2</x:v>
      </x:c>
      <x:c r="E16" s="24" t="n">
        <x:v>174777.93473148614</x:v>
      </x:c>
      <x:c r="F16" s="24" t="n">
        <x:v>11</x:v>
      </x:c>
      <x:c r="G16" s="24" t="n">
        <x:f>ROUND(D16*E16*(1+F16/100),2)</x:f>
        <x:v>388007.02</x:v>
      </x:c>
    </x:row>
    <x:row r="17" ht="46" customHeight="1">
      <x:c r="A17" s="21" t="str">
        <x:v>7</x:v>
      </x:c>
      <x:c r="B17" s="21" t="str">
        <x:v>Sepatu Safety</x:v>
      </x:c>
      <x:c r="C17" s="21" t="str">
        <x:v>LS</x:v>
      </x:c>
      <x:c r="D17" s="22" t="n">
        <x:v>2</x:v>
      </x:c>
      <x:c r="E17" s="22" t="n">
        <x:v>436944.8368287153</x:v>
      </x:c>
      <x:c r="F17" s="22" t="n">
        <x:v>11</x:v>
      </x:c>
      <x:c r="G17" s="22" t="n">
        <x:f>ROUND(D17*E17*(1+F17/100),2)</x:f>
        <x:v>970017.54</x:v>
      </x:c>
    </x:row>
    <x:row r="18" ht="46" customHeight="1">
      <x:c r="A18" s="23" t="str">
        <x:v>8</x:v>
      </x:c>
      <x:c r="B18" s="23" t="str">
        <x:v>Sewa &amp; Ops. Kendaraan (1 unit x 5 bln)</x:v>
      </x:c>
      <x:c r="C18" s="23" t="str">
        <x:v>Unit Bulan</x:v>
      </x:c>
      <x:c r="D18" s="24" t="n">
        <x:v>5</x:v>
      </x:c>
      <x:c r="E18" s="24" t="n">
        <x:v>998731.0556084921</x:v>
      </x:c>
      <x:c r="F18" s="24" t="n">
        <x:v>11</x:v>
      </x:c>
      <x:c r="G18" s="24" t="n">
        <x:f>ROUND(D18*E18*(1+F18/100),2)</x:f>
        <x:v>5542957.36</x:v>
      </x:c>
    </x:row>
    <x:row r="19" ht="46" customHeight="1">
      <x:c r="A19" s="21" t="str">
        <x:v>9</x:v>
      </x:c>
      <x:c r="B19" s="21" t="str">
        <x:v>Laporan Pendahuluan</x:v>
      </x:c>
      <x:c r="C19" s="21" t="str">
        <x:v>rangkap</x:v>
      </x:c>
      <x:c r="D19" s="22" t="n">
        <x:v>3</x:v>
      </x:c>
      <x:c r="E19" s="22" t="n">
        <x:v>249682.76390212303</x:v>
      </x:c>
      <x:c r="F19" s="22" t="n">
        <x:v>11</x:v>
      </x:c>
      <x:c r="G19" s="22" t="n">
        <x:f>ROUND(D19*E19*(1+F19/100),2)</x:f>
        <x:v>831443.6</x:v>
      </x:c>
    </x:row>
    <x:row r="20" ht="46" customHeight="1">
      <x:c r="A20" s="23" t="str">
        <x:v>10</x:v>
      </x:c>
      <x:c r="B20" s="23" t="str">
        <x:v>Laporan Bulanan</x:v>
      </x:c>
      <x:c r="C20" s="23" t="str">
        <x:v>rangkap</x:v>
      </x:c>
      <x:c r="D20" s="24" t="n">
        <x:v>3</x:v>
      </x:c>
      <x:c r="E20" s="24" t="n">
        <x:v>187262.0729265923</x:v>
      </x:c>
      <x:c r="F20" s="24" t="n">
        <x:v>11</x:v>
      </x:c>
      <x:c r="G20" s="24" t="n">
        <x:f>ROUND(D20*E20*(1+F20/100),2)</x:f>
        <x:v>623582.7</x:v>
      </x:c>
    </x:row>
    <x:row r="21" ht="46" customHeight="1">
      <x:c r="A21" s="21" t="str">
        <x:v>11</x:v>
      </x:c>
      <x:c r="B21" s="21" t="str">
        <x:v>Laporan Akhir</x:v>
      </x:c>
      <x:c r="C21" s="21" t="str">
        <x:v>rangkap</x:v>
      </x:c>
      <x:c r="D21" s="22" t="n">
        <x:v>3</x:v>
      </x:c>
      <x:c r="E21" s="22" t="n">
        <x:v>249682.76390212303</x:v>
      </x:c>
      <x:c r="F21" s="22" t="n">
        <x:v>11</x:v>
      </x:c>
      <x:c r="G21" s="22" t="n">
        <x:f>ROUND(D21*E21*(1+F21/100),2)</x:f>
        <x:v>831443.6</x:v>
      </x:c>
    </x:row>
    <x:row r="22" ht="46" customHeight="1">
      <x:c r="A22" s="23" t="str">
        <x:v>12</x:v>
      </x:c>
      <x:c r="B22" s="23" t="str">
        <x:v>Hardish</x:v>
      </x:c>
      <x:c r="C22" s="23" t="str">
        <x:v>Buah</x:v>
      </x:c>
      <x:c r="D22" s="24" t="n">
        <x:v>1</x:v>
      </x:c>
      <x:c r="E22" s="24" t="n">
        <x:v>312103.4548776538</x:v>
      </x:c>
      <x:c r="F22" s="24" t="n">
        <x:v>11</x:v>
      </x:c>
      <x:c r="G22" s="24" t="n">
        <x:f>ROUND(D22*E22*(1+F22/100),2)</x:f>
        <x:v>346434.83</x:v>
      </x:c>
    </x:row>
    <x:row r="23" ht="46" customHeight="1">
      <x:c r="A23" s="21" t="str">
        <x:v>13</x:v>
      </x:c>
      <x:c r="B23" s="21" t="str">
        <x:v>BPJS/JKK-JKM</x:v>
      </x:c>
      <x:c r="C23" s="21" t="str">
        <x:v>LS</x:v>
      </x:c>
      <x:c r="D23" s="22" t="n">
        <x:v>1</x:v>
      </x:c>
      <x:c r="E23" s="22" t="n">
        <x:v>239056.26547044868</x:v>
      </x:c>
      <x:c r="F23" s="22" t="n">
        <x:v>0</x:v>
      </x:c>
      <x:c r="G23" s="22" t="n">
        <x:f>ROUND(D23*E23*(1+F23/100),2)</x:f>
        <x:v>239056.27</x:v>
      </x:c>
    </x:row>
    <x:row r="24" ht="32" customHeight="1">
      <x:c r="A24" s="29" t="str">
        <x:v>JUMLAH PENAWARAN TERMASUK PAJAK</x:v>
      </x:c>
      <x:c r="B24" s="29" t="str">
        <x:v>JUMLAH PENAWARAN TERMASUK PAJAK</x:v>
      </x:c>
      <x:c r="C24" s="29" t="str">
        <x:v>JUMLAH PENAWARAN TERMASUK PAJAK</x:v>
      </x:c>
      <x:c r="D24" s="29" t="str">
        <x:v>JUMLAH PENAWARAN TERMASUK PAJAK</x:v>
      </x:c>
      <x:c r="E24" s="29" t="str">
        <x:v>JUMLAH PENAWARAN TERMASUK PAJAK</x:v>
      </x:c>
      <x:c r="F24" s="29" t="str">
        <x:v>JUMLAH PENAWARAN TERMASUK PAJAK</x:v>
      </x:c>
      <x:c r="G24" s="31" t="n">
        <x:f>ROUND(SUM(G11:G23),2)</x:f>
        <x:v>99846000</x:v>
      </x:c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8" t="str">
        <x:v>Pasangkayu, 26 Oktober 2026</x:v>
      </x:c>
      <x:c r="E27" s="38" t="str">
        <x:v>Pasangkayu, 26 Oktober 2026</x:v>
      </x:c>
      <x:c r="F27" s="38" t="str">
        <x:v>Pasangkayu, 26 Oktober 2026</x:v>
      </x:c>
      <x:c r="G27" s="38" t="str">
        <x:v>Pasangkayu, 26 Oktober 2026</x:v>
      </x:c>
    </x:row>
    <x:row r="28" ht="23" customHeight="1">
      <x:c r="A28" s="3"/>
      <x:c r="B28" s="3"/>
      <x:c r="C28" s="3"/>
      <x:c r="D28" s="39" t="str">
        <x:v>CV. MUARA KARYA DESAIN</x:v>
      </x:c>
      <x:c r="E28" s="39" t="str">
        <x:v>CV. MUARA KARYA DESAIN</x:v>
      </x:c>
      <x:c r="F28" s="39" t="str">
        <x:v>CV. MUARA KARYA DESAIN</x:v>
      </x:c>
      <x:c r="G28" s="39" t="str">
        <x:v>CV. MUARA KARYA DESAIN</x:v>
      </x:c>
    </x:row>
    <x:row r="29" ht="23" customHeight="1">
      <x:c r="A29" s="3"/>
      <x:c r="B29" s="3"/>
      <x:c r="C29" s="3"/>
      <x:c r="D29" s="39" t="str">
        <x:v>CV. MUARA KARYA DESAIN</x:v>
      </x:c>
      <x:c r="E29" s="39" t="str">
        <x:v>CV. MUARA KARYA DESAIN</x:v>
      </x:c>
      <x:c r="F29" s="39" t="str">
        <x:v>CV. MUARA KARYA DESAIN</x:v>
      </x:c>
      <x:c r="G29" s="39" t="str">
        <x:v>CV. MUARA KARYA DESAIN</x:v>
      </x:c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9" t="str">
        <x:v>MASRI J, S.T</x:v>
      </x:c>
      <x:c r="E33" s="39" t="str">
        <x:v>MASRI J, S.T</x:v>
      </x:c>
      <x:c r="F33" s="39" t="str">
        <x:v>MASRI J, S.T</x:v>
      </x:c>
      <x:c r="G33" s="39" t="str">
        <x:v>MASRI J, S.T</x:v>
      </x:c>
    </x:row>
    <x:row r="34" ht="23" customHeight="1">
      <x:c r="A34" s="3"/>
      <x:c r="B34" s="3"/>
      <x:c r="C34" s="3"/>
      <x:c r="D34" s="38" t="str">
        <x:v>Direktur</x:v>
      </x:c>
      <x:c r="E34" s="38" t="str">
        <x:v>Direktur</x:v>
      </x:c>
      <x:c r="F34" s="38" t="str">
        <x:v>Direktur</x:v>
      </x:c>
      <x:c r="G34" s="38" t="str">
        <x:v>Direktur</x:v>
      </x:c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24:F24"/>
    <x:mergeCell ref="D27:G27"/>
    <x:mergeCell ref="D28:G29"/>
    <x:mergeCell ref="D33:G33"/>
    <x:mergeCell ref="D34:G34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MUARA KARYA DESAIN</x:v>
      </x:c>
      <x:c r="B1" s="6" t="str">
        <x:v>CV. MUARA KARYA DESAIN</x:v>
      </x:c>
      <x:c r="C1" s="6" t="str">
        <x:v>CV. MUARA KARYA DESAIN</x:v>
      </x:c>
      <x:c r="D1" s="6" t="str">
        <x:v>CV. MUARA KARYA DESAIN</x:v>
      </x:c>
      <x:c r="E1" s="6" t="str">
        <x:v>CV. MUARA KARYA DESAIN</x:v>
      </x:c>
      <x:c r="F1" s="6" t="str">
        <x:v>CV. MUARA KARYA DESAIN</x:v>
      </x:c>
      <x:c r="G1" s="6" t="str">
        <x:v>CV. MUARA KARYA DESAIN</x:v>
      </x:c>
    </x:row>
    <x:row r="2" ht="23" customHeight="1">
      <x:c r="A2" s="7" t="str">
        <x:v>CV. MUARA KARYA DESAIN</x:v>
      </x:c>
      <x:c r="B2" s="7" t="str">
        <x:v>CV. MUARA KARYA DESAIN</x:v>
      </x:c>
      <x:c r="C2" s="7" t="str">
        <x:v>CV. MUARA KARYA DESAIN</x:v>
      </x:c>
      <x:c r="D2" s="7" t="str">
        <x:v>CV. MUARA KARYA DESAIN</x:v>
      </x:c>
      <x:c r="E2" s="7" t="str">
        <x:v>CV. MUARA KARYA DESAIN</x:v>
      </x:c>
      <x:c r="F2" s="7" t="str">
        <x:v>CV. MUARA KARYA DESAIN</x:v>
      </x:c>
      <x:c r="G2" s="7" t="str">
        <x:v>CV. MUARA KARYA DESAIN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Pengawasan Kantor Bupati Pasangkayu</x:v>
      </x:c>
      <x:c r="B4" s="10" t="str">
        <x:v>Pengawasan Kantor Bupati Pasangkayu</x:v>
      </x:c>
      <x:c r="C4" s="10" t="str">
        <x:v>Pengawasan Kantor Bupati Pasangkayu</x:v>
      </x:c>
      <x:c r="D4" s="10" t="str">
        <x:v>Pengawasan Kantor Bupati Pasangkayu</x:v>
      </x:c>
      <x:c r="E4" s="10" t="str">
        <x:v>Pengawasan Kantor Bupati Pasangkayu</x:v>
      </x:c>
      <x:c r="F4" s="10" t="str">
        <x:v>Pengawasan Kantor Bupati Pasangkayu</x:v>
      </x:c>
      <x:c r="G4" s="10" t="str">
        <x:v>Pengawasan Kantor Bupati Pasangkayu</x:v>
      </x:c>
    </x:row>
    <x:row r="5" ht="26" customHeight="1">
      <x:c r="A5" s="10" t="str">
        <x:v>Pengawasan Kantor Bupati Pasangkayu</x:v>
      </x:c>
      <x:c r="B5" s="10" t="str">
        <x:v>Pengawasan Kantor Bupati Pasangkayu</x:v>
      </x:c>
      <x:c r="C5" s="10" t="str">
        <x:v>Pengawasan Kantor Bupati Pasangkayu</x:v>
      </x:c>
      <x:c r="D5" s="10" t="str">
        <x:v>Pengawasan Kantor Bupati Pasangkayu</x:v>
      </x:c>
      <x:c r="E5" s="10" t="str">
        <x:v>Pengawasan Kantor Bupati Pasangkayu</x:v>
      </x:c>
      <x:c r="F5" s="10" t="str">
        <x:v>Pengawasan Kantor Bupati Pasangkayu</x:v>
      </x:c>
      <x:c r="G5" s="10" t="str">
        <x:v>Pengawasan Kantor Bupati Pasangkayu</x:v>
      </x:c>
    </x:row>
    <x:row r="6" ht="23" customHeight="1">
      <x:c r="A6" s="13" t="str">
        <x:v>Nomor RUP: 62684142 • Tahun Anggaran 2026</x:v>
      </x:c>
      <x:c r="B6" s="13" t="str">
        <x:v>Nomor RUP: 62684142 • Tahun Anggaran 2026</x:v>
      </x:c>
      <x:c r="C6" s="13" t="str">
        <x:v>Nomor RUP: 62684142 • Tahun Anggaran 2026</x:v>
      </x:c>
      <x:c r="D6" s="13" t="str">
        <x:v>Nomor RUP: 62684142 • Tahun Anggaran 2026</x:v>
      </x:c>
      <x:c r="E6" s="13" t="str">
        <x:v>Nomor RUP: 62684142 • Tahun Anggaran 2026</x:v>
      </x:c>
      <x:c r="F6" s="13" t="str">
        <x:v>Nomor RUP: 62684142 • Tahun Anggaran 2026</x:v>
      </x:c>
      <x:c r="G6" s="13" t="str">
        <x:v>Nomor RUP: 62684142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Penawaran'!G24</x:f>
        <x:v>99846000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CV. MUARA KARYA DESAIN</x:v>
      </x:c>
      <x:c r="E16" s="39" t="str">
        <x:v>CV. MUARA KARYA DESAIN</x:v>
      </x:c>
      <x:c r="F16" s="39" t="str">
        <x:v>CV. MUARA KARYA DESAIN</x:v>
      </x:c>
      <x:c r="G16" s="39" t="str">
        <x:v>CV. MUARA KARYA DESAIN</x:v>
      </x:c>
    </x:row>
    <x:row r="17" ht="23" customHeight="1">
      <x:c r="A17" s="3"/>
      <x:c r="B17" s="3"/>
      <x:c r="C17" s="3"/>
      <x:c r="D17" s="39" t="str">
        <x:v>CV. MUARA KARYA DESAIN</x:v>
      </x:c>
      <x:c r="E17" s="39" t="str">
        <x:v>CV. MUARA KARYA DESAIN</x:v>
      </x:c>
      <x:c r="F17" s="39" t="str">
        <x:v>CV. MUARA KARYA DESAIN</x:v>
      </x:c>
      <x:c r="G17" s="39" t="str">
        <x:v>CV. MUARA KARYA DESAIN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MASRI J, S.T</x:v>
      </x:c>
      <x:c r="E21" s="39" t="str">
        <x:v>MASRI J, S.T</x:v>
      </x:c>
      <x:c r="F21" s="39" t="str">
        <x:v>MASRI J, S.T</x:v>
      </x:c>
      <x:c r="G21" s="39" t="str">
        <x:v>MASRI J, S.T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