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f9321ccfb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d41f51595954bbf"/>
    <x:sheet xmlns:r="http://schemas.openxmlformats.org/officeDocument/2006/relationships" name="Rekap Penawaran" sheetId="2" r:id="Ra736664073fa412a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8de2d98f740d9" /><Relationship Type="http://schemas.openxmlformats.org/officeDocument/2006/relationships/theme" Target="/xl/theme/theme1.xml" Id="R56b3fe1dee4d4d45" /><Relationship Type="http://schemas.openxmlformats.org/officeDocument/2006/relationships/sharedStrings" Target="/xl/sharedStrings.xml" Id="R7e66c2c7d1b44293" /><Relationship Type="http://schemas.openxmlformats.org/officeDocument/2006/relationships/worksheet" Target="/xl/worksheets/sheet1.xml" Id="R2d41f51595954bbf" /><Relationship Type="http://schemas.openxmlformats.org/officeDocument/2006/relationships/worksheet" Target="/xl/worksheets/sheet2.xml" Id="Ra736664073fa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III</x:v>
      </x:c>
      <x:c r="B4" s="10" t="str">
        <x:v>Stock Design Pemb. Jalan Kabupaten/Desa III</x:v>
      </x:c>
      <x:c r="C4" s="10" t="str">
        <x:v>Stock Design Pemb. Jalan Kabupaten/Desa III</x:v>
      </x:c>
      <x:c r="D4" s="10" t="str">
        <x:v>Stock Design Pemb. Jalan Kabupaten/Desa III</x:v>
      </x:c>
      <x:c r="E4" s="10" t="str">
        <x:v>Stock Design Pemb. Jalan Kabupaten/Desa III</x:v>
      </x:c>
      <x:c r="F4" s="10" t="str">
        <x:v>Stock Design Pemb. Jalan Kabupaten/Desa III</x:v>
      </x:c>
      <x:c r="G4" s="10" t="str">
        <x:v>Stock Design Pemb. Jalan Kabupaten/Desa III</x:v>
      </x:c>
    </x:row>
    <x:row r="5" ht="26" customHeight="1">
      <x:c r="A5" s="10" t="str">
        <x:v>Stock Design Pemb. Jalan Kabupaten/Desa III</x:v>
      </x:c>
      <x:c r="B5" s="10" t="str">
        <x:v>Stock Design Pemb. Jalan Kabupaten/Desa III</x:v>
      </x:c>
      <x:c r="C5" s="10" t="str">
        <x:v>Stock Design Pemb. Jalan Kabupaten/Desa III</x:v>
      </x:c>
      <x:c r="D5" s="10" t="str">
        <x:v>Stock Design Pemb. Jalan Kabupaten/Desa III</x:v>
      </x:c>
      <x:c r="E5" s="10" t="str">
        <x:v>Stock Design Pemb. Jalan Kabupaten/Desa III</x:v>
      </x:c>
      <x:c r="F5" s="10" t="str">
        <x:v>Stock Design Pemb. Jalan Kabupaten/Desa III</x:v>
      </x:c>
      <x:c r="G5" s="10" t="str">
        <x:v>Stock Design Pemb. Jalan Kabupaten/Desa III</x:v>
      </x:c>
    </x:row>
    <x:row r="6" ht="23" customHeight="1">
      <x:c r="A6" s="13" t="str">
        <x:v>Nomor RUP: 61322644 • Tahun Anggaran 2026</x:v>
      </x:c>
      <x:c r="B6" s="13" t="str">
        <x:v>Nomor RUP: 61322644 • Tahun Anggaran 2026</x:v>
      </x:c>
      <x:c r="C6" s="13" t="str">
        <x:v>Nomor RUP: 61322644 • Tahun Anggaran 2026</x:v>
      </x:c>
      <x:c r="D6" s="13" t="str">
        <x:v>Nomor RUP: 61322644 • Tahun Anggaran 2026</x:v>
      </x:c>
      <x:c r="E6" s="13" t="str">
        <x:v>Nomor RUP: 61322644 • Tahun Anggaran 2026</x:v>
      </x:c>
      <x:c r="F6" s="13" t="str">
        <x:v>Nomor RUP: 61322644 • Tahun Anggaran 2026</x:v>
      </x:c>
      <x:c r="G6" s="13" t="str">
        <x:v>Nomor RUP: 61322644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8977576.018537417</x:v>
      </x:c>
      <x:c r="F11" s="22" t="n">
        <x:v>11</x:v>
      </x:c>
      <x:c r="G11" s="22" t="n">
        <x:f>ROUND(D11*E11*(1+F11/100),2)</x:f>
        <x:v>9965109.38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17955251.9044314</x:v>
      </x:c>
      <x:c r="F12" s="24" t="n">
        <x:v>11</x:v>
      </x:c>
      <x:c r="G12" s="24" t="n">
        <x:f>ROUND(D12*E12*(1+F12/100),2)</x:f>
        <x:v>19930329.61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22444089.8563874</x:v>
      </x:c>
      <x:c r="F13" s="22" t="n">
        <x:v>11</x:v>
      </x:c>
      <x:c r="G13" s="22" t="n">
        <x:f>ROUND(D13*E13*(1+F13/100),2)</x:f>
        <x:v>24912939.74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22444089.84737839</x:v>
      </x:c>
      <x:c r="F14" s="24" t="n">
        <x:v>11</x:v>
      </x:c>
      <x:c r="G14" s="24" t="n">
        <x:f>ROUND(D14*E14*(1+F14/100),2)</x:f>
        <x:v>24912939.73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4488738.075590425</x:v>
      </x:c>
      <x:c r="F15" s="22" t="n">
        <x:v>11</x:v>
      </x:c>
      <x:c r="G15" s="22" t="n">
        <x:f>ROUND(D15*E15*(1+F15/100),2)</x:f>
        <x:v>4982499.26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13466413.961484408</x:v>
      </x:c>
      <x:c r="F16" s="24" t="n">
        <x:v>11</x:v>
      </x:c>
      <x:c r="G16" s="24" t="n">
        <x:f>ROUND(D16*E16*(1+F16/100),2)</x:f>
        <x:v>14947719.5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215462.78317152103</x:v>
      </x:c>
      <x:c r="F17" s="22" t="n">
        <x:v>0</x:v>
      </x:c>
      <x:c r="G17" s="22" t="n">
        <x:f>ROUND(D17*E17*(1+F17/100),2)</x:f>
        <x:v>215462.78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99867000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III</x:v>
      </x:c>
      <x:c r="B4" s="10" t="str">
        <x:v>Stock Design Pemb. Jalan Kabupaten/Desa III</x:v>
      </x:c>
      <x:c r="C4" s="10" t="str">
        <x:v>Stock Design Pemb. Jalan Kabupaten/Desa III</x:v>
      </x:c>
      <x:c r="D4" s="10" t="str">
        <x:v>Stock Design Pemb. Jalan Kabupaten/Desa III</x:v>
      </x:c>
      <x:c r="E4" s="10" t="str">
        <x:v>Stock Design Pemb. Jalan Kabupaten/Desa III</x:v>
      </x:c>
      <x:c r="F4" s="10" t="str">
        <x:v>Stock Design Pemb. Jalan Kabupaten/Desa III</x:v>
      </x:c>
      <x:c r="G4" s="10" t="str">
        <x:v>Stock Design Pemb. Jalan Kabupaten/Desa III</x:v>
      </x:c>
    </x:row>
    <x:row r="5" ht="26" customHeight="1">
      <x:c r="A5" s="10" t="str">
        <x:v>Stock Design Pemb. Jalan Kabupaten/Desa III</x:v>
      </x:c>
      <x:c r="B5" s="10" t="str">
        <x:v>Stock Design Pemb. Jalan Kabupaten/Desa III</x:v>
      </x:c>
      <x:c r="C5" s="10" t="str">
        <x:v>Stock Design Pemb. Jalan Kabupaten/Desa III</x:v>
      </x:c>
      <x:c r="D5" s="10" t="str">
        <x:v>Stock Design Pemb. Jalan Kabupaten/Desa III</x:v>
      </x:c>
      <x:c r="E5" s="10" t="str">
        <x:v>Stock Design Pemb. Jalan Kabupaten/Desa III</x:v>
      </x:c>
      <x:c r="F5" s="10" t="str">
        <x:v>Stock Design Pemb. Jalan Kabupaten/Desa III</x:v>
      </x:c>
      <x:c r="G5" s="10" t="str">
        <x:v>Stock Design Pemb. Jalan Kabupaten/Desa III</x:v>
      </x:c>
    </x:row>
    <x:row r="6" ht="23" customHeight="1">
      <x:c r="A6" s="13" t="str">
        <x:v>Nomor RUP: 61322644 • Tahun Anggaran 2026</x:v>
      </x:c>
      <x:c r="B6" s="13" t="str">
        <x:v>Nomor RUP: 61322644 • Tahun Anggaran 2026</x:v>
      </x:c>
      <x:c r="C6" s="13" t="str">
        <x:v>Nomor RUP: 61322644 • Tahun Anggaran 2026</x:v>
      </x:c>
      <x:c r="D6" s="13" t="str">
        <x:v>Nomor RUP: 61322644 • Tahun Anggaran 2026</x:v>
      </x:c>
      <x:c r="E6" s="13" t="str">
        <x:v>Nomor RUP: 61322644 • Tahun Anggaran 2026</x:v>
      </x:c>
      <x:c r="F6" s="13" t="str">
        <x:v>Nomor RUP: 61322644 • Tahun Anggaran 2026</x:v>
      </x:c>
      <x:c r="G6" s="13" t="str">
        <x:v>Nomor RUP: 61322644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99867000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