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42113bebe64d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affa9c4138544771"/>
    <x:sheet xmlns:r="http://schemas.openxmlformats.org/officeDocument/2006/relationships" name="Rekap Penawaran" sheetId="2" r:id="Rf30db17e15414bc9"/>
  </x:sheets>
  <x:definedNames>
    <x:definedName name="_xlnm.Print_Area" localSheetId="0">'RAB Penawaran'!$A$1:$G$28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Arial"/>
    </x:font>
    <x:font>
      <x:b/>
      <x:sz val="18"/>
      <x:color rgb="FF783F59"/>
      <x:name val="Arial"/>
    </x:font>
    <x:font>
      <x:b/>
      <x:sz val="13"/>
      <x:color rgb="FF783F59"/>
      <x:name val="Arial"/>
    </x:font>
    <x:font>
      <x:sz val="10"/>
      <x:color rgb="FF783F59"/>
      <x:name val="Arial"/>
    </x:font>
    <x:font>
      <x:b/>
      <x:sz val="12"/>
      <x:color rgb="FF783F59"/>
      <x:name val="Arial"/>
    </x:font>
    <x:font>
      <x:b/>
      <x:sz val="10"/>
      <x:color rgb="FFFFFFFF"/>
      <x:name val="Arial"/>
    </x:font>
    <x:font>
      <x:b/>
      <x:sz val="11"/>
      <x:color rgb="FF783F59"/>
      <x:name val="Arial"/>
    </x:font>
    <x:font>
      <x:sz val="11"/>
      <x:color rgb="FF783F5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783F59"/>
      </x:patternFill>
    </x:fill>
    <x:fill>
      <x:patternFill patternType="solid">
        <x:fgColor rgb="FFFAF0F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783F59"/>
      </x:bottom>
      <x:diagonal/>
    </x:border>
    <x:border>
      <x:left/>
      <x:right/>
      <x:top style="thin">
        <x:color rgb="FF783F59"/>
      </x:top>
      <x:bottom style="double">
        <x:color rgb="FF783F59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824454af644281" /><Relationship Type="http://schemas.openxmlformats.org/officeDocument/2006/relationships/theme" Target="/xl/theme/theme1.xml" Id="R597ae95ab6044a0e" /><Relationship Type="http://schemas.openxmlformats.org/officeDocument/2006/relationships/sharedStrings" Target="/xl/sharedStrings.xml" Id="R0eb0d29ffb3e4d3f" /><Relationship Type="http://schemas.openxmlformats.org/officeDocument/2006/relationships/worksheet" Target="/xl/worksheets/sheet1.xml" Id="Raffa9c4138544771" /><Relationship Type="http://schemas.openxmlformats.org/officeDocument/2006/relationships/worksheet" Target="/xl/worksheets/sheet2.xml" Id="Rf30db17e15414b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VISUAL ART DESIGN</x:v>
      </x:c>
      <x:c r="B1" s="6" t="str">
        <x:v>CV. VISUAL ART DESIGN</x:v>
      </x:c>
      <x:c r="C1" s="6" t="str">
        <x:v>CV. VISUAL ART DESIGN</x:v>
      </x:c>
      <x:c r="D1" s="6" t="str">
        <x:v>CV. VISUAL ART DESIGN</x:v>
      </x:c>
      <x:c r="E1" s="6" t="str">
        <x:v>CV. VISUAL ART DESIGN</x:v>
      </x:c>
      <x:c r="F1" s="6" t="str">
        <x:v>CV. VISUAL ART DESIGN</x:v>
      </x:c>
      <x:c r="G1" s="6" t="str">
        <x:v>CV. VISUAL ART DESIGN</x:v>
      </x:c>
    </x:row>
    <x:row r="2" ht="23" customHeight="1">
      <x:c r="A2" s="7" t="str">
        <x:v>CV. VISUAL ART DESIGN</x:v>
      </x:c>
      <x:c r="B2" s="7" t="str">
        <x:v>CV. VISUAL ART DESIGN</x:v>
      </x:c>
      <x:c r="C2" s="7" t="str">
        <x:v>CV. VISUAL ART DESIGN</x:v>
      </x:c>
      <x:c r="D2" s="7" t="str">
        <x:v>CV. VISUAL ART DESIGN</x:v>
      </x:c>
      <x:c r="E2" s="7" t="str">
        <x:v>CV. VISUAL ART DESIGN</x:v>
      </x:c>
      <x:c r="F2" s="7" t="str">
        <x:v>CV. VISUAL ART DESIGN</x:v>
      </x:c>
      <x:c r="G2" s="7" t="str">
        <x:v>CV. VISUAL ART DESIGN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Design Sanitasi Ruas I</x:v>
      </x:c>
      <x:c r="B4" s="10" t="str">
        <x:v>Stock Design Sanitasi Ruas I</x:v>
      </x:c>
      <x:c r="C4" s="10" t="str">
        <x:v>Stock Design Sanitasi Ruas I</x:v>
      </x:c>
      <x:c r="D4" s="10" t="str">
        <x:v>Stock Design Sanitasi Ruas I</x:v>
      </x:c>
      <x:c r="E4" s="10" t="str">
        <x:v>Stock Design Sanitasi Ruas I</x:v>
      </x:c>
      <x:c r="F4" s="10" t="str">
        <x:v>Stock Design Sanitasi Ruas I</x:v>
      </x:c>
      <x:c r="G4" s="10" t="str">
        <x:v>Stock Design Sanitasi Ruas I</x:v>
      </x:c>
    </x:row>
    <x:row r="5" ht="26" customHeight="1">
      <x:c r="A5" s="10" t="str">
        <x:v>Stock Design Sanitasi Ruas I</x:v>
      </x:c>
      <x:c r="B5" s="10" t="str">
        <x:v>Stock Design Sanitasi Ruas I</x:v>
      </x:c>
      <x:c r="C5" s="10" t="str">
        <x:v>Stock Design Sanitasi Ruas I</x:v>
      </x:c>
      <x:c r="D5" s="10" t="str">
        <x:v>Stock Design Sanitasi Ruas I</x:v>
      </x:c>
      <x:c r="E5" s="10" t="str">
        <x:v>Stock Design Sanitasi Ruas I</x:v>
      </x:c>
      <x:c r="F5" s="10" t="str">
        <x:v>Stock Design Sanitasi Ruas I</x:v>
      </x:c>
      <x:c r="G5" s="10" t="str">
        <x:v>Stock Design Sanitasi Ruas I</x:v>
      </x:c>
    </x:row>
    <x:row r="6" ht="23" customHeight="1">
      <x:c r="A6" s="13" t="str">
        <x:v>Nomor RUP: 65625456 • Tahun Anggaran 2026</x:v>
      </x:c>
      <x:c r="B6" s="13" t="str">
        <x:v>Nomor RUP: 65625456 • Tahun Anggaran 2026</x:v>
      </x:c>
      <x:c r="C6" s="13" t="str">
        <x:v>Nomor RUP: 65625456 • Tahun Anggaran 2026</x:v>
      </x:c>
      <x:c r="D6" s="13" t="str">
        <x:v>Nomor RUP: 65625456 • Tahun Anggaran 2026</x:v>
      </x:c>
      <x:c r="E6" s="13" t="str">
        <x:v>Nomor RUP: 65625456 • Tahun Anggaran 2026</x:v>
      </x:c>
      <x:c r="F6" s="13" t="str">
        <x:v>Nomor RUP: 65625456 • Tahun Anggaran 2026</x:v>
      </x:c>
      <x:c r="G6" s="13" t="str">
        <x:v>Nomor RUP: 65625456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tahap konsepsi perancangan sebesar 10%</x:v>
      </x:c>
      <x:c r="C11" s="21" t="str">
        <x:v>LS</x:v>
      </x:c>
      <x:c r="D11" s="22" t="n">
        <x:v>1</x:v>
      </x:c>
      <x:c r="E11" s="22" t="n">
        <x:v>8978205.285784153</x:v>
      </x:c>
      <x:c r="F11" s="22" t="n">
        <x:v>11</x:v>
      </x:c>
      <x:c r="G11" s="22" t="n">
        <x:f>ROUND(D11*E11*(1+F11/100),2)</x:f>
        <x:v>9965807.87</x:v>
      </x:c>
    </x:row>
    <x:row r="12" ht="46" customHeight="1">
      <x:c r="A12" s="23" t="str">
        <x:v>2</x:v>
      </x:c>
      <x:c r="B12" s="23" t="str">
        <x:v>tahap pra rancangan sebesar 20%</x:v>
      </x:c>
      <x:c r="C12" s="23" t="str">
        <x:v>LS</x:v>
      </x:c>
      <x:c r="D12" s="24" t="n">
        <x:v>1</x:v>
      </x:c>
      <x:c r="E12" s="24" t="n">
        <x:v>17956510.445924897</x:v>
      </x:c>
      <x:c r="F12" s="24" t="n">
        <x:v>11</x:v>
      </x:c>
      <x:c r="G12" s="24" t="n">
        <x:f>ROUND(D12*E12*(1+F12/100),2)</x:f>
        <x:v>19931726.59</x:v>
      </x:c>
    </x:row>
    <x:row r="13" ht="46" customHeight="1">
      <x:c r="A13" s="21" t="str">
        <x:v>3</x:v>
      </x:c>
      <x:c r="B13" s="21" t="str">
        <x:v>tahap pengembangan rancangan sebesar 25%</x:v>
      </x:c>
      <x:c r="C13" s="21" t="str">
        <x:v>LS</x:v>
      </x:c>
      <x:c r="D13" s="22" t="n">
        <x:v>1</x:v>
      </x:c>
      <x:c r="E13" s="22" t="n">
        <x:v>22445663.02599527</x:v>
      </x:c>
      <x:c r="F13" s="22" t="n">
        <x:v>11</x:v>
      </x:c>
      <x:c r="G13" s="22" t="n">
        <x:f>ROUND(D13*E13*(1+F13/100),2)</x:f>
        <x:v>24914685.96</x:v>
      </x:c>
    </x:row>
    <x:row r="14" ht="64" customHeight="1">
      <x:c r="A14" s="23" t="str">
        <x:v>4</x:v>
      </x:c>
      <x:c r="B14" s="23" t="str">
        <x:v>tahap rancangan detail meliputi penyusunan rancangan gambar detail dan penyusunan Rencana Kerja dan Syarat (RKS), serta Rencana Anggaran Biaya (RAB) sebesar 25% 
</x:v>
      </x:c>
      <x:c r="C14" s="23" t="str">
        <x:v>LS</x:v>
      </x:c>
      <x:c r="D14" s="24" t="n">
        <x:v>1</x:v>
      </x:c>
      <x:c r="E14" s="24" t="n">
        <x:v>22445663.02599527</x:v>
      </x:c>
      <x:c r="F14" s="24" t="n">
        <x:v>11</x:v>
      </x:c>
      <x:c r="G14" s="24" t="n">
        <x:f>ROUND(D14*E14*(1+F14/100),2)</x:f>
        <x:v>24914685.96</x:v>
      </x:c>
    </x:row>
    <x:row r="15" ht="46" customHeight="1">
      <x:c r="A15" s="21" t="str">
        <x:v>5</x:v>
      </x:c>
      <x:c r="B15" s="21" t="str">
        <x:v>tahap pelelangan penyedia jasa pelaksanaan konstruksi sebesar 5%</x:v>
      </x:c>
      <x:c r="C15" s="21" t="str">
        <x:v>LS</x:v>
      </x:c>
      <x:c r="D15" s="22" t="n">
        <x:v>1</x:v>
      </x:c>
      <x:c r="E15" s="22" t="n">
        <x:v>4489052.705713781</x:v>
      </x:c>
      <x:c r="F15" s="22" t="n">
        <x:v>11</x:v>
      </x:c>
      <x:c r="G15" s="22" t="n">
        <x:f>ROUND(D15*E15*(1+F15/100),2)</x:f>
        <x:v>4982848.5</x:v>
      </x:c>
    </x:row>
    <x:row r="16" ht="46" customHeight="1">
      <x:c r="A16" s="23" t="str">
        <x:v>6</x:v>
      </x:c>
      <x:c r="B16" s="23" t="str">
        <x:v>tahap pengawasan berkala sebesar 15%</x:v>
      </x:c>
      <x:c r="C16" s="23" t="str">
        <x:v>LS</x:v>
      </x:c>
      <x:c r="D16" s="24" t="n">
        <x:v>1</x:v>
      </x:c>
      <x:c r="E16" s="24" t="n">
        <x:v>13467357.865854524</x:v>
      </x:c>
      <x:c r="F16" s="24" t="n">
        <x:v>11</x:v>
      </x:c>
      <x:c r="G16" s="24" t="n">
        <x:f>ROUND(D16*E16*(1+F16/100),2)</x:f>
        <x:v>14948767.23</x:v>
      </x:c>
    </x:row>
    <x:row r="17" ht="46" customHeight="1">
      <x:c r="A17" s="21" t="str">
        <x:v>7</x:v>
      </x:c>
      <x:c r="B17" s="21" t="str">
        <x:v>JKK/JKM</x:v>
      </x:c>
      <x:c r="C17" s="21" t="str">
        <x:v>LS</x:v>
      </x:c>
      <x:c r="D17" s="22" t="n">
        <x:v>1</x:v>
      </x:c>
      <x:c r="E17" s="22" t="n">
        <x:v>215477.88565264293</x:v>
      </x:c>
      <x:c r="F17" s="22" t="n">
        <x:v>0</x:v>
      </x:c>
      <x:c r="G17" s="22" t="n">
        <x:f>ROUND(D17*E17*(1+F17/100),2)</x:f>
        <x:v>215477.89</x:v>
      </x:c>
    </x:row>
    <x:row r="18" ht="32" customHeight="1">
      <x:c r="A18" s="29" t="str">
        <x:v>JUMLAH PENAWARAN TERMASUK PAJAK</x:v>
      </x:c>
      <x:c r="B18" s="29" t="str">
        <x:v>JUMLAH PENAWARAN TERMASUK PAJAK</x:v>
      </x:c>
      <x:c r="C18" s="29" t="str">
        <x:v>JUMLAH PENAWARAN TERMASUK PAJAK</x:v>
      </x:c>
      <x:c r="D18" s="29" t="str">
        <x:v>JUMLAH PENAWARAN TERMASUK PAJAK</x:v>
      </x:c>
      <x:c r="E18" s="29" t="str">
        <x:v>JUMLAH PENAWARAN TERMASUK PAJAK</x:v>
      </x:c>
      <x:c r="F18" s="29" t="str">
        <x:v>JUMLAH PENAWARAN TERMASUK PAJAK</x:v>
      </x:c>
      <x:c r="G18" s="31" t="n">
        <x:f>ROUND(SUM(G11:G17),2)</x:f>
        <x:v>99874000</x:v>
      </x:c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8" t="str">
        <x:v>Pasangkayu, 26 Oktober 2026</x:v>
      </x:c>
      <x:c r="E21" s="38" t="str">
        <x:v>Pasangkayu, 26 Oktober 2026</x:v>
      </x:c>
      <x:c r="F21" s="38" t="str">
        <x:v>Pasangkayu, 26 Oktober 2026</x:v>
      </x:c>
      <x:c r="G21" s="38" t="str">
        <x:v>Pasangkayu, 26 Oktober 2026</x:v>
      </x:c>
    </x:row>
    <x:row r="22" ht="23" customHeight="1">
      <x:c r="A22" s="3"/>
      <x:c r="B22" s="3"/>
      <x:c r="C22" s="3"/>
      <x:c r="D22" s="39" t="str">
        <x:v>CV. VISUAL ART DESIGN</x:v>
      </x:c>
      <x:c r="E22" s="39" t="str">
        <x:v>CV. VISUAL ART DESIGN</x:v>
      </x:c>
      <x:c r="F22" s="39" t="str">
        <x:v>CV. VISUAL ART DESIGN</x:v>
      </x:c>
      <x:c r="G22" s="39" t="str">
        <x:v>CV. VISUAL ART DESIGN</x:v>
      </x:c>
    </x:row>
    <x:row r="23" ht="23" customHeight="1">
      <x:c r="A23" s="3"/>
      <x:c r="B23" s="3"/>
      <x:c r="C23" s="3"/>
      <x:c r="D23" s="39" t="str">
        <x:v>CV. VISUAL ART DESIGN</x:v>
      </x:c>
      <x:c r="E23" s="39" t="str">
        <x:v>CV. VISUAL ART DESIGN</x:v>
      </x:c>
      <x:c r="F23" s="39" t="str">
        <x:v>CV. VISUAL ART DESIGN</x:v>
      </x:c>
      <x:c r="G23" s="39" t="str">
        <x:v>CV. VISUAL ART DESIGN</x:v>
      </x:c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9" t="str">
        <x:v>A. AHMAD HUSAING</x:v>
      </x:c>
      <x:c r="E27" s="39" t="str">
        <x:v>A. AHMAD HUSAING</x:v>
      </x:c>
      <x:c r="F27" s="39" t="str">
        <x:v>A. AHMAD HUSAING</x:v>
      </x:c>
      <x:c r="G27" s="39" t="str">
        <x:v>A. AHMAD HUSAING</x:v>
      </x:c>
    </x:row>
    <x:row r="28" ht="23" customHeight="1">
      <x:c r="A28" s="3"/>
      <x:c r="B28" s="3"/>
      <x:c r="C28" s="3"/>
      <x:c r="D28" s="38" t="str">
        <x:v>Direktur</x:v>
      </x:c>
      <x:c r="E28" s="38" t="str">
        <x:v>Direktur</x:v>
      </x:c>
      <x:c r="F28" s="38" t="str">
        <x:v>Direktur</x:v>
      </x:c>
      <x:c r="G28" s="38" t="str">
        <x:v>Direktur</x:v>
      </x:c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8:F18"/>
    <x:mergeCell ref="D21:G21"/>
    <x:mergeCell ref="D22:G23"/>
    <x:mergeCell ref="D27:G27"/>
    <x:mergeCell ref="D28:G28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VISUAL ART DESIGN</x:v>
      </x:c>
      <x:c r="B1" s="6" t="str">
        <x:v>CV. VISUAL ART DESIGN</x:v>
      </x:c>
      <x:c r="C1" s="6" t="str">
        <x:v>CV. VISUAL ART DESIGN</x:v>
      </x:c>
      <x:c r="D1" s="6" t="str">
        <x:v>CV. VISUAL ART DESIGN</x:v>
      </x:c>
      <x:c r="E1" s="6" t="str">
        <x:v>CV. VISUAL ART DESIGN</x:v>
      </x:c>
      <x:c r="F1" s="6" t="str">
        <x:v>CV. VISUAL ART DESIGN</x:v>
      </x:c>
      <x:c r="G1" s="6" t="str">
        <x:v>CV. VISUAL ART DESIGN</x:v>
      </x:c>
    </x:row>
    <x:row r="2" ht="23" customHeight="1">
      <x:c r="A2" s="7" t="str">
        <x:v>CV. VISUAL ART DESIGN</x:v>
      </x:c>
      <x:c r="B2" s="7" t="str">
        <x:v>CV. VISUAL ART DESIGN</x:v>
      </x:c>
      <x:c r="C2" s="7" t="str">
        <x:v>CV. VISUAL ART DESIGN</x:v>
      </x:c>
      <x:c r="D2" s="7" t="str">
        <x:v>CV. VISUAL ART DESIGN</x:v>
      </x:c>
      <x:c r="E2" s="7" t="str">
        <x:v>CV. VISUAL ART DESIGN</x:v>
      </x:c>
      <x:c r="F2" s="7" t="str">
        <x:v>CV. VISUAL ART DESIGN</x:v>
      </x:c>
      <x:c r="G2" s="7" t="str">
        <x:v>CV. VISUAL ART DESIGN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Design Sanitasi Ruas I</x:v>
      </x:c>
      <x:c r="B4" s="10" t="str">
        <x:v>Stock Design Sanitasi Ruas I</x:v>
      </x:c>
      <x:c r="C4" s="10" t="str">
        <x:v>Stock Design Sanitasi Ruas I</x:v>
      </x:c>
      <x:c r="D4" s="10" t="str">
        <x:v>Stock Design Sanitasi Ruas I</x:v>
      </x:c>
      <x:c r="E4" s="10" t="str">
        <x:v>Stock Design Sanitasi Ruas I</x:v>
      </x:c>
      <x:c r="F4" s="10" t="str">
        <x:v>Stock Design Sanitasi Ruas I</x:v>
      </x:c>
      <x:c r="G4" s="10" t="str">
        <x:v>Stock Design Sanitasi Ruas I</x:v>
      </x:c>
    </x:row>
    <x:row r="5" ht="26" customHeight="1">
      <x:c r="A5" s="10" t="str">
        <x:v>Stock Design Sanitasi Ruas I</x:v>
      </x:c>
      <x:c r="B5" s="10" t="str">
        <x:v>Stock Design Sanitasi Ruas I</x:v>
      </x:c>
      <x:c r="C5" s="10" t="str">
        <x:v>Stock Design Sanitasi Ruas I</x:v>
      </x:c>
      <x:c r="D5" s="10" t="str">
        <x:v>Stock Design Sanitasi Ruas I</x:v>
      </x:c>
      <x:c r="E5" s="10" t="str">
        <x:v>Stock Design Sanitasi Ruas I</x:v>
      </x:c>
      <x:c r="F5" s="10" t="str">
        <x:v>Stock Design Sanitasi Ruas I</x:v>
      </x:c>
      <x:c r="G5" s="10" t="str">
        <x:v>Stock Design Sanitasi Ruas I</x:v>
      </x:c>
    </x:row>
    <x:row r="6" ht="23" customHeight="1">
      <x:c r="A6" s="13" t="str">
        <x:v>Nomor RUP: 65625456 • Tahun Anggaran 2026</x:v>
      </x:c>
      <x:c r="B6" s="13" t="str">
        <x:v>Nomor RUP: 65625456 • Tahun Anggaran 2026</x:v>
      </x:c>
      <x:c r="C6" s="13" t="str">
        <x:v>Nomor RUP: 65625456 • Tahun Anggaran 2026</x:v>
      </x:c>
      <x:c r="D6" s="13" t="str">
        <x:v>Nomor RUP: 65625456 • Tahun Anggaran 2026</x:v>
      </x:c>
      <x:c r="E6" s="13" t="str">
        <x:v>Nomor RUP: 65625456 • Tahun Anggaran 2026</x:v>
      </x:c>
      <x:c r="F6" s="13" t="str">
        <x:v>Nomor RUP: 65625456 • Tahun Anggaran 2026</x:v>
      </x:c>
      <x:c r="G6" s="13" t="str">
        <x:v>Nomor RUP: 65625456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Penawaran'!G18</x:f>
        <x:v>99874000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CV. VISUAL ART DESIGN</x:v>
      </x:c>
      <x:c r="E16" s="39" t="str">
        <x:v>CV. VISUAL ART DESIGN</x:v>
      </x:c>
      <x:c r="F16" s="39" t="str">
        <x:v>CV. VISUAL ART DESIGN</x:v>
      </x:c>
      <x:c r="G16" s="39" t="str">
        <x:v>CV. VISUAL ART DESIGN</x:v>
      </x:c>
    </x:row>
    <x:row r="17" ht="23" customHeight="1">
      <x:c r="A17" s="3"/>
      <x:c r="B17" s="3"/>
      <x:c r="C17" s="3"/>
      <x:c r="D17" s="39" t="str">
        <x:v>CV. VISUAL ART DESIGN</x:v>
      </x:c>
      <x:c r="E17" s="39" t="str">
        <x:v>CV. VISUAL ART DESIGN</x:v>
      </x:c>
      <x:c r="F17" s="39" t="str">
        <x:v>CV. VISUAL ART DESIGN</x:v>
      </x:c>
      <x:c r="G17" s="39" t="str">
        <x:v>CV. VISUAL ART DESIGN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A. AHMAD HUSAING</x:v>
      </x:c>
      <x:c r="E21" s="39" t="str">
        <x:v>A. AHMAD HUSAING</x:v>
      </x:c>
      <x:c r="F21" s="39" t="str">
        <x:v>A. AHMAD HUSAING</x:v>
      </x:c>
      <x:c r="G21" s="39" t="str">
        <x:v>A. AHMAD HUSAING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