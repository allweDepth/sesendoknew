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ae288b4de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91e4cc881f834135"/>
    <x:sheet xmlns:r="http://schemas.openxmlformats.org/officeDocument/2006/relationships" name="Rekap Penawaran" sheetId="2" r:id="Rec73800ae5a94068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17a91e9eb4355" /><Relationship Type="http://schemas.openxmlformats.org/officeDocument/2006/relationships/theme" Target="/xl/theme/theme1.xml" Id="R624601963940486a" /><Relationship Type="http://schemas.openxmlformats.org/officeDocument/2006/relationships/sharedStrings" Target="/xl/sharedStrings.xml" Id="R482cb0bebd8a46d0" /><Relationship Type="http://schemas.openxmlformats.org/officeDocument/2006/relationships/worksheet" Target="/xl/worksheets/sheet1.xml" Id="R91e4cc881f834135" /><Relationship Type="http://schemas.openxmlformats.org/officeDocument/2006/relationships/worksheet" Target="/xl/worksheets/sheet2.xml" Id="Rec73800ae5a940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III</x:v>
      </x:c>
      <x:c r="B4" s="10" t="str">
        <x:v>Stock Desain Rekonstruksi Jalan Kabupaten III</x:v>
      </x:c>
      <x:c r="C4" s="10" t="str">
        <x:v>Stock Desain Rekonstruksi Jalan Kabupaten III</x:v>
      </x:c>
      <x:c r="D4" s="10" t="str">
        <x:v>Stock Desain Rekonstruksi Jalan Kabupaten III</x:v>
      </x:c>
      <x:c r="E4" s="10" t="str">
        <x:v>Stock Desain Rekonstruksi Jalan Kabupaten III</x:v>
      </x:c>
      <x:c r="F4" s="10" t="str">
        <x:v>Stock Desain Rekonstruksi Jalan Kabupaten III</x:v>
      </x:c>
      <x:c r="G4" s="10" t="str">
        <x:v>Stock Desain Rekonstruksi Jalan Kabupaten III</x:v>
      </x:c>
    </x:row>
    <x:row r="5" ht="26" customHeight="1">
      <x:c r="A5" s="10" t="str">
        <x:v>Stock Desain Rekonstruksi Jalan Kabupaten III</x:v>
      </x:c>
      <x:c r="B5" s="10" t="str">
        <x:v>Stock Desain Rekonstruksi Jalan Kabupaten III</x:v>
      </x:c>
      <x:c r="C5" s="10" t="str">
        <x:v>Stock Desain Rekonstruksi Jalan Kabupaten III</x:v>
      </x:c>
      <x:c r="D5" s="10" t="str">
        <x:v>Stock Desain Rekonstruksi Jalan Kabupaten III</x:v>
      </x:c>
      <x:c r="E5" s="10" t="str">
        <x:v>Stock Desain Rekonstruksi Jalan Kabupaten III</x:v>
      </x:c>
      <x:c r="F5" s="10" t="str">
        <x:v>Stock Desain Rekonstruksi Jalan Kabupaten III</x:v>
      </x:c>
      <x:c r="G5" s="10" t="str">
        <x:v>Stock Desain Rekonstruksi Jalan Kabupaten III</x:v>
      </x:c>
    </x:row>
    <x:row r="6" ht="23" customHeight="1">
      <x:c r="A6" s="13" t="str">
        <x:v>Nomor RUP: 62453959 • Tahun Anggaran 2026</x:v>
      </x:c>
      <x:c r="B6" s="13" t="str">
        <x:v>Nomor RUP: 62453959 • Tahun Anggaran 2026</x:v>
      </x:c>
      <x:c r="C6" s="13" t="str">
        <x:v>Nomor RUP: 62453959 • Tahun Anggaran 2026</x:v>
      </x:c>
      <x:c r="D6" s="13" t="str">
        <x:v>Nomor RUP: 62453959 • Tahun Anggaran 2026</x:v>
      </x:c>
      <x:c r="E6" s="13" t="str">
        <x:v>Nomor RUP: 62453959 • Tahun Anggaran 2026</x:v>
      </x:c>
      <x:c r="F6" s="13" t="str">
        <x:v>Nomor RUP: 62453959 • Tahun Anggaran 2026</x:v>
      </x:c>
      <x:c r="G6" s="13" t="str">
        <x:v>Nomor RUP: 62453959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8528279.204547614</x:v>
      </x:c>
      <x:c r="F11" s="22" t="n">
        <x:v>11</x:v>
      </x:c>
      <x:c r="G11" s="22" t="n">
        <x:f>ROUND(D11*E11*(1+F11/100),2)</x:f>
        <x:v>9466389.92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17056653.278433952</x:v>
      </x:c>
      <x:c r="F12" s="24" t="n">
        <x:v>11</x:v>
      </x:c>
      <x:c r="G12" s="24" t="n">
        <x:f>ROUND(D12*E12*(1+F12/100),2)</x:f>
        <x:v>18932885.14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21320840.306368113</x:v>
      </x:c>
      <x:c r="F13" s="22" t="n">
        <x:v>11</x:v>
      </x:c>
      <x:c r="G13" s="22" t="n">
        <x:f>ROUND(D13*E13*(1+F13/100),2)</x:f>
        <x:v>23666132.74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21320840.315377124</x:v>
      </x:c>
      <x:c r="F14" s="24" t="n">
        <x:v>11</x:v>
      </x:c>
      <x:c r="G14" s="24" t="n">
        <x:f>ROUND(D14*E14*(1+F14/100),2)</x:f>
        <x:v>23666132.75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4264092.1676044455</x:v>
      </x:c>
      <x:c r="F15" s="22" t="n">
        <x:v>11</x:v>
      </x:c>
      <x:c r="G15" s="22" t="n">
        <x:f>ROUND(D15*E15*(1+F15/100),2)</x:f>
        <x:v>4733142.31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12792466.241490783</x:v>
      </x:c>
      <x:c r="F16" s="24" t="n">
        <x:v>11</x:v>
      </x:c>
      <x:c r="G16" s="24" t="n">
        <x:f>ROUND(D16*E16*(1+F16/100),2)</x:f>
        <x:v>14199637.53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204679.60965754525</x:v>
      </x:c>
      <x:c r="F17" s="22" t="n">
        <x:v>0</x:v>
      </x:c>
      <x:c r="G17" s="22" t="n">
        <x:f>ROUND(D17*E17*(1+F17/100),2)</x:f>
        <x:v>204679.61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94869000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MUARA KARYA DESAIN</x:v>
      </x:c>
      <x:c r="E22" s="39" t="str">
        <x:v>CV. MUARA KARYA DESAIN</x:v>
      </x:c>
      <x:c r="F22" s="39" t="str">
        <x:v>CV. MUARA KARYA DESAIN</x:v>
      </x:c>
      <x:c r="G22" s="39" t="str">
        <x:v>CV. MUARA KARYA DESAIN</x:v>
      </x:c>
    </x:row>
    <x:row r="23" ht="23" customHeight="1">
      <x:c r="A23" s="3"/>
      <x:c r="B23" s="3"/>
      <x:c r="C23" s="3"/>
      <x:c r="D23" s="39" t="str">
        <x:v>CV. MUARA KARYA DESAIN</x:v>
      </x:c>
      <x:c r="E23" s="39" t="str">
        <x:v>CV. MUARA KARYA DESAIN</x:v>
      </x:c>
      <x:c r="F23" s="39" t="str">
        <x:v>CV. MUARA KARYA DESAIN</x:v>
      </x:c>
      <x:c r="G23" s="39" t="str">
        <x:v>CV. MUARA KARYA DESAIN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MASRI J, S.T</x:v>
      </x:c>
      <x:c r="E27" s="39" t="str">
        <x:v>MASRI J, S.T</x:v>
      </x:c>
      <x:c r="F27" s="39" t="str">
        <x:v>MASRI J, S.T</x:v>
      </x:c>
      <x:c r="G27" s="39" t="str">
        <x:v>MASRI J, S.T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III</x:v>
      </x:c>
      <x:c r="B4" s="10" t="str">
        <x:v>Stock Desain Rekonstruksi Jalan Kabupaten III</x:v>
      </x:c>
      <x:c r="C4" s="10" t="str">
        <x:v>Stock Desain Rekonstruksi Jalan Kabupaten III</x:v>
      </x:c>
      <x:c r="D4" s="10" t="str">
        <x:v>Stock Desain Rekonstruksi Jalan Kabupaten III</x:v>
      </x:c>
      <x:c r="E4" s="10" t="str">
        <x:v>Stock Desain Rekonstruksi Jalan Kabupaten III</x:v>
      </x:c>
      <x:c r="F4" s="10" t="str">
        <x:v>Stock Desain Rekonstruksi Jalan Kabupaten III</x:v>
      </x:c>
      <x:c r="G4" s="10" t="str">
        <x:v>Stock Desain Rekonstruksi Jalan Kabupaten III</x:v>
      </x:c>
    </x:row>
    <x:row r="5" ht="26" customHeight="1">
      <x:c r="A5" s="10" t="str">
        <x:v>Stock Desain Rekonstruksi Jalan Kabupaten III</x:v>
      </x:c>
      <x:c r="B5" s="10" t="str">
        <x:v>Stock Desain Rekonstruksi Jalan Kabupaten III</x:v>
      </x:c>
      <x:c r="C5" s="10" t="str">
        <x:v>Stock Desain Rekonstruksi Jalan Kabupaten III</x:v>
      </x:c>
      <x:c r="D5" s="10" t="str">
        <x:v>Stock Desain Rekonstruksi Jalan Kabupaten III</x:v>
      </x:c>
      <x:c r="E5" s="10" t="str">
        <x:v>Stock Desain Rekonstruksi Jalan Kabupaten III</x:v>
      </x:c>
      <x:c r="F5" s="10" t="str">
        <x:v>Stock Desain Rekonstruksi Jalan Kabupaten III</x:v>
      </x:c>
      <x:c r="G5" s="10" t="str">
        <x:v>Stock Desain Rekonstruksi Jalan Kabupaten III</x:v>
      </x:c>
    </x:row>
    <x:row r="6" ht="23" customHeight="1">
      <x:c r="A6" s="13" t="str">
        <x:v>Nomor RUP: 62453959 • Tahun Anggaran 2026</x:v>
      </x:c>
      <x:c r="B6" s="13" t="str">
        <x:v>Nomor RUP: 62453959 • Tahun Anggaran 2026</x:v>
      </x:c>
      <x:c r="C6" s="13" t="str">
        <x:v>Nomor RUP: 62453959 • Tahun Anggaran 2026</x:v>
      </x:c>
      <x:c r="D6" s="13" t="str">
        <x:v>Nomor RUP: 62453959 • Tahun Anggaran 2026</x:v>
      </x:c>
      <x:c r="E6" s="13" t="str">
        <x:v>Nomor RUP: 62453959 • Tahun Anggaran 2026</x:v>
      </x:c>
      <x:c r="F6" s="13" t="str">
        <x:v>Nomor RUP: 62453959 • Tahun Anggaran 2026</x:v>
      </x:c>
      <x:c r="G6" s="13" t="str">
        <x:v>Nomor RUP: 62453959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94869000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