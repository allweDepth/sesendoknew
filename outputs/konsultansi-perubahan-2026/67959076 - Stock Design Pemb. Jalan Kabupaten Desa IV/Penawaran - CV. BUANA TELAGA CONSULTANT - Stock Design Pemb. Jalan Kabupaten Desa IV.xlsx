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3b9ee2025643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5e460347d6e3467c"/>
    <x:sheet xmlns:r="http://schemas.openxmlformats.org/officeDocument/2006/relationships" name="Rekap Penawaran" sheetId="2" r:id="Rd59abd344b3246c5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Verdana"/>
    </x:font>
    <x:font>
      <x:b/>
      <x:sz val="18"/>
      <x:color rgb="FF51426C"/>
      <x:name val="Verdana"/>
    </x:font>
    <x:font>
      <x:b/>
      <x:sz val="13"/>
      <x:color rgb="FF51426C"/>
      <x:name val="Verdana"/>
    </x:font>
    <x:font>
      <x:sz val="10"/>
      <x:color rgb="FF51426C"/>
      <x:name val="Verdana"/>
    </x:font>
    <x:font>
      <x:b/>
      <x:sz val="12"/>
      <x:color rgb="FF51426C"/>
      <x:name val="Verdana"/>
    </x:font>
    <x:font>
      <x:b/>
      <x:sz val="10"/>
      <x:color rgb="FFFFFFFF"/>
      <x:name val="Verdana"/>
    </x:font>
    <x:font>
      <x:b/>
      <x:sz val="11"/>
      <x:color rgb="FF51426C"/>
      <x:name val="Verdana"/>
    </x:font>
    <x:font>
      <x:sz val="11"/>
      <x:color rgb="FF51426C"/>
      <x:name val="Verdana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51426C"/>
      </x:patternFill>
    </x:fill>
    <x:fill>
      <x:patternFill patternType="solid">
        <x:fgColor rgb="FFF3F0F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51426C"/>
      </x:bottom>
      <x:diagonal/>
    </x:border>
    <x:border>
      <x:left/>
      <x:right/>
      <x:top style="thin">
        <x:color rgb="FF51426C"/>
      </x:top>
      <x:bottom style="double">
        <x:color rgb="FF51426C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c43e961efb493b" /><Relationship Type="http://schemas.openxmlformats.org/officeDocument/2006/relationships/theme" Target="/xl/theme/theme1.xml" Id="Ra400fdf2d5d04914" /><Relationship Type="http://schemas.openxmlformats.org/officeDocument/2006/relationships/sharedStrings" Target="/xl/sharedStrings.xml" Id="Rc47bd871688c4f40" /><Relationship Type="http://schemas.openxmlformats.org/officeDocument/2006/relationships/worksheet" Target="/xl/worksheets/sheet1.xml" Id="R5e460347d6e3467c" /><Relationship Type="http://schemas.openxmlformats.org/officeDocument/2006/relationships/worksheet" Target="/xl/worksheets/sheet2.xml" Id="Rd59abd344b3246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BUANA TELAGA CONSULTANT</x:v>
      </x:c>
      <x:c r="B1" s="6" t="str">
        <x:v>CV. BUANA TELAGA CONSULTANT</x:v>
      </x:c>
      <x:c r="C1" s="6" t="str">
        <x:v>CV. BUANA TELAGA CONSULTANT</x:v>
      </x:c>
      <x:c r="D1" s="6" t="str">
        <x:v>CV. BUANA TELAGA CONSULTANT</x:v>
      </x:c>
      <x:c r="E1" s="6" t="str">
        <x:v>CV. BUANA TELAGA CONSULTANT</x:v>
      </x:c>
      <x:c r="F1" s="6" t="str">
        <x:v>CV. BUANA TELAGA CONSULTANT</x:v>
      </x:c>
      <x:c r="G1" s="6" t="str">
        <x:v>CV. BUANA TELAGA CONSULTANT</x:v>
      </x:c>
    </x:row>
    <x:row r="2" ht="23" customHeight="1">
      <x:c r="A2" s="7" t="str">
        <x:v>CV. BUANA TELAGA CONSULTANT</x:v>
      </x:c>
      <x:c r="B2" s="7" t="str">
        <x:v>CV. BUANA TELAGA CONSULTANT</x:v>
      </x:c>
      <x:c r="C2" s="7" t="str">
        <x:v>CV. BUANA TELAGA CONSULTANT</x:v>
      </x:c>
      <x:c r="D2" s="7" t="str">
        <x:v>CV. BUANA TELAGA CONSULTANT</x:v>
      </x:c>
      <x:c r="E2" s="7" t="str">
        <x:v>CV. BUANA TELAGA CONSULTANT</x:v>
      </x:c>
      <x:c r="F2" s="7" t="str">
        <x:v>CV. BUANA TELAGA CONSULTANT</x:v>
      </x:c>
      <x:c r="G2" s="7" t="str">
        <x:v>CV. BUANA TELAGA CONSULTANT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Pemb. Jalan Kabupaten/Desa IV</x:v>
      </x:c>
      <x:c r="B4" s="10" t="str">
        <x:v>Stock Design Pemb. Jalan Kabupaten/Desa IV</x:v>
      </x:c>
      <x:c r="C4" s="10" t="str">
        <x:v>Stock Design Pemb. Jalan Kabupaten/Desa IV</x:v>
      </x:c>
      <x:c r="D4" s="10" t="str">
        <x:v>Stock Design Pemb. Jalan Kabupaten/Desa IV</x:v>
      </x:c>
      <x:c r="E4" s="10" t="str">
        <x:v>Stock Design Pemb. Jalan Kabupaten/Desa IV</x:v>
      </x:c>
      <x:c r="F4" s="10" t="str">
        <x:v>Stock Design Pemb. Jalan Kabupaten/Desa IV</x:v>
      </x:c>
      <x:c r="G4" s="10" t="str">
        <x:v>Stock Design Pemb. Jalan Kabupaten/Desa IV</x:v>
      </x:c>
    </x:row>
    <x:row r="5" ht="26" customHeight="1">
      <x:c r="A5" s="10" t="str">
        <x:v>Stock Design Pemb. Jalan Kabupaten/Desa IV</x:v>
      </x:c>
      <x:c r="B5" s="10" t="str">
        <x:v>Stock Design Pemb. Jalan Kabupaten/Desa IV</x:v>
      </x:c>
      <x:c r="C5" s="10" t="str">
        <x:v>Stock Design Pemb. Jalan Kabupaten/Desa IV</x:v>
      </x:c>
      <x:c r="D5" s="10" t="str">
        <x:v>Stock Design Pemb. Jalan Kabupaten/Desa IV</x:v>
      </x:c>
      <x:c r="E5" s="10" t="str">
        <x:v>Stock Design Pemb. Jalan Kabupaten/Desa IV</x:v>
      </x:c>
      <x:c r="F5" s="10" t="str">
        <x:v>Stock Design Pemb. Jalan Kabupaten/Desa IV</x:v>
      </x:c>
      <x:c r="G5" s="10" t="str">
        <x:v>Stock Design Pemb. Jalan Kabupaten/Desa IV</x:v>
      </x:c>
    </x:row>
    <x:row r="6" ht="23" customHeight="1">
      <x:c r="A6" s="13" t="str">
        <x:v>Nomor RUP: 67959076 • Tahun Anggaran 2026</x:v>
      </x:c>
      <x:c r="B6" s="13" t="str">
        <x:v>Nomor RUP: 67959076 • Tahun Anggaran 2026</x:v>
      </x:c>
      <x:c r="C6" s="13" t="str">
        <x:v>Nomor RUP: 67959076 • Tahun Anggaran 2026</x:v>
      </x:c>
      <x:c r="D6" s="13" t="str">
        <x:v>Nomor RUP: 67959076 • Tahun Anggaran 2026</x:v>
      </x:c>
      <x:c r="E6" s="13" t="str">
        <x:v>Nomor RUP: 67959076 • Tahun Anggaran 2026</x:v>
      </x:c>
      <x:c r="F6" s="13" t="str">
        <x:v>Nomor RUP: 67959076 • Tahun Anggaran 2026</x:v>
      </x:c>
      <x:c r="G6" s="13" t="str">
        <x:v>Nomor RUP: 67959076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8979643.610919548</x:v>
      </x:c>
      <x:c r="F11" s="22" t="n">
        <x:v>11</x:v>
      </x:c>
      <x:c r="G11" s="22" t="n">
        <x:f>ROUND(D11*E11*(1+F11/100),2)</x:f>
        <x:v>9967404.41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17959387.112195745</x:v>
      </x:c>
      <x:c r="F12" s="24" t="n">
        <x:v>11</x:v>
      </x:c>
      <x:c r="G12" s="24" t="n">
        <x:f>ROUND(D12*E12*(1+F12/100),2)</x:f>
        <x:v>19934919.69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22449258.862833843</x:v>
      </x:c>
      <x:c r="F13" s="22" t="n">
        <x:v>11</x:v>
      </x:c>
      <x:c r="G13" s="22" t="n">
        <x:f>ROUND(D13*E13*(1+F13/100),2)</x:f>
        <x:v>24918677.34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22449258.862833843</x:v>
      </x:c>
      <x:c r="F14" s="24" t="n">
        <x:v>11</x:v>
      </x:c>
      <x:c r="G14" s="24" t="n">
        <x:f>ROUND(D14*E14*(1+F14/100),2)</x:f>
        <x:v>24918677.34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4489771.86028145</x:v>
      </x:c>
      <x:c r="F15" s="22" t="n">
        <x:v>11</x:v>
      </x:c>
      <x:c r="G15" s="22" t="n">
        <x:f>ROUND(D15*E15*(1+F15/100),2)</x:f>
        <x:v>4983646.76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13469515.361557648</x:v>
      </x:c>
      <x:c r="F16" s="24" t="n">
        <x:v>11</x:v>
      </x:c>
      <x:c r="G16" s="24" t="n">
        <x:f>ROUND(D16*E16*(1+F16/100),2)</x:f>
        <x:v>14951162.05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215512.405609493</x:v>
      </x:c>
      <x:c r="F17" s="22" t="n">
        <x:v>0</x:v>
      </x:c>
      <x:c r="G17" s="22" t="n">
        <x:f>ROUND(D17*E17*(1+F17/100),2)</x:f>
        <x:v>215512.41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99890000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CV. BUANA TELAGA CONSULTANT</x:v>
      </x:c>
      <x:c r="E22" s="39" t="str">
        <x:v>CV. BUANA TELAGA CONSULTANT</x:v>
      </x:c>
      <x:c r="F22" s="39" t="str">
        <x:v>CV. BUANA TELAGA CONSULTANT</x:v>
      </x:c>
      <x:c r="G22" s="39" t="str">
        <x:v>CV. BUANA TELAGA CONSULTANT</x:v>
      </x:c>
    </x:row>
    <x:row r="23" ht="23" customHeight="1">
      <x:c r="A23" s="3"/>
      <x:c r="B23" s="3"/>
      <x:c r="C23" s="3"/>
      <x:c r="D23" s="39" t="str">
        <x:v>CV. BUANA TELAGA CONSULTANT</x:v>
      </x:c>
      <x:c r="E23" s="39" t="str">
        <x:v>CV. BUANA TELAGA CONSULTANT</x:v>
      </x:c>
      <x:c r="F23" s="39" t="str">
        <x:v>CV. BUANA TELAGA CONSULTANT</x:v>
      </x:c>
      <x:c r="G23" s="39" t="str">
        <x:v>CV. BUANA TELAGA CONSULTANT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AZWAR, ST</x:v>
      </x:c>
      <x:c r="E27" s="39" t="str">
        <x:v>AZWAR, ST</x:v>
      </x:c>
      <x:c r="F27" s="39" t="str">
        <x:v>AZWAR, ST</x:v>
      </x:c>
      <x:c r="G27" s="39" t="str">
        <x:v>AZWAR, ST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BUANA TELAGA CONSULTANT</x:v>
      </x:c>
      <x:c r="B1" s="6" t="str">
        <x:v>CV. BUANA TELAGA CONSULTANT</x:v>
      </x:c>
      <x:c r="C1" s="6" t="str">
        <x:v>CV. BUANA TELAGA CONSULTANT</x:v>
      </x:c>
      <x:c r="D1" s="6" t="str">
        <x:v>CV. BUANA TELAGA CONSULTANT</x:v>
      </x:c>
      <x:c r="E1" s="6" t="str">
        <x:v>CV. BUANA TELAGA CONSULTANT</x:v>
      </x:c>
      <x:c r="F1" s="6" t="str">
        <x:v>CV. BUANA TELAGA CONSULTANT</x:v>
      </x:c>
      <x:c r="G1" s="6" t="str">
        <x:v>CV. BUANA TELAGA CONSULTANT</x:v>
      </x:c>
    </x:row>
    <x:row r="2" ht="23" customHeight="1">
      <x:c r="A2" s="7" t="str">
        <x:v>CV. BUANA TELAGA CONSULTANT</x:v>
      </x:c>
      <x:c r="B2" s="7" t="str">
        <x:v>CV. BUANA TELAGA CONSULTANT</x:v>
      </x:c>
      <x:c r="C2" s="7" t="str">
        <x:v>CV. BUANA TELAGA CONSULTANT</x:v>
      </x:c>
      <x:c r="D2" s="7" t="str">
        <x:v>CV. BUANA TELAGA CONSULTANT</x:v>
      </x:c>
      <x:c r="E2" s="7" t="str">
        <x:v>CV. BUANA TELAGA CONSULTANT</x:v>
      </x:c>
      <x:c r="F2" s="7" t="str">
        <x:v>CV. BUANA TELAGA CONSULTANT</x:v>
      </x:c>
      <x:c r="G2" s="7" t="str">
        <x:v>CV. BUANA TELAGA CONSULTANT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Pemb. Jalan Kabupaten/Desa IV</x:v>
      </x:c>
      <x:c r="B4" s="10" t="str">
        <x:v>Stock Design Pemb. Jalan Kabupaten/Desa IV</x:v>
      </x:c>
      <x:c r="C4" s="10" t="str">
        <x:v>Stock Design Pemb. Jalan Kabupaten/Desa IV</x:v>
      </x:c>
      <x:c r="D4" s="10" t="str">
        <x:v>Stock Design Pemb. Jalan Kabupaten/Desa IV</x:v>
      </x:c>
      <x:c r="E4" s="10" t="str">
        <x:v>Stock Design Pemb. Jalan Kabupaten/Desa IV</x:v>
      </x:c>
      <x:c r="F4" s="10" t="str">
        <x:v>Stock Design Pemb. Jalan Kabupaten/Desa IV</x:v>
      </x:c>
      <x:c r="G4" s="10" t="str">
        <x:v>Stock Design Pemb. Jalan Kabupaten/Desa IV</x:v>
      </x:c>
    </x:row>
    <x:row r="5" ht="26" customHeight="1">
      <x:c r="A5" s="10" t="str">
        <x:v>Stock Design Pemb. Jalan Kabupaten/Desa IV</x:v>
      </x:c>
      <x:c r="B5" s="10" t="str">
        <x:v>Stock Design Pemb. Jalan Kabupaten/Desa IV</x:v>
      </x:c>
      <x:c r="C5" s="10" t="str">
        <x:v>Stock Design Pemb. Jalan Kabupaten/Desa IV</x:v>
      </x:c>
      <x:c r="D5" s="10" t="str">
        <x:v>Stock Design Pemb. Jalan Kabupaten/Desa IV</x:v>
      </x:c>
      <x:c r="E5" s="10" t="str">
        <x:v>Stock Design Pemb. Jalan Kabupaten/Desa IV</x:v>
      </x:c>
      <x:c r="F5" s="10" t="str">
        <x:v>Stock Design Pemb. Jalan Kabupaten/Desa IV</x:v>
      </x:c>
      <x:c r="G5" s="10" t="str">
        <x:v>Stock Design Pemb. Jalan Kabupaten/Desa IV</x:v>
      </x:c>
    </x:row>
    <x:row r="6" ht="23" customHeight="1">
      <x:c r="A6" s="13" t="str">
        <x:v>Nomor RUP: 67959076 • Tahun Anggaran 2026</x:v>
      </x:c>
      <x:c r="B6" s="13" t="str">
        <x:v>Nomor RUP: 67959076 • Tahun Anggaran 2026</x:v>
      </x:c>
      <x:c r="C6" s="13" t="str">
        <x:v>Nomor RUP: 67959076 • Tahun Anggaran 2026</x:v>
      </x:c>
      <x:c r="D6" s="13" t="str">
        <x:v>Nomor RUP: 67959076 • Tahun Anggaran 2026</x:v>
      </x:c>
      <x:c r="E6" s="13" t="str">
        <x:v>Nomor RUP: 67959076 • Tahun Anggaran 2026</x:v>
      </x:c>
      <x:c r="F6" s="13" t="str">
        <x:v>Nomor RUP: 67959076 • Tahun Anggaran 2026</x:v>
      </x:c>
      <x:c r="G6" s="13" t="str">
        <x:v>Nomor RUP: 67959076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99890000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BUANA TELAGA CONSULTANT</x:v>
      </x:c>
      <x:c r="E16" s="39" t="str">
        <x:v>CV. BUANA TELAGA CONSULTANT</x:v>
      </x:c>
      <x:c r="F16" s="39" t="str">
        <x:v>CV. BUANA TELAGA CONSULTANT</x:v>
      </x:c>
      <x:c r="G16" s="39" t="str">
        <x:v>CV. BUANA TELAGA CONSULTANT</x:v>
      </x:c>
    </x:row>
    <x:row r="17" ht="23" customHeight="1">
      <x:c r="A17" s="3"/>
      <x:c r="B17" s="3"/>
      <x:c r="C17" s="3"/>
      <x:c r="D17" s="39" t="str">
        <x:v>CV. BUANA TELAGA CONSULTANT</x:v>
      </x:c>
      <x:c r="E17" s="39" t="str">
        <x:v>CV. BUANA TELAGA CONSULTANT</x:v>
      </x:c>
      <x:c r="F17" s="39" t="str">
        <x:v>CV. BUANA TELAGA CONSULTANT</x:v>
      </x:c>
      <x:c r="G17" s="39" t="str">
        <x:v>CV. BUANA TELAGA CONSULTANT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AZWAR, ST</x:v>
      </x:c>
      <x:c r="E21" s="39" t="str">
        <x:v>AZWAR, ST</x:v>
      </x:c>
      <x:c r="F21" s="39" t="str">
        <x:v>AZWAR, ST</x:v>
      </x:c>
      <x:c r="G21" s="39" t="str">
        <x:v>AZWAR, ST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