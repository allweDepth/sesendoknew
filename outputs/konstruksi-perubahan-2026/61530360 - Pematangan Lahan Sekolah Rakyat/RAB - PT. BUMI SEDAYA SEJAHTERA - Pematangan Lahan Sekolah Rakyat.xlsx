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5e95fcaccf4d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64475219" sheetId="1" r:id="R18d8008a6cbe44f6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<x:sst xmlns:x="http://schemas.openxmlformats.org/spreadsheetml/2006/main">
  <x:si>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No.</x:t>
  </x:si>
  <x:si>
    <x:t xml:space="preserve">Uraian Pekerjaan</x:t>
  </x:si>
  <x:si>
    <x:t xml:space="preserve">Kuantitas</x:t>
  </x:si>
  <x:si>
    <x:t xml:space="preserve">Satuan</x:t>
  </x:si>
  <x:si>
    <x:t xml:space="preserve">Harga Satuan</x:t>
  </x:si>
  <x:si>
    <x:t xml:space="preserve">PAJAK</x:t>
  </x:si>
  <x:si>
    <x:t xml:space="preserve">JUMLAH</x:t>
  </x:si>
  <x:si>
    <x:t xml:space="preserve">HPS</x:t>
  </x:si>
  <x:si>
    <x:t xml:space="preserve">Penawaran</x:t>
  </x:si>
  <x:si>
    <x:t xml:space="preserve">Negoisasi</x:t>
  </x:si>
</x:sst>
</file>

<file path=xl/styles.xml><?xml version="1.0" encoding="utf-8"?>
<x:styleSheet xmlns:x="http://schemas.openxmlformats.org/spreadsheetml/2006/main">
  <x:numFmts count="4">
    <x:numFmt numFmtId="0" formatCode="General"/>
    <x:numFmt numFmtId="59" formatCode="&quot; &quot;* #,##0&quot; &quot;;&quot;-&quot;* #,##0&quot; &quot;;&quot; &quot;* &quot;- &quot;"/>
    <x:numFmt numFmtId="200" formatCode="#,##0.00"/>
    <x:numFmt numFmtId="201" formatCode="#,##0.0000"/>
  </x:numFmts>
  <x:fonts count="4">
    <x:font>
      <x:sz val="10"/>
      <x:color indexed="8"/>
      <x:name val="Helvetica Neue"/>
    </x:font>
    <x:font>
      <x:sz val="12"/>
      <x:color indexed="8"/>
      <x:name val="Helvetica"/>
    </x:font>
    <x:font>
      <x:sz val="10"/>
      <x:color indexed="8"/>
      <x:name val="Helvetica"/>
    </x:font>
    <x:font>
      <x:b/>
      <x:sz val="10"/>
      <x:color indexed="8"/>
      <x:name val="Helvetica"/>
    </x:font>
  </x:fonts>
  <x:fills count="5">
    <x:fill>
      <x:patternFill patternType="none"/>
    </x:fill>
    <x:fill>
      <x:patternFill patternType="gray125"/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rgb="FFFFFFFF"/>
      </x:patternFill>
    </x:fill>
  </x:fills>
  <x:borders count="32"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 style="thin">
        <x:color indexed="9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thin">
        <x:color indexed="9"/>
      </x:right>
      <x:top style="thin">
        <x:color indexed="9"/>
      </x:top>
      <x:bottom/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/>
      <x:top style="thin">
        <x:color indexed="9"/>
      </x:top>
      <x:bottom style="dotted">
        <x:color indexed="10"/>
      </x:bottom>
      <x:diagonal/>
    </x:border>
    <x:border>
      <x:left/>
      <x:right/>
      <x:top/>
      <x:bottom/>
      <x:diagonal/>
    </x:border>
    <x:border>
      <x:left/>
      <x:right style="thin">
        <x:color indexed="9"/>
      </x:right>
      <x:top/>
      <x:bottom/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/>
      <x:top style="dotted">
        <x:color indexed="10"/>
      </x:top>
      <x:bottom style="dotted">
        <x:color indexed="10"/>
      </x:bottom>
      <x:diagonal/>
    </x:border>
    <x:border>
      <x:left/>
      <x:right/>
      <x:top/>
      <x:bottom style="thin">
        <x:color indexed="9"/>
      </x:bottom>
      <x:diagonal/>
    </x:border>
    <x:border>
      <x:left/>
      <x:right style="thin">
        <x:color indexed="9"/>
      </x:right>
      <x:top/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/>
      <x:top style="dotted">
        <x:color indexed="10"/>
      </x:top>
      <x:bottom style="thin">
        <x:color indexed="9"/>
      </x:bottom>
      <x:diagonal/>
    </x:border>
    <x:border>
      <x:left/>
      <x:right/>
      <x:top style="thin">
        <x:color indexed="9"/>
      </x:top>
      <x:bottom style="thin">
        <x:color indexed="9"/>
      </x:bottom>
      <x:diagonal/>
    </x:border>
    <x:border>
      <x:left/>
      <x:right style="thin">
        <x:color indexed="9"/>
      </x:right>
      <x:top style="thin">
        <x:color indexed="9"/>
      </x:top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/>
      <x:top style="thin">
        <x:color indexed="9"/>
      </x:top>
      <x:bottom style="thin">
        <x:color indexed="9"/>
      </x:bottom>
      <x:diagonal/>
    </x:border>
    <x:border>
      <x:left/>
      <x:right/>
      <x:top style="thin">
        <x:color indexed="9"/>
      </x:top>
      <x:bottom style="hair">
        <x:color indexed="8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hair">
        <x:color indexed="8"/>
      </x:right>
      <x:top style="hair">
        <x:color indexed="8"/>
      </x:top>
      <x:bottom/>
      <x:diagonal/>
    </x:border>
    <x:border>
      <x:left style="hair">
        <x:color indexed="8"/>
      </x:left>
      <x:right/>
      <x:top/>
      <x:bottom/>
      <x:diagonal/>
    </x:border>
    <x:border>
      <x:left/>
      <x:right/>
      <x:top/>
      <x:bottom/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 diagonalUp="0" diagonalDown="0">
      <x:left style="none"/>
      <x:right style="none"/>
      <x:top style="none"/>
      <x:bottom style="none"/>
      <x:diagonal/>
    </x:border>
  </x:borders>
  <x:cellStyleXfs count="1">
    <x:xf numFmtId="0" fontId="0" applyNumberFormat="0" applyFont="1" applyFill="0" applyBorder="0" applyAlignment="1" applyProtection="0">
      <x:alignment vertical="top" wrapText="1"/>
    </x:xf>
  </x:cellStyleXfs>
  <x:cellXfs count="132">
    <x:xf numFmtId="0" fontId="0" applyNumberFormat="0" applyFont="1" applyFill="0" applyBorder="0" applyAlignment="1" applyProtection="0">
      <x:alignment vertical="top" wrapText="1"/>
    </x:xf>
    <x:xf numFmtId="0" fontId="2" applyNumberFormat="1" applyFont="1" applyFill="0" applyBorder="0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center" wrapText="1"/>
    </x:xf>
    <x:xf numFmtId="0" fontId="3" borderId="1" applyNumberFormat="0" applyFont="1" applyFill="0" applyBorder="1" applyAlignment="1" applyProtection="0">
      <x:alignment vertical="top" wrapText="1"/>
    </x:xf>
    <x:xf numFmtId="0" fontId="3" borderId="2" applyNumberFormat="0" applyFont="1" applyFill="0" applyBorder="1" applyAlignment="1" applyProtection="0">
      <x:alignment vertical="top" wrapText="1"/>
    </x:xf>
    <x:xf numFmtId="49" fontId="3" borderId="2" applyNumberFormat="1" applyFont="1" applyFill="0" applyBorder="1" applyAlignment="1" applyProtection="0">
      <x:alignment horizontal="center" vertical="center" wrapText="1"/>
    </x:xf>
    <x:xf numFmtId="0" fontId="3" borderId="3" applyNumberFormat="0" applyFont="1" applyFill="0" applyBorder="1" applyAlignment="1" applyProtection="0">
      <x:alignment vertical="top" wrapText="1"/>
    </x:xf>
    <x:xf numFmtId="49" fontId="3" borderId="4" applyNumberFormat="1" applyFont="1" applyFill="0" applyBorder="1" applyAlignment="1" applyProtection="0">
      <x:alignment vertical="top" wrapText="1"/>
    </x:xf>
    <x:xf numFmtId="0" fontId="2" borderId="5" applyNumberFormat="0" applyFont="1" applyFill="0" applyBorder="1" applyAlignment="1" applyProtection="0">
      <x:alignment vertical="top" wrapText="1"/>
    </x:xf>
    <x:xf numFmtId="4" fontId="2" borderId="6" applyNumberFormat="1" applyFont="1" applyFill="0" applyBorder="1" applyAlignment="1" applyProtection="0">
      <x:alignment vertical="top" wrapText="1"/>
    </x:xf>
    <x:xf numFmtId="59" fontId="2" borderId="6" applyNumberFormat="1" applyFont="1" applyFill="0" applyBorder="1" applyAlignment="1" applyProtection="0">
      <x:alignment vertical="top" wrapText="1"/>
    </x:xf>
    <x:xf numFmtId="0" fontId="2" borderId="6" applyNumberFormat="0" applyFont="1" applyFill="0" applyBorder="1" applyAlignment="1" applyProtection="0">
      <x:alignment vertical="top" wrapText="1"/>
    </x:xf>
    <x:xf numFmtId="0" fontId="2" borderId="7" applyNumberFormat="0" applyFont="1" applyFill="0" applyBorder="1" applyAlignment="1" applyProtection="0">
      <x:alignment vertical="top" wrapText="1"/>
    </x:xf>
    <x:xf numFmtId="49" fontId="3" borderId="8" applyNumberFormat="1" applyFont="1" applyFill="0" applyBorder="1" applyAlignment="1" applyProtection="0">
      <x:alignment horizontal="center" vertical="top" wrapText="1"/>
    </x:xf>
    <x:xf numFmtId="49" fontId="3" borderId="9" applyNumberFormat="1" applyFont="1" applyFill="0" applyBorder="1" applyAlignment="1" applyProtection="0">
      <x:alignment vertical="top" wrapText="1"/>
    </x:xf>
    <x:xf numFmtId="0" fontId="2" fillId="2" borderId="10" applyNumberFormat="0" applyFont="1" applyFill="1" applyBorder="1" applyAlignment="1" applyProtection="0">
      <x:alignment vertical="top" wrapText="1"/>
    </x:xf>
    <x:xf numFmtId="4" fontId="2" fillId="2" borderId="11" applyNumberFormat="1" applyFont="1" applyFill="1" applyBorder="1" applyAlignment="1" applyProtection="0">
      <x:alignment vertical="top" wrapText="1"/>
    </x:xf>
    <x:xf numFmtId="49" fontId="2" fillId="2" borderId="11" applyNumberFormat="1" applyFont="1" applyFill="1" applyBorder="1" applyAlignment="1" applyProtection="0">
      <x:alignment vertical="top" wrapText="1"/>
    </x:xf>
    <x:xf numFmtId="4" fontId="2" fillId="2" borderId="12" applyNumberFormat="1" applyFont="1" applyFill="1" applyBorder="1" applyAlignment="1" applyProtection="0">
      <x:alignment vertical="top" wrapText="1"/>
    </x:xf>
    <x:xf numFmtId="0" fontId="2" borderId="10" applyNumberFormat="0" applyFont="1" applyFill="0" applyBorder="1" applyAlignment="1" applyProtection="0">
      <x:alignment vertical="top" wrapText="1"/>
    </x:xf>
    <x:xf numFmtId="4" fontId="2" borderId="11" applyNumberFormat="1" applyFont="1" applyFill="0" applyBorder="1" applyAlignment="1" applyProtection="0">
      <x:alignment vertical="top" wrapText="1"/>
    </x:xf>
    <x:xf numFmtId="49" fontId="2" borderId="11" applyNumberFormat="1" applyFont="1" applyFill="0" applyBorder="1" applyAlignment="1" applyProtection="0">
      <x:alignment vertical="top" wrapText="1"/>
    </x:xf>
    <x:xf numFmtId="4" fontId="2" borderId="12" applyNumberFormat="1" applyFont="1" applyFill="0" applyBorder="1" applyAlignment="1" applyProtection="0">
      <x:alignment vertical="top" wrapText="1"/>
    </x:xf>
    <x:xf numFmtId="0" fontId="3" borderId="8" applyNumberFormat="0" applyFont="1" applyFill="0" applyBorder="1" applyAlignment="1" applyProtection="0">
      <x:alignment horizontal="center" vertical="top" wrapText="1"/>
    </x:xf>
    <x:xf numFmtId="0" fontId="2" fillId="2" borderId="11" applyNumberFormat="0" applyFont="1" applyFill="1" applyBorder="1" applyAlignment="1" applyProtection="0">
      <x:alignment vertical="top" wrapText="1"/>
    </x:xf>
    <x:xf numFmtId="0" fontId="2" fillId="2" borderId="12" applyNumberFormat="0" applyFont="1" applyFill="1" applyBorder="1" applyAlignment="1" applyProtection="0">
      <x:alignment vertical="top" wrapText="1"/>
    </x:xf>
    <x:xf numFmtId="49" fontId="3" borderId="13" applyNumberFormat="1" applyFont="1" applyFill="0" applyBorder="1" applyAlignment="1" applyProtection="0">
      <x:alignment horizontal="center" vertical="top" wrapText="1"/>
    </x:xf>
    <x:xf numFmtId="49" fontId="3" borderId="14" applyNumberFormat="1" applyFont="1" applyFill="0" applyBorder="1" applyAlignment="1" applyProtection="0">
      <x:alignment vertical="top" wrapText="1"/>
    </x:xf>
    <x:xf numFmtId="0" fontId="2" borderId="15" applyNumberFormat="0" applyFont="1" applyFill="0" applyBorder="1" applyAlignment="1" applyProtection="0">
      <x:alignment vertical="top" wrapText="1"/>
    </x:xf>
    <x:xf numFmtId="4" fontId="2" borderId="16" applyNumberFormat="1" applyFont="1" applyFill="0" applyBorder="1" applyAlignment="1" applyProtection="0">
      <x:alignment vertical="top" wrapText="1"/>
    </x:xf>
    <x:xf numFmtId="49" fontId="2" borderId="16" applyNumberFormat="1" applyFont="1" applyFill="0" applyBorder="1" applyAlignment="1" applyProtection="0">
      <x:alignment vertical="top" wrapText="1"/>
    </x:xf>
    <x:xf numFmtId="4" fontId="2" borderId="17" applyNumberFormat="1" applyFont="1" applyFill="0" applyBorder="1" applyAlignment="1" applyProtection="0">
      <x:alignment vertical="top" wrapText="1"/>
    </x:xf>
    <x:xf numFmtId="0" fontId="3" borderId="18" applyNumberFormat="0" applyFont="1" applyFill="0" applyBorder="1" applyAlignment="1" applyProtection="0">
      <x:alignment horizontal="center" vertical="top" wrapText="1"/>
    </x:xf>
    <x:xf numFmtId="0" fontId="3" borderId="19" applyNumberFormat="0" applyFont="1" applyFill="0" applyBorder="1" applyAlignment="1" applyProtection="0">
      <x:alignment vertical="top" wrapText="1"/>
    </x:xf>
    <x:xf numFmtId="0" fontId="2" fillId="2" borderId="20" applyNumberFormat="0" applyFont="1" applyFill="1" applyBorder="1" applyAlignment="1" applyProtection="0">
      <x:alignment vertical="top" wrapText="1"/>
    </x:xf>
    <x:xf numFmtId="4" fontId="2" fillId="2" borderId="21" applyNumberFormat="1" applyFont="1" applyFill="1" applyBorder="1" applyAlignment="1" applyProtection="0">
      <x:alignment vertical="top" wrapText="1"/>
    </x:xf>
    <x:xf numFmtId="0" fontId="2" fillId="2" borderId="21" applyNumberFormat="0" applyFont="1" applyFill="1" applyBorder="1" applyAlignment="1" applyProtection="0">
      <x:alignment vertical="top" wrapText="1"/>
    </x:xf>
    <x:xf numFmtId="4" fontId="2" fillId="2" borderId="22" applyNumberFormat="1" applyFont="1" applyFill="1" applyBorder="1" applyAlignment="1" applyProtection="0">
      <x:alignment vertical="top" wrapText="1"/>
    </x:xf>
    <x:xf numFmtId="0" fontId="2" borderId="20" applyNumberFormat="0" applyFont="1" applyFill="0" applyBorder="1" applyAlignment="1" applyProtection="0">
      <x:alignment vertical="top" wrapText="1"/>
    </x:xf>
    <x:xf numFmtId="4" fontId="2" borderId="21" applyNumberFormat="1" applyFont="1" applyFill="0" applyBorder="1" applyAlignment="1" applyProtection="0">
      <x:alignment vertical="top" wrapText="1"/>
    </x:xf>
    <x:xf numFmtId="0" fontId="2" borderId="21" applyNumberFormat="0" applyFont="1" applyFill="0" applyBorder="1" applyAlignment="1" applyProtection="0">
      <x:alignment vertical="top" wrapText="1"/>
    </x:xf>
    <x:xf numFmtId="4" fontId="2" borderId="22" applyNumberFormat="1" applyFont="1" applyFill="0" applyBorder="1" applyAlignment="1" applyProtection="0">
      <x:alignment vertical="top" wrapText="1"/>
    </x:xf>
    <x:xf numFmtId="0" fontId="2" fillId="2" borderId="22" applyNumberFormat="0" applyFont="1" applyFill="1" applyBorder="1" applyAlignment="1" applyProtection="0">
      <x:alignment vertical="top" wrapText="1"/>
    </x:xf>
    <x:xf numFmtId="3" fontId="2" borderId="21" applyNumberFormat="1" applyFont="1" applyFill="0" applyBorder="1" applyAlignment="1" applyProtection="0">
      <x:alignment vertical="top" wrapText="1"/>
    </x:xf>
    <x:xf numFmtId="0" fontId="3" borderId="18" applyNumberFormat="1" applyFont="1" applyFill="0" applyBorder="1" applyAlignment="1" applyProtection="0">
      <x:alignment horizontal="center" vertical="top" wrapText="1"/>
    </x:xf>
    <x:xf numFmtId="0" fontId="2" borderId="22" applyNumberFormat="0" applyFont="1" applyFill="0" applyBorder="1" applyAlignment="1" applyProtection="0">
      <x:alignment vertical="top" wrapText="1"/>
    </x:xf>
    <x:xf numFmtId="0" fontId="3" borderId="23" applyNumberFormat="0" applyFont="1" applyFill="0" applyBorder="1" applyAlignment="1" applyProtection="0">
      <x:alignment horizontal="center" vertical="top" wrapText="1"/>
    </x:xf>
    <x:xf numFmtId="0" fontId="3" borderId="24" applyNumberFormat="0" applyFont="1" applyFill="0" applyBorder="1" applyAlignment="1" applyProtection="0">
      <x:alignment vertical="top" wrapText="1"/>
    </x:xf>
    <x:xf numFmtId="59" fontId="3" borderId="23" applyNumberFormat="1" applyFont="1" applyFill="0" applyBorder="1" applyAlignment="1" applyProtection="0">
      <x:alignment vertical="top" wrapText="1"/>
    </x:xf>
    <x:xf numFmtId="59" fontId="3" borderId="24" applyNumberFormat="1" applyFont="1" applyFill="0" applyBorder="1" applyAlignment="1" applyProtection="0">
      <x:alignment vertical="top" wrapText="1"/>
    </x:xf>
    <x:xf numFmtId="0" fontId="3" borderId="24" applyNumberFormat="0" applyFont="1" applyFill="0" applyBorder="1" applyAlignment="1" applyProtection="0">
      <x:alignment horizontal="right" vertical="top"/>
    </x:xf>
    <x:xf numFmtId="49" fontId="3" borderId="24" applyNumberFormat="1" applyFont="1" applyFill="0" applyBorder="1" applyAlignment="1" applyProtection="0">
      <x:alignment horizontal="right" vertical="top"/>
    </x:xf>
    <x:xf numFmtId="4" fontId="3" borderId="24" applyNumberFormat="1" applyFont="1" applyFill="0" applyBorder="1" applyAlignment="1" applyProtection="0">
      <x:alignment vertical="top" wrapText="1"/>
    </x:xf>
    <x:xf numFmtId="4" fontId="3" fillId="3" borderId="25" applyNumberFormat="1" applyFont="1" applyFill="1" applyBorder="1" applyAlignment="1" applyProtection="0">
      <x:alignment vertical="top" wrapText="1"/>
    </x:xf>
    <x:xf numFmtId="0" fontId="3" borderId="26" applyNumberFormat="0" applyFont="1" applyFill="0" applyBorder="1" applyAlignment="1" applyProtection="0">
      <x:alignment vertical="top" wrapText="1"/>
    </x:xf>
    <x:xf numFmtId="0" fontId="3" borderId="27" applyNumberFormat="0" applyFont="1" applyFill="0" applyBorder="1" applyAlignment="1" applyProtection="0">
      <x:alignment vertical="top" wrapText="1"/>
    </x:xf>
    <x:xf numFmtId="4" fontId="3" fillId="3" borderId="28" applyNumberFormat="1" applyFont="1" applyFill="1" applyBorder="1" applyAlignment="1" applyProtection="0">
      <x:alignment vertical="top" wrapText="1"/>
    </x:xf>
    <x:xf numFmtId="59" fontId="3" borderId="26" applyNumberFormat="1" applyFont="1" applyFill="0" applyBorder="1" applyAlignment="1" applyProtection="0">
      <x:alignment vertical="top" wrapText="1"/>
    </x:xf>
    <x:xf numFmtId="59" fontId="3" borderId="27" applyNumberFormat="1" applyFont="1" applyFill="0" applyBorder="1" applyAlignment="1" applyProtection="0">
      <x:alignment vertical="top" wrapText="1"/>
    </x:xf>
    <x:xf numFmtId="4" fontId="3" borderId="27" applyNumberFormat="1" applyFont="1" applyFill="0" applyBorder="1" applyAlignment="1" applyProtection="0">
      <x:alignment vertical="top" wrapText="1"/>
    </x:xf>
    <x:xf numFmtId="0" fontId="3" borderId="27" applyNumberFormat="0" applyFont="1" applyFill="0" applyBorder="1" applyAlignment="1" applyProtection="0">
      <x:alignment horizontal="right" vertical="top"/>
    </x:xf>
    <x:xf numFmtId="4" fontId="3" borderId="29" applyNumberFormat="1" applyFont="1" applyFill="0" applyBorder="1" applyAlignment="1" applyProtection="0">
      <x:alignment vertical="top" wrapText="1"/>
    </x:xf>
    <x:xf numFmtId="0" fontId="3" borderId="30" applyNumberFormat="0" applyFont="1" applyFill="0" applyBorder="1" applyAlignment="1" applyProtection="0">
      <x:alignment horizontal="center" vertical="top" wrapText="1"/>
    </x:xf>
    <x:xf numFmtId="0" fontId="3" borderId="30" applyNumberFormat="0" applyFont="1" applyFill="0" applyBorder="1" applyAlignment="1" applyProtection="0">
      <x:alignment vertical="top" wrapText="1"/>
    </x:xf>
    <x:xf numFmtId="49" fontId="3" borderId="30" applyNumberFormat="1" applyFont="1" applyFill="0" applyBorder="1" applyAlignment="1" applyProtection="0">
      <x:alignment vertical="top" wrapText="1"/>
    </x:xf>
    <x:xf numFmtId="59" fontId="3" borderId="30" applyNumberFormat="1" applyFont="1" applyFill="0" applyBorder="1" applyAlignment="1" applyProtection="0">
      <x:alignment vertical="top" wrapText="1"/>
    </x:xf>
    <x:xf numFmtId="4" fontId="3" borderId="30" applyNumberFormat="1" applyFont="1" applyFill="0" applyBorder="1" applyAlignment="1" applyProtection="0">
      <x:alignment vertical="top" wrapText="1"/>
    </x:xf>
    <x:xf numFmtId="0" fontId="3" borderId="30" applyNumberFormat="0" applyFont="1" applyFill="0" applyBorder="1" applyAlignment="1" applyProtection="0">
      <x:alignment horizontal="right" vertical="top"/>
    </x:xf>
    <x:xf numFmtId="3" fontId="3" borderId="30" applyNumberFormat="1" applyFont="1" applyFill="0" applyBorder="1" applyAlignment="1" applyProtection="0">
      <x:alignment vertical="top" wrapText="1"/>
    </x:xf>
    <x:xf numFmtId="49" fontId="3" borderId="30" applyNumberFormat="1" applyFont="1" applyFill="0" applyBorder="1" applyAlignment="1" applyProtection="0">
      <x:alignment horizontal="right" vertical="top"/>
    </x:xf>
    <x:xf numFmtId="4" fontId="3" borderId="1" applyNumberFormat="1" applyFont="1" applyFill="0" applyBorder="1" applyAlignment="1" applyProtection="0">
      <x:alignment vertical="top" wrapText="1"/>
    </x:xf>
    <x:xf numFmtId="49" fontId="3" borderId="8" xfId="0" applyNumberFormat="1" applyFont="1" applyFill="0" applyBorder="1" applyAlignment="1">
      <x:alignment horizontal="center" vertical="top" wrapText="1"/>
    </x:xf>
    <x:xf numFmtId="49" fontId="3" borderId="9" xfId="0" applyNumberFormat="1" applyFont="1" applyFill="0" applyBorder="1" applyAlignment="1">
      <x:alignment vertical="top" wrapText="1"/>
    </x:xf>
    <x:xf numFmtId="0" fontId="2" fillId="2" borderId="10" xfId="0" applyNumberFormat="1" applyFont="1" applyFill="1" applyBorder="1" applyAlignment="1">
      <x:alignment vertical="top" wrapText="1"/>
    </x:xf>
    <x:xf numFmtId="0" fontId="2" xfId="0" applyNumberFormat="1" applyFont="1" applyFill="0" applyBorder="0" applyAlignment="1">
      <x:alignment vertical="top" wrapText="1"/>
    </x:xf>
    <x:xf numFmtId="200" fontId="2" xfId="0" applyNumberFormat="1" applyFont="1" applyFill="0" applyBorder="0" applyAlignment="1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0" fontId="3" fillId="4" borderId="23" xfId="0" applyNumberFormat="1" applyFont="1" applyFill="1" applyBorder="1" applyAlignment="1">
      <x:alignment horizontal="center" vertical="top" wrapText="1"/>
    </x:xf>
    <x:xf numFmtId="0" fontId="3" fillId="4" borderId="24" xfId="0" applyNumberFormat="1" applyFont="1" applyFill="1" applyBorder="1" applyAlignment="1">
      <x:alignment vertical="top" wrapText="1"/>
    </x:xf>
    <x:xf numFmtId="59" fontId="3" fillId="4" borderId="23" xfId="0" applyNumberFormat="1" applyFont="1" applyFill="1" applyBorder="1" applyAlignment="1">
      <x:alignment vertical="top" wrapText="1"/>
    </x:xf>
    <x:xf numFmtId="59" fontId="3" fillId="4" borderId="24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right" vertical="top"/>
    </x:xf>
    <x:xf numFmtId="4" fontId="3" fillId="4" borderId="25" xfId="0" applyNumberFormat="1" applyFont="1" applyFill="1" applyBorder="1" applyAlignment="1">
      <x:alignment vertical="top" wrapText="1"/>
    </x:xf>
    <x:xf numFmtId="0" fontId="3" fillId="4" borderId="26" xfId="0" applyNumberFormat="1" applyFont="1" applyFill="1" applyBorder="1" applyAlignment="1">
      <x:alignment vertical="top" wrapText="1"/>
    </x:xf>
    <x:xf numFmtId="0" fontId="3" fillId="4" borderId="27" xfId="0" applyNumberFormat="1" applyFont="1" applyFill="1" applyBorder="1" applyAlignment="1">
      <x:alignment vertical="top" wrapText="1"/>
    </x:xf>
    <x:xf numFmtId="4" fontId="3" fillId="4" borderId="28" xfId="0" applyNumberFormat="1" applyFont="1" applyFill="1" applyBorder="1" applyAlignment="1">
      <x:alignment vertical="top" wrapText="1"/>
    </x:xf>
    <x:xf numFmtId="59" fontId="3" fillId="4" borderId="26" xfId="0" applyNumberFormat="1" applyFont="1" applyFill="1" applyBorder="1" applyAlignment="1">
      <x:alignment vertical="top" wrapText="1"/>
    </x:xf>
    <x:xf numFmtId="59" fontId="3" fillId="4" borderId="27" xfId="0" applyNumberFormat="1" applyFont="1" applyFill="1" applyBorder="1" applyAlignment="1">
      <x:alignment vertical="top" wrapText="1"/>
    </x:xf>
    <x:xf numFmtId="4" fontId="3" fillId="4" borderId="27" xfId="0" applyNumberFormat="1" applyFont="1" applyFill="1" applyBorder="1" applyAlignment="1">
      <x:alignment vertical="top" wrapText="1"/>
    </x:xf>
    <x:xf numFmtId="0" fontId="3" fillId="4" borderId="27" xfId="0" applyNumberFormat="1" applyFont="1" applyFill="1" applyBorder="1" applyAlignment="1">
      <x:alignment horizontal="right"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vertical="top" wrapText="1"/>
    </x:xf>
    <x:xf numFmtId="49" fontId="3" fillId="4" borderId="0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3" fontId="3" fillId="4" borderId="0" xfId="0" applyNumberFormat="1" applyFont="1" applyFill="1" applyBorder="1" applyAlignment="1">
      <x:alignment vertical="top" wrapText="1"/>
    </x:xf>
    <x:xf numFmtId="0" fontId="3" fillId="4" borderId="31" xfId="0" applyNumberFormat="1" applyFont="1" applyFill="1" applyBorder="1" applyAlignment="1">
      <x:alignment horizontal="center" vertical="top" wrapText="1"/>
    </x:xf>
    <x:xf numFmtId="0" fontId="3" fillId="4" borderId="31" xfId="0" applyNumberFormat="1" applyFont="1" applyFill="1" applyBorder="1" applyAlignment="1">
      <x:alignment vertical="top" wrapText="1"/>
    </x:xf>
    <x:xf numFmtId="59" fontId="3" fillId="4" borderId="31" xfId="0" applyNumberFormat="1" applyFont="1" applyFill="1" applyBorder="1" applyAlignment="1">
      <x:alignment vertical="top" wrapText="1"/>
    </x:xf>
    <x:xf numFmtId="0" fontId="3" fillId="4" borderId="31" xfId="0" applyNumberFormat="1" applyFont="1" applyFill="1" applyBorder="1" applyAlignment="1">
      <x:alignment horizontal="right" vertical="top"/>
    </x:xf>
    <x:xf numFmtId="4" fontId="3" fillId="4" borderId="31" xfId="0" applyNumberFormat="1" applyFont="1" applyFill="1" applyBorder="1" applyAlignment="1">
      <x:alignment vertical="top" wrapText="1"/>
    </x:xf>
    <x:xf numFmtId="49" fontId="3" fillId="4" borderId="31" xfId="0" applyNumberFormat="1" applyFont="1" applyFill="1" applyBorder="1" applyAlignment="1">
      <x:alignment vertical="top" wrapText="1"/>
    </x:xf>
    <x:xf numFmtId="3" fontId="3" fillId="4" borderId="31" xfId="0" applyNumberFormat="1" applyFont="1" applyFill="1" applyBorder="1" applyAlignment="1">
      <x:alignment vertical="top" wrapText="1"/>
    </x:xf>
    <x:xf numFmtId="49" fontId="3" borderId="24" xfId="0" applyNumberFormat="1" applyFont="1" applyFill="0" applyBorder="1" applyAlignment="1">
      <x:alignment horizontal="right" vertical="top" wrapText="1"/>
    </x:xf>
    <x:xf numFmtId="0" fontId="3" borderId="27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49" fontId="3" borderId="0" xfId="0" applyNumberFormat="1" applyFont="1" applyFill="0" applyBorder="1" applyAlignment="1">
      <x:alignment horizontal="right" vertical="top" wrapText="1"/>
    </x:xf>
    <x:xf numFmtId="201" fontId="2" borderId="6" xfId="0" applyNumberFormat="1" applyFont="1" applyFill="0" applyBorder="1" applyAlignment="1">
      <x:alignment vertical="top" wrapText="1"/>
    </x:xf>
    <x:xf numFmtId="201" fontId="2" fillId="2" borderId="11" xfId="0" applyNumberFormat="1" applyFont="1" applyFill="1" applyBorder="1" applyAlignment="1">
      <x:alignment vertical="top" wrapText="1"/>
    </x:xf>
    <x:xf numFmtId="201" fontId="3" fillId="4" borderId="31" xfId="0" applyNumberFormat="1" applyFont="1" applyFill="1" applyBorder="1" applyAlignment="1">
      <x:alignment vertical="top" wrapText="1"/>
    </x:xf>
    <x:xf numFmtId="200" fontId="2" borderId="6" xfId="0" applyNumberFormat="1" applyFont="1" applyFill="0" applyBorder="1" applyAlignment="1">
      <x:alignment vertical="top" wrapText="1"/>
    </x:xf>
    <x:xf numFmtId="200" fontId="2" borderId="7" xfId="0" applyNumberFormat="1" applyFont="1" applyFill="0" applyBorder="1" applyAlignment="1">
      <x:alignment vertical="top" wrapText="1"/>
    </x:xf>
    <x:xf numFmtId="200" fontId="2" fillId="2" borderId="11" xfId="0" applyNumberFormat="1" applyFont="1" applyFill="1" applyBorder="1" applyAlignment="1">
      <x:alignment vertical="top" wrapText="1"/>
    </x:xf>
    <x:xf numFmtId="200" fontId="2" fillId="2" borderId="12" xfId="0" applyNumberFormat="1" applyFont="1" applyFill="1" applyBorder="1" applyAlignment="1">
      <x:alignment vertical="top" wrapText="1"/>
    </x:xf>
    <x:xf numFmtId="200" fontId="3" fillId="4" borderId="31" xfId="0" applyNumberFormat="1" applyFont="1" applyFill="1" applyBorder="1" applyAlignment="1">
      <x:alignment vertical="top" wrapText="1"/>
    </x:xf>
    <x:xf numFmtId="200" fontId="3" fillId="4" borderId="31" xfId="0" applyNumberFormat="1" applyFont="1" applyFill="1" applyBorder="1" applyAlignment="1">
      <x:alignment horizontal="right" vertical="top"/>
    </x:xf>
    <x:xf numFmtId="200" fontId="3" borderId="24" xfId="0" applyNumberFormat="1" applyFont="1" applyFill="0" applyBorder="1" applyAlignment="1">
      <x:alignment horizontal="right" vertical="top" wrapText="1"/>
    </x:xf>
    <x:xf numFmtId="200" fontId="3" borderId="24" xfId="0" applyNumberFormat="1" applyFont="1" applyFill="0" applyBorder="1" applyAlignment="1">
      <x:alignment vertical="top" wrapText="1"/>
    </x:xf>
    <x:xf numFmtId="200" fontId="3" borderId="27" xfId="0" applyNumberFormat="1" applyFont="1" applyFill="0" applyBorder="1" applyAlignment="1">
      <x:alignment horizontal="right" vertical="top" wrapText="1"/>
    </x:xf>
    <x:xf numFmtId="200" fontId="3" borderId="27" xfId="0" applyNumberFormat="1" applyFont="1" applyFill="0" applyBorder="1" applyAlignment="1">
      <x:alignment vertical="top" wrapText="1"/>
    </x:xf>
    <x:xf numFmtId="200" fontId="3" borderId="29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1" xfId="0" applyNumberFormat="1" applyFont="1" applyFill="0" applyBorder="1" applyAlignment="1">
      <x:alignment vertical="top" wrapText="1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3F3F3F"/>
      <x:rgbColor rgb="FF7F7F7F"/>
      <x:rgbColor rgb="FFEEEEEE"/>
      <x:rgbColor rgb="FFBFBFB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355f0ec2494caa" /><Relationship Type="http://schemas.openxmlformats.org/officeDocument/2006/relationships/theme" Target="/xl/theme/theme1.xml" Id="Ra822d5fd29d647ad" /><Relationship Type="http://schemas.openxmlformats.org/officeDocument/2006/relationships/sheetMetadata" Target="/xl/metadata1.xml" Id="Rb5654075aa9447bf" /><Relationship Type="http://schemas.openxmlformats.org/officeDocument/2006/relationships/sharedStrings" Target="/xl/sharedStrings.xml" Id="Ra42fcc91958f4668" /><Relationship Type="http://schemas.openxmlformats.org/officeDocument/2006/relationships/worksheet" Target="/xl/worksheets/sheet1.xml" Id="R18d8008a6cbe44f6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ctr">
        <a:spAutoFit/>
      </a:bodyPr>
      <a:lstStyle>
        <a:defPPr marL="0" marR="0" indent="0" algn="ctr" defTabSz="584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200" b="0" i="0" u="none" strike="noStrike" cap="none" spc="0" baseline="0">
            <a:ln>
              <a:noFill/>
            </a:ln>
            <a:solidFill>
              <a:srgbClr val="FFFFFF"/>
            </a:solidFill>
            <a:latin typeface="Helvetica Neue Medium"/>
            <a:ea typeface="Helvetica Neue Medium"/>
            <a:cs typeface="Helvetica Neue Medium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spDef>
    <a:lnDef>
      <a:spPr>
        <a:noFill/>
        <a:ln w="12700" cap="flat">
          <a:solidFill>
            <a:srgbClr val="000000"/>
          </a:solidFill>
          <a:prstDash val="solid"/>
          <a:miter/>
        </a:ln>
      </a:spPr>
      <a:bodyPr rot="0" spcFirstLastPara="1" vert="horz" wrap="square" lIns="91439" tIns="45719" rIns="91439" bIns="45719" numCol="1" spcCol="38100" rtlCol="0" anchor="t">
        <a:noAutofit/>
      </a:bodyPr>
      <a:lstStyle>
        <a:def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lnDef>
    <a:txDef>
      <a:spPr>
        <a:noFill/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t">
        <a:spAutoFit/>
      </a:bodyPr>
      <a:lstStyle>
        <a:defPPr marL="0" marR="0" indent="0" algn="l" defTabSz="457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100" b="0" i="0" u="none" strike="noStrike" cap="none" spc="0" baseline="0">
            <a:ln>
              <a:noFill/>
            </a:ln>
            <a:solidFill>
              <a:srgbClr val="000000"/>
            </a:solidFill>
            <a:latin typeface="+mn-lt"/>
            <a:ea typeface="+mn-lt"/>
            <a:cs typeface="+mn-lt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txDef>
  </a:objectDefaults>
</a:theme>
</file>

<file path=xl/worksheets/sheet1.xml><?xml version="1.0" encoding="utf-8"?>
<x:worksheet xmlns:x="http://schemas.openxmlformats.org/spreadsheetml/2006/main">
  <x:sheetViews>
    <x:sheetView showGridLines="0" workbookViewId="0">
      <x:pane xSplit="2" topLeftCell="C1" activePane="topRight" state="frozen"/>
    </x:sheetView>
  </x:sheetViews>
  <x:sheetFormatPr defaultColWidth="16.33329963684082" defaultRowHeight="18"/>
  <x:cols>
    <x:col min="1" max="1" width="9.734379768371582" style="1" customWidth="1"/>
    <x:col min="2" max="2" width="43.03120040893555" style="1" customWidth="1"/>
    <x:col min="3" max="3" width="2.75" style="1" customWidth="1"/>
    <x:col min="4" max="6" width="10.367199897766113" style="1" customWidth="1"/>
    <x:col min="7" max="7" width="11.6875" style="1" customWidth="1"/>
    <x:col min="8" max="11" width="13.515600204467773" style="1" customWidth="1"/>
    <x:col min="12" max="14" width="14.234399795532227" style="1" customWidth="1"/>
    <x:col min="15" max="16384" width="16.351600646972656" style="1" customWidth="1"/>
    <x:col min="16" max="16" width="23" hidden="0" customWidth="1"/>
    <x:col min="17" max="17" width="90" hidden="0" customWidth="1"/>
    <x:col min="19" max="19" width="25" hidden="0" customWidth="1"/>
    <x:col min="20" max="20" width="25" hidden="0" customWidth="1"/>
    <x:col min="21" max="21" width="25" hidden="0" customWidth="1"/>
  </x:cols>
  <x:sheetData>
    <x:row r="1" ht="20.5" customHeight="1">
      <x:c r="A1" s="2" t="s">
        <x:v>0</x:v>
      </x:c>
      <x:c r="B1" s="2" t="s">
        <x:v>1</x:v>
      </x:c>
      <x:c r="C1" s="3"/>
      <x:c r="D1" s="2" t="s">
        <x:v>2</x:v>
      </x:c>
      <x:c r="E1" s="3"/>
      <x:c r="F1" s="3"/>
      <x:c r="G1" s="2" t="s">
        <x:v>3</x:v>
      </x:c>
      <x:c r="H1" s="2" t="s">
        <x:v>4</x:v>
      </x:c>
      <x:c r="I1" s="3"/>
      <x:c r="J1" s="3"/>
      <x:c r="K1" s="2" t="s">
        <x:v>5</x:v>
      </x:c>
      <x:c r="L1" s="2" t="s">
        <x:v>6</x:v>
      </x:c>
      <x:c r="M1" s="3"/>
      <x:c r="N1" s="3"/>
      <x:c r="P1" t="str">
        <x:v>Nomor RUP</x:v>
      </x:c>
      <x:c r="Q1" t="str">
        <x:v>61530360</x:v>
      </x:c>
    </x:row>
    <x:row r="2" ht="32" customHeight="1">
      <x:c r="A2" s="4"/>
      <x:c r="B2" s="4"/>
      <x:c r="C2" s="4"/>
      <x:c r="D2" s="5" t="s">
        <x:v>7</x:v>
      </x:c>
      <x:c r="E2" s="5" t="s">
        <x:v>8</x:v>
      </x:c>
      <x:c r="F2" s="5" t="s">
        <x:v>9</x:v>
      </x:c>
      <x:c r="G2" s="4"/>
      <x:c r="H2" s="5" t="s">
        <x:v>7</x:v>
      </x:c>
      <x:c r="I2" s="5" t="s">
        <x:v>8</x:v>
      </x:c>
      <x:c r="J2" s="5" t="s">
        <x:v>9</x:v>
      </x:c>
      <x:c r="K2" s="4"/>
      <x:c r="L2" s="5" t="s">
        <x:v>7</x:v>
      </x:c>
      <x:c r="M2" s="5" t="s">
        <x:v>8</x:v>
      </x:c>
      <x:c r="N2" s="5" t="s">
        <x:v>9</x:v>
      </x:c>
      <x:c r="P2" t="str">
        <x:v>Nama Paket</x:v>
      </x:c>
      <x:c r="Q2" s="74" t="str">
        <x:v>Pematangan Lahan Sekolah Rakyat</x:v>
      </x:c>
      <x:c r="S2" s="75" t="str">
        <x:v>Jumlah HPS termasuk PPN</x:v>
      </x:c>
      <x:c r="T2" s="75" t="str">
        <x:v>Jumlah penawaran termasuk PPN</x:v>
      </x:c>
      <x:c r="U2" s="75" t="str">
        <x:v>Jumlah negosiasi termasuk PPN</x:v>
      </x:c>
    </x:row>
    <x:row r="3" ht="32" customHeight="1">
      <x:c r="A3" s="6"/>
      <x:c r="B3" s="7" t="str">
        <x:v>DIVISI 1. UMUM</x:v>
      </x:c>
      <x:c r="C3" s="8"/>
      <x:c r="D3" s="115"/>
      <x:c r="E3" s="115"/>
      <x:c r="F3" s="115"/>
      <x:c r="G3" s="10"/>
      <x:c r="H3" s="118"/>
      <x:c r="I3" s="118"/>
      <x:c r="J3" s="118"/>
      <x:c r="K3" s="118"/>
      <x:c r="L3" s="118" cm="1"/>
      <x:c r="M3" s="118" cm="1"/>
      <x:c r="N3" s="119" cm="1"/>
      <x:c r="P3" t="str">
        <x:v>Perusahaan</x:v>
      </x:c>
      <x:c r="Q3" s="74" t="str">
        <x:v>PT. BUMI SEDAYA SEJAHTERA</x:v>
      </x:c>
      <x:c r="S3" s="75"/>
      <x:c r="T3" s="75"/>
      <x:c r="U3" s="75"/>
    </x:row>
    <x:row r="4" ht="23" customHeight="1">
      <x:c r="A4" s="71" t="str">
        <x:v>1.2</x:v>
      </x:c>
      <x:c r="B4" s="72" t="str">
        <x:v>Mobilisasi</x:v>
      </x:c>
      <x:c r="C4" s="73"/>
      <x:c r="D4" s="116" t="n">
        <x:v>1</x:v>
      </x:c>
      <x:c r="E4" s="116" t="n" cm="1">
        <x:f>D4</x:f>
        <x:v>1</x:v>
      </x:c>
      <x:c r="F4" s="116" t="n" cm="1">
        <x:f>D4</x:f>
        <x:v>1</x:v>
      </x:c>
      <x:c r="G4" s="17" t="str">
        <x:v>LS</x:v>
      </x:c>
      <x:c r="H4" s="120" t="n">
        <x:v>21090000</x:v>
      </x:c>
      <x:c r="I4" s="120" t="n">
        <x:v>21089000</x:v>
      </x:c>
      <x:c r="J4" s="120" t="n">
        <x:f>I4</x:f>
        <x:v>21089000</x:v>
      </x:c>
      <x:c r="K4" s="120" t="n">
        <x:v>11</x:v>
      </x:c>
      <x:c r="L4" s="120" t="n" cm="1">
        <x:f>D4*H4</x:f>
        <x:v>21090000</x:v>
      </x:c>
      <x:c r="M4" s="120" t="n" cm="1">
        <x:f>E4*I4</x:f>
        <x:v>21089000</x:v>
      </x:c>
      <x:c r="N4" s="121" t="n" cm="1">
        <x:f>F4*J4</x:f>
        <x:v>21089000</x:v>
      </x:c>
      <x:c r="P4" t="str">
        <x:v>Pagu Anggaran</x:v>
      </x:c>
      <x:c r="Q4" s="75" t="n">
        <x:v>400000000</x:v>
      </x:c>
      <x:c r="S4" s="75" t="n">
        <x:f>ROUND(L4*(1+K4/100),2)</x:f>
        <x:v>23409900</x:v>
      </x:c>
      <x:c r="T4" s="75" t="n">
        <x:f>ROUND(M4*(1+K4/100),2)</x:f>
        <x:v>23408790</x:v>
      </x:c>
      <x:c r="U4" s="75" t="n">
        <x:f>ROUND(N4*(1+K4/100),2)</x:f>
        <x:v>23408790</x:v>
      </x:c>
    </x:row>
    <x:row r="5" ht="32" customHeight="1">
      <x:c r="A5" s="71" t="str">
        <x:v>Skh-1.1.22.(1a)</x:v>
      </x:c>
      <x:c r="B5" s="72" t="str">
        <x:v>Pembuatan dokumen RKK, RMPK, RKPPL, dan RMLLP</x:v>
      </x:c>
      <x:c r="C5" s="73"/>
      <x:c r="D5" s="116" t="n">
        <x:v>3</x:v>
      </x:c>
      <x:c r="E5" s="116" t="n" cm="1">
        <x:f>D5</x:f>
        <x:v>3</x:v>
      </x:c>
      <x:c r="F5" s="116" t="n" cm="1">
        <x:f>D5</x:f>
        <x:v>3</x:v>
      </x:c>
      <x:c r="G5" s="17" t="str">
        <x:v>Set</x:v>
      </x:c>
      <x:c r="H5" s="120" t="n">
        <x:v>1500000</x:v>
      </x:c>
      <x:c r="I5" s="120" t="n">
        <x:v>1500000</x:v>
      </x:c>
      <x:c r="J5" s="120" t="n">
        <x:f>I5</x:f>
        <x:v>1500000</x:v>
      </x:c>
      <x:c r="K5" s="120" t="n">
        <x:v>11</x:v>
      </x:c>
      <x:c r="L5" s="120" t="n" cm="1">
        <x:f>D5*H5</x:f>
        <x:v>4500000</x:v>
      </x:c>
      <x:c r="M5" s="120" t="n" cm="1">
        <x:f>E5*I5</x:f>
        <x:v>4500000</x:v>
      </x:c>
      <x:c r="N5" s="121" t="n" cm="1">
        <x:f>F5*J5</x:f>
        <x:v>4500000</x:v>
      </x:c>
      <x:c r="P5" t="str">
        <x:v>HPS sesuai rekap</x:v>
      </x:c>
      <x:c r="Q5" s="75" t="n">
        <x:v>400000000</x:v>
      </x:c>
      <x:c r="S5" s="75" t="n">
        <x:f>ROUND(L5*(1+K5/100),2)</x:f>
        <x:v>4995000</x:v>
      </x:c>
      <x:c r="T5" s="75" t="n">
        <x:f>ROUND(M5*(1+K5/100),2)</x:f>
        <x:v>4995000</x:v>
      </x:c>
      <x:c r="U5" s="75" t="n">
        <x:f>ROUND(N5*(1+K5/100),2)</x:f>
        <x:v>4995000</x:v>
      </x:c>
    </x:row>
    <x:row r="6" ht="32" customHeight="1">
      <x:c r="A6" s="71" t="str">
        <x:v>Skh-1.1.22.(1b)</x:v>
      </x:c>
      <x:c r="B6" s="72" t="str">
        <x:v>Pembuatan prosedur dan instruksi kerja </x:v>
      </x:c>
      <x:c r="C6" s="73"/>
      <x:c r="D6" s="116" t="n">
        <x:v>3</x:v>
      </x:c>
      <x:c r="E6" s="116" t="n">
        <x:f>D6</x:f>
        <x:v>3</x:v>
      </x:c>
      <x:c r="F6" s="116" t="n">
        <x:f>D6</x:f>
        <x:v>3</x:v>
      </x:c>
      <x:c r="G6" s="17" t="str">
        <x:v>Set</x:v>
      </x:c>
      <x:c r="H6" s="120" t="n">
        <x:v>1500000</x:v>
      </x:c>
      <x:c r="I6" s="120" t="n">
        <x:v>1500000</x:v>
      </x:c>
      <x:c r="J6" s="120" t="n">
        <x:f>I6</x:f>
        <x:v>1500000</x:v>
      </x:c>
      <x:c r="K6" s="120" t="n">
        <x:v>11</x:v>
      </x:c>
      <x:c r="L6" s="120" t="n" cm="1">
        <x:f>D6*H6</x:f>
        <x:v>4500000</x:v>
      </x:c>
      <x:c r="M6" s="120" t="n" cm="1">
        <x:f>E6*I6</x:f>
        <x:v>4500000</x:v>
      </x:c>
      <x:c r="N6" s="121" t="n" cm="1">
        <x:f>F6*J6</x:f>
        <x:v>4500000</x:v>
      </x:c>
      <x:c r="P6" t="str">
        <x:v>Penawaran sesuai rekap</x:v>
      </x:c>
      <x:c r="Q6" s="75" t="n">
        <x:v>399928300</x:v>
      </x:c>
      <x:c r="S6" s="75" t="n">
        <x:f>ROUND(L6*(1+K6/100),2)</x:f>
        <x:v>4995000</x:v>
      </x:c>
      <x:c r="T6" s="75" t="n">
        <x:f>ROUND(M6*(1+K6/100),2)</x:f>
        <x:v>4995000</x:v>
      </x:c>
      <x:c r="U6" s="75" t="n">
        <x:f>ROUND(N6*(1+K6/100),2)</x:f>
        <x:v>4995000</x:v>
      </x:c>
    </x:row>
    <x:row r="7" ht="32" customHeight="1">
      <x:c r="A7" s="71" t="str">
        <x:v>Skh-1.1.22.(1c)</x:v>
      </x:c>
      <x:c r="B7" s="72" t="str">
        <x:v>Penyusunan pelaporan penerapan SMKK </x:v>
      </x:c>
      <x:c r="C7" s="73"/>
      <x:c r="D7" s="116" t="n">
        <x:v>3</x:v>
      </x:c>
      <x:c r="E7" s="116" t="n" cm="1">
        <x:f>D7</x:f>
        <x:v>3</x:v>
      </x:c>
      <x:c r="F7" s="116" t="n" cm="1">
        <x:f>D7</x:f>
        <x:v>3</x:v>
      </x:c>
      <x:c r="G7" s="17" t="str">
        <x:v>Set</x:v>
      </x:c>
      <x:c r="H7" s="120" t="n">
        <x:v>1500000</x:v>
      </x:c>
      <x:c r="I7" s="120" t="n">
        <x:v>1500000</x:v>
      </x:c>
      <x:c r="J7" s="120" t="n">
        <x:f>I7</x:f>
        <x:v>1500000</x:v>
      </x:c>
      <x:c r="K7" s="120" t="n">
        <x:v>11</x:v>
      </x:c>
      <x:c r="L7" s="120" t="n" cm="1">
        <x:f>D7*H7</x:f>
        <x:v>4500000</x:v>
      </x:c>
      <x:c r="M7" s="120" t="n" cm="1">
        <x:f>E7*I7</x:f>
        <x:v>4500000</x:v>
      </x:c>
      <x:c r="N7" s="121" t="n" cm="1">
        <x:f>F7*J7</x:f>
        <x:v>4500000</x:v>
      </x:c>
      <x:c r="S7" s="75" t="n">
        <x:f>ROUND(L7*(1+K7/100),2)</x:f>
        <x:v>4995000</x:v>
      </x:c>
      <x:c r="T7" s="75" t="n">
        <x:f>ROUND(M7*(1+K7/100),2)</x:f>
        <x:v>4995000</x:v>
      </x:c>
      <x:c r="U7" s="75" t="n">
        <x:f>ROUND(N7*(1+K7/100),2)</x:f>
        <x:v>4995000</x:v>
      </x:c>
    </x:row>
    <x:row r="8" ht="32" customHeight="1">
      <x:c r="A8" s="71" t="str">
        <x:v>Skh-1.1.22.(3a5)</x:v>
      </x:c>
      <x:c r="B8" s="72" t="str">
        <x:v>Pembatas area (Restricted Area)</x:v>
      </x:c>
      <x:c r="C8" s="73"/>
      <x:c r="D8" s="116" t="n">
        <x:v>1</x:v>
      </x:c>
      <x:c r="E8" s="116" t="n">
        <x:f>D8</x:f>
        <x:v>1</x:v>
      </x:c>
      <x:c r="F8" s="116" t="n">
        <x:f>D8</x:f>
        <x:v>1</x:v>
      </x:c>
      <x:c r="G8" s="17" t="str">
        <x:v>Rol</x:v>
      </x:c>
      <x:c r="H8" s="120" t="n">
        <x:v>1500000</x:v>
      </x:c>
      <x:c r="I8" s="120" t="n">
        <x:v>1500000</x:v>
      </x:c>
      <x:c r="J8" s="120" t="n">
        <x:f>I8</x:f>
        <x:v>1500000</x:v>
      </x:c>
      <x:c r="K8" s="120" t="n">
        <x:v>11</x:v>
      </x:c>
      <x:c r="L8" s="120" t="n" cm="1">
        <x:f>D8*H8</x:f>
        <x:v>1500000</x:v>
      </x:c>
      <x:c r="M8" s="120" t="n" cm="1">
        <x:f>E8*I8</x:f>
        <x:v>1500000</x:v>
      </x:c>
      <x:c r="N8" s="121" t="n" cm="1">
        <x:f>F8*J8</x:f>
        <x:v>1500000</x:v>
      </x:c>
      <x:c r="P8" t="str">
        <x:v>Sumber HPS</x:v>
      </x:c>
      <x:c r="Q8" t="str">
        <x:v>HPS - Pematangan Lahan Sekolah Rakyat.xlsx</x:v>
      </x:c>
      <x:c r="S8" s="75" t="n">
        <x:f>ROUND(L8*(1+K8/100),2)</x:f>
        <x:v>1665000</x:v>
      </x:c>
      <x:c r="T8" s="75" t="n">
        <x:f>ROUND(M8*(1+K8/100),2)</x:f>
        <x:v>1665000</x:v>
      </x:c>
      <x:c r="U8" s="75" t="n">
        <x:f>ROUND(N8*(1+K8/100),2)</x:f>
        <x:v>1665000</x:v>
      </x:c>
    </x:row>
    <x:row r="9" ht="32" customHeight="1">
      <x:c r="A9" s="71" t="str">
        <x:v>Skh-1.1.22.(3b1)</x:v>
      </x:c>
      <x:c r="B9" s="72" t="str">
        <x:v>Topi pelindung (Safety Helmet) </x:v>
      </x:c>
      <x:c r="C9" s="73"/>
      <x:c r="D9" s="116" t="n">
        <x:v>5</x:v>
      </x:c>
      <x:c r="E9" s="116" t="n" cm="1">
        <x:f>D9</x:f>
        <x:v>5</x:v>
      </x:c>
      <x:c r="F9" s="116" t="n" cm="1">
        <x:f>D9</x:f>
        <x:v>5</x:v>
      </x:c>
      <x:c r="G9" s="17" t="str">
        <x:v>Buah</x:v>
      </x:c>
      <x:c r="H9" s="120" t="n">
        <x:v>75000</x:v>
      </x:c>
      <x:c r="I9" s="120" t="n">
        <x:v>75000</x:v>
      </x:c>
      <x:c r="J9" s="120" t="n">
        <x:f>I9</x:f>
        <x:v>75000</x:v>
      </x:c>
      <x:c r="K9" s="120" t="n">
        <x:v>11</x:v>
      </x:c>
      <x:c r="L9" s="120" t="n" cm="1">
        <x:f>D9*H9</x:f>
        <x:v>375000</x:v>
      </x:c>
      <x:c r="M9" s="120" t="n" cm="1">
        <x:f>E9*I9</x:f>
        <x:v>375000</x:v>
      </x:c>
      <x:c r="N9" s="121" t="n" cm="1">
        <x:f>F9*J9</x:f>
        <x:v>375000</x:v>
      </x:c>
      <x:c r="P9" t="str">
        <x:v>Sumber penawaran</x:v>
      </x:c>
      <x:c r="Q9" t="str">
        <x:v>Penawaran - PT. BUMI SEDAYA SEJAHTERA - Pematangan Lahan Sekolah Rakyat.xlsx</x:v>
      </x:c>
      <x:c r="S9" s="75" t="n">
        <x:f>ROUND(L9*(1+K9/100),2)</x:f>
        <x:v>416250</x:v>
      </x:c>
      <x:c r="T9" s="75" t="n">
        <x:f>ROUND(M9*(1+K9/100),2)</x:f>
        <x:v>416250</x:v>
      </x:c>
      <x:c r="U9" s="75" t="n">
        <x:f>ROUND(N9*(1+K9/100),2)</x:f>
        <x:v>416250</x:v>
      </x:c>
    </x:row>
    <x:row r="10" ht="32" customHeight="1">
      <x:c r="A10" s="71" t="str">
        <x:v>Skh-1.1.22.(3b4)</x:v>
      </x:c>
      <x:c r="B10" s="72" t="str">
        <x:v>Sarung tangan (Safety Gloves) </x:v>
      </x:c>
      <x:c r="C10" s="73"/>
      <x:c r="D10" s="116" t="n">
        <x:v>5</x:v>
      </x:c>
      <x:c r="E10" s="116" t="n">
        <x:f>D10</x:f>
        <x:v>5</x:v>
      </x:c>
      <x:c r="F10" s="116" t="n">
        <x:f>D10</x:f>
        <x:v>5</x:v>
      </x:c>
      <x:c r="G10" s="17" t="str">
        <x:v>Pasang</x:v>
      </x:c>
      <x:c r="H10" s="120" t="n">
        <x:v>15000</x:v>
      </x:c>
      <x:c r="I10" s="120" t="n">
        <x:v>15000</x:v>
      </x:c>
      <x:c r="J10" s="120" t="n">
        <x:f>I10</x:f>
        <x:v>15000</x:v>
      </x:c>
      <x:c r="K10" s="120" t="n">
        <x:v>11</x:v>
      </x:c>
      <x:c r="L10" s="120" t="n">
        <x:f>D10*H10</x:f>
        <x:v>75000</x:v>
      </x:c>
      <x:c r="M10" s="120" t="n">
        <x:f>E10*I10</x:f>
        <x:v>75000</x:v>
      </x:c>
      <x:c r="N10" s="121" t="n">
        <x:f>F10*J10</x:f>
        <x:v>75000</x:v>
      </x:c>
      <x:c r="P10" t="str">
        <x:v>Format RAB</x:v>
      </x:c>
      <x:c r="Q10" t="str">
        <x:v>sample rab konstruksi.xlsx</x:v>
      </x:c>
      <x:c r="S10" s="75" t="n">
        <x:f>ROUND(L10*(1+K10/100),2)</x:f>
        <x:v>83250</x:v>
      </x:c>
      <x:c r="T10" s="75" t="n">
        <x:f>ROUND(M10*(1+K10/100),2)</x:f>
        <x:v>83250</x:v>
      </x:c>
      <x:c r="U10" s="75" t="n">
        <x:f>ROUND(N10*(1+K10/100),2)</x:f>
        <x:v>83250</x:v>
      </x:c>
    </x:row>
    <x:row r="11" ht="32" customHeight="1">
      <x:c r="A11" s="71" t="str">
        <x:v>Skh-1.1.22.(3b5)</x:v>
      </x:c>
      <x:c r="B11" s="72" t="str">
        <x:v>Sepatu keselamatan (Safety Shoes, rubber safety shoes and toe cap)</x:v>
      </x:c>
      <x:c r="C11" s="73"/>
      <x:c r="D11" s="116" t="n">
        <x:v>5</x:v>
      </x:c>
      <x:c r="E11" s="116" t="n">
        <x:f>D11</x:f>
        <x:v>5</x:v>
      </x:c>
      <x:c r="F11" s="116" t="n">
        <x:f>D11</x:f>
        <x:v>5</x:v>
      </x:c>
      <x:c r="G11" s="17" t="str">
        <x:v>Pasang</x:v>
      </x:c>
      <x:c r="H11" s="120" t="n">
        <x:v>400000</x:v>
      </x:c>
      <x:c r="I11" s="120" t="n">
        <x:v>400000</x:v>
      </x:c>
      <x:c r="J11" s="120" t="n">
        <x:f>I11</x:f>
        <x:v>400000</x:v>
      </x:c>
      <x:c r="K11" s="120" t="n">
        <x:v>11</x:v>
      </x:c>
      <x:c r="L11" s="120" t="n">
        <x:f>D11*H11</x:f>
        <x:v>2000000</x:v>
      </x:c>
      <x:c r="M11" s="120" t="n">
        <x:f>E11*I11</x:f>
        <x:v>2000000</x:v>
      </x:c>
      <x:c r="N11" s="121" t="n">
        <x:f>F11*J11</x:f>
        <x:v>2000000</x:v>
      </x:c>
      <x:c r="S11" s="75" t="n">
        <x:f>ROUND(L11*(1+K11/100),2)</x:f>
        <x:v>2220000</x:v>
      </x:c>
      <x:c r="T11" s="75" t="n">
        <x:f>ROUND(M11*(1+K11/100),2)</x:f>
        <x:v>2220000</x:v>
      </x:c>
      <x:c r="U11" s="75" t="n">
        <x:f>ROUND(N11*(1+K11/100),2)</x:f>
        <x:v>2220000</x:v>
      </x:c>
    </x:row>
    <x:row r="12" ht="32" customHeight="1">
      <x:c r="A12" s="71" t="str">
        <x:v>Skh-1.1.22.(3b6)</x:v>
      </x:c>
      <x:c r="B12" s="72" t="str">
        <x:v>Rompi keselamatan (Safety Vest)</x:v>
      </x:c>
      <x:c r="C12" s="73"/>
      <x:c r="D12" s="116" t="n">
        <x:v>5</x:v>
      </x:c>
      <x:c r="E12" s="116" t="n">
        <x:f>D12</x:f>
        <x:v>5</x:v>
      </x:c>
      <x:c r="F12" s="116" t="n">
        <x:f>D12</x:f>
        <x:v>5</x:v>
      </x:c>
      <x:c r="G12" s="17" t="str">
        <x:v>Buah</x:v>
      </x:c>
      <x:c r="H12" s="120" t="n">
        <x:v>63670</x:v>
      </x:c>
      <x:c r="I12" s="120" t="n">
        <x:v>63670</x:v>
      </x:c>
      <x:c r="J12" s="120" t="n">
        <x:f>I12</x:f>
        <x:v>63670</x:v>
      </x:c>
      <x:c r="K12" s="120" t="n">
        <x:v>11</x:v>
      </x:c>
      <x:c r="L12" s="120" t="n">
        <x:f>D12*H12</x:f>
        <x:v>318350</x:v>
      </x:c>
      <x:c r="M12" s="120" t="n">
        <x:f>E12*I12</x:f>
        <x:v>318350</x:v>
      </x:c>
      <x:c r="N12" s="121" t="n">
        <x:f>F12*J12</x:f>
        <x:v>318350</x:v>
      </x:c>
      <x:c r="S12" s="75" t="n">
        <x:f>ROUND(L12*(1+K12/100),2)</x:f>
        <x:v>353368.5</x:v>
      </x:c>
      <x:c r="T12" s="75" t="n">
        <x:f>ROUND(M12*(1+K12/100),2)</x:f>
        <x:v>353368.5</x:v>
      </x:c>
      <x:c r="U12" s="75" t="n">
        <x:f>ROUND(N12*(1+K12/100),2)</x:f>
        <x:v>353368.5</x:v>
      </x:c>
    </x:row>
    <x:row r="13" ht="23" customHeight="1">
      <x:c r="A13" s="71" t="str">
        <x:v>10</x:v>
      </x:c>
      <x:c r="B13" s="72" t="str">
        <x:v>Jaminan Kecelakan Kerja</x:v>
      </x:c>
      <x:c r="C13" s="73"/>
      <x:c r="D13" s="116" t="n">
        <x:v>1</x:v>
      </x:c>
      <x:c r="E13" s="116" t="n">
        <x:f>D13</x:f>
        <x:v>1</x:v>
      </x:c>
      <x:c r="F13" s="116" t="n">
        <x:f>D13</x:f>
        <x:v>1</x:v>
      </x:c>
      <x:c r="G13" s="17" t="str">
        <x:v>Ls</x:v>
      </x:c>
      <x:c r="H13" s="120" t="n">
        <x:v>1500000</x:v>
      </x:c>
      <x:c r="I13" s="120" t="n">
        <x:v>1500000</x:v>
      </x:c>
      <x:c r="J13" s="120" t="n">
        <x:f>I13</x:f>
        <x:v>1500000</x:v>
      </x:c>
      <x:c r="K13" s="120" t="n">
        <x:v>11</x:v>
      </x:c>
      <x:c r="L13" s="120" t="n">
        <x:f>D13*H13</x:f>
        <x:v>1500000</x:v>
      </x:c>
      <x:c r="M13" s="120" t="n">
        <x:f>E13*I13</x:f>
        <x:v>1500000</x:v>
      </x:c>
      <x:c r="N13" s="121" t="n">
        <x:f>F13*J13</x:f>
        <x:v>1500000</x:v>
      </x:c>
      <x:c r="S13" s="75" t="n">
        <x:f>ROUND(L13*(1+K13/100),2)</x:f>
        <x:v>1665000</x:v>
      </x:c>
      <x:c r="T13" s="75" t="n">
        <x:f>ROUND(M13*(1+K13/100),2)</x:f>
        <x:v>1665000</x:v>
      </x:c>
      <x:c r="U13" s="75" t="n">
        <x:f>ROUND(N13*(1+K13/100),2)</x:f>
        <x:v>1665000</x:v>
      </x:c>
    </x:row>
    <x:row r="14" ht="23" customHeight="1">
      <x:c r="A14" s="71" t="str">
        <x:v>11</x:v>
      </x:c>
      <x:c r="B14" s="72" t="str">
        <x:v>Jaminan Kematian</x:v>
      </x:c>
      <x:c r="C14" s="73"/>
      <x:c r="D14" s="116" t="n">
        <x:v>1</x:v>
      </x:c>
      <x:c r="E14" s="116" t="n">
        <x:f>D14</x:f>
        <x:v>1</x:v>
      </x:c>
      <x:c r="F14" s="116" t="n">
        <x:f>D14</x:f>
        <x:v>1</x:v>
      </x:c>
      <x:c r="G14" s="17" t="str">
        <x:v>Ls</x:v>
      </x:c>
      <x:c r="H14" s="120" t="n">
        <x:v>500000</x:v>
      </x:c>
      <x:c r="I14" s="120" t="n">
        <x:v>500000</x:v>
      </x:c>
      <x:c r="J14" s="120" t="n">
        <x:f>I14</x:f>
        <x:v>500000</x:v>
      </x:c>
      <x:c r="K14" s="120" t="n">
        <x:v>11</x:v>
      </x:c>
      <x:c r="L14" s="120" t="n">
        <x:f>D14*H14</x:f>
        <x:v>500000</x:v>
      </x:c>
      <x:c r="M14" s="120" t="n">
        <x:f>E14*I14</x:f>
        <x:v>500000</x:v>
      </x:c>
      <x:c r="N14" s="121" t="n">
        <x:f>F14*J14</x:f>
        <x:v>500000</x:v>
      </x:c>
      <x:c r="S14" s="75" t="n">
        <x:f>ROUND(L14*(1+K14/100),2)</x:f>
        <x:v>555000</x:v>
      </x:c>
      <x:c r="T14" s="75" t="n">
        <x:f>ROUND(M14*(1+K14/100),2)</x:f>
        <x:v>555000</x:v>
      </x:c>
      <x:c r="U14" s="75" t="n">
        <x:f>ROUND(N14*(1+K14/100),2)</x:f>
        <x:v>555000</x:v>
      </x:c>
    </x:row>
    <x:row r="15" ht="32" customHeight="1">
      <x:c r="A15" s="71" t="str">
        <x:v>Skh-1.1.22.(5b)</x:v>
      </x:c>
      <x:c r="B15" s="72" t="str">
        <x:v>Petugas Keselamatan Konstruksi, Petugas K3 Konstruksi</x:v>
      </x:c>
      <x:c r="C15" s="73"/>
      <x:c r="D15" s="116" t="n">
        <x:v>1</x:v>
      </x:c>
      <x:c r="E15" s="116" t="n">
        <x:f>D15</x:f>
        <x:v>1</x:v>
      </x:c>
      <x:c r="F15" s="116" t="n">
        <x:f>D15</x:f>
        <x:v>1</x:v>
      </x:c>
      <x:c r="G15" s="17" t="str">
        <x:v>OB</x:v>
      </x:c>
      <x:c r="H15" s="120" t="n">
        <x:v>1500000</x:v>
      </x:c>
      <x:c r="I15" s="120" t="n">
        <x:v>1500000</x:v>
      </x:c>
      <x:c r="J15" s="120" t="n">
        <x:f>I15</x:f>
        <x:v>1500000</x:v>
      </x:c>
      <x:c r="K15" s="120" t="n">
        <x:v>11</x:v>
      </x:c>
      <x:c r="L15" s="120" t="n">
        <x:f>D15*H15</x:f>
        <x:v>1500000</x:v>
      </x:c>
      <x:c r="M15" s="120" t="n">
        <x:f>E15*I15</x:f>
        <x:v>1500000</x:v>
      </x:c>
      <x:c r="N15" s="121" t="n">
        <x:f>F15*J15</x:f>
        <x:v>1500000</x:v>
      </x:c>
      <x:c r="S15" s="75" t="n">
        <x:f>ROUND(L15*(1+K15/100),2)</x:f>
        <x:v>1665000</x:v>
      </x:c>
      <x:c r="T15" s="75" t="n">
        <x:f>ROUND(M15*(1+K15/100),2)</x:f>
        <x:v>1665000</x:v>
      </x:c>
      <x:c r="U15" s="75" t="n">
        <x:f>ROUND(N15*(1+K15/100),2)</x:f>
        <x:v>1665000</x:v>
      </x:c>
    </x:row>
    <x:row r="16" ht="32" customHeight="1">
      <x:c r="A16" s="71" t="str">
        <x:v>Skh-1.1.22.(5e)</x:v>
      </x:c>
      <x:c r="B16" s="72" t="str">
        <x:v>Petugas pengatur lalu lintas</x:v>
      </x:c>
      <x:c r="C16" s="73"/>
      <x:c r="D16" s="116" t="n">
        <x:v>1</x:v>
      </x:c>
      <x:c r="E16" s="116" t="n">
        <x:f>D16</x:f>
        <x:v>1</x:v>
      </x:c>
      <x:c r="F16" s="116" t="n">
        <x:f>D16</x:f>
        <x:v>1</x:v>
      </x:c>
      <x:c r="G16" s="17" t="str">
        <x:v>OB</x:v>
      </x:c>
      <x:c r="H16" s="120" t="n">
        <x:v>1000000</x:v>
      </x:c>
      <x:c r="I16" s="120" t="n">
        <x:v>1000000</x:v>
      </x:c>
      <x:c r="J16" s="120" t="n">
        <x:f>I16</x:f>
        <x:v>1000000</x:v>
      </x:c>
      <x:c r="K16" s="120" t="n">
        <x:v>11</x:v>
      </x:c>
      <x:c r="L16" s="120" t="n">
        <x:f>D16*H16</x:f>
        <x:v>1000000</x:v>
      </x:c>
      <x:c r="M16" s="120" t="n">
        <x:f>E16*I16</x:f>
        <x:v>1000000</x:v>
      </x:c>
      <x:c r="N16" s="121" t="n">
        <x:f>F16*J16</x:f>
        <x:v>1000000</x:v>
      </x:c>
      <x:c r="S16" s="75" t="n">
        <x:f>ROUND(L16*(1+K16/100),2)</x:f>
        <x:v>1110000</x:v>
      </x:c>
      <x:c r="T16" s="75" t="n">
        <x:f>ROUND(M16*(1+K16/100),2)</x:f>
        <x:v>1110000</x:v>
      </x:c>
      <x:c r="U16" s="75" t="n">
        <x:f>ROUND(N16*(1+K16/100),2)</x:f>
        <x:v>1110000</x:v>
      </x:c>
    </x:row>
    <x:row r="17" ht="32" customHeight="1">
      <x:c r="A17" s="71" t="str">
        <x:v>Skh-1.1.22.(6a)</x:v>
      </x:c>
      <x:c r="B17" s="72" t="str">
        <x:v>Peralatan P3K</x:v>
      </x:c>
      <x:c r="C17" s="73"/>
      <x:c r="D17" s="116" t="n">
        <x:v>1</x:v>
      </x:c>
      <x:c r="E17" s="116" t="n">
        <x:f>D17</x:f>
        <x:v>1</x:v>
      </x:c>
      <x:c r="F17" s="116" t="n">
        <x:f>D17</x:f>
        <x:v>1</x:v>
      </x:c>
      <x:c r="G17" s="17" t="str">
        <x:v>Set</x:v>
      </x:c>
      <x:c r="H17" s="120" t="n">
        <x:v>500000</x:v>
      </x:c>
      <x:c r="I17" s="120" t="n">
        <x:v>500000</x:v>
      </x:c>
      <x:c r="J17" s="120" t="n">
        <x:f>I17</x:f>
        <x:v>500000</x:v>
      </x:c>
      <x:c r="K17" s="120" t="n">
        <x:v>11</x:v>
      </x:c>
      <x:c r="L17" s="120" t="n">
        <x:f>D17*H17</x:f>
        <x:v>500000</x:v>
      </x:c>
      <x:c r="M17" s="120" t="n">
        <x:f>E17*I17</x:f>
        <x:v>500000</x:v>
      </x:c>
      <x:c r="N17" s="121" t="n">
        <x:f>F17*J17</x:f>
        <x:v>500000</x:v>
      </x:c>
      <x:c r="S17" s="75" t="n">
        <x:f>ROUND(L17*(1+K17/100),2)</x:f>
        <x:v>555000</x:v>
      </x:c>
      <x:c r="T17" s="75" t="n">
        <x:f>ROUND(M17*(1+K17/100),2)</x:f>
        <x:v>555000</x:v>
      </x:c>
      <x:c r="U17" s="75" t="n">
        <x:f>ROUND(N17*(1+K17/100),2)</x:f>
        <x:v>555000</x:v>
      </x:c>
    </x:row>
    <x:row r="18" ht="32" customHeight="1">
      <x:c r="A18" s="71" t="str">
        <x:v>Skh-1.1.22.(7a)</x:v>
      </x:c>
      <x:c r="B18" s="72" t="str">
        <x:v>Rambu petunjuk </x:v>
      </x:c>
      <x:c r="C18" s="73"/>
      <x:c r="D18" s="116" t="n">
        <x:v>1</x:v>
      </x:c>
      <x:c r="E18" s="116" t="n">
        <x:f>D18</x:f>
        <x:v>1</x:v>
      </x:c>
      <x:c r="F18" s="116" t="n">
        <x:f>D18</x:f>
        <x:v>1</x:v>
      </x:c>
      <x:c r="G18" s="17" t="str">
        <x:v>Buah</x:v>
      </x:c>
      <x:c r="H18" s="120" t="n">
        <x:v>50000</x:v>
      </x:c>
      <x:c r="I18" s="120" t="n">
        <x:v>50000</x:v>
      </x:c>
      <x:c r="J18" s="120" t="n">
        <x:f>I18</x:f>
        <x:v>50000</x:v>
      </x:c>
      <x:c r="K18" s="120" t="n">
        <x:v>11</x:v>
      </x:c>
      <x:c r="L18" s="120" t="n">
        <x:f>D18*H18</x:f>
        <x:v>50000</x:v>
      </x:c>
      <x:c r="M18" s="120" t="n">
        <x:f>E18*I18</x:f>
        <x:v>50000</x:v>
      </x:c>
      <x:c r="N18" s="121" t="n">
        <x:f>F18*J18</x:f>
        <x:v>50000</x:v>
      </x:c>
      <x:c r="S18" s="75" t="n">
        <x:f>ROUND(L18*(1+K18/100),2)</x:f>
        <x:v>55500</x:v>
      </x:c>
      <x:c r="T18" s="75" t="n">
        <x:f>ROUND(M18*(1+K18/100),2)</x:f>
        <x:v>55500</x:v>
      </x:c>
      <x:c r="U18" s="75" t="n">
        <x:f>ROUND(N18*(1+K18/100),2)</x:f>
        <x:v>55500</x:v>
      </x:c>
    </x:row>
    <x:row r="19" ht="32" customHeight="1">
      <x:c r="A19" s="71" t="str">
        <x:v>Skh-1.1.22.(7b)</x:v>
      </x:c>
      <x:c r="B19" s="72" t="str">
        <x:v>Rambu larangan </x:v>
      </x:c>
      <x:c r="C19" s="73"/>
      <x:c r="D19" s="116" t="n">
        <x:v>1</x:v>
      </x:c>
      <x:c r="E19" s="116" t="n">
        <x:f>D19</x:f>
        <x:v>1</x:v>
      </x:c>
      <x:c r="F19" s="116" t="n">
        <x:f>D19</x:f>
        <x:v>1</x:v>
      </x:c>
      <x:c r="G19" s="17" t="str">
        <x:v>Buah</x:v>
      </x:c>
      <x:c r="H19" s="120" t="n">
        <x:v>50000</x:v>
      </x:c>
      <x:c r="I19" s="120" t="n">
        <x:v>50000</x:v>
      </x:c>
      <x:c r="J19" s="120" t="n">
        <x:f>I19</x:f>
        <x:v>50000</x:v>
      </x:c>
      <x:c r="K19" s="120" t="n">
        <x:v>11</x:v>
      </x:c>
      <x:c r="L19" s="120" t="n">
        <x:f>D19*H19</x:f>
        <x:v>50000</x:v>
      </x:c>
      <x:c r="M19" s="120" t="n">
        <x:f>E19*I19</x:f>
        <x:v>50000</x:v>
      </x:c>
      <x:c r="N19" s="121" t="n">
        <x:f>F19*J19</x:f>
        <x:v>50000</x:v>
      </x:c>
      <x:c r="S19" s="75" t="n">
        <x:f>ROUND(L19*(1+K19/100),2)</x:f>
        <x:v>55500</x:v>
      </x:c>
      <x:c r="T19" s="75" t="n">
        <x:f>ROUND(M19*(1+K19/100),2)</x:f>
        <x:v>55500</x:v>
      </x:c>
      <x:c r="U19" s="75" t="n">
        <x:f>ROUND(N19*(1+K19/100),2)</x:f>
        <x:v>55500</x:v>
      </x:c>
    </x:row>
    <x:row r="20" ht="32" customHeight="1">
      <x:c r="A20" s="71" t="str">
        <x:v>Skh-1.1.22.(7c)</x:v>
      </x:c>
      <x:c r="B20" s="72" t="str">
        <x:v>Rambu peringatan </x:v>
      </x:c>
      <x:c r="C20" s="73"/>
      <x:c r="D20" s="116" t="n">
        <x:v>1</x:v>
      </x:c>
      <x:c r="E20" s="116" t="n">
        <x:f>D20</x:f>
        <x:v>1</x:v>
      </x:c>
      <x:c r="F20" s="116" t="n">
        <x:f>D20</x:f>
        <x:v>1</x:v>
      </x:c>
      <x:c r="G20" s="17" t="str">
        <x:v>Buah</x:v>
      </x:c>
      <x:c r="H20" s="120" t="n">
        <x:v>50000</x:v>
      </x:c>
      <x:c r="I20" s="120" t="n">
        <x:v>50000</x:v>
      </x:c>
      <x:c r="J20" s="120" t="n">
        <x:f>I20</x:f>
        <x:v>50000</x:v>
      </x:c>
      <x:c r="K20" s="120" t="n">
        <x:v>11</x:v>
      </x:c>
      <x:c r="L20" s="120" t="n">
        <x:f>D20*H20</x:f>
        <x:v>50000</x:v>
      </x:c>
      <x:c r="M20" s="120" t="n">
        <x:f>E20*I20</x:f>
        <x:v>50000</x:v>
      </x:c>
      <x:c r="N20" s="121" t="n">
        <x:f>F20*J20</x:f>
        <x:v>50000</x:v>
      </x:c>
      <x:c r="S20" s="75" t="n">
        <x:f>ROUND(L20*(1+K20/100),2)</x:f>
        <x:v>55500</x:v>
      </x:c>
      <x:c r="T20" s="75" t="n">
        <x:f>ROUND(M20*(1+K20/100),2)</x:f>
        <x:v>55500</x:v>
      </x:c>
      <x:c r="U20" s="75" t="n">
        <x:f>ROUND(N20*(1+K20/100),2)</x:f>
        <x:v>55500</x:v>
      </x:c>
    </x:row>
    <x:row r="21" ht="32" customHeight="1">
      <x:c r="A21" s="71" t="str">
        <x:v>Skh-1.1.22.(9a1)</x:v>
      </x:c>
      <x:c r="B21" s="72" t="str">
        <x:v>Alat Pemadam Api Ringan (APAR)</x:v>
      </x:c>
      <x:c r="C21" s="73"/>
      <x:c r="D21" s="116" t="n">
        <x:v>1</x:v>
      </x:c>
      <x:c r="E21" s="116" t="n">
        <x:f>D21</x:f>
        <x:v>1</x:v>
      </x:c>
      <x:c r="F21" s="116" t="n">
        <x:f>D21</x:f>
        <x:v>1</x:v>
      </x:c>
      <x:c r="G21" s="17" t="str">
        <x:v>Buah</x:v>
      </x:c>
      <x:c r="H21" s="120" t="n">
        <x:v>600000</x:v>
      </x:c>
      <x:c r="I21" s="120" t="n">
        <x:v>600000</x:v>
      </x:c>
      <x:c r="J21" s="120" t="n">
        <x:f>I21</x:f>
        <x:v>600000</x:v>
      </x:c>
      <x:c r="K21" s="120" t="n">
        <x:v>11</x:v>
      </x:c>
      <x:c r="L21" s="120" t="n">
        <x:f>D21*H21</x:f>
        <x:v>600000</x:v>
      </x:c>
      <x:c r="M21" s="120" t="n">
        <x:f>E21*I21</x:f>
        <x:v>600000</x:v>
      </x:c>
      <x:c r="N21" s="121" t="n">
        <x:f>F21*J21</x:f>
        <x:v>600000</x:v>
      </x:c>
      <x:c r="S21" s="75" t="n">
        <x:f>ROUND(L21*(1+K21/100),2)</x:f>
        <x:v>666000</x:v>
      </x:c>
      <x:c r="T21" s="75" t="n">
        <x:f>ROUND(M21*(1+K21/100),2)</x:f>
        <x:v>666000</x:v>
      </x:c>
      <x:c r="U21" s="75" t="n">
        <x:f>ROUND(N21*(1+K21/100),2)</x:f>
        <x:v>666000</x:v>
      </x:c>
    </x:row>
    <x:row r="22" ht="22" customHeight="1">
      <x:c r="A22" s="6"/>
      <x:c r="B22" s="7" t="str">
        <x:v>DIVISI 3. PEKERJAAN TANAH DAN GEOSINTETIK</x:v>
      </x:c>
      <x:c r="C22" s="8"/>
      <x:c r="D22" s="115"/>
      <x:c r="E22" s="115"/>
      <x:c r="F22" s="115"/>
      <x:c r="G22" s="10"/>
      <x:c r="H22" s="118"/>
      <x:c r="I22" s="118"/>
      <x:c r="J22" s="118"/>
      <x:c r="K22" s="118"/>
      <x:c r="L22" s="118"/>
      <x:c r="M22" s="118"/>
      <x:c r="N22" s="119"/>
      <x:c r="S22" s="75"/>
      <x:c r="T22" s="75"/>
      <x:c r="U22" s="75"/>
    </x:row>
    <x:row r="23" ht="23" customHeight="1">
      <x:c r="A23" s="71" t="str">
        <x:v>3.1.(1)</x:v>
      </x:c>
      <x:c r="B23" s="72" t="str">
        <x:v>Galian Biasa</x:v>
      </x:c>
      <x:c r="C23" s="73"/>
      <x:c r="D23" s="116" t="n">
        <x:v>9325.636147168401</x:v>
      </x:c>
      <x:c r="E23" s="116" t="n">
        <x:f>D23</x:f>
        <x:v>9325.636147168401</x:v>
      </x:c>
      <x:c r="F23" s="116" t="n">
        <x:f>D23</x:f>
        <x:v>9325.636147168401</x:v>
      </x:c>
      <x:c r="G23" s="17" t="str">
        <x:v>M3</x:v>
      </x:c>
      <x:c r="H23" s="120" t="n">
        <x:v>23875</x:v>
      </x:c>
      <x:c r="I23" s="120" t="n">
        <x:v>23871</x:v>
      </x:c>
      <x:c r="J23" s="120" t="n">
        <x:f>I23</x:f>
        <x:v>23871</x:v>
      </x:c>
      <x:c r="K23" s="120" t="n">
        <x:v>11</x:v>
      </x:c>
      <x:c r="L23" s="120" t="n">
        <x:f>D23*H23</x:f>
        <x:v>222649563.0136456</x:v>
      </x:c>
      <x:c r="M23" s="120" t="n">
        <x:f>E23*I23</x:f>
        <x:v>222612260.4690569</x:v>
      </x:c>
      <x:c r="N23" s="121" t="n">
        <x:f>F23*J23</x:f>
        <x:v>222612260.4690569</x:v>
      </x:c>
      <x:c r="S23" s="75" t="n">
        <x:f>ROUND(L23*(1+K23/100),2)</x:f>
        <x:v>247141014.95</x:v>
      </x:c>
      <x:c r="T23" s="75" t="n">
        <x:f>ROUND(M23*(1+K23/100),2)</x:f>
        <x:v>247099609.12</x:v>
      </x:c>
      <x:c r="U23" s="75" t="n">
        <x:f>ROUND(N23*(1+K23/100),2)</x:f>
        <x:v>247099609.12</x:v>
      </x:c>
    </x:row>
    <x:row r="24" ht="23" customHeight="1">
      <x:c r="A24" s="71" t="str">
        <x:v>3.4.(1)</x:v>
      </x:c>
      <x:c r="B24" s="72" t="str">
        <x:v>Pembersihan dan Pengupasan Lahan </x:v>
      </x:c>
      <x:c r="C24" s="73"/>
      <x:c r="D24" s="116" t="n">
        <x:v>3500</x:v>
      </x:c>
      <x:c r="E24" s="116" t="n">
        <x:f>D24</x:f>
        <x:v>3500</x:v>
      </x:c>
      <x:c r="F24" s="116" t="n">
        <x:f>D24</x:f>
        <x:v>3500</x:v>
      </x:c>
      <x:c r="G24" s="17" t="str">
        <x:v>M2</x:v>
      </x:c>
      <x:c r="H24" s="120" t="n">
        <x:v>26600.70063551662</x:v>
      </x:c>
      <x:c r="I24" s="120" t="n">
        <x:v>26593.18317069937</x:v>
      </x:c>
      <x:c r="J24" s="120" t="n">
        <x:f>I24</x:f>
        <x:v>26593.18317069937</x:v>
      </x:c>
      <x:c r="K24" s="120" t="n">
        <x:v>11</x:v>
      </x:c>
      <x:c r="L24" s="120" t="n">
        <x:f>D24*H24</x:f>
        <x:v>93102452.22430816</x:v>
      </x:c>
      <x:c r="M24" s="120" t="n">
        <x:f>E24*I24</x:f>
        <x:v>93076141.0974478</x:v>
      </x:c>
      <x:c r="N24" s="121" t="n">
        <x:f>F24*J24</x:f>
        <x:v>93076141.0974478</x:v>
      </x:c>
      <x:c r="S24" s="75" t="n">
        <x:f>ROUND(L24*(1+K24/100),2)</x:f>
        <x:v>103343721.97</x:v>
      </x:c>
      <x:c r="T24" s="75" t="n">
        <x:f>ROUND(M24*(1+K24/100),2)</x:f>
        <x:v>103314516.62</x:v>
      </x:c>
      <x:c r="U24" s="75" t="n">
        <x:f>ROUND(N24*(1+K24/100),2)</x:f>
        <x:v>103314516.62</x:v>
      </x:c>
    </x:row>
    <x:row r="25" ht="29" customHeight="1">
      <x:c r="A25" s="104"/>
      <x:c r="B25" s="105"/>
      <x:c r="C25" s="105"/>
      <x:c r="D25" s="117"/>
      <x:c r="E25" s="117"/>
      <x:c r="F25" s="117"/>
      <x:c r="G25" s="106"/>
      <x:c r="H25" s="122"/>
      <x:c r="I25" s="122"/>
      <x:c r="J25" s="123"/>
      <x:c r="K25" s="124" t="str">
        <x:v>Jumlah Total (A)</x:v>
      </x:c>
      <x:c r="L25" s="125" t="n">
        <x:f>SUM(L3:L24)</x:f>
        <x:v>360360365.2379538</x:v>
      </x:c>
      <x:c r="M25" s="125" t="n">
        <x:f>SUM(M3:M24)</x:f>
        <x:v>360295751.5665047</x:v>
      </x:c>
      <x:c r="N25" s="125" t="n">
        <x:f>SUM(N3:N24)</x:f>
        <x:v>360295751.5665047</x:v>
      </x:c>
    </x:row>
    <x:row r="26" ht="29" customHeight="1">
      <x:c r="A26" s="108"/>
      <x:c r="B26" s="105"/>
      <x:c r="C26" s="105"/>
      <x:c r="D26" s="117"/>
      <x:c r="E26" s="117"/>
      <x:c r="F26" s="117"/>
      <x:c r="G26" s="106"/>
      <x:c r="H26" s="122"/>
      <x:c r="I26" s="122"/>
      <x:c r="J26" s="123"/>
      <x:c r="K26" s="126" t="str">
        <x:v>Jumlah Terkena Pajak (B)</x:v>
      </x:c>
      <x:c r="L26" s="127" t="n">
        <x:f>SUMIF($K3:$K24,"&gt;0",L3:L24)</x:f>
        <x:v>360360365.2379538</x:v>
      </x:c>
      <x:c r="M26" s="128" t="n">
        <x:f>SUMIF($K3:$K24,"&gt;0",M3:M24)</x:f>
        <x:v>360295751.5665047</x:v>
      </x:c>
      <x:c r="N26" s="128" t="n">
        <x:f>SUMIF($K3:$K24,"&gt;0",N3:N24)</x:f>
        <x:v>360295751.5665047</x:v>
      </x:c>
    </x:row>
    <x:row r="27" ht="29" customHeight="1">
      <x:c r="A27" s="104"/>
      <x:c r="B27" s="105"/>
      <x:c r="C27" s="105"/>
      <x:c r="D27" s="117"/>
      <x:c r="E27" s="117"/>
      <x:c r="F27" s="117"/>
      <x:c r="G27" s="106"/>
      <x:c r="H27" s="122"/>
      <x:c r="I27" s="122"/>
      <x:c r="J27" s="123"/>
      <x:c r="K27" s="129" t="str">
        <x:v>PPN (C)</x:v>
      </x:c>
      <x:c r="L27" s="130" t="n">
        <x:f>SUM(S3:S24)-L25</x:f>
        <x:v>39639640.182046175</x:v>
      </x:c>
      <x:c r="M27" s="128" t="n">
        <x:f>SUM(T3:T24)-M25</x:f>
        <x:v>39632532.67349529</x:v>
      </x:c>
      <x:c r="N27" s="128" t="n">
        <x:f>SUM(U3:U24)-N25</x:f>
        <x:v>39632532.67349529</x:v>
      </x:c>
    </x:row>
    <x:row r="28" ht="29" customHeight="1">
      <x:c r="A28" s="104"/>
      <x:c r="B28" s="105"/>
      <x:c r="C28" s="105"/>
      <x:c r="D28" s="117"/>
      <x:c r="E28" s="117"/>
      <x:c r="F28" s="117"/>
      <x:c r="G28" s="106"/>
      <x:c r="H28" s="122"/>
      <x:c r="I28" s="122"/>
      <x:c r="J28" s="123"/>
      <x:c r="K28" s="129" t="str">
        <x:v>Jumlah A + C</x:v>
      </x:c>
      <x:c r="L28" s="131" t="n" cm="1">
        <x:f>L25+L27</x:f>
        <x:v>400000005.41999996</x:v>
      </x:c>
      <x:c r="M28" s="128" t="n" cm="1">
        <x:f>M25+M27</x:f>
        <x:v>399928284.24</x:v>
      </x:c>
      <x:c r="N28" s="128" t="n" cm="1">
        <x:f>N25+N27</x:f>
        <x:v>399928284.24</x:v>
      </x:c>
    </x:row>
    <x:row r="29" ht="29" customHeight="1">
      <x:c r="A29" s="104"/>
      <x:c r="B29" s="105"/>
      <x:c r="C29" s="105"/>
      <x:c r="D29" s="117" cm="1"/>
      <x:c r="E29" s="117" cm="1"/>
      <x:c r="F29" s="117" cm="1"/>
      <x:c r="G29" s="106"/>
      <x:c r="H29" s="122"/>
      <x:c r="I29" s="122"/>
      <x:c r="J29" s="123"/>
      <x:c r="K29" s="129" t="str" cm="1">
        <x:v>Jumlah Dibulatkan</x:v>
      </x:c>
      <x:c r="L29" s="127" t="n" cm="1">
        <x:f>ROUND(L28,2)</x:f>
        <x:v>400000005.42</x:v>
      </x:c>
      <x:c r="M29" s="127" t="n" cm="1">
        <x:f>ROUND(M28,2)</x:f>
        <x:v>399928284.24</x:v>
      </x:c>
      <x:c r="N29" s="127" t="n" cm="1">
        <x:f>ROUND(N28,2)</x:f>
        <x:v>399928284.24</x:v>
      </x:c>
    </x:row>
    <x:row r="30" ht="33" customHeight="1">
      <x:c r="A30" s="62"/>
      <x:c r="B30" s="63"/>
      <x:c r="C30" s="63"/>
      <x:c r="D30" s="64"/>
      <x:c r="E30" s="64"/>
      <x:c r="F30" s="64"/>
      <x:c r="G30" s="65"/>
      <x:c r="H30" s="65"/>
      <x:c r="I30" s="66"/>
      <x:c r="J30" s="67"/>
      <x:c r="K30" s="67" cm="1">
        <x:f t="array" ref="K30"/>
      </x:c>
      <x:c r="L30" s="66" cm="1">
        <x:f t="array" ref="L30"/>
      </x:c>
      <x:c r="M30" s="61" cm="1">
        <x:f t="array" ref="M30"/>
      </x:c>
      <x:c r="N30" s="61" cm="1">
        <x:f t="array" ref="N30"/>
      </x:c>
    </x:row>
    <x:row r="31" ht="21" customHeight="1">
      <x:c r="A31" s="62"/>
      <x:c r="B31" s="63"/>
      <x:c r="C31" s="63"/>
      <x:c r="D31" s="63"/>
      <x:c r="E31" s="68"/>
      <x:c r="F31" s="68"/>
      <x:c r="G31" s="65"/>
      <x:c r="H31" s="65"/>
      <x:c r="I31" s="63"/>
      <x:c r="J31" s="67"/>
      <x:c r="K31" s="69"/>
      <x:c r="L31" s="70" cm="1">
        <x:f t="array" ref="L31"/>
      </x:c>
      <x:c r="M31" s="61" cm="1">
        <x:f t="array" ref="M31"/>
      </x:c>
      <x:c r="N31" s="61" cm="1">
        <x:f t="array" ref="N31"/>
      </x:c>
    </x:row>
    <x:row r="32" ht="20.5" customHeight="1">
      <x:c r="A32" s="62"/>
      <x:c r="B32" s="63"/>
      <x:c r="C32" s="63"/>
      <x:c r="D32" s="65"/>
      <x:c r="E32" s="65"/>
      <x:c r="F32" s="68"/>
      <x:c r="G32" s="65"/>
      <x:c r="H32" s="65"/>
      <x:c r="I32" s="63"/>
      <x:c r="J32" s="67"/>
      <x:c r="K32" s="69"/>
      <x:c r="L32" s="59" cm="1">
        <x:f t="array" ref="L32"/>
      </x:c>
      <x:c r="M32" s="59" cm="1">
        <x:f t="array" ref="M32"/>
      </x:c>
      <x:c r="N32" s="59" cm="1">
        <x:f t="array" ref="N32"/>
      </x:c>
    </x:row>
  </x:sheetData>
  <x:mergeCells>
    <x:mergeCell ref="D1:F1"/>
    <x:mergeCell ref="H1:J1"/>
    <x:mergeCell ref="L1:N1"/>
    <x:mergeCell ref="A1:A2"/>
    <x:mergeCell ref="B1:C2"/>
    <x:mergeCell ref="G1:G2"/>
    <x:mergeCell ref="K1:K2"/>
    <x:mergeCell ref="B3:N3"/>
    <x:mergeCell ref="B4:C4"/>
    <x:mergeCell ref="B5:C5"/>
    <x:mergeCell ref="B6:C6"/>
    <x:mergeCell ref="B7:C7"/>
    <x:mergeCell ref="B8:C8"/>
    <x:mergeCell ref="B9:C9"/>
    <x:mergeCell ref="B10:C10"/>
    <x:mergeCell ref="B11:C11"/>
    <x:mergeCell ref="B12:C12"/>
    <x:mergeCell ref="B13:C13"/>
    <x:mergeCell ref="B14:C14"/>
    <x:mergeCell ref="B15:C15"/>
    <x:mergeCell ref="B16:C16"/>
    <x:mergeCell ref="B17:C17"/>
    <x:mergeCell ref="B18:C18"/>
    <x:mergeCell ref="B19:C19"/>
    <x:mergeCell ref="B20:C20"/>
    <x:mergeCell ref="B21:C21"/>
    <x:mergeCell ref="B22:N22"/>
    <x:mergeCell ref="B23:C23"/>
    <x:mergeCell ref="B24:C24"/>
  </x:mergeCells>
  <x:pageMargins left="0.7" right="0.7" top="0.75" bottom="0.75" header="0.3" footer="0.3"/>
</x:worksheet>
</file>