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b4f0ea0ee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9c45fa22314d4c0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<x:sst xmlns:x="http://schemas.openxmlformats.org/spreadsheetml/2006/main">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</x:sst>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323d37e9044b9" /><Relationship Type="http://schemas.openxmlformats.org/officeDocument/2006/relationships/theme" Target="/xl/theme/theme1.xml" Id="R470088f2f59e4d1f" /><Relationship Type="http://schemas.openxmlformats.org/officeDocument/2006/relationships/sheetMetadata" Target="/xl/metadata1.xml" Id="Ra8d7065584ba4866" /><Relationship Type="http://schemas.openxmlformats.org/officeDocument/2006/relationships/sharedStrings" Target="/xl/sharedStrings.xml" Id="Rc1ef527785e84584" /><Relationship Type="http://schemas.openxmlformats.org/officeDocument/2006/relationships/worksheet" Target="/xl/worksheets/sheet1.xml" Id="R9c45fa22314d4c04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63456964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Wulai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RAMA KARYA KONSTRUKSI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3600000</x:v>
      </x:c>
      <x:c r="I4" s="120" t="n">
        <x:v>3599000</x:v>
      </x:c>
      <x:c r="J4" s="120" t="n">
        <x:f>I4</x:f>
        <x:v>3599000</x:v>
      </x:c>
      <x:c r="K4" s="120" t="n">
        <x:v>11</x:v>
      </x:c>
      <x:c r="L4" s="120" t="n" cm="1">
        <x:f>D4*H4</x:f>
        <x:v>3600000</x:v>
      </x:c>
      <x:c r="M4" s="120" t="n" cm="1">
        <x:f>E4*I4</x:f>
        <x:v>3599000</x:v>
      </x:c>
      <x:c r="N4" s="121" t="n" cm="1">
        <x:f>F4*J4</x:f>
        <x:v>3599000</x:v>
      </x:c>
      <x:c r="P4" t="str">
        <x:v>Pagu Anggaran</x:v>
      </x:c>
      <x:c r="Q4" s="75" t="n">
        <x:v>380000000</x:v>
      </x:c>
      <x:c r="S4" s="75" t="n">
        <x:f>ROUND(L4*(1+K4/100),2)</x:f>
        <x:v>3996000</x:v>
      </x:c>
      <x:c r="T4" s="75" t="n">
        <x:f>ROUND(M4*(1+K4/100),2)</x:f>
        <x:v>3994890</x:v>
      </x:c>
      <x:c r="U4" s="75" t="n">
        <x:f>ROUND(N4*(1+K4/100),2)</x:f>
        <x:v>3994890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495000</x:v>
      </x:c>
      <x:c r="I5" s="120" t="n">
        <x:v>495000</x:v>
      </x:c>
      <x:c r="J5" s="120" t="n">
        <x:f>I5</x:f>
        <x:v>495000</x:v>
      </x:c>
      <x:c r="K5" s="120" t="n">
        <x:v>11</x:v>
      </x:c>
      <x:c r="L5" s="120" t="n" cm="1">
        <x:f>D5*H5</x:f>
        <x:v>495000</x:v>
      </x:c>
      <x:c r="M5" s="120" t="n" cm="1">
        <x:f>E5*I5</x:f>
        <x:v>495000</x:v>
      </x:c>
      <x:c r="N5" s="121" t="n" cm="1">
        <x:f>F5*J5</x:f>
        <x:v>495000</x:v>
      </x:c>
      <x:c r="P5" t="str">
        <x:v>HPS sesuai rekap</x:v>
      </x:c>
      <x:c r="Q5" s="75" t="n">
        <x:v>380000000</x:v>
      </x:c>
      <x:c r="S5" s="75" t="n">
        <x:f>ROUND(L5*(1+K5/100),2)</x:f>
        <x:v>549450</x:v>
      </x:c>
      <x:c r="T5" s="75" t="n">
        <x:f>ROUND(M5*(1+K5/100),2)</x:f>
        <x:v>549450</x:v>
      </x:c>
      <x:c r="U5" s="75" t="n">
        <x:f>ROUND(N5*(1+K5/100),2)</x:f>
        <x:v>549450</x:v>
      </x:c>
    </x:row>
    <x:row r="6" ht="22" customHeight="1">
      <x:c r="A6" s="6"/>
      <x:c r="B6" s="7" t="str">
        <x:v>DIVISI 2. DRAINASE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379864000</x:v>
      </x:c>
      <x:c r="S6" s="75"/>
      <x:c r="T6" s="75"/>
      <x:c r="U6" s="75"/>
    </x:row>
    <x:row r="7" ht="23" customHeight="1">
      <x:c r="A7" s="71" t="str">
        <x:v>2.1.(1)</x:v>
      </x:c>
      <x:c r="B7" s="72" t="str">
        <x:v>Galian untuk Selokan Drainase dan Saluran Air</x:v>
      </x:c>
      <x:c r="C7" s="73"/>
      <x:c r="D7" s="116" t="n">
        <x:v>810</x:v>
      </x:c>
      <x:c r="E7" s="116" t="n" cm="1">
        <x:f>D7</x:f>
        <x:v>810</x:v>
      </x:c>
      <x:c r="F7" s="116" t="n" cm="1">
        <x:f>D7</x:f>
        <x:v>810</x:v>
      </x:c>
      <x:c r="G7" s="17" t="str">
        <x:v>M3</x:v>
      </x:c>
      <x:c r="H7" s="120" t="n">
        <x:v>15575.48</x:v>
      </x:c>
      <x:c r="I7" s="120" t="n">
        <x:v>15563.48</x:v>
      </x:c>
      <x:c r="J7" s="120" t="n">
        <x:f>I7</x:f>
        <x:v>15563.48</x:v>
      </x:c>
      <x:c r="K7" s="120" t="n">
        <x:v>11</x:v>
      </x:c>
      <x:c r="L7" s="120" t="n" cm="1">
        <x:f>D7*H7</x:f>
        <x:v>12616138.799999999</x:v>
      </x:c>
      <x:c r="M7" s="120" t="n" cm="1">
        <x:f>E7*I7</x:f>
        <x:v>12606418.799999999</x:v>
      </x:c>
      <x:c r="N7" s="121" t="n" cm="1">
        <x:f>F7*J7</x:f>
        <x:v>12606418.799999999</x:v>
      </x:c>
      <x:c r="S7" s="75" t="n">
        <x:f>ROUND(L7*(1+K7/100),2)</x:f>
        <x:v>14003914.07</x:v>
      </x:c>
      <x:c r="T7" s="75" t="n">
        <x:f>ROUND(M7*(1+K7/100),2)</x:f>
        <x:v>13993124.87</x:v>
      </x:c>
      <x:c r="U7" s="75" t="n">
        <x:f>ROUND(N7*(1+K7/100),2)</x:f>
        <x:v>13993124.87</x:v>
      </x:c>
    </x:row>
    <x:row r="8" ht="22" customHeight="1">
      <x:c r="A8" s="6"/>
      <x:c r="B8" s="7" t="str">
        <x:v>DIVISI 3. PEKERJAAN TANAH DAN GEOSINTETIK</x:v>
      </x:c>
      <x:c r="C8" s="8"/>
      <x:c r="D8" s="115"/>
      <x:c r="E8" s="115"/>
      <x:c r="F8" s="115"/>
      <x:c r="G8" s="10"/>
      <x:c r="H8" s="118"/>
      <x:c r="I8" s="118"/>
      <x:c r="J8" s="118"/>
      <x:c r="K8" s="118"/>
      <x:c r="L8" s="118" cm="1"/>
      <x:c r="M8" s="118" cm="1"/>
      <x:c r="N8" s="119" cm="1"/>
      <x:c r="P8" t="str">
        <x:v>Sumber HPS</x:v>
      </x:c>
      <x:c r="Q8" t="str">
        <x:v>HPS - Pemb. Jalan Wulai.xlsm</x:v>
      </x:c>
      <x:c r="S8" s="75"/>
      <x:c r="T8" s="75"/>
      <x:c r="U8" s="75"/>
    </x:row>
    <x:row r="9" ht="23" customHeight="1">
      <x:c r="A9" s="71" t="str">
        <x:v>3.1.(1)</x:v>
      </x:c>
      <x:c r="B9" s="72" t="str">
        <x:v>Galian Biasa/Perapihan</x:v>
      </x:c>
      <x:c r="C9" s="73"/>
      <x:c r="D9" s="116" t="n">
        <x:v>13167.765</x:v>
      </x:c>
      <x:c r="E9" s="116" t="n" cm="1">
        <x:f>D9</x:f>
        <x:v>13167.765</x:v>
      </x:c>
      <x:c r="F9" s="116" t="n" cm="1">
        <x:f>D9</x:f>
        <x:v>13167.765</x:v>
      </x:c>
      <x:c r="G9" s="17" t="str">
        <x:v>M3</x:v>
      </x:c>
      <x:c r="H9" s="120" t="n">
        <x:v>24729.47</x:v>
      </x:c>
      <x:c r="I9" s="120" t="n">
        <x:v>24720.99</x:v>
      </x:c>
      <x:c r="J9" s="120" t="n">
        <x:f>I9</x:f>
        <x:v>24720.99</x:v>
      </x:c>
      <x:c r="K9" s="120" t="n">
        <x:v>11</x:v>
      </x:c>
      <x:c r="L9" s="120" t="n" cm="1">
        <x:f>D9*H9</x:f>
        <x:v>325631849.53455</x:v>
      </x:c>
      <x:c r="M9" s="120" t="n" cm="1">
        <x:f>E9*I9</x:f>
        <x:v>325520186.88735</x:v>
      </x:c>
      <x:c r="N9" s="121" t="n" cm="1">
        <x:f>F9*J9</x:f>
        <x:v>325520186.88735</x:v>
      </x:c>
      <x:c r="P9" t="str">
        <x:v>Sumber penawaran</x:v>
      </x:c>
      <x:c r="Q9" t="str">
        <x:v>Penawaran - CV. RAMA KARYA KONSTRUKSI - Pemb. Jalan Wulai.xlsm</x:v>
      </x:c>
      <x:c r="S9" s="75" t="n">
        <x:f>ROUND(L9*(1+K9/100),2)</x:f>
        <x:v>361451352.98</x:v>
      </x:c>
      <x:c r="T9" s="75" t="n">
        <x:f>ROUND(M9*(1+K9/100),2)</x:f>
        <x:v>361327407.44</x:v>
      </x:c>
      <x:c r="U9" s="75" t="n">
        <x:f>ROUND(N9*(1+K9/100),2)</x:f>
        <x:v>361327407.44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4" t="str">
        <x:v>Jumlah Total (A)</x:v>
      </x:c>
      <x:c r="L10" s="125" t="n">
        <x:f>SUM(L3:L9)</x:f>
        <x:v>342342988.33455</x:v>
      </x:c>
      <x:c r="M10" s="125" t="n">
        <x:f>SUM(M3:M9)</x:f>
        <x:v>342220605.68735003</x:v>
      </x:c>
      <x:c r="N10" s="125" t="n">
        <x:f>SUM(N3:N9)</x:f>
        <x:v>342220605.68735003</x:v>
      </x:c>
      <x:c r="P10" t="str">
        <x:v>Format RAB</x:v>
      </x:c>
      <x:c r="Q10" t="str">
        <x:v>sample rab konstruksi.xlsx</x:v>
      </x:c>
    </x:row>
    <x:row r="11" ht="29" customHeight="1">
      <x:c r="A11" s="108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6" t="str">
        <x:v>Jumlah Terkena Pajak (B)</x:v>
      </x:c>
      <x:c r="L11" s="127" t="n">
        <x:f>SUMIF($K3:$K9,"&gt;0",L3:L9)</x:f>
        <x:v>342342988.33455</x:v>
      </x:c>
      <x:c r="M11" s="128" t="n">
        <x:f>SUMIF($K3:$K9,"&gt;0",M3:M9)</x:f>
        <x:v>342220605.68735003</x:v>
      </x:c>
      <x:c r="N11" s="128" t="n">
        <x:f>SUMIF($K3:$K9,"&gt;0",N3:N9)</x:f>
        <x:v>342220605.68735003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PPN (C)</x:v>
      </x:c>
      <x:c r="L12" s="130" t="n">
        <x:f>SUM(S3:S9)-L10</x:f>
        <x:v>37657728.71544999</x:v>
      </x:c>
      <x:c r="M12" s="128" t="n">
        <x:f>SUM(T3:T9)-M10</x:f>
        <x:v>37644266.62264997</x:v>
      </x:c>
      <x:c r="N12" s="128" t="n">
        <x:f>SUM(U3:U9)-N10</x:f>
        <x:v>37644266.62264997</x:v>
      </x:c>
    </x:row>
    <x:row r="13" ht="29" customHeight="1">
      <x:c r="A13" s="104"/>
      <x:c r="B13" s="105"/>
      <x:c r="C13" s="105"/>
      <x:c r="D13" s="117"/>
      <x:c r="E13" s="117"/>
      <x:c r="F13" s="117"/>
      <x:c r="G13" s="106"/>
      <x:c r="H13" s="122"/>
      <x:c r="I13" s="122"/>
      <x:c r="J13" s="123"/>
      <x:c r="K13" s="129" t="str">
        <x:v>Jumlah A + C</x:v>
      </x:c>
      <x:c r="L13" s="131" t="n">
        <x:f>L10+L12</x:f>
        <x:v>380000717.05</x:v>
      </x:c>
      <x:c r="M13" s="128" t="n">
        <x:f>M10+M12</x:f>
        <x:v>379864872.31</x:v>
      </x:c>
      <x:c r="N13" s="128" t="n">
        <x:f>N10+N12</x:f>
        <x:v>379864872.31</x:v>
      </x:c>
    </x:row>
    <x:row r="14" ht="29" customHeight="1">
      <x:c r="A14" s="104"/>
      <x:c r="B14" s="105"/>
      <x:c r="C14" s="105"/>
      <x:c r="D14" s="117"/>
      <x:c r="E14" s="117"/>
      <x:c r="F14" s="117"/>
      <x:c r="G14" s="106"/>
      <x:c r="H14" s="122"/>
      <x:c r="I14" s="122"/>
      <x:c r="J14" s="123"/>
      <x:c r="K14" s="129" t="str">
        <x:v>Jumlah Dibulatkan</x:v>
      </x:c>
      <x:c r="L14" s="127" t="n">
        <x:f>ROUND(L13,2)</x:f>
        <x:v>380000717.05</x:v>
      </x:c>
      <x:c r="M14" s="127" t="n">
        <x:f>ROUND(M13,2)</x:f>
        <x:v>379864872.31</x:v>
      </x:c>
      <x:c r="N14" s="127" t="n">
        <x:f>ROUND(N13,2)</x:f>
        <x:v>379864872.31</x:v>
      </x:c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N8"/>
    <x:mergeCell ref="B9:C9"/>
  </x:mergeCells>
  <x:pageMargins left="0.7" right="0.7" top="0.75" bottom="0.75" header="0.3" footer="0.3"/>
</x:worksheet>
</file>