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77b488eac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8c8572f4a4d349e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<x:sst xmlns:x="http://schemas.openxmlformats.org/spreadsheetml/2006/main">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</x:sst>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c1a1c63c24761" /><Relationship Type="http://schemas.openxmlformats.org/officeDocument/2006/relationships/theme" Target="/xl/theme/theme1.xml" Id="Reb265fb14b114ff4" /><Relationship Type="http://schemas.openxmlformats.org/officeDocument/2006/relationships/sheetMetadata" Target="/xl/metadata1.xml" Id="Ra405b7066c8f4a02" /><Relationship Type="http://schemas.openxmlformats.org/officeDocument/2006/relationships/sharedStrings" Target="/xl/sharedStrings.xml" Id="R192b9730ffbc4453" /><Relationship Type="http://schemas.openxmlformats.org/officeDocument/2006/relationships/worksheet" Target="/xl/worksheets/sheet1.xml" Id="R8c8572f4a4d349e7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60986217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Peningkatan Jalan Bulubunggu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BUMANTARA KARYA TEKNIK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10490000</x:v>
      </x:c>
      <x:c r="I4" s="120" t="n">
        <x:v>10489000</x:v>
      </x:c>
      <x:c r="J4" s="120" t="n">
        <x:f>I4</x:f>
        <x:v>10489000</x:v>
      </x:c>
      <x:c r="K4" s="120" t="n">
        <x:v>11</x:v>
      </x:c>
      <x:c r="L4" s="120" t="n" cm="1">
        <x:f>D4*H4</x:f>
        <x:v>10490000</x:v>
      </x:c>
      <x:c r="M4" s="120" t="n" cm="1">
        <x:f>E4*I4</x:f>
        <x:v>10489000</x:v>
      </x:c>
      <x:c r="N4" s="121" t="n" cm="1">
        <x:f>F4*J4</x:f>
        <x:v>10489000</x:v>
      </x:c>
      <x:c r="P4" t="str">
        <x:v>Pagu Anggaran</x:v>
      </x:c>
      <x:c r="Q4" s="75" t="n">
        <x:v>200000000</x:v>
      </x:c>
      <x:c r="S4" s="75" t="n">
        <x:f>ROUND(L4*(1+K4/100),2)</x:f>
        <x:v>11643900</x:v>
      </x:c>
      <x:c r="T4" s="75" t="n">
        <x:f>ROUND(M4*(1+K4/100),2)</x:f>
        <x:v>11642790</x:v>
      </x:c>
      <x:c r="U4" s="75" t="n">
        <x:f>ROUND(N4*(1+K4/100),2)</x:f>
        <x:v>11642790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631500</x:v>
      </x:c>
      <x:c r="I5" s="120" t="n">
        <x:v>631500</x:v>
      </x:c>
      <x:c r="J5" s="120" t="n">
        <x:f>I5</x:f>
        <x:v>631500</x:v>
      </x:c>
      <x:c r="K5" s="120" t="n">
        <x:v>11</x:v>
      </x:c>
      <x:c r="L5" s="120" t="n" cm="1">
        <x:f>D5*H5</x:f>
        <x:v>631500</x:v>
      </x:c>
      <x:c r="M5" s="120" t="n" cm="1">
        <x:f>E5*I5</x:f>
        <x:v>631500</x:v>
      </x:c>
      <x:c r="N5" s="121" t="n" cm="1">
        <x:f>F5*J5</x:f>
        <x:v>631500</x:v>
      </x:c>
      <x:c r="P5" t="str">
        <x:v>HPS sesuai rekap</x:v>
      </x:c>
      <x:c r="Q5" s="75" t="n">
        <x:v>199999700</x:v>
      </x:c>
      <x:c r="S5" s="75" t="n">
        <x:f>ROUND(L5*(1+K5/100),2)</x:f>
        <x:v>700965</x:v>
      </x:c>
      <x:c r="T5" s="75" t="n">
        <x:f>ROUND(M5*(1+K5/100),2)</x:f>
        <x:v>700965</x:v>
      </x:c>
      <x:c r="U5" s="75" t="n">
        <x:f>ROUND(N5*(1+K5/100),2)</x:f>
        <x:v>700965</x:v>
      </x:c>
    </x:row>
    <x:row r="6" ht="22" customHeight="1">
      <x:c r="A6" s="6"/>
      <x:c r="B6" s="7" t="str">
        <x:v>DIVISI 3. PEKERJAAN TANAH DAN GEOSINTETIK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199994400</x:v>
      </x:c>
      <x:c r="S6" s="75"/>
      <x:c r="T6" s="75"/>
      <x:c r="U6" s="75"/>
    </x:row>
    <x:row r="7" ht="23" customHeight="1">
      <x:c r="A7" s="71" t="str">
        <x:v>3.2.(2a)</x:v>
      </x:c>
      <x:c r="B7" s="72" t="str">
        <x:v>Timbunan Pilihan dari sumber galian (sirtu)</x:v>
      </x:c>
      <x:c r="C7" s="73"/>
      <x:c r="D7" s="116" t="n">
        <x:v>436</x:v>
      </x:c>
      <x:c r="E7" s="116" t="n" cm="1">
        <x:f>D7</x:f>
        <x:v>436</x:v>
      </x:c>
      <x:c r="F7" s="116" t="n" cm="1">
        <x:f>D7</x:f>
        <x:v>436</x:v>
      </x:c>
      <x:c r="G7" s="17" t="str">
        <x:v>M3</x:v>
      </x:c>
      <x:c r="H7" s="120" t="n">
        <x:v>379697.2316005008</x:v>
      </x:c>
      <x:c r="I7" s="120" t="n">
        <x:v>379694.53109749214</x:v>
      </x:c>
      <x:c r="J7" s="120" t="n">
        <x:f>I7</x:f>
        <x:v>379694.53109749214</x:v>
      </x:c>
      <x:c r="K7" s="120" t="n">
        <x:v>11</x:v>
      </x:c>
      <x:c r="L7" s="120" t="n" cm="1">
        <x:f>D7*H7</x:f>
        <x:v>165547992.97781837</x:v>
      </x:c>
      <x:c r="M7" s="120" t="n" cm="1">
        <x:f>E7*I7</x:f>
        <x:v>165546815.55850658</x:v>
      </x:c>
      <x:c r="N7" s="121" t="n" cm="1">
        <x:f>F7*J7</x:f>
        <x:v>165546815.55850658</x:v>
      </x:c>
      <x:c r="S7" s="75" t="n">
        <x:f>ROUND(L7*(1+K7/100),2)</x:f>
        <x:v>183758272.21</x:v>
      </x:c>
      <x:c r="T7" s="75" t="n">
        <x:f>ROUND(M7*(1+K7/100),2)</x:f>
        <x:v>183756965.27</x:v>
      </x:c>
      <x:c r="U7" s="75" t="n">
        <x:f>ROUND(N7*(1+K7/100),2)</x:f>
        <x:v>183756965.27</x:v>
      </x:c>
    </x:row>
    <x:row r="8" ht="23" customHeight="1">
      <x:c r="A8" s="71" t="str">
        <x:v>3.3.(1)</x:v>
      </x:c>
      <x:c r="B8" s="72" t="str">
        <x:v>Penyiapan Badan Jalan</x:v>
      </x:c>
      <x:c r="C8" s="73"/>
      <x:c r="D8" s="116" t="n">
        <x:v>2452.5</x:v>
      </x:c>
      <x:c r="E8" s="116" t="n">
        <x:f>D8</x:f>
        <x:v>2452.5</x:v>
      </x:c>
      <x:c r="F8" s="116" t="n">
        <x:f>D8</x:f>
        <x:v>2452.5</x:v>
      </x:c>
      <x:c r="G8" s="17" t="str">
        <x:v>M2</x:v>
      </x:c>
      <x:c r="H8" s="120" t="n">
        <x:v>1431.3747399486494</x:v>
      </x:c>
      <x:c r="I8" s="120" t="n">
        <x:v>1430.3387039126133</x:v>
      </x:c>
      <x:c r="J8" s="120" t="n">
        <x:f>I8</x:f>
        <x:v>1430.3387039126133</x:v>
      </x:c>
      <x:c r="K8" s="120" t="n">
        <x:v>11</x:v>
      </x:c>
      <x:c r="L8" s="120" t="n" cm="1">
        <x:f>D8*H8</x:f>
        <x:v>3510446.549724063</x:v>
      </x:c>
      <x:c r="M8" s="120" t="n" cm="1">
        <x:f>E8*I8</x:f>
        <x:v>3507905.671345684</x:v>
      </x:c>
      <x:c r="N8" s="121" t="n" cm="1">
        <x:f>F8*J8</x:f>
        <x:v>3507905.671345684</x:v>
      </x:c>
      <x:c r="P8" t="str">
        <x:v>Sumber HPS</x:v>
      </x:c>
      <x:c r="Q8" t="str">
        <x:v>HPS - Peningkatan Jalan Bulubunggu.xlsm</x:v>
      </x:c>
      <x:c r="S8" s="75" t="n">
        <x:f>ROUND(L8*(1+K8/100),2)</x:f>
        <x:v>3896595.67</x:v>
      </x:c>
      <x:c r="T8" s="75" t="n">
        <x:f>ROUND(M8*(1+K8/100),2)</x:f>
        <x:v>3893775.3</x:v>
      </x:c>
      <x:c r="U8" s="75" t="n">
        <x:f>ROUND(N8*(1+K8/100),2)</x:f>
        <x:v>3893775.3</x:v>
      </x:c>
    </x:row>
    <x:row r="9" ht="29" customHeight="1">
      <x:c r="A9" s="104"/>
      <x:c r="B9" s="105"/>
      <x:c r="C9" s="105"/>
      <x:c r="D9" s="117"/>
      <x:c r="E9" s="117" cm="1"/>
      <x:c r="F9" s="117" cm="1"/>
      <x:c r="G9" s="106"/>
      <x:c r="H9" s="122"/>
      <x:c r="I9" s="122"/>
      <x:c r="J9" s="123"/>
      <x:c r="K9" s="124" t="str">
        <x:v>Jumlah Total (A)</x:v>
      </x:c>
      <x:c r="L9" s="125" t="n" cm="1">
        <x:f>SUM(L3:L8)</x:f>
        <x:v>180179939.52754244</x:v>
      </x:c>
      <x:c r="M9" s="125" t="n" cm="1">
        <x:f>SUM(M3:M8)</x:f>
        <x:v>180175221.22985226</x:v>
      </x:c>
      <x:c r="N9" s="125" t="n" cm="1">
        <x:f>SUM(N3:N8)</x:f>
        <x:v>180175221.22985226</x:v>
      </x:c>
      <x:c r="P9" t="str">
        <x:v>Sumber penawaran</x:v>
      </x:c>
      <x:c r="Q9" t="str">
        <x:v>Penawaran - CV. BUMANTARA KARYA TEKNIK - Peningkatan Jalan Bulubunggu.xlsm</x:v>
      </x:c>
    </x:row>
    <x:row r="10" ht="29" customHeight="1">
      <x:c r="A10" s="108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6" t="str">
        <x:v>Jumlah Terkena Pajak (B)</x:v>
      </x:c>
      <x:c r="L10" s="127" t="n">
        <x:f>SUMIF($K3:$K8,"&gt;0",L3:L8)</x:f>
        <x:v>180179939.52754244</x:v>
      </x:c>
      <x:c r="M10" s="128" t="n">
        <x:f>SUMIF($K3:$K8,"&gt;0",M3:M8)</x:f>
        <x:v>180175221.22985226</x:v>
      </x:c>
      <x:c r="N10" s="128" t="n">
        <x:f>SUMIF($K3:$K8,"&gt;0",N3:N8)</x:f>
        <x:v>180175221.22985226</x:v>
      </x:c>
      <x:c r="P10" t="str">
        <x:v>Format RAB</x:v>
      </x:c>
      <x:c r="Q10" t="str">
        <x:v>sample rab konstruksi.xlsx</x:v>
      </x:c>
    </x:row>
    <x:row r="11" ht="29" customHeight="1">
      <x:c r="A11" s="104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9" t="str">
        <x:v>PPN (C)</x:v>
      </x:c>
      <x:c r="L11" s="130" t="n">
        <x:f>SUM(S3:S8)-L9</x:f>
        <x:v>19819793.352457553</x:v>
      </x:c>
      <x:c r="M11" s="128" t="n">
        <x:f>SUM(T3:T8)-M9</x:f>
        <x:v>19819274.340147763</x:v>
      </x:c>
      <x:c r="N11" s="128" t="n">
        <x:f>SUM(U3:U8)-N9</x:f>
        <x:v>19819274.340147763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Jumlah A + C</x:v>
      </x:c>
      <x:c r="L12" s="131" t="n">
        <x:f>L9+L11</x:f>
        <x:v>199999732.88</x:v>
      </x:c>
      <x:c r="M12" s="128" t="n">
        <x:f>M9+M11</x:f>
        <x:v>199994495.57000002</x:v>
      </x:c>
      <x:c r="N12" s="128" t="n">
        <x:f>N9+N11</x:f>
        <x:v>199994495.57000002</x:v>
      </x:c>
    </x:row>
    <x:row r="13" ht="29" customHeight="1">
      <x:c r="A13" s="104"/>
      <x:c r="B13" s="105"/>
      <x:c r="C13" s="105"/>
      <x:c r="D13" s="117"/>
      <x:c r="E13" s="117"/>
      <x:c r="F13" s="117"/>
      <x:c r="G13" s="106"/>
      <x:c r="H13" s="122"/>
      <x:c r="I13" s="122"/>
      <x:c r="J13" s="123"/>
      <x:c r="K13" s="129" t="str">
        <x:v>Jumlah Dibulatkan</x:v>
      </x:c>
      <x:c r="L13" s="127" t="n">
        <x:f>ROUND(L12,2)</x:f>
        <x:v>199999732.88</x:v>
      </x:c>
      <x:c r="M13" s="127" t="n">
        <x:f>ROUND(M12,2)</x:f>
        <x:v>199994495.57</x:v>
      </x:c>
      <x:c r="N13" s="127" t="n">
        <x:f>ROUND(N12,2)</x:f>
        <x:v>199994495.57</x:v>
      </x:c>
    </x:row>
    <x:row r="14" ht="8.75" customHeight="1">
      <x:c r="A14" s="32"/>
      <x:c r="B14" s="33"/>
      <x:c r="C14" s="34"/>
      <x:c r="D14" s="35"/>
      <x:c r="E14" s="35"/>
      <x:c r="F14" s="35"/>
      <x:c r="G14" s="36"/>
      <x:c r="H14" s="35"/>
      <x:c r="I14" s="35"/>
      <x:c r="J14" s="35"/>
      <x:c r="K14" s="35"/>
      <x:c r="L14" s="35"/>
      <x:c r="M14" s="35"/>
      <x:c r="N14" s="37"/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B8:C8"/>
  </x:mergeCells>
  <x:pageMargins left="0.7" right="0.7" top="0.75" bottom="0.75" header="0.3" footer="0.3"/>
</x:worksheet>
</file>