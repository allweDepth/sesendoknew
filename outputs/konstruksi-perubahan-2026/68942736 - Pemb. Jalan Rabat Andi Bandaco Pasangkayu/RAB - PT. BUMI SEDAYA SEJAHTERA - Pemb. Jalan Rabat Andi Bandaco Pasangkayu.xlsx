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20f083caf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1a1bd940a61941b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<x:sst xmlns:x="http://schemas.openxmlformats.org/spreadsheetml/2006/main">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</x:sst>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Times New Roman"/>
    </x:font>
    <x:font>
      <x:b/>
      <x:sz val="11"/>
      <x:color rgb="FFFFFFFF"/>
      <x:name val="Times New Roman"/>
    </x:font>
    <x:font>
      <x:b/>
      <x:sz val="11"/>
      <x:color rgb="FF6D3E2A"/>
      <x:name val="Times New Roman"/>
    </x:font>
    <x:font>
      <x:b/>
      <x:sz val="12"/>
      <x:color rgb="FF6D3E2A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7EFE8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6D3E2A"/>
      </x:bottom>
      <x:diagonal/>
    </x:border>
    <x:border>
      <x:left/>
      <x:right/>
      <x:top/>
      <x:bottom style="double">
        <x:color rgb="FF6D3E2A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350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0" fontId="6" applyNumberFormat="0" applyFont="1" applyFill="1" applyBorder="1" applyAlignment="1" applyProtection="0" xfId="0" fillId="6" borderId="27">
      <x:alignment vertical="top" wrapText="1"/>
    </x:xf>
    <x:xf numFmtId="0" fontId="6" applyNumberFormat="0" applyFont="1" applyFill="1" applyBorder="1" applyAlignment="1" applyProtection="0" xfId="0" fillId="6" borderId="27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center" wrapText="1"/>
    </x:xf>
    <x:xf numFmtId="0" fontId="4" applyNumberFormat="0" applyFont="1" applyFill="1" applyBorder="1" applyAlignment="1" applyProtection="0" xfId="0" fillId="4" borderId="24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applyNumberFormat="0" applyFont="1" applyFill="1" applyBorder="1" applyAlignment="1" applyProtection="0" xfId="0" fillId="4" borderId="24">
      <x:alignment vertical="center" wrapText="1" horizontal="center"/>
    </x:xf>
    <x:xf numFmtId="0" fontId="7" applyNumberFormat="0" applyFont="1" applyFill="1" applyBorder="1" applyAlignment="1" applyProtection="0" xfId="0" fillId="4" borderId="24">
      <x:alignment vertical="top" wrapText="1"/>
    </x:xf>
    <x:xf numFmtId="0" fontId="7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 fillId="4" borderId="24">
      <x:alignment vertical="top" wrapText="1"/>
    </x:xf>
    <x:xf numFmtId="0" fontId="6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center" wrapText="1" horizontal="center"/>
    </x:xf>
    <x:xf numFmtId="0" fontId="7" applyNumberFormat="0" applyFont="1" applyFill="1" applyBorder="1" applyAlignment="1" applyProtection="0" xfId="0" fillId="4" borderId="0">
      <x:alignment vertical="center" wrapText="1" horizontal="center"/>
    </x:xf>
    <x:xf numFmtId="0" fontId="6" applyNumberFormat="0" applyFont="1" applyFill="1" applyBorder="1" applyAlignment="1" applyProtection="0" xfId="0" fillId="4" borderId="0">
      <x:alignment vertical="center" wrapText="1" horizont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4e3b1bdc947c1" /><Relationship Type="http://schemas.openxmlformats.org/officeDocument/2006/relationships/theme" Target="/xl/theme/theme1.xml" Id="Ra76d3e05fc714bf8" /><Relationship Type="http://schemas.openxmlformats.org/officeDocument/2006/relationships/sheetMetadata" Target="/xl/metadata1.xml" Id="Rc0239789bf044222" /><Relationship Type="http://schemas.openxmlformats.org/officeDocument/2006/relationships/sharedStrings" Target="/xl/sharedStrings.xml" Id="R5bf37b00304544e3" /><Relationship Type="http://schemas.openxmlformats.org/officeDocument/2006/relationships/worksheet" Target="/xl/worksheets/sheet1.xml" Id="R1a1bd940a61941be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02" t="inlineStr">
        <x:is>
          <x:t>No.</x:t>
        </x:is>
      </x:c>
      <x:c r="B1" s="202" t="inlineStr">
        <x:is>
          <x:t>Uraian Pekerjaan</x:t>
        </x:is>
      </x:c>
      <x:c r="C1" s="204"/>
      <x:c r="D1" s="202" t="inlineStr">
        <x:is>
          <x:t>Kuantitas</x:t>
        </x:is>
      </x:c>
      <x:c r="E1" s="204"/>
      <x:c r="F1" s="204"/>
      <x:c r="G1" s="202" t="inlineStr">
        <x:is>
          <x:t>Satuan</x:t>
        </x:is>
      </x:c>
      <x:c r="H1" s="202" t="inlineStr">
        <x:is>
          <x:t>Harga Satuan</x:t>
        </x:is>
      </x:c>
      <x:c r="I1" s="204"/>
      <x:c r="J1" s="204"/>
      <x:c r="K1" s="202" t="inlineStr">
        <x:is>
          <x:t>PAJAK</x:t>
        </x:is>
      </x:c>
      <x:c r="L1" s="202" t="inlineStr">
        <x:is>
          <x:t>JUMLAH</x:t>
        </x:is>
      </x:c>
      <x:c r="M1" s="204"/>
      <x:c r="N1" s="204"/>
      <x:c r="P1" t="str" s="134">
        <x:v>Nomor RUP</x:v>
      </x:c>
      <x:c r="Q1" t="str" s="134">
        <x:v>68942736</x:v>
      </x:c>
    </x:row>
    <x:row r="2" ht="32" customHeight="1">
      <x:c r="A2" s="206"/>
      <x:c r="B2" s="206"/>
      <x:c r="C2" s="206"/>
      <x:c r="D2" s="208" t="inlineStr">
        <x:is>
          <x:t>HPS</x:t>
        </x:is>
      </x:c>
      <x:c r="E2" s="208" t="inlineStr">
        <x:is>
          <x:t>Penawaran</x:t>
        </x:is>
      </x:c>
      <x:c r="F2" s="208" t="inlineStr">
        <x:is>
          <x:t>Negoisasi</x:t>
        </x:is>
      </x:c>
      <x:c r="G2" s="206"/>
      <x:c r="H2" s="208" t="inlineStr">
        <x:is>
          <x:t>HPS</x:t>
        </x:is>
      </x:c>
      <x:c r="I2" s="208" t="inlineStr">
        <x:is>
          <x:t>Penawaran</x:t>
        </x:is>
      </x:c>
      <x:c r="J2" s="208" t="inlineStr">
        <x:is>
          <x:t>Negoisasi</x:t>
        </x:is>
      </x:c>
      <x:c r="K2" s="206"/>
      <x:c r="L2" s="208" t="inlineStr">
        <x:is>
          <x:t>HPS</x:t>
        </x:is>
      </x:c>
      <x:c r="M2" s="208" t="inlineStr">
        <x:is>
          <x:t>Penawaran</x:t>
        </x:is>
      </x:c>
      <x:c r="N2" s="208" t="inlineStr">
        <x:is>
          <x:t>Negoisasi</x:t>
        </x:is>
      </x:c>
      <x:c r="P2" t="str" s="134">
        <x:v>Nama Paket</x:v>
      </x:c>
      <x:c r="Q2" s="137" t="str">
        <x:v>Pemb. Jalan Rabat Andi Bandaco Pasangkayu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04"/>
      <x:c r="B3" s="305" t="str">
        <x:v>DIVISI 1. UMUM</x:v>
      </x:c>
      <x:c r="C3" s="306"/>
      <x:c r="D3" s="307"/>
      <x:c r="E3" s="307"/>
      <x:c r="F3" s="307"/>
      <x:c r="G3" s="308"/>
      <x:c r="H3" s="309"/>
      <x:c r="I3" s="309"/>
      <x:c r="J3" s="309"/>
      <x:c r="K3" s="309"/>
      <x:c r="L3" s="310" cm="1"/>
      <x:c r="M3" s="310" cm="1"/>
      <x:c r="N3" s="311" cm="1"/>
      <x:c r="P3" t="str" s="312">
        <x:v>Perusahaan</x:v>
      </x:c>
      <x:c r="Q3" s="313" t="str">
        <x:v>PT. BUMI SEDAYA SEJAHTERA</x:v>
      </x:c>
      <x:c r="S3" s="314"/>
      <x:c r="T3" s="314"/>
      <x:c r="U3" s="314"/>
    </x:row>
    <x:row r="4" ht="23" customHeight="1">
      <x:c r="A4" s="315" t="str">
        <x:v>1.2</x:v>
      </x:c>
      <x:c r="B4" s="316" t="str">
        <x:v>Mobilisasi</x:v>
      </x:c>
      <x:c r="C4" s="317"/>
      <x:c r="D4" s="318" t="n">
        <x:v>1</x:v>
      </x:c>
      <x:c r="E4" s="318" t="n" cm="1">
        <x:f>D4</x:f>
        <x:v>1</x:v>
      </x:c>
      <x:c r="F4" s="318" t="n" cm="1">
        <x:f>D4</x:f>
        <x:v>1</x:v>
      </x:c>
      <x:c r="G4" s="319" t="str">
        <x:v>Ls</x:v>
      </x:c>
      <x:c r="H4" s="320" t="n">
        <x:v>18580000</x:v>
      </x:c>
      <x:c r="I4" s="320" t="n">
        <x:v>18579000</x:v>
      </x:c>
      <x:c r="J4" s="320" t="n">
        <x:f>I4</x:f>
        <x:v>18579000</x:v>
      </x:c>
      <x:c r="K4" s="320" t="n">
        <x:v>11</x:v>
      </x:c>
      <x:c r="L4" s="321" t="n" cm="1">
        <x:f>D4*H4</x:f>
        <x:v>18580000</x:v>
      </x:c>
      <x:c r="M4" s="321" t="n" cm="1">
        <x:f>E4*I4</x:f>
        <x:v>18579000</x:v>
      </x:c>
      <x:c r="N4" s="322" t="n" cm="1">
        <x:f>F4*J4</x:f>
        <x:v>18579000</x:v>
      </x:c>
      <x:c r="P4" t="str" s="312">
        <x:v>Pagu Anggaran</x:v>
      </x:c>
      <x:c r="Q4" s="314" t="n">
        <x:v>400000000</x:v>
      </x:c>
      <x:c r="S4" s="314" t="n">
        <x:f>ROUND(L4*(1+K4/100),2)</x:f>
        <x:v>20623800</x:v>
      </x:c>
      <x:c r="T4" s="314" t="n">
        <x:f>ROUND(M4*(1+K4/100),2)</x:f>
        <x:v>20622690</x:v>
      </x:c>
      <x:c r="U4" s="314" t="n">
        <x:f>ROUND(N4*(1+K4/100),2)</x:f>
        <x:v>20622690</x:v>
      </x:c>
    </x:row>
    <x:row r="5" ht="23" customHeight="1">
      <x:c r="A5" s="323" t="str">
        <x:v>1.22.(1a1)</x:v>
      </x:c>
      <x:c r="B5" s="324" t="str">
        <x:v>Pembuatan dokumen RKK, RMPK, RKPPL, dan RMLLP</x:v>
      </x:c>
      <x:c r="C5" s="325"/>
      <x:c r="D5" s="326" t="n">
        <x:v>3</x:v>
      </x:c>
      <x:c r="E5" s="326" t="n" cm="1">
        <x:f>D5</x:f>
        <x:v>3</x:v>
      </x:c>
      <x:c r="F5" s="326" t="n" cm="1">
        <x:f>D5</x:f>
        <x:v>3</x:v>
      </x:c>
      <x:c r="G5" s="327" t="str">
        <x:v>Set</x:v>
      </x:c>
      <x:c r="H5" s="328" t="n">
        <x:v>250000</x:v>
      </x:c>
      <x:c r="I5" s="328" t="n">
        <x:v>250000</x:v>
      </x:c>
      <x:c r="J5" s="328" t="n">
        <x:f>I5</x:f>
        <x:v>250000</x:v>
      </x:c>
      <x:c r="K5" s="328" t="n">
        <x:v>11</x:v>
      </x:c>
      <x:c r="L5" s="329" t="n" cm="1">
        <x:f>D5*H5</x:f>
        <x:v>750000</x:v>
      </x:c>
      <x:c r="M5" s="329" t="n" cm="1">
        <x:f>E5*I5</x:f>
        <x:v>750000</x:v>
      </x:c>
      <x:c r="N5" s="330" t="n" cm="1">
        <x:f>F5*J5</x:f>
        <x:v>750000</x:v>
      </x:c>
      <x:c r="P5" t="str" s="312">
        <x:v>HPS sesuai rekap</x:v>
      </x:c>
      <x:c r="Q5" s="314" t="n">
        <x:v>400000000</x:v>
      </x:c>
      <x:c r="S5" s="314" t="n">
        <x:f>ROUND(L5*(1+K5/100),2)</x:f>
        <x:v>832500</x:v>
      </x:c>
      <x:c r="T5" s="314" t="n">
        <x:f>ROUND(M5*(1+K5/100),2)</x:f>
        <x:v>832500</x:v>
      </x:c>
      <x:c r="U5" s="314" t="n">
        <x:f>ROUND(N5*(1+K5/100),2)</x:f>
        <x:v>832500</x:v>
      </x:c>
    </x:row>
    <x:row r="6" ht="23" customHeight="1">
      <x:c r="A6" s="315" t="str">
        <x:v>1.22.(1b2)</x:v>
      </x:c>
      <x:c r="B6" s="316" t="str">
        <x:v>Pembuatan prosedur dan instruksi kerja </x:v>
      </x:c>
      <x:c r="C6" s="317"/>
      <x:c r="D6" s="318" t="n">
        <x:v>2</x:v>
      </x:c>
      <x:c r="E6" s="318" t="n">
        <x:f>D6</x:f>
        <x:v>2</x:v>
      </x:c>
      <x:c r="F6" s="318" t="n">
        <x:f>D6</x:f>
        <x:v>2</x:v>
      </x:c>
      <x:c r="G6" s="319" t="str">
        <x:v>Set</x:v>
      </x:c>
      <x:c r="H6" s="320" t="n">
        <x:v>250000</x:v>
      </x:c>
      <x:c r="I6" s="320" t="n">
        <x:v>250000</x:v>
      </x:c>
      <x:c r="J6" s="320" t="n">
        <x:f>I6</x:f>
        <x:v>250000</x:v>
      </x:c>
      <x:c r="K6" s="320" t="n">
        <x:v>11</x:v>
      </x:c>
      <x:c r="L6" s="321" t="n" cm="1">
        <x:f>D6*H6</x:f>
        <x:v>500000</x:v>
      </x:c>
      <x:c r="M6" s="321" t="n" cm="1">
        <x:f>E6*I6</x:f>
        <x:v>500000</x:v>
      </x:c>
      <x:c r="N6" s="322" t="n" cm="1">
        <x:f>F6*J6</x:f>
        <x:v>500000</x:v>
      </x:c>
      <x:c r="P6" t="str" s="312">
        <x:v>Penawaran sesuai rekap</x:v>
      </x:c>
      <x:c r="Q6" s="314" t="n">
        <x:v>399960000</x:v>
      </x:c>
      <x:c r="S6" s="314" t="n">
        <x:f>ROUND(L6*(1+K6/100),2)</x:f>
        <x:v>555000</x:v>
      </x:c>
      <x:c r="T6" s="314" t="n">
        <x:f>ROUND(M6*(1+K6/100),2)</x:f>
        <x:v>555000</x:v>
      </x:c>
      <x:c r="U6" s="314" t="n">
        <x:f>ROUND(N6*(1+K6/100),2)</x:f>
        <x:v>555000</x:v>
      </x:c>
    </x:row>
    <x:row r="7" ht="23" customHeight="1">
      <x:c r="A7" s="323" t="str">
        <x:v>1.22.(1c)</x:v>
      </x:c>
      <x:c r="B7" s="324" t="str">
        <x:v>Penyusunan pelaporan penerapan SMKK </x:v>
      </x:c>
      <x:c r="C7" s="325"/>
      <x:c r="D7" s="326" t="n">
        <x:v>3</x:v>
      </x:c>
      <x:c r="E7" s="326" t="n" cm="1">
        <x:f>D7</x:f>
        <x:v>3</x:v>
      </x:c>
      <x:c r="F7" s="326" t="n" cm="1">
        <x:f>D7</x:f>
        <x:v>3</x:v>
      </x:c>
      <x:c r="G7" s="327" t="str">
        <x:v>Set</x:v>
      </x:c>
      <x:c r="H7" s="328" t="n">
        <x:v>500000</x:v>
      </x:c>
      <x:c r="I7" s="328" t="n">
        <x:v>500000</x:v>
      </x:c>
      <x:c r="J7" s="328" t="n">
        <x:f>I7</x:f>
        <x:v>500000</x:v>
      </x:c>
      <x:c r="K7" s="328" t="n">
        <x:v>11</x:v>
      </x:c>
      <x:c r="L7" s="329" t="n" cm="1">
        <x:f>D7*H7</x:f>
        <x:v>1500000</x:v>
      </x:c>
      <x:c r="M7" s="329" t="n" cm="1">
        <x:f>E7*I7</x:f>
        <x:v>1500000</x:v>
      </x:c>
      <x:c r="N7" s="330" t="n" cm="1">
        <x:f>F7*J7</x:f>
        <x:v>1500000</x:v>
      </x:c>
      <x:c r="S7" s="314" t="n">
        <x:f>ROUND(L7*(1+K7/100),2)</x:f>
        <x:v>1665000</x:v>
      </x:c>
      <x:c r="T7" s="314" t="n">
        <x:f>ROUND(M7*(1+K7/100),2)</x:f>
        <x:v>1665000</x:v>
      </x:c>
      <x:c r="U7" s="314" t="n">
        <x:f>ROUND(N7*(1+K7/100),2)</x:f>
        <x:v>1665000</x:v>
      </x:c>
    </x:row>
    <x:row r="8" ht="32" customHeight="1">
      <x:c r="A8" s="315" t="str">
        <x:v>1.22.(2a)</x:v>
      </x:c>
      <x:c r="B8" s="316" t="str">
        <x:v>kegiatan Induksi Keselamatan Konstruksi (Safety Induction)</x:v>
      </x:c>
      <x:c r="C8" s="317"/>
      <x:c r="D8" s="318" t="n">
        <x:v>10</x:v>
      </x:c>
      <x:c r="E8" s="318" t="n">
        <x:f>D8</x:f>
        <x:v>10</x:v>
      </x:c>
      <x:c r="F8" s="318" t="n">
        <x:f>D8</x:f>
        <x:v>10</x:v>
      </x:c>
      <x:c r="G8" s="319" t="str">
        <x:v>kegiatan</x:v>
      </x:c>
      <x:c r="H8" s="320" t="n">
        <x:v>50000</x:v>
      </x:c>
      <x:c r="I8" s="320" t="n">
        <x:v>50000</x:v>
      </x:c>
      <x:c r="J8" s="320" t="n">
        <x:f>I8</x:f>
        <x:v>50000</x:v>
      </x:c>
      <x:c r="K8" s="320" t="n">
        <x:v>11</x:v>
      </x:c>
      <x:c r="L8" s="321" t="n" cm="1">
        <x:f>D8*H8</x:f>
        <x:v>500000</x:v>
      </x:c>
      <x:c r="M8" s="321" t="n" cm="1">
        <x:f>E8*I8</x:f>
        <x:v>500000</x:v>
      </x:c>
      <x:c r="N8" s="322" t="n" cm="1">
        <x:f>F8*J8</x:f>
        <x:v>500000</x:v>
      </x:c>
      <x:c r="P8" t="str" s="312">
        <x:v>Sumber HPS</x:v>
      </x:c>
      <x:c r="Q8" t="str" s="312">
        <x:v>HPS - Pemb. Jalan Rabat Andi Bandaco Pasangkayu.xlsm</x:v>
      </x:c>
      <x:c r="S8" s="314" t="n">
        <x:f>ROUND(L8*(1+K8/100),2)</x:f>
        <x:v>555000</x:v>
      </x:c>
      <x:c r="T8" s="314" t="n">
        <x:f>ROUND(M8*(1+K8/100),2)</x:f>
        <x:v>555000</x:v>
      </x:c>
      <x:c r="U8" s="314" t="n">
        <x:f>ROUND(N8*(1+K8/100),2)</x:f>
        <x:v>555000</x:v>
      </x:c>
    </x:row>
    <x:row r="9" ht="32" customHeight="1">
      <x:c r="A9" s="323" t="str">
        <x:v>1.22.(2b)</x:v>
      </x:c>
      <x:c r="B9" s="324" t="str">
        <x:v>kegiatan Pengarahan Keselamatan Konstruksi (Safety Briefing)</x:v>
      </x:c>
      <x:c r="C9" s="325"/>
      <x:c r="D9" s="326" t="n">
        <x:v>10</x:v>
      </x:c>
      <x:c r="E9" s="326" t="n" cm="1">
        <x:f>D9</x:f>
        <x:v>10</x:v>
      </x:c>
      <x:c r="F9" s="326" t="n" cm="1">
        <x:f>D9</x:f>
        <x:v>10</x:v>
      </x:c>
      <x:c r="G9" s="327" t="str">
        <x:v>kegiatan</x:v>
      </x:c>
      <x:c r="H9" s="328" t="n">
        <x:v>50000</x:v>
      </x:c>
      <x:c r="I9" s="328" t="n">
        <x:v>50000</x:v>
      </x:c>
      <x:c r="J9" s="328" t="n">
        <x:f>I9</x:f>
        <x:v>50000</x:v>
      </x:c>
      <x:c r="K9" s="328" t="n">
        <x:v>11</x:v>
      </x:c>
      <x:c r="L9" s="329" t="n" cm="1">
        <x:f>D9*H9</x:f>
        <x:v>500000</x:v>
      </x:c>
      <x:c r="M9" s="329" t="n" cm="1">
        <x:f>E9*I9</x:f>
        <x:v>500000</x:v>
      </x:c>
      <x:c r="N9" s="330" t="n" cm="1">
        <x:f>F9*J9</x:f>
        <x:v>500000</x:v>
      </x:c>
      <x:c r="P9" t="str" s="312">
        <x:v>Sumber penawaran</x:v>
      </x:c>
      <x:c r="Q9" t="str" s="312">
        <x:v>Penawaran - PT. BUMI SEDAYA SEJAHTERA - Pemb. Jalan Rabat Andi Bandaco Pasangkayu.xlsm</x:v>
      </x:c>
      <x:c r="S9" s="314" t="n">
        <x:f>ROUND(L9*(1+K9/100),2)</x:f>
        <x:v>555000</x:v>
      </x:c>
      <x:c r="T9" s="314" t="n">
        <x:f>ROUND(M9*(1+K9/100),2)</x:f>
        <x:v>555000</x:v>
      </x:c>
      <x:c r="U9" s="314" t="n">
        <x:f>ROUND(N9*(1+K9/100),2)</x:f>
        <x:v>555000</x:v>
      </x:c>
    </x:row>
    <x:row r="10" ht="23" customHeight="1">
      <x:c r="A10" s="315" t="str">
        <x:v>1.22.(2c)</x:v>
      </x:c>
      <x:c r="B10" s="316" t="str">
        <x:v>kegiatan Pertemuan keselamatan (Safety Talk)</x:v>
      </x:c>
      <x:c r="C10" s="317"/>
      <x:c r="D10" s="318" t="n">
        <x:v>10</x:v>
      </x:c>
      <x:c r="E10" s="318" t="n">
        <x:f>D10</x:f>
        <x:v>10</x:v>
      </x:c>
      <x:c r="F10" s="318" t="n">
        <x:f>D10</x:f>
        <x:v>10</x:v>
      </x:c>
      <x:c r="G10" s="319" t="str">
        <x:v>kegiatan</x:v>
      </x:c>
      <x:c r="H10" s="320" t="n">
        <x:v>50000</x:v>
      </x:c>
      <x:c r="I10" s="320" t="n">
        <x:v>50000</x:v>
      </x:c>
      <x:c r="J10" s="320" t="n">
        <x:f>I10</x:f>
        <x:v>50000</x:v>
      </x:c>
      <x:c r="K10" s="320" t="n">
        <x:v>11</x:v>
      </x:c>
      <x:c r="L10" s="321" t="n">
        <x:f>D10*H10</x:f>
        <x:v>500000</x:v>
      </x:c>
      <x:c r="M10" s="321" t="n">
        <x:f>E10*I10</x:f>
        <x:v>500000</x:v>
      </x:c>
      <x:c r="N10" s="322" t="n">
        <x:f>F10*J10</x:f>
        <x:v>500000</x:v>
      </x:c>
      <x:c r="P10" t="str" s="312">
        <x:v>Format RAB</x:v>
      </x:c>
      <x:c r="Q10" t="str" s="312">
        <x:v>sample rab konstruksi.xlsx</x:v>
      </x:c>
      <x:c r="S10" s="314" t="n">
        <x:f>ROUND(L10*(1+K10/100),2)</x:f>
        <x:v>555000</x:v>
      </x:c>
      <x:c r="T10" s="314" t="n">
        <x:f>ROUND(M10*(1+K10/100),2)</x:f>
        <x:v>555000</x:v>
      </x:c>
      <x:c r="U10" s="314" t="n">
        <x:f>ROUND(N10*(1+K10/100),2)</x:f>
        <x:v>555000</x:v>
      </x:c>
    </x:row>
    <x:row r="11" ht="32" customHeight="1">
      <x:c r="A11" s="323" t="str">
        <x:v>1.22.(2e)</x:v>
      </x:c>
      <x:c r="B11" s="324" t="str">
        <x:v>kegiatan Rapat Keselamatan Konstruksi (Construction Safety Meeting)</x:v>
      </x:c>
      <x:c r="C11" s="325"/>
      <x:c r="D11" s="326" t="n">
        <x:v>3</x:v>
      </x:c>
      <x:c r="E11" s="326" t="n">
        <x:f>D11</x:f>
        <x:v>3</x:v>
      </x:c>
      <x:c r="F11" s="326" t="n">
        <x:f>D11</x:f>
        <x:v>3</x:v>
      </x:c>
      <x:c r="G11" s="327" t="str">
        <x:v>kegiatan</x:v>
      </x:c>
      <x:c r="H11" s="328" t="n">
        <x:v>350000</x:v>
      </x:c>
      <x:c r="I11" s="328" t="n">
        <x:v>350000</x:v>
      </x:c>
      <x:c r="J11" s="328" t="n">
        <x:f>I11</x:f>
        <x:v>350000</x:v>
      </x:c>
      <x:c r="K11" s="328" t="n">
        <x:v>11</x:v>
      </x:c>
      <x:c r="L11" s="329" t="n">
        <x:f>D11*H11</x:f>
        <x:v>1050000</x:v>
      </x:c>
      <x:c r="M11" s="329" t="n">
        <x:f>E11*I11</x:f>
        <x:v>1050000</x:v>
      </x:c>
      <x:c r="N11" s="330" t="n">
        <x:f>F11*J11</x:f>
        <x:v>1050000</x:v>
      </x:c>
      <x:c r="P11" t="inlineStr" s="331">
        <x:is>
          <x:t>Direktur</x:t>
        </x:is>
      </x:c>
      <x:c r="Q11" t="inlineStr" s="331">
        <x:is>
          <x:t>IBNU NURJAYA IRWAN, SE, M.Si</x:t>
        </x:is>
      </x:c>
      <x:c r="S11" s="314" t="n">
        <x:f>ROUND(L11*(1+K11/100),2)</x:f>
        <x:v>1165500</x:v>
      </x:c>
      <x:c r="T11" s="314" t="n">
        <x:f>ROUND(M11*(1+K11/100),2)</x:f>
        <x:v>1165500</x:v>
      </x:c>
      <x:c r="U11" s="314" t="n">
        <x:f>ROUND(N11*(1+K11/100),2)</x:f>
        <x:v>1165500</x:v>
      </x:c>
    </x:row>
    <x:row r="12" ht="23" customHeight="1">
      <x:c r="A12" s="315" t="str">
        <x:v>1.22.(2l)</x:v>
      </x:c>
      <x:c r="B12" s="316" t="str">
        <x:v>Papan Informasi Keselamatan Konstruksi</x:v>
      </x:c>
      <x:c r="C12" s="317"/>
      <x:c r="D12" s="318" t="n">
        <x:v>2</x:v>
      </x:c>
      <x:c r="E12" s="318" t="n">
        <x:f>D12</x:f>
        <x:v>2</x:v>
      </x:c>
      <x:c r="F12" s="318" t="n">
        <x:f>D12</x:f>
        <x:v>2</x:v>
      </x:c>
      <x:c r="G12" s="319" t="str">
        <x:v>Lembar</x:v>
      </x:c>
      <x:c r="H12" s="320" t="n">
        <x:v>100000</x:v>
      </x:c>
      <x:c r="I12" s="320" t="n">
        <x:v>100000</x:v>
      </x:c>
      <x:c r="J12" s="320" t="n">
        <x:f>I12</x:f>
        <x:v>100000</x:v>
      </x:c>
      <x:c r="K12" s="320" t="n">
        <x:v>11</x:v>
      </x:c>
      <x:c r="L12" s="321" t="n">
        <x:f>D12*H12</x:f>
        <x:v>200000</x:v>
      </x:c>
      <x:c r="M12" s="321" t="n">
        <x:f>E12*I12</x:f>
        <x:v>200000</x:v>
      </x:c>
      <x:c r="N12" s="322" t="n">
        <x:f>F12*J12</x:f>
        <x:v>200000</x:v>
      </x:c>
      <x:c r="S12" s="314" t="n">
        <x:f>ROUND(L12*(1+K12/100),2)</x:f>
        <x:v>222000</x:v>
      </x:c>
      <x:c r="T12" s="314" t="n">
        <x:f>ROUND(M12*(1+K12/100),2)</x:f>
        <x:v>222000</x:v>
      </x:c>
      <x:c r="U12" s="314" t="n">
        <x:f>ROUND(N12*(1+K12/100),2)</x:f>
        <x:v>222000</x:v>
      </x:c>
    </x:row>
    <x:row r="13" ht="23" customHeight="1">
      <x:c r="A13" s="323" t="str">
        <x:v>1.22.(3b1)</x:v>
      </x:c>
      <x:c r="B13" s="324" t="str">
        <x:v>Topi pelindung (Safety Helmet) </x:v>
      </x:c>
      <x:c r="C13" s="325"/>
      <x:c r="D13" s="326" t="n">
        <x:v>20</x:v>
      </x:c>
      <x:c r="E13" s="326" t="n">
        <x:f>D13</x:f>
        <x:v>20</x:v>
      </x:c>
      <x:c r="F13" s="326" t="n">
        <x:f>D13</x:f>
        <x:v>20</x:v>
      </x:c>
      <x:c r="G13" s="327" t="str">
        <x:v>Buah</x:v>
      </x:c>
      <x:c r="H13" s="328" t="n">
        <x:v>75000</x:v>
      </x:c>
      <x:c r="I13" s="328" t="n">
        <x:v>75000</x:v>
      </x:c>
      <x:c r="J13" s="328" t="n">
        <x:f>I13</x:f>
        <x:v>75000</x:v>
      </x:c>
      <x:c r="K13" s="328" t="n">
        <x:v>11</x:v>
      </x:c>
      <x:c r="L13" s="329" t="n">
        <x:f>D13*H13</x:f>
        <x:v>1500000</x:v>
      </x:c>
      <x:c r="M13" s="329" t="n">
        <x:f>E13*I13</x:f>
        <x:v>1500000</x:v>
      </x:c>
      <x:c r="N13" s="330" t="n">
        <x:f>F13*J13</x:f>
        <x:v>1500000</x:v>
      </x:c>
      <x:c r="S13" s="314" t="n">
        <x:f>ROUND(L13*(1+K13/100),2)</x:f>
        <x:v>1665000</x:v>
      </x:c>
      <x:c r="T13" s="314" t="n">
        <x:f>ROUND(M13*(1+K13/100),2)</x:f>
        <x:v>1665000</x:v>
      </x:c>
      <x:c r="U13" s="314" t="n">
        <x:f>ROUND(N13*(1+K13/100),2)</x:f>
        <x:v>1665000</x:v>
      </x:c>
    </x:row>
    <x:row r="14" ht="23" customHeight="1">
      <x:c r="A14" s="315" t="str">
        <x:v>1.22.(3b7)</x:v>
      </x:c>
      <x:c r="B14" s="316" t="str">
        <x:v>Sarung tangan (Safety Gloves) </x:v>
      </x:c>
      <x:c r="C14" s="317"/>
      <x:c r="D14" s="318" t="n">
        <x:v>20</x:v>
      </x:c>
      <x:c r="E14" s="318" t="n">
        <x:f>D14</x:f>
        <x:v>20</x:v>
      </x:c>
      <x:c r="F14" s="318" t="n">
        <x:f>D14</x:f>
        <x:v>20</x:v>
      </x:c>
      <x:c r="G14" s="319" t="str">
        <x:v>Pasang</x:v>
      </x:c>
      <x:c r="H14" s="320" t="n">
        <x:v>15000</x:v>
      </x:c>
      <x:c r="I14" s="320" t="n">
        <x:v>15000</x:v>
      </x:c>
      <x:c r="J14" s="320" t="n">
        <x:f>I14</x:f>
        <x:v>15000</x:v>
      </x:c>
      <x:c r="K14" s="320" t="n">
        <x:v>11</x:v>
      </x:c>
      <x:c r="L14" s="321" t="n">
        <x:f>D14*H14</x:f>
        <x:v>300000</x:v>
      </x:c>
      <x:c r="M14" s="321" t="n">
        <x:f>E14*I14</x:f>
        <x:v>300000</x:v>
      </x:c>
      <x:c r="N14" s="322" t="n">
        <x:f>F14*J14</x:f>
        <x:v>300000</x:v>
      </x:c>
      <x:c r="S14" s="314" t="n">
        <x:f>ROUND(L14*(1+K14/100),2)</x:f>
        <x:v>333000</x:v>
      </x:c>
      <x:c r="T14" s="314" t="n">
        <x:f>ROUND(M14*(1+K14/100),2)</x:f>
        <x:v>333000</x:v>
      </x:c>
      <x:c r="U14" s="314" t="n">
        <x:f>ROUND(N14*(1+K14/100),2)</x:f>
        <x:v>333000</x:v>
      </x:c>
    </x:row>
    <x:row r="15" ht="23" customHeight="1">
      <x:c r="A15" s="323" t="str">
        <x:v>1.22.(3b10)</x:v>
      </x:c>
      <x:c r="B15" s="324" t="str">
        <x:v>Sepatu keselamatan (Rubber Safety Shoes)</x:v>
      </x:c>
      <x:c r="C15" s="325"/>
      <x:c r="D15" s="326" t="n">
        <x:v>20</x:v>
      </x:c>
      <x:c r="E15" s="326" t="n">
        <x:f>D15</x:f>
        <x:v>20</x:v>
      </x:c>
      <x:c r="F15" s="326" t="n">
        <x:f>D15</x:f>
        <x:v>20</x:v>
      </x:c>
      <x:c r="G15" s="327" t="str">
        <x:v>Pasang</x:v>
      </x:c>
      <x:c r="H15" s="328" t="n">
        <x:v>200000</x:v>
      </x:c>
      <x:c r="I15" s="328" t="n">
        <x:v>200000</x:v>
      </x:c>
      <x:c r="J15" s="328" t="n">
        <x:f>I15</x:f>
        <x:v>200000</x:v>
      </x:c>
      <x:c r="K15" s="328" t="n">
        <x:v>11</x:v>
      </x:c>
      <x:c r="L15" s="329" t="n">
        <x:f>D15*H15</x:f>
        <x:v>4000000</x:v>
      </x:c>
      <x:c r="M15" s="329" t="n">
        <x:f>E15*I15</x:f>
        <x:v>4000000</x:v>
      </x:c>
      <x:c r="N15" s="330" t="n">
        <x:f>F15*J15</x:f>
        <x:v>4000000</x:v>
      </x:c>
      <x:c r="S15" s="314" t="n">
        <x:f>ROUND(L15*(1+K15/100),2)</x:f>
        <x:v>4440000</x:v>
      </x:c>
      <x:c r="T15" s="314" t="n">
        <x:f>ROUND(M15*(1+K15/100),2)</x:f>
        <x:v>4440000</x:v>
      </x:c>
      <x:c r="U15" s="314" t="n">
        <x:f>ROUND(N15*(1+K15/100),2)</x:f>
        <x:v>4440000</x:v>
      </x:c>
    </x:row>
    <x:row r="16" ht="23" customHeight="1">
      <x:c r="A16" s="315" t="str">
        <x:v>1.22.(3b15)</x:v>
      </x:c>
      <x:c r="B16" s="316" t="str">
        <x:v>Rompi keselamatan (Safety Vest)</x:v>
      </x:c>
      <x:c r="C16" s="317"/>
      <x:c r="D16" s="318" t="n">
        <x:v>20</x:v>
      </x:c>
      <x:c r="E16" s="318" t="n">
        <x:f>D16</x:f>
        <x:v>20</x:v>
      </x:c>
      <x:c r="F16" s="318" t="n">
        <x:f>D16</x:f>
        <x:v>20</x:v>
      </x:c>
      <x:c r="G16" s="319" t="str">
        <x:v>Buah</x:v>
      </x:c>
      <x:c r="H16" s="320" t="n">
        <x:v>57450</x:v>
      </x:c>
      <x:c r="I16" s="320" t="n">
        <x:v>57450</x:v>
      </x:c>
      <x:c r="J16" s="320" t="n">
        <x:f>I16</x:f>
        <x:v>57450</x:v>
      </x:c>
      <x:c r="K16" s="320" t="n">
        <x:v>11</x:v>
      </x:c>
      <x:c r="L16" s="321" t="n">
        <x:f>D16*H16</x:f>
        <x:v>1149000</x:v>
      </x:c>
      <x:c r="M16" s="321" t="n">
        <x:f>E16*I16</x:f>
        <x:v>1149000</x:v>
      </x:c>
      <x:c r="N16" s="322" t="n">
        <x:f>F16*J16</x:f>
        <x:v>1149000</x:v>
      </x:c>
      <x:c r="S16" s="314" t="n">
        <x:f>ROUND(L16*(1+K16/100),2)</x:f>
        <x:v>1275390</x:v>
      </x:c>
      <x:c r="T16" s="314" t="n">
        <x:f>ROUND(M16*(1+K16/100),2)</x:f>
        <x:v>1275390</x:v>
      </x:c>
      <x:c r="U16" s="314" t="n">
        <x:f>ROUND(N16*(1+K16/100),2)</x:f>
        <x:v>1275390</x:v>
      </x:c>
    </x:row>
    <x:row r="17" ht="23" customHeight="1">
      <x:c r="A17" s="323" t="str">
        <x:v>1.22.(4a)</x:v>
      </x:c>
      <x:c r="B17" s="324" t="str">
        <x:v>Asuransi (Construction All Risk/CAR)</x:v>
      </x:c>
      <x:c r="C17" s="325"/>
      <x:c r="D17" s="326" t="n">
        <x:v>1</x:v>
      </x:c>
      <x:c r="E17" s="326" t="n">
        <x:f>D17</x:f>
        <x:v>1</x:v>
      </x:c>
      <x:c r="F17" s="326" t="n">
        <x:f>D17</x:f>
        <x:v>1</x:v>
      </x:c>
      <x:c r="G17" s="327" t="str">
        <x:v>Ls</x:v>
      </x:c>
      <x:c r="H17" s="328" t="n">
        <x:v>3000000</x:v>
      </x:c>
      <x:c r="I17" s="328" t="n">
        <x:v>3000000</x:v>
      </x:c>
      <x:c r="J17" s="328" t="n">
        <x:f>I17</x:f>
        <x:v>3000000</x:v>
      </x:c>
      <x:c r="K17" s="328" t="n">
        <x:v>11</x:v>
      </x:c>
      <x:c r="L17" s="329" t="n">
        <x:f>D17*H17</x:f>
        <x:v>3000000</x:v>
      </x:c>
      <x:c r="M17" s="329" t="n">
        <x:f>E17*I17</x:f>
        <x:v>3000000</x:v>
      </x:c>
      <x:c r="N17" s="330" t="n">
        <x:f>F17*J17</x:f>
        <x:v>3000000</x:v>
      </x:c>
      <x:c r="S17" s="314" t="n">
        <x:f>ROUND(L17*(1+K17/100),2)</x:f>
        <x:v>3330000</x:v>
      </x:c>
      <x:c r="T17" s="314" t="n">
        <x:f>ROUND(M17*(1+K17/100),2)</x:f>
        <x:v>3330000</x:v>
      </x:c>
      <x:c r="U17" s="314" t="n">
        <x:f>ROUND(N17*(1+K17/100),2)</x:f>
        <x:v>3330000</x:v>
      </x:c>
    </x:row>
    <x:row r="18" ht="32" customHeight="1">
      <x:c r="A18" s="315" t="str">
        <x:v>1.22.(5a)</x:v>
      </x:c>
      <x:c r="B18" s="316" t="str">
        <x:v>Ahli K3 konstruksi/ahli keselamatan konstruksi</x:v>
      </x:c>
      <x:c r="C18" s="317"/>
      <x:c r="D18" s="318" t="n">
        <x:v>1</x:v>
      </x:c>
      <x:c r="E18" s="318" t="n">
        <x:f>D18</x:f>
        <x:v>1</x:v>
      </x:c>
      <x:c r="F18" s="318" t="n">
        <x:f>D18</x:f>
        <x:v>1</x:v>
      </x:c>
      <x:c r="G18" s="319" t="str">
        <x:v>Orang</x:v>
      </x:c>
      <x:c r="H18" s="320" t="n">
        <x:v>5000000</x:v>
      </x:c>
      <x:c r="I18" s="320" t="n">
        <x:v>5000000</x:v>
      </x:c>
      <x:c r="J18" s="320" t="n">
        <x:f>I18</x:f>
        <x:v>5000000</x:v>
      </x:c>
      <x:c r="K18" s="320" t="n">
        <x:v>11</x:v>
      </x:c>
      <x:c r="L18" s="321" t="n">
        <x:f>D18*H18</x:f>
        <x:v>5000000</x:v>
      </x:c>
      <x:c r="M18" s="321" t="n">
        <x:f>E18*I18</x:f>
        <x:v>5000000</x:v>
      </x:c>
      <x:c r="N18" s="322" t="n">
        <x:f>F18*J18</x:f>
        <x:v>5000000</x:v>
      </x:c>
      <x:c r="S18" s="314" t="n">
        <x:f>ROUND(L18*(1+K18/100),2)</x:f>
        <x:v>5550000</x:v>
      </x:c>
      <x:c r="T18" s="314" t="n">
        <x:f>ROUND(M18*(1+K18/100),2)</x:f>
        <x:v>5550000</x:v>
      </x:c>
      <x:c r="U18" s="314" t="n">
        <x:f>ROUND(N18*(1+K18/100),2)</x:f>
        <x:v>5550000</x:v>
      </x:c>
    </x:row>
    <x:row r="19" ht="23" customHeight="1">
      <x:c r="A19" s="323" t="str">
        <x:v>1.22.(5i)</x:v>
      </x:c>
      <x:c r="B19" s="324" t="str">
        <x:v>Petugas pengatur lalu lintas (flagman)</x:v>
      </x:c>
      <x:c r="C19" s="325"/>
      <x:c r="D19" s="326" t="n">
        <x:v>1</x:v>
      </x:c>
      <x:c r="E19" s="326" t="n">
        <x:f>D19</x:f>
        <x:v>1</x:v>
      </x:c>
      <x:c r="F19" s="326" t="n">
        <x:f>D19</x:f>
        <x:v>1</x:v>
      </x:c>
      <x:c r="G19" s="327" t="str">
        <x:v>Orang</x:v>
      </x:c>
      <x:c r="H19" s="328" t="n">
        <x:v>3000000</x:v>
      </x:c>
      <x:c r="I19" s="328" t="n">
        <x:v>3000000</x:v>
      </x:c>
      <x:c r="J19" s="328" t="n">
        <x:f>I19</x:f>
        <x:v>3000000</x:v>
      </x:c>
      <x:c r="K19" s="328" t="n">
        <x:v>11</x:v>
      </x:c>
      <x:c r="L19" s="329" t="n">
        <x:f>D19*H19</x:f>
        <x:v>3000000</x:v>
      </x:c>
      <x:c r="M19" s="329" t="n">
        <x:f>E19*I19</x:f>
        <x:v>3000000</x:v>
      </x:c>
      <x:c r="N19" s="330" t="n">
        <x:f>F19*J19</x:f>
        <x:v>3000000</x:v>
      </x:c>
      <x:c r="S19" s="314" t="n">
        <x:f>ROUND(L19*(1+K19/100),2)</x:f>
        <x:v>3330000</x:v>
      </x:c>
      <x:c r="T19" s="314" t="n">
        <x:f>ROUND(M19*(1+K19/100),2)</x:f>
        <x:v>3330000</x:v>
      </x:c>
      <x:c r="U19" s="314" t="n">
        <x:f>ROUND(N19*(1+K19/100),2)</x:f>
        <x:v>3330000</x:v>
      </x:c>
    </x:row>
    <x:row r="20" ht="23" customHeight="1">
      <x:c r="A20" s="315" t="str">
        <x:v>1.22.(6a1)</x:v>
      </x:c>
      <x:c r="B20" s="316" t="str">
        <x:v>Peralatan P3K kotak A lengkap</x:v>
      </x:c>
      <x:c r="C20" s="317"/>
      <x:c r="D20" s="318" t="n">
        <x:v>1</x:v>
      </x:c>
      <x:c r="E20" s="318" t="n">
        <x:f>D20</x:f>
        <x:v>1</x:v>
      </x:c>
      <x:c r="F20" s="318" t="n">
        <x:f>D20</x:f>
        <x:v>1</x:v>
      </x:c>
      <x:c r="G20" s="319" t="str">
        <x:v>Set</x:v>
      </x:c>
      <x:c r="H20" s="320" t="n">
        <x:v>500000</x:v>
      </x:c>
      <x:c r="I20" s="320" t="n">
        <x:v>500000</x:v>
      </x:c>
      <x:c r="J20" s="320" t="n">
        <x:f>I20</x:f>
        <x:v>500000</x:v>
      </x:c>
      <x:c r="K20" s="320" t="n">
        <x:v>11</x:v>
      </x:c>
      <x:c r="L20" s="321" t="n">
        <x:f>D20*H20</x:f>
        <x:v>500000</x:v>
      </x:c>
      <x:c r="M20" s="321" t="n">
        <x:f>E20*I20</x:f>
        <x:v>500000</x:v>
      </x:c>
      <x:c r="N20" s="322" t="n">
        <x:f>F20*J20</x:f>
        <x:v>500000</x:v>
      </x:c>
      <x:c r="S20" s="314" t="n">
        <x:f>ROUND(L20*(1+K20/100),2)</x:f>
        <x:v>555000</x:v>
      </x:c>
      <x:c r="T20" s="314" t="n">
        <x:f>ROUND(M20*(1+K20/100),2)</x:f>
        <x:v>555000</x:v>
      </x:c>
      <x:c r="U20" s="314" t="n">
        <x:f>ROUND(N20*(1+K20/100),2)</x:f>
        <x:v>555000</x:v>
      </x:c>
    </x:row>
    <x:row r="21" ht="23" customHeight="1">
      <x:c r="A21" s="323" t="str">
        <x:v>1.22.(7a)</x:v>
      </x:c>
      <x:c r="B21" s="324" t="str">
        <x:v>Rambu petunjuk </x:v>
      </x:c>
      <x:c r="C21" s="325"/>
      <x:c r="D21" s="326" t="n">
        <x:v>3</x:v>
      </x:c>
      <x:c r="E21" s="326" t="n">
        <x:f>D21</x:f>
        <x:v>3</x:v>
      </x:c>
      <x:c r="F21" s="326" t="n">
        <x:f>D21</x:f>
        <x:v>3</x:v>
      </x:c>
      <x:c r="G21" s="327" t="str">
        <x:v>Buah</x:v>
      </x:c>
      <x:c r="H21" s="328" t="n">
        <x:v>50000</x:v>
      </x:c>
      <x:c r="I21" s="328" t="n">
        <x:v>50000</x:v>
      </x:c>
      <x:c r="J21" s="328" t="n">
        <x:f>I21</x:f>
        <x:v>50000</x:v>
      </x:c>
      <x:c r="K21" s="328" t="n">
        <x:v>11</x:v>
      </x:c>
      <x:c r="L21" s="329" t="n">
        <x:f>D21*H21</x:f>
        <x:v>150000</x:v>
      </x:c>
      <x:c r="M21" s="329" t="n">
        <x:f>E21*I21</x:f>
        <x:v>150000</x:v>
      </x:c>
      <x:c r="N21" s="330" t="n">
        <x:f>F21*J21</x:f>
        <x:v>150000</x:v>
      </x:c>
      <x:c r="S21" s="314" t="n">
        <x:f>ROUND(L21*(1+K21/100),2)</x:f>
        <x:v>166500</x:v>
      </x:c>
      <x:c r="T21" s="314" t="n">
        <x:f>ROUND(M21*(1+K21/100),2)</x:f>
        <x:v>166500</x:v>
      </x:c>
      <x:c r="U21" s="314" t="n">
        <x:f>ROUND(N21*(1+K21/100),2)</x:f>
        <x:v>166500</x:v>
      </x:c>
    </x:row>
    <x:row r="22" ht="23" customHeight="1">
      <x:c r="A22" s="315" t="str">
        <x:v>1.22.(7b)</x:v>
      </x:c>
      <x:c r="B22" s="316" t="str">
        <x:v>Rambu larangan </x:v>
      </x:c>
      <x:c r="C22" s="317"/>
      <x:c r="D22" s="318" t="n">
        <x:v>3</x:v>
      </x:c>
      <x:c r="E22" s="318" t="n">
        <x:f>D22</x:f>
        <x:v>3</x:v>
      </x:c>
      <x:c r="F22" s="318" t="n">
        <x:f>D22</x:f>
        <x:v>3</x:v>
      </x:c>
      <x:c r="G22" s="319" t="str">
        <x:v>Buah</x:v>
      </x:c>
      <x:c r="H22" s="320" t="n">
        <x:v>50000</x:v>
      </x:c>
      <x:c r="I22" s="320" t="n">
        <x:v>50000</x:v>
      </x:c>
      <x:c r="J22" s="320" t="n">
        <x:f>I22</x:f>
        <x:v>50000</x:v>
      </x:c>
      <x:c r="K22" s="320" t="n">
        <x:v>11</x:v>
      </x:c>
      <x:c r="L22" s="321" t="n">
        <x:f>D22*H22</x:f>
        <x:v>150000</x:v>
      </x:c>
      <x:c r="M22" s="321" t="n">
        <x:f>E22*I22</x:f>
        <x:v>150000</x:v>
      </x:c>
      <x:c r="N22" s="322" t="n">
        <x:f>F22*J22</x:f>
        <x:v>150000</x:v>
      </x:c>
      <x:c r="S22" s="314" t="n">
        <x:f>ROUND(L22*(1+K22/100),2)</x:f>
        <x:v>166500</x:v>
      </x:c>
      <x:c r="T22" s="314" t="n">
        <x:f>ROUND(M22*(1+K22/100),2)</x:f>
        <x:v>166500</x:v>
      </x:c>
      <x:c r="U22" s="314" t="n">
        <x:f>ROUND(N22*(1+K22/100),2)</x:f>
        <x:v>166500</x:v>
      </x:c>
    </x:row>
    <x:row r="23" ht="23" customHeight="1">
      <x:c r="A23" s="323" t="str">
        <x:v>1.22.(7c)</x:v>
      </x:c>
      <x:c r="B23" s="324" t="str">
        <x:v>Rambu peringatan </x:v>
      </x:c>
      <x:c r="C23" s="325"/>
      <x:c r="D23" s="326" t="n">
        <x:v>4</x:v>
      </x:c>
      <x:c r="E23" s="326" t="n">
        <x:f>D23</x:f>
        <x:v>4</x:v>
      </x:c>
      <x:c r="F23" s="326" t="n">
        <x:f>D23</x:f>
        <x:v>4</x:v>
      </x:c>
      <x:c r="G23" s="327" t="str">
        <x:v>Buah</x:v>
      </x:c>
      <x:c r="H23" s="328" t="n">
        <x:v>50000</x:v>
      </x:c>
      <x:c r="I23" s="328" t="n">
        <x:v>50000</x:v>
      </x:c>
      <x:c r="J23" s="328" t="n">
        <x:f>I23</x:f>
        <x:v>50000</x:v>
      </x:c>
      <x:c r="K23" s="328" t="n">
        <x:v>11</x:v>
      </x:c>
      <x:c r="L23" s="329" t="n">
        <x:f>D23*H23</x:f>
        <x:v>200000</x:v>
      </x:c>
      <x:c r="M23" s="329" t="n">
        <x:f>E23*I23</x:f>
        <x:v>200000</x:v>
      </x:c>
      <x:c r="N23" s="330" t="n">
        <x:f>F23*J23</x:f>
        <x:v>200000</x:v>
      </x:c>
      <x:c r="S23" s="314" t="n">
        <x:f>ROUND(L23*(1+K23/100),2)</x:f>
        <x:v>222000</x:v>
      </x:c>
      <x:c r="T23" s="314" t="n">
        <x:f>ROUND(M23*(1+K23/100),2)</x:f>
        <x:v>222000</x:v>
      </x:c>
      <x:c r="U23" s="314" t="n">
        <x:f>ROUND(N23*(1+K23/100),2)</x:f>
        <x:v>222000</x:v>
      </x:c>
    </x:row>
    <x:row r="24" ht="23" customHeight="1">
      <x:c r="A24" s="315" t="str">
        <x:v>1.22.(9b1a)</x:v>
      </x:c>
      <x:c r="B24" s="316" t="str">
        <x:v>Alat pemadam Api Ringan (APAR) Kelas A</x:v>
      </x:c>
      <x:c r="C24" s="317"/>
      <x:c r="D24" s="318" t="n">
        <x:v>1</x:v>
      </x:c>
      <x:c r="E24" s="318" t="n">
        <x:f>D24</x:f>
        <x:v>1</x:v>
      </x:c>
      <x:c r="F24" s="318" t="n">
        <x:f>D24</x:f>
        <x:v>1</x:v>
      </x:c>
      <x:c r="G24" s="319" t="str">
        <x:v>Buah</x:v>
      </x:c>
      <x:c r="H24" s="320" t="n">
        <x:v>580000</x:v>
      </x:c>
      <x:c r="I24" s="320" t="n">
        <x:v>580000</x:v>
      </x:c>
      <x:c r="J24" s="320" t="n">
        <x:f>I24</x:f>
        <x:v>580000</x:v>
      </x:c>
      <x:c r="K24" s="320" t="n">
        <x:v>11</x:v>
      </x:c>
      <x:c r="L24" s="321" t="n">
        <x:f>D24*H24</x:f>
        <x:v>580000</x:v>
      </x:c>
      <x:c r="M24" s="321" t="n">
        <x:f>E24*I24</x:f>
        <x:v>580000</x:v>
      </x:c>
      <x:c r="N24" s="322" t="n">
        <x:f>F24*J24</x:f>
        <x:v>580000</x:v>
      </x:c>
      <x:c r="S24" s="314" t="n">
        <x:f>ROUND(L24*(1+K24/100),2)</x:f>
        <x:v>643800</x:v>
      </x:c>
      <x:c r="T24" s="314" t="n">
        <x:f>ROUND(M24*(1+K24/100),2)</x:f>
        <x:v>643800</x:v>
      </x:c>
      <x:c r="U24" s="314" t="n">
        <x:f>ROUND(N24*(1+K24/100),2)</x:f>
        <x:v>643800</x:v>
      </x:c>
    </x:row>
    <x:row r="25" ht="22" customHeight="1">
      <x:c r="A25" s="304"/>
      <x:c r="B25" s="305" t="str">
        <x:v>DIVISI 3. PEKERJAAN TANAH DAN GEOSINTETIK</x:v>
      </x:c>
      <x:c r="C25" s="306"/>
      <x:c r="D25" s="307"/>
      <x:c r="E25" s="307"/>
      <x:c r="F25" s="307"/>
      <x:c r="G25" s="308"/>
      <x:c r="H25" s="309"/>
      <x:c r="I25" s="309"/>
      <x:c r="J25" s="309"/>
      <x:c r="K25" s="309"/>
      <x:c r="L25" s="310"/>
      <x:c r="M25" s="310"/>
      <x:c r="N25" s="311"/>
      <x:c r="S25" s="314"/>
      <x:c r="T25" s="314"/>
      <x:c r="U25" s="314"/>
    </x:row>
    <x:row r="26" ht="32" customHeight="1">
      <x:c r="A26" s="315" t="str">
        <x:v>3.3.(2a2)</x:v>
      </x:c>
      <x:c r="B26" s="316" t="str">
        <x:v>Penyiapan badan jalan untuk rekontruksi Perkerasan Lama </x:v>
      </x:c>
      <x:c r="C26" s="317"/>
      <x:c r="D26" s="318" t="n">
        <x:v>900</x:v>
      </x:c>
      <x:c r="E26" s="318" t="n">
        <x:f>D26</x:f>
        <x:v>900</x:v>
      </x:c>
      <x:c r="F26" s="318" t="n">
        <x:f>D26</x:f>
        <x:v>900</x:v>
      </x:c>
      <x:c r="G26" s="319" t="str">
        <x:v>m2</x:v>
      </x:c>
      <x:c r="H26" s="320" t="n">
        <x:v>2165.6812461821814</x:v>
      </x:c>
      <x:c r="I26" s="320" t="n">
        <x:v>2165.0131217895673</x:v>
      </x:c>
      <x:c r="J26" s="320" t="n">
        <x:f>I26</x:f>
        <x:v>2165.0131217895673</x:v>
      </x:c>
      <x:c r="K26" s="320" t="n">
        <x:v>11</x:v>
      </x:c>
      <x:c r="L26" s="321" t="n">
        <x:f>D26*H26</x:f>
        <x:v>1949113.1215639634</x:v>
      </x:c>
      <x:c r="M26" s="321" t="n">
        <x:f>E26*I26</x:f>
        <x:v>1948511.8096106106</x:v>
      </x:c>
      <x:c r="N26" s="322" t="n">
        <x:f>F26*J26</x:f>
        <x:v>1948511.8096106106</x:v>
      </x:c>
      <x:c r="S26" s="314" t="n">
        <x:f>ROUND(L26*(1+K26/100),2)</x:f>
        <x:v>2163515.56</x:v>
      </x:c>
      <x:c r="T26" s="314" t="n">
        <x:f>ROUND(M26*(1+K26/100),2)</x:f>
        <x:v>2162848.11</x:v>
      </x:c>
      <x:c r="U26" s="314" t="n">
        <x:f>ROUND(N26*(1+K26/100),2)</x:f>
        <x:v>2162848.11</x:v>
      </x:c>
    </x:row>
    <x:row r="27" ht="23" customHeight="1">
      <x:c r="A27" s="323" t="str">
        <x:v>3.2.(2a)</x:v>
      </x:c>
      <x:c r="B27" s="324" t="str">
        <x:v>Timbunan Pilihan Kasar dari Sumber Galian</x:v>
      </x:c>
      <x:c r="C27" s="325"/>
      <x:c r="D27" s="326" t="n">
        <x:v>150</x:v>
      </x:c>
      <x:c r="E27" s="326" t="n">
        <x:f>D27</x:f>
        <x:v>150</x:v>
      </x:c>
      <x:c r="F27" s="326" t="n">
        <x:f>D27</x:f>
        <x:v>150</x:v>
      </x:c>
      <x:c r="G27" s="327" t="str">
        <x:v>M3</x:v>
      </x:c>
      <x:c r="H27" s="328" t="n">
        <x:v>302488.33</x:v>
      </x:c>
      <x:c r="I27" s="328" t="n">
        <x:v>302482.32</x:v>
      </x:c>
      <x:c r="J27" s="328" t="n">
        <x:f>I27</x:f>
        <x:v>302482.32</x:v>
      </x:c>
      <x:c r="K27" s="328" t="n">
        <x:v>11</x:v>
      </x:c>
      <x:c r="L27" s="329" t="n">
        <x:f>D27*H27</x:f>
        <x:v>45373249.5</x:v>
      </x:c>
      <x:c r="M27" s="329" t="n">
        <x:f>E27*I27</x:f>
        <x:v>45372348</x:v>
      </x:c>
      <x:c r="N27" s="330" t="n">
        <x:f>F27*J27</x:f>
        <x:v>45372348</x:v>
      </x:c>
      <x:c r="S27" s="314" t="n">
        <x:f>ROUND(L27*(1+K27/100),2)</x:f>
        <x:v>50364306.95</x:v>
      </x:c>
      <x:c r="T27" s="314" t="n">
        <x:f>ROUND(M27*(1+K27/100),2)</x:f>
        <x:v>50363306.28</x:v>
      </x:c>
      <x:c r="U27" s="314" t="n">
        <x:f>ROUND(N27*(1+K27/100),2)</x:f>
        <x:v>50363306.28</x:v>
      </x:c>
    </x:row>
    <x:row r="28" ht="22" customHeight="1">
      <x:c r="A28" s="304"/>
      <x:c r="B28" s="305" t="str">
        <x:v>DIVISI 5. PERKERASAN BERBUTIR DAN PERKERASAN BETON</x:v>
      </x:c>
      <x:c r="C28" s="306"/>
      <x:c r="D28" s="307"/>
      <x:c r="E28" s="307"/>
      <x:c r="F28" s="307"/>
      <x:c r="G28" s="308"/>
      <x:c r="H28" s="309"/>
      <x:c r="I28" s="309"/>
      <x:c r="J28" s="309"/>
      <x:c r="K28" s="309"/>
      <x:c r="L28" s="310" cm="1"/>
      <x:c r="M28" s="310" cm="1"/>
      <x:c r="N28" s="311" cm="1"/>
      <x:c r="S28" s="314"/>
      <x:c r="T28" s="314"/>
      <x:c r="U28" s="314"/>
    </x:row>
    <x:row r="29" ht="23" customHeight="1">
      <x:c r="A29" s="323" t="str">
        <x:v>7.1 (10)</x:v>
      </x:c>
      <x:c r="B29" s="324" t="str">
        <x:v>Beton mutu rendah  fc’= 15 MPa </x:v>
      </x:c>
      <x:c r="C29" s="325"/>
      <x:c r="D29" s="326" t="n" cm="1">
        <x:v>150</x:v>
      </x:c>
      <x:c r="E29" s="326" t="n" cm="1">
        <x:f>D29</x:f>
        <x:v>150</x:v>
      </x:c>
      <x:c r="F29" s="326" t="n" cm="1">
        <x:f>D29</x:f>
        <x:v>150</x:v>
      </x:c>
      <x:c r="G29" s="327" t="str">
        <x:v>M3</x:v>
      </x:c>
      <x:c r="H29" s="328" t="n">
        <x:v>1796241.7978565597</x:v>
      </x:c>
      <x:c r="I29" s="328" t="n">
        <x:v>1796027.2252805415</x:v>
      </x:c>
      <x:c r="J29" s="328" t="n">
        <x:f>I29</x:f>
        <x:v>1796027.2252805415</x:v>
      </x:c>
      <x:c r="K29" s="328" t="n" cm="1">
        <x:v>11</x:v>
      </x:c>
      <x:c r="L29" s="329" t="n" cm="1">
        <x:f>D29*H29</x:f>
        <x:v>269436269.67848396</x:v>
      </x:c>
      <x:c r="M29" s="329" t="n" cm="1">
        <x:f>E29*I29</x:f>
        <x:v>269404083.79208124</x:v>
      </x:c>
      <x:c r="N29" s="330" t="n" cm="1">
        <x:f>F29*J29</x:f>
        <x:v>269404083.79208124</x:v>
      </x:c>
      <x:c r="S29" s="314" t="n">
        <x:f>ROUND(L29*(1+K29/100),2)</x:f>
        <x:v>299074259.34</x:v>
      </x:c>
      <x:c r="T29" s="314" t="n">
        <x:f>ROUND(M29*(1+K29/100),2)</x:f>
        <x:v>299038533.01</x:v>
      </x:c>
      <x:c r="U29" s="314" t="n">
        <x:f>ROUND(N29*(1+K29/100),2)</x:f>
        <x:v>299038533.01</x:v>
      </x:c>
    </x:row>
    <x:row r="30" ht="29" customHeight="1">
      <x:c r="A30" s="332"/>
      <x:c r="B30" s="333"/>
      <x:c r="C30" s="333"/>
      <x:c r="D30" s="334"/>
      <x:c r="E30" s="334"/>
      <x:c r="F30" s="334"/>
      <x:c r="G30" s="335"/>
      <x:c r="H30" s="336"/>
      <x:c r="I30" s="336"/>
      <x:c r="J30" s="337"/>
      <x:c r="K30" s="338" t="str" cm="1">
        <x:v>Jumlah Total (A)</x:v>
      </x:c>
      <x:c r="L30" s="339" t="n" cm="1">
        <x:f>SUM(L3:L29)</x:f>
        <x:v>360367632.30004793</x:v>
      </x:c>
      <x:c r="M30" s="339" t="n" cm="1">
        <x:f>SUM(M3:M29)</x:f>
        <x:v>360332943.60169184</x:v>
      </x:c>
      <x:c r="N30" s="339" t="n" cm="1">
        <x:f>SUM(N3:N29)</x:f>
        <x:v>360332943.60169184</x:v>
      </x:c>
    </x:row>
    <x:row r="31" ht="29" customHeight="1">
      <x:c r="A31" s="340"/>
      <x:c r="B31" s="333"/>
      <x:c r="C31" s="333"/>
      <x:c r="D31" s="334"/>
      <x:c r="E31" s="334"/>
      <x:c r="F31" s="334"/>
      <x:c r="G31" s="335"/>
      <x:c r="H31" s="336"/>
      <x:c r="I31" s="336"/>
      <x:c r="J31" s="337"/>
      <x:c r="K31" s="341" t="str">
        <x:v>Jumlah Terkena Pajak (B)</x:v>
      </x:c>
      <x:c r="L31" s="342" t="n" cm="1">
        <x:f>SUMIF($K3:$K29,"&gt;0",L3:L29)</x:f>
        <x:v>360367632.30004793</x:v>
      </x:c>
      <x:c r="M31" s="343" t="n" cm="1">
        <x:f>SUMIF($K3:$K29,"&gt;0",M3:M29)</x:f>
        <x:v>360332943.60169184</x:v>
      </x:c>
      <x:c r="N31" s="343" t="n" cm="1">
        <x:f>SUMIF($K3:$K29,"&gt;0",N3:N29)</x:f>
        <x:v>360332943.60169184</x:v>
      </x:c>
    </x:row>
    <x:row r="32" ht="29" customHeight="1">
      <x:c r="A32" s="332"/>
      <x:c r="B32" s="333"/>
      <x:c r="C32" s="333"/>
      <x:c r="D32" s="334"/>
      <x:c r="E32" s="334"/>
      <x:c r="F32" s="334"/>
      <x:c r="G32" s="335"/>
      <x:c r="H32" s="336"/>
      <x:c r="I32" s="336"/>
      <x:c r="J32" s="337"/>
      <x:c r="K32" s="344" t="str">
        <x:v>PPN (C)</x:v>
      </x:c>
      <x:c r="L32" s="345" t="n" cm="1">
        <x:f>SUM(S3:S29)-L30</x:f>
        <x:v>39640439.54995203</x:v>
      </x:c>
      <x:c r="M32" s="343" t="n" cm="1">
        <x:f>SUM(T3:T29)-M30</x:f>
        <x:v>39636623.798308134</x:v>
      </x:c>
      <x:c r="N32" s="343" t="n" cm="1">
        <x:f>SUM(U3:U29)-N30</x:f>
        <x:v>39636623.798308134</x:v>
      </x:c>
    </x:row>
    <x:row r="33" ht="29" customHeight="1">
      <x:c r="A33" s="332"/>
      <x:c r="B33" s="333"/>
      <x:c r="C33" s="333"/>
      <x:c r="D33" s="334"/>
      <x:c r="E33" s="334"/>
      <x:c r="F33" s="334"/>
      <x:c r="G33" s="335"/>
      <x:c r="H33" s="336"/>
      <x:c r="I33" s="336"/>
      <x:c r="J33" s="337"/>
      <x:c r="K33" s="344" t="str">
        <x:v>Jumlah A + C</x:v>
      </x:c>
      <x:c r="L33" s="346" t="n">
        <x:f>L30+L32</x:f>
        <x:v>400008071.84999996</x:v>
      </x:c>
      <x:c r="M33" s="343" t="n">
        <x:f>M30+M32</x:f>
        <x:v>399969567.4</x:v>
      </x:c>
      <x:c r="N33" s="343" t="n">
        <x:f>N30+N32</x:f>
        <x:v>399969567.4</x:v>
      </x:c>
    </x:row>
    <x:row r="34" ht="40" customHeight="1">
      <x:c r="A34" s="186"/>
      <x:c r="B34" s="187"/>
      <x:c r="C34" s="187"/>
      <x:c r="D34" s="188"/>
      <x:c r="E34" s="188"/>
      <x:c r="F34" s="188"/>
      <x:c r="G34" s="189"/>
      <x:c r="H34" s="190"/>
      <x:c r="I34" s="190"/>
      <x:c r="J34" s="191"/>
      <x:c r="K34" s="261" t="str">
        <x:v>Jumlah Dibulatkan</x:v>
      </x:c>
      <x:c r="L34" s="293" t="n">
        <x:f>ROUND(L33,2)</x:f>
        <x:v>400008071.85</x:v>
      </x:c>
      <x:c r="M34" s="293" t="n">
        <x:f>ROUND(M33,2)</x:f>
        <x:v>399969567.4</x:v>
      </x:c>
      <x:c r="N34" s="293" t="n">
        <x:f>ROUND(N33,2)</x:f>
        <x:v>399969567.4</x:v>
      </x:c>
    </x:row>
    <x:row r="35" ht="40" customHeight="1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265"/>
      <x:c r="L35" s="295"/>
      <x:c r="M35" s="295"/>
      <x:c r="N35" s="295"/>
    </x:row>
    <x:row r="36" ht="40" customHeight="1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265"/>
      <x:c r="L36" s="295"/>
      <x:c r="M36" s="295"/>
      <x:c r="N36" s="295"/>
    </x:row>
    <x:row r="37" ht="40" customHeight="1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265"/>
      <x:c r="L37" s="295"/>
      <x:c r="M37" s="295"/>
      <x:c r="N37" s="295"/>
    </x:row>
    <x:row r="38" ht="40" customHeight="1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265"/>
      <x:c r="L38" s="295"/>
      <x:c r="M38" s="295"/>
      <x:c r="N38" s="295"/>
    </x:row>
    <x:row r="39">
      <x:c r="A39" s="312"/>
      <x:c r="B39" s="312"/>
      <x:c r="C39" s="312"/>
      <x:c r="D39" s="312"/>
      <x:c r="E39" s="312"/>
      <x:c r="F39" s="312"/>
      <x:c r="G39" s="312"/>
      <x:c r="H39" s="312"/>
      <x:c r="I39" s="312"/>
      <x:c r="J39" s="312"/>
      <x:c r="K39" s="312"/>
      <x:c r="L39" s="312"/>
      <x:c r="M39" s="312"/>
      <x:c r="N39" s="312"/>
    </x:row>
    <x:row r="40" ht="30" customHeight="1">
      <x:c r="A40" s="312"/>
      <x:c r="B40" s="312"/>
      <x:c r="C40" s="312"/>
      <x:c r="D40" s="312"/>
      <x:c r="E40" s="312"/>
      <x:c r="F40" s="312"/>
      <x:c r="G40" s="312"/>
      <x:c r="H40" s="312"/>
      <x:c r="I40" s="347" t="inlineStr">
        <x:is>
          <x:t>Diajukan oleh:</x:t>
        </x:is>
      </x:c>
      <x:c r="J40" s="347"/>
      <x:c r="K40" s="347"/>
      <x:c r="L40" s="347"/>
      <x:c r="M40" s="347"/>
      <x:c r="N40" s="347"/>
    </x:row>
    <x:row r="41" ht="30" customHeight="1">
      <x:c r="A41" s="312"/>
      <x:c r="B41" s="312"/>
      <x:c r="C41" s="312"/>
      <x:c r="D41" s="312"/>
      <x:c r="E41" s="312"/>
      <x:c r="F41" s="312"/>
      <x:c r="G41" s="312"/>
      <x:c r="H41" s="312"/>
      <x:c r="I41" s="348" t="inlineStr">
        <x:is>
          <x:t>PT. BUMI SEDAYA SEJAHTERA</x:t>
        </x:is>
      </x:c>
      <x:c r="J41" s="348"/>
      <x:c r="K41" s="348"/>
      <x:c r="L41" s="348"/>
      <x:c r="M41" s="348"/>
      <x:c r="N41" s="348"/>
    </x:row>
    <x:row r="42">
      <x:c r="A42" s="312"/>
      <x:c r="B42" s="312"/>
      <x:c r="C42" s="312"/>
      <x:c r="D42" s="312"/>
      <x:c r="E42" s="312"/>
      <x:c r="F42" s="312"/>
      <x:c r="G42" s="312"/>
      <x:c r="H42" s="312"/>
      <x:c r="I42" s="312"/>
      <x:c r="J42" s="312"/>
      <x:c r="K42" s="312"/>
      <x:c r="L42" s="312"/>
      <x:c r="M42" s="312"/>
      <x:c r="N42" s="312"/>
    </x:row>
    <x:row r="43">
      <x:c r="A43" s="312"/>
      <x:c r="B43" s="312"/>
      <x:c r="C43" s="312"/>
      <x:c r="D43" s="312"/>
      <x:c r="E43" s="312"/>
      <x:c r="F43" s="312"/>
      <x:c r="G43" s="312"/>
      <x:c r="H43" s="312"/>
      <x:c r="I43" s="312"/>
      <x:c r="J43" s="312"/>
      <x:c r="K43" s="312"/>
      <x:c r="L43" s="312"/>
      <x:c r="M43" s="312"/>
      <x:c r="N43" s="312"/>
    </x:row>
    <x:row r="44">
      <x:c r="A44" s="312"/>
      <x:c r="B44" s="312"/>
      <x:c r="C44" s="312"/>
      <x:c r="D44" s="312"/>
      <x:c r="E44" s="312"/>
      <x:c r="F44" s="312"/>
      <x:c r="G44" s="312"/>
      <x:c r="H44" s="312"/>
      <x:c r="I44" s="312"/>
      <x:c r="J44" s="312"/>
      <x:c r="K44" s="312"/>
      <x:c r="L44" s="312"/>
      <x:c r="M44" s="312"/>
      <x:c r="N44" s="312"/>
    </x:row>
    <x:row r="45" ht="30" customHeight="1">
      <x:c r="A45" s="312"/>
      <x:c r="B45" s="312"/>
      <x:c r="C45" s="312"/>
      <x:c r="D45" s="312"/>
      <x:c r="E45" s="312"/>
      <x:c r="F45" s="312"/>
      <x:c r="G45" s="312"/>
      <x:c r="H45" s="312"/>
      <x:c r="I45" s="349" t="inlineStr">
        <x:is>
          <x:t>IBNU NURJAYA IRWAN, SE, M.Si</x:t>
        </x:is>
      </x:c>
      <x:c r="J45" s="349"/>
      <x:c r="K45" s="349"/>
      <x:c r="L45" s="349"/>
      <x:c r="M45" s="349"/>
      <x:c r="N45" s="349"/>
    </x:row>
    <x:row r="46" ht="30" customHeight="1">
      <x:c r="A46" s="312"/>
      <x:c r="B46" s="312"/>
      <x:c r="C46" s="312"/>
      <x:c r="D46" s="312"/>
      <x:c r="E46" s="312"/>
      <x:c r="F46" s="312"/>
      <x:c r="G46" s="312"/>
      <x:c r="H46" s="312"/>
      <x:c r="I46" s="347" t="inlineStr">
        <x:is>
          <x:t>Direktur</x:t>
        </x:is>
      </x:c>
      <x:c r="J46" s="347"/>
      <x:c r="K46" s="347"/>
      <x:c r="L46" s="347"/>
      <x:c r="M46" s="347"/>
      <x:c r="N46" s="347"/>
    </x:row>
  </x:sheetData>
  <x:mergeCells count="38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N25"/>
    <x:mergeCell ref="B26:C26"/>
    <x:mergeCell ref="B27:C27"/>
    <x:mergeCell ref="B28:N28"/>
    <x:mergeCell ref="B29:C29"/>
    <x:mergeCell ref="I40:N40"/>
    <x:mergeCell ref="I41:N41"/>
    <x:mergeCell ref="I45:N45"/>
    <x:mergeCell ref="I46:N46"/>
  </x:mergeCells>
  <x:pageMargins left="0.7" right="0.7" top="0.75" bottom="0.75" header="0.3" footer="0.3"/>
</x:worksheet>
</file>