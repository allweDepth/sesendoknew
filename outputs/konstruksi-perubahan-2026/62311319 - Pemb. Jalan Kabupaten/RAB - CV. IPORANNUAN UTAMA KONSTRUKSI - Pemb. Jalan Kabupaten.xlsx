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b51bdd704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3eff320b422d47f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<x:sst xmlns:x="http://schemas.openxmlformats.org/spreadsheetml/2006/main">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</x:sst>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Georgia"/>
    </x:font>
    <x:font>
      <x:b/>
      <x:sz val="11"/>
      <x:color rgb="FFFFFFFF"/>
      <x:name val="Georgia"/>
    </x:font>
    <x:font>
      <x:b/>
      <x:sz val="11"/>
      <x:color rgb="FF545B2D"/>
      <x:name val="Georgia"/>
    </x:font>
    <x:font>
      <x:b/>
      <x:sz val="12"/>
      <x:color rgb="FF545B2D"/>
      <x:name val="Georgia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545B2D"/>
      </x:patternFill>
    </x:fill>
    <x:fill>
      <x:patternFill patternType="solid">
        <x:fgColor rgb="FFF4F4E9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545B2D"/>
      </x:bottom>
      <x:diagonal/>
    </x:border>
    <x:border>
      <x:left/>
      <x:right/>
      <x:top/>
      <x:bottom style="double">
        <x:color rgb="FF545B2D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494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0" fontId="6" fillId="6" borderId="27" applyNumberFormat="0" applyFont="1" applyFill="1" applyBorder="1" applyAlignment="1" applyProtection="0" xfId="0">
      <x:alignment vertical="top" wrapText="1"/>
    </x:xf>
    <x:xf numFmtId="0" fontId="6" fillId="6" borderId="27" applyNumberFormat="0" applyFont="1" applyFill="1" applyBorder="1" applyAlignment="1" applyProtection="0" xfId="0">
      <x:alignment vertical="center" wrapText="1"/>
    </x:xf>
    <x:xf numFmtId="0" fontId="6" fillId="6" borderId="27" applyNumberFormat="0" applyFont="1" applyFill="1" applyBorder="1" applyAlignment="1" applyProtection="0" xfId="0">
      <x:alignment vertical="top" wrapText="1"/>
    </x:xf>
    <x:xf numFmtId="0" fontId="6" fillId="6" borderId="27" applyNumberFormat="0" applyFont="1" applyFill="1" applyBorder="1" applyAlignment="1" applyProtection="0" xfId="0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center" wrapText="1"/>
    </x:xf>
    <x:xf numFmtId="0" fontId="4" fillId="4" borderId="24" applyNumberFormat="0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center" wrapText="1"/>
    </x:xf>
    <x:xf numFmtId="0" fontId="4" fillId="4" borderId="24" applyNumberFormat="0" applyFont="1" applyFill="1" applyBorder="1" applyAlignment="1" applyProtection="0" xfId="0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6" borderId="24" applyNumberFormat="1" applyFont="1" applyFill="1" applyBorder="1" applyAlignment="1" applyProtection="0" xfId="0" fillId="4">
      <x:alignment vertical="top" wrapText="1"/>
    </x:xf>
    <x:xf numFmtId="4" fontId="6" borderId="24" applyNumberFormat="1" applyFont="1" applyFill="1" applyBorder="1" applyAlignment="1" applyProtection="0" xfId="0" fillId="4">
      <x:alignment vertical="center" wrapText="1" horizontal="center"/>
    </x:xf>
    <x:xf numFmtId="0" fontId="6" borderId="24" applyNumberFormat="0" applyFont="1" applyFill="1" applyBorder="1" applyAlignment="1" applyProtection="0" xfId="0" fillId="4">
      <x:alignment vertical="top" wrapText="1"/>
    </x:xf>
    <x:xf numFmtId="0" fontId="6" borderId="24" applyNumberFormat="0" applyFont="1" applyFill="1" applyBorder="1" applyAlignment="1" applyProtection="0" xfId="0" fillId="4">
      <x:alignment vertical="center" wrapText="1" horizontal="center"/>
    </x:xf>
    <x:xf numFmtId="0" fontId="6" borderId="24" applyNumberFormat="0" applyFont="1" applyFill="1" applyBorder="1" applyAlignment="1" applyProtection="0" xfId="0" fillId="4">
      <x:alignment vertical="top" wrapText="1"/>
    </x:xf>
    <x:xf numFmtId="0" fontId="6" borderId="24" applyNumberFormat="0" applyFont="1" applyFill="1" applyBorder="1" applyAlignment="1" applyProtection="0" xfId="0" fillId="4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3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1" applyFont="1" applyFill="1" applyBorder="1" applyAlignment="1" applyProtection="0" xfId="0" fillId="4">
      <x:alignment horizontal="center" vertical="top" wrapText="1"/>
    </x:xf>
    <x:xf numFmtId="4" fontId="6" borderId="0" applyNumberFormat="1" applyFont="1" applyFill="1" applyBorder="1" applyAlignment="1" applyProtection="0" xfId="0" fillId="4">
      <x:alignment vertical="center" wrapText="1" horizontal="center"/>
    </x:xf>
    <x:xf numFmtId="0" fontId="6" borderId="0" applyNumberFormat="0" applyFont="1" applyFill="1" applyBorder="1" applyAlignment="1" applyProtection="0" xfId="0" fillId="4">
      <x:alignment vertical="center" wrapText="1" horizontal="center"/>
    </x:xf>
    <x:xf numFmtId="0" fontId="6" borderId="0" applyNumberFormat="0" applyFont="1" applyFill="1" applyBorder="1" applyAlignment="1" applyProtection="0" xfId="0" fillId="4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3" fontId="4" borderId="0" applyNumberFormat="1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caa008c2748b7" /><Relationship Type="http://schemas.openxmlformats.org/officeDocument/2006/relationships/theme" Target="/xl/theme/theme1.xml" Id="R6f74107ed354469a" /><Relationship Type="http://schemas.openxmlformats.org/officeDocument/2006/relationships/sheetMetadata" Target="/xl/metadata1.xml" Id="Rf45400d280324e2f" /><Relationship Type="http://schemas.openxmlformats.org/officeDocument/2006/relationships/sharedStrings" Target="/xl/sharedStrings.xml" Id="R2f46a70fa0724397" /><Relationship Type="http://schemas.openxmlformats.org/officeDocument/2006/relationships/worksheet" Target="/xl/worksheets/sheet1.xml" Id="R3eff320b422d47fe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55" t="inlineStr">
        <x:is>
          <x:t>No.</x:t>
        </x:is>
      </x:c>
      <x:c r="B1" s="255" t="inlineStr">
        <x:is>
          <x:t>Uraian Pekerjaan</x:t>
        </x:is>
      </x:c>
      <x:c r="C1" s="257"/>
      <x:c r="D1" s="255" t="inlineStr">
        <x:is>
          <x:t>Kuantitas</x:t>
        </x:is>
      </x:c>
      <x:c r="E1" s="257"/>
      <x:c r="F1" s="257"/>
      <x:c r="G1" s="255" t="inlineStr">
        <x:is>
          <x:t>Satuan</x:t>
        </x:is>
      </x:c>
      <x:c r="H1" s="255" t="inlineStr">
        <x:is>
          <x:t>Harga Satuan</x:t>
        </x:is>
      </x:c>
      <x:c r="I1" s="257"/>
      <x:c r="J1" s="257"/>
      <x:c r="K1" s="255" t="inlineStr">
        <x:is>
          <x:t>PAJAK</x:t>
        </x:is>
      </x:c>
      <x:c r="L1" s="255" t="inlineStr">
        <x:is>
          <x:t>JUMLAH</x:t>
        </x:is>
      </x:c>
      <x:c r="M1" s="257"/>
      <x:c r="N1" s="257"/>
      <x:c r="P1" t="str" s="134">
        <x:v>Nomor RUP</x:v>
      </x:c>
      <x:c r="Q1" t="str" s="134">
        <x:v>62311319</x:v>
      </x:c>
    </x:row>
    <x:row r="2" ht="32" customHeight="1">
      <x:c r="A2" s="259"/>
      <x:c r="B2" s="259"/>
      <x:c r="C2" s="259"/>
      <x:c r="D2" s="261" t="inlineStr">
        <x:is>
          <x:t>HPS</x:t>
        </x:is>
      </x:c>
      <x:c r="E2" s="261" t="inlineStr">
        <x:is>
          <x:t>Penawaran</x:t>
        </x:is>
      </x:c>
      <x:c r="F2" s="261" t="inlineStr">
        <x:is>
          <x:t>Negoisasi</x:t>
        </x:is>
      </x:c>
      <x:c r="G2" s="259"/>
      <x:c r="H2" s="261" t="inlineStr">
        <x:is>
          <x:t>HPS</x:t>
        </x:is>
      </x:c>
      <x:c r="I2" s="261" t="inlineStr">
        <x:is>
          <x:t>Penawaran</x:t>
        </x:is>
      </x:c>
      <x:c r="J2" s="261" t="inlineStr">
        <x:is>
          <x:t>Negoisasi</x:t>
        </x:is>
      </x:c>
      <x:c r="K2" s="259"/>
      <x:c r="L2" s="261" t="inlineStr">
        <x:is>
          <x:t>HPS</x:t>
        </x:is>
      </x:c>
      <x:c r="M2" s="261" t="inlineStr">
        <x:is>
          <x:t>Penawaran</x:t>
        </x:is>
      </x:c>
      <x:c r="N2" s="261" t="inlineStr">
        <x:is>
          <x:t>Negoisasi</x:t>
        </x:is>
      </x:c>
      <x:c r="P2" t="str" s="134">
        <x:v>Nama Paket</x:v>
      </x:c>
      <x:c r="Q2" s="137" t="str">
        <x:v>Pemb. Jalan Kabupaten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399"/>
      <x:c r="B3" s="400" t="str">
        <x:v>DIVISI 1. UMUM</x:v>
      </x:c>
      <x:c r="C3" s="401"/>
      <x:c r="D3" s="402"/>
      <x:c r="E3" s="402"/>
      <x:c r="F3" s="402"/>
      <x:c r="G3" s="403"/>
      <x:c r="H3" s="404"/>
      <x:c r="I3" s="404"/>
      <x:c r="J3" s="404"/>
      <x:c r="K3" s="404"/>
      <x:c r="L3" s="405" cm="1"/>
      <x:c r="M3" s="405" cm="1"/>
      <x:c r="N3" s="406" cm="1"/>
      <x:c r="P3" t="str" s="407">
        <x:v>Perusahaan</x:v>
      </x:c>
      <x:c r="Q3" s="408" t="str">
        <x:v>CV. IPORANNUAN UTAMA KONSTRUKSI</x:v>
      </x:c>
      <x:c r="S3" s="409"/>
      <x:c r="T3" s="409"/>
      <x:c r="U3" s="409"/>
    </x:row>
    <x:row r="4" ht="23" customHeight="1">
      <x:c r="A4" s="410" t="str">
        <x:v>1.2</x:v>
      </x:c>
      <x:c r="B4" s="411" t="str">
        <x:v>Mobilisasi</x:v>
      </x:c>
      <x:c r="C4" s="412"/>
      <x:c r="D4" s="413" t="n">
        <x:v>1</x:v>
      </x:c>
      <x:c r="E4" s="413" t="n" cm="1">
        <x:f>D4</x:f>
        <x:v>1</x:v>
      </x:c>
      <x:c r="F4" s="413" t="n" cm="1">
        <x:f>D4</x:f>
        <x:v>1</x:v>
      </x:c>
      <x:c r="G4" s="414" t="str">
        <x:v>Ls</x:v>
      </x:c>
      <x:c r="H4" s="415" t="n">
        <x:v>3470000</x:v>
      </x:c>
      <x:c r="I4" s="415" t="n">
        <x:v>3469000</x:v>
      </x:c>
      <x:c r="J4" s="415" t="n">
        <x:f>I4</x:f>
        <x:v>3469000</x:v>
      </x:c>
      <x:c r="K4" s="415" t="n">
        <x:v>11</x:v>
      </x:c>
      <x:c r="L4" s="416" t="n" cm="1">
        <x:f>D4*H4</x:f>
        <x:v>3470000</x:v>
      </x:c>
      <x:c r="M4" s="416" t="n" cm="1">
        <x:f>E4*I4</x:f>
        <x:v>3469000</x:v>
      </x:c>
      <x:c r="N4" s="417" t="n" cm="1">
        <x:f>F4*J4</x:f>
        <x:v>3469000</x:v>
      </x:c>
      <x:c r="P4" t="str" s="407">
        <x:v>Pagu Anggaran</x:v>
      </x:c>
      <x:c r="Q4" s="409" t="n">
        <x:v>150000000</x:v>
      </x:c>
      <x:c r="S4" s="409" t="n">
        <x:f>ROUND(L4*(1+K4/100),2)</x:f>
        <x:v>3851700</x:v>
      </x:c>
      <x:c r="T4" s="409" t="n">
        <x:f>ROUND(M4*(1+K4/100),2)</x:f>
        <x:v>3850590</x:v>
      </x:c>
      <x:c r="U4" s="409" t="n">
        <x:f>ROUND(N4*(1+K4/100),2)</x:f>
        <x:v>3850590</x:v>
      </x:c>
    </x:row>
    <x:row r="5" ht="23" customHeight="1">
      <x:c r="A5" s="418" t="str">
        <x:v>1.19</x:v>
      </x:c>
      <x:c r="B5" s="419" t="str">
        <x:v>Keselamatan dan Kesehatan Kerja</x:v>
      </x:c>
      <x:c r="C5" s="420"/>
      <x:c r="D5" s="421" t="n">
        <x:v>1</x:v>
      </x:c>
      <x:c r="E5" s="421" t="n" cm="1">
        <x:f>D5</x:f>
        <x:v>1</x:v>
      </x:c>
      <x:c r="F5" s="421" t="n" cm="1">
        <x:f>D5</x:f>
        <x:v>1</x:v>
      </x:c>
      <x:c r="G5" s="422" t="str">
        <x:v>Ls</x:v>
      </x:c>
      <x:c r="H5" s="423" t="n">
        <x:v>450000</x:v>
      </x:c>
      <x:c r="I5" s="423" t="n">
        <x:v>450000</x:v>
      </x:c>
      <x:c r="J5" s="423" t="n">
        <x:f>I5</x:f>
        <x:v>450000</x:v>
      </x:c>
      <x:c r="K5" s="423" t="n">
        <x:v>11</x:v>
      </x:c>
      <x:c r="L5" s="424" t="n" cm="1">
        <x:f>D5*H5</x:f>
        <x:v>450000</x:v>
      </x:c>
      <x:c r="M5" s="424" t="n" cm="1">
        <x:f>E5*I5</x:f>
        <x:v>450000</x:v>
      </x:c>
      <x:c r="N5" s="425" t="n" cm="1">
        <x:f>F5*J5</x:f>
        <x:v>450000</x:v>
      </x:c>
      <x:c r="P5" t="str" s="407">
        <x:v>HPS sesuai rekap</x:v>
      </x:c>
      <x:c r="Q5" s="409" t="n">
        <x:v>149999000</x:v>
      </x:c>
      <x:c r="S5" s="409" t="n">
        <x:f>ROUND(L5*(1+K5/100),2)</x:f>
        <x:v>499500</x:v>
      </x:c>
      <x:c r="T5" s="409" t="n">
        <x:f>ROUND(M5*(1+K5/100),2)</x:f>
        <x:v>499500</x:v>
      </x:c>
      <x:c r="U5" s="409" t="n">
        <x:f>ROUND(N5*(1+K5/100),2)</x:f>
        <x:v>499500</x:v>
      </x:c>
    </x:row>
    <x:row r="6" ht="22" customHeight="1">
      <x:c r="A6" s="399"/>
      <x:c r="B6" s="400" t="str">
        <x:v>DIVISI 2. DRAINASE</x:v>
      </x:c>
      <x:c r="C6" s="401"/>
      <x:c r="D6" s="402"/>
      <x:c r="E6" s="402"/>
      <x:c r="F6" s="402"/>
      <x:c r="G6" s="403"/>
      <x:c r="H6" s="404"/>
      <x:c r="I6" s="404"/>
      <x:c r="J6" s="404"/>
      <x:c r="K6" s="404"/>
      <x:c r="L6" s="405" cm="1"/>
      <x:c r="M6" s="405" cm="1"/>
      <x:c r="N6" s="406" cm="1"/>
      <x:c r="P6" t="str" s="407">
        <x:v>Penawaran sesuai rekap</x:v>
      </x:c>
      <x:c r="Q6" s="409" t="n">
        <x:v>149946000</x:v>
      </x:c>
      <x:c r="S6" s="409"/>
      <x:c r="T6" s="409"/>
      <x:c r="U6" s="409"/>
    </x:row>
    <x:row r="7" ht="23" customHeight="1">
      <x:c r="A7" s="418" t="str">
        <x:v>2.1.(1)</x:v>
      </x:c>
      <x:c r="B7" s="419" t="str">
        <x:v>Galian untuk Selokan Drainase dan Saluran Air</x:v>
      </x:c>
      <x:c r="C7" s="420"/>
      <x:c r="D7" s="421" t="n">
        <x:v>270</x:v>
      </x:c>
      <x:c r="E7" s="421" t="n" cm="1">
        <x:f>D7</x:f>
        <x:v>270</x:v>
      </x:c>
      <x:c r="F7" s="421" t="n" cm="1">
        <x:f>D7</x:f>
        <x:v>270</x:v>
      </x:c>
      <x:c r="G7" s="422" t="str">
        <x:v>M3</x:v>
      </x:c>
      <x:c r="H7" s="423" t="n">
        <x:v>15575.48</x:v>
      </x:c>
      <x:c r="I7" s="423" t="n">
        <x:v>15563.48</x:v>
      </x:c>
      <x:c r="J7" s="423" t="n">
        <x:f>I7</x:f>
        <x:v>15563.48</x:v>
      </x:c>
      <x:c r="K7" s="423" t="n">
        <x:v>11</x:v>
      </x:c>
      <x:c r="L7" s="424" t="n" cm="1">
        <x:f>D7*H7</x:f>
        <x:v>4205379.6</x:v>
      </x:c>
      <x:c r="M7" s="424" t="n" cm="1">
        <x:f>E7*I7</x:f>
        <x:v>4202139.6</x:v>
      </x:c>
      <x:c r="N7" s="425" t="n" cm="1">
        <x:f>F7*J7</x:f>
        <x:v>4202139.6</x:v>
      </x:c>
      <x:c r="S7" s="409" t="n">
        <x:f>ROUND(L7*(1+K7/100),2)</x:f>
        <x:v>4667971.36</x:v>
      </x:c>
      <x:c r="T7" s="409" t="n">
        <x:f>ROUND(M7*(1+K7/100),2)</x:f>
        <x:v>4664374.96</x:v>
      </x:c>
      <x:c r="U7" s="409" t="n">
        <x:f>ROUND(N7*(1+K7/100),2)</x:f>
        <x:v>4664374.96</x:v>
      </x:c>
    </x:row>
    <x:row r="8" ht="22" customHeight="1">
      <x:c r="A8" s="399"/>
      <x:c r="B8" s="400" t="str">
        <x:v>DIVISI 3. PEKERJAAN TANAH DAN GEOSINTETIK</x:v>
      </x:c>
      <x:c r="C8" s="401"/>
      <x:c r="D8" s="402"/>
      <x:c r="E8" s="402"/>
      <x:c r="F8" s="402"/>
      <x:c r="G8" s="403"/>
      <x:c r="H8" s="404"/>
      <x:c r="I8" s="404"/>
      <x:c r="J8" s="404"/>
      <x:c r="K8" s="404"/>
      <x:c r="L8" s="405" cm="1"/>
      <x:c r="M8" s="405" cm="1"/>
      <x:c r="N8" s="406" cm="1"/>
      <x:c r="P8" t="str" s="407">
        <x:v>Sumber HPS</x:v>
      </x:c>
      <x:c r="Q8" t="str" s="407">
        <x:v>HPS - Pemb. Jalan Kabupaten.xlsm</x:v>
      </x:c>
      <x:c r="S8" s="409"/>
      <x:c r="T8" s="409"/>
      <x:c r="U8" s="409"/>
    </x:row>
    <x:row r="9" ht="23" customHeight="1">
      <x:c r="A9" s="418" t="str">
        <x:v>3.1.(1)</x:v>
      </x:c>
      <x:c r="B9" s="419" t="str">
        <x:v>Galian Biasa/Perapihan</x:v>
      </x:c>
      <x:c r="C9" s="420"/>
      <x:c r="D9" s="421" t="n">
        <x:v>5135.94</x:v>
      </x:c>
      <x:c r="E9" s="421" t="n" cm="1">
        <x:f>D9</x:f>
        <x:v>5135.94</x:v>
      </x:c>
      <x:c r="F9" s="421" t="n" cm="1">
        <x:f>D9</x:f>
        <x:v>5135.94</x:v>
      </x:c>
      <x:c r="G9" s="422" t="str">
        <x:v>M3</x:v>
      </x:c>
      <x:c r="H9" s="423" t="n">
        <x:v>24729.47</x:v>
      </x:c>
      <x:c r="I9" s="423" t="n">
        <x:v>24720.99</x:v>
      </x:c>
      <x:c r="J9" s="423" t="n">
        <x:f>I9</x:f>
        <x:v>24720.99</x:v>
      </x:c>
      <x:c r="K9" s="423" t="n">
        <x:v>11</x:v>
      </x:c>
      <x:c r="L9" s="424" t="n" cm="1">
        <x:f>D9*H9</x:f>
        <x:v>127009074.15179999</x:v>
      </x:c>
      <x:c r="M9" s="424" t="n" cm="1">
        <x:f>E9*I9</x:f>
        <x:v>126965521.3806</x:v>
      </x:c>
      <x:c r="N9" s="425" t="n" cm="1">
        <x:f>F9*J9</x:f>
        <x:v>126965521.3806</x:v>
      </x:c>
      <x:c r="P9" t="str" s="407">
        <x:v>Sumber penawaran</x:v>
      </x:c>
      <x:c r="Q9" t="str" s="407">
        <x:v>Penawaran - CV. IPORANNUAN UTAMA KONSTRUKSI - Pemb. Jalan Kabupaten.xlsm</x:v>
      </x:c>
      <x:c r="S9" s="409" t="n">
        <x:f>ROUND(L9*(1+K9/100),2)</x:f>
        <x:v>140980072.31</x:v>
      </x:c>
      <x:c r="T9" s="409" t="n">
        <x:f>ROUND(M9*(1+K9/100),2)</x:f>
        <x:v>140931728.73</x:v>
      </x:c>
      <x:c r="U9" s="409" t="n">
        <x:f>ROUND(N9*(1+K9/100),2)</x:f>
        <x:v>140931728.73</x:v>
      </x:c>
    </x:row>
    <x:row r="10" ht="29" customHeight="1">
      <x:c r="A10" s="426"/>
      <x:c r="B10" s="427"/>
      <x:c r="C10" s="427"/>
      <x:c r="D10" s="428"/>
      <x:c r="E10" s="428"/>
      <x:c r="F10" s="428"/>
      <x:c r="G10" s="429"/>
      <x:c r="H10" s="430"/>
      <x:c r="I10" s="430"/>
      <x:c r="J10" s="431"/>
      <x:c r="K10" s="432" t="str">
        <x:v>Jumlah Total (A)</x:v>
      </x:c>
      <x:c r="L10" s="433" t="n">
        <x:f>SUM(L3:L9)</x:f>
        <x:v>135134453.7518</x:v>
      </x:c>
      <x:c r="M10" s="433" t="n">
        <x:f>SUM(M3:M9)</x:f>
        <x:v>135086660.9806</x:v>
      </x:c>
      <x:c r="N10" s="433" t="n">
        <x:f>SUM(N3:N9)</x:f>
        <x:v>135086660.9806</x:v>
      </x:c>
      <x:c r="P10" t="str" s="407">
        <x:v>Format RAB</x:v>
      </x:c>
      <x:c r="Q10" t="str" s="407">
        <x:v>sample rab konstruksi.xlsx</x:v>
      </x:c>
    </x:row>
    <x:row r="11" ht="32" customHeight="1">
      <x:c r="A11" s="434"/>
      <x:c r="B11" s="427"/>
      <x:c r="C11" s="427"/>
      <x:c r="D11" s="428"/>
      <x:c r="E11" s="428"/>
      <x:c r="F11" s="428"/>
      <x:c r="G11" s="429"/>
      <x:c r="H11" s="430"/>
      <x:c r="I11" s="430"/>
      <x:c r="J11" s="431"/>
      <x:c r="K11" s="435" t="str">
        <x:v>Jumlah Terkena Pajak (B)</x:v>
      </x:c>
      <x:c r="L11" s="436" t="n">
        <x:f>SUMIF($K3:$K9,"&gt;0",L3:L9)</x:f>
        <x:v>135134453.7518</x:v>
      </x:c>
      <x:c r="M11" s="437" t="n">
        <x:f>SUMIF($K3:$K9,"&gt;0",M3:M9)</x:f>
        <x:v>135086660.9806</x:v>
      </x:c>
      <x:c r="N11" s="437" t="n">
        <x:f>SUMIF($K3:$K9,"&gt;0",N3:N9)</x:f>
        <x:v>135086660.9806</x:v>
      </x:c>
      <x:c r="P11" t="inlineStr" s="438">
        <x:is>
          <x:t>Direktur</x:t>
        </x:is>
      </x:c>
      <x:c r="Q11" t="inlineStr" s="438">
        <x:is>
          <x:t>D I L M A N</x:t>
        </x:is>
      </x:c>
    </x:row>
    <x:row r="12" ht="29" customHeight="1">
      <x:c r="A12" s="426"/>
      <x:c r="B12" s="427"/>
      <x:c r="C12" s="427"/>
      <x:c r="D12" s="428"/>
      <x:c r="E12" s="428"/>
      <x:c r="F12" s="428"/>
      <x:c r="G12" s="429"/>
      <x:c r="H12" s="430"/>
      <x:c r="I12" s="430"/>
      <x:c r="J12" s="431"/>
      <x:c r="K12" s="439" t="str">
        <x:v>PPN (C)</x:v>
      </x:c>
      <x:c r="L12" s="440" t="n">
        <x:f>SUM(S3:S9)-L10</x:f>
        <x:v>14864789.918200016</x:v>
      </x:c>
      <x:c r="M12" s="437" t="n">
        <x:f>SUM(T3:T9)-M10</x:f>
        <x:v>14859532.709399998</x:v>
      </x:c>
      <x:c r="N12" s="437" t="n">
        <x:f>SUM(U3:U9)-N10</x:f>
        <x:v>14859532.709399998</x:v>
      </x:c>
    </x:row>
    <x:row r="13" ht="29" customHeight="1">
      <x:c r="A13" s="426"/>
      <x:c r="B13" s="427"/>
      <x:c r="C13" s="427"/>
      <x:c r="D13" s="428"/>
      <x:c r="E13" s="428"/>
      <x:c r="F13" s="428"/>
      <x:c r="G13" s="429"/>
      <x:c r="H13" s="430"/>
      <x:c r="I13" s="430"/>
      <x:c r="J13" s="431"/>
      <x:c r="K13" s="439" t="str">
        <x:v>Jumlah A + C</x:v>
      </x:c>
      <x:c r="L13" s="441" t="n">
        <x:f>L10+L12</x:f>
        <x:v>149999243.67000002</x:v>
      </x:c>
      <x:c r="M13" s="437" t="n">
        <x:f>M10+M12</x:f>
        <x:v>149946193.69</x:v>
      </x:c>
      <x:c r="N13" s="437" t="n">
        <x:f>N10+N12</x:f>
        <x:v>149946193.69</x:v>
      </x:c>
    </x:row>
    <x:row r="14" ht="40" customHeight="1">
      <x:c r="A14" s="225"/>
      <x:c r="B14" s="226"/>
      <x:c r="C14" s="226"/>
      <x:c r="D14" s="227"/>
      <x:c r="E14" s="227"/>
      <x:c r="F14" s="227"/>
      <x:c r="G14" s="228"/>
      <x:c r="H14" s="229"/>
      <x:c r="I14" s="229"/>
      <x:c r="J14" s="230"/>
      <x:c r="K14" s="314" t="str">
        <x:v>Jumlah Dibulatkan</x:v>
      </x:c>
      <x:c r="L14" s="366" t="n">
        <x:f>ROUND(L13,2)</x:f>
        <x:v>149999243.67</x:v>
      </x:c>
      <x:c r="M14" s="366" t="n">
        <x:f>ROUND(M13,2)</x:f>
        <x:v>149946193.69</x:v>
      </x:c>
      <x:c r="N14" s="366" t="n">
        <x:f>ROUND(N13,2)</x:f>
        <x:v>149946193.69</x:v>
      </x:c>
    </x:row>
    <x:row r="15" ht="40" customHeight="1">
      <x:c r="A15" s="240"/>
      <x:c r="B15" s="241"/>
      <x:c r="C15" s="242"/>
      <x:c r="D15" s="243"/>
      <x:c r="E15" s="243"/>
      <x:c r="F15" s="243"/>
      <x:c r="G15" s="244"/>
      <x:c r="H15" s="243"/>
      <x:c r="I15" s="243"/>
      <x:c r="J15" s="243"/>
      <x:c r="K15" s="318"/>
      <x:c r="L15" s="368"/>
      <x:c r="M15" s="368"/>
      <x:c r="N15" s="370"/>
    </x:row>
    <x:row r="16" ht="40" customHeight="1">
      <x:c r="A16" s="240"/>
      <x:c r="B16" s="241"/>
      <x:c r="C16" s="246"/>
      <x:c r="D16" s="247"/>
      <x:c r="E16" s="247"/>
      <x:c r="F16" s="247"/>
      <x:c r="G16" s="248"/>
      <x:c r="H16" s="247"/>
      <x:c r="I16" s="247"/>
      <x:c r="J16" s="247"/>
      <x:c r="K16" s="322"/>
      <x:c r="L16" s="372"/>
      <x:c r="M16" s="372"/>
      <x:c r="N16" s="374"/>
    </x:row>
    <x:row r="17" ht="40" customHeight="1">
      <x:c r="A17" s="240"/>
      <x:c r="B17" s="241"/>
      <x:c r="C17" s="242"/>
      <x:c r="D17" s="243"/>
      <x:c r="E17" s="243"/>
      <x:c r="F17" s="243"/>
      <x:c r="G17" s="244"/>
      <x:c r="H17" s="243"/>
      <x:c r="I17" s="243"/>
      <x:c r="J17" s="243"/>
      <x:c r="K17" s="318"/>
      <x:c r="L17" s="368"/>
      <x:c r="M17" s="368"/>
      <x:c r="N17" s="370"/>
    </x:row>
    <x:row r="18" ht="40" customHeight="1">
      <x:c r="A18" s="240"/>
      <x:c r="B18" s="241"/>
      <x:c r="C18" s="246"/>
      <x:c r="D18" s="247"/>
      <x:c r="E18" s="247"/>
      <x:c r="F18" s="247"/>
      <x:c r="G18" s="248"/>
      <x:c r="H18" s="248"/>
      <x:c r="I18" s="248"/>
      <x:c r="J18" s="248"/>
      <x:c r="K18" s="322"/>
      <x:c r="L18" s="376"/>
      <x:c r="M18" s="376"/>
      <x:c r="N18" s="378"/>
    </x:row>
    <x:row r="19" ht="8.75" customHeight="1">
      <x:c r="A19" s="442"/>
      <x:c r="B19" s="443"/>
      <x:c r="C19" s="444"/>
      <x:c r="D19" s="445"/>
      <x:c r="E19" s="445"/>
      <x:c r="F19" s="445"/>
      <x:c r="G19" s="446"/>
      <x:c r="H19" s="447"/>
      <x:c r="I19" s="447"/>
      <x:c r="J19" s="447"/>
      <x:c r="K19" s="445"/>
      <x:c r="L19" s="445"/>
      <x:c r="M19" s="445"/>
      <x:c r="N19" s="448"/>
    </x:row>
    <x:row r="20" ht="30" customHeight="1">
      <x:c r="A20" s="442"/>
      <x:c r="B20" s="443"/>
      <x:c r="C20" s="449"/>
      <x:c r="D20" s="450"/>
      <x:c r="E20" s="450"/>
      <x:c r="F20" s="450"/>
      <x:c r="G20" s="451"/>
      <x:c r="H20" s="451"/>
      <x:c r="I20" s="452" t="inlineStr">
        <x:is>
          <x:t>Diajukan oleh:</x:t>
        </x:is>
      </x:c>
      <x:c r="J20" s="452"/>
      <x:c r="K20" s="453"/>
      <x:c r="L20" s="452"/>
      <x:c r="M20" s="452"/>
      <x:c r="N20" s="454"/>
    </x:row>
    <x:row r="21" ht="30" customHeight="1">
      <x:c r="A21" s="442"/>
      <x:c r="B21" s="443"/>
      <x:c r="C21" s="444"/>
      <x:c r="D21" s="445"/>
      <x:c r="E21" s="445"/>
      <x:c r="F21" s="445"/>
      <x:c r="G21" s="446"/>
      <x:c r="H21" s="445"/>
      <x:c r="I21" s="455" t="inlineStr">
        <x:is>
          <x:t>CV. IPORANNUAN UTAMA KONSTRUKSI</x:t>
        </x:is>
      </x:c>
      <x:c r="J21" s="455"/>
      <x:c r="K21" s="455"/>
      <x:c r="L21" s="455"/>
      <x:c r="M21" s="455"/>
      <x:c r="N21" s="456"/>
    </x:row>
    <x:row r="22" ht="8.75" customHeight="1">
      <x:c r="A22" s="442"/>
      <x:c r="B22" s="443"/>
      <x:c r="C22" s="449"/>
      <x:c r="D22" s="450"/>
      <x:c r="E22" s="450"/>
      <x:c r="F22" s="450"/>
      <x:c r="G22" s="451"/>
      <x:c r="H22" s="450"/>
      <x:c r="I22" s="450"/>
      <x:c r="J22" s="450"/>
      <x:c r="K22" s="450"/>
      <x:c r="L22" s="450"/>
      <x:c r="M22" s="450"/>
      <x:c r="N22" s="457"/>
    </x:row>
    <x:row r="23" ht="8.75" customHeight="1">
      <x:c r="A23" s="458"/>
      <x:c r="B23" s="443"/>
      <x:c r="C23" s="444"/>
      <x:c r="D23" s="445"/>
      <x:c r="E23" s="445"/>
      <x:c r="F23" s="445"/>
      <x:c r="G23" s="446"/>
      <x:c r="H23" s="445"/>
      <x:c r="I23" s="445"/>
      <x:c r="J23" s="445"/>
      <x:c r="K23" s="445"/>
      <x:c r="L23" s="445"/>
      <x:c r="M23" s="445"/>
      <x:c r="N23" s="448"/>
    </x:row>
    <x:row r="24" ht="8.75" customHeight="1">
      <x:c r="A24" s="458"/>
      <x:c r="B24" s="443"/>
      <x:c r="C24" s="449"/>
      <x:c r="D24" s="450"/>
      <x:c r="E24" s="450"/>
      <x:c r="F24" s="450"/>
      <x:c r="G24" s="451"/>
      <x:c r="H24" s="450"/>
      <x:c r="I24" s="450"/>
      <x:c r="J24" s="450"/>
      <x:c r="K24" s="450"/>
      <x:c r="L24" s="450"/>
      <x:c r="M24" s="450"/>
      <x:c r="N24" s="457"/>
    </x:row>
    <x:row r="25" ht="30" customHeight="1">
      <x:c r="A25" s="442"/>
      <x:c r="B25" s="443"/>
      <x:c r="C25" s="444"/>
      <x:c r="D25" s="445"/>
      <x:c r="E25" s="445"/>
      <x:c r="F25" s="445"/>
      <x:c r="G25" s="446"/>
      <x:c r="H25" s="445"/>
      <x:c r="I25" s="459" t="inlineStr">
        <x:is>
          <x:t>D I L M A N</x:t>
        </x:is>
      </x:c>
      <x:c r="J25" s="459"/>
      <x:c r="K25" s="459"/>
      <x:c r="L25" s="460"/>
      <x:c r="M25" s="460"/>
      <x:c r="N25" s="461"/>
    </x:row>
    <x:row r="26" ht="30" customHeight="1">
      <x:c r="A26" s="442"/>
      <x:c r="B26" s="443"/>
      <x:c r="C26" s="449"/>
      <x:c r="D26" s="450"/>
      <x:c r="E26" s="450"/>
      <x:c r="F26" s="450"/>
      <x:c r="G26" s="451"/>
      <x:c r="H26" s="450"/>
      <x:c r="I26" s="453" t="inlineStr">
        <x:is>
          <x:t>Direktur</x:t>
        </x:is>
      </x:c>
      <x:c r="J26" s="453"/>
      <x:c r="K26" s="453"/>
      <x:c r="L26" s="453"/>
      <x:c r="M26" s="453"/>
      <x:c r="N26" s="462"/>
    </x:row>
    <x:row r="27" ht="8.75" customHeight="1">
      <x:c r="A27" s="463"/>
      <x:c r="B27" s="464"/>
      <x:c r="C27" s="465"/>
      <x:c r="D27" s="466"/>
      <x:c r="E27" s="466"/>
      <x:c r="F27" s="466"/>
      <x:c r="G27" s="467"/>
      <x:c r="H27" s="466"/>
      <x:c r="I27" s="466"/>
      <x:c r="J27" s="466"/>
      <x:c r="K27" s="466"/>
      <x:c r="L27" s="467"/>
      <x:c r="M27" s="467"/>
      <x:c r="N27" s="468"/>
    </x:row>
    <x:row r="28" ht="20.850000381469727" customHeight="1">
      <x:c r="A28" s="469"/>
      <x:c r="B28" s="470"/>
      <x:c r="C28" s="470"/>
      <x:c r="D28" s="471"/>
      <x:c r="E28" s="471"/>
      <x:c r="F28" s="471"/>
      <x:c r="G28" s="472"/>
      <x:c r="H28" s="472"/>
      <x:c r="I28" s="470"/>
      <x:c r="J28" s="473"/>
      <x:c r="K28" s="474"/>
      <x:c r="L28" s="475" cm="1"/>
      <x:c r="M28" s="475" cm="1"/>
      <x:c r="N28" s="475" cm="1"/>
    </x:row>
    <x:row r="29" ht="21" customHeight="1">
      <x:c r="A29" s="476"/>
      <x:c r="B29" s="477"/>
      <x:c r="C29" s="478"/>
      <x:c r="D29" s="476" cm="1"/>
      <x:c r="E29" s="479" cm="1"/>
      <x:c r="F29" s="479" cm="1"/>
      <x:c r="G29" s="480"/>
      <x:c r="H29" s="481"/>
      <x:c r="I29" s="482"/>
      <x:c r="J29" s="483"/>
      <x:c r="K29" s="483" cm="1"/>
      <x:c r="L29" s="482" cm="1"/>
      <x:c r="M29" s="484" cm="1"/>
      <x:c r="N29" s="484" cm="1"/>
    </x:row>
    <x:row r="30" ht="33" customHeight="1">
      <x:c r="A30" s="485"/>
      <x:c r="B30" s="486"/>
      <x:c r="C30" s="486"/>
      <x:c r="D30" s="487"/>
      <x:c r="E30" s="487"/>
      <x:c r="F30" s="487"/>
      <x:c r="G30" s="488"/>
      <x:c r="H30" s="488"/>
      <x:c r="I30" s="489"/>
      <x:c r="J30" s="490"/>
      <x:c r="K30" s="490" cm="1"/>
      <x:c r="L30" s="489" cm="1"/>
      <x:c r="M30" s="484" cm="1"/>
      <x:c r="N30" s="484" cm="1"/>
    </x:row>
    <x:row r="31" ht="21" customHeight="1">
      <x:c r="A31" s="485"/>
      <x:c r="B31" s="486"/>
      <x:c r="C31" s="486"/>
      <x:c r="D31" s="486"/>
      <x:c r="E31" s="491"/>
      <x:c r="F31" s="491"/>
      <x:c r="G31" s="488"/>
      <x:c r="H31" s="488"/>
      <x:c r="I31" s="486"/>
      <x:c r="J31" s="490"/>
      <x:c r="K31" s="492"/>
      <x:c r="L31" s="493" cm="1"/>
      <x:c r="M31" s="484" cm="1"/>
      <x:c r="N31" s="484" cm="1"/>
    </x:row>
    <x:row r="32" ht="20.5" customHeight="1">
      <x:c r="A32" s="485"/>
      <x:c r="B32" s="486"/>
      <x:c r="C32" s="486"/>
      <x:c r="D32" s="488"/>
      <x:c r="E32" s="488"/>
      <x:c r="F32" s="491"/>
      <x:c r="G32" s="488"/>
      <x:c r="H32" s="488"/>
      <x:c r="I32" s="486"/>
      <x:c r="J32" s="490"/>
      <x:c r="K32" s="492"/>
      <x:c r="L32" s="482" cm="1"/>
      <x:c r="M32" s="482" cm="1"/>
      <x:c r="N32" s="482" cm="1"/>
    </x:row>
  </x:sheetData>
  <x:mergeCells count="18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B8:N8"/>
    <x:mergeCell ref="B9:C9"/>
    <x:mergeCell ref="I20:N20"/>
    <x:mergeCell ref="I21:N21"/>
    <x:mergeCell ref="I25:N25"/>
    <x:mergeCell ref="I26:N26"/>
  </x:mergeCells>
  <x:pageMargins left="0.7" right="0.7" top="0.75" bottom="0.75" header="0.3" footer="0.3"/>
</x:worksheet>
</file>