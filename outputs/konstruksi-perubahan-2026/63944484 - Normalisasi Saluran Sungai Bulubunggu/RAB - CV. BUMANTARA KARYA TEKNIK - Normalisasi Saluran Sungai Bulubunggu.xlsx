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2b6597de0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501c288c92f34a7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<x:sst xmlns:x="http://schemas.openxmlformats.org/spreadsheetml/2006/main">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</x:sst>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Arial"/>
    </x:font>
    <x:font>
      <x:b/>
      <x:sz val="11"/>
      <x:color rgb="FFFFFFFF"/>
      <x:name val="Arial"/>
    </x:font>
    <x:font>
      <x:b/>
      <x:sz val="11"/>
      <x:color rgb="FF234E70"/>
      <x:name val="Arial"/>
    </x:font>
    <x:font>
      <x:b/>
      <x:sz val="12"/>
      <x:color rgb="FF234E7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AF2F8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234E70"/>
      </x:bottom>
      <x:diagonal/>
    </x:border>
    <x:border>
      <x:left/>
      <x:right/>
      <x:top/>
      <x:bottom style="double">
        <x:color rgb="FF234E70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486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3" fontId="7" borderId="24" applyNumberFormat="1" applyFont="1" applyFill="1" applyBorder="1" applyAlignment="1" applyProtection="0" xfId="0" fillId="4">
      <x:alignment vertical="top" wrapText="1"/>
    </x:xf>
    <x:xf numFmtId="3" fontId="7" borderId="24" applyNumberFormat="1" applyFont="1" applyFill="1" applyBorder="1" applyAlignment="1" applyProtection="0" xfId="0" fillId="4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6" borderId="24" applyNumberFormat="1" applyFont="1" applyFill="1" applyBorder="1" applyAlignment="1" applyProtection="0" xfId="0" fillId="4">
      <x:alignment vertical="top" wrapText="1"/>
    </x:xf>
    <x:xf numFmtId="4" fontId="6" borderId="24" applyNumberFormat="1" applyFont="1" applyFill="1" applyBorder="1" applyAlignment="1" applyProtection="0" xfId="0" fillId="4">
      <x:alignment vertical="center" wrapText="1" horizontal="center"/>
    </x:xf>
    <x:xf numFmtId="4" fontId="6" borderId="24" applyNumberFormat="1" applyFont="1" applyFill="1" applyBorder="1" applyAlignment="1" applyProtection="0" xfId="0" fillId="4">
      <x:alignment vertical="top" wrapText="1"/>
    </x:xf>
    <x:xf numFmtId="4" fontId="6" borderId="24" applyNumberFormat="1" applyFont="1" applyFill="1" applyBorder="1" applyAlignment="1" applyProtection="0" xfId="0" fillId="4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3" fontId="4" borderId="0" applyNumberFormat="1" applyFont="1" applyFill="1" applyBorder="1" applyAlignment="1" applyProtection="0" xfId="0" fillId="4">
      <x:alignment vertical="top" wrapText="1"/>
    </x:xf>
    <x:xf numFmtId="3" fontId="7" borderId="0" applyNumberFormat="1" applyFont="1" applyFill="1" applyBorder="1" applyAlignment="1" applyProtection="0" xfId="0" fillId="4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1" applyFont="1" applyFill="1" applyBorder="1" applyAlignment="1" applyProtection="0" xfId="0" fillId="4">
      <x:alignment horizontal="center" vertical="top" wrapText="1"/>
    </x:xf>
    <x:xf numFmtId="4" fontId="6" borderId="0" applyNumberFormat="1" applyFont="1" applyFill="1" applyBorder="1" applyAlignment="1" applyProtection="0" xfId="0" fillId="4">
      <x:alignment vertical="center" wrapText="1" horizontal="center"/>
    </x:xf>
    <x:xf numFmtId="4" fontId="6" borderId="0" applyNumberFormat="1" applyFont="1" applyFill="1" applyBorder="1" applyAlignment="1" applyProtection="0" xfId="0" fillId="4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3" fontId="4" borderId="0" applyNumberFormat="1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ce5988dc345f5" /><Relationship Type="http://schemas.openxmlformats.org/officeDocument/2006/relationships/theme" Target="/xl/theme/theme1.xml" Id="Rb086577fe7bb4fd9" /><Relationship Type="http://schemas.openxmlformats.org/officeDocument/2006/relationships/sheetMetadata" Target="/xl/metadata1.xml" Id="R5679c458c4674f3e" /><Relationship Type="http://schemas.openxmlformats.org/officeDocument/2006/relationships/sharedStrings" Target="/xl/sharedStrings.xml" Id="Rbc55e5a65643404d" /><Relationship Type="http://schemas.openxmlformats.org/officeDocument/2006/relationships/worksheet" Target="/xl/worksheets/sheet1.xml" Id="R501c288c92f34a7e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54" t="inlineStr">
        <x:is>
          <x:t>No.</x:t>
        </x:is>
      </x:c>
      <x:c r="B1" s="254" t="inlineStr">
        <x:is>
          <x:t>Uraian Pekerjaan</x:t>
        </x:is>
      </x:c>
      <x:c r="C1" s="256"/>
      <x:c r="D1" s="254" t="inlineStr">
        <x:is>
          <x:t>Kuantitas</x:t>
        </x:is>
      </x:c>
      <x:c r="E1" s="256"/>
      <x:c r="F1" s="256"/>
      <x:c r="G1" s="254" t="inlineStr">
        <x:is>
          <x:t>Satuan</x:t>
        </x:is>
      </x:c>
      <x:c r="H1" s="254" t="inlineStr">
        <x:is>
          <x:t>Harga Satuan</x:t>
        </x:is>
      </x:c>
      <x:c r="I1" s="256"/>
      <x:c r="J1" s="256"/>
      <x:c r="K1" s="254" t="inlineStr">
        <x:is>
          <x:t>PAJAK</x:t>
        </x:is>
      </x:c>
      <x:c r="L1" s="254" t="inlineStr">
        <x:is>
          <x:t>JUMLAH</x:t>
        </x:is>
      </x:c>
      <x:c r="M1" s="256"/>
      <x:c r="N1" s="256"/>
      <x:c r="P1" t="str" s="134">
        <x:v>Nomor RUP</x:v>
      </x:c>
      <x:c r="Q1" t="str" s="134">
        <x:v>63944484</x:v>
      </x:c>
    </x:row>
    <x:row r="2" ht="32" customHeight="1">
      <x:c r="A2" s="258"/>
      <x:c r="B2" s="258"/>
      <x:c r="C2" s="258"/>
      <x:c r="D2" s="260" t="inlineStr">
        <x:is>
          <x:t>HPS</x:t>
        </x:is>
      </x:c>
      <x:c r="E2" s="260" t="inlineStr">
        <x:is>
          <x:t>Penawaran</x:t>
        </x:is>
      </x:c>
      <x:c r="F2" s="260" t="inlineStr">
        <x:is>
          <x:t>Negoisasi</x:t>
        </x:is>
      </x:c>
      <x:c r="G2" s="258"/>
      <x:c r="H2" s="260" t="inlineStr">
        <x:is>
          <x:t>HPS</x:t>
        </x:is>
      </x:c>
      <x:c r="I2" s="260" t="inlineStr">
        <x:is>
          <x:t>Penawaran</x:t>
        </x:is>
      </x:c>
      <x:c r="J2" s="260" t="inlineStr">
        <x:is>
          <x:t>Negoisasi</x:t>
        </x:is>
      </x:c>
      <x:c r="K2" s="258"/>
      <x:c r="L2" s="260" t="inlineStr">
        <x:is>
          <x:t>HPS</x:t>
        </x:is>
      </x:c>
      <x:c r="M2" s="260" t="inlineStr">
        <x:is>
          <x:t>Penawaran</x:t>
        </x:is>
      </x:c>
      <x:c r="N2" s="260" t="inlineStr">
        <x:is>
          <x:t>Negoisasi</x:t>
        </x:is>
      </x:c>
      <x:c r="P2" t="str" s="134">
        <x:v>Nama Paket</x:v>
      </x:c>
      <x:c r="Q2" s="137" t="str">
        <x:v>Normalisasi Saluran Sungai Bulubunggu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86"/>
      <x:c r="B3" s="387" t="str">
        <x:v>DIVISI 1. UMUM</x:v>
      </x:c>
      <x:c r="C3" s="388"/>
      <x:c r="D3" s="389"/>
      <x:c r="E3" s="389"/>
      <x:c r="F3" s="389"/>
      <x:c r="G3" s="390"/>
      <x:c r="H3" s="391"/>
      <x:c r="I3" s="391"/>
      <x:c r="J3" s="391"/>
      <x:c r="K3" s="391"/>
      <x:c r="L3" s="392" cm="1"/>
      <x:c r="M3" s="392" cm="1"/>
      <x:c r="N3" s="393" cm="1"/>
      <x:c r="P3" t="str" s="394">
        <x:v>Perusahaan</x:v>
      </x:c>
      <x:c r="Q3" s="395" t="str">
        <x:v>CV. BUMANTARA KARYA TEKNIK</x:v>
      </x:c>
      <x:c r="S3" s="396"/>
      <x:c r="T3" s="396"/>
      <x:c r="U3" s="396"/>
    </x:row>
    <x:row r="4" ht="23" customHeight="1">
      <x:c r="A4" s="397" t="str">
        <x:v>1.2</x:v>
      </x:c>
      <x:c r="B4" s="398" t="str">
        <x:v>Mobilisasi</x:v>
      </x:c>
      <x:c r="C4" s="399"/>
      <x:c r="D4" s="400" t="n">
        <x:v>1</x:v>
      </x:c>
      <x:c r="E4" s="400" t="n" cm="1">
        <x:f>D4</x:f>
        <x:v>1</x:v>
      </x:c>
      <x:c r="F4" s="400" t="n" cm="1">
        <x:f>D4</x:f>
        <x:v>1</x:v>
      </x:c>
      <x:c r="G4" s="401" t="str">
        <x:v>Ls</x:v>
      </x:c>
      <x:c r="H4" s="402" t="n">
        <x:v>5420000</x:v>
      </x:c>
      <x:c r="I4" s="402" t="n">
        <x:v>5419000</x:v>
      </x:c>
      <x:c r="J4" s="402" t="n">
        <x:f>I4</x:f>
        <x:v>5419000</x:v>
      </x:c>
      <x:c r="K4" s="402" t="n">
        <x:v>11</x:v>
      </x:c>
      <x:c r="L4" s="403" t="n" cm="1">
        <x:f>D4*H4</x:f>
        <x:v>5420000</x:v>
      </x:c>
      <x:c r="M4" s="403" t="n" cm="1">
        <x:f>E4*I4</x:f>
        <x:v>5419000</x:v>
      </x:c>
      <x:c r="N4" s="404" t="n" cm="1">
        <x:f>F4*J4</x:f>
        <x:v>5419000</x:v>
      </x:c>
      <x:c r="P4" t="str" s="394">
        <x:v>Pagu Anggaran</x:v>
      </x:c>
      <x:c r="Q4" s="396" t="n">
        <x:v>400000000</x:v>
      </x:c>
      <x:c r="S4" s="396" t="n">
        <x:f>ROUND(L4*(1+K4/100),2)</x:f>
        <x:v>6016200</x:v>
      </x:c>
      <x:c r="T4" s="396" t="n">
        <x:f>ROUND(M4*(1+K4/100),2)</x:f>
        <x:v>6015090</x:v>
      </x:c>
      <x:c r="U4" s="396" t="n">
        <x:f>ROUND(N4*(1+K4/100),2)</x:f>
        <x:v>6015090</x:v>
      </x:c>
    </x:row>
    <x:row r="5" ht="23" customHeight="1">
      <x:c r="A5" s="405" t="str">
        <x:v>1.19</x:v>
      </x:c>
      <x:c r="B5" s="406" t="str">
        <x:v>Keselamatan dan Kesehatan Kerja</x:v>
      </x:c>
      <x:c r="C5" s="407"/>
      <x:c r="D5" s="408" t="n">
        <x:v>1</x:v>
      </x:c>
      <x:c r="E5" s="408" t="n" cm="1">
        <x:f>D5</x:f>
        <x:v>1</x:v>
      </x:c>
      <x:c r="F5" s="408" t="n" cm="1">
        <x:f>D5</x:f>
        <x:v>1</x:v>
      </x:c>
      <x:c r="G5" s="409" t="str">
        <x:v>Ls</x:v>
      </x:c>
      <x:c r="H5" s="410" t="n">
        <x:v>529500</x:v>
      </x:c>
      <x:c r="I5" s="410" t="n">
        <x:v>529500</x:v>
      </x:c>
      <x:c r="J5" s="410" t="n">
        <x:f>I5</x:f>
        <x:v>529500</x:v>
      </x:c>
      <x:c r="K5" s="410" t="n">
        <x:v>11</x:v>
      </x:c>
      <x:c r="L5" s="411" t="n" cm="1">
        <x:f>D5*H5</x:f>
        <x:v>529500</x:v>
      </x:c>
      <x:c r="M5" s="411" t="n" cm="1">
        <x:f>E5*I5</x:f>
        <x:v>529500</x:v>
      </x:c>
      <x:c r="N5" s="412" t="n" cm="1">
        <x:f>F5*J5</x:f>
        <x:v>529500</x:v>
      </x:c>
      <x:c r="P5" t="str" s="394">
        <x:v>HPS sesuai rekap</x:v>
      </x:c>
      <x:c r="Q5" s="396" t="n">
        <x:v>399999400</x:v>
      </x:c>
      <x:c r="S5" s="396" t="n">
        <x:f>ROUND(L5*(1+K5/100),2)</x:f>
        <x:v>587745</x:v>
      </x:c>
      <x:c r="T5" s="396" t="n">
        <x:f>ROUND(M5*(1+K5/100),2)</x:f>
        <x:v>587745</x:v>
      </x:c>
      <x:c r="U5" s="396" t="n">
        <x:f>ROUND(N5*(1+K5/100),2)</x:f>
        <x:v>587745</x:v>
      </x:c>
    </x:row>
    <x:row r="6" ht="22" customHeight="1">
      <x:c r="A6" s="386"/>
      <x:c r="B6" s="387" t="str">
        <x:v>DIVISI 3. PEKERJAAN TANAH DAN GEOSINTETIK</x:v>
      </x:c>
      <x:c r="C6" s="388"/>
      <x:c r="D6" s="389"/>
      <x:c r="E6" s="389"/>
      <x:c r="F6" s="389"/>
      <x:c r="G6" s="390"/>
      <x:c r="H6" s="391"/>
      <x:c r="I6" s="391"/>
      <x:c r="J6" s="391"/>
      <x:c r="K6" s="391"/>
      <x:c r="L6" s="392" cm="1"/>
      <x:c r="M6" s="392" cm="1"/>
      <x:c r="N6" s="393" cm="1"/>
      <x:c r="P6" t="str" s="394">
        <x:v>Penawaran sesuai rekap</x:v>
      </x:c>
      <x:c r="Q6" s="396" t="n">
        <x:v>399863400</x:v>
      </x:c>
      <x:c r="S6" s="396"/>
      <x:c r="T6" s="396"/>
      <x:c r="U6" s="396"/>
    </x:row>
    <x:row r="7" ht="23" customHeight="1">
      <x:c r="A7" s="405" t="str">
        <x:v>3.1.(1)</x:v>
      </x:c>
      <x:c r="B7" s="406" t="str">
        <x:v>Galian Biasa/Perapihan</x:v>
      </x:c>
      <x:c r="C7" s="407"/>
      <x:c r="D7" s="408" t="n">
        <x:v>14331.5</x:v>
      </x:c>
      <x:c r="E7" s="408" t="n" cm="1">
        <x:f>D7</x:f>
        <x:v>14331.5</x:v>
      </x:c>
      <x:c r="F7" s="408" t="n" cm="1">
        <x:f>D7</x:f>
        <x:v>14331.5</x:v>
      </x:c>
      <x:c r="G7" s="409" t="str">
        <x:v>M3</x:v>
      </x:c>
      <x:c r="H7" s="410" t="n">
        <x:v>24729.47</x:v>
      </x:c>
      <x:c r="I7" s="410" t="n">
        <x:v>24720.99</x:v>
      </x:c>
      <x:c r="J7" s="410" t="n">
        <x:f>I7</x:f>
        <x:v>24720.99</x:v>
      </x:c>
      <x:c r="K7" s="410" t="n">
        <x:v>11</x:v>
      </x:c>
      <x:c r="L7" s="411" t="n" cm="1">
        <x:f>D7*H7</x:f>
        <x:v>354410399.305</x:v>
      </x:c>
      <x:c r="M7" s="411" t="n" cm="1">
        <x:f>E7*I7</x:f>
        <x:v>354288868.185</x:v>
      </x:c>
      <x:c r="N7" s="412" t="n" cm="1">
        <x:f>F7*J7</x:f>
        <x:v>354288868.185</x:v>
      </x:c>
      <x:c r="S7" s="396" t="n">
        <x:f>ROUND(L7*(1+K7/100),2)</x:f>
        <x:v>393395543.23</x:v>
      </x:c>
      <x:c r="T7" s="396" t="n">
        <x:f>ROUND(M7*(1+K7/100),2)</x:f>
        <x:v>393260643.69</x:v>
      </x:c>
      <x:c r="U7" s="396" t="n">
        <x:f>ROUND(N7*(1+K7/100),2)</x:f>
        <x:v>393260643.69</x:v>
      </x:c>
    </x:row>
    <x:row r="8" ht="29" customHeight="1">
      <x:c r="A8" s="413"/>
      <x:c r="B8" s="414"/>
      <x:c r="C8" s="414"/>
      <x:c r="D8" s="415"/>
      <x:c r="E8" s="415"/>
      <x:c r="F8" s="415"/>
      <x:c r="G8" s="416"/>
      <x:c r="H8" s="417"/>
      <x:c r="I8" s="417"/>
      <x:c r="J8" s="418"/>
      <x:c r="K8" s="419" t="str">
        <x:v>Jumlah Total (A)</x:v>
      </x:c>
      <x:c r="L8" s="420" t="n" cm="1">
        <x:f>SUM(L3:L7)</x:f>
        <x:v>360359899.305</x:v>
      </x:c>
      <x:c r="M8" s="420" t="n" cm="1">
        <x:f>SUM(M3:M7)</x:f>
        <x:v>360237368.185</x:v>
      </x:c>
      <x:c r="N8" s="420" t="n" cm="1">
        <x:f>SUM(N3:N7)</x:f>
        <x:v>360237368.185</x:v>
      </x:c>
      <x:c r="P8" t="str" s="394">
        <x:v>Sumber HPS</x:v>
      </x:c>
      <x:c r="Q8" t="str" s="394">
        <x:v>HPS - Normalisasi Saluran Sungai Bulubunggu.xlsm</x:v>
      </x:c>
    </x:row>
    <x:row r="9" ht="29" customHeight="1">
      <x:c r="A9" s="421"/>
      <x:c r="B9" s="414"/>
      <x:c r="C9" s="414"/>
      <x:c r="D9" s="415"/>
      <x:c r="E9" s="415" cm="1"/>
      <x:c r="F9" s="415" cm="1"/>
      <x:c r="G9" s="416"/>
      <x:c r="H9" s="417"/>
      <x:c r="I9" s="417"/>
      <x:c r="J9" s="418"/>
      <x:c r="K9" s="422" t="str">
        <x:v>Jumlah Terkena Pajak (B)</x:v>
      </x:c>
      <x:c r="L9" s="423" t="n" cm="1">
        <x:f>SUMIF($K3:$K7,"&gt;0",L3:L7)</x:f>
        <x:v>360359899.305</x:v>
      </x:c>
      <x:c r="M9" s="424" t="n" cm="1">
        <x:f>SUMIF($K3:$K7,"&gt;0",M3:M7)</x:f>
        <x:v>360237368.185</x:v>
      </x:c>
      <x:c r="N9" s="424" t="n" cm="1">
        <x:f>SUMIF($K3:$K7,"&gt;0",N3:N7)</x:f>
        <x:v>360237368.185</x:v>
      </x:c>
      <x:c r="P9" t="str" s="394">
        <x:v>Sumber penawaran</x:v>
      </x:c>
      <x:c r="Q9" t="str" s="394">
        <x:v>Penawaran - CV. BUMANTARA KARYA TEKNIK - Normalisasi Saluran Sungai Bulubunggu.xlsm</x:v>
      </x:c>
    </x:row>
    <x:row r="10" ht="29" customHeight="1">
      <x:c r="A10" s="413"/>
      <x:c r="B10" s="414"/>
      <x:c r="C10" s="414"/>
      <x:c r="D10" s="415"/>
      <x:c r="E10" s="415"/>
      <x:c r="F10" s="415"/>
      <x:c r="G10" s="416"/>
      <x:c r="H10" s="417"/>
      <x:c r="I10" s="417"/>
      <x:c r="J10" s="418"/>
      <x:c r="K10" s="425" t="str">
        <x:v>PPN (C)</x:v>
      </x:c>
      <x:c r="L10" s="426" t="n">
        <x:f>SUM(S3:S7)-L8</x:f>
        <x:v>39639588.92500001</x:v>
      </x:c>
      <x:c r="M10" s="424" t="n">
        <x:f>SUM(T3:T7)-M8</x:f>
        <x:v>39626110.504999995</x:v>
      </x:c>
      <x:c r="N10" s="424" t="n">
        <x:f>SUM(U3:U7)-N8</x:f>
        <x:v>39626110.504999995</x:v>
      </x:c>
      <x:c r="P10" t="str" s="394">
        <x:v>Format RAB</x:v>
      </x:c>
      <x:c r="Q10" t="str" s="394">
        <x:v>sample rab konstruksi.xlsx</x:v>
      </x:c>
    </x:row>
    <x:row r="11" ht="32" customHeight="1">
      <x:c r="A11" s="413"/>
      <x:c r="B11" s="414"/>
      <x:c r="C11" s="414"/>
      <x:c r="D11" s="415"/>
      <x:c r="E11" s="415"/>
      <x:c r="F11" s="415"/>
      <x:c r="G11" s="416"/>
      <x:c r="H11" s="417"/>
      <x:c r="I11" s="417"/>
      <x:c r="J11" s="418"/>
      <x:c r="K11" s="425" t="str">
        <x:v>Jumlah A + C</x:v>
      </x:c>
      <x:c r="L11" s="427" t="n">
        <x:f>L8+L10</x:f>
        <x:v>399999488.23</x:v>
      </x:c>
      <x:c r="M11" s="424" t="n">
        <x:f>M8+M10</x:f>
        <x:v>399863478.69</x:v>
      </x:c>
      <x:c r="N11" s="424" t="n">
        <x:f>N8+N10</x:f>
        <x:v>399863478.69</x:v>
      </x:c>
      <x:c r="P11" t="inlineStr" s="428">
        <x:is>
          <x:t>Direktur</x:t>
        </x:is>
      </x:c>
      <x:c r="Q11" t="inlineStr" s="428">
        <x:is>
          <x:t>FADHEL ARJUL FAUDZAN</x:t>
        </x:is>
      </x:c>
    </x:row>
    <x:row r="12" ht="40" customHeight="1">
      <x:c r="A12" s="225"/>
      <x:c r="B12" s="226"/>
      <x:c r="C12" s="226"/>
      <x:c r="D12" s="227"/>
      <x:c r="E12" s="227"/>
      <x:c r="F12" s="227"/>
      <x:c r="G12" s="228"/>
      <x:c r="H12" s="229"/>
      <x:c r="I12" s="229"/>
      <x:c r="J12" s="230"/>
      <x:c r="K12" s="313" t="str">
        <x:v>Jumlah Dibulatkan</x:v>
      </x:c>
      <x:c r="L12" s="357" t="n">
        <x:f>ROUND(L11,2)</x:f>
        <x:v>399999488.23</x:v>
      </x:c>
      <x:c r="M12" s="357" t="n">
        <x:f>ROUND(M11,2)</x:f>
        <x:v>399863478.69</x:v>
      </x:c>
      <x:c r="N12" s="357" t="n">
        <x:f>ROUND(N11,2)</x:f>
        <x:v>399863478.69</x:v>
      </x:c>
    </x:row>
    <x:row r="13" ht="40" customHeight="1">
      <x:c r="A13" s="240"/>
      <x:c r="B13" s="241"/>
      <x:c r="C13" s="242"/>
      <x:c r="D13" s="243"/>
      <x:c r="E13" s="243"/>
      <x:c r="F13" s="243"/>
      <x:c r="G13" s="244"/>
      <x:c r="H13" s="243"/>
      <x:c r="I13" s="243"/>
      <x:c r="J13" s="243"/>
      <x:c r="K13" s="317"/>
      <x:c r="L13" s="359"/>
      <x:c r="M13" s="359"/>
      <x:c r="N13" s="361"/>
    </x:row>
    <x:row r="14" ht="40" customHeight="1">
      <x:c r="A14" s="240"/>
      <x:c r="B14" s="241"/>
      <x:c r="C14" s="246"/>
      <x:c r="D14" s="247"/>
      <x:c r="E14" s="247"/>
      <x:c r="F14" s="247"/>
      <x:c r="G14" s="248"/>
      <x:c r="H14" s="247"/>
      <x:c r="I14" s="247"/>
      <x:c r="J14" s="247"/>
      <x:c r="K14" s="321"/>
      <x:c r="L14" s="363"/>
      <x:c r="M14" s="363"/>
      <x:c r="N14" s="365"/>
    </x:row>
    <x:row r="15" ht="40" customHeight="1">
      <x:c r="A15" s="240"/>
      <x:c r="B15" s="241"/>
      <x:c r="C15" s="242"/>
      <x:c r="D15" s="243"/>
      <x:c r="E15" s="243"/>
      <x:c r="F15" s="243"/>
      <x:c r="G15" s="244"/>
      <x:c r="H15" s="243"/>
      <x:c r="I15" s="243"/>
      <x:c r="J15" s="243"/>
      <x:c r="K15" s="317"/>
      <x:c r="L15" s="359"/>
      <x:c r="M15" s="359"/>
      <x:c r="N15" s="361"/>
    </x:row>
    <x:row r="16" ht="40" customHeight="1">
      <x:c r="A16" s="240"/>
      <x:c r="B16" s="241"/>
      <x:c r="C16" s="246"/>
      <x:c r="D16" s="247"/>
      <x:c r="E16" s="247"/>
      <x:c r="F16" s="247"/>
      <x:c r="G16" s="248"/>
      <x:c r="H16" s="247"/>
      <x:c r="I16" s="247"/>
      <x:c r="J16" s="247"/>
      <x:c r="K16" s="321"/>
      <x:c r="L16" s="363"/>
      <x:c r="M16" s="363"/>
      <x:c r="N16" s="365"/>
    </x:row>
    <x:row r="17" ht="8.75" customHeight="1">
      <x:c r="A17" s="429"/>
      <x:c r="B17" s="430"/>
      <x:c r="C17" s="431"/>
      <x:c r="D17" s="432"/>
      <x:c r="E17" s="432"/>
      <x:c r="F17" s="432"/>
      <x:c r="G17" s="433"/>
      <x:c r="H17" s="432"/>
      <x:c r="I17" s="432"/>
      <x:c r="J17" s="432"/>
      <x:c r="K17" s="432"/>
      <x:c r="L17" s="432"/>
      <x:c r="M17" s="432"/>
      <x:c r="N17" s="434"/>
    </x:row>
    <x:row r="18" ht="30" customHeight="1">
      <x:c r="A18" s="429"/>
      <x:c r="B18" s="430"/>
      <x:c r="C18" s="435"/>
      <x:c r="D18" s="436"/>
      <x:c r="E18" s="436"/>
      <x:c r="F18" s="436"/>
      <x:c r="G18" s="437"/>
      <x:c r="H18" s="437"/>
      <x:c r="I18" s="438" t="inlineStr">
        <x:is>
          <x:t>Diajukan oleh:</x:t>
        </x:is>
      </x:c>
      <x:c r="J18" s="438"/>
      <x:c r="K18" s="439"/>
      <x:c r="L18" s="438"/>
      <x:c r="M18" s="438"/>
      <x:c r="N18" s="440"/>
    </x:row>
    <x:row r="19" ht="30" customHeight="1">
      <x:c r="A19" s="429"/>
      <x:c r="B19" s="430"/>
      <x:c r="C19" s="431"/>
      <x:c r="D19" s="432"/>
      <x:c r="E19" s="432"/>
      <x:c r="F19" s="432"/>
      <x:c r="G19" s="433"/>
      <x:c r="H19" s="441"/>
      <x:c r="I19" s="442" t="inlineStr">
        <x:is>
          <x:t>CV. BUMANTARA KARYA TEKNIK</x:t>
        </x:is>
      </x:c>
      <x:c r="J19" s="442"/>
      <x:c r="K19" s="443"/>
      <x:c r="L19" s="443"/>
      <x:c r="M19" s="443"/>
      <x:c r="N19" s="444"/>
    </x:row>
    <x:row r="20" ht="8.75" customHeight="1">
      <x:c r="A20" s="429"/>
      <x:c r="B20" s="430"/>
      <x:c r="C20" s="435"/>
      <x:c r="D20" s="436"/>
      <x:c r="E20" s="436"/>
      <x:c r="F20" s="436"/>
      <x:c r="G20" s="437"/>
      <x:c r="H20" s="437"/>
      <x:c r="I20" s="437"/>
      <x:c r="J20" s="437"/>
      <x:c r="K20" s="436"/>
      <x:c r="L20" s="437"/>
      <x:c r="M20" s="437"/>
      <x:c r="N20" s="445"/>
    </x:row>
    <x:row r="21" ht="8.75" customHeight="1">
      <x:c r="A21" s="429"/>
      <x:c r="B21" s="430"/>
      <x:c r="C21" s="431"/>
      <x:c r="D21" s="432"/>
      <x:c r="E21" s="432"/>
      <x:c r="F21" s="432"/>
      <x:c r="G21" s="433"/>
      <x:c r="H21" s="432"/>
      <x:c r="I21" s="432"/>
      <x:c r="J21" s="432"/>
      <x:c r="K21" s="432"/>
      <x:c r="L21" s="432"/>
      <x:c r="M21" s="432"/>
      <x:c r="N21" s="434"/>
    </x:row>
    <x:row r="22" ht="8.75" customHeight="1">
      <x:c r="A22" s="429"/>
      <x:c r="B22" s="430"/>
      <x:c r="C22" s="435"/>
      <x:c r="D22" s="436"/>
      <x:c r="E22" s="436"/>
      <x:c r="F22" s="436"/>
      <x:c r="G22" s="437"/>
      <x:c r="H22" s="436"/>
      <x:c r="I22" s="436"/>
      <x:c r="J22" s="436"/>
      <x:c r="K22" s="436"/>
      <x:c r="L22" s="436"/>
      <x:c r="M22" s="436"/>
      <x:c r="N22" s="446"/>
    </x:row>
    <x:row r="23" ht="30" customHeight="1">
      <x:c r="A23" s="447"/>
      <x:c r="B23" s="430"/>
      <x:c r="C23" s="431"/>
      <x:c r="D23" s="432"/>
      <x:c r="E23" s="432"/>
      <x:c r="F23" s="432"/>
      <x:c r="G23" s="433"/>
      <x:c r="H23" s="432"/>
      <x:c r="I23" s="448" t="inlineStr">
        <x:is>
          <x:t>FADHEL ARJUL FAUDZAN</x:t>
        </x:is>
      </x:c>
      <x:c r="J23" s="448"/>
      <x:c r="K23" s="448"/>
      <x:c r="L23" s="448"/>
      <x:c r="M23" s="448"/>
      <x:c r="N23" s="449"/>
    </x:row>
    <x:row r="24" ht="30" customHeight="1">
      <x:c r="A24" s="447"/>
      <x:c r="B24" s="430"/>
      <x:c r="C24" s="435"/>
      <x:c r="D24" s="436"/>
      <x:c r="E24" s="436"/>
      <x:c r="F24" s="436"/>
      <x:c r="G24" s="437"/>
      <x:c r="H24" s="436"/>
      <x:c r="I24" s="439" t="inlineStr">
        <x:is>
          <x:t>Direktur</x:t>
        </x:is>
      </x:c>
      <x:c r="J24" s="439"/>
      <x:c r="K24" s="439"/>
      <x:c r="L24" s="439"/>
      <x:c r="M24" s="439"/>
      <x:c r="N24" s="450"/>
    </x:row>
    <x:row r="25" ht="8.75" customHeight="1">
      <x:c r="A25" s="451"/>
      <x:c r="B25" s="452"/>
      <x:c r="C25" s="453"/>
      <x:c r="D25" s="454"/>
      <x:c r="E25" s="454"/>
      <x:c r="F25" s="454"/>
      <x:c r="G25" s="455"/>
      <x:c r="H25" s="454"/>
      <x:c r="I25" s="454"/>
      <x:c r="J25" s="454"/>
      <x:c r="K25" s="454"/>
      <x:c r="L25" s="455"/>
      <x:c r="M25" s="455"/>
      <x:c r="N25" s="456"/>
    </x:row>
    <x:row r="26" ht="8.75" customHeight="1">
      <x:c r="A26" s="451"/>
      <x:c r="B26" s="452"/>
      <x:c r="C26" s="457"/>
      <x:c r="D26" s="458"/>
      <x:c r="E26" s="458"/>
      <x:c r="F26" s="458"/>
      <x:c r="G26" s="459"/>
      <x:c r="H26" s="458"/>
      <x:c r="I26" s="458"/>
      <x:c r="J26" s="458"/>
      <x:c r="K26" s="458"/>
      <x:c r="L26" s="458"/>
      <x:c r="M26" s="458"/>
      <x:c r="N26" s="460"/>
    </x:row>
    <x:row r="27" ht="8.75" customHeight="1">
      <x:c r="A27" s="451"/>
      <x:c r="B27" s="452"/>
      <x:c r="C27" s="453"/>
      <x:c r="D27" s="454"/>
      <x:c r="E27" s="454"/>
      <x:c r="F27" s="454"/>
      <x:c r="G27" s="455"/>
      <x:c r="H27" s="454"/>
      <x:c r="I27" s="454"/>
      <x:c r="J27" s="454"/>
      <x:c r="K27" s="454"/>
      <x:c r="L27" s="455"/>
      <x:c r="M27" s="455"/>
      <x:c r="N27" s="456"/>
    </x:row>
    <x:row r="28" ht="20.850000381469727" customHeight="1">
      <x:c r="A28" s="461"/>
      <x:c r="B28" s="462"/>
      <x:c r="C28" s="462"/>
      <x:c r="D28" s="463"/>
      <x:c r="E28" s="463"/>
      <x:c r="F28" s="463"/>
      <x:c r="G28" s="464"/>
      <x:c r="H28" s="464"/>
      <x:c r="I28" s="462"/>
      <x:c r="J28" s="465"/>
      <x:c r="K28" s="466"/>
      <x:c r="L28" s="467" cm="1"/>
      <x:c r="M28" s="467" cm="1"/>
      <x:c r="N28" s="467" cm="1"/>
    </x:row>
    <x:row r="29" ht="21" customHeight="1">
      <x:c r="A29" s="468"/>
      <x:c r="B29" s="469"/>
      <x:c r="C29" s="470"/>
      <x:c r="D29" s="468" cm="1"/>
      <x:c r="E29" s="471" cm="1"/>
      <x:c r="F29" s="471" cm="1"/>
      <x:c r="G29" s="472"/>
      <x:c r="H29" s="473"/>
      <x:c r="I29" s="474"/>
      <x:c r="J29" s="475"/>
      <x:c r="K29" s="475" cm="1"/>
      <x:c r="L29" s="474" cm="1"/>
      <x:c r="M29" s="476" cm="1"/>
      <x:c r="N29" s="476" cm="1"/>
    </x:row>
    <x:row r="30" ht="33" customHeight="1">
      <x:c r="A30" s="477"/>
      <x:c r="B30" s="478"/>
      <x:c r="C30" s="478"/>
      <x:c r="D30" s="479"/>
      <x:c r="E30" s="479"/>
      <x:c r="F30" s="479"/>
      <x:c r="G30" s="480"/>
      <x:c r="H30" s="480"/>
      <x:c r="I30" s="481"/>
      <x:c r="J30" s="482"/>
      <x:c r="K30" s="482" cm="1"/>
      <x:c r="L30" s="481" cm="1"/>
      <x:c r="M30" s="476" cm="1"/>
      <x:c r="N30" s="476" cm="1"/>
    </x:row>
    <x:row r="31" ht="21" customHeight="1">
      <x:c r="A31" s="477"/>
      <x:c r="B31" s="478"/>
      <x:c r="C31" s="478"/>
      <x:c r="D31" s="478"/>
      <x:c r="E31" s="483"/>
      <x:c r="F31" s="483"/>
      <x:c r="G31" s="480"/>
      <x:c r="H31" s="480"/>
      <x:c r="I31" s="478"/>
      <x:c r="J31" s="482"/>
      <x:c r="K31" s="484"/>
      <x:c r="L31" s="485" cm="1"/>
      <x:c r="M31" s="476" cm="1"/>
      <x:c r="N31" s="476" cm="1"/>
    </x:row>
    <x:row r="32" ht="20.5" customHeight="1">
      <x:c r="A32" s="477"/>
      <x:c r="B32" s="478"/>
      <x:c r="C32" s="478"/>
      <x:c r="D32" s="480"/>
      <x:c r="E32" s="480"/>
      <x:c r="F32" s="483"/>
      <x:c r="G32" s="480"/>
      <x:c r="H32" s="480"/>
      <x:c r="I32" s="478"/>
      <x:c r="J32" s="482"/>
      <x:c r="K32" s="484"/>
      <x:c r="L32" s="474" cm="1"/>
      <x:c r="M32" s="474" cm="1"/>
      <x:c r="N32" s="474" cm="1"/>
    </x:row>
  </x:sheetData>
  <x:mergeCells count="16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I18:N18"/>
    <x:mergeCell ref="I19:N19"/>
    <x:mergeCell ref="I23:N23"/>
    <x:mergeCell ref="I24:N24"/>
  </x:mergeCells>
  <x:pageMargins left="0.7" right="0.7" top="0.75" bottom="0.75" header="0.3" footer="0.3"/>
</x:worksheet>
</file>