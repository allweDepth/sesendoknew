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metadata1.xml" ContentType="application/vnd.openxmlformats-officedocument.spreadsheetml.sheetMetadata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722b6597de041a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64475219" sheetId="1" r:id="R501c288c92f34a7e"/>
  </x:sheets>
</x:workbook>
</file>

<file path=xl/metadata1.xml><?xml version="1.0" encoding="utf-8"?>
<x:metadata xmlns:x="http://schemas.openxmlformats.org/spreadsheetml/2006/main">
  <x:metadataTypes count="1">
    <x:metadataType name="XLDAPR" minSupportedVersion="120000" copy="1" pasteAll="1" pasteValues="1" merge="1" splitFirst="1" rowColShift="1" clearFormats="1" clearComments="1" assign="1" coerce="1" cellMeta="1"/>
  </x:metadataTypes>
  <x:futureMetadata name="XLDAPR" count="1">
    <x:bk>
      <x:extLst>
        <x:ext uri="{bdbb8cdc-fa1e-496e-a857-3c3f30c029c3}">
          <xda:dynamicArrayProperties xmlns:xda="http://schemas.microsoft.com/office/spreadsheetml/2017/dynamicarray" fDynamic="1" fCollapsed="0"/>
        </x:ext>
      </x:extLst>
    </x:bk>
  </x:futureMetadata>
  <x:cellMetadata count="1">
    <x:bk>
      <x:rc t="1" v="0"/>
    </x:bk>
  </x:cellMetadata>
</x:metadata>
</file>

<file path=xl/sharedStrings.xml><?xml version="1.0" encoding="utf-8"?>
<x:sst xmlns:x="http://schemas.openxmlformats.org/spreadsheetml/2006/main">
  <x:si>
    <x:t xml:space="preserve">No.</x:t>
  </x:si>
  <x:si>
    <x:t xml:space="preserve">Uraian Pekerjaan</x:t>
  </x:si>
  <x:si>
    <x:t xml:space="preserve">Kuantitas</x:t>
  </x:si>
  <x:si>
    <x:t xml:space="preserve">Satuan</x:t>
  </x:si>
  <x:si>
    <x:t xml:space="preserve">Harga Satuan</x:t>
  </x:si>
  <x:si>
    <x:t xml:space="preserve">PAJAK</x:t>
  </x:si>
  <x:si>
    <x:t xml:space="preserve">JUMLAH</x:t>
  </x:si>
  <x:si>
    <x:t xml:space="preserve">HPS</x:t>
  </x:si>
  <x:si>
    <x:t xml:space="preserve">Penawaran</x:t>
  </x:si>
  <x:si>
    <x:t xml:space="preserve">Negoisasi</x:t>
  </x:si>
</x:sst>
</file>

<file path=xl/styles.xml><?xml version="1.0" encoding="utf-8"?>
<x:styleSheet xmlns:x="http://schemas.openxmlformats.org/spreadsheetml/2006/main">
  <x:numFmts count="4">
    <x:numFmt numFmtId="0" formatCode="General"/>
    <x:numFmt numFmtId="59" formatCode="&quot; &quot;* #,##0&quot; &quot;;&quot;-&quot;* #,##0&quot; &quot;;&quot; &quot;* &quot;- &quot;"/>
    <x:numFmt numFmtId="200" formatCode="#,##0.00"/>
    <x:numFmt numFmtId="201" formatCode="#,##0.0000"/>
  </x:numFmts>
  <x:fonts count="4">
    <x:font>
      <x:sz val="10"/>
      <x:color indexed="8"/>
      <x:name val="Helvetica Neue"/>
    </x:font>
    <x:font>
      <x:sz val="12"/>
      <x:color indexed="8"/>
      <x:name val="Helvetica"/>
    </x:font>
    <x:font>
      <x:sz val="10"/>
      <x:color indexed="8"/>
      <x:name val="Helvetica"/>
    </x:font>
    <x:font>
      <x:b/>
      <x:sz val="10"/>
      <x:color indexed="8"/>
      <x:name val="Helvetica"/>
    </x:font>
  </x:fonts>
  <x:fills count="5">
    <x:fill>
      <x:patternFill patternType="none"/>
    </x:fill>
    <x:fill>
      <x:patternFill patternType="gray125"/>
    </x:fill>
    <x:fill>
      <x:patternFill patternType="solid">
        <x:fgColor indexed="11"/>
      </x:patternFill>
    </x:fill>
    <x:fill>
      <x:patternFill patternType="solid">
        <x:fgColor indexed="12"/>
      </x:patternFill>
    </x:fill>
    <x:fill>
      <x:patternFill patternType="solid">
        <x:fgColor rgb="FFFFFFFF"/>
      </x:patternFill>
    </x:fill>
  </x:fills>
  <x:borders count="32">
    <x:border>
      <x:left/>
      <x:right/>
      <x:top/>
      <x:bottom/>
      <x:diagonal/>
    </x:border>
    <x:border>
      <x:left/>
      <x:right/>
      <x:top/>
      <x:bottom/>
      <x:diagonal/>
    </x:border>
    <x:border>
      <x:left/>
      <x:right/>
      <x:top/>
      <x:bottom style="thin">
        <x:color indexed="9"/>
      </x:bottom>
      <x:diagonal/>
    </x:border>
    <x:border>
      <x:left/>
      <x:right/>
      <x:top style="thin">
        <x:color indexed="9"/>
      </x:top>
      <x:bottom/>
      <x:diagonal/>
    </x:border>
    <x:border>
      <x:left/>
      <x:right style="thin">
        <x:color indexed="9"/>
      </x:right>
      <x:top style="thin">
        <x:color indexed="9"/>
      </x:top>
      <x:bottom/>
      <x:diagonal/>
    </x:border>
    <x:border>
      <x:left style="thin">
        <x:color indexed="9"/>
      </x:left>
      <x:right style="dotted">
        <x:color indexed="10"/>
      </x:right>
      <x:top style="thin">
        <x:color indexed="9"/>
      </x:top>
      <x:bottom style="dotted">
        <x:color indexed="10"/>
      </x:bottom>
      <x:diagonal/>
    </x:border>
    <x:border>
      <x:left style="dotted">
        <x:color indexed="10"/>
      </x:left>
      <x:right style="dotted">
        <x:color indexed="10"/>
      </x:right>
      <x:top style="thin">
        <x:color indexed="9"/>
      </x:top>
      <x:bottom style="dotted">
        <x:color indexed="10"/>
      </x:bottom>
      <x:diagonal/>
    </x:border>
    <x:border>
      <x:left style="dotted">
        <x:color indexed="10"/>
      </x:left>
      <x:right/>
      <x:top style="thin">
        <x:color indexed="9"/>
      </x:top>
      <x:bottom style="dotted">
        <x:color indexed="10"/>
      </x:bottom>
      <x:diagonal/>
    </x:border>
    <x:border>
      <x:left/>
      <x:right/>
      <x:top/>
      <x:bottom/>
      <x:diagonal/>
    </x:border>
    <x:border>
      <x:left/>
      <x:right style="thin">
        <x:color indexed="9"/>
      </x:right>
      <x:top/>
      <x:bottom/>
      <x:diagonal/>
    </x:border>
    <x:border>
      <x:left style="thin">
        <x:color indexed="9"/>
      </x:left>
      <x:right style="dotted">
        <x:color indexed="10"/>
      </x:right>
      <x:top style="dotted">
        <x:color indexed="10"/>
      </x:top>
      <x:bottom style="dotted">
        <x:color indexed="10"/>
      </x:bottom>
      <x:diagonal/>
    </x:border>
    <x:border>
      <x:left style="dotted">
        <x:color indexed="10"/>
      </x:left>
      <x:right style="dotted">
        <x:color indexed="10"/>
      </x:right>
      <x:top style="dotted">
        <x:color indexed="10"/>
      </x:top>
      <x:bottom style="dotted">
        <x:color indexed="10"/>
      </x:bottom>
      <x:diagonal/>
    </x:border>
    <x:border>
      <x:left style="dotted">
        <x:color indexed="10"/>
      </x:left>
      <x:right/>
      <x:top style="dotted">
        <x:color indexed="10"/>
      </x:top>
      <x:bottom style="dotted">
        <x:color indexed="10"/>
      </x:bottom>
      <x:diagonal/>
    </x:border>
    <x:border>
      <x:left/>
      <x:right/>
      <x:top/>
      <x:bottom style="thin">
        <x:color indexed="9"/>
      </x:bottom>
      <x:diagonal/>
    </x:border>
    <x:border>
      <x:left/>
      <x:right style="thin">
        <x:color indexed="9"/>
      </x:right>
      <x:top/>
      <x:bottom style="thin">
        <x:color indexed="9"/>
      </x:bottom>
      <x:diagonal/>
    </x:border>
    <x:border>
      <x:left style="thin">
        <x:color indexed="9"/>
      </x:left>
      <x:right style="dotted">
        <x:color indexed="10"/>
      </x:right>
      <x:top style="dotted">
        <x:color indexed="10"/>
      </x:top>
      <x:bottom style="thin">
        <x:color indexed="9"/>
      </x:bottom>
      <x:diagonal/>
    </x:border>
    <x:border>
      <x:left style="dotted">
        <x:color indexed="10"/>
      </x:left>
      <x:right style="dotted">
        <x:color indexed="10"/>
      </x:right>
      <x:top style="dotted">
        <x:color indexed="10"/>
      </x:top>
      <x:bottom style="thin">
        <x:color indexed="9"/>
      </x:bottom>
      <x:diagonal/>
    </x:border>
    <x:border>
      <x:left style="dotted">
        <x:color indexed="10"/>
      </x:left>
      <x:right/>
      <x:top style="dotted">
        <x:color indexed="10"/>
      </x:top>
      <x:bottom style="thin">
        <x:color indexed="9"/>
      </x:bottom>
      <x:diagonal/>
    </x:border>
    <x:border>
      <x:left/>
      <x:right/>
      <x:top style="thin">
        <x:color indexed="9"/>
      </x:top>
      <x:bottom style="thin">
        <x:color indexed="9"/>
      </x:bottom>
      <x:diagonal/>
    </x:border>
    <x:border>
      <x:left/>
      <x:right style="thin">
        <x:color indexed="9"/>
      </x:right>
      <x:top style="thin">
        <x:color indexed="9"/>
      </x:top>
      <x:bottom style="thin">
        <x:color indexed="9"/>
      </x:bottom>
      <x:diagonal/>
    </x:border>
    <x:border>
      <x:left style="thin">
        <x:color indexed="9"/>
      </x:left>
      <x:right style="dotted">
        <x:color indexed="10"/>
      </x:right>
      <x:top style="thin">
        <x:color indexed="9"/>
      </x:top>
      <x:bottom style="thin">
        <x:color indexed="9"/>
      </x:bottom>
      <x:diagonal/>
    </x:border>
    <x:border>
      <x:left style="dotted">
        <x:color indexed="10"/>
      </x:left>
      <x:right style="dotted">
        <x:color indexed="10"/>
      </x:right>
      <x:top style="thin">
        <x:color indexed="9"/>
      </x:top>
      <x:bottom style="thin">
        <x:color indexed="9"/>
      </x:bottom>
      <x:diagonal/>
    </x:border>
    <x:border>
      <x:left style="dotted">
        <x:color indexed="10"/>
      </x:left>
      <x:right/>
      <x:top style="thin">
        <x:color indexed="9"/>
      </x:top>
      <x:bottom style="thin">
        <x:color indexed="9"/>
      </x:bottom>
      <x:diagonal/>
    </x:border>
    <x:border>
      <x:left/>
      <x:right/>
      <x:top style="thin">
        <x:color indexed="9"/>
      </x:top>
      <x:bottom style="hair">
        <x:color indexed="8"/>
      </x:bottom>
      <x:diagonal/>
    </x:border>
    <x:border>
      <x:left/>
      <x:right/>
      <x:top style="thin">
        <x:color indexed="9"/>
      </x:top>
      <x:bottom/>
      <x:diagonal/>
    </x:border>
    <x:border>
      <x:left/>
      <x:right style="hair">
        <x:color indexed="8"/>
      </x:right>
      <x:top style="hair">
        <x:color indexed="8"/>
      </x:top>
      <x:bottom/>
      <x:diagonal/>
    </x:border>
    <x:border>
      <x:left style="hair">
        <x:color indexed="8"/>
      </x:left>
      <x:right/>
      <x:top/>
      <x:bottom/>
      <x:diagonal/>
    </x:border>
    <x:border>
      <x:left/>
      <x:right/>
      <x:top/>
      <x:bottom/>
      <x:diagonal/>
    </x:border>
    <x:border>
      <x:left style="hair">
        <x:color indexed="8"/>
      </x:left>
      <x:right style="hair">
        <x:color indexed="8"/>
      </x:right>
      <x:top style="hair">
        <x:color indexed="8"/>
      </x:top>
      <x:bottom/>
      <x:diagonal/>
    </x:border>
    <x:border>
      <x:left/>
      <x:right/>
      <x:top/>
      <x:bottom/>
      <x:diagonal/>
    </x:border>
    <x:border>
      <x:left/>
      <x:right/>
      <x:top/>
      <x:bottom/>
      <x:diagonal/>
    </x:border>
    <x:border diagonalUp="0" diagonalDown="0">
      <x:left style="none"/>
      <x:right style="none"/>
      <x:top style="none"/>
      <x:bottom style="none"/>
      <x:diagonal/>
    </x:border>
  </x:borders>
  <x:cellStyleXfs count="1">
    <x:xf numFmtId="0" fontId="0" applyNumberFormat="0" applyFont="1" applyFill="0" applyBorder="0" applyAlignment="1" applyProtection="0">
      <x:alignment vertical="top" wrapText="1"/>
    </x:xf>
  </x:cellStyleXfs>
  <x:cellXfs count="132">
    <x:xf numFmtId="0" fontId="0" applyNumberFormat="0" applyFont="1" applyFill="0" applyBorder="0" applyAlignment="1" applyProtection="0">
      <x:alignment vertical="top" wrapText="1"/>
    </x:xf>
    <x:xf numFmtId="0" fontId="2" applyNumberFormat="1" applyFont="1" applyFill="0" applyBorder="0" applyAlignment="1" applyProtection="0">
      <x:alignment vertical="top" wrapText="1"/>
    </x:xf>
    <x:xf numFmtId="49" fontId="3" borderId="1" applyNumberFormat="1" applyFont="1" applyFill="0" applyBorder="1" applyAlignment="1" applyProtection="0">
      <x:alignment horizontal="center" vertical="center" wrapText="1"/>
    </x:xf>
    <x:xf numFmtId="0" fontId="3" borderId="1" applyNumberFormat="0" applyFont="1" applyFill="0" applyBorder="1" applyAlignment="1" applyProtection="0">
      <x:alignment vertical="top" wrapText="1"/>
    </x:xf>
    <x:xf numFmtId="0" fontId="3" borderId="2" applyNumberFormat="0" applyFont="1" applyFill="0" applyBorder="1" applyAlignment="1" applyProtection="0">
      <x:alignment vertical="top" wrapText="1"/>
    </x:xf>
    <x:xf numFmtId="49" fontId="3" borderId="2" applyNumberFormat="1" applyFont="1" applyFill="0" applyBorder="1" applyAlignment="1" applyProtection="0">
      <x:alignment horizontal="center" vertical="center" wrapText="1"/>
    </x:xf>
    <x:xf numFmtId="0" fontId="3" borderId="3" applyNumberFormat="0" applyFont="1" applyFill="0" applyBorder="1" applyAlignment="1" applyProtection="0">
      <x:alignment vertical="top" wrapText="1"/>
    </x:xf>
    <x:xf numFmtId="49" fontId="3" borderId="4" applyNumberFormat="1" applyFont="1" applyFill="0" applyBorder="1" applyAlignment="1" applyProtection="0">
      <x:alignment vertical="top" wrapText="1"/>
    </x:xf>
    <x:xf numFmtId="0" fontId="2" borderId="5" applyNumberFormat="0" applyFont="1" applyFill="0" applyBorder="1" applyAlignment="1" applyProtection="0">
      <x:alignment vertical="top" wrapText="1"/>
    </x:xf>
    <x:xf numFmtId="4" fontId="2" borderId="6" applyNumberFormat="1" applyFont="1" applyFill="0" applyBorder="1" applyAlignment="1" applyProtection="0">
      <x:alignment vertical="top" wrapText="1"/>
    </x:xf>
    <x:xf numFmtId="59" fontId="2" borderId="6" applyNumberFormat="1" applyFont="1" applyFill="0" applyBorder="1" applyAlignment="1" applyProtection="0">
      <x:alignment vertical="top" wrapText="1"/>
    </x:xf>
    <x:xf numFmtId="0" fontId="2" borderId="6" applyNumberFormat="0" applyFont="1" applyFill="0" applyBorder="1" applyAlignment="1" applyProtection="0">
      <x:alignment vertical="top" wrapText="1"/>
    </x:xf>
    <x:xf numFmtId="0" fontId="2" borderId="7" applyNumberFormat="0" applyFont="1" applyFill="0" applyBorder="1" applyAlignment="1" applyProtection="0">
      <x:alignment vertical="top" wrapText="1"/>
    </x:xf>
    <x:xf numFmtId="49" fontId="3" borderId="8" applyNumberFormat="1" applyFont="1" applyFill="0" applyBorder="1" applyAlignment="1" applyProtection="0">
      <x:alignment horizontal="center" vertical="top" wrapText="1"/>
    </x:xf>
    <x:xf numFmtId="49" fontId="3" borderId="9" applyNumberFormat="1" applyFont="1" applyFill="0" applyBorder="1" applyAlignment="1" applyProtection="0">
      <x:alignment vertical="top" wrapText="1"/>
    </x:xf>
    <x:xf numFmtId="0" fontId="2" fillId="2" borderId="10" applyNumberFormat="0" applyFont="1" applyFill="1" applyBorder="1" applyAlignment="1" applyProtection="0">
      <x:alignment vertical="top" wrapText="1"/>
    </x:xf>
    <x:xf numFmtId="4" fontId="2" fillId="2" borderId="11" applyNumberFormat="1" applyFont="1" applyFill="1" applyBorder="1" applyAlignment="1" applyProtection="0">
      <x:alignment vertical="top" wrapText="1"/>
    </x:xf>
    <x:xf numFmtId="49" fontId="2" fillId="2" borderId="11" applyNumberFormat="1" applyFont="1" applyFill="1" applyBorder="1" applyAlignment="1" applyProtection="0">
      <x:alignment vertical="top" wrapText="1"/>
    </x:xf>
    <x:xf numFmtId="4" fontId="2" fillId="2" borderId="12" applyNumberFormat="1" applyFont="1" applyFill="1" applyBorder="1" applyAlignment="1" applyProtection="0">
      <x:alignment vertical="top" wrapText="1"/>
    </x:xf>
    <x:xf numFmtId="0" fontId="2" borderId="10" applyNumberFormat="0" applyFont="1" applyFill="0" applyBorder="1" applyAlignment="1" applyProtection="0">
      <x:alignment vertical="top" wrapText="1"/>
    </x:xf>
    <x:xf numFmtId="4" fontId="2" borderId="11" applyNumberFormat="1" applyFont="1" applyFill="0" applyBorder="1" applyAlignment="1" applyProtection="0">
      <x:alignment vertical="top" wrapText="1"/>
    </x:xf>
    <x:xf numFmtId="49" fontId="2" borderId="11" applyNumberFormat="1" applyFont="1" applyFill="0" applyBorder="1" applyAlignment="1" applyProtection="0">
      <x:alignment vertical="top" wrapText="1"/>
    </x:xf>
    <x:xf numFmtId="4" fontId="2" borderId="12" applyNumberFormat="1" applyFont="1" applyFill="0" applyBorder="1" applyAlignment="1" applyProtection="0">
      <x:alignment vertical="top" wrapText="1"/>
    </x:xf>
    <x:xf numFmtId="0" fontId="3" borderId="8" applyNumberFormat="0" applyFont="1" applyFill="0" applyBorder="1" applyAlignment="1" applyProtection="0">
      <x:alignment horizontal="center" vertical="top" wrapText="1"/>
    </x:xf>
    <x:xf numFmtId="0" fontId="2" fillId="2" borderId="11" applyNumberFormat="0" applyFont="1" applyFill="1" applyBorder="1" applyAlignment="1" applyProtection="0">
      <x:alignment vertical="top" wrapText="1"/>
    </x:xf>
    <x:xf numFmtId="0" fontId="2" fillId="2" borderId="12" applyNumberFormat="0" applyFont="1" applyFill="1" applyBorder="1" applyAlignment="1" applyProtection="0">
      <x:alignment vertical="top" wrapText="1"/>
    </x:xf>
    <x:xf numFmtId="49" fontId="3" borderId="13" applyNumberFormat="1" applyFont="1" applyFill="0" applyBorder="1" applyAlignment="1" applyProtection="0">
      <x:alignment horizontal="center" vertical="top" wrapText="1"/>
    </x:xf>
    <x:xf numFmtId="49" fontId="3" borderId="14" applyNumberFormat="1" applyFont="1" applyFill="0" applyBorder="1" applyAlignment="1" applyProtection="0">
      <x:alignment vertical="top" wrapText="1"/>
    </x:xf>
    <x:xf numFmtId="0" fontId="2" borderId="15" applyNumberFormat="0" applyFont="1" applyFill="0" applyBorder="1" applyAlignment="1" applyProtection="0">
      <x:alignment vertical="top" wrapText="1"/>
    </x:xf>
    <x:xf numFmtId="4" fontId="2" borderId="16" applyNumberFormat="1" applyFont="1" applyFill="0" applyBorder="1" applyAlignment="1" applyProtection="0">
      <x:alignment vertical="top" wrapText="1"/>
    </x:xf>
    <x:xf numFmtId="49" fontId="2" borderId="16" applyNumberFormat="1" applyFont="1" applyFill="0" applyBorder="1" applyAlignment="1" applyProtection="0">
      <x:alignment vertical="top" wrapText="1"/>
    </x:xf>
    <x:xf numFmtId="4" fontId="2" borderId="17" applyNumberFormat="1" applyFont="1" applyFill="0" applyBorder="1" applyAlignment="1" applyProtection="0">
      <x:alignment vertical="top" wrapText="1"/>
    </x:xf>
    <x:xf numFmtId="0" fontId="3" borderId="18" applyNumberFormat="0" applyFont="1" applyFill="0" applyBorder="1" applyAlignment="1" applyProtection="0">
      <x:alignment horizontal="center" vertical="top" wrapText="1"/>
    </x:xf>
    <x:xf numFmtId="0" fontId="3" borderId="19" applyNumberFormat="0" applyFont="1" applyFill="0" applyBorder="1" applyAlignment="1" applyProtection="0">
      <x:alignment vertical="top" wrapText="1"/>
    </x:xf>
    <x:xf numFmtId="0" fontId="2" fillId="2" borderId="20" applyNumberFormat="0" applyFont="1" applyFill="1" applyBorder="1" applyAlignment="1" applyProtection="0">
      <x:alignment vertical="top" wrapText="1"/>
    </x:xf>
    <x:xf numFmtId="4" fontId="2" fillId="2" borderId="21" applyNumberFormat="1" applyFont="1" applyFill="1" applyBorder="1" applyAlignment="1" applyProtection="0">
      <x:alignment vertical="top" wrapText="1"/>
    </x:xf>
    <x:xf numFmtId="0" fontId="2" fillId="2" borderId="21" applyNumberFormat="0" applyFont="1" applyFill="1" applyBorder="1" applyAlignment="1" applyProtection="0">
      <x:alignment vertical="top" wrapText="1"/>
    </x:xf>
    <x:xf numFmtId="4" fontId="2" fillId="2" borderId="22" applyNumberFormat="1" applyFont="1" applyFill="1" applyBorder="1" applyAlignment="1" applyProtection="0">
      <x:alignment vertical="top" wrapText="1"/>
    </x:xf>
    <x:xf numFmtId="0" fontId="2" borderId="20" applyNumberFormat="0" applyFont="1" applyFill="0" applyBorder="1" applyAlignment="1" applyProtection="0">
      <x:alignment vertical="top" wrapText="1"/>
    </x:xf>
    <x:xf numFmtId="4" fontId="2" borderId="21" applyNumberFormat="1" applyFont="1" applyFill="0" applyBorder="1" applyAlignment="1" applyProtection="0">
      <x:alignment vertical="top" wrapText="1"/>
    </x:xf>
    <x:xf numFmtId="0" fontId="2" borderId="21" applyNumberFormat="0" applyFont="1" applyFill="0" applyBorder="1" applyAlignment="1" applyProtection="0">
      <x:alignment vertical="top" wrapText="1"/>
    </x:xf>
    <x:xf numFmtId="4" fontId="2" borderId="22" applyNumberFormat="1" applyFont="1" applyFill="0" applyBorder="1" applyAlignment="1" applyProtection="0">
      <x:alignment vertical="top" wrapText="1"/>
    </x:xf>
    <x:xf numFmtId="0" fontId="2" fillId="2" borderId="22" applyNumberFormat="0" applyFont="1" applyFill="1" applyBorder="1" applyAlignment="1" applyProtection="0">
      <x:alignment vertical="top" wrapText="1"/>
    </x:xf>
    <x:xf numFmtId="3" fontId="2" borderId="21" applyNumberFormat="1" applyFont="1" applyFill="0" applyBorder="1" applyAlignment="1" applyProtection="0">
      <x:alignment vertical="top" wrapText="1"/>
    </x:xf>
    <x:xf numFmtId="0" fontId="3" borderId="18" applyNumberFormat="1" applyFont="1" applyFill="0" applyBorder="1" applyAlignment="1" applyProtection="0">
      <x:alignment horizontal="center" vertical="top" wrapText="1"/>
    </x:xf>
    <x:xf numFmtId="0" fontId="2" borderId="22" applyNumberFormat="0" applyFont="1" applyFill="0" applyBorder="1" applyAlignment="1" applyProtection="0">
      <x:alignment vertical="top" wrapText="1"/>
    </x:xf>
    <x:xf numFmtId="0" fontId="3" borderId="23" applyNumberFormat="0" applyFont="1" applyFill="0" applyBorder="1" applyAlignment="1" applyProtection="0">
      <x:alignment horizontal="center" vertical="top" wrapText="1"/>
    </x:xf>
    <x:xf numFmtId="0" fontId="3" borderId="24" applyNumberFormat="0" applyFont="1" applyFill="0" applyBorder="1" applyAlignment="1" applyProtection="0">
      <x:alignment vertical="top" wrapText="1"/>
    </x:xf>
    <x:xf numFmtId="59" fontId="3" borderId="23" applyNumberFormat="1" applyFont="1" applyFill="0" applyBorder="1" applyAlignment="1" applyProtection="0">
      <x:alignment vertical="top" wrapText="1"/>
    </x:xf>
    <x:xf numFmtId="59" fontId="3" borderId="24" applyNumberFormat="1" applyFont="1" applyFill="0" applyBorder="1" applyAlignment="1" applyProtection="0">
      <x:alignment vertical="top" wrapText="1"/>
    </x:xf>
    <x:xf numFmtId="0" fontId="3" borderId="24" applyNumberFormat="0" applyFont="1" applyFill="0" applyBorder="1" applyAlignment="1" applyProtection="0">
      <x:alignment horizontal="right" vertical="top"/>
    </x:xf>
    <x:xf numFmtId="49" fontId="3" borderId="24" applyNumberFormat="1" applyFont="1" applyFill="0" applyBorder="1" applyAlignment="1" applyProtection="0">
      <x:alignment horizontal="right" vertical="top"/>
    </x:xf>
    <x:xf numFmtId="4" fontId="3" borderId="24" applyNumberFormat="1" applyFont="1" applyFill="0" applyBorder="1" applyAlignment="1" applyProtection="0">
      <x:alignment vertical="top" wrapText="1"/>
    </x:xf>
    <x:xf numFmtId="4" fontId="3" fillId="3" borderId="25" applyNumberFormat="1" applyFont="1" applyFill="1" applyBorder="1" applyAlignment="1" applyProtection="0">
      <x:alignment vertical="top" wrapText="1"/>
    </x:xf>
    <x:xf numFmtId="0" fontId="3" borderId="26" applyNumberFormat="0" applyFont="1" applyFill="0" applyBorder="1" applyAlignment="1" applyProtection="0">
      <x:alignment vertical="top" wrapText="1"/>
    </x:xf>
    <x:xf numFmtId="0" fontId="3" borderId="27" applyNumberFormat="0" applyFont="1" applyFill="0" applyBorder="1" applyAlignment="1" applyProtection="0">
      <x:alignment vertical="top" wrapText="1"/>
    </x:xf>
    <x:xf numFmtId="4" fontId="3" fillId="3" borderId="28" applyNumberFormat="1" applyFont="1" applyFill="1" applyBorder="1" applyAlignment="1" applyProtection="0">
      <x:alignment vertical="top" wrapText="1"/>
    </x:xf>
    <x:xf numFmtId="59" fontId="3" borderId="26" applyNumberFormat="1" applyFont="1" applyFill="0" applyBorder="1" applyAlignment="1" applyProtection="0">
      <x:alignment vertical="top" wrapText="1"/>
    </x:xf>
    <x:xf numFmtId="59" fontId="3" borderId="27" applyNumberFormat="1" applyFont="1" applyFill="0" applyBorder="1" applyAlignment="1" applyProtection="0">
      <x:alignment vertical="top" wrapText="1"/>
    </x:xf>
    <x:xf numFmtId="4" fontId="3" borderId="27" applyNumberFormat="1" applyFont="1" applyFill="0" applyBorder="1" applyAlignment="1" applyProtection="0">
      <x:alignment vertical="top" wrapText="1"/>
    </x:xf>
    <x:xf numFmtId="0" fontId="3" borderId="27" applyNumberFormat="0" applyFont="1" applyFill="0" applyBorder="1" applyAlignment="1" applyProtection="0">
      <x:alignment horizontal="right" vertical="top"/>
    </x:xf>
    <x:xf numFmtId="4" fontId="3" borderId="29" applyNumberFormat="1" applyFont="1" applyFill="0" applyBorder="1" applyAlignment="1" applyProtection="0">
      <x:alignment vertical="top" wrapText="1"/>
    </x:xf>
    <x:xf numFmtId="0" fontId="3" borderId="30" applyNumberFormat="0" applyFont="1" applyFill="0" applyBorder="1" applyAlignment="1" applyProtection="0">
      <x:alignment horizontal="center" vertical="top" wrapText="1"/>
    </x:xf>
    <x:xf numFmtId="0" fontId="3" borderId="30" applyNumberFormat="0" applyFont="1" applyFill="0" applyBorder="1" applyAlignment="1" applyProtection="0">
      <x:alignment vertical="top" wrapText="1"/>
    </x:xf>
    <x:xf numFmtId="49" fontId="3" borderId="30" applyNumberFormat="1" applyFont="1" applyFill="0" applyBorder="1" applyAlignment="1" applyProtection="0">
      <x:alignment vertical="top" wrapText="1"/>
    </x:xf>
    <x:xf numFmtId="59" fontId="3" borderId="30" applyNumberFormat="1" applyFont="1" applyFill="0" applyBorder="1" applyAlignment="1" applyProtection="0">
      <x:alignment vertical="top" wrapText="1"/>
    </x:xf>
    <x:xf numFmtId="4" fontId="3" borderId="30" applyNumberFormat="1" applyFont="1" applyFill="0" applyBorder="1" applyAlignment="1" applyProtection="0">
      <x:alignment vertical="top" wrapText="1"/>
    </x:xf>
    <x:xf numFmtId="0" fontId="3" borderId="30" applyNumberFormat="0" applyFont="1" applyFill="0" applyBorder="1" applyAlignment="1" applyProtection="0">
      <x:alignment horizontal="right" vertical="top"/>
    </x:xf>
    <x:xf numFmtId="3" fontId="3" borderId="30" applyNumberFormat="1" applyFont="1" applyFill="0" applyBorder="1" applyAlignment="1" applyProtection="0">
      <x:alignment vertical="top" wrapText="1"/>
    </x:xf>
    <x:xf numFmtId="49" fontId="3" borderId="30" applyNumberFormat="1" applyFont="1" applyFill="0" applyBorder="1" applyAlignment="1" applyProtection="0">
      <x:alignment horizontal="right" vertical="top"/>
    </x:xf>
    <x:xf numFmtId="4" fontId="3" borderId="1" applyNumberFormat="1" applyFont="1" applyFill="0" applyBorder="1" applyAlignment="1" applyProtection="0">
      <x:alignment vertical="top" wrapText="1"/>
    </x:xf>
    <x:xf numFmtId="49" fontId="3" borderId="8" xfId="0" applyNumberFormat="1" applyFont="1" applyFill="0" applyBorder="1" applyAlignment="1">
      <x:alignment horizontal="center" vertical="top" wrapText="1"/>
    </x:xf>
    <x:xf numFmtId="49" fontId="3" borderId="9" xfId="0" applyNumberFormat="1" applyFont="1" applyFill="0" applyBorder="1" applyAlignment="1">
      <x:alignment vertical="top" wrapText="1"/>
    </x:xf>
    <x:xf numFmtId="0" fontId="2" fillId="2" borderId="10" xfId="0" applyNumberFormat="1" applyFont="1" applyFill="1" applyBorder="1" applyAlignment="1">
      <x:alignment vertical="top" wrapText="1"/>
    </x:xf>
    <x:xf numFmtId="0" fontId="2" xfId="0" applyNumberFormat="1" applyFont="1" applyFill="0" applyBorder="0" applyAlignment="1">
      <x:alignment vertical="top" wrapText="1"/>
    </x:xf>
    <x:xf numFmtId="200" fontId="2" xfId="0" applyNumberFormat="1" applyFont="1" applyFill="0" applyBorder="0" applyAlignment="1">
      <x:alignment vertical="top" wrapText="1"/>
    </x:xf>
    <x:xf numFmtId="0" fontId="3" borderId="0" applyNumberFormat="0" applyFont="1" applyFill="0" applyBorder="1" applyAlignment="1" applyProtection="0">
      <x:alignment horizontal="center" vertical="top" wrapText="1"/>
    </x:xf>
    <x:xf numFmtId="0" fontId="3" borderId="0" applyNumberFormat="0" applyFont="1" applyFill="0" applyBorder="1" applyAlignment="1" applyProtection="0">
      <x:alignment vertical="top" wrapText="1"/>
    </x:xf>
    <x:xf numFmtId="49" fontId="3" borderId="0" applyNumberFormat="1" applyFont="1" applyFill="0" applyBorder="1" applyAlignment="1" applyProtection="0">
      <x:alignment vertical="top" wrapText="1"/>
    </x:xf>
    <x:xf numFmtId="59" fontId="3" borderId="0" applyNumberFormat="1" applyFont="1" applyFill="0" applyBorder="1" applyAlignment="1" applyProtection="0">
      <x:alignment vertical="top" wrapText="1"/>
    </x:xf>
    <x:xf numFmtId="4" fontId="3" borderId="0" applyNumberFormat="1" applyFont="1" applyFill="0" applyBorder="1" applyAlignment="1" applyProtection="0">
      <x:alignment vertical="top" wrapText="1"/>
    </x:xf>
    <x:xf numFmtId="0" fontId="3" borderId="0" applyNumberFormat="0" applyFont="1" applyFill="0" applyBorder="1" applyAlignment="1" applyProtection="0">
      <x:alignment horizontal="right" vertical="top"/>
    </x:xf>
    <x:xf numFmtId="3" fontId="3" borderId="0" applyNumberFormat="1" applyFont="1" applyFill="0" applyBorder="1" applyAlignment="1" applyProtection="0">
      <x:alignment vertical="top" wrapText="1"/>
    </x:xf>
    <x:xf numFmtId="49" fontId="3" borderId="0" applyNumberFormat="1" applyFont="1" applyFill="0" applyBorder="1" applyAlignment="1" applyProtection="0">
      <x:alignment horizontal="right" vertical="top"/>
    </x:xf>
    <x:xf numFmtId="0" fontId="3" fillId="4" borderId="23" xfId="0" applyNumberFormat="1" applyFont="1" applyFill="1" applyBorder="1" applyAlignment="1">
      <x:alignment horizontal="center" vertical="top" wrapText="1"/>
    </x:xf>
    <x:xf numFmtId="0" fontId="3" fillId="4" borderId="24" xfId="0" applyNumberFormat="1" applyFont="1" applyFill="1" applyBorder="1" applyAlignment="1">
      <x:alignment vertical="top" wrapText="1"/>
    </x:xf>
    <x:xf numFmtId="59" fontId="3" fillId="4" borderId="23" xfId="0" applyNumberFormat="1" applyFont="1" applyFill="1" applyBorder="1" applyAlignment="1">
      <x:alignment vertical="top" wrapText="1"/>
    </x:xf>
    <x:xf numFmtId="59" fontId="3" fillId="4" borderId="24" xfId="0" applyNumberFormat="1" applyFont="1" applyFill="1" applyBorder="1" applyAlignment="1">
      <x:alignment vertical="top" wrapText="1"/>
    </x:xf>
    <x:xf numFmtId="0" fontId="3" fillId="4" borderId="24" xfId="0" applyNumberFormat="1" applyFont="1" applyFill="1" applyBorder="1" applyAlignment="1">
      <x:alignment horizontal="right" vertical="top"/>
    </x:xf>
    <x:xf numFmtId="4" fontId="3" fillId="4" borderId="25" xfId="0" applyNumberFormat="1" applyFont="1" applyFill="1" applyBorder="1" applyAlignment="1">
      <x:alignment vertical="top" wrapText="1"/>
    </x:xf>
    <x:xf numFmtId="0" fontId="3" fillId="4" borderId="26" xfId="0" applyNumberFormat="1" applyFont="1" applyFill="1" applyBorder="1" applyAlignment="1">
      <x:alignment vertical="top" wrapText="1"/>
    </x:xf>
    <x:xf numFmtId="0" fontId="3" fillId="4" borderId="27" xfId="0" applyNumberFormat="1" applyFont="1" applyFill="1" applyBorder="1" applyAlignment="1">
      <x:alignment vertical="top" wrapText="1"/>
    </x:xf>
    <x:xf numFmtId="4" fontId="3" fillId="4" borderId="28" xfId="0" applyNumberFormat="1" applyFont="1" applyFill="1" applyBorder="1" applyAlignment="1">
      <x:alignment vertical="top" wrapText="1"/>
    </x:xf>
    <x:xf numFmtId="59" fontId="3" fillId="4" borderId="26" xfId="0" applyNumberFormat="1" applyFont="1" applyFill="1" applyBorder="1" applyAlignment="1">
      <x:alignment vertical="top" wrapText="1"/>
    </x:xf>
    <x:xf numFmtId="59" fontId="3" fillId="4" borderId="27" xfId="0" applyNumberFormat="1" applyFont="1" applyFill="1" applyBorder="1" applyAlignment="1">
      <x:alignment vertical="top" wrapText="1"/>
    </x:xf>
    <x:xf numFmtId="4" fontId="3" fillId="4" borderId="27" xfId="0" applyNumberFormat="1" applyFont="1" applyFill="1" applyBorder="1" applyAlignment="1">
      <x:alignment vertical="top" wrapText="1"/>
    </x:xf>
    <x:xf numFmtId="0" fontId="3" fillId="4" borderId="27" xfId="0" applyNumberFormat="1" applyFont="1" applyFill="1" applyBorder="1" applyAlignment="1">
      <x:alignment horizontal="right" vertical="top"/>
    </x:xf>
    <x:xf numFmtId="0" fontId="3" fillId="4" borderId="0" xfId="0" applyNumberFormat="1" applyFont="1" applyFill="1" applyBorder="1" applyAlignment="1">
      <x:alignment horizontal="center" vertical="top" wrapText="1"/>
    </x:xf>
    <x:xf numFmtId="0" fontId="3" fillId="4" borderId="0" xfId="0" applyNumberFormat="1" applyFont="1" applyFill="1" applyBorder="1" applyAlignment="1">
      <x:alignment vertical="top" wrapText="1"/>
    </x:xf>
    <x:xf numFmtId="49" fontId="3" fillId="4" borderId="0" xfId="0" applyNumberFormat="1" applyFont="1" applyFill="1" applyBorder="1" applyAlignment="1">
      <x:alignment vertical="top" wrapText="1"/>
    </x:xf>
    <x:xf numFmtId="59" fontId="3" fillId="4" borderId="0" xfId="0" applyNumberFormat="1" applyFont="1" applyFill="1" applyBorder="1" applyAlignment="1">
      <x:alignment vertical="top" wrapText="1"/>
    </x:xf>
    <x:xf numFmtId="4" fontId="3" fillId="4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horizontal="right" vertical="top"/>
    </x:xf>
    <x:xf numFmtId="3" fontId="3" fillId="4" borderId="0" xfId="0" applyNumberFormat="1" applyFont="1" applyFill="1" applyBorder="1" applyAlignment="1">
      <x:alignment vertical="top" wrapText="1"/>
    </x:xf>
    <x:xf numFmtId="0" fontId="3" fillId="4" borderId="31" xfId="0" applyNumberFormat="1" applyFont="1" applyFill="1" applyBorder="1" applyAlignment="1">
      <x:alignment horizontal="center" vertical="top" wrapText="1"/>
    </x:xf>
    <x:xf numFmtId="0" fontId="3" fillId="4" borderId="31" xfId="0" applyNumberFormat="1" applyFont="1" applyFill="1" applyBorder="1" applyAlignment="1">
      <x:alignment vertical="top" wrapText="1"/>
    </x:xf>
    <x:xf numFmtId="59" fontId="3" fillId="4" borderId="31" xfId="0" applyNumberFormat="1" applyFont="1" applyFill="1" applyBorder="1" applyAlignment="1">
      <x:alignment vertical="top" wrapText="1"/>
    </x:xf>
    <x:xf numFmtId="0" fontId="3" fillId="4" borderId="31" xfId="0" applyNumberFormat="1" applyFont="1" applyFill="1" applyBorder="1" applyAlignment="1">
      <x:alignment horizontal="right" vertical="top"/>
    </x:xf>
    <x:xf numFmtId="4" fontId="3" fillId="4" borderId="31" xfId="0" applyNumberFormat="1" applyFont="1" applyFill="1" applyBorder="1" applyAlignment="1">
      <x:alignment vertical="top" wrapText="1"/>
    </x:xf>
    <x:xf numFmtId="49" fontId="3" fillId="4" borderId="31" xfId="0" applyNumberFormat="1" applyFont="1" applyFill="1" applyBorder="1" applyAlignment="1">
      <x:alignment vertical="top" wrapText="1"/>
    </x:xf>
    <x:xf numFmtId="3" fontId="3" fillId="4" borderId="31" xfId="0" applyNumberFormat="1" applyFont="1" applyFill="1" applyBorder="1" applyAlignment="1">
      <x:alignment vertical="top" wrapText="1"/>
    </x:xf>
    <x:xf numFmtId="49" fontId="3" borderId="24" xfId="0" applyNumberFormat="1" applyFont="1" applyFill="0" applyBorder="1" applyAlignment="1">
      <x:alignment horizontal="right" vertical="top" wrapText="1"/>
    </x:xf>
    <x:xf numFmtId="0" fontId="3" borderId="27" xfId="0" applyNumberFormat="1" applyFont="1" applyFill="0" applyBorder="1" applyAlignment="1">
      <x:alignment horizontal="right" vertical="top" wrapText="1"/>
    </x:xf>
    <x:xf numFmtId="0" fontId="3" borderId="0" xfId="0" applyNumberFormat="1" applyFont="1" applyFill="0" applyBorder="1" applyAlignment="1">
      <x:alignment horizontal="right" vertical="top" wrapText="1"/>
    </x:xf>
    <x:xf numFmtId="49" fontId="3" borderId="0" xfId="0" applyNumberFormat="1" applyFont="1" applyFill="0" applyBorder="1" applyAlignment="1">
      <x:alignment horizontal="right" vertical="top" wrapText="1"/>
    </x:xf>
    <x:xf numFmtId="201" fontId="2" borderId="6" xfId="0" applyNumberFormat="1" applyFont="1" applyFill="0" applyBorder="1" applyAlignment="1">
      <x:alignment vertical="top" wrapText="1"/>
    </x:xf>
    <x:xf numFmtId="201" fontId="2" fillId="2" borderId="11" xfId="0" applyNumberFormat="1" applyFont="1" applyFill="1" applyBorder="1" applyAlignment="1">
      <x:alignment vertical="top" wrapText="1"/>
    </x:xf>
    <x:xf numFmtId="201" fontId="3" fillId="4" borderId="31" xfId="0" applyNumberFormat="1" applyFont="1" applyFill="1" applyBorder="1" applyAlignment="1">
      <x:alignment vertical="top" wrapText="1"/>
    </x:xf>
    <x:xf numFmtId="200" fontId="2" borderId="6" xfId="0" applyNumberFormat="1" applyFont="1" applyFill="0" applyBorder="1" applyAlignment="1">
      <x:alignment vertical="top" wrapText="1"/>
    </x:xf>
    <x:xf numFmtId="200" fontId="2" borderId="7" xfId="0" applyNumberFormat="1" applyFont="1" applyFill="0" applyBorder="1" applyAlignment="1">
      <x:alignment vertical="top" wrapText="1"/>
    </x:xf>
    <x:xf numFmtId="200" fontId="2" fillId="2" borderId="11" xfId="0" applyNumberFormat="1" applyFont="1" applyFill="1" applyBorder="1" applyAlignment="1">
      <x:alignment vertical="top" wrapText="1"/>
    </x:xf>
    <x:xf numFmtId="200" fontId="2" fillId="2" borderId="12" xfId="0" applyNumberFormat="1" applyFont="1" applyFill="1" applyBorder="1" applyAlignment="1">
      <x:alignment vertical="top" wrapText="1"/>
    </x:xf>
    <x:xf numFmtId="200" fontId="3" fillId="4" borderId="31" xfId="0" applyNumberFormat="1" applyFont="1" applyFill="1" applyBorder="1" applyAlignment="1">
      <x:alignment vertical="top" wrapText="1"/>
    </x:xf>
    <x:xf numFmtId="200" fontId="3" fillId="4" borderId="31" xfId="0" applyNumberFormat="1" applyFont="1" applyFill="1" applyBorder="1" applyAlignment="1">
      <x:alignment horizontal="right" vertical="top"/>
    </x:xf>
    <x:xf numFmtId="200" fontId="3" borderId="24" xfId="0" applyNumberFormat="1" applyFont="1" applyFill="0" applyBorder="1" applyAlignment="1">
      <x:alignment horizontal="right" vertical="top" wrapText="1"/>
    </x:xf>
    <x:xf numFmtId="200" fontId="3" borderId="24" xfId="0" applyNumberFormat="1" applyFont="1" applyFill="0" applyBorder="1" applyAlignment="1">
      <x:alignment vertical="top" wrapText="1"/>
    </x:xf>
    <x:xf numFmtId="200" fontId="3" borderId="27" xfId="0" applyNumberFormat="1" applyFont="1" applyFill="0" applyBorder="1" applyAlignment="1">
      <x:alignment horizontal="right" vertical="top" wrapText="1"/>
    </x:xf>
    <x:xf numFmtId="200" fontId="3" borderId="27" xfId="0" applyNumberFormat="1" applyFont="1" applyFill="0" applyBorder="1" applyAlignment="1">
      <x:alignment vertical="top" wrapText="1"/>
    </x:xf>
    <x:xf numFmtId="200" fontId="3" borderId="29" xfId="0" applyNumberFormat="1" applyFont="1" applyFill="0" applyBorder="1" applyAlignment="1">
      <x:alignment vertical="top" wrapText="1"/>
    </x:xf>
    <x:xf numFmtId="200" fontId="3" borderId="0" xfId="0" applyNumberFormat="1" applyFont="1" applyFill="0" applyBorder="1" applyAlignment="1">
      <x:alignment horizontal="right" vertical="top" wrapText="1"/>
    </x:xf>
    <x:xf numFmtId="200" fontId="3" borderId="0" xfId="0" applyNumberFormat="1" applyFont="1" applyFill="0" applyBorder="1" applyAlignment="1">
      <x:alignment vertical="top" wrapText="1"/>
    </x:xf>
    <x:xf numFmtId="200" fontId="3" borderId="1" xfId="0" applyNumberFormat="1" applyFont="1" applyFill="0" applyBorder="1" applyAlignment="1">
      <x:alignment vertical="top" wrapText="1"/>
    </x:xf>
  </x:cellXfs>
  <x:cellStyles count="1">
    <x:cellStyle name="Normal" xfId="0"/>
  </x:cellStyle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000000"/>
      <x:rgbColor rgb="FF3F3F3F"/>
      <x:rgbColor rgb="FF7F7F7F"/>
      <x:rgbColor rgb="FFEEEEEE"/>
      <x:rgbColor rgb="FFBFBFBF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e7ce5988dc345f5" /><Relationship Type="http://schemas.openxmlformats.org/officeDocument/2006/relationships/theme" Target="/xl/theme/theme1.xml" Id="Rb086577fe7bb4fd9" /><Relationship Type="http://schemas.openxmlformats.org/officeDocument/2006/relationships/sheetMetadata" Target="/xl/metadata1.xml" Id="R5679c458c4674f3e" /><Relationship Type="http://schemas.openxmlformats.org/officeDocument/2006/relationships/sharedStrings" Target="/xl/sharedStrings.xml" Id="Rbc55e5a65643404d" /><Relationship Type="http://schemas.openxmlformats.org/officeDocument/2006/relationships/worksheet" Target="/xl/worksheets/sheet1.xml" Id="R501c288c92f34a7e" 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4999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/>
        </a:ln>
      </a:spPr>
      <a:bodyPr rot="0" spcFirstLastPara="1" vert="horz" wrap="square" lIns="50800" tIns="50800" rIns="50800" bIns="50800" numCol="1" spcCol="38100" rtlCol="0" anchor="ctr">
        <a:spAutoFit/>
      </a:bodyPr>
      <a:lstStyle>
        <a:defPPr marL="0" marR="0" indent="0" algn="ctr" defTabSz="5842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200" b="0" i="0" u="none" strike="noStrike" cap="none" spc="0" baseline="0">
            <a:ln>
              <a:noFill/>
            </a:ln>
            <a:solidFill>
              <a:srgbClr val="FFFFFF"/>
            </a:solidFill>
            <a:latin typeface="Helvetica Neue Medium"/>
            <a:ea typeface="Helvetica Neue Medium"/>
            <a:cs typeface="Helvetica Neue Medium"/>
          </a:defRPr>
        </a:defPPr>
        <a:lvl1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1pPr>
        <a:lvl2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2pPr>
        <a:lvl3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3pPr>
        <a:lvl4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4pPr>
        <a:lvl5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5pPr>
        <a:lvl6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6pPr>
        <a:lvl7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7pPr>
        <a:lvl8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8pPr>
        <a:lvl9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9pPr>
      </a:lstStyle>
      <a:style>
        <a:lnRef idx="0"/>
        <a:fillRef idx="0"/>
        <a:effectRef idx="0"/>
        <a:fontRef/>
      </a:style>
    </a:spDef>
    <a:lnDef>
      <a:spPr>
        <a:noFill/>
        <a:ln w="12700" cap="flat">
          <a:solidFill>
            <a:srgbClr val="000000"/>
          </a:solidFill>
          <a:prstDash val="solid"/>
          <a:miter/>
        </a:ln>
      </a:spPr>
      <a:bodyPr rot="0" spcFirstLastPara="1" vert="horz" wrap="square" lIns="91439" tIns="45719" rIns="91439" bIns="45719" numCol="1" spcCol="38100" rtlCol="0" anchor="t">
        <a:noAutofit/>
      </a:bodyPr>
      <a:lstStyle>
        <a:def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defPPr>
        <a:lvl1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1pPr>
        <a:lvl2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2pPr>
        <a:lvl3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3pPr>
        <a:lvl4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4pPr>
        <a:lvl5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5pPr>
        <a:lvl6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6pPr>
        <a:lvl7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7pPr>
        <a:lvl8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8pPr>
        <a:lvl9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9pPr>
      </a:lstStyle>
      <a:style>
        <a:lnRef idx="0"/>
        <a:fillRef idx="0"/>
        <a:effectRef idx="0"/>
        <a:fontRef/>
      </a:style>
    </a:lnDef>
    <a:txDef>
      <a:spPr>
        <a:noFill/>
        <a:ln w="12700" cap="flat">
          <a:noFill/>
          <a:miter/>
        </a:ln>
      </a:spPr>
      <a:bodyPr rot="0" spcFirstLastPara="1" vert="horz" wrap="square" lIns="50800" tIns="50800" rIns="50800" bIns="50800" numCol="1" spcCol="38100" rtlCol="0" anchor="t">
        <a:spAutoFit/>
      </a:bodyPr>
      <a:lstStyle>
        <a:defPPr marL="0" marR="0" indent="0" algn="l" defTabSz="4572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100" b="0" i="0" u="none" strike="noStrike" cap="none" spc="0" baseline="0">
            <a:ln>
              <a:noFill/>
            </a:ln>
            <a:solidFill>
              <a:srgbClr val="000000"/>
            </a:solidFill>
            <a:latin typeface="+mn-lt"/>
            <a:ea typeface="+mn-lt"/>
            <a:cs typeface="+mn-lt"/>
          </a:defRPr>
        </a:defPPr>
        <a:lvl1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1pPr>
        <a:lvl2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2pPr>
        <a:lvl3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3pPr>
        <a:lvl4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4pPr>
        <a:lvl5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5pPr>
        <a:lvl6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6pPr>
        <a:lvl7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7pPr>
        <a:lvl8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8pPr>
        <a:lvl9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9pPr>
      </a:lstStyle>
      <a:style>
        <a:lnRef idx="0"/>
        <a:fillRef idx="0"/>
        <a:effectRef idx="0"/>
        <a:fontRef/>
      </a:style>
    </a:txDef>
  </a:objectDefaults>
</a:theme>
</file>

<file path=xl/worksheets/sheet1.xml><?xml version="1.0" encoding="utf-8"?>
<x:worksheet xmlns:x="http://schemas.openxmlformats.org/spreadsheetml/2006/main">
  <x:sheetViews>
    <x:sheetView showGridLines="0" workbookViewId="0">
      <x:pane xSplit="2" topLeftCell="C1" activePane="topRight" state="frozen"/>
    </x:sheetView>
  </x:sheetViews>
  <x:sheetFormatPr defaultColWidth="16.33329963684082" defaultRowHeight="18"/>
  <x:cols>
    <x:col min="1" max="1" width="9.734379768371582" style="1" customWidth="1"/>
    <x:col min="2" max="2" width="43.03120040893555" style="1" customWidth="1"/>
    <x:col min="3" max="3" width="2.75" style="1" customWidth="1"/>
    <x:col min="4" max="6" width="10.367199897766113" style="1" customWidth="1"/>
    <x:col min="7" max="7" width="11.6875" style="1" customWidth="1"/>
    <x:col min="8" max="11" width="13.515600204467773" style="1" customWidth="1"/>
    <x:col min="12" max="14" width="14.234399795532227" style="1" customWidth="1"/>
    <x:col min="15" max="16384" width="16.351600646972656" style="1" customWidth="1"/>
    <x:col min="16" max="16" width="23" hidden="0" customWidth="1"/>
    <x:col min="17" max="17" width="90" hidden="0" customWidth="1"/>
    <x:col min="19" max="19" width="25" hidden="0" customWidth="1"/>
    <x:col min="20" max="20" width="25" hidden="0" customWidth="1"/>
    <x:col min="21" max="21" width="25" hidden="0" customWidth="1"/>
  </x:cols>
  <x:sheetData>
    <x:row r="1" ht="20.5" customHeight="1">
      <x:c r="A1" s="2" t="s">
        <x:v>0</x:v>
      </x:c>
      <x:c r="B1" s="2" t="s">
        <x:v>1</x:v>
      </x:c>
      <x:c r="C1" s="3"/>
      <x:c r="D1" s="2" t="s">
        <x:v>2</x:v>
      </x:c>
      <x:c r="E1" s="3"/>
      <x:c r="F1" s="3"/>
      <x:c r="G1" s="2" t="s">
        <x:v>3</x:v>
      </x:c>
      <x:c r="H1" s="2" t="s">
        <x:v>4</x:v>
      </x:c>
      <x:c r="I1" s="3"/>
      <x:c r="J1" s="3"/>
      <x:c r="K1" s="2" t="s">
        <x:v>5</x:v>
      </x:c>
      <x:c r="L1" s="2" t="s">
        <x:v>6</x:v>
      </x:c>
      <x:c r="M1" s="3"/>
      <x:c r="N1" s="3"/>
      <x:c r="P1" t="str">
        <x:v>Nomor RUP</x:v>
      </x:c>
      <x:c r="Q1" t="str">
        <x:v>63944484</x:v>
      </x:c>
    </x:row>
    <x:row r="2" ht="32" customHeight="1">
      <x:c r="A2" s="4"/>
      <x:c r="B2" s="4"/>
      <x:c r="C2" s="4"/>
      <x:c r="D2" s="5" t="s">
        <x:v>7</x:v>
      </x:c>
      <x:c r="E2" s="5" t="s">
        <x:v>8</x:v>
      </x:c>
      <x:c r="F2" s="5" t="s">
        <x:v>9</x:v>
      </x:c>
      <x:c r="G2" s="4"/>
      <x:c r="H2" s="5" t="s">
        <x:v>7</x:v>
      </x:c>
      <x:c r="I2" s="5" t="s">
        <x:v>8</x:v>
      </x:c>
      <x:c r="J2" s="5" t="s">
        <x:v>9</x:v>
      </x:c>
      <x:c r="K2" s="4"/>
      <x:c r="L2" s="5" t="s">
        <x:v>7</x:v>
      </x:c>
      <x:c r="M2" s="5" t="s">
        <x:v>8</x:v>
      </x:c>
      <x:c r="N2" s="5" t="s">
        <x:v>9</x:v>
      </x:c>
      <x:c r="P2" t="str">
        <x:v>Nama Paket</x:v>
      </x:c>
      <x:c r="Q2" s="74" t="str">
        <x:v>Normalisasi Saluran Sungai Bulubunggu</x:v>
      </x:c>
      <x:c r="S2" s="75" t="str">
        <x:v>Jumlah HPS termasuk PPN</x:v>
      </x:c>
      <x:c r="T2" s="75" t="str">
        <x:v>Jumlah penawaran termasuk PPN</x:v>
      </x:c>
      <x:c r="U2" s="75" t="str">
        <x:v>Jumlah negosiasi termasuk PPN</x:v>
      </x:c>
    </x:row>
    <x:row r="3" ht="32" customHeight="1">
      <x:c r="A3" s="6"/>
      <x:c r="B3" s="7" t="str">
        <x:v>DIVISI 1. UMUM</x:v>
      </x:c>
      <x:c r="C3" s="8"/>
      <x:c r="D3" s="115"/>
      <x:c r="E3" s="115"/>
      <x:c r="F3" s="115"/>
      <x:c r="G3" s="10"/>
      <x:c r="H3" s="118"/>
      <x:c r="I3" s="118"/>
      <x:c r="J3" s="118"/>
      <x:c r="K3" s="118"/>
      <x:c r="L3" s="118" cm="1"/>
      <x:c r="M3" s="118" cm="1"/>
      <x:c r="N3" s="119" cm="1"/>
      <x:c r="P3" t="str">
        <x:v>Perusahaan</x:v>
      </x:c>
      <x:c r="Q3" s="74" t="str">
        <x:v>CV. BUMANTARA KARYA TEKNIK</x:v>
      </x:c>
      <x:c r="S3" s="75"/>
      <x:c r="T3" s="75"/>
      <x:c r="U3" s="75"/>
    </x:row>
    <x:row r="4" ht="23" customHeight="1">
      <x:c r="A4" s="71" t="str">
        <x:v>1.2</x:v>
      </x:c>
      <x:c r="B4" s="72" t="str">
        <x:v>Mobilisasi</x:v>
      </x:c>
      <x:c r="C4" s="73"/>
      <x:c r="D4" s="116" t="n">
        <x:v>1</x:v>
      </x:c>
      <x:c r="E4" s="116" t="n" cm="1">
        <x:f>D4</x:f>
        <x:v>1</x:v>
      </x:c>
      <x:c r="F4" s="116" t="n" cm="1">
        <x:f>D4</x:f>
        <x:v>1</x:v>
      </x:c>
      <x:c r="G4" s="17" t="str">
        <x:v>Ls</x:v>
      </x:c>
      <x:c r="H4" s="120" t="n">
        <x:v>5420000</x:v>
      </x:c>
      <x:c r="I4" s="120" t="n">
        <x:v>5419000</x:v>
      </x:c>
      <x:c r="J4" s="120" t="n">
        <x:f>I4</x:f>
        <x:v>5419000</x:v>
      </x:c>
      <x:c r="K4" s="120" t="n">
        <x:v>11</x:v>
      </x:c>
      <x:c r="L4" s="120" t="n" cm="1">
        <x:f>D4*H4</x:f>
        <x:v>5420000</x:v>
      </x:c>
      <x:c r="M4" s="120" t="n" cm="1">
        <x:f>E4*I4</x:f>
        <x:v>5419000</x:v>
      </x:c>
      <x:c r="N4" s="121" t="n" cm="1">
        <x:f>F4*J4</x:f>
        <x:v>5419000</x:v>
      </x:c>
      <x:c r="P4" t="str">
        <x:v>Pagu Anggaran</x:v>
      </x:c>
      <x:c r="Q4" s="75" t="n">
        <x:v>400000000</x:v>
      </x:c>
      <x:c r="S4" s="75" t="n">
        <x:f>ROUND(L4*(1+K4/100),2)</x:f>
        <x:v>6016200</x:v>
      </x:c>
      <x:c r="T4" s="75" t="n">
        <x:f>ROUND(M4*(1+K4/100),2)</x:f>
        <x:v>6015090</x:v>
      </x:c>
      <x:c r="U4" s="75" t="n">
        <x:f>ROUND(N4*(1+K4/100),2)</x:f>
        <x:v>6015090</x:v>
      </x:c>
    </x:row>
    <x:row r="5" ht="23" customHeight="1">
      <x:c r="A5" s="71" t="str">
        <x:v>1.19</x:v>
      </x:c>
      <x:c r="B5" s="72" t="str">
        <x:v>Keselamatan dan Kesehatan Kerja</x:v>
      </x:c>
      <x:c r="C5" s="73"/>
      <x:c r="D5" s="116" t="n">
        <x:v>1</x:v>
      </x:c>
      <x:c r="E5" s="116" t="n" cm="1">
        <x:f>D5</x:f>
        <x:v>1</x:v>
      </x:c>
      <x:c r="F5" s="116" t="n" cm="1">
        <x:f>D5</x:f>
        <x:v>1</x:v>
      </x:c>
      <x:c r="G5" s="17" t="str">
        <x:v>Ls</x:v>
      </x:c>
      <x:c r="H5" s="120" t="n">
        <x:v>529500</x:v>
      </x:c>
      <x:c r="I5" s="120" t="n">
        <x:v>529500</x:v>
      </x:c>
      <x:c r="J5" s="120" t="n">
        <x:f>I5</x:f>
        <x:v>529500</x:v>
      </x:c>
      <x:c r="K5" s="120" t="n">
        <x:v>11</x:v>
      </x:c>
      <x:c r="L5" s="120" t="n" cm="1">
        <x:f>D5*H5</x:f>
        <x:v>529500</x:v>
      </x:c>
      <x:c r="M5" s="120" t="n" cm="1">
        <x:f>E5*I5</x:f>
        <x:v>529500</x:v>
      </x:c>
      <x:c r="N5" s="121" t="n" cm="1">
        <x:f>F5*J5</x:f>
        <x:v>529500</x:v>
      </x:c>
      <x:c r="P5" t="str">
        <x:v>HPS sesuai rekap</x:v>
      </x:c>
      <x:c r="Q5" s="75" t="n">
        <x:v>399999400</x:v>
      </x:c>
      <x:c r="S5" s="75" t="n">
        <x:f>ROUND(L5*(1+K5/100),2)</x:f>
        <x:v>587745</x:v>
      </x:c>
      <x:c r="T5" s="75" t="n">
        <x:f>ROUND(M5*(1+K5/100),2)</x:f>
        <x:v>587745</x:v>
      </x:c>
      <x:c r="U5" s="75" t="n">
        <x:f>ROUND(N5*(1+K5/100),2)</x:f>
        <x:v>587745</x:v>
      </x:c>
    </x:row>
    <x:row r="6" ht="22" customHeight="1">
      <x:c r="A6" s="6"/>
      <x:c r="B6" s="7" t="str">
        <x:v>DIVISI 3. PEKERJAAN TANAH DAN GEOSINTETIK</x:v>
      </x:c>
      <x:c r="C6" s="8"/>
      <x:c r="D6" s="115"/>
      <x:c r="E6" s="115"/>
      <x:c r="F6" s="115"/>
      <x:c r="G6" s="10"/>
      <x:c r="H6" s="118"/>
      <x:c r="I6" s="118"/>
      <x:c r="J6" s="118"/>
      <x:c r="K6" s="118"/>
      <x:c r="L6" s="118" cm="1"/>
      <x:c r="M6" s="118" cm="1"/>
      <x:c r="N6" s="119" cm="1"/>
      <x:c r="P6" t="str">
        <x:v>Penawaran sesuai rekap</x:v>
      </x:c>
      <x:c r="Q6" s="75" t="n">
        <x:v>399863400</x:v>
      </x:c>
      <x:c r="S6" s="75"/>
      <x:c r="T6" s="75"/>
      <x:c r="U6" s="75"/>
    </x:row>
    <x:row r="7" ht="23" customHeight="1">
      <x:c r="A7" s="71" t="str">
        <x:v>3.1.(1)</x:v>
      </x:c>
      <x:c r="B7" s="72" t="str">
        <x:v>Galian Biasa/Perapihan</x:v>
      </x:c>
      <x:c r="C7" s="73"/>
      <x:c r="D7" s="116" t="n">
        <x:v>14331.5</x:v>
      </x:c>
      <x:c r="E7" s="116" t="n" cm="1">
        <x:f>D7</x:f>
        <x:v>14331.5</x:v>
      </x:c>
      <x:c r="F7" s="116" t="n" cm="1">
        <x:f>D7</x:f>
        <x:v>14331.5</x:v>
      </x:c>
      <x:c r="G7" s="17" t="str">
        <x:v>M3</x:v>
      </x:c>
      <x:c r="H7" s="120" t="n">
        <x:v>24729.47</x:v>
      </x:c>
      <x:c r="I7" s="120" t="n">
        <x:v>24720.99</x:v>
      </x:c>
      <x:c r="J7" s="120" t="n">
        <x:f>I7</x:f>
        <x:v>24720.99</x:v>
      </x:c>
      <x:c r="K7" s="120" t="n">
        <x:v>11</x:v>
      </x:c>
      <x:c r="L7" s="120" t="n" cm="1">
        <x:f>D7*H7</x:f>
        <x:v>354410399.305</x:v>
      </x:c>
      <x:c r="M7" s="120" t="n" cm="1">
        <x:f>E7*I7</x:f>
        <x:v>354288868.185</x:v>
      </x:c>
      <x:c r="N7" s="121" t="n" cm="1">
        <x:f>F7*J7</x:f>
        <x:v>354288868.185</x:v>
      </x:c>
      <x:c r="S7" s="75" t="n">
        <x:f>ROUND(L7*(1+K7/100),2)</x:f>
        <x:v>393395543.23</x:v>
      </x:c>
      <x:c r="T7" s="75" t="n">
        <x:f>ROUND(M7*(1+K7/100),2)</x:f>
        <x:v>393260643.69</x:v>
      </x:c>
      <x:c r="U7" s="75" t="n">
        <x:f>ROUND(N7*(1+K7/100),2)</x:f>
        <x:v>393260643.69</x:v>
      </x:c>
    </x:row>
    <x:row r="8" ht="29" customHeight="1">
      <x:c r="A8" s="104"/>
      <x:c r="B8" s="105"/>
      <x:c r="C8" s="105"/>
      <x:c r="D8" s="117"/>
      <x:c r="E8" s="117"/>
      <x:c r="F8" s="117"/>
      <x:c r="G8" s="106"/>
      <x:c r="H8" s="122"/>
      <x:c r="I8" s="122"/>
      <x:c r="J8" s="123"/>
      <x:c r="K8" s="124" t="str">
        <x:v>Jumlah Total (A)</x:v>
      </x:c>
      <x:c r="L8" s="125" t="n" cm="1">
        <x:f>SUM(L3:L7)</x:f>
        <x:v>360359899.305</x:v>
      </x:c>
      <x:c r="M8" s="125" t="n" cm="1">
        <x:f>SUM(M3:M7)</x:f>
        <x:v>360237368.185</x:v>
      </x:c>
      <x:c r="N8" s="125" t="n" cm="1">
        <x:f>SUM(N3:N7)</x:f>
        <x:v>360237368.185</x:v>
      </x:c>
      <x:c r="P8" t="str">
        <x:v>Sumber HPS</x:v>
      </x:c>
      <x:c r="Q8" t="str">
        <x:v>HPS - Normalisasi Saluran Sungai Bulubunggu.xlsm</x:v>
      </x:c>
    </x:row>
    <x:row r="9" ht="29" customHeight="1">
      <x:c r="A9" s="108"/>
      <x:c r="B9" s="105"/>
      <x:c r="C9" s="105"/>
      <x:c r="D9" s="117"/>
      <x:c r="E9" s="117" cm="1"/>
      <x:c r="F9" s="117" cm="1"/>
      <x:c r="G9" s="106"/>
      <x:c r="H9" s="122"/>
      <x:c r="I9" s="122"/>
      <x:c r="J9" s="123"/>
      <x:c r="K9" s="126" t="str">
        <x:v>Jumlah Terkena Pajak (B)</x:v>
      </x:c>
      <x:c r="L9" s="127" t="n" cm="1">
        <x:f>SUMIF($K3:$K7,"&gt;0",L3:L7)</x:f>
        <x:v>360359899.305</x:v>
      </x:c>
      <x:c r="M9" s="128" t="n" cm="1">
        <x:f>SUMIF($K3:$K7,"&gt;0",M3:M7)</x:f>
        <x:v>360237368.185</x:v>
      </x:c>
      <x:c r="N9" s="128" t="n" cm="1">
        <x:f>SUMIF($K3:$K7,"&gt;0",N3:N7)</x:f>
        <x:v>360237368.185</x:v>
      </x:c>
      <x:c r="P9" t="str">
        <x:v>Sumber penawaran</x:v>
      </x:c>
      <x:c r="Q9" t="str">
        <x:v>Penawaran - CV. BUMANTARA KARYA TEKNIK - Normalisasi Saluran Sungai Bulubunggu.xlsm</x:v>
      </x:c>
    </x:row>
    <x:row r="10" ht="29" customHeight="1">
      <x:c r="A10" s="104"/>
      <x:c r="B10" s="105"/>
      <x:c r="C10" s="105"/>
      <x:c r="D10" s="117"/>
      <x:c r="E10" s="117"/>
      <x:c r="F10" s="117"/>
      <x:c r="G10" s="106"/>
      <x:c r="H10" s="122"/>
      <x:c r="I10" s="122"/>
      <x:c r="J10" s="123"/>
      <x:c r="K10" s="129" t="str">
        <x:v>PPN (C)</x:v>
      </x:c>
      <x:c r="L10" s="130" t="n">
        <x:f>SUM(S3:S7)-L8</x:f>
        <x:v>39639588.92500001</x:v>
      </x:c>
      <x:c r="M10" s="128" t="n">
        <x:f>SUM(T3:T7)-M8</x:f>
        <x:v>39626110.504999995</x:v>
      </x:c>
      <x:c r="N10" s="128" t="n">
        <x:f>SUM(U3:U7)-N8</x:f>
        <x:v>39626110.504999995</x:v>
      </x:c>
      <x:c r="P10" t="str">
        <x:v>Format RAB</x:v>
      </x:c>
      <x:c r="Q10" t="str">
        <x:v>sample rab konstruksi.xlsx</x:v>
      </x:c>
    </x:row>
    <x:row r="11" ht="29" customHeight="1">
      <x:c r="A11" s="104"/>
      <x:c r="B11" s="105"/>
      <x:c r="C11" s="105"/>
      <x:c r="D11" s="117"/>
      <x:c r="E11" s="117"/>
      <x:c r="F11" s="117"/>
      <x:c r="G11" s="106"/>
      <x:c r="H11" s="122"/>
      <x:c r="I11" s="122"/>
      <x:c r="J11" s="123"/>
      <x:c r="K11" s="129" t="str">
        <x:v>Jumlah A + C</x:v>
      </x:c>
      <x:c r="L11" s="131" t="n">
        <x:f>L8+L10</x:f>
        <x:v>399999488.23</x:v>
      </x:c>
      <x:c r="M11" s="128" t="n">
        <x:f>M8+M10</x:f>
        <x:v>399863478.69</x:v>
      </x:c>
      <x:c r="N11" s="128" t="n">
        <x:f>N8+N10</x:f>
        <x:v>399863478.69</x:v>
      </x:c>
    </x:row>
    <x:row r="12" ht="29" customHeight="1">
      <x:c r="A12" s="104"/>
      <x:c r="B12" s="105"/>
      <x:c r="C12" s="105"/>
      <x:c r="D12" s="117"/>
      <x:c r="E12" s="117"/>
      <x:c r="F12" s="117"/>
      <x:c r="G12" s="106"/>
      <x:c r="H12" s="122"/>
      <x:c r="I12" s="122"/>
      <x:c r="J12" s="123"/>
      <x:c r="K12" s="129" t="str">
        <x:v>Jumlah Dibulatkan</x:v>
      </x:c>
      <x:c r="L12" s="127" t="n">
        <x:f>ROUND(L11,2)</x:f>
        <x:v>399999488.23</x:v>
      </x:c>
      <x:c r="M12" s="127" t="n">
        <x:f>ROUND(M11,2)</x:f>
        <x:v>399863478.69</x:v>
      </x:c>
      <x:c r="N12" s="127" t="n">
        <x:f>ROUND(N11,2)</x:f>
        <x:v>399863478.69</x:v>
      </x:c>
    </x:row>
    <x:row r="13" ht="8.75" customHeight="1">
      <x:c r="A13" s="32"/>
      <x:c r="B13" s="33"/>
      <x:c r="C13" s="38"/>
      <x:c r="D13" s="39"/>
      <x:c r="E13" s="39"/>
      <x:c r="F13" s="39"/>
      <x:c r="G13" s="40"/>
      <x:c r="H13" s="39"/>
      <x:c r="I13" s="39"/>
      <x:c r="J13" s="39"/>
      <x:c r="K13" s="39"/>
      <x:c r="L13" s="39"/>
      <x:c r="M13" s="39"/>
      <x:c r="N13" s="41"/>
    </x:row>
    <x:row r="14" ht="8.75" customHeight="1">
      <x:c r="A14" s="32"/>
      <x:c r="B14" s="33"/>
      <x:c r="C14" s="34"/>
      <x:c r="D14" s="35"/>
      <x:c r="E14" s="35"/>
      <x:c r="F14" s="35"/>
      <x:c r="G14" s="36"/>
      <x:c r="H14" s="35"/>
      <x:c r="I14" s="35"/>
      <x:c r="J14" s="35"/>
      <x:c r="K14" s="35"/>
      <x:c r="L14" s="35"/>
      <x:c r="M14" s="35"/>
      <x:c r="N14" s="37"/>
    </x:row>
    <x:row r="15" ht="8.75" customHeight="1">
      <x:c r="A15" s="32"/>
      <x:c r="B15" s="33"/>
      <x:c r="C15" s="38"/>
      <x:c r="D15" s="39"/>
      <x:c r="E15" s="39"/>
      <x:c r="F15" s="39"/>
      <x:c r="G15" s="40"/>
      <x:c r="H15" s="39"/>
      <x:c r="I15" s="39"/>
      <x:c r="J15" s="39"/>
      <x:c r="K15" s="39"/>
      <x:c r="L15" s="39"/>
      <x:c r="M15" s="39"/>
      <x:c r="N15" s="41"/>
    </x:row>
    <x:row r="16" ht="8.75" customHeight="1">
      <x:c r="A16" s="32"/>
      <x:c r="B16" s="33"/>
      <x:c r="C16" s="34"/>
      <x:c r="D16" s="35"/>
      <x:c r="E16" s="35"/>
      <x:c r="F16" s="35"/>
      <x:c r="G16" s="36"/>
      <x:c r="H16" s="35"/>
      <x:c r="I16" s="35"/>
      <x:c r="J16" s="35"/>
      <x:c r="K16" s="35"/>
      <x:c r="L16" s="35"/>
      <x:c r="M16" s="35"/>
      <x:c r="N16" s="37"/>
    </x:row>
    <x:row r="17" ht="8.75" customHeight="1">
      <x:c r="A17" s="32"/>
      <x:c r="B17" s="33"/>
      <x:c r="C17" s="38"/>
      <x:c r="D17" s="39"/>
      <x:c r="E17" s="39"/>
      <x:c r="F17" s="39"/>
      <x:c r="G17" s="40"/>
      <x:c r="H17" s="39"/>
      <x:c r="I17" s="39"/>
      <x:c r="J17" s="39"/>
      <x:c r="K17" s="39"/>
      <x:c r="L17" s="39"/>
      <x:c r="M17" s="39"/>
      <x:c r="N17" s="41"/>
    </x:row>
    <x:row r="18" ht="8.75" customHeight="1">
      <x:c r="A18" s="32"/>
      <x:c r="B18" s="33"/>
      <x:c r="C18" s="34"/>
      <x:c r="D18" s="35"/>
      <x:c r="E18" s="35"/>
      <x:c r="F18" s="35"/>
      <x:c r="G18" s="36"/>
      <x:c r="H18" s="36"/>
      <x:c r="I18" s="36"/>
      <x:c r="J18" s="36"/>
      <x:c r="K18" s="35"/>
      <x:c r="L18" s="36"/>
      <x:c r="M18" s="36"/>
      <x:c r="N18" s="42"/>
    </x:row>
    <x:row r="19" ht="8.75" customHeight="1">
      <x:c r="A19" s="32"/>
      <x:c r="B19" s="33"/>
      <x:c r="C19" s="38"/>
      <x:c r="D19" s="39"/>
      <x:c r="E19" s="39"/>
      <x:c r="F19" s="39"/>
      <x:c r="G19" s="40"/>
      <x:c r="H19" s="43"/>
      <x:c r="I19" s="43"/>
      <x:c r="J19" s="43"/>
      <x:c r="K19" s="39"/>
      <x:c r="L19" s="39"/>
      <x:c r="M19" s="39"/>
      <x:c r="N19" s="41"/>
    </x:row>
    <x:row r="20" ht="8.75" customHeight="1">
      <x:c r="A20" s="32"/>
      <x:c r="B20" s="33"/>
      <x:c r="C20" s="34"/>
      <x:c r="D20" s="35"/>
      <x:c r="E20" s="35"/>
      <x:c r="F20" s="35"/>
      <x:c r="G20" s="36"/>
      <x:c r="H20" s="36"/>
      <x:c r="I20" s="36"/>
      <x:c r="J20" s="36"/>
      <x:c r="K20" s="35"/>
      <x:c r="L20" s="36"/>
      <x:c r="M20" s="36"/>
      <x:c r="N20" s="42"/>
    </x:row>
    <x:row r="21" ht="8.75" customHeight="1">
      <x:c r="A21" s="32"/>
      <x:c r="B21" s="33"/>
      <x:c r="C21" s="38"/>
      <x:c r="D21" s="39"/>
      <x:c r="E21" s="39"/>
      <x:c r="F21" s="39"/>
      <x:c r="G21" s="40"/>
      <x:c r="H21" s="39"/>
      <x:c r="I21" s="39"/>
      <x:c r="J21" s="39"/>
      <x:c r="K21" s="39"/>
      <x:c r="L21" s="39"/>
      <x:c r="M21" s="39"/>
      <x:c r="N21" s="41"/>
    </x:row>
    <x:row r="22" ht="8.75" customHeight="1">
      <x:c r="A22" s="32"/>
      <x:c r="B22" s="33"/>
      <x:c r="C22" s="34"/>
      <x:c r="D22" s="35"/>
      <x:c r="E22" s="35"/>
      <x:c r="F22" s="35"/>
      <x:c r="G22" s="36"/>
      <x:c r="H22" s="35"/>
      <x:c r="I22" s="35"/>
      <x:c r="J22" s="35"/>
      <x:c r="K22" s="35"/>
      <x:c r="L22" s="35"/>
      <x:c r="M22" s="35"/>
      <x:c r="N22" s="37"/>
    </x:row>
    <x:row r="23" ht="8.75" customHeight="1">
      <x:c r="A23" s="44"/>
      <x:c r="B23" s="33"/>
      <x:c r="C23" s="38"/>
      <x:c r="D23" s="39"/>
      <x:c r="E23" s="39"/>
      <x:c r="F23" s="39"/>
      <x:c r="G23" s="40"/>
      <x:c r="H23" s="39"/>
      <x:c r="I23" s="39"/>
      <x:c r="J23" s="39"/>
      <x:c r="K23" s="39"/>
      <x:c r="L23" s="39"/>
      <x:c r="M23" s="39"/>
      <x:c r="N23" s="41"/>
    </x:row>
    <x:row r="24" ht="8.75" customHeight="1">
      <x:c r="A24" s="44"/>
      <x:c r="B24" s="33"/>
      <x:c r="C24" s="34"/>
      <x:c r="D24" s="35"/>
      <x:c r="E24" s="35"/>
      <x:c r="F24" s="35"/>
      <x:c r="G24" s="36"/>
      <x:c r="H24" s="35"/>
      <x:c r="I24" s="35"/>
      <x:c r="J24" s="35"/>
      <x:c r="K24" s="35"/>
      <x:c r="L24" s="35"/>
      <x:c r="M24" s="35"/>
      <x:c r="N24" s="37"/>
    </x:row>
    <x:row r="25" ht="8.75" customHeight="1">
      <x:c r="A25" s="32"/>
      <x:c r="B25" s="33"/>
      <x:c r="C25" s="38"/>
      <x:c r="D25" s="39"/>
      <x:c r="E25" s="39"/>
      <x:c r="F25" s="39"/>
      <x:c r="G25" s="40"/>
      <x:c r="H25" s="39"/>
      <x:c r="I25" s="39"/>
      <x:c r="J25" s="39"/>
      <x:c r="K25" s="39"/>
      <x:c r="L25" s="40"/>
      <x:c r="M25" s="40"/>
      <x:c r="N25" s="45"/>
    </x:row>
    <x:row r="26" ht="8.75" customHeight="1">
      <x:c r="A26" s="32"/>
      <x:c r="B26" s="33"/>
      <x:c r="C26" s="34"/>
      <x:c r="D26" s="35"/>
      <x:c r="E26" s="35"/>
      <x:c r="F26" s="35"/>
      <x:c r="G26" s="36"/>
      <x:c r="H26" s="35"/>
      <x:c r="I26" s="35"/>
      <x:c r="J26" s="35"/>
      <x:c r="K26" s="35"/>
      <x:c r="L26" s="35"/>
      <x:c r="M26" s="35"/>
      <x:c r="N26" s="37"/>
    </x:row>
    <x:row r="27" ht="8.75" customHeight="1">
      <x:c r="A27" s="32"/>
      <x:c r="B27" s="33"/>
      <x:c r="C27" s="38"/>
      <x:c r="D27" s="39"/>
      <x:c r="E27" s="39"/>
      <x:c r="F27" s="39"/>
      <x:c r="G27" s="40"/>
      <x:c r="H27" s="39"/>
      <x:c r="I27" s="39"/>
      <x:c r="J27" s="39"/>
      <x:c r="K27" s="39"/>
      <x:c r="L27" s="40"/>
      <x:c r="M27" s="40"/>
      <x:c r="N27" s="45"/>
    </x:row>
    <x:row r="28" ht="20.850000381469727" customHeight="1">
      <x:c r="A28" s="46"/>
      <x:c r="B28" s="47"/>
      <x:c r="C28" s="47"/>
      <x:c r="D28" s="48"/>
      <x:c r="E28" s="48"/>
      <x:c r="F28" s="48"/>
      <x:c r="G28" s="49"/>
      <x:c r="H28" s="49"/>
      <x:c r="I28" s="47"/>
      <x:c r="J28" s="50"/>
      <x:c r="K28" s="51"/>
      <x:c r="L28" s="52" cm="1">
        <x:f t="array" ref="L28"/>
      </x:c>
      <x:c r="M28" s="52" cm="1">
        <x:f t="array" ref="M28"/>
      </x:c>
      <x:c r="N28" s="52" cm="1">
        <x:f t="array" ref="N28"/>
      </x:c>
    </x:row>
    <x:row r="29" ht="21" customHeight="1">
      <x:c r="A29" s="53"/>
      <x:c r="B29" s="54"/>
      <x:c r="C29" s="55"/>
      <x:c r="D29" s="53" cm="1">
        <x:f t="array" ref="D29"/>
      </x:c>
      <x:c r="E29" s="56" cm="1">
        <x:f t="array" ref="E29"/>
      </x:c>
      <x:c r="F29" s="56" cm="1">
        <x:f t="array" ref="F29"/>
      </x:c>
      <x:c r="G29" s="57"/>
      <x:c r="H29" s="58"/>
      <x:c r="I29" s="59"/>
      <x:c r="J29" s="60"/>
      <x:c r="K29" s="60" cm="1">
        <x:f t="array" ref="K29"/>
      </x:c>
      <x:c r="L29" s="59" cm="1">
        <x:f t="array" ref="L29"/>
      </x:c>
      <x:c r="M29" s="61" cm="1">
        <x:f t="array" ref="M29"/>
      </x:c>
      <x:c r="N29" s="61" cm="1">
        <x:f t="array" ref="N29"/>
      </x:c>
    </x:row>
    <x:row r="30" ht="33" customHeight="1">
      <x:c r="A30" s="62"/>
      <x:c r="B30" s="63"/>
      <x:c r="C30" s="63"/>
      <x:c r="D30" s="64"/>
      <x:c r="E30" s="64"/>
      <x:c r="F30" s="64"/>
      <x:c r="G30" s="65"/>
      <x:c r="H30" s="65"/>
      <x:c r="I30" s="66"/>
      <x:c r="J30" s="67"/>
      <x:c r="K30" s="67" cm="1">
        <x:f t="array" ref="K30"/>
      </x:c>
      <x:c r="L30" s="66" cm="1">
        <x:f t="array" ref="L30"/>
      </x:c>
      <x:c r="M30" s="61" cm="1">
        <x:f t="array" ref="M30"/>
      </x:c>
      <x:c r="N30" s="61" cm="1">
        <x:f t="array" ref="N30"/>
      </x:c>
    </x:row>
    <x:row r="31" ht="21" customHeight="1">
      <x:c r="A31" s="62"/>
      <x:c r="B31" s="63"/>
      <x:c r="C31" s="63"/>
      <x:c r="D31" s="63"/>
      <x:c r="E31" s="68"/>
      <x:c r="F31" s="68"/>
      <x:c r="G31" s="65"/>
      <x:c r="H31" s="65"/>
      <x:c r="I31" s="63"/>
      <x:c r="J31" s="67"/>
      <x:c r="K31" s="69"/>
      <x:c r="L31" s="70" cm="1">
        <x:f t="array" ref="L31"/>
      </x:c>
      <x:c r="M31" s="61" cm="1">
        <x:f t="array" ref="M31"/>
      </x:c>
      <x:c r="N31" s="61" cm="1">
        <x:f t="array" ref="N31"/>
      </x:c>
    </x:row>
    <x:row r="32" ht="20.5" customHeight="1">
      <x:c r="A32" s="62"/>
      <x:c r="B32" s="63"/>
      <x:c r="C32" s="63"/>
      <x:c r="D32" s="65"/>
      <x:c r="E32" s="65"/>
      <x:c r="F32" s="68"/>
      <x:c r="G32" s="65"/>
      <x:c r="H32" s="65"/>
      <x:c r="I32" s="63"/>
      <x:c r="J32" s="67"/>
      <x:c r="K32" s="69"/>
      <x:c r="L32" s="59" cm="1">
        <x:f t="array" ref="L32"/>
      </x:c>
      <x:c r="M32" s="59" cm="1">
        <x:f t="array" ref="M32"/>
      </x:c>
      <x:c r="N32" s="59" cm="1">
        <x:f t="array" ref="N32"/>
      </x:c>
    </x:row>
  </x:sheetData>
  <x:mergeCells>
    <x:mergeCell ref="D1:F1"/>
    <x:mergeCell ref="H1:J1"/>
    <x:mergeCell ref="L1:N1"/>
    <x:mergeCell ref="A1:A2"/>
    <x:mergeCell ref="B1:C2"/>
    <x:mergeCell ref="G1:G2"/>
    <x:mergeCell ref="K1:K2"/>
    <x:mergeCell ref="B3:N3"/>
    <x:mergeCell ref="B4:C4"/>
    <x:mergeCell ref="B5:C5"/>
    <x:mergeCell ref="B6:N6"/>
    <x:mergeCell ref="B7:C7"/>
  </x:mergeCells>
  <x:pageMargins left="0.7" right="0.7" top="0.75" bottom="0.75" header="0.3" footer="0.3"/>
</x:worksheet>
</file>