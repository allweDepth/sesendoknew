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4731c586a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55875f79758942b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<x:sst xmlns:x="http://schemas.openxmlformats.org/spreadsheetml/2006/main">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</x:sst>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71d7fac6042ee" /><Relationship Type="http://schemas.openxmlformats.org/officeDocument/2006/relationships/theme" Target="/xl/theme/theme1.xml" Id="Rdab96d5f76984dd3" /><Relationship Type="http://schemas.openxmlformats.org/officeDocument/2006/relationships/sheetMetadata" Target="/xl/metadata1.xml" Id="R44a9fbc656504abe" /><Relationship Type="http://schemas.openxmlformats.org/officeDocument/2006/relationships/sharedStrings" Target="/xl/sharedStrings.xml" Id="R36bf9a18c77040c2" /><Relationship Type="http://schemas.openxmlformats.org/officeDocument/2006/relationships/worksheet" Target="/xl/worksheets/sheet1.xml" Id="R55875f79758942b0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60879306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Normalisasi Sungai/Saluran Desa Tirtabuana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MULIA NARATAMA DAYA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5160000</x:v>
      </x:c>
      <x:c r="I4" s="120" t="n">
        <x:v>5159000</x:v>
      </x:c>
      <x:c r="J4" s="120" t="n">
        <x:f>I4</x:f>
        <x:v>5159000</x:v>
      </x:c>
      <x:c r="K4" s="120" t="n">
        <x:v>11</x:v>
      </x:c>
      <x:c r="L4" s="120" t="n" cm="1">
        <x:f>D4*H4</x:f>
        <x:v>5160000</x:v>
      </x:c>
      <x:c r="M4" s="120" t="n" cm="1">
        <x:f>E4*I4</x:f>
        <x:v>5159000</x:v>
      </x:c>
      <x:c r="N4" s="121" t="n" cm="1">
        <x:f>F4*J4</x:f>
        <x:v>5159000</x:v>
      </x:c>
      <x:c r="P4" t="str">
        <x:v>Pagu Anggaran</x:v>
      </x:c>
      <x:c r="Q4" s="75" t="n">
        <x:v>358000000</x:v>
      </x:c>
      <x:c r="S4" s="75" t="n">
        <x:f>ROUND(L4*(1+K4/100),2)</x:f>
        <x:v>5727600</x:v>
      </x:c>
      <x:c r="T4" s="75" t="n">
        <x:f>ROUND(M4*(1+K4/100),2)</x:f>
        <x:v>5726490</x:v>
      </x:c>
      <x:c r="U4" s="75" t="n">
        <x:f>ROUND(N4*(1+K4/100),2)</x:f>
        <x:v>5726490</x:v>
      </x:c>
    </x:row>
    <x:row r="5" ht="23" customHeight="1">
      <x:c r="A5" s="71" t="str">
        <x:v>1.19</x:v>
      </x:c>
      <x:c r="B5" s="72" t="str">
        <x:v>Keselamatan dan Kesehatan Kerja</x:v>
      </x:c>
      <x:c r="C5" s="73"/>
      <x:c r="D5" s="116" t="n">
        <x:v>1</x:v>
      </x:c>
      <x:c r="E5" s="116" t="n" cm="1">
        <x:f>D5</x:f>
        <x:v>1</x:v>
      </x:c>
      <x:c r="F5" s="116" t="n" cm="1">
        <x:f>D5</x:f>
        <x:v>1</x:v>
      </x:c>
      <x:c r="G5" s="17" t="str">
        <x:v>Ls</x:v>
      </x:c>
      <x:c r="H5" s="120" t="n">
        <x:v>491500</x:v>
      </x:c>
      <x:c r="I5" s="120" t="n">
        <x:v>491500</x:v>
      </x:c>
      <x:c r="J5" s="120" t="n">
        <x:f>I5</x:f>
        <x:v>491500</x:v>
      </x:c>
      <x:c r="K5" s="120" t="n">
        <x:v>11</x:v>
      </x:c>
      <x:c r="L5" s="120" t="n" cm="1">
        <x:f>D5*H5</x:f>
        <x:v>491500</x:v>
      </x:c>
      <x:c r="M5" s="120" t="n" cm="1">
        <x:f>E5*I5</x:f>
        <x:v>491500</x:v>
      </x:c>
      <x:c r="N5" s="121" t="n" cm="1">
        <x:f>F5*J5</x:f>
        <x:v>491500</x:v>
      </x:c>
      <x:c r="P5" t="str">
        <x:v>HPS sesuai rekap</x:v>
      </x:c>
      <x:c r="Q5" s="75" t="n">
        <x:v>358000000</x:v>
      </x:c>
      <x:c r="S5" s="75" t="n">
        <x:f>ROUND(L5*(1+K5/100),2)</x:f>
        <x:v>545565</x:v>
      </x:c>
      <x:c r="T5" s="75" t="n">
        <x:f>ROUND(M5*(1+K5/100),2)</x:f>
        <x:v>545565</x:v>
      </x:c>
      <x:c r="U5" s="75" t="n">
        <x:f>ROUND(N5*(1+K5/100),2)</x:f>
        <x:v>545565</x:v>
      </x:c>
    </x:row>
    <x:row r="6" ht="22" customHeight="1">
      <x:c r="A6" s="6"/>
      <x:c r="B6" s="7" t="str">
        <x:v>DIVISI 3. PEKERJAAN TANAH DAN GEOSINTETIK</x:v>
      </x:c>
      <x:c r="C6" s="8"/>
      <x:c r="D6" s="115"/>
      <x:c r="E6" s="115"/>
      <x:c r="F6" s="115"/>
      <x:c r="G6" s="10"/>
      <x:c r="H6" s="118"/>
      <x:c r="I6" s="118"/>
      <x:c r="J6" s="118"/>
      <x:c r="K6" s="118"/>
      <x:c r="L6" s="118" cm="1"/>
      <x:c r="M6" s="118" cm="1"/>
      <x:c r="N6" s="119" cm="1"/>
      <x:c r="P6" t="str">
        <x:v>Penawaran sesuai rekap</x:v>
      </x:c>
      <x:c r="Q6" s="75" t="n">
        <x:v>357878300</x:v>
      </x:c>
      <x:c r="S6" s="75"/>
      <x:c r="T6" s="75"/>
      <x:c r="U6" s="75"/>
    </x:row>
    <x:row r="7" ht="23" customHeight="1">
      <x:c r="A7" s="71" t="str">
        <x:v>3.1.(1)</x:v>
      </x:c>
      <x:c r="B7" s="72" t="str">
        <x:v>Galian Biasa/Perapihan</x:v>
      </x:c>
      <x:c r="C7" s="73"/>
      <x:c r="D7" s="116" t="n">
        <x:v>12813.5</x:v>
      </x:c>
      <x:c r="E7" s="116" t="n" cm="1">
        <x:f>D7</x:f>
        <x:v>12813.5</x:v>
      </x:c>
      <x:c r="F7" s="116" t="n" cm="1">
        <x:f>D7</x:f>
        <x:v>12813.5</x:v>
      </x:c>
      <x:c r="G7" s="17" t="str">
        <x:v>M3</x:v>
      </x:c>
      <x:c r="H7" s="120" t="n">
        <x:v>24729.47</x:v>
      </x:c>
      <x:c r="I7" s="120" t="n">
        <x:v>24720.99</x:v>
      </x:c>
      <x:c r="J7" s="120" t="n">
        <x:f>I7</x:f>
        <x:v>24720.99</x:v>
      </x:c>
      <x:c r="K7" s="120" t="n">
        <x:v>11</x:v>
      </x:c>
      <x:c r="L7" s="120" t="n" cm="1">
        <x:f>D7*H7</x:f>
        <x:v>316871063.845</x:v>
      </x:c>
      <x:c r="M7" s="120" t="n" cm="1">
        <x:f>E7*I7</x:f>
        <x:v>316762405.365</x:v>
      </x:c>
      <x:c r="N7" s="121" t="n" cm="1">
        <x:f>F7*J7</x:f>
        <x:v>316762405.365</x:v>
      </x:c>
      <x:c r="S7" s="75" t="n">
        <x:f>ROUND(L7*(1+K7/100),2)</x:f>
        <x:v>351726880.87</x:v>
      </x:c>
      <x:c r="T7" s="75" t="n">
        <x:f>ROUND(M7*(1+K7/100),2)</x:f>
        <x:v>351606269.96</x:v>
      </x:c>
      <x:c r="U7" s="75" t="n">
        <x:f>ROUND(N7*(1+K7/100),2)</x:f>
        <x:v>351606269.96</x:v>
      </x:c>
    </x:row>
    <x:row r="8" ht="29" customHeight="1">
      <x:c r="A8" s="104"/>
      <x:c r="B8" s="105"/>
      <x:c r="C8" s="105"/>
      <x:c r="D8" s="117"/>
      <x:c r="E8" s="117"/>
      <x:c r="F8" s="117"/>
      <x:c r="G8" s="106"/>
      <x:c r="H8" s="122"/>
      <x:c r="I8" s="122"/>
      <x:c r="J8" s="123"/>
      <x:c r="K8" s="124" t="str">
        <x:v>Jumlah Total (A)</x:v>
      </x:c>
      <x:c r="L8" s="125" t="n" cm="1">
        <x:f>SUM(L3:L7)</x:f>
        <x:v>322522563.845</x:v>
      </x:c>
      <x:c r="M8" s="125" t="n" cm="1">
        <x:f>SUM(M3:M7)</x:f>
        <x:v>322412905.365</x:v>
      </x:c>
      <x:c r="N8" s="125" t="n" cm="1">
        <x:f>SUM(N3:N7)</x:f>
        <x:v>322412905.365</x:v>
      </x:c>
      <x:c r="P8" t="str">
        <x:v>Sumber HPS</x:v>
      </x:c>
      <x:c r="Q8" t="str">
        <x:v>HPS - Normalisasi Sungai Saluran Desa Tirtabuana.xlsm</x:v>
      </x:c>
    </x:row>
    <x:row r="9" ht="29" customHeight="1">
      <x:c r="A9" s="108"/>
      <x:c r="B9" s="105"/>
      <x:c r="C9" s="105"/>
      <x:c r="D9" s="117"/>
      <x:c r="E9" s="117" cm="1"/>
      <x:c r="F9" s="117" cm="1"/>
      <x:c r="G9" s="106"/>
      <x:c r="H9" s="122"/>
      <x:c r="I9" s="122"/>
      <x:c r="J9" s="123"/>
      <x:c r="K9" s="126" t="str">
        <x:v>Jumlah Terkena Pajak (B)</x:v>
      </x:c>
      <x:c r="L9" s="127" t="n" cm="1">
        <x:f>SUMIF($K3:$K7,"&gt;0",L3:L7)</x:f>
        <x:v>322522563.845</x:v>
      </x:c>
      <x:c r="M9" s="128" t="n" cm="1">
        <x:f>SUMIF($K3:$K7,"&gt;0",M3:M7)</x:f>
        <x:v>322412905.365</x:v>
      </x:c>
      <x:c r="N9" s="128" t="n" cm="1">
        <x:f>SUMIF($K3:$K7,"&gt;0",N3:N7)</x:f>
        <x:v>322412905.365</x:v>
      </x:c>
      <x:c r="P9" t="str">
        <x:v>Sumber penawaran</x:v>
      </x:c>
      <x:c r="Q9" t="str">
        <x:v>Penawaran - CV. MULIA NARATAMA DAYA - Normalisasi Sungai Saluran Desa Tirtabuana.xlsm</x:v>
      </x:c>
    </x:row>
    <x:row r="10" ht="29" customHeight="1">
      <x:c r="A10" s="104"/>
      <x:c r="B10" s="105"/>
      <x:c r="C10" s="105"/>
      <x:c r="D10" s="117"/>
      <x:c r="E10" s="117"/>
      <x:c r="F10" s="117"/>
      <x:c r="G10" s="106"/>
      <x:c r="H10" s="122"/>
      <x:c r="I10" s="122"/>
      <x:c r="J10" s="123"/>
      <x:c r="K10" s="129" t="str">
        <x:v>PPN (C)</x:v>
      </x:c>
      <x:c r="L10" s="130" t="n">
        <x:f>SUM(S3:S7)-L8</x:f>
        <x:v>35477482.024999976</x:v>
      </x:c>
      <x:c r="M10" s="128" t="n">
        <x:f>SUM(T3:T7)-M8</x:f>
        <x:v>35465419.59499997</x:v>
      </x:c>
      <x:c r="N10" s="128" t="n">
        <x:f>SUM(U3:U7)-N8</x:f>
        <x:v>35465419.59499997</x:v>
      </x:c>
      <x:c r="P10" t="str">
        <x:v>Format RAB</x:v>
      </x:c>
      <x:c r="Q10" t="str">
        <x:v>sample rab konstruksi.xlsx</x:v>
      </x:c>
    </x:row>
    <x:row r="11" ht="29" customHeight="1">
      <x:c r="A11" s="104"/>
      <x:c r="B11" s="105"/>
      <x:c r="C11" s="105"/>
      <x:c r="D11" s="117"/>
      <x:c r="E11" s="117"/>
      <x:c r="F11" s="117"/>
      <x:c r="G11" s="106"/>
      <x:c r="H11" s="122"/>
      <x:c r="I11" s="122"/>
      <x:c r="J11" s="123"/>
      <x:c r="K11" s="129" t="str">
        <x:v>Jumlah A + C</x:v>
      </x:c>
      <x:c r="L11" s="131" t="n">
        <x:f>L8+L10</x:f>
        <x:v>358000045.87</x:v>
      </x:c>
      <x:c r="M11" s="128" t="n">
        <x:f>M8+M10</x:f>
        <x:v>357878324.96</x:v>
      </x:c>
      <x:c r="N11" s="128" t="n">
        <x:f>N8+N10</x:f>
        <x:v>357878324.96</x:v>
      </x:c>
    </x:row>
    <x:row r="12" ht="29" customHeight="1">
      <x:c r="A12" s="104"/>
      <x:c r="B12" s="105"/>
      <x:c r="C12" s="105"/>
      <x:c r="D12" s="117"/>
      <x:c r="E12" s="117"/>
      <x:c r="F12" s="117"/>
      <x:c r="G12" s="106"/>
      <x:c r="H12" s="122"/>
      <x:c r="I12" s="122"/>
      <x:c r="J12" s="123"/>
      <x:c r="K12" s="129" t="str">
        <x:v>Jumlah Dibulatkan</x:v>
      </x:c>
      <x:c r="L12" s="127" t="n">
        <x:f>ROUND(L11,2)</x:f>
        <x:v>358000045.87</x:v>
      </x:c>
      <x:c r="M12" s="127" t="n">
        <x:f>ROUND(M11,2)</x:f>
        <x:v>357878324.96</x:v>
      </x:c>
      <x:c r="N12" s="127" t="n">
        <x:f>ROUND(N11,2)</x:f>
        <x:v>357878324.96</x:v>
      </x:c>
    </x:row>
    <x:row r="13" ht="8.75" customHeight="1">
      <x:c r="A13" s="32"/>
      <x:c r="B13" s="33"/>
      <x:c r="C13" s="38"/>
      <x:c r="D13" s="39"/>
      <x:c r="E13" s="39"/>
      <x:c r="F13" s="39"/>
      <x:c r="G13" s="40"/>
      <x:c r="H13" s="39"/>
      <x:c r="I13" s="39"/>
      <x:c r="J13" s="39"/>
      <x:c r="K13" s="39"/>
      <x:c r="L13" s="39"/>
      <x:c r="M13" s="39"/>
      <x:c r="N13" s="41"/>
    </x:row>
    <x:row r="14" ht="8.75" customHeight="1">
      <x:c r="A14" s="32"/>
      <x:c r="B14" s="33"/>
      <x:c r="C14" s="34"/>
      <x:c r="D14" s="35"/>
      <x:c r="E14" s="35"/>
      <x:c r="F14" s="35"/>
      <x:c r="G14" s="36"/>
      <x:c r="H14" s="35"/>
      <x:c r="I14" s="35"/>
      <x:c r="J14" s="35"/>
      <x:c r="K14" s="35"/>
      <x:c r="L14" s="35"/>
      <x:c r="M14" s="35"/>
      <x:c r="N14" s="37"/>
    </x:row>
    <x:row r="15" ht="8.75" customHeight="1">
      <x:c r="A15" s="32"/>
      <x:c r="B15" s="33"/>
      <x:c r="C15" s="38"/>
      <x:c r="D15" s="39"/>
      <x:c r="E15" s="39"/>
      <x:c r="F15" s="39"/>
      <x:c r="G15" s="40"/>
      <x:c r="H15" s="39"/>
      <x:c r="I15" s="39"/>
      <x:c r="J15" s="39"/>
      <x:c r="K15" s="39"/>
      <x:c r="L15" s="39"/>
      <x:c r="M15" s="39"/>
      <x:c r="N15" s="41"/>
    </x:row>
    <x:row r="16" ht="8.75" customHeight="1">
      <x:c r="A16" s="32"/>
      <x:c r="B16" s="33"/>
      <x:c r="C16" s="34"/>
      <x:c r="D16" s="35"/>
      <x:c r="E16" s="35"/>
      <x:c r="F16" s="35"/>
      <x:c r="G16" s="36"/>
      <x:c r="H16" s="35"/>
      <x:c r="I16" s="35"/>
      <x:c r="J16" s="35"/>
      <x:c r="K16" s="35"/>
      <x:c r="L16" s="35"/>
      <x:c r="M16" s="35"/>
      <x:c r="N16" s="37"/>
    </x:row>
    <x:row r="17" ht="8.75" customHeight="1">
      <x:c r="A17" s="32"/>
      <x:c r="B17" s="33"/>
      <x:c r="C17" s="38"/>
      <x:c r="D17" s="39"/>
      <x:c r="E17" s="39"/>
      <x:c r="F17" s="39"/>
      <x:c r="G17" s="40"/>
      <x:c r="H17" s="39"/>
      <x:c r="I17" s="39"/>
      <x:c r="J17" s="39"/>
      <x:c r="K17" s="39"/>
      <x:c r="L17" s="39"/>
      <x:c r="M17" s="39"/>
      <x:c r="N17" s="41"/>
    </x:row>
    <x:row r="18" ht="8.75" customHeight="1">
      <x:c r="A18" s="32"/>
      <x:c r="B18" s="33"/>
      <x:c r="C18" s="34"/>
      <x:c r="D18" s="35"/>
      <x:c r="E18" s="35"/>
      <x:c r="F18" s="35"/>
      <x:c r="G18" s="36"/>
      <x:c r="H18" s="36"/>
      <x:c r="I18" s="36"/>
      <x:c r="J18" s="36"/>
      <x:c r="K18" s="35"/>
      <x:c r="L18" s="36"/>
      <x:c r="M18" s="36"/>
      <x:c r="N18" s="42"/>
    </x:row>
    <x:row r="19" ht="8.75" customHeight="1">
      <x:c r="A19" s="32"/>
      <x:c r="B19" s="33"/>
      <x:c r="C19" s="38"/>
      <x:c r="D19" s="39"/>
      <x:c r="E19" s="39"/>
      <x:c r="F19" s="39"/>
      <x:c r="G19" s="40"/>
      <x:c r="H19" s="43"/>
      <x:c r="I19" s="43"/>
      <x:c r="J19" s="43"/>
      <x:c r="K19" s="39"/>
      <x:c r="L19" s="39"/>
      <x:c r="M19" s="39"/>
      <x:c r="N19" s="41"/>
    </x:row>
    <x:row r="20" ht="8.75" customHeight="1">
      <x:c r="A20" s="32"/>
      <x:c r="B20" s="33"/>
      <x:c r="C20" s="34"/>
      <x:c r="D20" s="35"/>
      <x:c r="E20" s="35"/>
      <x:c r="F20" s="35"/>
      <x:c r="G20" s="36"/>
      <x:c r="H20" s="36"/>
      <x:c r="I20" s="36"/>
      <x:c r="J20" s="36"/>
      <x:c r="K20" s="35"/>
      <x:c r="L20" s="36"/>
      <x:c r="M20" s="36"/>
      <x:c r="N20" s="42"/>
    </x:row>
    <x:row r="21" ht="8.75" customHeight="1">
      <x:c r="A21" s="32"/>
      <x:c r="B21" s="33"/>
      <x:c r="C21" s="38"/>
      <x:c r="D21" s="39"/>
      <x:c r="E21" s="39"/>
      <x:c r="F21" s="39"/>
      <x:c r="G21" s="40"/>
      <x:c r="H21" s="39"/>
      <x:c r="I21" s="39"/>
      <x:c r="J21" s="39"/>
      <x:c r="K21" s="39"/>
      <x:c r="L21" s="39"/>
      <x:c r="M21" s="39"/>
      <x:c r="N21" s="41"/>
    </x:row>
    <x:row r="22" ht="8.75" customHeight="1">
      <x:c r="A22" s="32"/>
      <x:c r="B22" s="33"/>
      <x:c r="C22" s="34"/>
      <x:c r="D22" s="35"/>
      <x:c r="E22" s="35"/>
      <x:c r="F22" s="35"/>
      <x:c r="G22" s="36"/>
      <x:c r="H22" s="35"/>
      <x:c r="I22" s="35"/>
      <x:c r="J22" s="35"/>
      <x:c r="K22" s="35"/>
      <x:c r="L22" s="35"/>
      <x:c r="M22" s="35"/>
      <x:c r="N22" s="37"/>
    </x:row>
    <x:row r="23" ht="8.75" customHeight="1">
      <x:c r="A23" s="44"/>
      <x:c r="B23" s="33"/>
      <x:c r="C23" s="38"/>
      <x:c r="D23" s="39"/>
      <x:c r="E23" s="39"/>
      <x:c r="F23" s="39"/>
      <x:c r="G23" s="40"/>
      <x:c r="H23" s="39"/>
      <x:c r="I23" s="39"/>
      <x:c r="J23" s="39"/>
      <x:c r="K23" s="39"/>
      <x:c r="L23" s="39"/>
      <x:c r="M23" s="39"/>
      <x:c r="N23" s="41"/>
    </x:row>
    <x:row r="24" ht="8.75" customHeight="1">
      <x:c r="A24" s="44"/>
      <x:c r="B24" s="33"/>
      <x:c r="C24" s="34"/>
      <x:c r="D24" s="35"/>
      <x:c r="E24" s="35"/>
      <x:c r="F24" s="35"/>
      <x:c r="G24" s="36"/>
      <x:c r="H24" s="35"/>
      <x:c r="I24" s="35"/>
      <x:c r="J24" s="35"/>
      <x:c r="K24" s="35"/>
      <x:c r="L24" s="35"/>
      <x:c r="M24" s="35"/>
      <x:c r="N24" s="37"/>
    </x:row>
    <x:row r="25" ht="8.75" customHeight="1">
      <x:c r="A25" s="32"/>
      <x:c r="B25" s="33"/>
      <x:c r="C25" s="38"/>
      <x:c r="D25" s="39"/>
      <x:c r="E25" s="39"/>
      <x:c r="F25" s="39"/>
      <x:c r="G25" s="40"/>
      <x:c r="H25" s="39"/>
      <x:c r="I25" s="39"/>
      <x:c r="J25" s="39"/>
      <x:c r="K25" s="39"/>
      <x:c r="L25" s="40"/>
      <x:c r="M25" s="40"/>
      <x:c r="N25" s="45"/>
    </x:row>
    <x:row r="26" ht="8.75" customHeight="1">
      <x:c r="A26" s="32"/>
      <x:c r="B26" s="33"/>
      <x:c r="C26" s="34"/>
      <x:c r="D26" s="35"/>
      <x:c r="E26" s="35"/>
      <x:c r="F26" s="35"/>
      <x:c r="G26" s="36"/>
      <x:c r="H26" s="35"/>
      <x:c r="I26" s="35"/>
      <x:c r="J26" s="35"/>
      <x:c r="K26" s="35"/>
      <x:c r="L26" s="35"/>
      <x:c r="M26" s="35"/>
      <x:c r="N26" s="37"/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</x:mergeCells>
  <x:pageMargins left="0.7" right="0.7" top="0.75" bottom="0.75" header="0.3" footer="0.3"/>
</x:worksheet>
</file>