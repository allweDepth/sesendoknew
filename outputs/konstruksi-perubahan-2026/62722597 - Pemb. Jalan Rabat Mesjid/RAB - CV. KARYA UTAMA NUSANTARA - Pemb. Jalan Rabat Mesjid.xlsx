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96961a5a7c43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2e6e309b1cd54e5b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<x:sst xmlns:x="http://schemas.openxmlformats.org/spreadsheetml/2006/main">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</x:sst>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Verdana"/>
    </x:font>
    <x:font>
      <x:b/>
      <x:sz val="11"/>
      <x:color rgb="FFFFFFFF"/>
      <x:name val="Verdana"/>
    </x:font>
    <x:font>
      <x:b/>
      <x:sz val="11"/>
      <x:color rgb="FF51426C"/>
      <x:name val="Verdana"/>
    </x:font>
    <x:font>
      <x:b/>
      <x:sz val="12"/>
      <x:color rgb="FF51426C"/>
      <x:name val="Verdana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51426C"/>
      </x:patternFill>
    </x:fill>
    <x:fill>
      <x:patternFill patternType="solid">
        <x:fgColor rgb="FFF1EEF6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51426C"/>
      </x:bottom>
      <x:diagonal/>
    </x:border>
    <x:border>
      <x:left/>
      <x:right/>
      <x:top/>
      <x:bottom style="double">
        <x:color rgb="FF51426C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70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0" fontId="6" borderId="27" applyNumberFormat="0" applyFont="1" applyFill="1" applyBorder="1" applyAlignment="1" applyProtection="0" xfId="0" fillId="6">
      <x:alignment vertical="top" wrapText="1"/>
    </x:xf>
    <x:xf numFmtId="0" fontId="6" borderId="27" applyNumberFormat="0" applyFont="1" applyFill="1" applyBorder="1" applyAlignment="1" applyProtection="0" xfId="0" fillId="6">
      <x:alignment vertical="center" wrapText="1"/>
    </x:xf>
    <x:xf numFmtId="0" fontId="6" borderId="27" applyNumberFormat="0" applyFont="1" applyFill="1" applyBorder="1" applyAlignment="1" applyProtection="0" xfId="0" fillId="6">
      <x:alignment vertical="top" wrapText="1"/>
    </x:xf>
    <x:xf numFmtId="0" fontId="6" borderId="27" applyNumberFormat="0" applyFont="1" applyFill="1" applyBorder="1" applyAlignment="1" applyProtection="0" xfId="0" fillId="6">
      <x:alignment vertical="center" wrapText="1"/>
    </x:xf>
    <x:xf numFmtId="49" fontId="6" borderId="27" applyNumberFormat="1" applyFont="1" applyFill="1" applyBorder="1" applyAlignment="1" applyProtection="0" xfId="0" fillId="6">
      <x:alignment horizontal="right" vertical="top"/>
    </x:xf>
    <x:xf numFmtId="49" fontId="6" borderId="27" applyNumberFormat="1" applyFont="1" applyFill="1" applyBorder="1" applyAlignment="1" applyProtection="0" xfId="0" fillId="6">
      <x:alignment horizontal="right"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0" fontId="6" borderId="27" applyNumberFormat="0" applyFont="1" applyFill="1" applyBorder="1" applyAlignment="1" applyProtection="0" xfId="0" fillId="6">
      <x:alignment horizontal="right" vertical="top"/>
    </x:xf>
    <x:xf numFmtId="0" fontId="6" borderId="27" applyNumberFormat="0" applyFont="1" applyFill="1" applyBorder="1" applyAlignment="1" applyProtection="0" xfId="0" fillId="6">
      <x:alignment horizontal="right"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0" fontId="6" borderId="27" applyNumberFormat="0" applyFont="1" applyFill="1" applyBorder="1" applyAlignment="1" applyProtection="0" xfId="0" fillId="6">
      <x:alignment horizontal="right" vertical="top"/>
    </x:xf>
    <x:xf numFmtId="0" fontId="6" borderId="27" applyNumberFormat="0" applyFont="1" applyFill="1" applyBorder="1" applyAlignment="1" applyProtection="0" xfId="0" fillId="6">
      <x:alignment horizontal="right"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0" fontId="4" borderId="24" applyNumberFormat="0" applyFont="1" applyFill="1" applyBorder="1" applyAlignment="1" applyProtection="0" xfId="0" fillId="4">
      <x:alignment vertical="center" wrapText="1"/>
    </x:xf>
    <x:xf numFmtId="0" fontId="4" borderId="24" applyNumberFormat="0" applyFont="1" applyFill="1" applyBorder="1" applyAlignment="1" applyProtection="0" xfId="0" fillId="4">
      <x:alignment vertical="center" wrapText="0" horizontal="right"/>
    </x:xf>
    <x:xf numFmtId="0" fontId="4" borderId="24" applyNumberFormat="0" applyFont="1" applyFill="1" applyBorder="1" applyAlignment="1" applyProtection="0" xfId="0" fillId="4">
      <x:alignment vertical="center" wrapText="1"/>
    </x:xf>
    <x:xf numFmtId="0" fontId="4" borderId="24" applyNumberFormat="0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0" fontId="6" borderId="27" applyNumberFormat="0" applyFont="1" applyFill="1" applyBorder="1" applyAlignment="1" applyProtection="0" xfId="0" fillId="6">
      <x:alignment vertical="center" wrapText="0" horizontal="right"/>
    </x:xf>
    <x:xf numFmtId="0" fontId="6" borderId="27" applyNumberFormat="0" applyFont="1" applyFill="1" applyBorder="1" applyAlignment="1" applyProtection="0" xfId="0" fillId="6">
      <x:alignment vertical="center" wrapText="0" horizontal="right"/>
    </x:xf>
    <x:xf numFmtId="0" fontId="6" borderId="27" applyNumberFormat="0" applyFont="1" applyFill="1" applyBorder="1" applyAlignment="1" applyProtection="0" xfId="0" fillId="6">
      <x:alignment vertical="center" wrapText="0" horizontal="right"/>
    </x:xf>
    <x:xf numFmtId="0" fontId="6" borderId="27" applyNumberFormat="0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center" wrapText="1" horizontal="center"/>
    </x:xf>
    <x:xf numFmtId="0" fontId="4" borderId="24" applyNumberFormat="0" applyFont="1" applyFill="1" applyBorder="1" applyAlignment="1" applyProtection="0" xfId="0" fillId="4">
      <x:alignment horizontal="right" vertical="top"/>
    </x:xf>
    <x:xf numFmtId="0" fontId="4" borderId="24" applyNumberFormat="0" applyFont="1" applyFill="1" applyBorder="1" applyAlignment="1" applyProtection="0" xfId="0" fillId="4">
      <x:alignment horizontal="center" vertical="center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center" wrapText="1" horizontal="center"/>
    </x:xf>
    <x:xf numFmtId="0" fontId="7" applyNumberFormat="0" applyFont="1" applyFill="1" applyBorder="1" applyAlignment="1" applyProtection="0" xfId="0" fillId="4" borderId="24">
      <x:alignment vertical="top" wrapText="1"/>
    </x:xf>
    <x:xf numFmtId="0" fontId="7" applyNumberFormat="0" applyFont="1" applyFill="1" applyBorder="1" applyAlignment="1" applyProtection="0" xfId="0" fillId="4" borderId="24">
      <x:alignment vertical="center" wrapText="1" horizontal="center"/>
    </x:xf>
    <x:xf numFmtId="0" fontId="6" applyNumberFormat="0" applyFont="1" applyFill="1" applyBorder="1" applyAlignment="1" applyProtection="0" xfId="0" fillId="4" borderId="24">
      <x:alignment vertical="top" wrapText="1"/>
    </x:xf>
    <x:xf numFmtId="0" fontId="6" applyNumberFormat="0" applyFont="1" applyFill="1" applyBorder="1" applyAlignment="1" applyProtection="0" xfId="0" fillId="4" borderId="24">
      <x:alignment vertical="center" wrapText="1" horizontal="center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applyNumberFormat="0" applyFont="1" applyFill="1" applyBorder="1" applyAlignment="1" applyProtection="0" xfId="0" fillId="4" borderId="24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center" wrapText="1"/>
    </x:xf>
    <x:xf numFmtId="49" fontId="4" borderId="0" applyNumberFormat="1" applyFont="1" applyFill="1" applyBorder="1" applyAlignment="1" applyProtection="0" xfId="0" fillId="4">
      <x:alignment horizontal="center" vertical="center" wrapText="1"/>
    </x:xf>
    <x:xf numFmtId="4" fontId="4" borderId="0" applyNumberFormat="1" applyFont="1" applyFill="1" applyBorder="1" applyAlignment="1" applyProtection="0" xfId="0" fillId="4">
      <x:alignment vertical="center" wrapText="1" horizontal="center"/>
    </x:xf>
    <x:xf numFmtId="0" fontId="7" applyNumberFormat="0" applyFont="1" applyFill="1" applyBorder="1" applyAlignment="1" applyProtection="0" xfId="0" fillId="4" borderId="0">
      <x:alignment vertical="center" wrapText="1" horizontal="center"/>
    </x:xf>
    <x:xf numFmtId="0" fontId="6" applyNumberFormat="0" applyFont="1" applyFill="1" applyBorder="1" applyAlignment="1" applyProtection="0" xfId="0" fillId="4" borderId="0">
      <x:alignment vertical="center" wrapText="1" horizontal="center"/>
    </x:xf>
    <x:xf numFmtId="0" fontId="4" applyNumberFormat="0" applyFont="1" applyFill="1" applyBorder="1" applyAlignment="1" applyProtection="0" xfId="0" fillId="4" borderId="0">
      <x:alignment vertical="center" wrapText="1" horizontal="center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15bd99ce3e4fc8" /><Relationship Type="http://schemas.openxmlformats.org/officeDocument/2006/relationships/theme" Target="/xl/theme/theme1.xml" Id="R4d097160f4634d19" /><Relationship Type="http://schemas.openxmlformats.org/officeDocument/2006/relationships/sheetMetadata" Target="/xl/metadata1.xml" Id="R68016bd70c504b07" /><Relationship Type="http://schemas.openxmlformats.org/officeDocument/2006/relationships/sharedStrings" Target="/xl/sharedStrings.xml" Id="Rcfa57cd4c4c944e1" /><Relationship Type="http://schemas.openxmlformats.org/officeDocument/2006/relationships/worksheet" Target="/xl/worksheets/sheet1.xml" Id="R2e6e309b1cd54e5b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64" t="inlineStr">
        <x:is>
          <x:t>No.</x:t>
        </x:is>
      </x:c>
      <x:c r="B1" s="264" t="inlineStr">
        <x:is>
          <x:t>Uraian Pekerjaan</x:t>
        </x:is>
      </x:c>
      <x:c r="C1" s="266"/>
      <x:c r="D1" s="264" t="inlineStr">
        <x:is>
          <x:t>Kuantitas</x:t>
        </x:is>
      </x:c>
      <x:c r="E1" s="266"/>
      <x:c r="F1" s="266"/>
      <x:c r="G1" s="264" t="inlineStr">
        <x:is>
          <x:t>Satuan</x:t>
        </x:is>
      </x:c>
      <x:c r="H1" s="264" t="inlineStr">
        <x:is>
          <x:t>Harga Satuan</x:t>
        </x:is>
      </x:c>
      <x:c r="I1" s="266"/>
      <x:c r="J1" s="266"/>
      <x:c r="K1" s="264" t="inlineStr">
        <x:is>
          <x:t>PAJAK</x:t>
        </x:is>
      </x:c>
      <x:c r="L1" s="264" t="inlineStr">
        <x:is>
          <x:t>JUMLAH</x:t>
        </x:is>
      </x:c>
      <x:c r="M1" s="266"/>
      <x:c r="N1" s="266"/>
      <x:c r="P1" t="str" s="134">
        <x:v>Nomor RUP</x:v>
      </x:c>
      <x:c r="Q1" t="str" s="134">
        <x:v>62722597</x:v>
      </x:c>
    </x:row>
    <x:row r="2" ht="32" customHeight="1">
      <x:c r="A2" s="268"/>
      <x:c r="B2" s="268"/>
      <x:c r="C2" s="268"/>
      <x:c r="D2" s="270" t="inlineStr">
        <x:is>
          <x:t>HPS</x:t>
        </x:is>
      </x:c>
      <x:c r="E2" s="270" t="inlineStr">
        <x:is>
          <x:t>Penawaran</x:t>
        </x:is>
      </x:c>
      <x:c r="F2" s="270" t="inlineStr">
        <x:is>
          <x:t>Negoisasi</x:t>
        </x:is>
      </x:c>
      <x:c r="G2" s="268"/>
      <x:c r="H2" s="270" t="inlineStr">
        <x:is>
          <x:t>HPS</x:t>
        </x:is>
      </x:c>
      <x:c r="I2" s="270" t="inlineStr">
        <x:is>
          <x:t>Penawaran</x:t>
        </x:is>
      </x:c>
      <x:c r="J2" s="270" t="inlineStr">
        <x:is>
          <x:t>Negoisasi</x:t>
        </x:is>
      </x:c>
      <x:c r="K2" s="268"/>
      <x:c r="L2" s="270" t="inlineStr">
        <x:is>
          <x:t>HPS</x:t>
        </x:is>
      </x:c>
      <x:c r="M2" s="270" t="inlineStr">
        <x:is>
          <x:t>Penawaran</x:t>
        </x:is>
      </x:c>
      <x:c r="N2" s="270" t="inlineStr">
        <x:is>
          <x:t>Negoisasi</x:t>
        </x:is>
      </x:c>
      <x:c r="P2" t="str" s="134">
        <x:v>Nama Paket</x:v>
      </x:c>
      <x:c r="Q2" s="137" t="str">
        <x:v>Pemb. Jalan Rabat Mesjid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412"/>
      <x:c r="B3" s="413" t="str">
        <x:v>DIVISI 1. UMUM</x:v>
      </x:c>
      <x:c r="C3" s="414"/>
      <x:c r="D3" s="415"/>
      <x:c r="E3" s="415"/>
      <x:c r="F3" s="415"/>
      <x:c r="G3" s="416"/>
      <x:c r="H3" s="417"/>
      <x:c r="I3" s="417"/>
      <x:c r="J3" s="417"/>
      <x:c r="K3" s="417"/>
      <x:c r="L3" s="418" cm="1"/>
      <x:c r="M3" s="418" cm="1"/>
      <x:c r="N3" s="419" cm="1"/>
      <x:c r="P3" t="str" s="420">
        <x:v>Perusahaan</x:v>
      </x:c>
      <x:c r="Q3" s="421" t="str">
        <x:v>CV. KARYA UTAMA NUSANTARA</x:v>
      </x:c>
      <x:c r="S3" s="422"/>
      <x:c r="T3" s="422"/>
      <x:c r="U3" s="422"/>
    </x:row>
    <x:row r="4" ht="23" customHeight="1">
      <x:c r="A4" s="423" t="str">
        <x:v>1.2</x:v>
      </x:c>
      <x:c r="B4" s="424" t="str">
        <x:v>Mobilisasi</x:v>
      </x:c>
      <x:c r="C4" s="425"/>
      <x:c r="D4" s="426" t="n">
        <x:v>1</x:v>
      </x:c>
      <x:c r="E4" s="426" t="n" cm="1">
        <x:f>D4</x:f>
        <x:v>1</x:v>
      </x:c>
      <x:c r="F4" s="426" t="n" cm="1">
        <x:f>D4</x:f>
        <x:v>1</x:v>
      </x:c>
      <x:c r="G4" s="427" t="str">
        <x:v>Ls</x:v>
      </x:c>
      <x:c r="H4" s="428" t="n">
        <x:v>9300000</x:v>
      </x:c>
      <x:c r="I4" s="428" t="n">
        <x:v>9299000</x:v>
      </x:c>
      <x:c r="J4" s="428" t="n">
        <x:f>I4</x:f>
        <x:v>9299000</x:v>
      </x:c>
      <x:c r="K4" s="428" t="n">
        <x:v>11</x:v>
      </x:c>
      <x:c r="L4" s="429" t="n" cm="1">
        <x:f>D4*H4</x:f>
        <x:v>9300000</x:v>
      </x:c>
      <x:c r="M4" s="429" t="n" cm="1">
        <x:f>E4*I4</x:f>
        <x:v>9299000</x:v>
      </x:c>
      <x:c r="N4" s="430" t="n" cm="1">
        <x:f>F4*J4</x:f>
        <x:v>9299000</x:v>
      </x:c>
      <x:c r="P4" t="str" s="420">
        <x:v>Pagu Anggaran</x:v>
      </x:c>
      <x:c r="Q4" s="422" t="n">
        <x:v>100000000</x:v>
      </x:c>
      <x:c r="S4" s="422" t="n">
        <x:f>ROUND(L4*(1+K4/100),2)</x:f>
        <x:v>10323000</x:v>
      </x:c>
      <x:c r="T4" s="422" t="n">
        <x:f>ROUND(M4*(1+K4/100),2)</x:f>
        <x:v>10321890</x:v>
      </x:c>
      <x:c r="U4" s="422" t="n">
        <x:f>ROUND(N4*(1+K4/100),2)</x:f>
        <x:v>10321890</x:v>
      </x:c>
    </x:row>
    <x:row r="5" ht="23" customHeight="1">
      <x:c r="A5" s="431" t="str">
        <x:v>1.22.(1a1)</x:v>
      </x:c>
      <x:c r="B5" s="432" t="str">
        <x:v>Pembuatan dokumen RKK, RMPK, RKPPL, dan RMLLP</x:v>
      </x:c>
      <x:c r="C5" s="433"/>
      <x:c r="D5" s="434" t="n">
        <x:v>3</x:v>
      </x:c>
      <x:c r="E5" s="434" t="n" cm="1">
        <x:f>D5</x:f>
        <x:v>3</x:v>
      </x:c>
      <x:c r="F5" s="434" t="n" cm="1">
        <x:f>D5</x:f>
        <x:v>3</x:v>
      </x:c>
      <x:c r="G5" s="435" t="str">
        <x:v>Set</x:v>
      </x:c>
      <x:c r="H5" s="436" t="n">
        <x:v>250000</x:v>
      </x:c>
      <x:c r="I5" s="436" t="n">
        <x:v>250000</x:v>
      </x:c>
      <x:c r="J5" s="436" t="n">
        <x:f>I5</x:f>
        <x:v>250000</x:v>
      </x:c>
      <x:c r="K5" s="436" t="n">
        <x:v>11</x:v>
      </x:c>
      <x:c r="L5" s="437" t="n" cm="1">
        <x:f>D5*H5</x:f>
        <x:v>750000</x:v>
      </x:c>
      <x:c r="M5" s="437" t="n" cm="1">
        <x:f>E5*I5</x:f>
        <x:v>750000</x:v>
      </x:c>
      <x:c r="N5" s="438" t="n" cm="1">
        <x:f>F5*J5</x:f>
        <x:v>750000</x:v>
      </x:c>
      <x:c r="P5" t="str" s="420">
        <x:v>HPS sesuai rekap</x:v>
      </x:c>
      <x:c r="Q5" s="422" t="n">
        <x:v>100000000</x:v>
      </x:c>
      <x:c r="S5" s="422" t="n">
        <x:f>ROUND(L5*(1+K5/100),2)</x:f>
        <x:v>832500</x:v>
      </x:c>
      <x:c r="T5" s="422" t="n">
        <x:f>ROUND(M5*(1+K5/100),2)</x:f>
        <x:v>832500</x:v>
      </x:c>
      <x:c r="U5" s="422" t="n">
        <x:f>ROUND(N5*(1+K5/100),2)</x:f>
        <x:v>832500</x:v>
      </x:c>
    </x:row>
    <x:row r="6" ht="23" customHeight="1">
      <x:c r="A6" s="423" t="str">
        <x:v>1.22.(1b2)</x:v>
      </x:c>
      <x:c r="B6" s="424" t="str">
        <x:v>Pembuatan prosedur dan instruksi kerja </x:v>
      </x:c>
      <x:c r="C6" s="425"/>
      <x:c r="D6" s="426" t="n">
        <x:v>2</x:v>
      </x:c>
      <x:c r="E6" s="426" t="n">
        <x:f>D6</x:f>
        <x:v>2</x:v>
      </x:c>
      <x:c r="F6" s="426" t="n">
        <x:f>D6</x:f>
        <x:v>2</x:v>
      </x:c>
      <x:c r="G6" s="427" t="str">
        <x:v>Set</x:v>
      </x:c>
      <x:c r="H6" s="428" t="n">
        <x:v>250000</x:v>
      </x:c>
      <x:c r="I6" s="428" t="n">
        <x:v>250000</x:v>
      </x:c>
      <x:c r="J6" s="428" t="n">
        <x:f>I6</x:f>
        <x:v>250000</x:v>
      </x:c>
      <x:c r="K6" s="428" t="n">
        <x:v>11</x:v>
      </x:c>
      <x:c r="L6" s="429" t="n" cm="1">
        <x:f>D6*H6</x:f>
        <x:v>500000</x:v>
      </x:c>
      <x:c r="M6" s="429" t="n" cm="1">
        <x:f>E6*I6</x:f>
        <x:v>500000</x:v>
      </x:c>
      <x:c r="N6" s="430" t="n" cm="1">
        <x:f>F6*J6</x:f>
        <x:v>500000</x:v>
      </x:c>
      <x:c r="P6" t="str" s="420">
        <x:v>Penawaran sesuai rekap</x:v>
      </x:c>
      <x:c r="Q6" s="422" t="n">
        <x:v>99980000</x:v>
      </x:c>
      <x:c r="S6" s="422" t="n">
        <x:f>ROUND(L6*(1+K6/100),2)</x:f>
        <x:v>555000</x:v>
      </x:c>
      <x:c r="T6" s="422" t="n">
        <x:f>ROUND(M6*(1+K6/100),2)</x:f>
        <x:v>555000</x:v>
      </x:c>
      <x:c r="U6" s="422" t="n">
        <x:f>ROUND(N6*(1+K6/100),2)</x:f>
        <x:v>555000</x:v>
      </x:c>
    </x:row>
    <x:row r="7" ht="23" customHeight="1">
      <x:c r="A7" s="431" t="str">
        <x:v>1.22.(1c)</x:v>
      </x:c>
      <x:c r="B7" s="432" t="str">
        <x:v>Penyusunan pelaporan penerapan SMKK </x:v>
      </x:c>
      <x:c r="C7" s="433"/>
      <x:c r="D7" s="434" t="n">
        <x:v>1</x:v>
      </x:c>
      <x:c r="E7" s="434" t="n" cm="1">
        <x:f>D7</x:f>
        <x:v>1</x:v>
      </x:c>
      <x:c r="F7" s="434" t="n" cm="1">
        <x:f>D7</x:f>
        <x:v>1</x:v>
      </x:c>
      <x:c r="G7" s="435" t="str">
        <x:v>Set</x:v>
      </x:c>
      <x:c r="H7" s="436" t="n">
        <x:v>500000</x:v>
      </x:c>
      <x:c r="I7" s="436" t="n">
        <x:v>500000</x:v>
      </x:c>
      <x:c r="J7" s="436" t="n">
        <x:f>I7</x:f>
        <x:v>500000</x:v>
      </x:c>
      <x:c r="K7" s="436" t="n">
        <x:v>11</x:v>
      </x:c>
      <x:c r="L7" s="437" t="n" cm="1">
        <x:f>D7*H7</x:f>
        <x:v>500000</x:v>
      </x:c>
      <x:c r="M7" s="437" t="n" cm="1">
        <x:f>E7*I7</x:f>
        <x:v>500000</x:v>
      </x:c>
      <x:c r="N7" s="438" t="n" cm="1">
        <x:f>F7*J7</x:f>
        <x:v>500000</x:v>
      </x:c>
      <x:c r="S7" s="422" t="n">
        <x:f>ROUND(L7*(1+K7/100),2)</x:f>
        <x:v>555000</x:v>
      </x:c>
      <x:c r="T7" s="422" t="n">
        <x:f>ROUND(M7*(1+K7/100),2)</x:f>
        <x:v>555000</x:v>
      </x:c>
      <x:c r="U7" s="422" t="n">
        <x:f>ROUND(N7*(1+K7/100),2)</x:f>
        <x:v>555000</x:v>
      </x:c>
    </x:row>
    <x:row r="8" ht="23" customHeight="1">
      <x:c r="A8" s="423" t="str">
        <x:v>1.22.(3b1)</x:v>
      </x:c>
      <x:c r="B8" s="424" t="str">
        <x:v>Topi pelindung (Safety Helmet) </x:v>
      </x:c>
      <x:c r="C8" s="425"/>
      <x:c r="D8" s="426" t="n">
        <x:v>5</x:v>
      </x:c>
      <x:c r="E8" s="426" t="n">
        <x:f>D8</x:f>
        <x:v>5</x:v>
      </x:c>
      <x:c r="F8" s="426" t="n">
        <x:f>D8</x:f>
        <x:v>5</x:v>
      </x:c>
      <x:c r="G8" s="427" t="str">
        <x:v>Buah</x:v>
      </x:c>
      <x:c r="H8" s="428" t="n">
        <x:v>75000</x:v>
      </x:c>
      <x:c r="I8" s="428" t="n">
        <x:v>75000</x:v>
      </x:c>
      <x:c r="J8" s="428" t="n">
        <x:f>I8</x:f>
        <x:v>75000</x:v>
      </x:c>
      <x:c r="K8" s="428" t="n">
        <x:v>11</x:v>
      </x:c>
      <x:c r="L8" s="429" t="n" cm="1">
        <x:f>D8*H8</x:f>
        <x:v>375000</x:v>
      </x:c>
      <x:c r="M8" s="429" t="n" cm="1">
        <x:f>E8*I8</x:f>
        <x:v>375000</x:v>
      </x:c>
      <x:c r="N8" s="430" t="n" cm="1">
        <x:f>F8*J8</x:f>
        <x:v>375000</x:v>
      </x:c>
      <x:c r="P8" t="str" s="420">
        <x:v>Sumber HPS</x:v>
      </x:c>
      <x:c r="Q8" t="str" s="420">
        <x:v>HPS - Pemb. Jalan Rabat Mesjid.xlsm</x:v>
      </x:c>
      <x:c r="S8" s="422" t="n">
        <x:f>ROUND(L8*(1+K8/100),2)</x:f>
        <x:v>416250</x:v>
      </x:c>
      <x:c r="T8" s="422" t="n">
        <x:f>ROUND(M8*(1+K8/100),2)</x:f>
        <x:v>416250</x:v>
      </x:c>
      <x:c r="U8" s="422" t="n">
        <x:f>ROUND(N8*(1+K8/100),2)</x:f>
        <x:v>416250</x:v>
      </x:c>
    </x:row>
    <x:row r="9" ht="23" customHeight="1">
      <x:c r="A9" s="431" t="str">
        <x:v>1.22.(3b7)</x:v>
      </x:c>
      <x:c r="B9" s="432" t="str">
        <x:v>Sarung tangan (Safety Gloves) </x:v>
      </x:c>
      <x:c r="C9" s="433"/>
      <x:c r="D9" s="434" t="n">
        <x:v>5</x:v>
      </x:c>
      <x:c r="E9" s="434" t="n" cm="1">
        <x:f>D9</x:f>
        <x:v>5</x:v>
      </x:c>
      <x:c r="F9" s="434" t="n" cm="1">
        <x:f>D9</x:f>
        <x:v>5</x:v>
      </x:c>
      <x:c r="G9" s="435" t="str">
        <x:v>Pasang</x:v>
      </x:c>
      <x:c r="H9" s="436" t="n">
        <x:v>15000</x:v>
      </x:c>
      <x:c r="I9" s="436" t="n">
        <x:v>15000</x:v>
      </x:c>
      <x:c r="J9" s="436" t="n">
        <x:f>I9</x:f>
        <x:v>15000</x:v>
      </x:c>
      <x:c r="K9" s="436" t="n">
        <x:v>11</x:v>
      </x:c>
      <x:c r="L9" s="437" t="n" cm="1">
        <x:f>D9*H9</x:f>
        <x:v>75000</x:v>
      </x:c>
      <x:c r="M9" s="437" t="n" cm="1">
        <x:f>E9*I9</x:f>
        <x:v>75000</x:v>
      </x:c>
      <x:c r="N9" s="438" t="n" cm="1">
        <x:f>F9*J9</x:f>
        <x:v>75000</x:v>
      </x:c>
      <x:c r="P9" t="str" s="420">
        <x:v>Sumber penawaran</x:v>
      </x:c>
      <x:c r="Q9" t="str" s="420">
        <x:v>Penawaran - CV. KARYA UTAMA NUSANTARA - Pemb. Jalan Rabat Mesjid.xlsm</x:v>
      </x:c>
      <x:c r="S9" s="422" t="n">
        <x:f>ROUND(L9*(1+K9/100),2)</x:f>
        <x:v>83250</x:v>
      </x:c>
      <x:c r="T9" s="422" t="n">
        <x:f>ROUND(M9*(1+K9/100),2)</x:f>
        <x:v>83250</x:v>
      </x:c>
      <x:c r="U9" s="422" t="n">
        <x:f>ROUND(N9*(1+K9/100),2)</x:f>
        <x:v>83250</x:v>
      </x:c>
    </x:row>
    <x:row r="10" ht="23" customHeight="1">
      <x:c r="A10" s="423" t="str">
        <x:v>1.22.(3b10)</x:v>
      </x:c>
      <x:c r="B10" s="424" t="str">
        <x:v>Sepatu keselamatan (Rubber Safety Shoes)</x:v>
      </x:c>
      <x:c r="C10" s="425"/>
      <x:c r="D10" s="426" t="n">
        <x:v>5</x:v>
      </x:c>
      <x:c r="E10" s="426" t="n">
        <x:f>D10</x:f>
        <x:v>5</x:v>
      </x:c>
      <x:c r="F10" s="426" t="n">
        <x:f>D10</x:f>
        <x:v>5</x:v>
      </x:c>
      <x:c r="G10" s="427" t="str">
        <x:v>Pasang</x:v>
      </x:c>
      <x:c r="H10" s="428" t="n">
        <x:v>200000</x:v>
      </x:c>
      <x:c r="I10" s="428" t="n">
        <x:v>200000</x:v>
      </x:c>
      <x:c r="J10" s="428" t="n">
        <x:f>I10</x:f>
        <x:v>200000</x:v>
      </x:c>
      <x:c r="K10" s="428" t="n">
        <x:v>11</x:v>
      </x:c>
      <x:c r="L10" s="429" t="n">
        <x:f>D10*H10</x:f>
        <x:v>1000000</x:v>
      </x:c>
      <x:c r="M10" s="429" t="n">
        <x:f>E10*I10</x:f>
        <x:v>1000000</x:v>
      </x:c>
      <x:c r="N10" s="430" t="n">
        <x:f>F10*J10</x:f>
        <x:v>1000000</x:v>
      </x:c>
      <x:c r="P10" t="str" s="420">
        <x:v>Format RAB</x:v>
      </x:c>
      <x:c r="Q10" t="str" s="420">
        <x:v>sample rab konstruksi.xlsx</x:v>
      </x:c>
      <x:c r="S10" s="422" t="n">
        <x:f>ROUND(L10*(1+K10/100),2)</x:f>
        <x:v>1110000</x:v>
      </x:c>
      <x:c r="T10" s="422" t="n">
        <x:f>ROUND(M10*(1+K10/100),2)</x:f>
        <x:v>1110000</x:v>
      </x:c>
      <x:c r="U10" s="422" t="n">
        <x:f>ROUND(N10*(1+K10/100),2)</x:f>
        <x:v>1110000</x:v>
      </x:c>
    </x:row>
    <x:row r="11" ht="32" customHeight="1">
      <x:c r="A11" s="431" t="str">
        <x:v>1.22.(3b15)</x:v>
      </x:c>
      <x:c r="B11" s="432" t="str">
        <x:v>Rompi keselamatan (Safety Vest)</x:v>
      </x:c>
      <x:c r="C11" s="433"/>
      <x:c r="D11" s="434" t="n">
        <x:v>5</x:v>
      </x:c>
      <x:c r="E11" s="434" t="n">
        <x:f>D11</x:f>
        <x:v>5</x:v>
      </x:c>
      <x:c r="F11" s="434" t="n">
        <x:f>D11</x:f>
        <x:v>5</x:v>
      </x:c>
      <x:c r="G11" s="435" t="str">
        <x:v>Buah</x:v>
      </x:c>
      <x:c r="H11" s="436" t="n">
        <x:v>57450</x:v>
      </x:c>
      <x:c r="I11" s="436" t="n">
        <x:v>57450</x:v>
      </x:c>
      <x:c r="J11" s="436" t="n">
        <x:f>I11</x:f>
        <x:v>57450</x:v>
      </x:c>
      <x:c r="K11" s="436" t="n">
        <x:v>11</x:v>
      </x:c>
      <x:c r="L11" s="437" t="n">
        <x:f>D11*H11</x:f>
        <x:v>287250</x:v>
      </x:c>
      <x:c r="M11" s="437" t="n">
        <x:f>E11*I11</x:f>
        <x:v>287250</x:v>
      </x:c>
      <x:c r="N11" s="438" t="n">
        <x:f>F11*J11</x:f>
        <x:v>287250</x:v>
      </x:c>
      <x:c r="P11" t="inlineStr" s="439">
        <x:is>
          <x:t>Direktur</x:t>
        </x:is>
      </x:c>
      <x:c r="Q11" t="inlineStr" s="439">
        <x:is>
          <x:t>T A S M A N, S.Kom</x:t>
        </x:is>
      </x:c>
      <x:c r="S11" s="422" t="n">
        <x:f>ROUND(L11*(1+K11/100),2)</x:f>
        <x:v>318847.5</x:v>
      </x:c>
      <x:c r="T11" s="422" t="n">
        <x:f>ROUND(M11*(1+K11/100),2)</x:f>
        <x:v>318847.5</x:v>
      </x:c>
      <x:c r="U11" s="422" t="n">
        <x:f>ROUND(N11*(1+K11/100),2)</x:f>
        <x:v>318847.5</x:v>
      </x:c>
    </x:row>
    <x:row r="12" ht="32" customHeight="1">
      <x:c r="A12" s="423" t="str">
        <x:v>1.22.(5a)</x:v>
      </x:c>
      <x:c r="B12" s="424" t="str">
        <x:v>Ahli K3 konstruksi/ahli keselamatan konstruksi</x:v>
      </x:c>
      <x:c r="C12" s="425"/>
      <x:c r="D12" s="426" t="n">
        <x:v>1</x:v>
      </x:c>
      <x:c r="E12" s="426" t="n">
        <x:f>D12</x:f>
        <x:v>1</x:v>
      </x:c>
      <x:c r="F12" s="426" t="n">
        <x:f>D12</x:f>
        <x:v>1</x:v>
      </x:c>
      <x:c r="G12" s="427" t="str">
        <x:v>Orang</x:v>
      </x:c>
      <x:c r="H12" s="428" t="n">
        <x:v>3000000</x:v>
      </x:c>
      <x:c r="I12" s="428" t="n">
        <x:v>3000000</x:v>
      </x:c>
      <x:c r="J12" s="428" t="n">
        <x:f>I12</x:f>
        <x:v>3000000</x:v>
      </x:c>
      <x:c r="K12" s="428" t="n">
        <x:v>11</x:v>
      </x:c>
      <x:c r="L12" s="429" t="n">
        <x:f>D12*H12</x:f>
        <x:v>3000000</x:v>
      </x:c>
      <x:c r="M12" s="429" t="n">
        <x:f>E12*I12</x:f>
        <x:v>3000000</x:v>
      </x:c>
      <x:c r="N12" s="430" t="n">
        <x:f>F12*J12</x:f>
        <x:v>3000000</x:v>
      </x:c>
      <x:c r="S12" s="422" t="n">
        <x:f>ROUND(L12*(1+K12/100),2)</x:f>
        <x:v>3330000</x:v>
      </x:c>
      <x:c r="T12" s="422" t="n">
        <x:f>ROUND(M12*(1+K12/100),2)</x:f>
        <x:v>3330000</x:v>
      </x:c>
      <x:c r="U12" s="422" t="n">
        <x:f>ROUND(N12*(1+K12/100),2)</x:f>
        <x:v>3330000</x:v>
      </x:c>
    </x:row>
    <x:row r="13" ht="23" customHeight="1">
      <x:c r="A13" s="431" t="str">
        <x:v>1.22.(5i)</x:v>
      </x:c>
      <x:c r="B13" s="432" t="str">
        <x:v>Petugas pengatur lalu lintas (flagman)</x:v>
      </x:c>
      <x:c r="C13" s="433"/>
      <x:c r="D13" s="434" t="n">
        <x:v>1</x:v>
      </x:c>
      <x:c r="E13" s="434" t="n">
        <x:f>D13</x:f>
        <x:v>1</x:v>
      </x:c>
      <x:c r="F13" s="434" t="n">
        <x:f>D13</x:f>
        <x:v>1</x:v>
      </x:c>
      <x:c r="G13" s="435" t="str">
        <x:v>Orang</x:v>
      </x:c>
      <x:c r="H13" s="436" t="n">
        <x:v>3500000</x:v>
      </x:c>
      <x:c r="I13" s="436" t="n">
        <x:v>3500000</x:v>
      </x:c>
      <x:c r="J13" s="436" t="n">
        <x:f>I13</x:f>
        <x:v>3500000</x:v>
      </x:c>
      <x:c r="K13" s="436" t="n">
        <x:v>11</x:v>
      </x:c>
      <x:c r="L13" s="437" t="n">
        <x:f>D13*H13</x:f>
        <x:v>3500000</x:v>
      </x:c>
      <x:c r="M13" s="437" t="n">
        <x:f>E13*I13</x:f>
        <x:v>3500000</x:v>
      </x:c>
      <x:c r="N13" s="438" t="n">
        <x:f>F13*J13</x:f>
        <x:v>3500000</x:v>
      </x:c>
      <x:c r="S13" s="422" t="n">
        <x:f>ROUND(L13*(1+K13/100),2)</x:f>
        <x:v>3885000</x:v>
      </x:c>
      <x:c r="T13" s="422" t="n">
        <x:f>ROUND(M13*(1+K13/100),2)</x:f>
        <x:v>3885000</x:v>
      </x:c>
      <x:c r="U13" s="422" t="n">
        <x:f>ROUND(N13*(1+K13/100),2)</x:f>
        <x:v>3885000</x:v>
      </x:c>
    </x:row>
    <x:row r="14" ht="23" customHeight="1">
      <x:c r="A14" s="423" t="str">
        <x:v>1.22.(6a1)</x:v>
      </x:c>
      <x:c r="B14" s="424" t="str">
        <x:v>Peralatan P3K kotak A lengkap</x:v>
      </x:c>
      <x:c r="C14" s="425"/>
      <x:c r="D14" s="426" t="n">
        <x:v>1</x:v>
      </x:c>
      <x:c r="E14" s="426" t="n">
        <x:f>D14</x:f>
        <x:v>1</x:v>
      </x:c>
      <x:c r="F14" s="426" t="n">
        <x:f>D14</x:f>
        <x:v>1</x:v>
      </x:c>
      <x:c r="G14" s="427" t="str">
        <x:v>Set</x:v>
      </x:c>
      <x:c r="H14" s="428" t="n">
        <x:v>500000</x:v>
      </x:c>
      <x:c r="I14" s="428" t="n">
        <x:v>500000</x:v>
      </x:c>
      <x:c r="J14" s="428" t="n">
        <x:f>I14</x:f>
        <x:v>500000</x:v>
      </x:c>
      <x:c r="K14" s="428" t="n">
        <x:v>11</x:v>
      </x:c>
      <x:c r="L14" s="429" t="n">
        <x:f>D14*H14</x:f>
        <x:v>500000</x:v>
      </x:c>
      <x:c r="M14" s="429" t="n">
        <x:f>E14*I14</x:f>
        <x:v>500000</x:v>
      </x:c>
      <x:c r="N14" s="430" t="n">
        <x:f>F14*J14</x:f>
        <x:v>500000</x:v>
      </x:c>
      <x:c r="S14" s="422" t="n">
        <x:f>ROUND(L14*(1+K14/100),2)</x:f>
        <x:v>555000</x:v>
      </x:c>
      <x:c r="T14" s="422" t="n">
        <x:f>ROUND(M14*(1+K14/100),2)</x:f>
        <x:v>555000</x:v>
      </x:c>
      <x:c r="U14" s="422" t="n">
        <x:f>ROUND(N14*(1+K14/100),2)</x:f>
        <x:v>555000</x:v>
      </x:c>
    </x:row>
    <x:row r="15" ht="23" customHeight="1">
      <x:c r="A15" s="431" t="str">
        <x:v>1.22.(7a)</x:v>
      </x:c>
      <x:c r="B15" s="432" t="str">
        <x:v>Rambu petunjuk </x:v>
      </x:c>
      <x:c r="C15" s="433"/>
      <x:c r="D15" s="434" t="n">
        <x:v>1</x:v>
      </x:c>
      <x:c r="E15" s="434" t="n">
        <x:f>D15</x:f>
        <x:v>1</x:v>
      </x:c>
      <x:c r="F15" s="434" t="n">
        <x:f>D15</x:f>
        <x:v>1</x:v>
      </x:c>
      <x:c r="G15" s="435" t="str">
        <x:v>Buah</x:v>
      </x:c>
      <x:c r="H15" s="436" t="n">
        <x:v>50000</x:v>
      </x:c>
      <x:c r="I15" s="436" t="n">
        <x:v>50000</x:v>
      </x:c>
      <x:c r="J15" s="436" t="n">
        <x:f>I15</x:f>
        <x:v>50000</x:v>
      </x:c>
      <x:c r="K15" s="436" t="n">
        <x:v>11</x:v>
      </x:c>
      <x:c r="L15" s="437" t="n">
        <x:f>D15*H15</x:f>
        <x:v>50000</x:v>
      </x:c>
      <x:c r="M15" s="437" t="n">
        <x:f>E15*I15</x:f>
        <x:v>50000</x:v>
      </x:c>
      <x:c r="N15" s="438" t="n">
        <x:f>F15*J15</x:f>
        <x:v>50000</x:v>
      </x:c>
      <x:c r="S15" s="422" t="n">
        <x:f>ROUND(L15*(1+K15/100),2)</x:f>
        <x:v>55500</x:v>
      </x:c>
      <x:c r="T15" s="422" t="n">
        <x:f>ROUND(M15*(1+K15/100),2)</x:f>
        <x:v>55500</x:v>
      </x:c>
      <x:c r="U15" s="422" t="n">
        <x:f>ROUND(N15*(1+K15/100),2)</x:f>
        <x:v>55500</x:v>
      </x:c>
    </x:row>
    <x:row r="16" ht="23" customHeight="1">
      <x:c r="A16" s="423" t="str">
        <x:v>1.22.(7b)</x:v>
      </x:c>
      <x:c r="B16" s="424" t="str">
        <x:v>Rambu larangan </x:v>
      </x:c>
      <x:c r="C16" s="425"/>
      <x:c r="D16" s="426" t="n">
        <x:v>1</x:v>
      </x:c>
      <x:c r="E16" s="426" t="n">
        <x:f>D16</x:f>
        <x:v>1</x:v>
      </x:c>
      <x:c r="F16" s="426" t="n">
        <x:f>D16</x:f>
        <x:v>1</x:v>
      </x:c>
      <x:c r="G16" s="427" t="str">
        <x:v>Buah</x:v>
      </x:c>
      <x:c r="H16" s="428" t="n">
        <x:v>50000</x:v>
      </x:c>
      <x:c r="I16" s="428" t="n">
        <x:v>50000</x:v>
      </x:c>
      <x:c r="J16" s="428" t="n">
        <x:f>I16</x:f>
        <x:v>50000</x:v>
      </x:c>
      <x:c r="K16" s="428" t="n">
        <x:v>11</x:v>
      </x:c>
      <x:c r="L16" s="429" t="n">
        <x:f>D16*H16</x:f>
        <x:v>50000</x:v>
      </x:c>
      <x:c r="M16" s="429" t="n">
        <x:f>E16*I16</x:f>
        <x:v>50000</x:v>
      </x:c>
      <x:c r="N16" s="430" t="n">
        <x:f>F16*J16</x:f>
        <x:v>50000</x:v>
      </x:c>
      <x:c r="S16" s="422" t="n">
        <x:f>ROUND(L16*(1+K16/100),2)</x:f>
        <x:v>55500</x:v>
      </x:c>
      <x:c r="T16" s="422" t="n">
        <x:f>ROUND(M16*(1+K16/100),2)</x:f>
        <x:v>55500</x:v>
      </x:c>
      <x:c r="U16" s="422" t="n">
        <x:f>ROUND(N16*(1+K16/100),2)</x:f>
        <x:v>55500</x:v>
      </x:c>
    </x:row>
    <x:row r="17" ht="23" customHeight="1">
      <x:c r="A17" s="431" t="str">
        <x:v>1.22.(7c)</x:v>
      </x:c>
      <x:c r="B17" s="432" t="str">
        <x:v>Rambu peringatan </x:v>
      </x:c>
      <x:c r="C17" s="433"/>
      <x:c r="D17" s="434" t="n">
        <x:v>1</x:v>
      </x:c>
      <x:c r="E17" s="434" t="n">
        <x:f>D17</x:f>
        <x:v>1</x:v>
      </x:c>
      <x:c r="F17" s="434" t="n">
        <x:f>D17</x:f>
        <x:v>1</x:v>
      </x:c>
      <x:c r="G17" s="435" t="str">
        <x:v>Buah</x:v>
      </x:c>
      <x:c r="H17" s="436" t="n">
        <x:v>50000</x:v>
      </x:c>
      <x:c r="I17" s="436" t="n">
        <x:v>50000</x:v>
      </x:c>
      <x:c r="J17" s="436" t="n">
        <x:f>I17</x:f>
        <x:v>50000</x:v>
      </x:c>
      <x:c r="K17" s="436" t="n">
        <x:v>11</x:v>
      </x:c>
      <x:c r="L17" s="437" t="n">
        <x:f>D17*H17</x:f>
        <x:v>50000</x:v>
      </x:c>
      <x:c r="M17" s="437" t="n">
        <x:f>E17*I17</x:f>
        <x:v>50000</x:v>
      </x:c>
      <x:c r="N17" s="438" t="n">
        <x:f>F17*J17</x:f>
        <x:v>50000</x:v>
      </x:c>
      <x:c r="S17" s="422" t="n">
        <x:f>ROUND(L17*(1+K17/100),2)</x:f>
        <x:v>55500</x:v>
      </x:c>
      <x:c r="T17" s="422" t="n">
        <x:f>ROUND(M17*(1+K17/100),2)</x:f>
        <x:v>55500</x:v>
      </x:c>
      <x:c r="U17" s="422" t="n">
        <x:f>ROUND(N17*(1+K17/100),2)</x:f>
        <x:v>55500</x:v>
      </x:c>
    </x:row>
    <x:row r="18" ht="22" customHeight="1">
      <x:c r="A18" s="412"/>
      <x:c r="B18" s="413" t="str">
        <x:v>DIVISI 3. PEKERJAAN TANAH DAN GEOSINTETIK</x:v>
      </x:c>
      <x:c r="C18" s="414"/>
      <x:c r="D18" s="415"/>
      <x:c r="E18" s="415"/>
      <x:c r="F18" s="415"/>
      <x:c r="G18" s="416"/>
      <x:c r="H18" s="417"/>
      <x:c r="I18" s="417"/>
      <x:c r="J18" s="417"/>
      <x:c r="K18" s="417"/>
      <x:c r="L18" s="418"/>
      <x:c r="M18" s="418"/>
      <x:c r="N18" s="419"/>
      <x:c r="S18" s="422"/>
      <x:c r="T18" s="422"/>
      <x:c r="U18" s="422"/>
    </x:row>
    <x:row r="19" ht="32" customHeight="1">
      <x:c r="A19" s="431" t="str">
        <x:v>3.3.(2a2)</x:v>
      </x:c>
      <x:c r="B19" s="432" t="str">
        <x:v>Penyiapan badan jalan untuk rekontruksi Perkerasan Lama </x:v>
      </x:c>
      <x:c r="C19" s="433"/>
      <x:c r="D19" s="434" t="n">
        <x:v>162.96072426337133</x:v>
      </x:c>
      <x:c r="E19" s="434" t="n">
        <x:f>D19</x:f>
        <x:v>162.96072426337133</x:v>
      </x:c>
      <x:c r="F19" s="434" t="n">
        <x:f>D19</x:f>
        <x:v>162.96072426337133</x:v>
      </x:c>
      <x:c r="G19" s="435" t="str">
        <x:v>m2</x:v>
      </x:c>
      <x:c r="H19" s="436" t="n">
        <x:v>2165.6812461821814</x:v>
      </x:c>
      <x:c r="I19" s="436" t="n">
        <x:v>2165.0131217895673</x:v>
      </x:c>
      <x:c r="J19" s="436" t="n">
        <x:f>I19</x:f>
        <x:v>2165.0131217895673</x:v>
      </x:c>
      <x:c r="K19" s="436" t="n">
        <x:v>11</x:v>
      </x:c>
      <x:c r="L19" s="437" t="n">
        <x:f>D19*H19</x:f>
        <x:v>352920.98440144886</x:v>
      </x:c>
      <x:c r="M19" s="437" t="n">
        <x:f>E19*I19</x:f>
        <x:v>352812.10636653047</x:v>
      </x:c>
      <x:c r="N19" s="438" t="n">
        <x:f>F19*J19</x:f>
        <x:v>352812.10636653047</x:v>
      </x:c>
      <x:c r="S19" s="422" t="n">
        <x:f>ROUND(L19*(1+K19/100),2)</x:f>
        <x:v>391742.29</x:v>
      </x:c>
      <x:c r="T19" s="422" t="n">
        <x:f>ROUND(M19*(1+K19/100),2)</x:f>
        <x:v>391621.44</x:v>
      </x:c>
      <x:c r="U19" s="422" t="n">
        <x:f>ROUND(N19*(1+K19/100),2)</x:f>
        <x:v>391621.44</x:v>
      </x:c>
    </x:row>
    <x:row r="20" ht="22" customHeight="1">
      <x:c r="A20" s="412"/>
      <x:c r="B20" s="413" t="str">
        <x:v>DIVISI 5. PERKERASAN BERBUTIR DAN PERKERASAN BETON</x:v>
      </x:c>
      <x:c r="C20" s="414"/>
      <x:c r="D20" s="415"/>
      <x:c r="E20" s="415"/>
      <x:c r="F20" s="415"/>
      <x:c r="G20" s="416"/>
      <x:c r="H20" s="417"/>
      <x:c r="I20" s="417"/>
      <x:c r="J20" s="417"/>
      <x:c r="K20" s="417"/>
      <x:c r="L20" s="418"/>
      <x:c r="M20" s="418"/>
      <x:c r="N20" s="419"/>
      <x:c r="S20" s="422"/>
      <x:c r="T20" s="422"/>
      <x:c r="U20" s="422"/>
    </x:row>
    <x:row r="21" ht="23" customHeight="1">
      <x:c r="A21" s="431" t="str">
        <x:v>7.1 (10)</x:v>
      </x:c>
      <x:c r="B21" s="432" t="str">
        <x:v>Beton mutu rendah  fc’= 15 MPa </x:v>
      </x:c>
      <x:c r="C21" s="433"/>
      <x:c r="D21" s="434" t="n">
        <x:v>44</x:v>
      </x:c>
      <x:c r="E21" s="434" t="n">
        <x:f>D21</x:f>
        <x:v>44</x:v>
      </x:c>
      <x:c r="F21" s="434" t="n">
        <x:f>D21</x:f>
        <x:v>44</x:v>
      </x:c>
      <x:c r="G21" s="435" t="str">
        <x:v>M3</x:v>
      </x:c>
      <x:c r="H21" s="436" t="n">
        <x:v>1586361.7978565597</x:v>
      </x:c>
      <x:c r="I21" s="436" t="n">
        <x:v>1586147.2252805415</x:v>
      </x:c>
      <x:c r="J21" s="436" t="n">
        <x:f>I21</x:f>
        <x:v>1586147.2252805415</x:v>
      </x:c>
      <x:c r="K21" s="436" t="n">
        <x:v>11</x:v>
      </x:c>
      <x:c r="L21" s="437" t="n">
        <x:f>D21*H21</x:f>
        <x:v>69799919.10568863</x:v>
      </x:c>
      <x:c r="M21" s="437" t="n">
        <x:f>E21*I21</x:f>
        <x:v>69790477.91234383</x:v>
      </x:c>
      <x:c r="N21" s="438" t="n">
        <x:f>F21*J21</x:f>
        <x:v>69790477.91234383</x:v>
      </x:c>
      <x:c r="S21" s="422" t="n">
        <x:f>ROUND(L21*(1+K21/100),2)</x:f>
        <x:v>77477910.21</x:v>
      </x:c>
      <x:c r="T21" s="422" t="n">
        <x:f>ROUND(M21*(1+K21/100),2)</x:f>
        <x:v>77467430.48</x:v>
      </x:c>
      <x:c r="U21" s="422" t="n">
        <x:f>ROUND(N21*(1+K21/100),2)</x:f>
        <x:v>77467430.48</x:v>
      </x:c>
    </x:row>
    <x:row r="22" ht="29" customHeight="1">
      <x:c r="A22" s="440"/>
      <x:c r="B22" s="441"/>
      <x:c r="C22" s="441"/>
      <x:c r="D22" s="442"/>
      <x:c r="E22" s="442"/>
      <x:c r="F22" s="442"/>
      <x:c r="G22" s="443"/>
      <x:c r="H22" s="444"/>
      <x:c r="I22" s="444"/>
      <x:c r="J22" s="445"/>
      <x:c r="K22" s="446" t="str">
        <x:v>Jumlah Total (A)</x:v>
      </x:c>
      <x:c r="L22" s="447" t="n">
        <x:f>SUM(L3:L21)</x:f>
        <x:v>90090090.09009008</x:v>
      </x:c>
      <x:c r="M22" s="447" t="n">
        <x:f>SUM(M3:M21)</x:f>
        <x:v>90079540.01871036</x:v>
      </x:c>
      <x:c r="N22" s="447" t="n">
        <x:f>SUM(N3:N21)</x:f>
        <x:v>90079540.01871036</x:v>
      </x:c>
    </x:row>
    <x:row r="23" ht="29" customHeight="1">
      <x:c r="A23" s="448"/>
      <x:c r="B23" s="441"/>
      <x:c r="C23" s="441"/>
      <x:c r="D23" s="442"/>
      <x:c r="E23" s="442"/>
      <x:c r="F23" s="442"/>
      <x:c r="G23" s="443"/>
      <x:c r="H23" s="444"/>
      <x:c r="I23" s="444"/>
      <x:c r="J23" s="445"/>
      <x:c r="K23" s="449" t="str">
        <x:v>Jumlah Terkena Pajak (B)</x:v>
      </x:c>
      <x:c r="L23" s="450" t="n">
        <x:f>SUMIF($K3:$K21,"&gt;0",L3:L21)</x:f>
        <x:v>90090090.09009008</x:v>
      </x:c>
      <x:c r="M23" s="451" t="n">
        <x:f>SUMIF($K3:$K21,"&gt;0",M3:M21)</x:f>
        <x:v>90079540.01871036</x:v>
      </x:c>
      <x:c r="N23" s="451" t="n">
        <x:f>SUMIF($K3:$K21,"&gt;0",N3:N21)</x:f>
        <x:v>90079540.01871036</x:v>
      </x:c>
    </x:row>
    <x:row r="24" ht="29" customHeight="1">
      <x:c r="A24" s="440"/>
      <x:c r="B24" s="441"/>
      <x:c r="C24" s="441"/>
      <x:c r="D24" s="442"/>
      <x:c r="E24" s="442"/>
      <x:c r="F24" s="442"/>
      <x:c r="G24" s="443"/>
      <x:c r="H24" s="444"/>
      <x:c r="I24" s="444"/>
      <x:c r="J24" s="445"/>
      <x:c r="K24" s="452" t="str">
        <x:v>PPN (C)</x:v>
      </x:c>
      <x:c r="L24" s="453" t="n">
        <x:f>SUM(S3:S21)-L22</x:f>
        <x:v>9909909.909909919</x:v>
      </x:c>
      <x:c r="M24" s="451" t="n">
        <x:f>SUM(T3:T21)-M22</x:f>
        <x:v>9908749.401289642</x:v>
      </x:c>
      <x:c r="N24" s="451" t="n">
        <x:f>SUM(U3:U21)-N22</x:f>
        <x:v>9908749.401289642</x:v>
      </x:c>
    </x:row>
    <x:row r="25" ht="29" customHeight="1">
      <x:c r="A25" s="440"/>
      <x:c r="B25" s="441"/>
      <x:c r="C25" s="441"/>
      <x:c r="D25" s="442"/>
      <x:c r="E25" s="442"/>
      <x:c r="F25" s="442"/>
      <x:c r="G25" s="443"/>
      <x:c r="H25" s="444"/>
      <x:c r="I25" s="444"/>
      <x:c r="J25" s="445"/>
      <x:c r="K25" s="452" t="str">
        <x:v>Jumlah A + C</x:v>
      </x:c>
      <x:c r="L25" s="454" t="n">
        <x:f>L22+L24</x:f>
        <x:v>100000000</x:v>
      </x:c>
      <x:c r="M25" s="451" t="n">
        <x:f>M22+M24</x:f>
        <x:v>99988289.42</x:v>
      </x:c>
      <x:c r="N25" s="451" t="n">
        <x:f>N22+N24</x:f>
        <x:v>99988289.42</x:v>
      </x:c>
    </x:row>
    <x:row r="26" ht="40" customHeight="1">
      <x:c r="A26" s="217"/>
      <x:c r="B26" s="218"/>
      <x:c r="C26" s="218"/>
      <x:c r="D26" s="219"/>
      <x:c r="E26" s="219"/>
      <x:c r="F26" s="219"/>
      <x:c r="G26" s="220"/>
      <x:c r="H26" s="221"/>
      <x:c r="I26" s="221"/>
      <x:c r="J26" s="222"/>
      <x:c r="K26" s="323" t="str">
        <x:v>Jumlah Dibulatkan</x:v>
      </x:c>
      <x:c r="L26" s="383" t="n">
        <x:f>ROUND(L25,2)</x:f>
        <x:v>100000000</x:v>
      </x:c>
      <x:c r="M26" s="383" t="n">
        <x:f>ROUND(M25,2)</x:f>
        <x:v>99988289.42</x:v>
      </x:c>
      <x:c r="N26" s="383" t="n">
        <x:f>ROUND(N25,2)</x:f>
        <x:v>99988289.42</x:v>
      </x:c>
    </x:row>
    <x:row r="27" ht="40" customHeight="1">
      <x:c r="A27" s="232"/>
      <x:c r="B27" s="233"/>
      <x:c r="C27" s="234"/>
      <x:c r="D27" s="235"/>
      <x:c r="E27" s="235"/>
      <x:c r="F27" s="235"/>
      <x:c r="G27" s="236"/>
      <x:c r="H27" s="235"/>
      <x:c r="I27" s="235"/>
      <x:c r="J27" s="235"/>
      <x:c r="K27" s="327"/>
      <x:c r="L27" s="385"/>
      <x:c r="M27" s="385"/>
      <x:c r="N27" s="387"/>
    </x:row>
    <x:row r="28" ht="40" customHeight="1">
      <x:c r="A28" s="238"/>
      <x:c r="B28" s="239"/>
      <x:c r="C28" s="239"/>
      <x:c r="D28" s="240"/>
      <x:c r="E28" s="240"/>
      <x:c r="F28" s="240"/>
      <x:c r="G28" s="241"/>
      <x:c r="H28" s="241"/>
      <x:c r="I28" s="239"/>
      <x:c r="J28" s="242"/>
      <x:c r="K28" s="333"/>
      <x:c r="L28" s="389" cm="1">
        <x:f t="array" ref="L28"/>
      </x:c>
      <x:c r="M28" s="389" cm="1">
        <x:f t="array" ref="M28"/>
      </x:c>
      <x:c r="N28" s="389" cm="1">
        <x:f t="array" ref="N28"/>
      </x:c>
    </x:row>
    <x:row r="29" ht="40" customHeight="1">
      <x:c r="A29" s="245"/>
      <x:c r="B29" s="246"/>
      <x:c r="C29" s="247"/>
      <x:c r="D29" s="245" cm="1">
        <x:f t="array" ref="D29"/>
      </x:c>
      <x:c r="E29" s="248" cm="1">
        <x:f t="array" ref="E29"/>
      </x:c>
      <x:c r="F29" s="248" cm="1">
        <x:f t="array" ref="F29"/>
      </x:c>
      <x:c r="G29" s="249"/>
      <x:c r="H29" s="250"/>
      <x:c r="I29" s="251"/>
      <x:c r="J29" s="252"/>
      <x:c r="K29" s="337" cm="1">
        <x:f t="array" ref="K29"/>
      </x:c>
      <x:c r="L29" s="391" cm="1">
        <x:f t="array" ref="L29"/>
      </x:c>
      <x:c r="M29" s="393" cm="1">
        <x:f t="array" ref="M29"/>
      </x:c>
      <x:c r="N29" s="393" cm="1">
        <x:f t="array" ref="N29"/>
      </x:c>
    </x:row>
    <x:row r="30" ht="40" customHeight="1">
      <x:c r="A30" s="254"/>
      <x:c r="B30" s="255"/>
      <x:c r="C30" s="255"/>
      <x:c r="D30" s="256"/>
      <x:c r="E30" s="256"/>
      <x:c r="F30" s="256"/>
      <x:c r="G30" s="257"/>
      <x:c r="H30" s="257"/>
      <x:c r="I30" s="258"/>
      <x:c r="J30" s="259"/>
      <x:c r="K30" s="343" cm="1">
        <x:f t="array" ref="K30"/>
      </x:c>
      <x:c r="L30" s="395" cm="1">
        <x:f t="array" ref="L30"/>
      </x:c>
      <x:c r="M30" s="393" cm="1">
        <x:f t="array" ref="M30"/>
      </x:c>
      <x:c r="N30" s="393" cm="1">
        <x:f t="array" ref="N30"/>
      </x:c>
    </x:row>
    <x:row r="31" ht="21" customHeight="1">
      <x:c r="A31" s="455"/>
      <x:c r="B31" s="456"/>
      <x:c r="C31" s="456"/>
      <x:c r="D31" s="456"/>
      <x:c r="E31" s="457"/>
      <x:c r="F31" s="457"/>
      <x:c r="G31" s="458"/>
      <x:c r="H31" s="458"/>
      <x:c r="I31" s="456"/>
      <x:c r="J31" s="459"/>
      <x:c r="K31" s="460"/>
      <x:c r="L31" s="461" cm="1"/>
      <x:c r="M31" s="462" cm="1"/>
      <x:c r="N31" s="462" cm="1"/>
    </x:row>
    <x:row r="32" ht="30" customHeight="1">
      <x:c r="A32" s="455"/>
      <x:c r="B32" s="456"/>
      <x:c r="C32" s="456"/>
      <x:c r="D32" s="458"/>
      <x:c r="E32" s="458"/>
      <x:c r="F32" s="457"/>
      <x:c r="G32" s="458"/>
      <x:c r="H32" s="458"/>
      <x:c r="I32" s="463" t="inlineStr">
        <x:is>
          <x:t>Diajukan oleh:</x:t>
        </x:is>
      </x:c>
      <x:c r="J32" s="464"/>
      <x:c r="K32" s="465"/>
      <x:c r="L32" s="466" cm="1"/>
      <x:c r="M32" s="466" cm="1"/>
      <x:c r="N32" s="466" cm="1"/>
    </x:row>
    <x:row r="33" ht="30" customHeight="1">
      <x:c r="A33" s="420"/>
      <x:c r="B33" s="420"/>
      <x:c r="C33" s="420"/>
      <x:c r="D33" s="420"/>
      <x:c r="E33" s="420"/>
      <x:c r="F33" s="420"/>
      <x:c r="G33" s="420"/>
      <x:c r="H33" s="420"/>
      <x:c r="I33" s="467" t="inlineStr">
        <x:is>
          <x:t>CV. KARYA UTAMA NUSANTARA</x:t>
        </x:is>
      </x:c>
      <x:c r="J33" s="467"/>
      <x:c r="K33" s="467"/>
      <x:c r="L33" s="467"/>
      <x:c r="M33" s="467"/>
      <x:c r="N33" s="467"/>
    </x:row>
    <x:row r="34">
      <x:c r="A34" s="420"/>
      <x:c r="B34" s="420"/>
      <x:c r="C34" s="420"/>
      <x:c r="D34" s="420"/>
      <x:c r="E34" s="420"/>
      <x:c r="F34" s="420"/>
      <x:c r="G34" s="420"/>
      <x:c r="H34" s="420"/>
      <x:c r="I34" s="420"/>
      <x:c r="J34" s="420"/>
      <x:c r="K34" s="420"/>
      <x:c r="L34" s="420"/>
      <x:c r="M34" s="420"/>
      <x:c r="N34" s="420"/>
    </x:row>
    <x:row r="35">
      <x:c r="A35" s="420"/>
      <x:c r="B35" s="420"/>
      <x:c r="C35" s="420"/>
      <x:c r="D35" s="420"/>
      <x:c r="E35" s="420"/>
      <x:c r="F35" s="420"/>
      <x:c r="G35" s="420"/>
      <x:c r="H35" s="420"/>
      <x:c r="I35" s="420"/>
      <x:c r="J35" s="420"/>
      <x:c r="K35" s="420"/>
      <x:c r="L35" s="420"/>
      <x:c r="M35" s="420"/>
      <x:c r="N35" s="420"/>
    </x:row>
    <x:row r="36">
      <x:c r="A36" s="420"/>
      <x:c r="B36" s="420"/>
      <x:c r="C36" s="420"/>
      <x:c r="D36" s="420"/>
      <x:c r="E36" s="420"/>
      <x:c r="F36" s="420"/>
      <x:c r="G36" s="420"/>
      <x:c r="H36" s="420"/>
      <x:c r="I36" s="420"/>
      <x:c r="J36" s="420"/>
      <x:c r="K36" s="420"/>
      <x:c r="L36" s="420"/>
      <x:c r="M36" s="420"/>
      <x:c r="N36" s="420"/>
    </x:row>
    <x:row r="37" ht="30" customHeight="1">
      <x:c r="A37" s="420"/>
      <x:c r="B37" s="420"/>
      <x:c r="C37" s="420"/>
      <x:c r="D37" s="420"/>
      <x:c r="E37" s="420"/>
      <x:c r="F37" s="420"/>
      <x:c r="G37" s="420"/>
      <x:c r="H37" s="420"/>
      <x:c r="I37" s="468" t="inlineStr">
        <x:is>
          <x:t>T A S M A N, S.Kom</x:t>
        </x:is>
      </x:c>
      <x:c r="J37" s="468"/>
      <x:c r="K37" s="468"/>
      <x:c r="L37" s="468"/>
      <x:c r="M37" s="468"/>
      <x:c r="N37" s="468"/>
    </x:row>
    <x:row r="38" ht="30" customHeight="1">
      <x:c r="A38" s="420"/>
      <x:c r="B38" s="420"/>
      <x:c r="C38" s="420"/>
      <x:c r="D38" s="420"/>
      <x:c r="E38" s="420"/>
      <x:c r="F38" s="420"/>
      <x:c r="G38" s="420"/>
      <x:c r="H38" s="420"/>
      <x:c r="I38" s="469" t="inlineStr">
        <x:is>
          <x:t>Direktur</x:t>
        </x:is>
      </x:c>
      <x:c r="J38" s="469"/>
      <x:c r="K38" s="469"/>
      <x:c r="L38" s="469"/>
      <x:c r="M38" s="469"/>
      <x:c r="N38" s="469"/>
    </x:row>
  </x:sheetData>
  <x:mergeCells count="30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C6"/>
    <x:mergeCell ref="B7:C7"/>
    <x:mergeCell ref="B8:C8"/>
    <x:mergeCell ref="B9:C9"/>
    <x:mergeCell ref="B10:C10"/>
    <x:mergeCell ref="B11:C11"/>
    <x:mergeCell ref="B12:C12"/>
    <x:mergeCell ref="B13:C13"/>
    <x:mergeCell ref="B14:C14"/>
    <x:mergeCell ref="B15:C15"/>
    <x:mergeCell ref="B16:C16"/>
    <x:mergeCell ref="B17:C17"/>
    <x:mergeCell ref="B18:N18"/>
    <x:mergeCell ref="B19:C19"/>
    <x:mergeCell ref="B20:N20"/>
    <x:mergeCell ref="B21:C21"/>
    <x:mergeCell ref="I32:N32"/>
    <x:mergeCell ref="I33:N33"/>
    <x:mergeCell ref="I37:N37"/>
    <x:mergeCell ref="I38:N38"/>
  </x:mergeCells>
  <x:pageMargins left="0.7" right="0.7" top="0.75" bottom="0.75" header="0.3" footer="0.3"/>
</x:worksheet>
</file>