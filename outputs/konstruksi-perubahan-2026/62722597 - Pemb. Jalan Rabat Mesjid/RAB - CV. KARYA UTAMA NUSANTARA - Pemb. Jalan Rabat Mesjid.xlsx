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6961a5a7c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2e6e309b1cd54e5b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<x:sst xmlns:x="http://schemas.openxmlformats.org/spreadsheetml/2006/main">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</x:sst>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4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</x:fills>
  <x:borders count="32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/>
      <x:top/>
      <x:bottom/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/>
      <x:top/>
      <x:bottom style="thin">
        <x:color indexed="9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/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32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1" applyNumberFormat="0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2" applyNumberFormat="1" applyFont="1" applyFill="0" applyBorder="1" applyAlignment="1" applyProtection="0">
      <x:alignment horizontal="center" vertical="center" wrapText="1"/>
    </x:xf>
    <x:xf numFmtId="0" fontId="3" borderId="3" applyNumberFormat="0" applyFont="1" applyFill="0" applyBorder="1" applyAlignment="1" applyProtection="0">
      <x:alignment vertical="top" wrapText="1"/>
    </x:xf>
    <x:xf numFmtId="49" fontId="3" borderId="4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4" fontId="2" borderId="6" applyNumberFormat="1" applyFont="1" applyFill="0" applyBorder="1" applyAlignment="1" applyProtection="0">
      <x:alignment vertical="top" wrapText="1"/>
    </x:xf>
    <x:xf numFmtId="59" fontId="2" borderId="6" applyNumberFormat="1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0" fontId="2" borderId="7" applyNumberFormat="0" applyFont="1" applyFill="0" applyBorder="1" applyAlignment="1" applyProtection="0">
      <x:alignment vertical="top" wrapText="1"/>
    </x:xf>
    <x:xf numFmtId="49" fontId="3" borderId="8" applyNumberFormat="1" applyFont="1" applyFill="0" applyBorder="1" applyAlignment="1" applyProtection="0">
      <x:alignment horizontal="center" vertical="top" wrapText="1"/>
    </x:xf>
    <x:xf numFmtId="49" fontId="3" borderId="9" applyNumberFormat="1" applyFont="1" applyFill="0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" fontId="2" fillId="2" borderId="11" applyNumberFormat="1" applyFont="1" applyFill="1" applyBorder="1" applyAlignment="1" applyProtection="0">
      <x:alignment vertical="top" wrapText="1"/>
    </x:xf>
    <x:xf numFmtId="49" fontId="2" fillId="2" borderId="11" applyNumberFormat="1" applyFont="1" applyFill="1" applyBorder="1" applyAlignment="1" applyProtection="0">
      <x:alignment vertical="top" wrapText="1"/>
    </x:xf>
    <x:xf numFmtId="4" fontId="2" fillId="2" borderId="12" applyNumberFormat="1" applyFont="1" applyFill="1" applyBorder="1" applyAlignment="1" applyProtection="0">
      <x:alignment vertical="top" wrapText="1"/>
    </x:xf>
    <x:xf numFmtId="0" fontId="2" borderId="10" applyNumberFormat="0" applyFont="1" applyFill="0" applyBorder="1" applyAlignment="1" applyProtection="0">
      <x:alignment vertical="top" wrapText="1"/>
    </x:xf>
    <x:xf numFmtId="4" fontId="2" borderId="11" applyNumberFormat="1" applyFont="1" applyFill="0" applyBorder="1" applyAlignment="1" applyProtection="0">
      <x:alignment vertical="top" wrapText="1"/>
    </x:xf>
    <x:xf numFmtId="49" fontId="2" borderId="11" applyNumberFormat="1" applyFont="1" applyFill="0" applyBorder="1" applyAlignment="1" applyProtection="0">
      <x:alignment vertical="top" wrapText="1"/>
    </x:xf>
    <x:xf numFmtId="4" fontId="2" borderId="12" applyNumberFormat="1" applyFont="1" applyFill="0" applyBorder="1" applyAlignment="1" applyProtection="0">
      <x:alignment vertical="top" wrapText="1"/>
    </x:xf>
    <x:xf numFmtId="0" fontId="3" borderId="8" applyNumberFormat="0" applyFont="1" applyFill="0" applyBorder="1" applyAlignment="1" applyProtection="0">
      <x:alignment horizontal="center" vertical="top" wrapText="1"/>
    </x:xf>
    <x:xf numFmtId="0" fontId="2" fillId="2" borderId="11" applyNumberFormat="0" applyFont="1" applyFill="1" applyBorder="1" applyAlignment="1" applyProtection="0">
      <x:alignment vertical="top" wrapText="1"/>
    </x:xf>
    <x:xf numFmtId="0" fontId="2" fillId="2" borderId="12" applyNumberFormat="0" applyFont="1" applyFill="1" applyBorder="1" applyAlignment="1" applyProtection="0">
      <x:alignment vertical="top" wrapText="1"/>
    </x:xf>
    <x:xf numFmtId="49" fontId="3" borderId="13" applyNumberFormat="1" applyFont="1" applyFill="0" applyBorder="1" applyAlignment="1" applyProtection="0">
      <x:alignment horizontal="center" vertical="top" wrapText="1"/>
    </x:xf>
    <x:xf numFmtId="49" fontId="3" borderId="14" applyNumberFormat="1" applyFont="1" applyFill="0" applyBorder="1" applyAlignment="1" applyProtection="0">
      <x:alignment vertical="top" wrapText="1"/>
    </x:xf>
    <x:xf numFmtId="0" fontId="2" borderId="15" applyNumberFormat="0" applyFont="1" applyFill="0" applyBorder="1" applyAlignment="1" applyProtection="0">
      <x:alignment vertical="top" wrapText="1"/>
    </x:xf>
    <x:xf numFmtId="4" fontId="2" borderId="16" applyNumberFormat="1" applyFont="1" applyFill="0" applyBorder="1" applyAlignment="1" applyProtection="0">
      <x:alignment vertical="top" wrapText="1"/>
    </x:xf>
    <x:xf numFmtId="49" fontId="2" borderId="16" applyNumberFormat="1" applyFont="1" applyFill="0" applyBorder="1" applyAlignment="1" applyProtection="0">
      <x:alignment vertical="top" wrapText="1"/>
    </x:xf>
    <x:xf numFmtId="4" fontId="2" borderId="17" applyNumberFormat="1" applyFont="1" applyFill="0" applyBorder="1" applyAlignment="1" applyProtection="0">
      <x:alignment vertical="top" wrapText="1"/>
    </x:xf>
    <x:xf numFmtId="0" fontId="3" borderId="18" applyNumberFormat="0" applyFont="1" applyFill="0" applyBorder="1" applyAlignment="1" applyProtection="0">
      <x:alignment horizontal="center" vertical="top" wrapText="1"/>
    </x:xf>
    <x:xf numFmtId="0" fontId="3" borderId="19" applyNumberFormat="0" applyFont="1" applyFill="0" applyBorder="1" applyAlignment="1" applyProtection="0">
      <x:alignment vertical="top" wrapText="1"/>
    </x:xf>
    <x:xf numFmtId="0" fontId="2" fillId="2" borderId="20" applyNumberFormat="0" applyFont="1" applyFill="1" applyBorder="1" applyAlignment="1" applyProtection="0">
      <x:alignment vertical="top" wrapText="1"/>
    </x:xf>
    <x:xf numFmtId="4" fontId="2" fillId="2" borderId="21" applyNumberFormat="1" applyFont="1" applyFill="1" applyBorder="1" applyAlignment="1" applyProtection="0">
      <x:alignment vertical="top" wrapText="1"/>
    </x:xf>
    <x:xf numFmtId="0" fontId="2" fillId="2" borderId="21" applyNumberFormat="0" applyFont="1" applyFill="1" applyBorder="1" applyAlignment="1" applyProtection="0">
      <x:alignment vertical="top" wrapText="1"/>
    </x:xf>
    <x:xf numFmtId="4" fontId="2" fillId="2" borderId="22" applyNumberFormat="1" applyFont="1" applyFill="1" applyBorder="1" applyAlignment="1" applyProtection="0">
      <x:alignment vertical="top" wrapText="1"/>
    </x:xf>
    <x:xf numFmtId="0" fontId="2" borderId="20" applyNumberFormat="0" applyFont="1" applyFill="0" applyBorder="1" applyAlignment="1" applyProtection="0">
      <x:alignment vertical="top" wrapText="1"/>
    </x:xf>
    <x:xf numFmtId="4" fontId="2" borderId="21" applyNumberFormat="1" applyFont="1" applyFill="0" applyBorder="1" applyAlignment="1" applyProtection="0">
      <x:alignment vertical="top" wrapText="1"/>
    </x:xf>
    <x:xf numFmtId="0" fontId="2" borderId="21" applyNumberFormat="0" applyFont="1" applyFill="0" applyBorder="1" applyAlignment="1" applyProtection="0">
      <x:alignment vertical="top" wrapText="1"/>
    </x:xf>
    <x:xf numFmtId="4" fontId="2" borderId="22" applyNumberFormat="1" applyFont="1" applyFill="0" applyBorder="1" applyAlignment="1" applyProtection="0">
      <x:alignment vertical="top" wrapText="1"/>
    </x:xf>
    <x:xf numFmtId="0" fontId="2" fillId="2" borderId="22" applyNumberFormat="0" applyFont="1" applyFill="1" applyBorder="1" applyAlignment="1" applyProtection="0">
      <x:alignment vertical="top" wrapText="1"/>
    </x:xf>
    <x:xf numFmtId="3" fontId="2" borderId="21" applyNumberFormat="1" applyFont="1" applyFill="0" applyBorder="1" applyAlignment="1" applyProtection="0">
      <x:alignment vertical="top" wrapText="1"/>
    </x:xf>
    <x:xf numFmtId="0" fontId="3" borderId="18" applyNumberFormat="1" applyFont="1" applyFill="0" applyBorder="1" applyAlignment="1" applyProtection="0">
      <x:alignment horizontal="center" vertical="top" wrapText="1"/>
    </x:xf>
    <x:xf numFmtId="0" fontId="2" borderId="22" applyNumberFormat="0" applyFont="1" applyFill="0" applyBorder="1" applyAlignment="1" applyProtection="0">
      <x:alignment vertical="top" wrapText="1"/>
    </x:xf>
    <x:xf numFmtId="0" fontId="3" borderId="23" applyNumberFormat="0" applyFont="1" applyFill="0" applyBorder="1" applyAlignment="1" applyProtection="0">
      <x:alignment horizontal="center" vertical="top" wrapText="1"/>
    </x:xf>
    <x:xf numFmtId="0" fontId="3" borderId="24" applyNumberFormat="0" applyFont="1" applyFill="0" applyBorder="1" applyAlignment="1" applyProtection="0">
      <x:alignment vertical="top" wrapText="1"/>
    </x:xf>
    <x:xf numFmtId="59" fontId="3" borderId="23" applyNumberFormat="1" applyFont="1" applyFill="0" applyBorder="1" applyAlignment="1" applyProtection="0">
      <x:alignment vertical="top" wrapText="1"/>
    </x:xf>
    <x:xf numFmtId="59" fontId="3" borderId="24" applyNumberFormat="1" applyFont="1" applyFill="0" applyBorder="1" applyAlignment="1" applyProtection="0">
      <x:alignment vertical="top" wrapText="1"/>
    </x:xf>
    <x:xf numFmtId="0" fontId="3" borderId="24" applyNumberFormat="0" applyFont="1" applyFill="0" applyBorder="1" applyAlignment="1" applyProtection="0">
      <x:alignment horizontal="right" vertical="top"/>
    </x:xf>
    <x:xf numFmtId="49" fontId="3" borderId="24" applyNumberFormat="1" applyFont="1" applyFill="0" applyBorder="1" applyAlignment="1" applyProtection="0">
      <x:alignment horizontal="right" vertical="top"/>
    </x:xf>
    <x:xf numFmtId="4" fontId="3" borderId="24" applyNumberFormat="1" applyFont="1" applyFill="0" applyBorder="1" applyAlignment="1" applyProtection="0">
      <x:alignment vertical="top" wrapText="1"/>
    </x:xf>
    <x:xf numFmtId="4" fontId="3" fillId="3" borderId="25" applyNumberFormat="1" applyFont="1" applyFill="1" applyBorder="1" applyAlignment="1" applyProtection="0">
      <x:alignment vertical="top" wrapText="1"/>
    </x:xf>
    <x:xf numFmtId="0" fontId="3" borderId="26" applyNumberFormat="0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vertical="top" wrapText="1"/>
    </x:xf>
    <x:xf numFmtId="4" fontId="3" fillId="3" borderId="28" applyNumberFormat="1" applyFont="1" applyFill="1" applyBorder="1" applyAlignment="1" applyProtection="0">
      <x:alignment vertical="top" wrapText="1"/>
    </x:xf>
    <x:xf numFmtId="59" fontId="3" borderId="26" applyNumberFormat="1" applyFont="1" applyFill="0" applyBorder="1" applyAlignment="1" applyProtection="0">
      <x:alignment vertical="top" wrapText="1"/>
    </x:xf>
    <x:xf numFmtId="59" fontId="3" borderId="27" applyNumberFormat="1" applyFont="1" applyFill="0" applyBorder="1" applyAlignment="1" applyProtection="0">
      <x:alignment vertical="top" wrapText="1"/>
    </x:xf>
    <x:xf numFmtId="4" fontId="3" borderId="27" applyNumberFormat="1" applyFont="1" applyFill="0" applyBorder="1" applyAlignment="1" applyProtection="0">
      <x:alignment vertical="top" wrapText="1"/>
    </x:xf>
    <x:xf numFmtId="0" fontId="3" borderId="27" applyNumberFormat="0" applyFont="1" applyFill="0" applyBorder="1" applyAlignment="1" applyProtection="0">
      <x:alignment horizontal="right" vertical="top"/>
    </x:xf>
    <x:xf numFmtId="4" fontId="3" borderId="29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center" vertical="top" wrapText="1"/>
    </x:xf>
    <x:xf numFmtId="0" fontId="3" borderId="30" applyNumberFormat="0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vertical="top" wrapText="1"/>
    </x:xf>
    <x:xf numFmtId="59" fontId="3" borderId="30" applyNumberFormat="1" applyFont="1" applyFill="0" applyBorder="1" applyAlignment="1" applyProtection="0">
      <x:alignment vertical="top" wrapText="1"/>
    </x:xf>
    <x:xf numFmtId="4" fontId="3" borderId="30" applyNumberFormat="1" applyFont="1" applyFill="0" applyBorder="1" applyAlignment="1" applyProtection="0">
      <x:alignment vertical="top" wrapText="1"/>
    </x:xf>
    <x:xf numFmtId="0" fontId="3" borderId="30" applyNumberFormat="0" applyFont="1" applyFill="0" applyBorder="1" applyAlignment="1" applyProtection="0">
      <x:alignment horizontal="right" vertical="top"/>
    </x:xf>
    <x:xf numFmtId="3" fontId="3" borderId="30" applyNumberFormat="1" applyFont="1" applyFill="0" applyBorder="1" applyAlignment="1" applyProtection="0">
      <x:alignment vertical="top" wrapText="1"/>
    </x:xf>
    <x:xf numFmtId="49" fontId="3" borderId="30" applyNumberFormat="1" applyFont="1" applyFill="0" applyBorder="1" applyAlignment="1" applyProtection="0">
      <x:alignment horizontal="right" vertical="top"/>
    </x:xf>
    <x:xf numFmtId="4" fontId="3" borderId="1" applyNumberFormat="1" applyFont="1" applyFill="0" applyBorder="1" applyAlignment="1" applyProtection="0">
      <x:alignment vertical="top" wrapText="1"/>
    </x:xf>
    <x:xf numFmtId="49" fontId="3" borderId="8" xfId="0" applyNumberFormat="1" applyFont="1" applyFill="0" applyBorder="1" applyAlignment="1">
      <x:alignment horizontal="center" vertical="top" wrapText="1"/>
    </x:xf>
    <x:xf numFmtId="49" fontId="3" borderId="9" xfId="0" applyNumberFormat="1" applyFont="1" applyFill="0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3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3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5" xfId="0" applyNumberFormat="1" applyFont="1" applyFill="1" applyBorder="1" applyAlignment="1">
      <x:alignment vertical="top" wrapText="1"/>
    </x:xf>
    <x:xf numFmtId="0" fontId="3" fillId="4" borderId="26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vertical="top" wrapText="1"/>
    </x:xf>
    <x:xf numFmtId="4" fontId="3" fillId="4" borderId="28" xfId="0" applyNumberFormat="1" applyFont="1" applyFill="1" applyBorder="1" applyAlignment="1">
      <x:alignment vertical="top" wrapText="1"/>
    </x:xf>
    <x:xf numFmtId="59" fontId="3" fillId="4" borderId="26" xfId="0" applyNumberFormat="1" applyFont="1" applyFill="1" applyBorder="1" applyAlignment="1">
      <x:alignment vertical="top" wrapText="1"/>
    </x:xf>
    <x:xf numFmtId="59" fontId="3" fillId="4" borderId="27" xfId="0" applyNumberFormat="1" applyFont="1" applyFill="1" applyBorder="1" applyAlignment="1">
      <x:alignment vertical="top" wrapText="1"/>
    </x:xf>
    <x:xf numFmtId="4" fontId="3" fillId="4" borderId="27" xfId="0" applyNumberFormat="1" applyFont="1" applyFill="1" applyBorder="1" applyAlignment="1">
      <x:alignment vertical="top" wrapText="1"/>
    </x:xf>
    <x:xf numFmtId="0" fontId="3" fillId="4" borderId="27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center" vertical="top" wrapText="1"/>
    </x:xf>
    <x:xf numFmtId="0" fontId="3" fillId="4" borderId="31" xfId="0" applyNumberFormat="1" applyFont="1" applyFill="1" applyBorder="1" applyAlignment="1">
      <x:alignment vertical="top" wrapText="1"/>
    </x:xf>
    <x:xf numFmtId="59" fontId="3" fillId="4" borderId="31" xfId="0" applyNumberFormat="1" applyFont="1" applyFill="1" applyBorder="1" applyAlignment="1">
      <x:alignment vertical="top" wrapText="1"/>
    </x:xf>
    <x:xf numFmtId="0" fontId="3" fillId="4" borderId="31" xfId="0" applyNumberFormat="1" applyFont="1" applyFill="1" applyBorder="1" applyAlignment="1">
      <x:alignment horizontal="right" vertical="top"/>
    </x:xf>
    <x:xf numFmtId="4" fontId="3" fillId="4" borderId="31" xfId="0" applyNumberFormat="1" applyFont="1" applyFill="1" applyBorder="1" applyAlignment="1">
      <x:alignment vertical="top" wrapText="1"/>
    </x:xf>
    <x:xf numFmtId="49" fontId="3" fillId="4" borderId="31" xfId="0" applyNumberFormat="1" applyFont="1" applyFill="1" applyBorder="1" applyAlignment="1">
      <x:alignment vertical="top" wrapText="1"/>
    </x:xf>
    <x:xf numFmtId="3" fontId="3" fillId="4" borderId="31" xfId="0" applyNumberFormat="1" applyFont="1" applyFill="1" applyBorder="1" applyAlignment="1">
      <x:alignment vertical="top" wrapText="1"/>
    </x:xf>
    <x:xf numFmtId="49" fontId="3" borderId="24" xfId="0" applyNumberFormat="1" applyFont="1" applyFill="0" applyBorder="1" applyAlignment="1">
      <x:alignment horizontal="right" vertical="top" wrapText="1"/>
    </x:xf>
    <x:xf numFmtId="0" fontId="3" borderId="27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6" xfId="0" applyNumberFormat="1" applyFont="1" applyFill="0" applyBorder="1" applyAlignment="1">
      <x:alignment vertical="top" wrapText="1"/>
    </x:xf>
    <x:xf numFmtId="201" fontId="2" fillId="2" borderId="11" xfId="0" applyNumberFormat="1" applyFont="1" applyFill="1" applyBorder="1" applyAlignment="1">
      <x:alignment vertical="top" wrapText="1"/>
    </x:xf>
    <x:xf numFmtId="201" fontId="3" fillId="4" borderId="31" xfId="0" applyNumberFormat="1" applyFont="1" applyFill="1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borderId="7" xfId="0" applyNumberFormat="1" applyFont="1" applyFill="0" applyBorder="1" applyAlignment="1">
      <x:alignment vertical="top" wrapText="1"/>
    </x:xf>
    <x:xf numFmtId="200" fontId="2" fillId="2" borderId="11" xfId="0" applyNumberFormat="1" applyFont="1" applyFill="1" applyBorder="1" applyAlignment="1">
      <x:alignment vertical="top" wrapText="1"/>
    </x:xf>
    <x:xf numFmtId="200" fontId="2" fillId="2" borderId="12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vertical="top" wrapText="1"/>
    </x:xf>
    <x:xf numFmtId="200" fontId="3" fillId="4" borderId="31" xfId="0" applyNumberFormat="1" applyFont="1" applyFill="1" applyBorder="1" applyAlignment="1">
      <x:alignment horizontal="right" vertical="top"/>
    </x:xf>
    <x:xf numFmtId="200" fontId="3" borderId="24" xfId="0" applyNumberFormat="1" applyFont="1" applyFill="0" applyBorder="1" applyAlignment="1">
      <x:alignment horizontal="right" vertical="top" wrapText="1"/>
    </x:xf>
    <x:xf numFmtId="200" fontId="3" borderId="24" xfId="0" applyNumberFormat="1" applyFont="1" applyFill="0" applyBorder="1" applyAlignment="1">
      <x:alignment vertical="top" wrapText="1"/>
    </x:xf>
    <x:xf numFmtId="200" fontId="3" borderId="27" xfId="0" applyNumberFormat="1" applyFont="1" applyFill="0" applyBorder="1" applyAlignment="1">
      <x:alignment horizontal="right" vertical="top" wrapText="1"/>
    </x:xf>
    <x:xf numFmtId="200" fontId="3" borderId="27" xfId="0" applyNumberFormat="1" applyFont="1" applyFill="0" applyBorder="1" applyAlignment="1">
      <x:alignment vertical="top" wrapText="1"/>
    </x:xf>
    <x:xf numFmtId="200" fontId="3" borderId="29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1" xfId="0" applyNumberFormat="1" applyFont="1" applyFill="0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5bd99ce3e4fc8" /><Relationship Type="http://schemas.openxmlformats.org/officeDocument/2006/relationships/theme" Target="/xl/theme/theme1.xml" Id="R4d097160f4634d19" /><Relationship Type="http://schemas.openxmlformats.org/officeDocument/2006/relationships/sheetMetadata" Target="/xl/metadata1.xml" Id="R68016bd70c504b07" /><Relationship Type="http://schemas.openxmlformats.org/officeDocument/2006/relationships/sharedStrings" Target="/xl/sharedStrings.xml" Id="Rcfa57cd4c4c944e1" /><Relationship Type="http://schemas.openxmlformats.org/officeDocument/2006/relationships/worksheet" Target="/xl/worksheets/sheet1.xml" Id="R2e6e309b1cd54e5b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9.734379768371582" style="1" customWidth="1"/>
    <x:col min="2" max="2" width="43.03120040893555" style="1" customWidth="1"/>
    <x:col min="3" max="3" width="2.75" style="1" customWidth="1"/>
    <x:col min="4" max="6" width="10.367199897766113" style="1" customWidth="1"/>
    <x:col min="7" max="7" width="11.6875" style="1" customWidth="1"/>
    <x:col min="8" max="11" width="13.515600204467773" style="1" customWidth="1"/>
    <x:col min="12" max="14" width="14.234399795532227" style="1" customWidth="1"/>
    <x:col min="15" max="16384" width="16.351600646972656" style="1" customWidth="1"/>
    <x:col min="16" max="16" width="23" hidden="0" customWidth="1"/>
    <x:col min="17" max="17" width="90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20.5" customHeight="1">
      <x:c r="A1" s="2" t="s">
        <x:v>0</x:v>
      </x:c>
      <x:c r="B1" s="2" t="s">
        <x:v>1</x:v>
      </x:c>
      <x:c r="C1" s="3"/>
      <x:c r="D1" s="2" t="s">
        <x:v>2</x:v>
      </x:c>
      <x:c r="E1" s="3"/>
      <x:c r="F1" s="3"/>
      <x:c r="G1" s="2" t="s">
        <x:v>3</x:v>
      </x:c>
      <x:c r="H1" s="2" t="s">
        <x:v>4</x:v>
      </x:c>
      <x:c r="I1" s="3"/>
      <x:c r="J1" s="3"/>
      <x:c r="K1" s="2" t="s">
        <x:v>5</x:v>
      </x:c>
      <x:c r="L1" s="2" t="s">
        <x:v>6</x:v>
      </x:c>
      <x:c r="M1" s="3"/>
      <x:c r="N1" s="3"/>
      <x:c r="P1" t="str">
        <x:v>Nomor RUP</x:v>
      </x:c>
      <x:c r="Q1" t="str">
        <x:v>62722597</x:v>
      </x:c>
    </x:row>
    <x:row r="2" ht="32" customHeight="1">
      <x:c r="A2" s="4"/>
      <x:c r="B2" s="4"/>
      <x:c r="C2" s="4"/>
      <x:c r="D2" s="5" t="s">
        <x:v>7</x:v>
      </x:c>
      <x:c r="E2" s="5" t="s">
        <x:v>8</x:v>
      </x:c>
      <x:c r="F2" s="5" t="s">
        <x:v>9</x:v>
      </x:c>
      <x:c r="G2" s="4"/>
      <x:c r="H2" s="5" t="s">
        <x:v>7</x:v>
      </x:c>
      <x:c r="I2" s="5" t="s">
        <x:v>8</x:v>
      </x:c>
      <x:c r="J2" s="5" t="s">
        <x:v>9</x:v>
      </x:c>
      <x:c r="K2" s="4"/>
      <x:c r="L2" s="5" t="s">
        <x:v>7</x:v>
      </x:c>
      <x:c r="M2" s="5" t="s">
        <x:v>8</x:v>
      </x:c>
      <x:c r="N2" s="5" t="s">
        <x:v>9</x:v>
      </x:c>
      <x:c r="P2" t="str">
        <x:v>Nama Paket</x:v>
      </x:c>
      <x:c r="Q2" s="74" t="str">
        <x:v>Pemb. Jalan Rabat Mesjid</x:v>
      </x:c>
      <x:c r="S2" s="75" t="str">
        <x:v>Jumlah HPS termasuk PPN</x:v>
      </x:c>
      <x:c r="T2" s="75" t="str">
        <x:v>Jumlah penawaran termasuk PPN</x:v>
      </x:c>
      <x:c r="U2" s="75" t="str">
        <x:v>Jumlah negosiasi termasuk PPN</x:v>
      </x:c>
    </x:row>
    <x:row r="3" ht="32" customHeight="1">
      <x:c r="A3" s="6"/>
      <x:c r="B3" s="7" t="str">
        <x:v>DIVISI 1. UMUM</x:v>
      </x:c>
      <x:c r="C3" s="8"/>
      <x:c r="D3" s="115"/>
      <x:c r="E3" s="115"/>
      <x:c r="F3" s="115"/>
      <x:c r="G3" s="10"/>
      <x:c r="H3" s="118"/>
      <x:c r="I3" s="118"/>
      <x:c r="J3" s="118"/>
      <x:c r="K3" s="118"/>
      <x:c r="L3" s="118" cm="1"/>
      <x:c r="M3" s="118" cm="1"/>
      <x:c r="N3" s="119" cm="1"/>
      <x:c r="P3" t="str">
        <x:v>Perusahaan</x:v>
      </x:c>
      <x:c r="Q3" s="74" t="str">
        <x:v>CV. KARYA UTAMA NUSANTARA</x:v>
      </x:c>
      <x:c r="S3" s="75"/>
      <x:c r="T3" s="75"/>
      <x:c r="U3" s="75"/>
    </x:row>
    <x:row r="4" ht="23" customHeight="1">
      <x:c r="A4" s="71" t="str">
        <x:v>1.2</x:v>
      </x:c>
      <x:c r="B4" s="72" t="str">
        <x:v>Mobilisasi</x:v>
      </x:c>
      <x:c r="C4" s="73"/>
      <x:c r="D4" s="116" t="n">
        <x:v>1</x:v>
      </x:c>
      <x:c r="E4" s="116" t="n" cm="1">
        <x:f>D4</x:f>
        <x:v>1</x:v>
      </x:c>
      <x:c r="F4" s="116" t="n" cm="1">
        <x:f>D4</x:f>
        <x:v>1</x:v>
      </x:c>
      <x:c r="G4" s="17" t="str">
        <x:v>Ls</x:v>
      </x:c>
      <x:c r="H4" s="120" t="n">
        <x:v>9300000</x:v>
      </x:c>
      <x:c r="I4" s="120" t="n">
        <x:v>9299000</x:v>
      </x:c>
      <x:c r="J4" s="120" t="n">
        <x:f>I4</x:f>
        <x:v>9299000</x:v>
      </x:c>
      <x:c r="K4" s="120" t="n">
        <x:v>11</x:v>
      </x:c>
      <x:c r="L4" s="120" t="n" cm="1">
        <x:f>D4*H4</x:f>
        <x:v>9300000</x:v>
      </x:c>
      <x:c r="M4" s="120" t="n" cm="1">
        <x:f>E4*I4</x:f>
        <x:v>9299000</x:v>
      </x:c>
      <x:c r="N4" s="121" t="n" cm="1">
        <x:f>F4*J4</x:f>
        <x:v>9299000</x:v>
      </x:c>
      <x:c r="P4" t="str">
        <x:v>Pagu Anggaran</x:v>
      </x:c>
      <x:c r="Q4" s="75" t="n">
        <x:v>100000000</x:v>
      </x:c>
      <x:c r="S4" s="75" t="n">
        <x:f>ROUND(L4*(1+K4/100),2)</x:f>
        <x:v>10323000</x:v>
      </x:c>
      <x:c r="T4" s="75" t="n">
        <x:f>ROUND(M4*(1+K4/100),2)</x:f>
        <x:v>10321890</x:v>
      </x:c>
      <x:c r="U4" s="75" t="n">
        <x:f>ROUND(N4*(1+K4/100),2)</x:f>
        <x:v>10321890</x:v>
      </x:c>
    </x:row>
    <x:row r="5" ht="23" customHeight="1">
      <x:c r="A5" s="71" t="str">
        <x:v>1.22.(1a1)</x:v>
      </x:c>
      <x:c r="B5" s="72" t="str">
        <x:v>Pembuatan dokumen RKK, RMPK, RKPPL, dan RMLLP</x:v>
      </x:c>
      <x:c r="C5" s="73"/>
      <x:c r="D5" s="116" t="n">
        <x:v>3</x:v>
      </x:c>
      <x:c r="E5" s="116" t="n" cm="1">
        <x:f>D5</x:f>
        <x:v>3</x:v>
      </x:c>
      <x:c r="F5" s="116" t="n" cm="1">
        <x:f>D5</x:f>
        <x:v>3</x:v>
      </x:c>
      <x:c r="G5" s="17" t="str">
        <x:v>Set</x:v>
      </x:c>
      <x:c r="H5" s="120" t="n">
        <x:v>250000</x:v>
      </x:c>
      <x:c r="I5" s="120" t="n">
        <x:v>250000</x:v>
      </x:c>
      <x:c r="J5" s="120" t="n">
        <x:f>I5</x:f>
        <x:v>250000</x:v>
      </x:c>
      <x:c r="K5" s="120" t="n">
        <x:v>11</x:v>
      </x:c>
      <x:c r="L5" s="120" t="n" cm="1">
        <x:f>D5*H5</x:f>
        <x:v>750000</x:v>
      </x:c>
      <x:c r="M5" s="120" t="n" cm="1">
        <x:f>E5*I5</x:f>
        <x:v>750000</x:v>
      </x:c>
      <x:c r="N5" s="121" t="n" cm="1">
        <x:f>F5*J5</x:f>
        <x:v>750000</x:v>
      </x:c>
      <x:c r="P5" t="str">
        <x:v>HPS sesuai rekap</x:v>
      </x:c>
      <x:c r="Q5" s="75" t="n">
        <x:v>100000000</x:v>
      </x:c>
      <x:c r="S5" s="75" t="n">
        <x:f>ROUND(L5*(1+K5/100),2)</x:f>
        <x:v>832500</x:v>
      </x:c>
      <x:c r="T5" s="75" t="n">
        <x:f>ROUND(M5*(1+K5/100),2)</x:f>
        <x:v>832500</x:v>
      </x:c>
      <x:c r="U5" s="75" t="n">
        <x:f>ROUND(N5*(1+K5/100),2)</x:f>
        <x:v>832500</x:v>
      </x:c>
    </x:row>
    <x:row r="6" ht="23" customHeight="1">
      <x:c r="A6" s="71" t="str">
        <x:v>1.22.(1b2)</x:v>
      </x:c>
      <x:c r="B6" s="72" t="str">
        <x:v>Pembuatan prosedur dan instruksi kerja </x:v>
      </x:c>
      <x:c r="C6" s="73"/>
      <x:c r="D6" s="116" t="n">
        <x:v>2</x:v>
      </x:c>
      <x:c r="E6" s="116" t="n">
        <x:f>D6</x:f>
        <x:v>2</x:v>
      </x:c>
      <x:c r="F6" s="116" t="n">
        <x:f>D6</x:f>
        <x:v>2</x:v>
      </x:c>
      <x:c r="G6" s="17" t="str">
        <x:v>Set</x:v>
      </x:c>
      <x:c r="H6" s="120" t="n">
        <x:v>250000</x:v>
      </x:c>
      <x:c r="I6" s="120" t="n">
        <x:v>250000</x:v>
      </x:c>
      <x:c r="J6" s="120" t="n">
        <x:f>I6</x:f>
        <x:v>250000</x:v>
      </x:c>
      <x:c r="K6" s="120" t="n">
        <x:v>11</x:v>
      </x:c>
      <x:c r="L6" s="120" t="n" cm="1">
        <x:f>D6*H6</x:f>
        <x:v>500000</x:v>
      </x:c>
      <x:c r="M6" s="120" t="n" cm="1">
        <x:f>E6*I6</x:f>
        <x:v>500000</x:v>
      </x:c>
      <x:c r="N6" s="121" t="n" cm="1">
        <x:f>F6*J6</x:f>
        <x:v>500000</x:v>
      </x:c>
      <x:c r="P6" t="str">
        <x:v>Penawaran sesuai rekap</x:v>
      </x:c>
      <x:c r="Q6" s="75" t="n">
        <x:v>99980000</x:v>
      </x:c>
      <x:c r="S6" s="75" t="n">
        <x:f>ROUND(L6*(1+K6/100),2)</x:f>
        <x:v>555000</x:v>
      </x:c>
      <x:c r="T6" s="75" t="n">
        <x:f>ROUND(M6*(1+K6/100),2)</x:f>
        <x:v>555000</x:v>
      </x:c>
      <x:c r="U6" s="75" t="n">
        <x:f>ROUND(N6*(1+K6/100),2)</x:f>
        <x:v>555000</x:v>
      </x:c>
    </x:row>
    <x:row r="7" ht="23" customHeight="1">
      <x:c r="A7" s="71" t="str">
        <x:v>1.22.(1c)</x:v>
      </x:c>
      <x:c r="B7" s="72" t="str">
        <x:v>Penyusunan pelaporan penerapan SMKK </x:v>
      </x:c>
      <x:c r="C7" s="73"/>
      <x:c r="D7" s="116" t="n">
        <x:v>1</x:v>
      </x:c>
      <x:c r="E7" s="116" t="n" cm="1">
        <x:f>D7</x:f>
        <x:v>1</x:v>
      </x:c>
      <x:c r="F7" s="116" t="n" cm="1">
        <x:f>D7</x:f>
        <x:v>1</x:v>
      </x:c>
      <x:c r="G7" s="17" t="str">
        <x:v>Set</x:v>
      </x:c>
      <x:c r="H7" s="120" t="n">
        <x:v>500000</x:v>
      </x:c>
      <x:c r="I7" s="120" t="n">
        <x:v>500000</x:v>
      </x:c>
      <x:c r="J7" s="120" t="n">
        <x:f>I7</x:f>
        <x:v>500000</x:v>
      </x:c>
      <x:c r="K7" s="120" t="n">
        <x:v>11</x:v>
      </x:c>
      <x:c r="L7" s="120" t="n" cm="1">
        <x:f>D7*H7</x:f>
        <x:v>500000</x:v>
      </x:c>
      <x:c r="M7" s="120" t="n" cm="1">
        <x:f>E7*I7</x:f>
        <x:v>500000</x:v>
      </x:c>
      <x:c r="N7" s="121" t="n" cm="1">
        <x:f>F7*J7</x:f>
        <x:v>500000</x:v>
      </x:c>
      <x:c r="S7" s="75" t="n">
        <x:f>ROUND(L7*(1+K7/100),2)</x:f>
        <x:v>555000</x:v>
      </x:c>
      <x:c r="T7" s="75" t="n">
        <x:f>ROUND(M7*(1+K7/100),2)</x:f>
        <x:v>555000</x:v>
      </x:c>
      <x:c r="U7" s="75" t="n">
        <x:f>ROUND(N7*(1+K7/100),2)</x:f>
        <x:v>555000</x:v>
      </x:c>
    </x:row>
    <x:row r="8" ht="23" customHeight="1">
      <x:c r="A8" s="71" t="str">
        <x:v>1.22.(3b1)</x:v>
      </x:c>
      <x:c r="B8" s="72" t="str">
        <x:v>Topi pelindung (Safety Helmet) </x:v>
      </x:c>
      <x:c r="C8" s="73"/>
      <x:c r="D8" s="116" t="n">
        <x:v>5</x:v>
      </x:c>
      <x:c r="E8" s="116" t="n">
        <x:f>D8</x:f>
        <x:v>5</x:v>
      </x:c>
      <x:c r="F8" s="116" t="n">
        <x:f>D8</x:f>
        <x:v>5</x:v>
      </x:c>
      <x:c r="G8" s="17" t="str">
        <x:v>Buah</x:v>
      </x:c>
      <x:c r="H8" s="120" t="n">
        <x:v>75000</x:v>
      </x:c>
      <x:c r="I8" s="120" t="n">
        <x:v>75000</x:v>
      </x:c>
      <x:c r="J8" s="120" t="n">
        <x:f>I8</x:f>
        <x:v>75000</x:v>
      </x:c>
      <x:c r="K8" s="120" t="n">
        <x:v>11</x:v>
      </x:c>
      <x:c r="L8" s="120" t="n" cm="1">
        <x:f>D8*H8</x:f>
        <x:v>375000</x:v>
      </x:c>
      <x:c r="M8" s="120" t="n" cm="1">
        <x:f>E8*I8</x:f>
        <x:v>375000</x:v>
      </x:c>
      <x:c r="N8" s="121" t="n" cm="1">
        <x:f>F8*J8</x:f>
        <x:v>375000</x:v>
      </x:c>
      <x:c r="P8" t="str">
        <x:v>Sumber HPS</x:v>
      </x:c>
      <x:c r="Q8" t="str">
        <x:v>HPS - Pemb. Jalan Rabat Mesjid.xlsm</x:v>
      </x:c>
      <x:c r="S8" s="75" t="n">
        <x:f>ROUND(L8*(1+K8/100),2)</x:f>
        <x:v>416250</x:v>
      </x:c>
      <x:c r="T8" s="75" t="n">
        <x:f>ROUND(M8*(1+K8/100),2)</x:f>
        <x:v>416250</x:v>
      </x:c>
      <x:c r="U8" s="75" t="n">
        <x:f>ROUND(N8*(1+K8/100),2)</x:f>
        <x:v>416250</x:v>
      </x:c>
    </x:row>
    <x:row r="9" ht="23" customHeight="1">
      <x:c r="A9" s="71" t="str">
        <x:v>1.22.(3b7)</x:v>
      </x:c>
      <x:c r="B9" s="72" t="str">
        <x:v>Sarung tangan (Safety Gloves) </x:v>
      </x:c>
      <x:c r="C9" s="73"/>
      <x:c r="D9" s="116" t="n">
        <x:v>5</x:v>
      </x:c>
      <x:c r="E9" s="116" t="n" cm="1">
        <x:f>D9</x:f>
        <x:v>5</x:v>
      </x:c>
      <x:c r="F9" s="116" t="n" cm="1">
        <x:f>D9</x:f>
        <x:v>5</x:v>
      </x:c>
      <x:c r="G9" s="17" t="str">
        <x:v>Pasang</x:v>
      </x:c>
      <x:c r="H9" s="120" t="n">
        <x:v>15000</x:v>
      </x:c>
      <x:c r="I9" s="120" t="n">
        <x:v>15000</x:v>
      </x:c>
      <x:c r="J9" s="120" t="n">
        <x:f>I9</x:f>
        <x:v>15000</x:v>
      </x:c>
      <x:c r="K9" s="120" t="n">
        <x:v>11</x:v>
      </x:c>
      <x:c r="L9" s="120" t="n" cm="1">
        <x:f>D9*H9</x:f>
        <x:v>75000</x:v>
      </x:c>
      <x:c r="M9" s="120" t="n" cm="1">
        <x:f>E9*I9</x:f>
        <x:v>75000</x:v>
      </x:c>
      <x:c r="N9" s="121" t="n" cm="1">
        <x:f>F9*J9</x:f>
        <x:v>75000</x:v>
      </x:c>
      <x:c r="P9" t="str">
        <x:v>Sumber penawaran</x:v>
      </x:c>
      <x:c r="Q9" t="str">
        <x:v>Penawaran - CV. KARYA UTAMA NUSANTARA - Pemb. Jalan Rabat Mesjid.xlsm</x:v>
      </x:c>
      <x:c r="S9" s="75" t="n">
        <x:f>ROUND(L9*(1+K9/100),2)</x:f>
        <x:v>83250</x:v>
      </x:c>
      <x:c r="T9" s="75" t="n">
        <x:f>ROUND(M9*(1+K9/100),2)</x:f>
        <x:v>83250</x:v>
      </x:c>
      <x:c r="U9" s="75" t="n">
        <x:f>ROUND(N9*(1+K9/100),2)</x:f>
        <x:v>83250</x:v>
      </x:c>
    </x:row>
    <x:row r="10" ht="23" customHeight="1">
      <x:c r="A10" s="71" t="str">
        <x:v>1.22.(3b10)</x:v>
      </x:c>
      <x:c r="B10" s="72" t="str">
        <x:v>Sepatu keselamatan (Rubber Safety Shoes)</x:v>
      </x:c>
      <x:c r="C10" s="73"/>
      <x:c r="D10" s="116" t="n">
        <x:v>5</x:v>
      </x:c>
      <x:c r="E10" s="116" t="n">
        <x:f>D10</x:f>
        <x:v>5</x:v>
      </x:c>
      <x:c r="F10" s="116" t="n">
        <x:f>D10</x:f>
        <x:v>5</x:v>
      </x:c>
      <x:c r="G10" s="17" t="str">
        <x:v>Pasang</x:v>
      </x:c>
      <x:c r="H10" s="120" t="n">
        <x:v>200000</x:v>
      </x:c>
      <x:c r="I10" s="120" t="n">
        <x:v>200000</x:v>
      </x:c>
      <x:c r="J10" s="120" t="n">
        <x:f>I10</x:f>
        <x:v>200000</x:v>
      </x:c>
      <x:c r="K10" s="120" t="n">
        <x:v>11</x:v>
      </x:c>
      <x:c r="L10" s="120" t="n">
        <x:f>D10*H10</x:f>
        <x:v>1000000</x:v>
      </x:c>
      <x:c r="M10" s="120" t="n">
        <x:f>E10*I10</x:f>
        <x:v>1000000</x:v>
      </x:c>
      <x:c r="N10" s="121" t="n">
        <x:f>F10*J10</x:f>
        <x:v>1000000</x:v>
      </x:c>
      <x:c r="P10" t="str">
        <x:v>Format RAB</x:v>
      </x:c>
      <x:c r="Q10" t="str">
        <x:v>sample rab konstruksi.xlsx</x:v>
      </x:c>
      <x:c r="S10" s="75" t="n">
        <x:f>ROUND(L10*(1+K10/100),2)</x:f>
        <x:v>1110000</x:v>
      </x:c>
      <x:c r="T10" s="75" t="n">
        <x:f>ROUND(M10*(1+K10/100),2)</x:f>
        <x:v>1110000</x:v>
      </x:c>
      <x:c r="U10" s="75" t="n">
        <x:f>ROUND(N10*(1+K10/100),2)</x:f>
        <x:v>1110000</x:v>
      </x:c>
    </x:row>
    <x:row r="11" ht="23" customHeight="1">
      <x:c r="A11" s="71" t="str">
        <x:v>1.22.(3b15)</x:v>
      </x:c>
      <x:c r="B11" s="72" t="str">
        <x:v>Rompi keselamatan (Safety Vest)</x:v>
      </x:c>
      <x:c r="C11" s="73"/>
      <x:c r="D11" s="116" t="n">
        <x:v>5</x:v>
      </x:c>
      <x:c r="E11" s="116" t="n">
        <x:f>D11</x:f>
        <x:v>5</x:v>
      </x:c>
      <x:c r="F11" s="116" t="n">
        <x:f>D11</x:f>
        <x:v>5</x:v>
      </x:c>
      <x:c r="G11" s="17" t="str">
        <x:v>Buah</x:v>
      </x:c>
      <x:c r="H11" s="120" t="n">
        <x:v>57450</x:v>
      </x:c>
      <x:c r="I11" s="120" t="n">
        <x:v>57450</x:v>
      </x:c>
      <x:c r="J11" s="120" t="n">
        <x:f>I11</x:f>
        <x:v>57450</x:v>
      </x:c>
      <x:c r="K11" s="120" t="n">
        <x:v>11</x:v>
      </x:c>
      <x:c r="L11" s="120" t="n">
        <x:f>D11*H11</x:f>
        <x:v>287250</x:v>
      </x:c>
      <x:c r="M11" s="120" t="n">
        <x:f>E11*I11</x:f>
        <x:v>287250</x:v>
      </x:c>
      <x:c r="N11" s="121" t="n">
        <x:f>F11*J11</x:f>
        <x:v>287250</x:v>
      </x:c>
      <x:c r="S11" s="75" t="n">
        <x:f>ROUND(L11*(1+K11/100),2)</x:f>
        <x:v>318847.5</x:v>
      </x:c>
      <x:c r="T11" s="75" t="n">
        <x:f>ROUND(M11*(1+K11/100),2)</x:f>
        <x:v>318847.5</x:v>
      </x:c>
      <x:c r="U11" s="75" t="n">
        <x:f>ROUND(N11*(1+K11/100),2)</x:f>
        <x:v>318847.5</x:v>
      </x:c>
    </x:row>
    <x:row r="12" ht="32" customHeight="1">
      <x:c r="A12" s="71" t="str">
        <x:v>1.22.(5a)</x:v>
      </x:c>
      <x:c r="B12" s="72" t="str">
        <x:v>Ahli K3 konstruksi/ahli keselamatan konstruksi</x:v>
      </x:c>
      <x:c r="C12" s="73"/>
      <x:c r="D12" s="116" t="n">
        <x:v>1</x:v>
      </x:c>
      <x:c r="E12" s="116" t="n">
        <x:f>D12</x:f>
        <x:v>1</x:v>
      </x:c>
      <x:c r="F12" s="116" t="n">
        <x:f>D12</x:f>
        <x:v>1</x:v>
      </x:c>
      <x:c r="G12" s="17" t="str">
        <x:v>Orang</x:v>
      </x:c>
      <x:c r="H12" s="120" t="n">
        <x:v>3000000</x:v>
      </x:c>
      <x:c r="I12" s="120" t="n">
        <x:v>3000000</x:v>
      </x:c>
      <x:c r="J12" s="120" t="n">
        <x:f>I12</x:f>
        <x:v>3000000</x:v>
      </x:c>
      <x:c r="K12" s="120" t="n">
        <x:v>11</x:v>
      </x:c>
      <x:c r="L12" s="120" t="n">
        <x:f>D12*H12</x:f>
        <x:v>3000000</x:v>
      </x:c>
      <x:c r="M12" s="120" t="n">
        <x:f>E12*I12</x:f>
        <x:v>3000000</x:v>
      </x:c>
      <x:c r="N12" s="121" t="n">
        <x:f>F12*J12</x:f>
        <x:v>3000000</x:v>
      </x:c>
      <x:c r="S12" s="75" t="n">
        <x:f>ROUND(L12*(1+K12/100),2)</x:f>
        <x:v>3330000</x:v>
      </x:c>
      <x:c r="T12" s="75" t="n">
        <x:f>ROUND(M12*(1+K12/100),2)</x:f>
        <x:v>3330000</x:v>
      </x:c>
      <x:c r="U12" s="75" t="n">
        <x:f>ROUND(N12*(1+K12/100),2)</x:f>
        <x:v>3330000</x:v>
      </x:c>
    </x:row>
    <x:row r="13" ht="23" customHeight="1">
      <x:c r="A13" s="71" t="str">
        <x:v>1.22.(5i)</x:v>
      </x:c>
      <x:c r="B13" s="72" t="str">
        <x:v>Petugas pengatur lalu lintas (flagman)</x:v>
      </x:c>
      <x:c r="C13" s="73"/>
      <x:c r="D13" s="116" t="n">
        <x:v>1</x:v>
      </x:c>
      <x:c r="E13" s="116" t="n">
        <x:f>D13</x:f>
        <x:v>1</x:v>
      </x:c>
      <x:c r="F13" s="116" t="n">
        <x:f>D13</x:f>
        <x:v>1</x:v>
      </x:c>
      <x:c r="G13" s="17" t="str">
        <x:v>Orang</x:v>
      </x:c>
      <x:c r="H13" s="120" t="n">
        <x:v>3500000</x:v>
      </x:c>
      <x:c r="I13" s="120" t="n">
        <x:v>3500000</x:v>
      </x:c>
      <x:c r="J13" s="120" t="n">
        <x:f>I13</x:f>
        <x:v>3500000</x:v>
      </x:c>
      <x:c r="K13" s="120" t="n">
        <x:v>11</x:v>
      </x:c>
      <x:c r="L13" s="120" t="n">
        <x:f>D13*H13</x:f>
        <x:v>3500000</x:v>
      </x:c>
      <x:c r="M13" s="120" t="n">
        <x:f>E13*I13</x:f>
        <x:v>3500000</x:v>
      </x:c>
      <x:c r="N13" s="121" t="n">
        <x:f>F13*J13</x:f>
        <x:v>3500000</x:v>
      </x:c>
      <x:c r="S13" s="75" t="n">
        <x:f>ROUND(L13*(1+K13/100),2)</x:f>
        <x:v>3885000</x:v>
      </x:c>
      <x:c r="T13" s="75" t="n">
        <x:f>ROUND(M13*(1+K13/100),2)</x:f>
        <x:v>3885000</x:v>
      </x:c>
      <x:c r="U13" s="75" t="n">
        <x:f>ROUND(N13*(1+K13/100),2)</x:f>
        <x:v>3885000</x:v>
      </x:c>
    </x:row>
    <x:row r="14" ht="23" customHeight="1">
      <x:c r="A14" s="71" t="str">
        <x:v>1.22.(6a1)</x:v>
      </x:c>
      <x:c r="B14" s="72" t="str">
        <x:v>Peralatan P3K kotak A lengkap</x:v>
      </x:c>
      <x:c r="C14" s="73"/>
      <x:c r="D14" s="116" t="n">
        <x:v>1</x:v>
      </x:c>
      <x:c r="E14" s="116" t="n">
        <x:f>D14</x:f>
        <x:v>1</x:v>
      </x:c>
      <x:c r="F14" s="116" t="n">
        <x:f>D14</x:f>
        <x:v>1</x:v>
      </x:c>
      <x:c r="G14" s="17" t="str">
        <x:v>Set</x:v>
      </x:c>
      <x:c r="H14" s="120" t="n">
        <x:v>500000</x:v>
      </x:c>
      <x:c r="I14" s="120" t="n">
        <x:v>500000</x:v>
      </x:c>
      <x:c r="J14" s="120" t="n">
        <x:f>I14</x:f>
        <x:v>500000</x:v>
      </x:c>
      <x:c r="K14" s="120" t="n">
        <x:v>11</x:v>
      </x:c>
      <x:c r="L14" s="120" t="n">
        <x:f>D14*H14</x:f>
        <x:v>500000</x:v>
      </x:c>
      <x:c r="M14" s="120" t="n">
        <x:f>E14*I14</x:f>
        <x:v>500000</x:v>
      </x:c>
      <x:c r="N14" s="121" t="n">
        <x:f>F14*J14</x:f>
        <x:v>500000</x:v>
      </x:c>
      <x:c r="S14" s="75" t="n">
        <x:f>ROUND(L14*(1+K14/100),2)</x:f>
        <x:v>555000</x:v>
      </x:c>
      <x:c r="T14" s="75" t="n">
        <x:f>ROUND(M14*(1+K14/100),2)</x:f>
        <x:v>555000</x:v>
      </x:c>
      <x:c r="U14" s="75" t="n">
        <x:f>ROUND(N14*(1+K14/100),2)</x:f>
        <x:v>555000</x:v>
      </x:c>
    </x:row>
    <x:row r="15" ht="23" customHeight="1">
      <x:c r="A15" s="71" t="str">
        <x:v>1.22.(7a)</x:v>
      </x:c>
      <x:c r="B15" s="72" t="str">
        <x:v>Rambu petunjuk </x:v>
      </x:c>
      <x:c r="C15" s="73"/>
      <x:c r="D15" s="116" t="n">
        <x:v>1</x:v>
      </x:c>
      <x:c r="E15" s="116" t="n">
        <x:f>D15</x:f>
        <x:v>1</x:v>
      </x:c>
      <x:c r="F15" s="116" t="n">
        <x:f>D15</x:f>
        <x:v>1</x:v>
      </x:c>
      <x:c r="G15" s="17" t="str">
        <x:v>Buah</x:v>
      </x:c>
      <x:c r="H15" s="120" t="n">
        <x:v>50000</x:v>
      </x:c>
      <x:c r="I15" s="120" t="n">
        <x:v>50000</x:v>
      </x:c>
      <x:c r="J15" s="120" t="n">
        <x:f>I15</x:f>
        <x:v>50000</x:v>
      </x:c>
      <x:c r="K15" s="120" t="n">
        <x:v>11</x:v>
      </x:c>
      <x:c r="L15" s="120" t="n">
        <x:f>D15*H15</x:f>
        <x:v>50000</x:v>
      </x:c>
      <x:c r="M15" s="120" t="n">
        <x:f>E15*I15</x:f>
        <x:v>50000</x:v>
      </x:c>
      <x:c r="N15" s="121" t="n">
        <x:f>F15*J15</x:f>
        <x:v>50000</x:v>
      </x:c>
      <x:c r="S15" s="75" t="n">
        <x:f>ROUND(L15*(1+K15/100),2)</x:f>
        <x:v>55500</x:v>
      </x:c>
      <x:c r="T15" s="75" t="n">
        <x:f>ROUND(M15*(1+K15/100),2)</x:f>
        <x:v>55500</x:v>
      </x:c>
      <x:c r="U15" s="75" t="n">
        <x:f>ROUND(N15*(1+K15/100),2)</x:f>
        <x:v>55500</x:v>
      </x:c>
    </x:row>
    <x:row r="16" ht="23" customHeight="1">
      <x:c r="A16" s="71" t="str">
        <x:v>1.22.(7b)</x:v>
      </x:c>
      <x:c r="B16" s="72" t="str">
        <x:v>Rambu larangan </x:v>
      </x:c>
      <x:c r="C16" s="73"/>
      <x:c r="D16" s="116" t="n">
        <x:v>1</x:v>
      </x:c>
      <x:c r="E16" s="116" t="n">
        <x:f>D16</x:f>
        <x:v>1</x:v>
      </x:c>
      <x:c r="F16" s="116" t="n">
        <x:f>D16</x:f>
        <x:v>1</x:v>
      </x:c>
      <x:c r="G16" s="17" t="str">
        <x:v>Buah</x:v>
      </x:c>
      <x:c r="H16" s="120" t="n">
        <x:v>50000</x:v>
      </x:c>
      <x:c r="I16" s="120" t="n">
        <x:v>50000</x:v>
      </x:c>
      <x:c r="J16" s="120" t="n">
        <x:f>I16</x:f>
        <x:v>50000</x:v>
      </x:c>
      <x:c r="K16" s="120" t="n">
        <x:v>11</x:v>
      </x:c>
      <x:c r="L16" s="120" t="n">
        <x:f>D16*H16</x:f>
        <x:v>50000</x:v>
      </x:c>
      <x:c r="M16" s="120" t="n">
        <x:f>E16*I16</x:f>
        <x:v>50000</x:v>
      </x:c>
      <x:c r="N16" s="121" t="n">
        <x:f>F16*J16</x:f>
        <x:v>50000</x:v>
      </x:c>
      <x:c r="S16" s="75" t="n">
        <x:f>ROUND(L16*(1+K16/100),2)</x:f>
        <x:v>55500</x:v>
      </x:c>
      <x:c r="T16" s="75" t="n">
        <x:f>ROUND(M16*(1+K16/100),2)</x:f>
        <x:v>55500</x:v>
      </x:c>
      <x:c r="U16" s="75" t="n">
        <x:f>ROUND(N16*(1+K16/100),2)</x:f>
        <x:v>55500</x:v>
      </x:c>
    </x:row>
    <x:row r="17" ht="23" customHeight="1">
      <x:c r="A17" s="71" t="str">
        <x:v>1.22.(7c)</x:v>
      </x:c>
      <x:c r="B17" s="72" t="str">
        <x:v>Rambu peringatan </x:v>
      </x:c>
      <x:c r="C17" s="73"/>
      <x:c r="D17" s="116" t="n">
        <x:v>1</x:v>
      </x:c>
      <x:c r="E17" s="116" t="n">
        <x:f>D17</x:f>
        <x:v>1</x:v>
      </x:c>
      <x:c r="F17" s="116" t="n">
        <x:f>D17</x:f>
        <x:v>1</x:v>
      </x:c>
      <x:c r="G17" s="17" t="str">
        <x:v>Buah</x:v>
      </x:c>
      <x:c r="H17" s="120" t="n">
        <x:v>50000</x:v>
      </x:c>
      <x:c r="I17" s="120" t="n">
        <x:v>50000</x:v>
      </x:c>
      <x:c r="J17" s="120" t="n">
        <x:f>I17</x:f>
        <x:v>50000</x:v>
      </x:c>
      <x:c r="K17" s="120" t="n">
        <x:v>11</x:v>
      </x:c>
      <x:c r="L17" s="120" t="n">
        <x:f>D17*H17</x:f>
        <x:v>50000</x:v>
      </x:c>
      <x:c r="M17" s="120" t="n">
        <x:f>E17*I17</x:f>
        <x:v>50000</x:v>
      </x:c>
      <x:c r="N17" s="121" t="n">
        <x:f>F17*J17</x:f>
        <x:v>50000</x:v>
      </x:c>
      <x:c r="S17" s="75" t="n">
        <x:f>ROUND(L17*(1+K17/100),2)</x:f>
        <x:v>55500</x:v>
      </x:c>
      <x:c r="T17" s="75" t="n">
        <x:f>ROUND(M17*(1+K17/100),2)</x:f>
        <x:v>55500</x:v>
      </x:c>
      <x:c r="U17" s="75" t="n">
        <x:f>ROUND(N17*(1+K17/100),2)</x:f>
        <x:v>55500</x:v>
      </x:c>
    </x:row>
    <x:row r="18" ht="22" customHeight="1">
      <x:c r="A18" s="6"/>
      <x:c r="B18" s="7" t="str">
        <x:v>DIVISI 3. PEKERJAAN TANAH DAN GEOSINTETIK</x:v>
      </x:c>
      <x:c r="C18" s="8"/>
      <x:c r="D18" s="115"/>
      <x:c r="E18" s="115"/>
      <x:c r="F18" s="115"/>
      <x:c r="G18" s="10"/>
      <x:c r="H18" s="118"/>
      <x:c r="I18" s="118"/>
      <x:c r="J18" s="118"/>
      <x:c r="K18" s="118"/>
      <x:c r="L18" s="118"/>
      <x:c r="M18" s="118"/>
      <x:c r="N18" s="119"/>
      <x:c r="S18" s="75"/>
      <x:c r="T18" s="75"/>
      <x:c r="U18" s="75"/>
    </x:row>
    <x:row r="19" ht="32" customHeight="1">
      <x:c r="A19" s="71" t="str">
        <x:v>3.3.(2a2)</x:v>
      </x:c>
      <x:c r="B19" s="72" t="str">
        <x:v>Penyiapan badan jalan untuk rekontruksi Perkerasan Lama </x:v>
      </x:c>
      <x:c r="C19" s="73"/>
      <x:c r="D19" s="116" t="n">
        <x:v>162.96072426337133</x:v>
      </x:c>
      <x:c r="E19" s="116" t="n">
        <x:f>D19</x:f>
        <x:v>162.96072426337133</x:v>
      </x:c>
      <x:c r="F19" s="116" t="n">
        <x:f>D19</x:f>
        <x:v>162.96072426337133</x:v>
      </x:c>
      <x:c r="G19" s="17" t="str">
        <x:v>m2</x:v>
      </x:c>
      <x:c r="H19" s="120" t="n">
        <x:v>2165.6812461821814</x:v>
      </x:c>
      <x:c r="I19" s="120" t="n">
        <x:v>2165.0131217895673</x:v>
      </x:c>
      <x:c r="J19" s="120" t="n">
        <x:f>I19</x:f>
        <x:v>2165.0131217895673</x:v>
      </x:c>
      <x:c r="K19" s="120" t="n">
        <x:v>11</x:v>
      </x:c>
      <x:c r="L19" s="120" t="n">
        <x:f>D19*H19</x:f>
        <x:v>352920.98440144886</x:v>
      </x:c>
      <x:c r="M19" s="120" t="n">
        <x:f>E19*I19</x:f>
        <x:v>352812.10636653047</x:v>
      </x:c>
      <x:c r="N19" s="121" t="n">
        <x:f>F19*J19</x:f>
        <x:v>352812.10636653047</x:v>
      </x:c>
      <x:c r="S19" s="75" t="n">
        <x:f>ROUND(L19*(1+K19/100),2)</x:f>
        <x:v>391742.29</x:v>
      </x:c>
      <x:c r="T19" s="75" t="n">
        <x:f>ROUND(M19*(1+K19/100),2)</x:f>
        <x:v>391621.44</x:v>
      </x:c>
      <x:c r="U19" s="75" t="n">
        <x:f>ROUND(N19*(1+K19/100),2)</x:f>
        <x:v>391621.44</x:v>
      </x:c>
    </x:row>
    <x:row r="20" ht="22" customHeight="1">
      <x:c r="A20" s="6"/>
      <x:c r="B20" s="7" t="str">
        <x:v>DIVISI 5. PERKERASAN BERBUTIR DAN PERKERASAN BETON</x:v>
      </x:c>
      <x:c r="C20" s="8"/>
      <x:c r="D20" s="115"/>
      <x:c r="E20" s="115"/>
      <x:c r="F20" s="115"/>
      <x:c r="G20" s="10"/>
      <x:c r="H20" s="118"/>
      <x:c r="I20" s="118"/>
      <x:c r="J20" s="118"/>
      <x:c r="K20" s="118"/>
      <x:c r="L20" s="118"/>
      <x:c r="M20" s="118"/>
      <x:c r="N20" s="119"/>
      <x:c r="S20" s="75"/>
      <x:c r="T20" s="75"/>
      <x:c r="U20" s="75"/>
    </x:row>
    <x:row r="21" ht="23" customHeight="1">
      <x:c r="A21" s="71" t="str">
        <x:v>7.1 (10)</x:v>
      </x:c>
      <x:c r="B21" s="72" t="str">
        <x:v>Beton mutu rendah  fc’= 15 MPa </x:v>
      </x:c>
      <x:c r="C21" s="73"/>
      <x:c r="D21" s="116" t="n">
        <x:v>44</x:v>
      </x:c>
      <x:c r="E21" s="116" t="n">
        <x:f>D21</x:f>
        <x:v>44</x:v>
      </x:c>
      <x:c r="F21" s="116" t="n">
        <x:f>D21</x:f>
        <x:v>44</x:v>
      </x:c>
      <x:c r="G21" s="17" t="str">
        <x:v>M3</x:v>
      </x:c>
      <x:c r="H21" s="120" t="n">
        <x:v>1586361.7978565597</x:v>
      </x:c>
      <x:c r="I21" s="120" t="n">
        <x:v>1586147.2252805415</x:v>
      </x:c>
      <x:c r="J21" s="120" t="n">
        <x:f>I21</x:f>
        <x:v>1586147.2252805415</x:v>
      </x:c>
      <x:c r="K21" s="120" t="n">
        <x:v>11</x:v>
      </x:c>
      <x:c r="L21" s="120" t="n">
        <x:f>D21*H21</x:f>
        <x:v>69799919.10568863</x:v>
      </x:c>
      <x:c r="M21" s="120" t="n">
        <x:f>E21*I21</x:f>
        <x:v>69790477.91234383</x:v>
      </x:c>
      <x:c r="N21" s="121" t="n">
        <x:f>F21*J21</x:f>
        <x:v>69790477.91234383</x:v>
      </x:c>
      <x:c r="S21" s="75" t="n">
        <x:f>ROUND(L21*(1+K21/100),2)</x:f>
        <x:v>77477910.21</x:v>
      </x:c>
      <x:c r="T21" s="75" t="n">
        <x:f>ROUND(M21*(1+K21/100),2)</x:f>
        <x:v>77467430.48</x:v>
      </x:c>
      <x:c r="U21" s="75" t="n">
        <x:f>ROUND(N21*(1+K21/100),2)</x:f>
        <x:v>77467430.48</x:v>
      </x:c>
    </x:row>
    <x:row r="22" ht="29" customHeight="1">
      <x:c r="A22" s="104"/>
      <x:c r="B22" s="105"/>
      <x:c r="C22" s="105"/>
      <x:c r="D22" s="117"/>
      <x:c r="E22" s="117"/>
      <x:c r="F22" s="117"/>
      <x:c r="G22" s="106"/>
      <x:c r="H22" s="122"/>
      <x:c r="I22" s="122"/>
      <x:c r="J22" s="123"/>
      <x:c r="K22" s="124" t="str">
        <x:v>Jumlah Total (A)</x:v>
      </x:c>
      <x:c r="L22" s="125" t="n">
        <x:f>SUM(L3:L21)</x:f>
        <x:v>90090090.09009008</x:v>
      </x:c>
      <x:c r="M22" s="125" t="n">
        <x:f>SUM(M3:M21)</x:f>
        <x:v>90079540.01871036</x:v>
      </x:c>
      <x:c r="N22" s="125" t="n">
        <x:f>SUM(N3:N21)</x:f>
        <x:v>90079540.01871036</x:v>
      </x:c>
    </x:row>
    <x:row r="23" ht="29" customHeight="1">
      <x:c r="A23" s="108"/>
      <x:c r="B23" s="105"/>
      <x:c r="C23" s="105"/>
      <x:c r="D23" s="117"/>
      <x:c r="E23" s="117"/>
      <x:c r="F23" s="117"/>
      <x:c r="G23" s="106"/>
      <x:c r="H23" s="122"/>
      <x:c r="I23" s="122"/>
      <x:c r="J23" s="123"/>
      <x:c r="K23" s="126" t="str">
        <x:v>Jumlah Terkena Pajak (B)</x:v>
      </x:c>
      <x:c r="L23" s="127" t="n">
        <x:f>SUMIF($K3:$K21,"&gt;0",L3:L21)</x:f>
        <x:v>90090090.09009008</x:v>
      </x:c>
      <x:c r="M23" s="128" t="n">
        <x:f>SUMIF($K3:$K21,"&gt;0",M3:M21)</x:f>
        <x:v>90079540.01871036</x:v>
      </x:c>
      <x:c r="N23" s="128" t="n">
        <x:f>SUMIF($K3:$K21,"&gt;0",N3:N21)</x:f>
        <x:v>90079540.01871036</x:v>
      </x:c>
    </x:row>
    <x:row r="24" ht="29" customHeight="1">
      <x:c r="A24" s="104"/>
      <x:c r="B24" s="105"/>
      <x:c r="C24" s="105"/>
      <x:c r="D24" s="117"/>
      <x:c r="E24" s="117"/>
      <x:c r="F24" s="117"/>
      <x:c r="G24" s="106"/>
      <x:c r="H24" s="122"/>
      <x:c r="I24" s="122"/>
      <x:c r="J24" s="123"/>
      <x:c r="K24" s="129" t="str">
        <x:v>PPN (C)</x:v>
      </x:c>
      <x:c r="L24" s="130" t="n">
        <x:f>SUM(S3:S21)-L22</x:f>
        <x:v>9909909.909909919</x:v>
      </x:c>
      <x:c r="M24" s="128" t="n">
        <x:f>SUM(T3:T21)-M22</x:f>
        <x:v>9908749.401289642</x:v>
      </x:c>
      <x:c r="N24" s="128" t="n">
        <x:f>SUM(U3:U21)-N22</x:f>
        <x:v>9908749.401289642</x:v>
      </x:c>
    </x:row>
    <x:row r="25" ht="29" customHeight="1">
      <x:c r="A25" s="104"/>
      <x:c r="B25" s="105"/>
      <x:c r="C25" s="105"/>
      <x:c r="D25" s="117"/>
      <x:c r="E25" s="117"/>
      <x:c r="F25" s="117"/>
      <x:c r="G25" s="106"/>
      <x:c r="H25" s="122"/>
      <x:c r="I25" s="122"/>
      <x:c r="J25" s="123"/>
      <x:c r="K25" s="129" t="str">
        <x:v>Jumlah A + C</x:v>
      </x:c>
      <x:c r="L25" s="131" t="n">
        <x:f>L22+L24</x:f>
        <x:v>100000000</x:v>
      </x:c>
      <x:c r="M25" s="128" t="n">
        <x:f>M22+M24</x:f>
        <x:v>99988289.42</x:v>
      </x:c>
      <x:c r="N25" s="128" t="n">
        <x:f>N22+N24</x:f>
        <x:v>99988289.42</x:v>
      </x:c>
    </x:row>
    <x:row r="26" ht="29" customHeight="1">
      <x:c r="A26" s="104"/>
      <x:c r="B26" s="105"/>
      <x:c r="C26" s="105"/>
      <x:c r="D26" s="117"/>
      <x:c r="E26" s="117"/>
      <x:c r="F26" s="117"/>
      <x:c r="G26" s="106"/>
      <x:c r="H26" s="122"/>
      <x:c r="I26" s="122"/>
      <x:c r="J26" s="123"/>
      <x:c r="K26" s="129" t="str">
        <x:v>Jumlah Dibulatkan</x:v>
      </x:c>
      <x:c r="L26" s="127" t="n">
        <x:f>ROUND(L25,2)</x:f>
        <x:v>100000000</x:v>
      </x:c>
      <x:c r="M26" s="127" t="n">
        <x:f>ROUND(M25,2)</x:f>
        <x:v>99988289.42</x:v>
      </x:c>
      <x:c r="N26" s="127" t="n">
        <x:f>ROUND(N25,2)</x:f>
        <x:v>99988289.42</x:v>
      </x:c>
    </x:row>
    <x:row r="27" ht="8.75" customHeight="1">
      <x:c r="A27" s="32"/>
      <x:c r="B27" s="33"/>
      <x:c r="C27" s="38"/>
      <x:c r="D27" s="39"/>
      <x:c r="E27" s="39"/>
      <x:c r="F27" s="39"/>
      <x:c r="G27" s="40"/>
      <x:c r="H27" s="39"/>
      <x:c r="I27" s="39"/>
      <x:c r="J27" s="39"/>
      <x:c r="K27" s="39"/>
      <x:c r="L27" s="40"/>
      <x:c r="M27" s="40"/>
      <x:c r="N27" s="45"/>
    </x:row>
    <x:row r="28" ht="20.850000381469727" customHeight="1">
      <x:c r="A28" s="46"/>
      <x:c r="B28" s="47"/>
      <x:c r="C28" s="47"/>
      <x:c r="D28" s="48"/>
      <x:c r="E28" s="48"/>
      <x:c r="F28" s="48"/>
      <x:c r="G28" s="49"/>
      <x:c r="H28" s="49"/>
      <x:c r="I28" s="47"/>
      <x:c r="J28" s="50"/>
      <x:c r="K28" s="51"/>
      <x:c r="L28" s="52" cm="1">
        <x:f t="array" ref="L28"/>
      </x:c>
      <x:c r="M28" s="52" cm="1">
        <x:f t="array" ref="M28"/>
      </x:c>
      <x:c r="N28" s="52" cm="1">
        <x:f t="array" ref="N28"/>
      </x:c>
    </x:row>
    <x:row r="29" ht="21" customHeight="1">
      <x:c r="A29" s="53"/>
      <x:c r="B29" s="54"/>
      <x:c r="C29" s="55"/>
      <x:c r="D29" s="53" cm="1">
        <x:f t="array" ref="D29"/>
      </x:c>
      <x:c r="E29" s="56" cm="1">
        <x:f t="array" ref="E29"/>
      </x:c>
      <x:c r="F29" s="56" cm="1">
        <x:f t="array" ref="F29"/>
      </x:c>
      <x:c r="G29" s="57"/>
      <x:c r="H29" s="58"/>
      <x:c r="I29" s="59"/>
      <x:c r="J29" s="60"/>
      <x:c r="K29" s="60" cm="1">
        <x:f t="array" ref="K29"/>
      </x:c>
      <x:c r="L29" s="59" cm="1">
        <x:f t="array" ref="L29"/>
      </x:c>
      <x:c r="M29" s="61" cm="1">
        <x:f t="array" ref="M29"/>
      </x:c>
      <x:c r="N29" s="61" cm="1">
        <x:f t="array" ref="N29"/>
      </x:c>
    </x:row>
    <x:row r="30" ht="33" customHeight="1">
      <x:c r="A30" s="62"/>
      <x:c r="B30" s="63"/>
      <x:c r="C30" s="63"/>
      <x:c r="D30" s="64"/>
      <x:c r="E30" s="64"/>
      <x:c r="F30" s="64"/>
      <x:c r="G30" s="65"/>
      <x:c r="H30" s="65"/>
      <x:c r="I30" s="66"/>
      <x:c r="J30" s="67"/>
      <x:c r="K30" s="67" cm="1">
        <x:f t="array" ref="K30"/>
      </x:c>
      <x:c r="L30" s="66" cm="1">
        <x:f t="array" ref="L30"/>
      </x:c>
      <x:c r="M30" s="61" cm="1">
        <x:f t="array" ref="M30"/>
      </x:c>
      <x:c r="N30" s="61" cm="1">
        <x:f t="array" ref="N30"/>
      </x:c>
    </x:row>
    <x:row r="31" ht="21" customHeight="1">
      <x:c r="A31" s="62"/>
      <x:c r="B31" s="63"/>
      <x:c r="C31" s="63"/>
      <x:c r="D31" s="63"/>
      <x:c r="E31" s="68"/>
      <x:c r="F31" s="68"/>
      <x:c r="G31" s="65"/>
      <x:c r="H31" s="65"/>
      <x:c r="I31" s="63"/>
      <x:c r="J31" s="67"/>
      <x:c r="K31" s="69"/>
      <x:c r="L31" s="70" cm="1">
        <x:f t="array" ref="L31"/>
      </x:c>
      <x:c r="M31" s="61" cm="1">
        <x:f t="array" ref="M31"/>
      </x:c>
      <x:c r="N31" s="61" cm="1">
        <x:f t="array" ref="N31"/>
      </x:c>
    </x:row>
    <x:row r="32" ht="20.5" customHeight="1">
      <x:c r="A32" s="62"/>
      <x:c r="B32" s="63"/>
      <x:c r="C32" s="63"/>
      <x:c r="D32" s="65"/>
      <x:c r="E32" s="65"/>
      <x:c r="F32" s="68"/>
      <x:c r="G32" s="65"/>
      <x:c r="H32" s="65"/>
      <x:c r="I32" s="63"/>
      <x:c r="J32" s="67"/>
      <x:c r="K32" s="69"/>
      <x:c r="L32" s="59" cm="1">
        <x:f t="array" ref="L32"/>
      </x:c>
      <x:c r="M32" s="59" cm="1">
        <x:f t="array" ref="M32"/>
      </x:c>
      <x:c r="N32" s="59" cm="1">
        <x:f t="array" ref="N32"/>
      </x:c>
    </x:row>
  </x:sheetData>
  <x:mergeCells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N18"/>
    <x:mergeCell ref="B19:C19"/>
    <x:mergeCell ref="B20:N20"/>
    <x:mergeCell ref="B21:C21"/>
  </x:mergeCells>
  <x:pageMargins left="0.7" right="0.7" top="0.75" bottom="0.75" header="0.3" footer="0.3"/>
</x:worksheet>
</file>