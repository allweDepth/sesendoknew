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8b99fb758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4189a6854d8f4418"/>
    <x:sheet xmlns:r="http://schemas.openxmlformats.org/officeDocument/2006/relationships" name="Rekapitulasi" sheetId="2" r:id="R37090e7d29304637"/>
    <x:sheet xmlns:r="http://schemas.openxmlformats.org/officeDocument/2006/relationships" name="RAB" sheetId="3" r:id="R223bfb7068e84c77"/>
    <x:sheet xmlns:r="http://schemas.openxmlformats.org/officeDocument/2006/relationships" name="Analisa Penawaran" sheetId="4" r:id="R091418dc78a7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8dcf262ec4cfc" /><Relationship Type="http://schemas.openxmlformats.org/officeDocument/2006/relationships/theme" Target="/xl/theme/theme1.xml" Id="R07e24b123d224751" /><Relationship Type="http://schemas.openxmlformats.org/officeDocument/2006/relationships/sharedStrings" Target="/xl/sharedStrings.xml" Id="R745cb4d77d0f4feb" /><Relationship Type="http://schemas.openxmlformats.org/officeDocument/2006/relationships/worksheet" Target="/xl/worksheets/sheet1.xml" Id="R4189a6854d8f4418" /><Relationship Type="http://schemas.openxmlformats.org/officeDocument/2006/relationships/worksheet" Target="/xl/worksheets/sheet2.xml" Id="R37090e7d29304637" /><Relationship Type="http://schemas.openxmlformats.org/officeDocument/2006/relationships/worksheet" Target="/xl/worksheets/sheet3.xml" Id="R223bfb7068e84c77" /><Relationship Type="http://schemas.openxmlformats.org/officeDocument/2006/relationships/worksheet" Target="/xl/worksheets/sheet4.xml" Id="R091418dc78a74a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Dsn. Kampung Baru Desa Bulu Parigi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Dsn. Kampung Baru Desa Bulu Parigi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4292650.25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3. PEKERJAAN TANAH DAN GEOSINTETIK</x:v>
      </x:c>
      <x:c r="C11" s="15"/>
      <x:c r="D11" s="15"/>
      <x:c r="E11" s="15"/>
      <x:c r="F11" s="15"/>
      <x:c r="G11" s="32" t="n">
        <x:f>SUM(RAB!H14)</x:f>
        <x:v>132327349.75</x:v>
      </x:c>
      <x:c r="H11" s="3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32"/>
      <x:c r="H12" s="32"/>
      <x:c r="I12" s="2"/>
      <x:c r="J12" s="2"/>
      <x:c r="K12" s="2"/>
      <x:c r="L12" s="2"/>
    </x:row>
    <x:row r="13" ht="35" customHeight="1">
      <x:c r="A13" s="20" t="str">
        <x:v>TOTAL PENAWARAN TERMASUK PAJAK</x:v>
      </x:c>
      <x:c r="B13" s="20"/>
      <x:c r="C13" s="20"/>
      <x:c r="D13" s="20"/>
      <x:c r="E13" s="20"/>
      <x:c r="F13" s="20"/>
      <x:c r="G13" s="27" t="n">
        <x:f>RAB!H15</x:f>
        <x:v>136620000</x:v>
      </x:c>
      <x:c r="H13" s="27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30" t="str">
        <x:v>Pasangkayu, 30 Oktober 2026</x:v>
      </x:c>
      <x:c r="F17" s="30"/>
      <x:c r="G17" s="30"/>
      <x:c r="H17" s="30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CV. SAKTI JAYA KONSTRUKSI</x:v>
      </x:c>
      <x:c r="F18" s="30"/>
      <x:c r="G18" s="30"/>
      <x:c r="H18" s="30"/>
      <x:c r="I18" s="2"/>
      <x:c r="J18" s="2"/>
      <x:c r="K18" s="2"/>
      <x:c r="L18" s="2"/>
    </x:row>
    <x:row r="19" ht="20" customHeight="1">
      <x:c r="A19" s="2"/>
      <x:c r="B19" s="2"/>
      <x:c r="C19" s="2"/>
      <x:c r="D19" s="2"/>
      <x:c r="E19" s="30"/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>
      <x:c r="A22" s="2"/>
      <x:c r="B22" s="2"/>
      <x:c r="C22" s="2"/>
      <x:c r="D22" s="2"/>
      <x:c r="E22" s="31" t="str">
        <x:v>Sugisma Wijaya, S.T</x:v>
      </x:c>
      <x:c r="F22" s="31"/>
      <x:c r="G22" s="31"/>
      <x:c r="H22" s="31"/>
      <x:c r="I22" s="2"/>
      <x:c r="J22" s="2"/>
      <x:c r="K22" s="2"/>
      <x:c r="L22" s="2"/>
    </x:row>
    <x:row r="23">
      <x:c r="A23" s="2"/>
      <x:c r="B23" s="2"/>
      <x:c r="C23" s="2"/>
      <x:c r="D23" s="2"/>
      <x:c r="E23" s="30" t="str">
        <x:v>Direktur</x:v>
      </x:c>
      <x:c r="F23" s="30"/>
      <x:c r="G23" s="30"/>
      <x:c r="H23" s="30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A13:F13"/>
    <x:mergeCell ref="G13:H13"/>
    <x:mergeCell ref="E17:H17"/>
    <x:mergeCell ref="E18:H18"/>
    <x:mergeCell ref="E22:H22"/>
    <x:mergeCell ref="E23:H23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Dsn. Kampung Baru Desa Bulu Parigi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3363052.48</x:v>
      </x:c>
      <x:c r="F11" s="28" t="n">
        <x:v>11</x:v>
      </x:c>
      <x:c r="G11" s="28" t="n">
        <x:f>ROUND(D11*E11,2)</x:f>
        <x:v>3363052.48</x:v>
      </x:c>
      <x:c r="H11" s="28" t="n">
        <x:f>ROUND(D11*E11*(1+F11/100),2)</x:f>
        <x:v>3732988.25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504200</x:v>
      </x:c>
      <x:c r="F12" s="29" t="n">
        <x:v>11</x:v>
      </x:c>
      <x:c r="G12" s="29" t="n">
        <x:f>ROUND(D12*E12,2)</x:f>
        <x:v>504200</x:v>
      </x:c>
      <x:c r="H12" s="29" t="n">
        <x:f>ROUND(D12*E12*(1+F12/100),2)</x:f>
        <x:v>559662</x:v>
      </x:c>
      <x:c r="I12" s="2"/>
      <x:c r="J12" s="2"/>
      <x:c r="K12" s="2"/>
      <x:c r="L12" s="2"/>
    </x:row>
    <x:row r="13" ht="26" customHeight="1">
      <x:c r="A13" s="20"/>
      <x:c r="B13" s="20" t="str">
        <x:v>DIVISI 3. PEKERJAAN TANAH DAN GEOSINTETIK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3.1.(1)</x:v>
      </x:c>
      <x:c r="B14" s="24" t="str">
        <x:v>Galian Biasa/Perapihan</x:v>
      </x:c>
      <x:c r="C14" s="23" t="str">
        <x:v>M3</x:v>
      </x:c>
      <x:c r="D14" s="28" t="n">
        <x:v>4823.2</x:v>
      </x:c>
      <x:c r="E14" s="28" t="n">
        <x:f>'Analisa Penawaran'!L10</x:f>
        <x:v>24716.75</x:v>
      </x:c>
      <x:c r="F14" s="28" t="n">
        <x:v>11</x:v>
      </x:c>
      <x:c r="G14" s="28" t="n">
        <x:f>ROUND(D14*E14,2)</x:f>
        <x:v>119213828.6</x:v>
      </x:c>
      <x:c r="H14" s="28" t="n">
        <x:f>ROUND(D14*E14*(1+F14/100),2)</x:f>
        <x:v>132327349.75</x:v>
      </x:c>
      <x:c r="I14" s="2"/>
      <x:c r="J14" s="2"/>
      <x:c r="K14" s="2"/>
      <x:c r="L14" s="2"/>
    </x:row>
    <x:row r="15" ht="32" customHeight="1">
      <x:c r="A15" s="20" t="str">
        <x:v>TOTAL PENAWARAN TERMASUK PAJAK</x:v>
      </x:c>
      <x:c r="B15" s="20"/>
      <x:c r="C15" s="20"/>
      <x:c r="D15" s="27"/>
      <x:c r="E15" s="27"/>
      <x:c r="F15" s="27"/>
      <x:c r="G15" s="27"/>
      <x:c r="H15" s="27" t="n">
        <x:f>SUM(H11,H12,H14)</x:f>
        <x:v>136620000</x:v>
      </x:c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A15:G15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KAMPUNG BARU DESA BULU PARIGI.xlsm;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106947.52</x:v>
      </x:c>
      <x:c r="L8" s="32" t="n">
        <x:f>ROUND(J8-K8,2)</x:f>
        <x:v>3363052.48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505200</x:v>
      </x:c>
      <x:c r="K9" s="32" t="n">
        <x:v>1000</x:v>
      </x:c>
      <x:c r="L9" s="32" t="n">
        <x:f>ROUND(J9-K9,2)</x:f>
        <x:v>504200</x:v>
      </x:c>
    </x:row>
    <x:row r="10" ht="52" customHeight="1">
      <x:c r="A10" s="2" t="str">
        <x:v>3.1.(1)</x:v>
      </x:c>
      <x:c r="B10" s="15" t="str">
        <x:v>Galian Biasa/Perapihan</x:v>
      </x:c>
      <x:c r="C10" s="32" t="n">
        <x:v>0.05161290322580645</x:v>
      </x:c>
      <x:c r="D10" s="32" t="n">
        <x:v>0.025806451612903226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24729.47</x:v>
      </x:c>
      <x:c r="K10" s="32" t="n">
        <x:v>0</x:v>
      </x:c>
      <x:c r="L10" s="32" t="n">
        <x:f>ROUND(J10-((E10-F10)*C10+(G10-H10)*D10)*(1+I10/100),2)</x:f>
        <x:v>24716.75</x:v>
      </x:c>
    </x:row>
    <x:row r="11">
      <x:c r="A11" s="2"/>
      <x:c r="B11" s="2"/>
      <x:c r="C11" s="32"/>
      <x:c r="D11" s="32"/>
      <x:c r="E11" s="32"/>
      <x:c r="F11" s="32"/>
      <x:c r="G11" s="32"/>
      <x:c r="H11" s="32"/>
      <x:c r="I11" s="33"/>
      <x:c r="J11" s="32"/>
      <x:c r="K11" s="32"/>
      <x:c r="L11" s="3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