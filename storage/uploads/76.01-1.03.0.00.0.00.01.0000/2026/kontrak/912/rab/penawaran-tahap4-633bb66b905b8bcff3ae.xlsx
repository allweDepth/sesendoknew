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ef5b2a713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ul" sheetId="1" r:id="R77ce3b7bd8b04336"/>
    <x:sheet xmlns:r="http://schemas.openxmlformats.org/officeDocument/2006/relationships" name="Rekapitulasi" sheetId="2" r:id="R0045256e72ef4534"/>
    <x:sheet xmlns:r="http://schemas.openxmlformats.org/officeDocument/2006/relationships" name="RAB" sheetId="3" r:id="R39c3a2c180a94df5"/>
    <x:sheet xmlns:r="http://schemas.openxmlformats.org/officeDocument/2006/relationships" name="Analisa Penawaran" sheetId="4" r:id="R43f803d6cf95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1"/>
      <x:color rgb="FF20272B"/>
      <x:name val="Cambria"/>
    </x:font>
    <x:font>
      <x:b/>
      <x:sz val="19"/>
      <x:color rgb="FF25485B"/>
      <x:name val="Cambria"/>
    </x:font>
    <x:font>
      <x:b/>
      <x:sz val="17"/>
      <x:color rgb="FF25485B"/>
      <x:name val="Cambria"/>
    </x:font>
    <x:font>
      <x:b/>
      <x:sz val="16"/>
      <x:color rgb="FF20272B"/>
      <x:name val="Cambria"/>
    </x:font>
    <x:font>
      <x:b/>
      <x:sz val="15"/>
      <x:color rgb="FF25485B"/>
      <x:name val="Cambria"/>
    </x:font>
    <x:font>
      <x:b/>
      <x:sz val="11"/>
      <x:color rgb="FFFFFFFF"/>
      <x:name val="Cambria"/>
    </x:font>
    <x:font>
      <x:b/>
      <x:sz val="11"/>
      <x:color rgb="FF25485B"/>
      <x:name val="Cambri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3F5"/>
      </x:patternFill>
    </x:fill>
    <x:fill>
      <x:patternFill patternType="solid">
        <x:fgColor rgb="FF25485B"/>
      </x:patternFill>
    </x:fill>
    <x:fill>
      <x:patternFill patternType="solid">
        <x:fgColor rgb="FFFFF1C2"/>
      </x:patternFill>
    </x:fill>
    <x:fill>
      <x:patternFill patternType="solid">
        <x:fgColor rgb="FFF7FA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5485B"/>
      </x:bottom>
      <x:diagonal/>
    </x:border>
    <x:border>
      <x:left/>
      <x:right/>
      <x:top/>
      <x:bottom style="hair">
        <x:color rgb="FFCCD3D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68e41fb9f425e" /><Relationship Type="http://schemas.openxmlformats.org/officeDocument/2006/relationships/theme" Target="/xl/theme/theme1.xml" Id="R280668c0a47641ac" /><Relationship Type="http://schemas.openxmlformats.org/officeDocument/2006/relationships/sharedStrings" Target="/xl/sharedStrings.xml" Id="Rd739b9884c154ca4" /><Relationship Type="http://schemas.openxmlformats.org/officeDocument/2006/relationships/worksheet" Target="/xl/worksheets/sheet1.xml" Id="R77ce3b7bd8b04336" /><Relationship Type="http://schemas.openxmlformats.org/officeDocument/2006/relationships/worksheet" Target="/xl/worksheets/sheet2.xml" Id="R0045256e72ef4534" /><Relationship Type="http://schemas.openxmlformats.org/officeDocument/2006/relationships/worksheet" Target="/xl/worksheets/sheet3.xml" Id="R39c3a2c180a94df5" /><Relationship Type="http://schemas.openxmlformats.org/officeDocument/2006/relationships/worksheet" Target="/xl/worksheets/sheet4.xml" Id="R43f803d6cf95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2"/>
      <x:c r="J1" s="2"/>
      <x:c r="K1" s="2"/>
      <x:c r="L1" s="2"/>
    </x:row>
    <x:row r="2">
      <x:c r="A2" s="3"/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</x:row>
    <x:row r="3">
      <x:c r="A3" s="9" t="str">
        <x:v>DOKUMEN PENAWARAN</x:v>
      </x:c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>
      <x:c r="A4" s="9"/>
      <x:c r="B4" s="9"/>
      <x:c r="C4" s="9"/>
      <x:c r="D4" s="9"/>
      <x:c r="E4" s="9"/>
      <x:c r="F4" s="9"/>
      <x:c r="G4" s="9"/>
      <x:c r="H4" s="9"/>
      <x:c r="I4" s="2"/>
      <x:c r="J4" s="2"/>
      <x:c r="K4" s="2"/>
      <x:c r="L4" s="2"/>
    </x:row>
    <x:row r="5">
      <x:c r="A5" s="10"/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</x:row>
    <x:row r="6">
      <x:c r="A6" s="10"/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</x:row>
    <x:row r="7">
      <x:c r="A7" s="11" t="str">
        <x:v>CV. SAKTI JAYA KONSTRUKSI</x:v>
      </x:c>
      <x:c r="B7" s="11"/>
      <x:c r="C7" s="11"/>
      <x:c r="D7" s="11"/>
      <x:c r="E7" s="11"/>
      <x:c r="F7" s="11"/>
      <x:c r="G7" s="11"/>
      <x:c r="H7" s="11"/>
      <x:c r="I7" s="2"/>
      <x:c r="J7" s="2"/>
      <x:c r="K7" s="2"/>
      <x:c r="L7" s="2"/>
    </x:row>
    <x:row r="8">
      <x:c r="A8" s="11"/>
      <x:c r="B8" s="11"/>
      <x:c r="C8" s="11"/>
      <x:c r="D8" s="11"/>
      <x:c r="E8" s="11"/>
      <x:c r="F8" s="11"/>
      <x:c r="G8" s="11"/>
      <x:c r="H8" s="11"/>
      <x:c r="I8" s="2"/>
      <x:c r="J8" s="2"/>
      <x:c r="K8" s="2"/>
      <x:c r="L8" s="2"/>
    </x:row>
    <x:row r="9">
      <x:c r="A9" s="11"/>
      <x:c r="B9" s="11"/>
      <x:c r="C9" s="11"/>
      <x:c r="D9" s="11"/>
      <x:c r="E9" s="11"/>
      <x:c r="F9" s="11"/>
      <x:c r="G9" s="11"/>
      <x:c r="H9" s="11"/>
      <x:c r="I9" s="2"/>
      <x:c r="J9" s="2"/>
      <x:c r="K9" s="2"/>
      <x:c r="L9" s="2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2"/>
      <x:c r="J10" s="2"/>
      <x:c r="K10" s="2"/>
      <x:c r="L10" s="2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"/>
      <x:c r="J11" s="2"/>
      <x:c r="K11" s="2"/>
      <x:c r="L11" s="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2"/>
      <x:c r="J12" s="2"/>
      <x:c r="K12" s="2"/>
      <x:c r="L12" s="2"/>
    </x:row>
    <x:row r="13">
      <x:c r="A13" s="12" t="str">
        <x:v>Pemb. jalan Bulutaba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2"/>
      <x:c r="J16" s="2"/>
      <x:c r="K16" s="2"/>
      <x:c r="L16" s="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2"/>
      <x:c r="J17" s="2"/>
      <x:c r="K17" s="2"/>
      <x:c r="L17" s="2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</x:row>
    <x:row r="20">
      <x:c r="A20" s="10" t="str">
        <x:v>PEKERJAAN KONSTRUKSI</x:v>
      </x:c>
      <x:c r="B20" s="10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</x:row>
    <x:row r="24">
      <x:c r="A24" s="10" t="str">
        <x:v>TAHUN ANGGARAN 2026</x:v>
      </x:c>
      <x:c r="B24" s="10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</x:row>
    <x:row r="28">
      <x:c r="A28" s="10" t="str">
        <x:v>30 Oktober 2026</x:v>
      </x:c>
      <x:c r="B28" s="10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</x:row>
    <x:row r="30">
      <x:c r="A30" s="3"/>
      <x:c r="B30" s="3"/>
      <x:c r="C30" s="3"/>
      <x:c r="D30" s="3"/>
      <x:c r="E30" s="3"/>
      <x:c r="F30" s="3"/>
      <x:c r="G30" s="3"/>
      <x:c r="H30" s="3"/>
      <x:c r="I30" s="2"/>
      <x:c r="J30" s="2"/>
      <x:c r="K30" s="2"/>
      <x:c r="L30" s="2"/>
    </x:row>
    <x:row r="31">
      <x:c r="A31" s="3"/>
      <x:c r="B31" s="3"/>
      <x:c r="C31" s="3"/>
      <x:c r="D31" s="3"/>
      <x:c r="E31" s="3"/>
      <x:c r="F31" s="3"/>
      <x:c r="G31" s="3"/>
      <x:c r="H31" s="3"/>
      <x:c r="I31" s="2"/>
      <x:c r="J31" s="2"/>
      <x:c r="K31" s="2"/>
      <x:c r="L31" s="2"/>
    </x:row>
    <x:row r="32">
      <x:c r="A32" s="3"/>
      <x:c r="B32" s="3"/>
      <x:c r="C32" s="3"/>
      <x:c r="D32" s="3"/>
      <x:c r="E32" s="3"/>
      <x:c r="F32" s="3"/>
      <x:c r="G32" s="3"/>
      <x:c r="H32" s="3"/>
      <x:c r="I32" s="2"/>
      <x:c r="J32" s="2"/>
      <x:c r="K32" s="2"/>
      <x:c r="L32" s="2"/>
    </x:row>
    <x:row r="33">
      <x:c r="A33" s="3"/>
      <x:c r="B33" s="3"/>
      <x:c r="C33" s="3"/>
      <x:c r="D33" s="3"/>
      <x:c r="E33" s="3"/>
      <x:c r="F33" s="3"/>
      <x:c r="G33" s="3"/>
      <x:c r="H33" s="3"/>
      <x:c r="I33" s="2"/>
      <x:c r="J33" s="2"/>
      <x:c r="K33" s="2"/>
      <x:c r="L33" s="2"/>
    </x:row>
    <x:row r="34">
      <x:c r="A34" s="3"/>
      <x:c r="B34" s="3"/>
      <x:c r="C34" s="3"/>
      <x:c r="D34" s="3"/>
      <x:c r="E34" s="3"/>
      <x:c r="F34" s="3"/>
      <x:c r="G34" s="3"/>
      <x:c r="H34" s="3"/>
      <x:c r="I34" s="2"/>
      <x:c r="J34" s="2"/>
      <x:c r="K34" s="2"/>
      <x:c r="L34" s="2"/>
    </x:row>
    <x:row r="35">
      <x:c r="A35" s="3"/>
      <x:c r="B35" s="3"/>
      <x:c r="C35" s="3"/>
      <x:c r="D35" s="3"/>
      <x:c r="E35" s="3"/>
      <x:c r="F35" s="3"/>
      <x:c r="G35" s="3"/>
      <x:c r="H35" s="3"/>
      <x:c r="I35" s="2"/>
      <x:c r="J35" s="2"/>
      <x:c r="K35" s="2"/>
      <x:c r="L35" s="2"/>
    </x:row>
    <x:row r="36">
      <x:c r="A36" s="3"/>
      <x:c r="B36" s="3"/>
      <x:c r="C36" s="3"/>
      <x:c r="D36" s="3"/>
      <x:c r="E36" s="3"/>
      <x:c r="F36" s="3"/>
      <x:c r="G36" s="3"/>
      <x:c r="H36" s="3"/>
      <x:c r="I36" s="2"/>
      <x:c r="J36" s="2"/>
      <x:c r="K36" s="2"/>
      <x:c r="L36" s="2"/>
    </x:row>
    <x:row r="37">
      <x:c r="A37" s="3"/>
      <x:c r="B37" s="3"/>
      <x:c r="C37" s="3"/>
      <x:c r="D37" s="3"/>
      <x:c r="E37" s="3"/>
      <x:c r="F37" s="3"/>
      <x:c r="G37" s="3"/>
      <x:c r="H37" s="3"/>
      <x:c r="I37" s="2"/>
      <x:c r="J37" s="2"/>
      <x:c r="K37" s="2"/>
      <x:c r="L37" s="2"/>
    </x:row>
    <x:row r="38">
      <x:c r="A38" s="3"/>
      <x:c r="B38" s="3"/>
      <x:c r="C38" s="3"/>
      <x:c r="D38" s="3"/>
      <x:c r="E38" s="3"/>
      <x:c r="F38" s="3"/>
      <x:c r="G38" s="3"/>
      <x:c r="H38" s="3"/>
      <x:c r="I38" s="2"/>
      <x:c r="J38" s="2"/>
      <x:c r="K38" s="2"/>
      <x:c r="L38" s="2"/>
    </x:row>
    <x:row r="39">
      <x:c r="A39" s="3"/>
      <x:c r="B39" s="3"/>
      <x:c r="C39" s="3"/>
      <x:c r="D39" s="3"/>
      <x:c r="E39" s="3"/>
      <x:c r="F39" s="3"/>
      <x:c r="G39" s="3"/>
      <x:c r="H39" s="3"/>
      <x:c r="I39" s="2"/>
      <x:c r="J39" s="2"/>
      <x:c r="K39" s="2"/>
      <x:c r="L39" s="2"/>
    </x:row>
    <x:row r="40">
      <x:c r="A40" s="3"/>
      <x:c r="B40" s="3"/>
      <x:c r="C40" s="3"/>
      <x:c r="D40" s="3"/>
      <x:c r="E40" s="3"/>
      <x:c r="F40" s="3"/>
      <x:c r="G40" s="3"/>
      <x:c r="H40" s="3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mergeCells>
    <x:mergeCell ref="A3:H4"/>
    <x:mergeCell ref="A7:H9"/>
    <x:mergeCell ref="A13:H17"/>
    <x:mergeCell ref="A20:H21"/>
    <x:mergeCell ref="A24:H25"/>
    <x:mergeCell ref="A28:H29"/>
  </x:mergeCells>
  <x:pageMargins left=".3" right=".3" top=".4" bottom=".4" header=".2" footer=".2"/>
  <x:pageSetup paperSize="5" orientation="portrait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2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REKAPITULASI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Bulutaba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4" customHeight="1">
      <x:c r="A9" s="18" t="str">
        <x:v>No.</x:v>
      </x:c>
      <x:c r="B9" s="18" t="str">
        <x:v>Divisi / Kelompok Pekerjaan</x:v>
      </x:c>
      <x:c r="C9" s="18"/>
      <x:c r="D9" s="18"/>
      <x:c r="E9" s="18"/>
      <x:c r="F9" s="18"/>
      <x:c r="G9" s="18" t="str">
        <x:v>Jumlah (Rp.)</x:v>
      </x:c>
      <x:c r="H9" s="18"/>
      <x:c r="I9" s="2"/>
      <x:c r="J9" s="2"/>
      <x:c r="K9" s="2"/>
      <x:c r="L9" s="2"/>
    </x:row>
    <x:row r="10" ht="40" customHeight="1">
      <x:c r="A10" s="2" t="n">
        <x:v>1</x:v>
      </x:c>
      <x:c r="B10" s="15" t="str">
        <x:v>DIVISI 1. UMUM</x:v>
      </x:c>
      <x:c r="C10" s="15"/>
      <x:c r="D10" s="15"/>
      <x:c r="E10" s="15"/>
      <x:c r="F10" s="15"/>
      <x:c r="G10" s="32" t="n">
        <x:f>SUM(RAB!H11,RAB!H12)</x:f>
        <x:v>4378453.640000001</x:v>
      </x:c>
      <x:c r="H10" s="32"/>
      <x:c r="I10" s="2"/>
      <x:c r="J10" s="2"/>
      <x:c r="K10" s="2"/>
      <x:c r="L10" s="2"/>
    </x:row>
    <x:row r="11" ht="40" customHeight="1">
      <x:c r="A11" s="2" t="n">
        <x:v>2</x:v>
      </x:c>
      <x:c r="B11" s="15" t="str">
        <x:v>DIVISI 2. DRAINASE</x:v>
      </x:c>
      <x:c r="C11" s="15"/>
      <x:c r="D11" s="15"/>
      <x:c r="E11" s="15"/>
      <x:c r="F11" s="15"/>
      <x:c r="G11" s="32" t="n">
        <x:f>SUM(RAB!H14)</x:f>
        <x:v>6527611.65</x:v>
      </x:c>
      <x:c r="H11" s="32"/>
      <x:c r="I11" s="2"/>
      <x:c r="J11" s="2"/>
      <x:c r="K11" s="2"/>
      <x:c r="L11" s="2"/>
    </x:row>
    <x:row r="12" ht="40" customHeight="1">
      <x:c r="A12" s="2" t="n">
        <x:v>3</x:v>
      </x:c>
      <x:c r="B12" s="15" t="str">
        <x:v>DIVISI 3. PEKERJAAN TANAH DAN GEOSINTETIK</x:v>
      </x:c>
      <x:c r="C12" s="15"/>
      <x:c r="D12" s="15"/>
      <x:c r="E12" s="15"/>
      <x:c r="F12" s="15"/>
      <x:c r="G12" s="32" t="n">
        <x:f>SUM(RAB!H16)</x:f>
        <x:v>388830934.71</x:v>
      </x:c>
      <x:c r="H12" s="3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32"/>
      <x:c r="H13" s="32"/>
      <x:c r="I13" s="2"/>
      <x:c r="J13" s="2"/>
      <x:c r="K13" s="2"/>
      <x:c r="L13" s="2"/>
    </x:row>
    <x:row r="14" ht="35" customHeight="1">
      <x:c r="A14" s="20" t="str">
        <x:v>TOTAL PENAWARAN TERMASUK PAJAK</x:v>
      </x:c>
      <x:c r="B14" s="20"/>
      <x:c r="C14" s="20"/>
      <x:c r="D14" s="20"/>
      <x:c r="E14" s="20"/>
      <x:c r="F14" s="20"/>
      <x:c r="G14" s="27" t="n">
        <x:f>RAB!H17</x:f>
        <x:v>399737000</x:v>
      </x:c>
      <x:c r="H14" s="27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Pasangkayu, 30 Oktober 2026</x:v>
      </x:c>
      <x:c r="F18" s="30"/>
      <x:c r="G18" s="30"/>
      <x:c r="H18" s="30"/>
      <x:c r="I18" s="2"/>
      <x:c r="J18" s="2"/>
      <x:c r="K18" s="2"/>
      <x:c r="L18" s="2"/>
    </x:row>
    <x:row r="19">
      <x:c r="A19" s="2"/>
      <x:c r="B19" s="2"/>
      <x:c r="C19" s="2"/>
      <x:c r="D19" s="2"/>
      <x:c r="E19" s="30" t="str">
        <x:v>CV. SAKTI JAYA KONSTRUKSI</x:v>
      </x:c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>
      <x:c r="A23" s="2"/>
      <x:c r="B23" s="2"/>
      <x:c r="C23" s="2"/>
      <x:c r="D23" s="2"/>
      <x:c r="E23" s="31" t="str">
        <x:v>Sugisma Wijaya, S.T</x:v>
      </x:c>
      <x:c r="F23" s="31"/>
      <x:c r="G23" s="31"/>
      <x:c r="H23" s="31"/>
      <x:c r="I23" s="2"/>
      <x:c r="J23" s="2"/>
      <x:c r="K23" s="2"/>
      <x:c r="L23" s="2"/>
    </x:row>
    <x:row r="24">
      <x:c r="A24" s="2"/>
      <x:c r="B24" s="2"/>
      <x:c r="C24" s="2"/>
      <x:c r="D24" s="2"/>
      <x:c r="E24" s="30" t="str">
        <x:v>Direktur</x:v>
      </x:c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9:F9"/>
    <x:mergeCell ref="G9:H9"/>
    <x:mergeCell ref="B10:F10"/>
    <x:mergeCell ref="G10:H10"/>
    <x:mergeCell ref="B11:F11"/>
    <x:mergeCell ref="G11:H11"/>
    <x:mergeCell ref="B12:F12"/>
    <x:mergeCell ref="G12:H12"/>
    <x:mergeCell ref="A14:F14"/>
    <x:mergeCell ref="G14:H14"/>
    <x:mergeCell ref="E18:H18"/>
    <x:mergeCell ref="E19:H19"/>
    <x:mergeCell ref="E23:H23"/>
    <x:mergeCell ref="E24:H24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3.xml><?xml version="1.0" encoding="utf-8"?>
<x:worksheet xmlns:x="http://schemas.openxmlformats.org/spreadsheetml/2006/main">
  <x:sheetPr>
    <x:tabColor rgb="FF2548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3" hidden="0" customWidth="1"/>
    <x:col min="5" max="5" width="20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RINCIAN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Bulutaba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18" t="str">
        <x:v>No.</x:v>
      </x:c>
      <x:c r="B9" s="18" t="str">
        <x:v>Uraian Pekerjaan</x:v>
      </x:c>
      <x:c r="C9" s="18" t="str">
        <x:v>Satuan</x:v>
      </x:c>
      <x:c r="D9" s="18" t="str">
        <x:v>Volume</x:v>
      </x:c>
      <x:c r="E9" s="18" t="str">
        <x:v>Harga Satuan (Rp.)</x:v>
      </x:c>
      <x:c r="F9" s="18" t="str">
        <x:v>Pajak (%)</x:v>
      </x:c>
      <x:c r="G9" s="18" t="str">
        <x:v>Sebelum Pajak (Rp.)</x:v>
      </x:c>
      <x:c r="H9" s="18" t="str">
        <x:v>Termasuk Pajak (Rp.)</x:v>
      </x:c>
      <x:c r="I9" s="2"/>
      <x:c r="J9" s="2"/>
      <x:c r="K9" s="2"/>
      <x:c r="L9" s="2"/>
    </x:row>
    <x:row r="10" ht="26" customHeight="1">
      <x:c r="A10" s="20"/>
      <x:c r="B10" s="20" t="str">
        <x:v>DIVISI 1. UMUM</x:v>
      </x:c>
      <x:c r="C10" s="20"/>
      <x:c r="D10" s="27"/>
      <x:c r="E10" s="27"/>
      <x:c r="F10" s="27"/>
      <x:c r="G10" s="27"/>
      <x:c r="H10" s="27"/>
      <x:c r="I10" s="2"/>
      <x:c r="J10" s="2"/>
      <x:c r="K10" s="2"/>
      <x:c r="L10" s="2"/>
    </x:row>
    <x:row r="11" ht="48" customHeight="1">
      <x:c r="A11" s="23" t="str">
        <x:v>1.2</x:v>
      </x:c>
      <x:c r="B11" s="24" t="str">
        <x:v>Mobilisasi</x:v>
      </x:c>
      <x:c r="C11" s="23" t="str">
        <x:v>Ls</x:v>
      </x:c>
      <x:c r="D11" s="28" t="n">
        <x:v>1</x:v>
      </x:c>
      <x:c r="E11" s="28" t="n">
        <x:f>'Analisa Penawaran'!L8</x:f>
        <x:v>3420552.83</x:v>
      </x:c>
      <x:c r="F11" s="28" t="n">
        <x:v>11</x:v>
      </x:c>
      <x:c r="G11" s="28" t="n">
        <x:f>ROUND(D11*E11,2)</x:f>
        <x:v>3420552.83</x:v>
      </x:c>
      <x:c r="H11" s="28" t="n">
        <x:f>ROUND(D11*E11*(1+F11/100),2)</x:f>
        <x:v>3796813.64</x:v>
      </x:c>
      <x:c r="I11" s="2"/>
      <x:c r="J11" s="2"/>
      <x:c r="K11" s="2"/>
      <x:c r="L11" s="2"/>
    </x:row>
    <x:row r="12" ht="48" customHeight="1">
      <x:c r="A12" s="25" t="str">
        <x:v>1.19</x:v>
      </x:c>
      <x:c r="B12" s="26" t="str">
        <x:v>Keselamatan dan Kesehatan Kerja</x:v>
      </x:c>
      <x:c r="C12" s="25" t="str">
        <x:v>Ls</x:v>
      </x:c>
      <x:c r="D12" s="29" t="n">
        <x:v>1</x:v>
      </x:c>
      <x:c r="E12" s="29" t="n">
        <x:f>'Analisa Penawaran'!L9</x:f>
        <x:v>524000</x:v>
      </x:c>
      <x:c r="F12" s="29" t="n">
        <x:v>11</x:v>
      </x:c>
      <x:c r="G12" s="29" t="n">
        <x:f>ROUND(D12*E12,2)</x:f>
        <x:v>524000</x:v>
      </x:c>
      <x:c r="H12" s="29" t="n">
        <x:f>ROUND(D12*E12*(1+F12/100),2)</x:f>
        <x:v>581640</x:v>
      </x:c>
      <x:c r="I12" s="2"/>
      <x:c r="J12" s="2"/>
      <x:c r="K12" s="2"/>
      <x:c r="L12" s="2"/>
    </x:row>
    <x:row r="13" ht="26" customHeight="1">
      <x:c r="A13" s="20"/>
      <x:c r="B13" s="20" t="str">
        <x:v>DIVISI 2. DRAINASE</x:v>
      </x:c>
      <x:c r="C13" s="20"/>
      <x:c r="D13" s="27"/>
      <x:c r="E13" s="27"/>
      <x:c r="F13" s="27"/>
      <x:c r="G13" s="27"/>
      <x:c r="H13" s="27"/>
      <x:c r="I13" s="2"/>
      <x:c r="J13" s="2"/>
      <x:c r="K13" s="2"/>
      <x:c r="L13" s="2"/>
    </x:row>
    <x:row r="14" ht="48" customHeight="1">
      <x:c r="A14" s="23" t="str">
        <x:v>2.1.(1)</x:v>
      </x:c>
      <x:c r="B14" s="24" t="str">
        <x:v>Galian untuk Selokan Drainase dan Saluran Air</x:v>
      </x:c>
      <x:c r="C14" s="23" t="str">
        <x:v>M3</x:v>
      </x:c>
      <x:c r="D14" s="28" t="n">
        <x:v>378</x:v>
      </x:c>
      <x:c r="E14" s="28" t="n">
        <x:f>'Analisa Penawaran'!L10</x:f>
        <x:v>15557.49</x:v>
      </x:c>
      <x:c r="F14" s="28" t="n">
        <x:v>11</x:v>
      </x:c>
      <x:c r="G14" s="28" t="n">
        <x:f>ROUND(D14*E14,2)</x:f>
        <x:v>5880731.22</x:v>
      </x:c>
      <x:c r="H14" s="28" t="n">
        <x:f>ROUND(D14*E14*(1+F14/100),2)</x:f>
        <x:v>6527611.65</x:v>
      </x:c>
      <x:c r="I14" s="2"/>
      <x:c r="J14" s="2"/>
      <x:c r="K14" s="2"/>
      <x:c r="L14" s="2"/>
    </x:row>
    <x:row r="15" ht="26" customHeight="1">
      <x:c r="A15" s="20"/>
      <x:c r="B15" s="20" t="str">
        <x:v>DIVISI 3. PEKERJAAN TANAH DAN GEOSINTETIK</x:v>
      </x:c>
      <x:c r="C15" s="20"/>
      <x:c r="D15" s="27"/>
      <x:c r="E15" s="27"/>
      <x:c r="F15" s="27"/>
      <x:c r="G15" s="27"/>
      <x:c r="H15" s="27"/>
      <x:c r="I15" s="2"/>
      <x:c r="J15" s="2"/>
      <x:c r="K15" s="2"/>
      <x:c r="L15" s="2"/>
    </x:row>
    <x:row r="16" ht="48" customHeight="1">
      <x:c r="A16" s="25" t="str">
        <x:v>3.1.(1)</x:v>
      </x:c>
      <x:c r="B16" s="26" t="str">
        <x:v>Galian Biasa/Perapihan</x:v>
      </x:c>
      <x:c r="C16" s="25" t="str">
        <x:v>M3</x:v>
      </x:c>
      <x:c r="D16" s="29" t="n">
        <x:v>14172.5</x:v>
      </x:c>
      <x:c r="E16" s="29" t="n">
        <x:f>'Analisa Penawaran'!L11</x:f>
        <x:v>24716.75</x:v>
      </x:c>
      <x:c r="F16" s="29" t="n">
        <x:v>11</x:v>
      </x:c>
      <x:c r="G16" s="29" t="n">
        <x:f>ROUND(D16*E16,2)</x:f>
        <x:v>350298139.38</x:v>
      </x:c>
      <x:c r="H16" s="29" t="n">
        <x:f>ROUND(D16*E16*(1+F16/100),2)</x:f>
        <x:v>388830934.71</x:v>
      </x:c>
      <x:c r="I16" s="2"/>
      <x:c r="J16" s="2"/>
      <x:c r="K16" s="2"/>
      <x:c r="L16" s="2"/>
    </x:row>
    <x:row r="17" ht="32" customHeight="1">
      <x:c r="A17" s="20" t="str">
        <x:v>TOTAL PENAWARAN TERMASUK PAJAK</x:v>
      </x:c>
      <x:c r="B17" s="20"/>
      <x:c r="C17" s="20"/>
      <x:c r="D17" s="27"/>
      <x:c r="E17" s="27"/>
      <x:c r="F17" s="27"/>
      <x:c r="G17" s="27"/>
      <x:c r="H17" s="27" t="n">
        <x:f>ROUND(SUM(H11,H12,H14,H16),0)</x:f>
        <x:v>399737000</x:v>
      </x:c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30" t="str">
        <x:v>Pasangkayu, 30 Oktober 2026</x:v>
      </x:c>
      <x:c r="F20" s="30"/>
      <x:c r="G20" s="30"/>
      <x:c r="H20" s="30"/>
      <x:c r="I20" s="2"/>
      <x:c r="J20" s="2"/>
      <x:c r="K20" s="2"/>
      <x:c r="L20" s="2"/>
    </x:row>
    <x:row r="21">
      <x:c r="A21" s="2"/>
      <x:c r="B21" s="2"/>
      <x:c r="C21" s="2"/>
      <x:c r="D21" s="2"/>
      <x:c r="E21" s="30" t="str">
        <x:v>CV. SAKTI JAYA KONSTRUKSI</x:v>
      </x:c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 ht="20" customHeight="1">
      <x:c r="A23" s="2"/>
      <x:c r="B23" s="2"/>
      <x:c r="C23" s="2"/>
      <x:c r="D23" s="2"/>
      <x:c r="E23" s="30"/>
      <x:c r="F23" s="30"/>
      <x:c r="G23" s="30"/>
      <x:c r="H23" s="30"/>
      <x:c r="I23" s="2"/>
      <x:c r="J23" s="2"/>
      <x:c r="K23" s="2"/>
      <x:c r="L23" s="2"/>
    </x:row>
    <x:row r="24" ht="20" customHeight="1">
      <x:c r="A24" s="2"/>
      <x:c r="B24" s="2"/>
      <x:c r="C24" s="2"/>
      <x:c r="D24" s="2"/>
      <x:c r="E24" s="30"/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31" t="str">
        <x:v>Sugisma Wijaya, S.T</x:v>
      </x:c>
      <x:c r="F25" s="31"/>
      <x:c r="G25" s="31"/>
      <x:c r="H25" s="31"/>
      <x:c r="I25" s="2"/>
      <x:c r="J25" s="2"/>
      <x:c r="K25" s="2"/>
      <x:c r="L25" s="2"/>
    </x:row>
    <x:row r="26">
      <x:c r="A26" s="2"/>
      <x:c r="B26" s="2"/>
      <x:c r="C26" s="2"/>
      <x:c r="D26" s="2"/>
      <x:c r="E26" s="30" t="str">
        <x:v>Direktur</x:v>
      </x:c>
      <x:c r="F26" s="30"/>
      <x:c r="G26" s="30"/>
      <x:c r="H26" s="30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10:H10"/>
    <x:mergeCell ref="B13:H13"/>
    <x:mergeCell ref="B15:H15"/>
    <x:mergeCell ref="A17:G17"/>
    <x:mergeCell ref="E20:H20"/>
    <x:mergeCell ref="E21:H21"/>
    <x:mergeCell ref="E25:H25"/>
    <x:mergeCell ref="E26:H26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4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PERHITUNGAN HARGA SATUAN PENAWARAN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Harga satuan dasar dan koefisien mengikuti HPS. Komponen bahan dan alat dipertahankan.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Penurunan upah harian (Rp.)</x:v>
      </x:c>
      <x:c r="B4" s="2"/>
      <x:c r="C4" s="2"/>
      <x:c r="D4" s="19" t="n">
        <x:v>1000</x:v>
      </x:c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Sumber: PEMB JALAN BULUTABA.xlsm; BOQ dan analisa harga satuan terkait.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70" customHeight="1">
      <x:c r="A7" s="18" t="str">
        <x:v>No.</x:v>
      </x:c>
      <x:c r="B7" s="18" t="str">
        <x:v>Uraian</x:v>
      </x:c>
      <x:c r="C7" s="18" t="str">
        <x:v>Koef. Pekerja</x:v>
      </x:c>
      <x:c r="D7" s="18" t="str">
        <x:v>Koef. Mandor</x:v>
      </x:c>
      <x:c r="E7" s="18" t="str">
        <x:v>Upah Pekerja HPS/jam</x:v>
      </x:c>
      <x:c r="F7" s="18" t="str">
        <x:v>Upah Pekerja Penawaran/jam</x:v>
      </x:c>
      <x:c r="G7" s="18" t="str">
        <x:v>Upah Mandor HPS/jam</x:v>
      </x:c>
      <x:c r="H7" s="18" t="str">
        <x:v>Upah Mandor Penawaran/jam</x:v>
      </x:c>
      <x:c r="I7" s="18" t="str">
        <x:v>Overhead (%)</x:v>
      </x:c>
      <x:c r="J7" s="18" t="str">
        <x:v>Harga Satuan HPS</x:v>
      </x:c>
      <x:c r="K7" s="18" t="str">
        <x:v>Penurunan LS</x:v>
      </x:c>
      <x:c r="L7" s="18" t="str">
        <x:v>Harga Satuan Penawaran</x:v>
      </x:c>
    </x:row>
    <x:row r="8" ht="52" customHeight="1">
      <x:c r="A8" s="2" t="str">
        <x:v>1.2</x:v>
      </x:c>
      <x:c r="B8" s="15" t="str">
        <x:v>Mobilisasi</x:v>
      </x:c>
      <x:c r="C8" s="32" t="n">
        <x:v>0</x:v>
      </x:c>
      <x:c r="D8" s="32" t="n">
        <x:v>0</x:v>
      </x:c>
      <x:c r="E8" s="32" t="n">
        <x:v>0</x:v>
      </x:c>
      <x:c r="F8" s="32" t="n">
        <x:f>MAX(0,E8-$D$4/7)</x:f>
        <x:v>0</x:v>
      </x:c>
      <x:c r="G8" s="32" t="n">
        <x:v>0</x:v>
      </x:c>
      <x:c r="H8" s="32" t="n">
        <x:f>MAX(0,G8-$D$4/7)</x:f>
        <x:v>0</x:v>
      </x:c>
      <x:c r="I8" s="33" t="n">
        <x:v>15</x:v>
      </x:c>
      <x:c r="J8" s="32" t="n">
        <x:v>3470000</x:v>
      </x:c>
      <x:c r="K8" s="32" t="n">
        <x:v>49447.17</x:v>
      </x:c>
      <x:c r="L8" s="32" t="n">
        <x:f>ROUND(J8-K8,2)</x:f>
        <x:v>3420552.83</x:v>
      </x:c>
    </x:row>
    <x:row r="9" ht="52" customHeight="1">
      <x:c r="A9" s="2" t="str">
        <x:v>1.19</x:v>
      </x:c>
      <x:c r="B9" s="15" t="str">
        <x:v>Keselamatan dan Kesehatan Kerja</x:v>
      </x:c>
      <x:c r="C9" s="32" t="n">
        <x:v>0</x:v>
      </x:c>
      <x:c r="D9" s="32" t="n">
        <x:v>0</x:v>
      </x:c>
      <x:c r="E9" s="32" t="n">
        <x:v>0</x:v>
      </x:c>
      <x:c r="F9" s="32" t="n">
        <x:f>MAX(0,E9-$D$4/7)</x:f>
        <x:v>0</x:v>
      </x:c>
      <x:c r="G9" s="32" t="n">
        <x:v>0</x:v>
      </x:c>
      <x:c r="H9" s="32" t="n">
        <x:f>MAX(0,G9-$D$4/7)</x:f>
        <x:v>0</x:v>
      </x:c>
      <x:c r="I9" s="33" t="n">
        <x:v>15</x:v>
      </x:c>
      <x:c r="J9" s="32" t="n">
        <x:v>525000</x:v>
      </x:c>
      <x:c r="K9" s="32" t="n">
        <x:v>1000</x:v>
      </x:c>
      <x:c r="L9" s="32" t="n">
        <x:f>ROUND(J9-K9,2)</x:f>
        <x:v>524000</x:v>
      </x:c>
    </x:row>
    <x:row r="10" ht="52" customHeight="1">
      <x:c r="A10" s="2" t="str">
        <x:v>2.1.(1)</x:v>
      </x:c>
      <x:c r="B10" s="15" t="str">
        <x:v>Galian untuk Selokan Drainase dan Saluran Air</x:v>
      </x:c>
      <x:c r="C10" s="32" t="n">
        <x:v>0.07301935012778385</x:v>
      </x:c>
      <x:c r="D10" s="32" t="n">
        <x:v>0.036509675063891925</x:v>
      </x:c>
      <x:c r="E10" s="32" t="n">
        <x:v>14285.714285714286</x:v>
      </x:c>
      <x:c r="F10" s="32" t="n">
        <x:f>MAX(0,E10-$D$4/7)</x:f>
        <x:v>14142.857142857143</x:v>
      </x:c>
      <x:c r="G10" s="32" t="n">
        <x:v>21428.571428571428</x:v>
      </x:c>
      <x:c r="H10" s="32" t="n">
        <x:f>MAX(0,G10-$D$4/7)</x:f>
        <x:v>21285.714285714286</x:v>
      </x:c>
      <x:c r="I10" s="33" t="n">
        <x:v>15</x:v>
      </x:c>
      <x:c r="J10" s="32" t="n">
        <x:v>15575.48</x:v>
      </x:c>
      <x:c r="K10" s="32" t="n">
        <x:v>0</x:v>
      </x:c>
      <x:c r="L10" s="32" t="n">
        <x:f>ROUND(J10-((E10-F10)*C10+(G10-H10)*D10)*(1+I10/100),2)</x:f>
        <x:v>15557.49</x:v>
      </x:c>
    </x:row>
    <x:row r="11" ht="52" customHeight="1">
      <x:c r="A11" s="2" t="str">
        <x:v>3.1.(1)</x:v>
      </x:c>
      <x:c r="B11" s="15" t="str">
        <x:v>Galian Biasa/Perapihan</x:v>
      </x:c>
      <x:c r="C11" s="32" t="n">
        <x:v>0.05161290322580645</x:v>
      </x:c>
      <x:c r="D11" s="32" t="n">
        <x:v>0.025806451612903226</x:v>
      </x:c>
      <x:c r="E11" s="32" t="n">
        <x:v>14285.714285714286</x:v>
      </x:c>
      <x:c r="F11" s="32" t="n">
        <x:f>MAX(0,E11-$D$4/7)</x:f>
        <x:v>14142.857142857143</x:v>
      </x:c>
      <x:c r="G11" s="32" t="n">
        <x:v>21428.571428571428</x:v>
      </x:c>
      <x:c r="H11" s="32" t="n">
        <x:f>MAX(0,G11-$D$4/7)</x:f>
        <x:v>21285.714285714286</x:v>
      </x:c>
      <x:c r="I11" s="33" t="n">
        <x:v>15</x:v>
      </x:c>
      <x:c r="J11" s="32" t="n">
        <x:v>24729.47</x:v>
      </x:c>
      <x:c r="K11" s="32" t="n">
        <x:v>0</x:v>
      </x:c>
      <x:c r="L11" s="32" t="n">
        <x:f>ROUND(J11-((E11-F11)*C11+(G11-H11)*D11)*(1+I11/100),2)</x:f>
        <x:v>24716.75</x:v>
      </x:c>
    </x:row>
    <x:row r="12">
      <x:c r="A12" s="2"/>
      <x:c r="B12" s="2"/>
      <x:c r="C12" s="32"/>
      <x:c r="D12" s="32"/>
      <x:c r="E12" s="32"/>
      <x:c r="F12" s="32"/>
      <x:c r="G12" s="32"/>
      <x:c r="H12" s="32"/>
      <x:c r="I12" s="33"/>
      <x:c r="J12" s="32"/>
      <x:c r="K12" s="32"/>
      <x:c r="L12" s="3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L2"/>
    <x:mergeCell ref="A3:L3"/>
    <x:mergeCell ref="A4:C4"/>
    <x:mergeCell ref="A5:L5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